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ЗПФ Ташкент\"/>
    </mc:Choice>
  </mc:AlternateContent>
  <xr:revisionPtr revIDLastSave="0" documentId="13_ncr:1_{31DB645A-5EAB-4561-9BD9-E36EC7078F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T7" i="1" s="1"/>
  <c r="P8" i="1"/>
  <c r="Q8" i="1" s="1"/>
  <c r="AE8" i="1" s="1"/>
  <c r="P9" i="1"/>
  <c r="P10" i="1"/>
  <c r="P11" i="1"/>
  <c r="P12" i="1"/>
  <c r="T12" i="1" s="1"/>
  <c r="P13" i="1"/>
  <c r="P14" i="1"/>
  <c r="P15" i="1"/>
  <c r="P16" i="1"/>
  <c r="P17" i="1"/>
  <c r="P18" i="1"/>
  <c r="P19" i="1"/>
  <c r="P20" i="1"/>
  <c r="T20" i="1" s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T34" i="1" s="1"/>
  <c r="P35" i="1"/>
  <c r="P36" i="1"/>
  <c r="P37" i="1"/>
  <c r="P38" i="1"/>
  <c r="P6" i="1"/>
  <c r="U6" i="1" s="1"/>
  <c r="L38" i="1"/>
  <c r="L37" i="1"/>
  <c r="L36" i="1"/>
  <c r="L35" i="1"/>
  <c r="L34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AE24" i="1"/>
  <c r="L24" i="1"/>
  <c r="L23" i="1"/>
  <c r="AE22" i="1"/>
  <c r="L22" i="1"/>
  <c r="L21" i="1"/>
  <c r="L20" i="1"/>
  <c r="L19" i="1"/>
  <c r="L18" i="1"/>
  <c r="L17" i="1"/>
  <c r="L16" i="1"/>
  <c r="L15" i="1"/>
  <c r="L14" i="1"/>
  <c r="L13" i="1"/>
  <c r="L12" i="1"/>
  <c r="L11" i="1"/>
  <c r="AE10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17" i="1" l="1"/>
  <c r="T13" i="1"/>
  <c r="T9" i="1"/>
  <c r="AE13" i="1"/>
  <c r="AE15" i="1"/>
  <c r="AE17" i="1"/>
  <c r="AE19" i="1"/>
  <c r="AE35" i="1"/>
  <c r="AE37" i="1"/>
  <c r="T36" i="1"/>
  <c r="AE6" i="1"/>
  <c r="AE5" i="1" s="1"/>
  <c r="AE9" i="1"/>
  <c r="Q11" i="1"/>
  <c r="AE11" i="1" s="1"/>
  <c r="AE14" i="1"/>
  <c r="AE16" i="1"/>
  <c r="Q18" i="1"/>
  <c r="AE18" i="1" s="1"/>
  <c r="AE21" i="1"/>
  <c r="AE23" i="1"/>
  <c r="AE25" i="1"/>
  <c r="AE27" i="1"/>
  <c r="AE29" i="1"/>
  <c r="AE31" i="1"/>
  <c r="AE33" i="1"/>
  <c r="AE36" i="1"/>
  <c r="AE38" i="1"/>
  <c r="T32" i="1"/>
  <c r="T30" i="1"/>
  <c r="T28" i="1"/>
  <c r="T26" i="1"/>
  <c r="T24" i="1"/>
  <c r="T22" i="1"/>
  <c r="T10" i="1"/>
  <c r="T8" i="1"/>
  <c r="U36" i="1"/>
  <c r="U33" i="1"/>
  <c r="U29" i="1"/>
  <c r="U25" i="1"/>
  <c r="U21" i="1"/>
  <c r="U17" i="1"/>
  <c r="U13" i="1"/>
  <c r="U9" i="1"/>
  <c r="L5" i="1"/>
  <c r="U38" i="1"/>
  <c r="U34" i="1"/>
  <c r="U31" i="1"/>
  <c r="U27" i="1"/>
  <c r="U23" i="1"/>
  <c r="U19" i="1"/>
  <c r="U15" i="1"/>
  <c r="U11" i="1"/>
  <c r="U7" i="1"/>
  <c r="U37" i="1"/>
  <c r="U35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P5" i="1"/>
  <c r="T16" i="1" l="1"/>
  <c r="T21" i="1"/>
  <c r="T25" i="1"/>
  <c r="T29" i="1"/>
  <c r="T33" i="1"/>
  <c r="T37" i="1"/>
  <c r="T6" i="1"/>
  <c r="Q5" i="1"/>
  <c r="T14" i="1"/>
  <c r="T18" i="1"/>
  <c r="T38" i="1"/>
  <c r="T11" i="1"/>
  <c r="T15" i="1"/>
  <c r="T19" i="1"/>
  <c r="T23" i="1"/>
  <c r="T27" i="1"/>
  <c r="T31" i="1"/>
  <c r="T35" i="1"/>
</calcChain>
</file>

<file path=xl/sharedStrings.xml><?xml version="1.0" encoding="utf-8"?>
<sst xmlns="http://schemas.openxmlformats.org/spreadsheetml/2006/main" count="151" uniqueCount="83">
  <si>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</si>
  <si>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</si>
  <si>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</si>
  <si>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</si>
  <si>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</si>
  <si>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</si>
  <si>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</si>
  <si>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</si>
  <si>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</si>
  <si>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</si>
  <si>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</si>
  <si>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</si>
  <si>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</si>
  <si>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</si>
  <si>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</si>
  <si>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</si>
  <si>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</si>
  <si>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</si>
  <si>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</si>
  <si>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</si>
  <si>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</si>
  <si>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</si>
  <si>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</si>
  <si>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</si>
  <si>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</si>
  <si>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</si>
  <si>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</si>
  <si>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</si>
  <si>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</si>
  <si>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</si>
  <si>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</si>
  <si>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</si>
  <si>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</si>
  <si>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Брокколи капуста 400 ЗАМ  МИРАТОРГ</t>
  </si>
  <si>
    <t>шт</t>
  </si>
  <si>
    <t>365?</t>
  </si>
  <si>
    <t>Бургер Класс из мр гов зам ШТ 1,05кг TF *6  МИРАТОРГ</t>
  </si>
  <si>
    <t>нет в бланке</t>
  </si>
  <si>
    <t>нужно увеличить продажи!!!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</si>
  <si>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</si>
  <si>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</si>
  <si>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</si>
  <si>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</si>
  <si>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</si>
  <si>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</si>
  <si>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</si>
  <si>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</si>
  <si>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</si>
  <si>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нужно увеличить продажи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</si>
  <si>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</si>
  <si>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</si>
  <si>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</si>
  <si>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</si>
  <si>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</si>
  <si>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</si>
  <si>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</si>
  <si>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</si>
  <si>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</si>
  <si>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</si>
  <si>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</si>
  <si>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</si>
  <si>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</si>
  <si>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</si>
  <si>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</si>
  <si>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</si>
  <si>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</si>
  <si>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</si>
  <si>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</si>
  <si>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</si>
  <si>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</si>
  <si>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</si>
  <si>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</si>
  <si>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</si>
  <si>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</si>
  <si>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</si>
  <si>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</si>
  <si>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</si>
  <si>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</si>
  <si>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завод не отгружает!!! / 06,03,25 списано 4562шт. / нет в бланке для заказа</t>
  </si>
  <si>
    <t>завод не отгружает!!! / 17,08,25 списано 11шт. / нет в бланке для заказа</t>
  </si>
  <si>
    <t>завод не отгружает!!!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</si>
  <si>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завод не отгружает!!!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</si>
  <si>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17,08,25 списано 12шт.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</si>
</sst>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164" fontId="1" fillId="5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.28515625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4.7109375" customWidth="1"/>
    <col min="31" max="31" width="7" customWidth="1"/>
    <col min="32" max="49" width="8" customWidth="1"/>
  </cols>
  <sheetData>
    <row r="1" spans="1:49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662</v>
      </c>
      <c r="F5" s="4">
        <f>SUM(F6:F499)</f>
        <v>2473</v>
      </c>
      <c r="G5" s="9"/>
      <c r="H5" s="1"/>
      <c r="I5" s="1"/>
      <c r="J5" s="1"/>
      <c r="K5" s="4">
        <f>SUM(K6:K499)</f>
        <v>0</v>
      </c>
      <c r="L5" s="4">
        <f>SUM(L6:L499)</f>
        <v>662</v>
      </c>
      <c r="M5" s="4">
        <f>SUM(M6:M499)</f>
        <v>0</v>
      </c>
      <c r="N5" s="4">
        <f>SUM(N6:N499)</f>
        <v>0</v>
      </c>
      <c r="O5" s="4">
        <f>SUM(O6:O499)</f>
        <v>1220</v>
      </c>
      <c r="P5" s="4">
        <f>SUM(P6:P499)</f>
        <v>132.39999999999998</v>
      </c>
      <c r="Q5" s="4">
        <f>SUM(Q6:Q499)</f>
        <v>181</v>
      </c>
      <c r="R5" s="4">
        <f>SUM(R6:R499)</f>
        <v>0</v>
      </c>
      <c r="S5" s="1"/>
      <c r="T5" s="1"/>
      <c r="U5" s="1"/>
      <c r="V5" s="4">
        <f>SUM(V6:V499)</f>
        <v>117.60000000000001</v>
      </c>
      <c r="W5" s="4">
        <f>SUM(W6:W499)</f>
        <v>155.19999999999996</v>
      </c>
      <c r="X5" s="4">
        <f>SUM(X6:X499)</f>
        <v>202.6</v>
      </c>
      <c r="Y5" s="4">
        <f>SUM(Y6:Y499)</f>
        <v>112.79999999999998</v>
      </c>
      <c r="Z5" s="4">
        <f>SUM(Z6:Z499)</f>
        <v>199.59999999999997</v>
      </c>
      <c r="AA5" s="4">
        <f>SUM(AA6:AA499)</f>
        <v>111.60000000000004</v>
      </c>
      <c r="AB5" s="4">
        <f>SUM(AB6:AB499)</f>
        <v>65.400000000000006</v>
      </c>
      <c r="AC5" s="4">
        <f>SUM(AC6:AC499)</f>
        <v>151.80000000000001</v>
      </c>
      <c r="AD5" s="1"/>
      <c r="AE5" s="4">
        <f>SUM(AE6:AE499)</f>
        <v>62.1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4</v>
      </c>
      <c r="D6" s="1">
        <v>50</v>
      </c>
      <c r="E6" s="1"/>
      <c r="F6" s="1">
        <v>54</v>
      </c>
      <c r="G6" s="9">
        <v>0.4</v>
      </c>
      <c r="H6" s="1" t="s">
        <v>35</v>
      </c>
      <c r="I6" s="1">
        <v>1010011725</v>
      </c>
      <c r="J6" s="1"/>
      <c r="K6" s="1"/>
      <c r="L6" s="1">
        <f t="shared" ref="L6:L38" si="0">E6-K6</f>
        <v>0</v>
      </c>
      <c r="M6" s="1"/>
      <c r="N6" s="1"/>
      <c r="O6" s="1"/>
      <c r="P6" s="1">
        <f>E6/5</f>
        <v>0</v>
      </c>
      <c r="Q6" s="5"/>
      <c r="R6" s="5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">
        <v>2</v>
      </c>
      <c r="X6" s="1">
        <v>0.8</v>
      </c>
      <c r="Y6" s="1">
        <v>1</v>
      </c>
      <c r="Z6" s="1">
        <v>0.8</v>
      </c>
      <c r="AA6" s="1">
        <v>0.2</v>
      </c>
      <c r="AB6" s="1">
        <v>0.4</v>
      </c>
      <c r="AC6" s="1">
        <v>2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1" t="s">
        <v>36</v>
      </c>
      <c r="B7" s="11" t="s">
        <v>34</v>
      </c>
      <c r="C7" s="11">
        <v>12</v>
      </c>
      <c r="D7" s="11"/>
      <c r="E7" s="11"/>
      <c r="F7" s="11">
        <v>12</v>
      </c>
      <c r="G7" s="12">
        <v>0</v>
      </c>
      <c r="H7" s="11">
        <v>730</v>
      </c>
      <c r="I7" s="11" t="s">
        <v>37</v>
      </c>
      <c r="J7" s="11"/>
      <c r="K7" s="11"/>
      <c r="L7" s="11">
        <f t="shared" si="0"/>
        <v>0</v>
      </c>
      <c r="M7" s="11"/>
      <c r="N7" s="11"/>
      <c r="O7" s="11"/>
      <c r="P7" s="11">
        <f t="shared" ref="P7:P38" si="1">E7/5</f>
        <v>0</v>
      </c>
      <c r="Q7" s="13"/>
      <c r="R7" s="13"/>
      <c r="S7" s="11"/>
      <c r="T7" s="11" t="e">
        <f t="shared" ref="T7:T38" si="2">(F7+O7+Q7)/P7</f>
        <v>#DIV/0!</v>
      </c>
      <c r="U7" s="11" t="e">
        <f t="shared" ref="U7:U38" si="3">(F7+O7)/P7</f>
        <v>#DIV/0!</v>
      </c>
      <c r="V7" s="11">
        <v>0</v>
      </c>
      <c r="W7" s="11">
        <v>0</v>
      </c>
      <c r="X7" s="11">
        <v>0.2</v>
      </c>
      <c r="Y7" s="11">
        <v>2.4</v>
      </c>
      <c r="Z7" s="11">
        <v>0</v>
      </c>
      <c r="AA7" s="11">
        <v>1.2</v>
      </c>
      <c r="AB7" s="11">
        <v>0</v>
      </c>
      <c r="AC7" s="11">
        <v>0</v>
      </c>
      <c r="AD7" s="15" t="s">
        <v>38</v>
      </c>
      <c r="AE7" s="1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50</v>
      </c>
      <c r="D8" s="1">
        <v>80</v>
      </c>
      <c r="E8" s="1">
        <v>60</v>
      </c>
      <c r="F8" s="1">
        <v>70</v>
      </c>
      <c r="G8" s="9">
        <v>0.3</v>
      </c>
      <c r="H8" s="1" t="s">
        <v>40</v>
      </c>
      <c r="I8" s="1">
        <v>1010004270</v>
      </c>
      <c r="J8" s="1"/>
      <c r="K8" s="1"/>
      <c r="L8" s="1">
        <f t="shared" si="0"/>
        <v>60</v>
      </c>
      <c r="M8" s="1"/>
      <c r="N8" s="1"/>
      <c r="O8" s="1"/>
      <c r="P8" s="1">
        <f t="shared" si="1"/>
        <v>12</v>
      </c>
      <c r="Q8" s="5">
        <f t="shared" ref="Q8:Q11" si="4">10*P8-O8-F8</f>
        <v>50</v>
      </c>
      <c r="R8" s="5"/>
      <c r="S8" s="1"/>
      <c r="T8" s="1">
        <f t="shared" si="2"/>
        <v>10</v>
      </c>
      <c r="U8" s="1">
        <f t="shared" si="3"/>
        <v>5.833333333333333</v>
      </c>
      <c r="V8" s="1">
        <v>1.6</v>
      </c>
      <c r="W8" s="1">
        <v>4.5999999999999996</v>
      </c>
      <c r="X8" s="1">
        <v>3.2</v>
      </c>
      <c r="Y8" s="1">
        <v>6.4</v>
      </c>
      <c r="Z8" s="1">
        <v>0.6</v>
      </c>
      <c r="AA8" s="1">
        <v>3</v>
      </c>
      <c r="AB8" s="1">
        <v>1.4</v>
      </c>
      <c r="AC8" s="1">
        <v>6</v>
      </c>
      <c r="AD8" s="1" t="s">
        <v>38</v>
      </c>
      <c r="AE8" s="1">
        <f>G8*Q8</f>
        <v>15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34</v>
      </c>
      <c r="C9" s="1">
        <v>25</v>
      </c>
      <c r="D9" s="1">
        <v>120</v>
      </c>
      <c r="E9" s="1">
        <v>7</v>
      </c>
      <c r="F9" s="1">
        <v>138</v>
      </c>
      <c r="G9" s="9">
        <v>0.4</v>
      </c>
      <c r="H9" s="1">
        <v>730</v>
      </c>
      <c r="I9" s="1">
        <v>1010004227</v>
      </c>
      <c r="J9" s="1"/>
      <c r="K9" s="1"/>
      <c r="L9" s="1">
        <f t="shared" si="0"/>
        <v>7</v>
      </c>
      <c r="M9" s="1"/>
      <c r="N9" s="1"/>
      <c r="O9" s="1"/>
      <c r="P9" s="1">
        <f t="shared" si="1"/>
        <v>1.4</v>
      </c>
      <c r="Q9" s="5"/>
      <c r="R9" s="5"/>
      <c r="S9" s="1"/>
      <c r="T9" s="1">
        <f t="shared" si="2"/>
        <v>98.571428571428584</v>
      </c>
      <c r="U9" s="1">
        <f t="shared" si="3"/>
        <v>98.571428571428584</v>
      </c>
      <c r="V9" s="1">
        <v>1.6</v>
      </c>
      <c r="W9" s="1">
        <v>3.8</v>
      </c>
      <c r="X9" s="1">
        <v>3.2</v>
      </c>
      <c r="Y9" s="1">
        <v>3</v>
      </c>
      <c r="Z9" s="1">
        <v>2.6</v>
      </c>
      <c r="AA9" s="1">
        <v>0</v>
      </c>
      <c r="AB9" s="1">
        <v>2.6</v>
      </c>
      <c r="AC9" s="1">
        <v>5.2</v>
      </c>
      <c r="AD9" s="15" t="s">
        <v>38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26</v>
      </c>
      <c r="D10" s="1">
        <v>100</v>
      </c>
      <c r="E10" s="1">
        <v>29</v>
      </c>
      <c r="F10" s="1">
        <v>97</v>
      </c>
      <c r="G10" s="9">
        <v>0.4</v>
      </c>
      <c r="H10" s="1">
        <v>730</v>
      </c>
      <c r="I10" s="1">
        <v>1010011730</v>
      </c>
      <c r="J10" s="1"/>
      <c r="K10" s="1"/>
      <c r="L10" s="1">
        <f t="shared" si="0"/>
        <v>29</v>
      </c>
      <c r="M10" s="1"/>
      <c r="N10" s="1"/>
      <c r="O10" s="1"/>
      <c r="P10" s="1">
        <f t="shared" si="1"/>
        <v>5.8</v>
      </c>
      <c r="Q10" s="5"/>
      <c r="R10" s="5"/>
      <c r="S10" s="1"/>
      <c r="T10" s="1">
        <f t="shared" si="2"/>
        <v>16.724137931034484</v>
      </c>
      <c r="U10" s="1">
        <f t="shared" si="3"/>
        <v>16.724137931034484</v>
      </c>
      <c r="V10" s="1">
        <v>2.8</v>
      </c>
      <c r="W10" s="1">
        <v>6.8</v>
      </c>
      <c r="X10" s="1">
        <v>2.4</v>
      </c>
      <c r="Y10" s="1">
        <v>4</v>
      </c>
      <c r="Z10" s="1">
        <v>2.6</v>
      </c>
      <c r="AA10" s="1">
        <v>0.6</v>
      </c>
      <c r="AB10" s="1">
        <v>3</v>
      </c>
      <c r="AC10" s="1">
        <v>4.2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60</v>
      </c>
      <c r="D11" s="1">
        <v>60</v>
      </c>
      <c r="E11" s="1">
        <v>66</v>
      </c>
      <c r="F11" s="1">
        <v>54</v>
      </c>
      <c r="G11" s="9">
        <v>0.4</v>
      </c>
      <c r="H11" s="1" t="s">
        <v>40</v>
      </c>
      <c r="I11" s="1">
        <v>1010011735</v>
      </c>
      <c r="J11" s="1"/>
      <c r="K11" s="1"/>
      <c r="L11" s="1">
        <f t="shared" si="0"/>
        <v>66</v>
      </c>
      <c r="M11" s="1"/>
      <c r="N11" s="1"/>
      <c r="O11" s="1"/>
      <c r="P11" s="1">
        <f t="shared" si="1"/>
        <v>13.2</v>
      </c>
      <c r="Q11" s="5">
        <f t="shared" si="4"/>
        <v>78</v>
      </c>
      <c r="R11" s="5"/>
      <c r="S11" s="1"/>
      <c r="T11" s="1">
        <f t="shared" si="2"/>
        <v>10</v>
      </c>
      <c r="U11" s="1">
        <f t="shared" si="3"/>
        <v>4.0909090909090908</v>
      </c>
      <c r="V11" s="1">
        <v>1</v>
      </c>
      <c r="W11" s="1">
        <v>4</v>
      </c>
      <c r="X11" s="1">
        <v>0</v>
      </c>
      <c r="Y11" s="1">
        <v>15.2</v>
      </c>
      <c r="Z11" s="1">
        <v>1.6</v>
      </c>
      <c r="AA11" s="1">
        <v>0.6</v>
      </c>
      <c r="AB11" s="1">
        <v>1.6</v>
      </c>
      <c r="AC11" s="1">
        <v>4</v>
      </c>
      <c r="AD11" s="1" t="s">
        <v>38</v>
      </c>
      <c r="AE11" s="1">
        <f>G11*Q11</f>
        <v>31.200000000000003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 x14ac:dyDescent="0.25">
      <c r="A12" s="11" t="s">
        <v>44</v>
      </c>
      <c r="B12" s="11" t="s">
        <v>34</v>
      </c>
      <c r="C12" s="11">
        <v>1</v>
      </c>
      <c r="D12" s="11"/>
      <c r="E12" s="11"/>
      <c r="F12" s="11">
        <v>1</v>
      </c>
      <c r="G12" s="12">
        <v>0</v>
      </c>
      <c r="H12" s="11" t="s">
        <v>40</v>
      </c>
      <c r="I12" s="11" t="s">
        <v>37</v>
      </c>
      <c r="J12" s="11"/>
      <c r="K12" s="11"/>
      <c r="L12" s="11">
        <f t="shared" si="0"/>
        <v>0</v>
      </c>
      <c r="M12" s="11"/>
      <c r="N12" s="11"/>
      <c r="O12" s="11"/>
      <c r="P12" s="11">
        <f t="shared" si="1"/>
        <v>0</v>
      </c>
      <c r="Q12" s="13"/>
      <c r="R12" s="13"/>
      <c r="S12" s="11"/>
      <c r="T12" s="11" t="e">
        <f t="shared" si="2"/>
        <v>#DIV/0!</v>
      </c>
      <c r="U12" s="11" t="e">
        <f t="shared" si="3"/>
        <v>#DIV/0!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/>
      <c r="AE12" s="1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32</v>
      </c>
      <c r="D13" s="1">
        <v>100</v>
      </c>
      <c r="E13" s="1">
        <v>14</v>
      </c>
      <c r="F13" s="1">
        <v>118</v>
      </c>
      <c r="G13" s="9">
        <v>0.5</v>
      </c>
      <c r="H13" s="1">
        <v>730</v>
      </c>
      <c r="I13" s="1">
        <v>1010027797</v>
      </c>
      <c r="J13" s="1"/>
      <c r="K13" s="1"/>
      <c r="L13" s="1">
        <f t="shared" si="0"/>
        <v>14</v>
      </c>
      <c r="M13" s="1"/>
      <c r="N13" s="1"/>
      <c r="O13" s="1"/>
      <c r="P13" s="1">
        <f t="shared" si="1"/>
        <v>2.8</v>
      </c>
      <c r="Q13" s="5"/>
      <c r="R13" s="5"/>
      <c r="S13" s="1"/>
      <c r="T13" s="1">
        <f t="shared" si="2"/>
        <v>42.142857142857146</v>
      </c>
      <c r="U13" s="1">
        <f t="shared" si="3"/>
        <v>42.142857142857146</v>
      </c>
      <c r="V13" s="1">
        <v>1.6</v>
      </c>
      <c r="W13" s="1">
        <v>5</v>
      </c>
      <c r="X13" s="1">
        <v>6.4</v>
      </c>
      <c r="Y13" s="1">
        <v>2</v>
      </c>
      <c r="Z13" s="1">
        <v>3.8</v>
      </c>
      <c r="AA13" s="1">
        <v>3.2</v>
      </c>
      <c r="AB13" s="1">
        <v>1</v>
      </c>
      <c r="AC13" s="1">
        <v>1.6</v>
      </c>
      <c r="AD13" s="15" t="s">
        <v>38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34</v>
      </c>
      <c r="C14" s="1">
        <v>25</v>
      </c>
      <c r="D14" s="1">
        <v>50</v>
      </c>
      <c r="E14" s="1">
        <v>5</v>
      </c>
      <c r="F14" s="1">
        <v>70</v>
      </c>
      <c r="G14" s="9">
        <v>0.4</v>
      </c>
      <c r="H14" s="1">
        <v>730</v>
      </c>
      <c r="I14" s="1">
        <v>1010004229</v>
      </c>
      <c r="J14" s="1"/>
      <c r="K14" s="1"/>
      <c r="L14" s="1">
        <f t="shared" si="0"/>
        <v>5</v>
      </c>
      <c r="M14" s="1"/>
      <c r="N14" s="1"/>
      <c r="O14" s="1"/>
      <c r="P14" s="1">
        <f t="shared" si="1"/>
        <v>1</v>
      </c>
      <c r="Q14" s="5"/>
      <c r="R14" s="5"/>
      <c r="S14" s="1"/>
      <c r="T14" s="1">
        <f t="shared" si="2"/>
        <v>70</v>
      </c>
      <c r="U14" s="1">
        <f t="shared" si="3"/>
        <v>70</v>
      </c>
      <c r="V14" s="1">
        <v>0.2</v>
      </c>
      <c r="W14" s="1">
        <v>1</v>
      </c>
      <c r="X14" s="1">
        <v>0.8</v>
      </c>
      <c r="Y14" s="1">
        <v>1.8</v>
      </c>
      <c r="Z14" s="1">
        <v>0.8</v>
      </c>
      <c r="AA14" s="1">
        <v>0</v>
      </c>
      <c r="AB14" s="1">
        <v>0</v>
      </c>
      <c r="AC14" s="1">
        <v>0.6</v>
      </c>
      <c r="AD14" s="15" t="s">
        <v>38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22</v>
      </c>
      <c r="D15" s="1">
        <v>80</v>
      </c>
      <c r="E15" s="1">
        <v>30</v>
      </c>
      <c r="F15" s="1">
        <v>72</v>
      </c>
      <c r="G15" s="9">
        <v>0.4</v>
      </c>
      <c r="H15" s="1" t="s">
        <v>40</v>
      </c>
      <c r="I15" s="1">
        <v>1010011737</v>
      </c>
      <c r="J15" s="1"/>
      <c r="K15" s="1"/>
      <c r="L15" s="1">
        <f t="shared" si="0"/>
        <v>30</v>
      </c>
      <c r="M15" s="1"/>
      <c r="N15" s="1"/>
      <c r="O15" s="1"/>
      <c r="P15" s="1">
        <f t="shared" si="1"/>
        <v>6</v>
      </c>
      <c r="Q15" s="5"/>
      <c r="R15" s="5"/>
      <c r="S15" s="1"/>
      <c r="T15" s="1">
        <f t="shared" si="2"/>
        <v>12</v>
      </c>
      <c r="U15" s="1">
        <f t="shared" si="3"/>
        <v>12</v>
      </c>
      <c r="V15" s="1">
        <v>1.6</v>
      </c>
      <c r="W15" s="1">
        <v>5.6</v>
      </c>
      <c r="X15" s="1">
        <v>3</v>
      </c>
      <c r="Y15" s="1">
        <v>2</v>
      </c>
      <c r="Z15" s="1">
        <v>3.2</v>
      </c>
      <c r="AA15" s="1">
        <v>1.4</v>
      </c>
      <c r="AB15" s="1">
        <v>1</v>
      </c>
      <c r="AC15" s="1">
        <v>3.4</v>
      </c>
      <c r="AD15" s="1"/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34</v>
      </c>
      <c r="C16" s="1">
        <v>19</v>
      </c>
      <c r="D16" s="1">
        <v>40</v>
      </c>
      <c r="E16" s="1">
        <v>1</v>
      </c>
      <c r="F16" s="1">
        <v>58</v>
      </c>
      <c r="G16" s="9">
        <v>0.4</v>
      </c>
      <c r="H16" s="1">
        <v>730</v>
      </c>
      <c r="I16" s="1">
        <v>1010024886</v>
      </c>
      <c r="J16" s="1"/>
      <c r="K16" s="1"/>
      <c r="L16" s="1">
        <f t="shared" si="0"/>
        <v>1</v>
      </c>
      <c r="M16" s="1"/>
      <c r="N16" s="1"/>
      <c r="O16" s="1"/>
      <c r="P16" s="1">
        <f t="shared" si="1"/>
        <v>0.2</v>
      </c>
      <c r="Q16" s="5"/>
      <c r="R16" s="5"/>
      <c r="S16" s="1"/>
      <c r="T16" s="1">
        <f t="shared" si="2"/>
        <v>290</v>
      </c>
      <c r="U16" s="1">
        <f t="shared" si="3"/>
        <v>290</v>
      </c>
      <c r="V16" s="1">
        <v>0.4</v>
      </c>
      <c r="W16" s="1">
        <v>2.8</v>
      </c>
      <c r="X16" s="1">
        <v>0.8</v>
      </c>
      <c r="Y16" s="1">
        <v>0</v>
      </c>
      <c r="Z16" s="1">
        <v>1.6</v>
      </c>
      <c r="AA16" s="1">
        <v>0.2</v>
      </c>
      <c r="AB16" s="1">
        <v>0.2</v>
      </c>
      <c r="AC16" s="1">
        <v>2.2000000000000002</v>
      </c>
      <c r="AD16" s="15" t="s">
        <v>38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34</v>
      </c>
      <c r="C17" s="1">
        <v>2</v>
      </c>
      <c r="D17" s="1"/>
      <c r="E17" s="1"/>
      <c r="F17" s="1">
        <v>2</v>
      </c>
      <c r="G17" s="9">
        <v>0.3</v>
      </c>
      <c r="H17" s="1" t="s">
        <v>40</v>
      </c>
      <c r="I17" s="1" t="s">
        <v>51</v>
      </c>
      <c r="J17" s="1"/>
      <c r="K17" s="1"/>
      <c r="L17" s="1">
        <f t="shared" si="0"/>
        <v>0</v>
      </c>
      <c r="M17" s="1"/>
      <c r="N17" s="1"/>
      <c r="O17" s="1">
        <v>120</v>
      </c>
      <c r="P17" s="1">
        <f t="shared" si="1"/>
        <v>0</v>
      </c>
      <c r="Q17" s="5"/>
      <c r="R17" s="5"/>
      <c r="S17" s="1"/>
      <c r="T17" s="1" t="e">
        <f t="shared" si="2"/>
        <v>#DIV/0!</v>
      </c>
      <c r="U17" s="1" t="e">
        <f t="shared" si="3"/>
        <v>#DIV/0!</v>
      </c>
      <c r="V17" s="1">
        <v>8.6</v>
      </c>
      <c r="W17" s="1">
        <v>8.1999999999999993</v>
      </c>
      <c r="X17" s="1">
        <v>12.8</v>
      </c>
      <c r="Y17" s="1">
        <v>0</v>
      </c>
      <c r="Z17" s="1">
        <v>7.4</v>
      </c>
      <c r="AA17" s="1">
        <v>2.6</v>
      </c>
      <c r="AB17" s="1">
        <v>0</v>
      </c>
      <c r="AC17" s="1">
        <v>0</v>
      </c>
      <c r="AD17" s="1" t="s">
        <v>52</v>
      </c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34</v>
      </c>
      <c r="C18" s="1">
        <v>158</v>
      </c>
      <c r="D18" s="1">
        <v>200</v>
      </c>
      <c r="E18" s="1">
        <v>137</v>
      </c>
      <c r="F18" s="1">
        <v>221</v>
      </c>
      <c r="G18" s="9">
        <v>0.3</v>
      </c>
      <c r="H18" s="1" t="s">
        <v>40</v>
      </c>
      <c r="I18" s="1">
        <v>1010003817</v>
      </c>
      <c r="J18" s="1"/>
      <c r="K18" s="1"/>
      <c r="L18" s="1">
        <f t="shared" si="0"/>
        <v>137</v>
      </c>
      <c r="M18" s="1"/>
      <c r="N18" s="1"/>
      <c r="O18" s="1"/>
      <c r="P18" s="1">
        <f t="shared" si="1"/>
        <v>27.4</v>
      </c>
      <c r="Q18" s="5">
        <f t="shared" ref="Q13:Q19" si="5">10*P18-O18-F18</f>
        <v>53</v>
      </c>
      <c r="R18" s="5"/>
      <c r="S18" s="1"/>
      <c r="T18" s="1">
        <f t="shared" si="2"/>
        <v>10</v>
      </c>
      <c r="U18" s="1">
        <f t="shared" si="3"/>
        <v>8.0656934306569354</v>
      </c>
      <c r="V18" s="1">
        <v>13.8</v>
      </c>
      <c r="W18" s="1">
        <v>11.6</v>
      </c>
      <c r="X18" s="1">
        <v>30.6</v>
      </c>
      <c r="Y18" s="1">
        <v>22.4</v>
      </c>
      <c r="Z18" s="1">
        <v>13.8</v>
      </c>
      <c r="AA18" s="1">
        <v>28</v>
      </c>
      <c r="AB18" s="1">
        <v>16.399999999999999</v>
      </c>
      <c r="AC18" s="1">
        <v>25.8</v>
      </c>
      <c r="AD18" s="1"/>
      <c r="AE18" s="1">
        <f>G18*Q18</f>
        <v>15.899999999999999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34</v>
      </c>
      <c r="C19" s="1">
        <v>101</v>
      </c>
      <c r="D19" s="1">
        <v>200</v>
      </c>
      <c r="E19" s="1">
        <v>112</v>
      </c>
      <c r="F19" s="1">
        <v>189</v>
      </c>
      <c r="G19" s="9">
        <v>0.3</v>
      </c>
      <c r="H19" s="1" t="s">
        <v>55</v>
      </c>
      <c r="I19" s="1">
        <v>1010003874</v>
      </c>
      <c r="J19" s="1"/>
      <c r="K19" s="1"/>
      <c r="L19" s="1">
        <f t="shared" si="0"/>
        <v>112</v>
      </c>
      <c r="M19" s="1"/>
      <c r="N19" s="1"/>
      <c r="O19" s="1">
        <v>60</v>
      </c>
      <c r="P19" s="1">
        <f t="shared" si="1"/>
        <v>22.4</v>
      </c>
      <c r="Q19" s="5"/>
      <c r="R19" s="5"/>
      <c r="S19" s="1"/>
      <c r="T19" s="1">
        <f t="shared" si="2"/>
        <v>11.116071428571429</v>
      </c>
      <c r="U19" s="1">
        <f t="shared" si="3"/>
        <v>11.116071428571429</v>
      </c>
      <c r="V19" s="1">
        <v>13.4</v>
      </c>
      <c r="W19" s="1">
        <v>8.1999999999999993</v>
      </c>
      <c r="X19" s="1">
        <v>30</v>
      </c>
      <c r="Y19" s="1">
        <v>12</v>
      </c>
      <c r="Z19" s="1">
        <v>15.8</v>
      </c>
      <c r="AA19" s="1">
        <v>26.2</v>
      </c>
      <c r="AB19" s="1">
        <v>14</v>
      </c>
      <c r="AC19" s="1">
        <v>20.8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1" t="s">
        <v>56</v>
      </c>
      <c r="B20" s="11" t="s">
        <v>34</v>
      </c>
      <c r="C20" s="11">
        <v>4</v>
      </c>
      <c r="D20" s="11"/>
      <c r="E20" s="11"/>
      <c r="F20" s="11">
        <v>4</v>
      </c>
      <c r="G20" s="12">
        <v>0</v>
      </c>
      <c r="H20" s="11" t="s">
        <v>35</v>
      </c>
      <c r="I20" s="11" t="s">
        <v>57</v>
      </c>
      <c r="J20" s="11"/>
      <c r="K20" s="11"/>
      <c r="L20" s="11">
        <f t="shared" si="0"/>
        <v>0</v>
      </c>
      <c r="M20" s="11"/>
      <c r="N20" s="11"/>
      <c r="O20" s="11"/>
      <c r="P20" s="11">
        <f t="shared" si="1"/>
        <v>0</v>
      </c>
      <c r="Q20" s="13"/>
      <c r="R20" s="13"/>
      <c r="S20" s="11"/>
      <c r="T20" s="11" t="e">
        <f t="shared" si="2"/>
        <v>#DIV/0!</v>
      </c>
      <c r="U20" s="11" t="e">
        <f t="shared" si="3"/>
        <v>#DIV/0!</v>
      </c>
      <c r="V20" s="11">
        <v>-0.6</v>
      </c>
      <c r="W20" s="11">
        <v>-1</v>
      </c>
      <c r="X20" s="11">
        <v>-3</v>
      </c>
      <c r="Y20" s="11">
        <v>0</v>
      </c>
      <c r="Z20" s="11">
        <v>0</v>
      </c>
      <c r="AA20" s="11">
        <v>-0.4</v>
      </c>
      <c r="AB20" s="11">
        <v>0.2</v>
      </c>
      <c r="AC20" s="11">
        <v>7.2</v>
      </c>
      <c r="AD20" s="11" t="s">
        <v>58</v>
      </c>
      <c r="AE20" s="1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34</v>
      </c>
      <c r="C21" s="1">
        <v>64</v>
      </c>
      <c r="D21" s="1">
        <v>134</v>
      </c>
      <c r="E21" s="1">
        <v>34</v>
      </c>
      <c r="F21" s="1">
        <v>164</v>
      </c>
      <c r="G21" s="9">
        <v>0.4</v>
      </c>
      <c r="H21" s="1">
        <v>730</v>
      </c>
      <c r="I21" s="1">
        <v>1010021023</v>
      </c>
      <c r="J21" s="1"/>
      <c r="K21" s="1"/>
      <c r="L21" s="1">
        <f t="shared" si="0"/>
        <v>34</v>
      </c>
      <c r="M21" s="1"/>
      <c r="N21" s="1"/>
      <c r="O21" s="1"/>
      <c r="P21" s="1">
        <f t="shared" si="1"/>
        <v>6.8</v>
      </c>
      <c r="Q21" s="5"/>
      <c r="R21" s="5"/>
      <c r="S21" s="1"/>
      <c r="T21" s="1">
        <f t="shared" si="2"/>
        <v>24.117647058823529</v>
      </c>
      <c r="U21" s="1">
        <f t="shared" si="3"/>
        <v>24.117647058823529</v>
      </c>
      <c r="V21" s="1">
        <v>5.4</v>
      </c>
      <c r="W21" s="1">
        <v>11.6</v>
      </c>
      <c r="X21" s="1">
        <v>13</v>
      </c>
      <c r="Y21" s="1">
        <v>7.4</v>
      </c>
      <c r="Z21" s="1">
        <v>7</v>
      </c>
      <c r="AA21" s="1">
        <v>9.6</v>
      </c>
      <c r="AB21" s="1">
        <v>2.8</v>
      </c>
      <c r="AC21" s="1">
        <v>10.4</v>
      </c>
      <c r="AD21" s="14" t="s">
        <v>48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34</v>
      </c>
      <c r="C22" s="1">
        <v>59</v>
      </c>
      <c r="D22" s="1">
        <v>192</v>
      </c>
      <c r="E22" s="1">
        <v>32</v>
      </c>
      <c r="F22" s="1">
        <v>219</v>
      </c>
      <c r="G22" s="9">
        <v>0.7</v>
      </c>
      <c r="H22" s="1">
        <v>730</v>
      </c>
      <c r="I22" s="1">
        <v>10010027943</v>
      </c>
      <c r="J22" s="1"/>
      <c r="K22" s="1"/>
      <c r="L22" s="1">
        <f t="shared" si="0"/>
        <v>32</v>
      </c>
      <c r="M22" s="1"/>
      <c r="N22" s="1"/>
      <c r="O22" s="1"/>
      <c r="P22" s="1">
        <f t="shared" si="1"/>
        <v>6.4</v>
      </c>
      <c r="Q22" s="5"/>
      <c r="R22" s="5"/>
      <c r="S22" s="1"/>
      <c r="T22" s="1">
        <f t="shared" si="2"/>
        <v>34.21875</v>
      </c>
      <c r="U22" s="1">
        <f t="shared" si="3"/>
        <v>34.21875</v>
      </c>
      <c r="V22" s="1">
        <v>5.2</v>
      </c>
      <c r="W22" s="1">
        <v>14.4</v>
      </c>
      <c r="X22" s="1">
        <v>12.4</v>
      </c>
      <c r="Y22" s="1">
        <v>8.1999999999999993</v>
      </c>
      <c r="Z22" s="1">
        <v>3.6</v>
      </c>
      <c r="AA22" s="1">
        <v>13.2</v>
      </c>
      <c r="AB22" s="1">
        <v>4.2</v>
      </c>
      <c r="AC22" s="1">
        <v>9</v>
      </c>
      <c r="AD22" s="15" t="s">
        <v>38</v>
      </c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34</v>
      </c>
      <c r="C23" s="1">
        <v>21</v>
      </c>
      <c r="D23" s="1">
        <v>40</v>
      </c>
      <c r="E23" s="1"/>
      <c r="F23" s="1">
        <v>61</v>
      </c>
      <c r="G23" s="9">
        <v>0.4</v>
      </c>
      <c r="H23" s="1">
        <v>730</v>
      </c>
      <c r="I23" s="1">
        <v>1010011268</v>
      </c>
      <c r="J23" s="1"/>
      <c r="K23" s="1"/>
      <c r="L23" s="1">
        <f t="shared" si="0"/>
        <v>0</v>
      </c>
      <c r="M23" s="1"/>
      <c r="N23" s="1"/>
      <c r="O23" s="1"/>
      <c r="P23" s="1">
        <f t="shared" si="1"/>
        <v>0</v>
      </c>
      <c r="Q23" s="5"/>
      <c r="R23" s="5"/>
      <c r="S23" s="1"/>
      <c r="T23" s="1" t="e">
        <f t="shared" si="2"/>
        <v>#DIV/0!</v>
      </c>
      <c r="U23" s="1" t="e">
        <f t="shared" si="3"/>
        <v>#DIV/0!</v>
      </c>
      <c r="V23" s="1">
        <v>0.4</v>
      </c>
      <c r="W23" s="1">
        <v>1</v>
      </c>
      <c r="X23" s="1">
        <v>0.8</v>
      </c>
      <c r="Y23" s="1">
        <v>1</v>
      </c>
      <c r="Z23" s="1">
        <v>0.8</v>
      </c>
      <c r="AA23" s="1">
        <v>1.4</v>
      </c>
      <c r="AB23" s="1">
        <v>0.2</v>
      </c>
      <c r="AC23" s="1">
        <v>3.2</v>
      </c>
      <c r="AD23" s="15" t="s">
        <v>38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34</v>
      </c>
      <c r="C24" s="1">
        <v>30</v>
      </c>
      <c r="D24" s="1"/>
      <c r="E24" s="1"/>
      <c r="F24" s="1">
        <v>30</v>
      </c>
      <c r="G24" s="9">
        <v>0.2</v>
      </c>
      <c r="H24" s="1">
        <v>730</v>
      </c>
      <c r="I24" s="1" t="s">
        <v>51</v>
      </c>
      <c r="J24" s="1"/>
      <c r="K24" s="1"/>
      <c r="L24" s="1">
        <f t="shared" si="0"/>
        <v>0</v>
      </c>
      <c r="M24" s="1"/>
      <c r="N24" s="1"/>
      <c r="O24" s="1"/>
      <c r="P24" s="1">
        <f t="shared" si="1"/>
        <v>0</v>
      </c>
      <c r="Q24" s="5"/>
      <c r="R24" s="5"/>
      <c r="S24" s="1"/>
      <c r="T24" s="1" t="e">
        <f t="shared" si="2"/>
        <v>#DIV/0!</v>
      </c>
      <c r="U24" s="1" t="e">
        <f t="shared" si="3"/>
        <v>#DIV/0!</v>
      </c>
      <c r="V24" s="1">
        <v>1.2</v>
      </c>
      <c r="W24" s="1">
        <v>2.6</v>
      </c>
      <c r="X24" s="1">
        <v>1</v>
      </c>
      <c r="Y24" s="1">
        <v>0</v>
      </c>
      <c r="Z24" s="1">
        <v>0.6</v>
      </c>
      <c r="AA24" s="1">
        <v>0.4</v>
      </c>
      <c r="AB24" s="1">
        <v>1.2</v>
      </c>
      <c r="AC24" s="1">
        <v>2.4</v>
      </c>
      <c r="AD24" s="17" t="s">
        <v>81</v>
      </c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34</v>
      </c>
      <c r="C25" s="1">
        <v>17</v>
      </c>
      <c r="D25" s="1">
        <v>50</v>
      </c>
      <c r="E25" s="1"/>
      <c r="F25" s="1">
        <v>67</v>
      </c>
      <c r="G25" s="9">
        <v>0.32</v>
      </c>
      <c r="H25" s="1">
        <v>730</v>
      </c>
      <c r="I25" s="1">
        <v>1010021343</v>
      </c>
      <c r="J25" s="1"/>
      <c r="K25" s="1"/>
      <c r="L25" s="1">
        <f t="shared" si="0"/>
        <v>0</v>
      </c>
      <c r="M25" s="1"/>
      <c r="N25" s="1"/>
      <c r="O25" s="1"/>
      <c r="P25" s="1">
        <f t="shared" si="1"/>
        <v>0</v>
      </c>
      <c r="Q25" s="5"/>
      <c r="R25" s="5"/>
      <c r="S25" s="1"/>
      <c r="T25" s="1" t="e">
        <f t="shared" si="2"/>
        <v>#DIV/0!</v>
      </c>
      <c r="U25" s="1" t="e">
        <f t="shared" si="3"/>
        <v>#DIV/0!</v>
      </c>
      <c r="V25" s="1">
        <v>6</v>
      </c>
      <c r="W25" s="1">
        <v>2.6</v>
      </c>
      <c r="X25" s="1">
        <v>2</v>
      </c>
      <c r="Y25" s="1">
        <v>0</v>
      </c>
      <c r="Z25" s="1">
        <v>6.4</v>
      </c>
      <c r="AA25" s="1">
        <v>0.4</v>
      </c>
      <c r="AB25" s="1">
        <v>1.2</v>
      </c>
      <c r="AC25" s="1">
        <v>0</v>
      </c>
      <c r="AD25" s="15" t="s">
        <v>38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34</v>
      </c>
      <c r="C26" s="1">
        <v>6</v>
      </c>
      <c r="D26" s="1"/>
      <c r="E26" s="1"/>
      <c r="F26" s="1">
        <v>6</v>
      </c>
      <c r="G26" s="9">
        <v>0.2</v>
      </c>
      <c r="H26" s="1">
        <v>730</v>
      </c>
      <c r="I26" s="1" t="s">
        <v>51</v>
      </c>
      <c r="J26" s="1"/>
      <c r="K26" s="1"/>
      <c r="L26" s="1">
        <f t="shared" si="0"/>
        <v>0</v>
      </c>
      <c r="M26" s="1"/>
      <c r="N26" s="1"/>
      <c r="O26" s="1"/>
      <c r="P26" s="1">
        <f t="shared" si="1"/>
        <v>0</v>
      </c>
      <c r="Q26" s="5"/>
      <c r="R26" s="5"/>
      <c r="S26" s="1"/>
      <c r="T26" s="1" t="e">
        <f t="shared" si="2"/>
        <v>#DIV/0!</v>
      </c>
      <c r="U26" s="1" t="e">
        <f t="shared" si="3"/>
        <v>#DIV/0!</v>
      </c>
      <c r="V26" s="1">
        <v>0</v>
      </c>
      <c r="W26" s="1">
        <v>2.8</v>
      </c>
      <c r="X26" s="1">
        <v>2.2000000000000002</v>
      </c>
      <c r="Y26" s="1">
        <v>0</v>
      </c>
      <c r="Z26" s="1">
        <v>0.6</v>
      </c>
      <c r="AA26" s="1">
        <v>0</v>
      </c>
      <c r="AB26" s="1">
        <v>0</v>
      </c>
      <c r="AC26" s="1">
        <v>1.8</v>
      </c>
      <c r="AD26" s="8" t="s">
        <v>79</v>
      </c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34</v>
      </c>
      <c r="C27" s="1">
        <v>11</v>
      </c>
      <c r="D27" s="1">
        <v>40</v>
      </c>
      <c r="E27" s="1"/>
      <c r="F27" s="1">
        <v>51</v>
      </c>
      <c r="G27" s="9">
        <v>0.32</v>
      </c>
      <c r="H27" s="1">
        <v>730</v>
      </c>
      <c r="I27" s="1">
        <v>1010021314</v>
      </c>
      <c r="J27" s="1"/>
      <c r="K27" s="1"/>
      <c r="L27" s="1">
        <f t="shared" si="0"/>
        <v>0</v>
      </c>
      <c r="M27" s="1"/>
      <c r="N27" s="1"/>
      <c r="O27" s="1"/>
      <c r="P27" s="1">
        <f t="shared" si="1"/>
        <v>0</v>
      </c>
      <c r="Q27" s="5"/>
      <c r="R27" s="5"/>
      <c r="S27" s="1"/>
      <c r="T27" s="1" t="e">
        <f t="shared" si="2"/>
        <v>#DIV/0!</v>
      </c>
      <c r="U27" s="1" t="e">
        <f t="shared" si="3"/>
        <v>#DIV/0!</v>
      </c>
      <c r="V27" s="1">
        <v>0</v>
      </c>
      <c r="W27" s="1">
        <v>3.8</v>
      </c>
      <c r="X27" s="1">
        <v>0</v>
      </c>
      <c r="Y27" s="1">
        <v>0</v>
      </c>
      <c r="Z27" s="1">
        <v>8.1999999999999993</v>
      </c>
      <c r="AA27" s="1">
        <v>0.4</v>
      </c>
      <c r="AB27" s="1">
        <v>0.6</v>
      </c>
      <c r="AC27" s="1">
        <v>0.6</v>
      </c>
      <c r="AD27" s="15" t="s">
        <v>38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34</v>
      </c>
      <c r="C28" s="1"/>
      <c r="D28" s="1">
        <v>69</v>
      </c>
      <c r="E28" s="1">
        <v>9</v>
      </c>
      <c r="F28" s="1">
        <v>60</v>
      </c>
      <c r="G28" s="9">
        <v>1</v>
      </c>
      <c r="H28" s="1" t="s">
        <v>40</v>
      </c>
      <c r="I28" s="1">
        <v>1010020292</v>
      </c>
      <c r="J28" s="1"/>
      <c r="K28" s="1"/>
      <c r="L28" s="1">
        <f t="shared" si="0"/>
        <v>9</v>
      </c>
      <c r="M28" s="1"/>
      <c r="N28" s="1"/>
      <c r="O28" s="1"/>
      <c r="P28" s="1">
        <f t="shared" si="1"/>
        <v>1.8</v>
      </c>
      <c r="Q28" s="5"/>
      <c r="R28" s="5"/>
      <c r="S28" s="1"/>
      <c r="T28" s="1">
        <f t="shared" si="2"/>
        <v>33.333333333333336</v>
      </c>
      <c r="U28" s="1">
        <f t="shared" si="3"/>
        <v>33.333333333333336</v>
      </c>
      <c r="V28" s="1">
        <v>4.5999999999999996</v>
      </c>
      <c r="W28" s="1">
        <v>5.2</v>
      </c>
      <c r="X28" s="1">
        <v>7</v>
      </c>
      <c r="Y28" s="1">
        <v>0</v>
      </c>
      <c r="Z28" s="1">
        <v>8.4</v>
      </c>
      <c r="AA28" s="1">
        <v>1.4</v>
      </c>
      <c r="AB28" s="1">
        <v>4.5999999999999996</v>
      </c>
      <c r="AC28" s="1">
        <v>5.2</v>
      </c>
      <c r="AD28" s="1"/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34</v>
      </c>
      <c r="C29" s="1">
        <v>53</v>
      </c>
      <c r="D29" s="1">
        <v>40</v>
      </c>
      <c r="E29" s="1">
        <v>20</v>
      </c>
      <c r="F29" s="1">
        <v>73</v>
      </c>
      <c r="G29" s="9">
        <v>0.28000000000000003</v>
      </c>
      <c r="H29" s="1" t="s">
        <v>40</v>
      </c>
      <c r="I29" s="1">
        <v>1010025555</v>
      </c>
      <c r="J29" s="1"/>
      <c r="K29" s="1"/>
      <c r="L29" s="1">
        <f t="shared" si="0"/>
        <v>20</v>
      </c>
      <c r="M29" s="1"/>
      <c r="N29" s="1"/>
      <c r="O29" s="1"/>
      <c r="P29" s="1">
        <f t="shared" si="1"/>
        <v>4</v>
      </c>
      <c r="Q29" s="5"/>
      <c r="R29" s="5"/>
      <c r="S29" s="1"/>
      <c r="T29" s="1">
        <f t="shared" si="2"/>
        <v>18.25</v>
      </c>
      <c r="U29" s="1">
        <f t="shared" si="3"/>
        <v>18.25</v>
      </c>
      <c r="V29" s="1">
        <v>1.2</v>
      </c>
      <c r="W29" s="1">
        <v>2.8</v>
      </c>
      <c r="X29" s="1">
        <v>3.4</v>
      </c>
      <c r="Y29" s="1">
        <v>4.2</v>
      </c>
      <c r="Z29" s="1">
        <v>1.8</v>
      </c>
      <c r="AA29" s="1">
        <v>4.2</v>
      </c>
      <c r="AB29" s="1">
        <v>1.2</v>
      </c>
      <c r="AC29" s="1">
        <v>4</v>
      </c>
      <c r="AD29" s="1"/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34</v>
      </c>
      <c r="C30" s="1">
        <v>50</v>
      </c>
      <c r="D30" s="1">
        <v>60</v>
      </c>
      <c r="E30" s="1">
        <v>16</v>
      </c>
      <c r="F30" s="1">
        <v>94</v>
      </c>
      <c r="G30" s="9">
        <v>0.28000000000000003</v>
      </c>
      <c r="H30" s="1">
        <v>365</v>
      </c>
      <c r="I30" s="1">
        <v>1010026655</v>
      </c>
      <c r="J30" s="1"/>
      <c r="K30" s="1"/>
      <c r="L30" s="1">
        <f t="shared" si="0"/>
        <v>16</v>
      </c>
      <c r="M30" s="1"/>
      <c r="N30" s="1"/>
      <c r="O30" s="1"/>
      <c r="P30" s="1">
        <f t="shared" si="1"/>
        <v>3.2</v>
      </c>
      <c r="Q30" s="5"/>
      <c r="R30" s="5"/>
      <c r="S30" s="1"/>
      <c r="T30" s="1">
        <f t="shared" si="2"/>
        <v>29.375</v>
      </c>
      <c r="U30" s="1">
        <f t="shared" si="3"/>
        <v>29.375</v>
      </c>
      <c r="V30" s="1">
        <v>2</v>
      </c>
      <c r="W30" s="1">
        <v>4</v>
      </c>
      <c r="X30" s="1">
        <v>2.6</v>
      </c>
      <c r="Y30" s="1">
        <v>2.6</v>
      </c>
      <c r="Z30" s="1">
        <v>1.8</v>
      </c>
      <c r="AA30" s="1">
        <v>4</v>
      </c>
      <c r="AB30" s="1">
        <v>3.4</v>
      </c>
      <c r="AC30" s="1">
        <v>4.8</v>
      </c>
      <c r="AD30" s="15" t="s">
        <v>38</v>
      </c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34</v>
      </c>
      <c r="C31" s="1">
        <v>19</v>
      </c>
      <c r="D31" s="1">
        <v>60</v>
      </c>
      <c r="E31" s="1"/>
      <c r="F31" s="1">
        <v>79</v>
      </c>
      <c r="G31" s="9">
        <v>0.28000000000000003</v>
      </c>
      <c r="H31" s="1">
        <v>365</v>
      </c>
      <c r="I31" s="1">
        <v>1010028228</v>
      </c>
      <c r="J31" s="1"/>
      <c r="K31" s="1"/>
      <c r="L31" s="1">
        <f t="shared" si="0"/>
        <v>0</v>
      </c>
      <c r="M31" s="1"/>
      <c r="N31" s="1"/>
      <c r="O31" s="1"/>
      <c r="P31" s="1">
        <f t="shared" si="1"/>
        <v>0</v>
      </c>
      <c r="Q31" s="5"/>
      <c r="R31" s="5"/>
      <c r="S31" s="1"/>
      <c r="T31" s="1" t="e">
        <f t="shared" si="2"/>
        <v>#DIV/0!</v>
      </c>
      <c r="U31" s="1" t="e">
        <f t="shared" si="3"/>
        <v>#DIV/0!</v>
      </c>
      <c r="V31" s="1">
        <v>2.4</v>
      </c>
      <c r="W31" s="1">
        <v>4</v>
      </c>
      <c r="X31" s="1">
        <v>3.4</v>
      </c>
      <c r="Y31" s="1">
        <v>2.6</v>
      </c>
      <c r="Z31" s="1">
        <v>1.8</v>
      </c>
      <c r="AA31" s="1">
        <v>2.4</v>
      </c>
      <c r="AB31" s="1">
        <v>0.8</v>
      </c>
      <c r="AC31" s="1">
        <v>4.4000000000000004</v>
      </c>
      <c r="AD31" s="17" t="s">
        <v>82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6" t="s">
        <v>70</v>
      </c>
      <c r="B32" s="1" t="s">
        <v>34</v>
      </c>
      <c r="C32" s="1"/>
      <c r="D32" s="1"/>
      <c r="E32" s="1"/>
      <c r="F32" s="1"/>
      <c r="G32" s="9">
        <v>0.4</v>
      </c>
      <c r="H32" s="1">
        <v>730</v>
      </c>
      <c r="I32" s="1">
        <v>1010028186</v>
      </c>
      <c r="J32" s="1"/>
      <c r="K32" s="1"/>
      <c r="L32" s="1">
        <f t="shared" si="0"/>
        <v>0</v>
      </c>
      <c r="M32" s="1"/>
      <c r="N32" s="1"/>
      <c r="O32" s="1">
        <v>40</v>
      </c>
      <c r="P32" s="1">
        <f t="shared" si="1"/>
        <v>0</v>
      </c>
      <c r="Q32" s="5"/>
      <c r="R32" s="5"/>
      <c r="S32" s="1"/>
      <c r="T32" s="1" t="e">
        <f t="shared" si="2"/>
        <v>#DIV/0!</v>
      </c>
      <c r="U32" s="1" t="e">
        <f t="shared" si="3"/>
        <v>#DIV/0!</v>
      </c>
      <c r="V32" s="1">
        <v>0</v>
      </c>
      <c r="W32" s="1">
        <v>0</v>
      </c>
      <c r="X32" s="1">
        <v>2.6</v>
      </c>
      <c r="Y32" s="1">
        <v>1.4</v>
      </c>
      <c r="Z32" s="1">
        <v>2</v>
      </c>
      <c r="AA32" s="1">
        <v>0.4</v>
      </c>
      <c r="AB32" s="1">
        <v>0</v>
      </c>
      <c r="AC32" s="1">
        <v>3</v>
      </c>
      <c r="AD32" s="8" t="s">
        <v>80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34</v>
      </c>
      <c r="C33" s="1">
        <v>193</v>
      </c>
      <c r="D33" s="1"/>
      <c r="E33" s="1">
        <v>82</v>
      </c>
      <c r="F33" s="1">
        <v>111</v>
      </c>
      <c r="G33" s="9">
        <v>0.75</v>
      </c>
      <c r="H33" s="1" t="s">
        <v>35</v>
      </c>
      <c r="I33" s="1" t="s">
        <v>72</v>
      </c>
      <c r="J33" s="1"/>
      <c r="K33" s="1"/>
      <c r="L33" s="1">
        <f t="shared" si="0"/>
        <v>82</v>
      </c>
      <c r="M33" s="1"/>
      <c r="N33" s="1"/>
      <c r="O33" s="1">
        <v>1000</v>
      </c>
      <c r="P33" s="1">
        <f t="shared" si="1"/>
        <v>16.399999999999999</v>
      </c>
      <c r="Q33" s="5"/>
      <c r="R33" s="5"/>
      <c r="S33" s="1"/>
      <c r="T33" s="1">
        <f t="shared" si="2"/>
        <v>67.743902439024396</v>
      </c>
      <c r="U33" s="1">
        <f t="shared" si="3"/>
        <v>67.743902439024396</v>
      </c>
      <c r="V33" s="1">
        <v>36.4</v>
      </c>
      <c r="W33" s="1">
        <v>27.6</v>
      </c>
      <c r="X33" s="1">
        <v>53.6</v>
      </c>
      <c r="Y33" s="1">
        <v>8</v>
      </c>
      <c r="Z33" s="1">
        <v>100</v>
      </c>
      <c r="AA33" s="1">
        <v>0</v>
      </c>
      <c r="AB33" s="1">
        <v>0</v>
      </c>
      <c r="AC33" s="1">
        <v>0</v>
      </c>
      <c r="AD33" s="8" t="s">
        <v>78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1" t="s">
        <v>73</v>
      </c>
      <c r="B34" s="11" t="s">
        <v>34</v>
      </c>
      <c r="C34" s="11">
        <v>100</v>
      </c>
      <c r="D34" s="11"/>
      <c r="E34" s="11">
        <v>8</v>
      </c>
      <c r="F34" s="11">
        <v>92</v>
      </c>
      <c r="G34" s="12">
        <v>0</v>
      </c>
      <c r="H34" s="11">
        <v>730</v>
      </c>
      <c r="I34" s="11" t="s">
        <v>37</v>
      </c>
      <c r="J34" s="11"/>
      <c r="K34" s="11"/>
      <c r="L34" s="11">
        <f t="shared" si="0"/>
        <v>8</v>
      </c>
      <c r="M34" s="11"/>
      <c r="N34" s="11"/>
      <c r="O34" s="11"/>
      <c r="P34" s="11">
        <f t="shared" si="1"/>
        <v>1.6</v>
      </c>
      <c r="Q34" s="13"/>
      <c r="R34" s="13"/>
      <c r="S34" s="11"/>
      <c r="T34" s="11">
        <f t="shared" si="2"/>
        <v>57.5</v>
      </c>
      <c r="U34" s="11">
        <f t="shared" si="3"/>
        <v>57.5</v>
      </c>
      <c r="V34" s="11">
        <v>0.2</v>
      </c>
      <c r="W34" s="11">
        <v>-1.4</v>
      </c>
      <c r="X34" s="11">
        <v>-0.8</v>
      </c>
      <c r="Y34" s="11">
        <v>0</v>
      </c>
      <c r="Z34" s="11">
        <v>0</v>
      </c>
      <c r="AA34" s="11">
        <v>-0.2</v>
      </c>
      <c r="AB34" s="11">
        <v>0</v>
      </c>
      <c r="AC34" s="11">
        <v>1</v>
      </c>
      <c r="AD34" s="15" t="s">
        <v>38</v>
      </c>
      <c r="AE34" s="1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34</v>
      </c>
      <c r="C35" s="1">
        <v>6</v>
      </c>
      <c r="D35" s="1">
        <v>50</v>
      </c>
      <c r="E35" s="1"/>
      <c r="F35" s="1">
        <v>56</v>
      </c>
      <c r="G35" s="9">
        <v>0.3</v>
      </c>
      <c r="H35" s="1" t="s">
        <v>40</v>
      </c>
      <c r="I35" s="1">
        <v>1010017917</v>
      </c>
      <c r="J35" s="1"/>
      <c r="K35" s="1"/>
      <c r="L35" s="1">
        <f t="shared" si="0"/>
        <v>0</v>
      </c>
      <c r="M35" s="1"/>
      <c r="N35" s="1"/>
      <c r="O35" s="1"/>
      <c r="P35" s="1">
        <f t="shared" si="1"/>
        <v>0</v>
      </c>
      <c r="Q35" s="5"/>
      <c r="R35" s="5"/>
      <c r="S35" s="1"/>
      <c r="T35" s="1" t="e">
        <f t="shared" si="2"/>
        <v>#DIV/0!</v>
      </c>
      <c r="U35" s="1" t="e">
        <f t="shared" si="3"/>
        <v>#DIV/0!</v>
      </c>
      <c r="V35" s="1">
        <v>0.8</v>
      </c>
      <c r="W35" s="1">
        <v>4.2</v>
      </c>
      <c r="X35" s="1">
        <v>2</v>
      </c>
      <c r="Y35" s="1">
        <v>1.6</v>
      </c>
      <c r="Z35" s="1">
        <v>0.6</v>
      </c>
      <c r="AA35" s="1">
        <v>2.8</v>
      </c>
      <c r="AB35" s="1">
        <v>0.4</v>
      </c>
      <c r="AC35" s="1">
        <v>5</v>
      </c>
      <c r="AD35" s="1"/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34</v>
      </c>
      <c r="C36" s="1"/>
      <c r="D36" s="1">
        <v>40</v>
      </c>
      <c r="E36" s="1"/>
      <c r="F36" s="1">
        <v>40</v>
      </c>
      <c r="G36" s="9">
        <v>0.4</v>
      </c>
      <c r="H36" s="1">
        <v>730</v>
      </c>
      <c r="I36" s="1">
        <v>1010004259</v>
      </c>
      <c r="J36" s="1"/>
      <c r="K36" s="1"/>
      <c r="L36" s="1">
        <f t="shared" si="0"/>
        <v>0</v>
      </c>
      <c r="M36" s="1"/>
      <c r="N36" s="1"/>
      <c r="O36" s="1"/>
      <c r="P36" s="1">
        <f t="shared" si="1"/>
        <v>0</v>
      </c>
      <c r="Q36" s="5"/>
      <c r="R36" s="5"/>
      <c r="S36" s="1"/>
      <c r="T36" s="1" t="e">
        <f t="shared" si="2"/>
        <v>#DIV/0!</v>
      </c>
      <c r="U36" s="1" t="e">
        <f t="shared" si="3"/>
        <v>#DIV/0!</v>
      </c>
      <c r="V36" s="1">
        <v>2.8</v>
      </c>
      <c r="W36" s="1">
        <v>2.4</v>
      </c>
      <c r="X36" s="1">
        <v>0.6</v>
      </c>
      <c r="Y36" s="1">
        <v>1.8</v>
      </c>
      <c r="Z36" s="1">
        <v>1.4</v>
      </c>
      <c r="AA36" s="1">
        <v>1.2</v>
      </c>
      <c r="AB36" s="1">
        <v>0.6</v>
      </c>
      <c r="AC36" s="1">
        <v>4.2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34</v>
      </c>
      <c r="C37" s="1">
        <v>8</v>
      </c>
      <c r="D37" s="1">
        <v>50</v>
      </c>
      <c r="E37" s="1"/>
      <c r="F37" s="1">
        <v>58</v>
      </c>
      <c r="G37" s="9">
        <v>0.3</v>
      </c>
      <c r="H37" s="1" t="s">
        <v>35</v>
      </c>
      <c r="I37" s="1">
        <v>1010013267</v>
      </c>
      <c r="J37" s="1"/>
      <c r="K37" s="1"/>
      <c r="L37" s="1">
        <f t="shared" si="0"/>
        <v>0</v>
      </c>
      <c r="M37" s="1"/>
      <c r="N37" s="1"/>
      <c r="O37" s="1"/>
      <c r="P37" s="1">
        <f t="shared" si="1"/>
        <v>0</v>
      </c>
      <c r="Q37" s="5"/>
      <c r="R37" s="5"/>
      <c r="S37" s="1"/>
      <c r="T37" s="1" t="e">
        <f t="shared" si="2"/>
        <v>#DIV/0!</v>
      </c>
      <c r="U37" s="1" t="e">
        <f t="shared" si="3"/>
        <v>#DIV/0!</v>
      </c>
      <c r="V37" s="1">
        <v>1.4</v>
      </c>
      <c r="W37" s="1">
        <v>3</v>
      </c>
      <c r="X37" s="1">
        <v>2</v>
      </c>
      <c r="Y37" s="1">
        <v>0.8</v>
      </c>
      <c r="Z37" s="1">
        <v>0</v>
      </c>
      <c r="AA37" s="1">
        <v>0.8</v>
      </c>
      <c r="AB37" s="1">
        <v>1.4</v>
      </c>
      <c r="AC37" s="1">
        <v>5</v>
      </c>
      <c r="AD37" s="1"/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34</v>
      </c>
      <c r="C38" s="1">
        <v>2</v>
      </c>
      <c r="D38" s="1">
        <v>50</v>
      </c>
      <c r="E38" s="1"/>
      <c r="F38" s="1">
        <v>52</v>
      </c>
      <c r="G38" s="9">
        <v>0.3</v>
      </c>
      <c r="H38" s="1" t="s">
        <v>55</v>
      </c>
      <c r="I38" s="1">
        <v>1010027159</v>
      </c>
      <c r="J38" s="1"/>
      <c r="K38" s="1"/>
      <c r="L38" s="1">
        <f t="shared" si="0"/>
        <v>0</v>
      </c>
      <c r="M38" s="1"/>
      <c r="N38" s="1"/>
      <c r="O38" s="1"/>
      <c r="P38" s="1">
        <f t="shared" si="1"/>
        <v>0</v>
      </c>
      <c r="Q38" s="5"/>
      <c r="R38" s="5"/>
      <c r="S38" s="1"/>
      <c r="T38" s="1" t="e">
        <f t="shared" si="2"/>
        <v>#DIV/0!</v>
      </c>
      <c r="U38" s="1" t="e">
        <f t="shared" si="3"/>
        <v>#DIV/0!</v>
      </c>
      <c r="V38" s="1">
        <v>1.6</v>
      </c>
      <c r="W38" s="1">
        <v>2</v>
      </c>
      <c r="X38" s="1">
        <v>3.6</v>
      </c>
      <c r="Y38" s="1">
        <v>1</v>
      </c>
      <c r="Z38" s="1">
        <v>0</v>
      </c>
      <c r="AA38" s="1">
        <v>2.4</v>
      </c>
      <c r="AB38" s="1">
        <v>1</v>
      </c>
      <c r="AC38" s="1">
        <v>4.8</v>
      </c>
      <c r="AD38" s="1"/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E38" xr:uid="{9067061C-CE6D-4E11-824B-506F01A357C6}">
    <filterColumn colId="6">
      <filters blank="1">
        <filter val="0,20"/>
        <filter val="0,28"/>
        <filter val="0,30"/>
        <filter val="0,32"/>
        <filter val="0,40"/>
        <filter val="0,50"/>
        <filter val="0,70"/>
        <filter val="0,75"/>
        <filter val="1,00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2025-12-08T12:47:45Z</dcterms:created>
  <dcterms:modified xsi:type="dcterms:W3CDTF">2025-12-08T12:55:27Z</dcterms:modified>
</cp:coreProperties>
</file>