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Мираторг ЗПФ Ташкент\"/>
    </mc:Choice>
  </mc:AlternateContent>
  <xr:revisionPtr revIDLastSave="0" documentId="13_ncr:1_{30FCCA05-0EB2-44A8-90FC-FFBC09F2E7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30" i="1" l="1"/>
  <c r="AF26" i="1"/>
  <c r="AF24" i="1"/>
  <c r="AF22" i="1"/>
  <c r="AF10" i="1"/>
  <c r="AF8" i="1"/>
  <c r="AF6" i="1"/>
  <c r="Q7" i="1"/>
  <c r="U7" i="1" s="1"/>
  <c r="Q8" i="1"/>
  <c r="Q9" i="1"/>
  <c r="U9" i="1" s="1"/>
  <c r="Q10" i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Q18" i="1"/>
  <c r="Q19" i="1"/>
  <c r="Q20" i="1"/>
  <c r="U20" i="1" s="1"/>
  <c r="Q21" i="1"/>
  <c r="Q22" i="1"/>
  <c r="Q23" i="1"/>
  <c r="Q24" i="1"/>
  <c r="Q25" i="1"/>
  <c r="Q26" i="1"/>
  <c r="Q27" i="1"/>
  <c r="Q28" i="1"/>
  <c r="AF28" i="1" s="1"/>
  <c r="Q29" i="1"/>
  <c r="Q30" i="1"/>
  <c r="Q31" i="1"/>
  <c r="Q32" i="1"/>
  <c r="AF32" i="1" s="1"/>
  <c r="Q33" i="1"/>
  <c r="Q34" i="1"/>
  <c r="U34" i="1" s="1"/>
  <c r="Q35" i="1"/>
  <c r="U35" i="1" s="1"/>
  <c r="Q36" i="1"/>
  <c r="AF36" i="1" s="1"/>
  <c r="Q37" i="1"/>
  <c r="Q38" i="1"/>
  <c r="AF38" i="1" s="1"/>
  <c r="Q39" i="1"/>
  <c r="Q6" i="1"/>
  <c r="U6" i="1" s="1"/>
  <c r="O5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AF16" i="1"/>
  <c r="L16" i="1"/>
  <c r="AF15" i="1"/>
  <c r="L15" i="1"/>
  <c r="AF14" i="1"/>
  <c r="L14" i="1"/>
  <c r="AF13" i="1"/>
  <c r="L13" i="1"/>
  <c r="L12" i="1"/>
  <c r="AF11" i="1"/>
  <c r="L11" i="1"/>
  <c r="L10" i="1"/>
  <c r="AF9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N5" i="1"/>
  <c r="M5" i="1"/>
  <c r="K5" i="1"/>
  <c r="F5" i="1"/>
  <c r="E5" i="1"/>
  <c r="U29" i="1" l="1"/>
  <c r="U21" i="1"/>
  <c r="U17" i="1"/>
  <c r="AF19" i="1"/>
  <c r="AF18" i="1"/>
  <c r="AF21" i="1"/>
  <c r="AF23" i="1"/>
  <c r="AF25" i="1"/>
  <c r="AF27" i="1"/>
  <c r="AF29" i="1"/>
  <c r="AF31" i="1"/>
  <c r="AF33" i="1"/>
  <c r="AF37" i="1"/>
  <c r="AF39" i="1"/>
  <c r="U38" i="1"/>
  <c r="U36" i="1"/>
  <c r="U32" i="1"/>
  <c r="U30" i="1"/>
  <c r="U28" i="1"/>
  <c r="U26" i="1"/>
  <c r="U24" i="1"/>
  <c r="U22" i="1"/>
  <c r="U10" i="1"/>
  <c r="U8" i="1"/>
  <c r="V38" i="1"/>
  <c r="V34" i="1"/>
  <c r="V31" i="1"/>
  <c r="V27" i="1"/>
  <c r="V23" i="1"/>
  <c r="V19" i="1"/>
  <c r="V17" i="1"/>
  <c r="V13" i="1"/>
  <c r="V9" i="1"/>
  <c r="V36" i="1"/>
  <c r="V32" i="1"/>
  <c r="V29" i="1"/>
  <c r="V25" i="1"/>
  <c r="V21" i="1"/>
  <c r="V15" i="1"/>
  <c r="V11" i="1"/>
  <c r="V7" i="1"/>
  <c r="V39" i="1"/>
  <c r="V37" i="1"/>
  <c r="V35" i="1"/>
  <c r="V33" i="1"/>
  <c r="V30" i="1"/>
  <c r="V28" i="1"/>
  <c r="V26" i="1"/>
  <c r="V24" i="1"/>
  <c r="V22" i="1"/>
  <c r="V20" i="1"/>
  <c r="V18" i="1"/>
  <c r="V16" i="1"/>
  <c r="V14" i="1"/>
  <c r="V12" i="1"/>
  <c r="V10" i="1"/>
  <c r="V8" i="1"/>
  <c r="L5" i="1"/>
  <c r="Q5" i="1"/>
  <c r="V6" i="1"/>
  <c r="U39" i="1" l="1"/>
  <c r="U25" i="1"/>
  <c r="U33" i="1"/>
  <c r="U18" i="1"/>
  <c r="AF17" i="1"/>
  <c r="AF5" i="1" s="1"/>
  <c r="R5" i="1"/>
  <c r="R2" i="1" s="1"/>
  <c r="U19" i="1"/>
  <c r="U23" i="1"/>
  <c r="U27" i="1"/>
  <c r="U31" i="1"/>
  <c r="U37" i="1"/>
</calcChain>
</file>

<file path=xl/sharedStrings.xml><?xml version="1.0" encoding="utf-8"?>
<sst xmlns="http://schemas.openxmlformats.org/spreadsheetml/2006/main" count="160" uniqueCount="90">
  <si>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</si>
  <si>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</si>
  <si>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</si>
  <si>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</si>
  <si>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</si>
  <si>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</si>
  <si>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</si>
  <si>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</si>
  <si>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</si>
  <si>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</si>
  <si>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</si>
  <si>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</si>
  <si>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</si>
  <si>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</si>
  <si>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</si>
  <si>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</si>
  <si>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</si>
  <si>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</si>
  <si>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</si>
  <si>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</si>
  <si>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</si>
  <si>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</si>
  <si>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</si>
  <si>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(не было)17,11,</t>
  </si>
  <si>
    <t>24,11,</t>
  </si>
  <si>
    <t>01,12,</t>
  </si>
  <si>
    <t>17,11,</t>
  </si>
  <si>
    <t>10,11,</t>
  </si>
  <si>
    <t>03,11,</t>
  </si>
  <si>
    <t>27,10,</t>
  </si>
  <si>
    <t>20,10,</t>
  </si>
  <si>
    <t>13,10,</t>
  </si>
  <si>
    <t>06,10,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</si>
  <si>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</si>
  <si>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</si>
  <si>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</si>
  <si>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</si>
  <si>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</si>
  <si>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</si>
  <si>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</si>
  <si>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</si>
  <si>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</si>
  <si>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</si>
  <si>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нужно увеличить продажи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</si>
  <si>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</si>
  <si>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</si>
  <si>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</si>
  <si>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</si>
  <si>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</si>
  <si>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</si>
  <si>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</si>
  <si>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</si>
  <si>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</si>
  <si>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</si>
  <si>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</si>
  <si>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</si>
  <si>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</si>
  <si>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</si>
  <si>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</si>
  <si>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</si>
  <si>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</si>
  <si>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</si>
  <si>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</si>
  <si>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</si>
  <si>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</si>
  <si>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</si>
  <si>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</si>
  <si>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</si>
  <si>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</si>
  <si>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</si>
  <si>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</si>
  <si>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</si>
  <si>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24,11,25 дозаказали 40 шт. (Шувалова)</t>
  </si>
  <si>
    <t>Фарш куриный "Домашний",зам,в/у0,75кг*8(6кг)  МИРАТОРГ</t>
  </si>
  <si>
    <t>снова заказываем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</si>
  <si>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</si>
  <si>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</si>
  <si>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</si>
  <si>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</si>
  <si>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</si>
  <si>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</si>
  <si>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(не было)24,11,</t>
  </si>
  <si>
    <t>поставок не было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</si>
  <si>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 для заказа</t>
    </r>
  </si>
  <si>
    <t>17,08,25 списано 12шт.</t>
  </si>
  <si>
    <t>20,10,25 завод не отгрузил / 06,03,25 списано 4562шт. / нет в бланке для заказа</t>
  </si>
  <si>
    <t>сам</t>
  </si>
  <si>
    <t>МВ</t>
  </si>
  <si>
    <t>заказ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</si>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</sst>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theme="1" tint="0.249977111117893"/>
      <name val="Arial"/>
      <family val="2"/>
      <charset val="204"/>
    </font>
    <font>
      <b/>
      <sz val="11"/>
      <color theme="1" tint="0.249977111117893"/>
      <name val="Calibri"/>
      <family val="2"/>
      <charset val="204"/>
    </font>
    <font>
      <sz val="11"/>
      <color theme="1" tint="0.249977111117893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0" borderId="1" xfId="1" applyNumberFormat="1" applyFont="1"/>
    <xf numFmtId="164" fontId="6" fillId="2" borderId="1" xfId="1" applyNumberFormat="1" applyFont="1" applyFill="1"/>
    <xf numFmtId="164" fontId="5" fillId="3" borderId="1" xfId="1" applyNumberFormat="1" applyFont="1" applyFill="1"/>
    <xf numFmtId="0" fontId="7" fillId="0" borderId="0" xfId="0" applyFont="1"/>
    <xf numFmtId="164" fontId="1" fillId="5" borderId="1" xfId="1" applyNumberFormat="1" applyFill="1"/>
    <xf numFmtId="2" fontId="1" fillId="5" borderId="1" xfId="1" applyNumberFormat="1" applyFill="1"/>
    <xf numFmtId="164" fontId="5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9" fillId="6" borderId="1" xfId="1" applyNumberFormat="1" applyFont="1" applyFill="1"/>
    <xf numFmtId="164" fontId="1" fillId="0" borderId="1" xfId="1" applyNumberFormat="1" applyFill="1"/>
    <xf numFmtId="164" fontId="4" fillId="6" borderId="1" xfId="1" applyNumberFormat="1" applyFont="1" applyFill="1"/>
    <xf numFmtId="164" fontId="8" fillId="0" borderId="1" xfId="1" applyNumberFormat="1" applyFont="1" applyAlignment="1">
      <alignment horizontal="center" vertical="center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8" sqref="AI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4" width="0.28515625" customWidth="1"/>
    <col min="15" max="16" width="14.28515625" style="14" customWidth="1"/>
    <col min="17" max="19" width="7" customWidth="1"/>
    <col min="20" max="20" width="12.140625" customWidth="1"/>
    <col min="21" max="22" width="5" customWidth="1"/>
    <col min="23" max="30" width="6" customWidth="1"/>
    <col min="31" max="31" width="33.28515625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23" t="s">
        <v>82</v>
      </c>
      <c r="P1" s="23"/>
      <c r="Q1" s="1"/>
      <c r="R1" s="1">
        <v>1120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23"/>
      <c r="P2" s="23"/>
      <c r="Q2" s="1"/>
      <c r="R2" s="1">
        <f>R5-R1</f>
        <v>100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12" t="s">
        <v>14</v>
      </c>
      <c r="P3" s="12" t="s">
        <v>14</v>
      </c>
      <c r="Q3" s="2" t="s">
        <v>15</v>
      </c>
      <c r="R3" s="3" t="s">
        <v>88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1" t="s">
        <v>23</v>
      </c>
      <c r="P4" s="11" t="s">
        <v>81</v>
      </c>
      <c r="Q4" s="1" t="s">
        <v>25</v>
      </c>
      <c r="R4" s="1" t="s">
        <v>89</v>
      </c>
      <c r="S4" s="1"/>
      <c r="T4" s="1"/>
      <c r="U4" s="1"/>
      <c r="V4" s="1"/>
      <c r="W4" s="1" t="s">
        <v>24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588</v>
      </c>
      <c r="F5" s="4">
        <f>SUM(F6:F496)</f>
        <v>1180</v>
      </c>
      <c r="G5" s="8"/>
      <c r="H5" s="1"/>
      <c r="I5" s="1"/>
      <c r="J5" s="1"/>
      <c r="K5" s="4">
        <f t="shared" ref="K5:S5" si="0">SUM(K6:K496)</f>
        <v>0</v>
      </c>
      <c r="L5" s="4">
        <f t="shared" si="0"/>
        <v>588</v>
      </c>
      <c r="M5" s="4">
        <f t="shared" si="0"/>
        <v>0</v>
      </c>
      <c r="N5" s="4">
        <f t="shared" si="0"/>
        <v>0</v>
      </c>
      <c r="O5" s="13">
        <f t="shared" si="0"/>
        <v>1080</v>
      </c>
      <c r="P5" s="13">
        <f t="shared" si="0"/>
        <v>3200</v>
      </c>
      <c r="Q5" s="4">
        <f t="shared" si="0"/>
        <v>117.60000000000001</v>
      </c>
      <c r="R5" s="4">
        <f t="shared" si="0"/>
        <v>1220</v>
      </c>
      <c r="S5" s="4">
        <f t="shared" si="0"/>
        <v>229</v>
      </c>
      <c r="T5" s="1"/>
      <c r="U5" s="1"/>
      <c r="V5" s="1"/>
      <c r="W5" s="4">
        <f t="shared" ref="W5:AD5" si="1">SUM(W6:W496)</f>
        <v>155.19999999999996</v>
      </c>
      <c r="X5" s="4">
        <f t="shared" si="1"/>
        <v>202.6</v>
      </c>
      <c r="Y5" s="4">
        <f t="shared" si="1"/>
        <v>112.79999999999998</v>
      </c>
      <c r="Z5" s="4">
        <f t="shared" si="1"/>
        <v>199.59999999999997</v>
      </c>
      <c r="AA5" s="4">
        <f t="shared" si="1"/>
        <v>111.60000000000004</v>
      </c>
      <c r="AB5" s="4">
        <f t="shared" si="1"/>
        <v>65.400000000000006</v>
      </c>
      <c r="AC5" s="4">
        <f t="shared" si="1"/>
        <v>151.80000000000001</v>
      </c>
      <c r="AD5" s="4">
        <f t="shared" si="1"/>
        <v>128.60000000000005</v>
      </c>
      <c r="AE5" s="1"/>
      <c r="AF5" s="4">
        <f>SUM(AF6:AF496)</f>
        <v>820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4</v>
      </c>
      <c r="D6" s="1"/>
      <c r="E6" s="1"/>
      <c r="F6" s="1">
        <v>4</v>
      </c>
      <c r="G6" s="8">
        <v>0.4</v>
      </c>
      <c r="H6" s="1" t="s">
        <v>35</v>
      </c>
      <c r="I6" s="1">
        <v>1010011725</v>
      </c>
      <c r="J6" s="1"/>
      <c r="K6" s="1"/>
      <c r="L6" s="1">
        <f t="shared" ref="L6:L39" si="2">E6-K6</f>
        <v>0</v>
      </c>
      <c r="M6" s="1"/>
      <c r="N6" s="1"/>
      <c r="O6" s="11">
        <v>30</v>
      </c>
      <c r="P6" s="11">
        <v>50</v>
      </c>
      <c r="Q6" s="1">
        <f>E6/5</f>
        <v>0</v>
      </c>
      <c r="R6" s="5"/>
      <c r="S6" s="5"/>
      <c r="T6" s="1"/>
      <c r="U6" s="1" t="e">
        <f>(F6+R6)/Q6</f>
        <v>#DIV/0!</v>
      </c>
      <c r="V6" s="1" t="e">
        <f>F6/Q6</f>
        <v>#DIV/0!</v>
      </c>
      <c r="W6" s="1">
        <v>2</v>
      </c>
      <c r="X6" s="1">
        <v>0.8</v>
      </c>
      <c r="Y6" s="1">
        <v>1</v>
      </c>
      <c r="Z6" s="1">
        <v>0.8</v>
      </c>
      <c r="AA6" s="1">
        <v>0.2</v>
      </c>
      <c r="AB6" s="1">
        <v>0.4</v>
      </c>
      <c r="AC6" s="1">
        <v>2</v>
      </c>
      <c r="AD6" s="1">
        <v>0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5" t="s">
        <v>37</v>
      </c>
      <c r="B7" s="15" t="s">
        <v>34</v>
      </c>
      <c r="C7" s="15">
        <v>12</v>
      </c>
      <c r="D7" s="15"/>
      <c r="E7" s="15"/>
      <c r="F7" s="15">
        <v>12</v>
      </c>
      <c r="G7" s="16">
        <v>0</v>
      </c>
      <c r="H7" s="15">
        <v>730</v>
      </c>
      <c r="I7" s="15" t="s">
        <v>38</v>
      </c>
      <c r="J7" s="15"/>
      <c r="K7" s="15"/>
      <c r="L7" s="15">
        <f t="shared" si="2"/>
        <v>0</v>
      </c>
      <c r="M7" s="15"/>
      <c r="N7" s="15"/>
      <c r="O7" s="17"/>
      <c r="P7" s="17"/>
      <c r="Q7" s="15">
        <f t="shared" ref="Q7:Q39" si="3">E7/5</f>
        <v>0</v>
      </c>
      <c r="R7" s="5"/>
      <c r="S7" s="18"/>
      <c r="T7" s="15"/>
      <c r="U7" s="15" t="e">
        <f t="shared" ref="U7:U39" si="4">(F7+R7)/Q7</f>
        <v>#DIV/0!</v>
      </c>
      <c r="V7" s="15" t="e">
        <f t="shared" ref="V7:V39" si="5">F7/Q7</f>
        <v>#DIV/0!</v>
      </c>
      <c r="W7" s="15">
        <v>0</v>
      </c>
      <c r="X7" s="15">
        <v>0.2</v>
      </c>
      <c r="Y7" s="15">
        <v>2.4</v>
      </c>
      <c r="Z7" s="15">
        <v>0</v>
      </c>
      <c r="AA7" s="15">
        <v>1.2</v>
      </c>
      <c r="AB7" s="15">
        <v>0</v>
      </c>
      <c r="AC7" s="15">
        <v>0</v>
      </c>
      <c r="AD7" s="15">
        <v>0</v>
      </c>
      <c r="AE7" s="20" t="s">
        <v>36</v>
      </c>
      <c r="AF7" s="15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58</v>
      </c>
      <c r="D8" s="1"/>
      <c r="E8" s="1">
        <v>8</v>
      </c>
      <c r="F8" s="1">
        <v>50</v>
      </c>
      <c r="G8" s="8">
        <v>0.3</v>
      </c>
      <c r="H8" s="1" t="s">
        <v>40</v>
      </c>
      <c r="I8" s="1">
        <v>1010004270</v>
      </c>
      <c r="J8" s="1"/>
      <c r="K8" s="1"/>
      <c r="L8" s="1">
        <f t="shared" si="2"/>
        <v>8</v>
      </c>
      <c r="M8" s="1"/>
      <c r="N8" s="1"/>
      <c r="O8" s="11"/>
      <c r="P8" s="11">
        <v>80</v>
      </c>
      <c r="Q8" s="1">
        <f t="shared" si="3"/>
        <v>1.6</v>
      </c>
      <c r="R8" s="5"/>
      <c r="S8" s="5"/>
      <c r="T8" s="1"/>
      <c r="U8" s="1">
        <f t="shared" si="4"/>
        <v>31.25</v>
      </c>
      <c r="V8" s="1">
        <f t="shared" si="5"/>
        <v>31.25</v>
      </c>
      <c r="W8" s="1">
        <v>4.5999999999999996</v>
      </c>
      <c r="X8" s="1">
        <v>3.2</v>
      </c>
      <c r="Y8" s="1">
        <v>6.4</v>
      </c>
      <c r="Z8" s="1">
        <v>0.6</v>
      </c>
      <c r="AA8" s="1">
        <v>3</v>
      </c>
      <c r="AB8" s="1">
        <v>1.4</v>
      </c>
      <c r="AC8" s="1">
        <v>6</v>
      </c>
      <c r="AD8" s="1">
        <v>1.6</v>
      </c>
      <c r="AE8" s="20" t="s">
        <v>36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34</v>
      </c>
      <c r="C9" s="1">
        <v>33</v>
      </c>
      <c r="D9" s="1"/>
      <c r="E9" s="1">
        <v>8</v>
      </c>
      <c r="F9" s="1">
        <v>25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8</v>
      </c>
      <c r="M9" s="1"/>
      <c r="N9" s="1"/>
      <c r="O9" s="11">
        <v>40</v>
      </c>
      <c r="P9" s="11">
        <v>120</v>
      </c>
      <c r="Q9" s="1">
        <f t="shared" si="3"/>
        <v>1.6</v>
      </c>
      <c r="R9" s="5"/>
      <c r="S9" s="5"/>
      <c r="T9" s="1"/>
      <c r="U9" s="1">
        <f t="shared" si="4"/>
        <v>15.625</v>
      </c>
      <c r="V9" s="1">
        <f t="shared" si="5"/>
        <v>15.625</v>
      </c>
      <c r="W9" s="1">
        <v>3.8</v>
      </c>
      <c r="X9" s="1">
        <v>3.2</v>
      </c>
      <c r="Y9" s="1">
        <v>3</v>
      </c>
      <c r="Z9" s="1">
        <v>2.6</v>
      </c>
      <c r="AA9" s="1">
        <v>0</v>
      </c>
      <c r="AB9" s="1">
        <v>2.6</v>
      </c>
      <c r="AC9" s="1">
        <v>5.2</v>
      </c>
      <c r="AD9" s="1">
        <v>1</v>
      </c>
      <c r="AE9" s="1"/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34</v>
      </c>
      <c r="C10" s="1">
        <v>40</v>
      </c>
      <c r="D10" s="1"/>
      <c r="E10" s="1">
        <v>14</v>
      </c>
      <c r="F10" s="1">
        <v>26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14</v>
      </c>
      <c r="M10" s="1"/>
      <c r="N10" s="1"/>
      <c r="O10" s="11"/>
      <c r="P10" s="11">
        <v>100</v>
      </c>
      <c r="Q10" s="1">
        <f t="shared" si="3"/>
        <v>2.8</v>
      </c>
      <c r="R10" s="5"/>
      <c r="S10" s="5"/>
      <c r="T10" s="1"/>
      <c r="U10" s="1">
        <f t="shared" si="4"/>
        <v>9.2857142857142865</v>
      </c>
      <c r="V10" s="1">
        <f t="shared" si="5"/>
        <v>9.2857142857142865</v>
      </c>
      <c r="W10" s="1">
        <v>6.8</v>
      </c>
      <c r="X10" s="1">
        <v>2.4</v>
      </c>
      <c r="Y10" s="1">
        <v>4</v>
      </c>
      <c r="Z10" s="1">
        <v>2.6</v>
      </c>
      <c r="AA10" s="1">
        <v>0.6</v>
      </c>
      <c r="AB10" s="1">
        <v>3</v>
      </c>
      <c r="AC10" s="1">
        <v>4.2</v>
      </c>
      <c r="AD10" s="1">
        <v>1.8</v>
      </c>
      <c r="AE10" s="1"/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34</v>
      </c>
      <c r="C11" s="1">
        <v>65</v>
      </c>
      <c r="D11" s="1"/>
      <c r="E11" s="1">
        <v>5</v>
      </c>
      <c r="F11" s="1">
        <v>60</v>
      </c>
      <c r="G11" s="8">
        <v>0.4</v>
      </c>
      <c r="H11" s="1" t="s">
        <v>40</v>
      </c>
      <c r="I11" s="1">
        <v>1010011735</v>
      </c>
      <c r="J11" s="1"/>
      <c r="K11" s="1"/>
      <c r="L11" s="1">
        <f t="shared" si="2"/>
        <v>5</v>
      </c>
      <c r="M11" s="1"/>
      <c r="N11" s="1"/>
      <c r="O11" s="11"/>
      <c r="P11" s="11">
        <v>60</v>
      </c>
      <c r="Q11" s="1">
        <f t="shared" si="3"/>
        <v>1</v>
      </c>
      <c r="R11" s="5"/>
      <c r="S11" s="5"/>
      <c r="T11" s="1"/>
      <c r="U11" s="1">
        <f t="shared" si="4"/>
        <v>60</v>
      </c>
      <c r="V11" s="1">
        <f t="shared" si="5"/>
        <v>60</v>
      </c>
      <c r="W11" s="1">
        <v>4</v>
      </c>
      <c r="X11" s="1">
        <v>0</v>
      </c>
      <c r="Y11" s="1">
        <v>15.2</v>
      </c>
      <c r="Z11" s="1">
        <v>1.6</v>
      </c>
      <c r="AA11" s="1">
        <v>0.6</v>
      </c>
      <c r="AB11" s="1">
        <v>1.6</v>
      </c>
      <c r="AC11" s="1">
        <v>4</v>
      </c>
      <c r="AD11" s="1">
        <v>0</v>
      </c>
      <c r="AE11" s="20" t="s">
        <v>36</v>
      </c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5" t="s">
        <v>45</v>
      </c>
      <c r="B12" s="15" t="s">
        <v>34</v>
      </c>
      <c r="C12" s="15">
        <v>1</v>
      </c>
      <c r="D12" s="15"/>
      <c r="E12" s="15"/>
      <c r="F12" s="15">
        <v>1</v>
      </c>
      <c r="G12" s="16">
        <v>0</v>
      </c>
      <c r="H12" s="15" t="s">
        <v>40</v>
      </c>
      <c r="I12" s="15" t="s">
        <v>38</v>
      </c>
      <c r="J12" s="15"/>
      <c r="K12" s="15"/>
      <c r="L12" s="15">
        <f t="shared" si="2"/>
        <v>0</v>
      </c>
      <c r="M12" s="15"/>
      <c r="N12" s="15"/>
      <c r="O12" s="17"/>
      <c r="P12" s="17"/>
      <c r="Q12" s="15">
        <f t="shared" si="3"/>
        <v>0</v>
      </c>
      <c r="R12" s="5"/>
      <c r="S12" s="18"/>
      <c r="T12" s="15"/>
      <c r="U12" s="15" t="e">
        <f t="shared" si="4"/>
        <v>#DIV/0!</v>
      </c>
      <c r="V12" s="15" t="e">
        <f t="shared" si="5"/>
        <v>#DIV/0!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/>
      <c r="AF12" s="15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34</v>
      </c>
      <c r="C13" s="1">
        <v>40</v>
      </c>
      <c r="D13" s="1"/>
      <c r="E13" s="1">
        <v>8</v>
      </c>
      <c r="F13" s="1">
        <v>32</v>
      </c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8</v>
      </c>
      <c r="M13" s="1"/>
      <c r="N13" s="1"/>
      <c r="O13" s="11"/>
      <c r="P13" s="11">
        <v>100</v>
      </c>
      <c r="Q13" s="1">
        <f t="shared" si="3"/>
        <v>1.6</v>
      </c>
      <c r="R13" s="5"/>
      <c r="S13" s="5"/>
      <c r="T13" s="1"/>
      <c r="U13" s="1">
        <f t="shared" si="4"/>
        <v>20</v>
      </c>
      <c r="V13" s="1">
        <f t="shared" si="5"/>
        <v>20</v>
      </c>
      <c r="W13" s="1">
        <v>5</v>
      </c>
      <c r="X13" s="1">
        <v>6.4</v>
      </c>
      <c r="Y13" s="1">
        <v>2</v>
      </c>
      <c r="Z13" s="1">
        <v>3.8</v>
      </c>
      <c r="AA13" s="1">
        <v>3.2</v>
      </c>
      <c r="AB13" s="1">
        <v>1</v>
      </c>
      <c r="AC13" s="1">
        <v>1.6</v>
      </c>
      <c r="AD13" s="1">
        <v>1.8</v>
      </c>
      <c r="AE13" s="20" t="s">
        <v>36</v>
      </c>
      <c r="AF13" s="1">
        <f t="shared" ref="AF13:AF19" si="6"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34</v>
      </c>
      <c r="C14" s="1">
        <v>26</v>
      </c>
      <c r="D14" s="1"/>
      <c r="E14" s="1">
        <v>1</v>
      </c>
      <c r="F14" s="1">
        <v>25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1</v>
      </c>
      <c r="M14" s="1"/>
      <c r="N14" s="1"/>
      <c r="O14" s="11">
        <v>30</v>
      </c>
      <c r="P14" s="11">
        <v>50</v>
      </c>
      <c r="Q14" s="1">
        <f t="shared" si="3"/>
        <v>0.2</v>
      </c>
      <c r="R14" s="5"/>
      <c r="S14" s="5"/>
      <c r="T14" s="1"/>
      <c r="U14" s="1">
        <f t="shared" si="4"/>
        <v>125</v>
      </c>
      <c r="V14" s="1">
        <f t="shared" si="5"/>
        <v>125</v>
      </c>
      <c r="W14" s="1">
        <v>1</v>
      </c>
      <c r="X14" s="1">
        <v>0.8</v>
      </c>
      <c r="Y14" s="1">
        <v>1.8</v>
      </c>
      <c r="Z14" s="1">
        <v>0.8</v>
      </c>
      <c r="AA14" s="1">
        <v>0</v>
      </c>
      <c r="AB14" s="1">
        <v>0</v>
      </c>
      <c r="AC14" s="1">
        <v>0.6</v>
      </c>
      <c r="AD14" s="1">
        <v>0</v>
      </c>
      <c r="AE14" s="20" t="s">
        <v>36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34</v>
      </c>
      <c r="C15" s="1">
        <v>30</v>
      </c>
      <c r="D15" s="1"/>
      <c r="E15" s="1">
        <v>8</v>
      </c>
      <c r="F15" s="1">
        <v>22</v>
      </c>
      <c r="G15" s="8">
        <v>0.4</v>
      </c>
      <c r="H15" s="1" t="s">
        <v>40</v>
      </c>
      <c r="I15" s="1">
        <v>1010011737</v>
      </c>
      <c r="J15" s="1"/>
      <c r="K15" s="1"/>
      <c r="L15" s="1">
        <f t="shared" si="2"/>
        <v>8</v>
      </c>
      <c r="M15" s="1"/>
      <c r="N15" s="1"/>
      <c r="O15" s="11">
        <v>30</v>
      </c>
      <c r="P15" s="11">
        <v>80</v>
      </c>
      <c r="Q15" s="1">
        <f t="shared" si="3"/>
        <v>1.6</v>
      </c>
      <c r="R15" s="5"/>
      <c r="S15" s="5"/>
      <c r="T15" s="1"/>
      <c r="U15" s="1">
        <f t="shared" si="4"/>
        <v>13.75</v>
      </c>
      <c r="V15" s="1">
        <f t="shared" si="5"/>
        <v>13.75</v>
      </c>
      <c r="W15" s="1">
        <v>5.6</v>
      </c>
      <c r="X15" s="1">
        <v>3</v>
      </c>
      <c r="Y15" s="1">
        <v>2</v>
      </c>
      <c r="Z15" s="1">
        <v>3.2</v>
      </c>
      <c r="AA15" s="1">
        <v>1.4</v>
      </c>
      <c r="AB15" s="1">
        <v>1</v>
      </c>
      <c r="AC15" s="1">
        <v>3.4</v>
      </c>
      <c r="AD15" s="1">
        <v>4.4000000000000004</v>
      </c>
      <c r="AE15" s="19" t="s">
        <v>43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34</v>
      </c>
      <c r="C16" s="1">
        <v>21</v>
      </c>
      <c r="D16" s="1"/>
      <c r="E16" s="1">
        <v>2</v>
      </c>
      <c r="F16" s="1">
        <v>19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2</v>
      </c>
      <c r="M16" s="1"/>
      <c r="N16" s="1"/>
      <c r="O16" s="11">
        <v>30</v>
      </c>
      <c r="P16" s="11">
        <v>40</v>
      </c>
      <c r="Q16" s="1">
        <f t="shared" si="3"/>
        <v>0.4</v>
      </c>
      <c r="R16" s="5"/>
      <c r="S16" s="5"/>
      <c r="T16" s="1"/>
      <c r="U16" s="1">
        <f t="shared" si="4"/>
        <v>47.5</v>
      </c>
      <c r="V16" s="1">
        <f t="shared" si="5"/>
        <v>47.5</v>
      </c>
      <c r="W16" s="1">
        <v>2.8</v>
      </c>
      <c r="X16" s="1">
        <v>0.8</v>
      </c>
      <c r="Y16" s="1">
        <v>0</v>
      </c>
      <c r="Z16" s="1">
        <v>1.6</v>
      </c>
      <c r="AA16" s="1">
        <v>0.2</v>
      </c>
      <c r="AB16" s="1">
        <v>0.2</v>
      </c>
      <c r="AC16" s="1">
        <v>2.2000000000000002</v>
      </c>
      <c r="AD16" s="1">
        <v>0</v>
      </c>
      <c r="AE16" s="20" t="s">
        <v>36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34</v>
      </c>
      <c r="C17" s="1">
        <v>45</v>
      </c>
      <c r="D17" s="1"/>
      <c r="E17" s="1">
        <v>43</v>
      </c>
      <c r="F17" s="1">
        <v>2</v>
      </c>
      <c r="G17" s="8">
        <v>0.3</v>
      </c>
      <c r="H17" s="1" t="s">
        <v>40</v>
      </c>
      <c r="I17" s="1" t="s">
        <v>51</v>
      </c>
      <c r="J17" s="1"/>
      <c r="K17" s="1"/>
      <c r="L17" s="1">
        <f t="shared" si="2"/>
        <v>43</v>
      </c>
      <c r="M17" s="1"/>
      <c r="N17" s="1"/>
      <c r="O17" s="11">
        <v>100</v>
      </c>
      <c r="P17" s="11">
        <v>100</v>
      </c>
      <c r="Q17" s="1">
        <f t="shared" si="3"/>
        <v>8.6</v>
      </c>
      <c r="R17" s="5">
        <v>120</v>
      </c>
      <c r="S17" s="5"/>
      <c r="T17" s="1" t="s">
        <v>86</v>
      </c>
      <c r="U17" s="1">
        <f t="shared" si="4"/>
        <v>14.186046511627907</v>
      </c>
      <c r="V17" s="1">
        <f t="shared" si="5"/>
        <v>0.23255813953488372</v>
      </c>
      <c r="W17" s="1">
        <v>8.1999999999999993</v>
      </c>
      <c r="X17" s="1">
        <v>12.8</v>
      </c>
      <c r="Y17" s="1">
        <v>0</v>
      </c>
      <c r="Z17" s="1">
        <v>7.4</v>
      </c>
      <c r="AA17" s="1">
        <v>2.6</v>
      </c>
      <c r="AB17" s="1">
        <v>0</v>
      </c>
      <c r="AC17" s="1">
        <v>0</v>
      </c>
      <c r="AD17" s="1">
        <v>0</v>
      </c>
      <c r="AE17" s="1" t="s">
        <v>52</v>
      </c>
      <c r="AF17" s="1">
        <f t="shared" si="6"/>
        <v>36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34</v>
      </c>
      <c r="C18" s="1">
        <v>227</v>
      </c>
      <c r="D18" s="1"/>
      <c r="E18" s="1">
        <v>69</v>
      </c>
      <c r="F18" s="1">
        <v>158</v>
      </c>
      <c r="G18" s="8">
        <v>0.3</v>
      </c>
      <c r="H18" s="1" t="s">
        <v>40</v>
      </c>
      <c r="I18" s="1">
        <v>1010003817</v>
      </c>
      <c r="J18" s="1"/>
      <c r="K18" s="1"/>
      <c r="L18" s="1">
        <f t="shared" si="2"/>
        <v>69</v>
      </c>
      <c r="M18" s="1"/>
      <c r="N18" s="1"/>
      <c r="O18" s="11">
        <v>200</v>
      </c>
      <c r="P18" s="11">
        <v>200</v>
      </c>
      <c r="Q18" s="1">
        <f t="shared" si="3"/>
        <v>13.8</v>
      </c>
      <c r="R18" s="5"/>
      <c r="S18" s="5"/>
      <c r="T18" s="1"/>
      <c r="U18" s="1">
        <f t="shared" si="4"/>
        <v>11.44927536231884</v>
      </c>
      <c r="V18" s="1">
        <f t="shared" si="5"/>
        <v>11.44927536231884</v>
      </c>
      <c r="W18" s="1">
        <v>11.6</v>
      </c>
      <c r="X18" s="1">
        <v>30.6</v>
      </c>
      <c r="Y18" s="1">
        <v>22.4</v>
      </c>
      <c r="Z18" s="1">
        <v>13.8</v>
      </c>
      <c r="AA18" s="1">
        <v>28</v>
      </c>
      <c r="AB18" s="1">
        <v>16.399999999999999</v>
      </c>
      <c r="AC18" s="1">
        <v>25.8</v>
      </c>
      <c r="AD18" s="1">
        <v>27.8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34</v>
      </c>
      <c r="C19" s="1">
        <v>168</v>
      </c>
      <c r="D19" s="1"/>
      <c r="E19" s="1">
        <v>67</v>
      </c>
      <c r="F19" s="1">
        <v>101</v>
      </c>
      <c r="G19" s="8">
        <v>0.3</v>
      </c>
      <c r="H19" s="1" t="s">
        <v>55</v>
      </c>
      <c r="I19" s="1">
        <v>1010003874</v>
      </c>
      <c r="J19" s="1"/>
      <c r="K19" s="1"/>
      <c r="L19" s="1">
        <f t="shared" si="2"/>
        <v>67</v>
      </c>
      <c r="M19" s="1"/>
      <c r="N19" s="1"/>
      <c r="O19" s="11">
        <v>200</v>
      </c>
      <c r="P19" s="11">
        <v>200</v>
      </c>
      <c r="Q19" s="1">
        <f t="shared" si="3"/>
        <v>13.4</v>
      </c>
      <c r="R19" s="5">
        <v>60</v>
      </c>
      <c r="S19" s="5"/>
      <c r="T19" s="1" t="s">
        <v>86</v>
      </c>
      <c r="U19" s="1">
        <f t="shared" si="4"/>
        <v>12.014925373134329</v>
      </c>
      <c r="V19" s="1">
        <f t="shared" si="5"/>
        <v>7.5373134328358207</v>
      </c>
      <c r="W19" s="1">
        <v>8.1999999999999993</v>
      </c>
      <c r="X19" s="1">
        <v>30</v>
      </c>
      <c r="Y19" s="1">
        <v>12</v>
      </c>
      <c r="Z19" s="1">
        <v>15.8</v>
      </c>
      <c r="AA19" s="1">
        <v>26.2</v>
      </c>
      <c r="AB19" s="1">
        <v>14</v>
      </c>
      <c r="AC19" s="1">
        <v>20.8</v>
      </c>
      <c r="AD19" s="1">
        <v>23</v>
      </c>
      <c r="AE19" s="1"/>
      <c r="AF19" s="1">
        <f t="shared" si="6"/>
        <v>18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5" t="s">
        <v>56</v>
      </c>
      <c r="B20" s="15" t="s">
        <v>34</v>
      </c>
      <c r="C20" s="15">
        <v>4</v>
      </c>
      <c r="D20" s="15"/>
      <c r="E20" s="15">
        <v>-3</v>
      </c>
      <c r="F20" s="15">
        <v>4</v>
      </c>
      <c r="G20" s="16">
        <v>0</v>
      </c>
      <c r="H20" s="15" t="s">
        <v>35</v>
      </c>
      <c r="I20" s="15" t="s">
        <v>57</v>
      </c>
      <c r="J20" s="15"/>
      <c r="K20" s="15"/>
      <c r="L20" s="15">
        <f t="shared" si="2"/>
        <v>-3</v>
      </c>
      <c r="M20" s="15"/>
      <c r="N20" s="15"/>
      <c r="O20" s="17"/>
      <c r="P20" s="17"/>
      <c r="Q20" s="15">
        <f t="shared" si="3"/>
        <v>-0.6</v>
      </c>
      <c r="R20" s="5"/>
      <c r="S20" s="18"/>
      <c r="T20" s="15"/>
      <c r="U20" s="15">
        <f t="shared" si="4"/>
        <v>-6.666666666666667</v>
      </c>
      <c r="V20" s="15">
        <f t="shared" si="5"/>
        <v>-6.666666666666667</v>
      </c>
      <c r="W20" s="15">
        <v>-1</v>
      </c>
      <c r="X20" s="15">
        <v>-3</v>
      </c>
      <c r="Y20" s="15">
        <v>0</v>
      </c>
      <c r="Z20" s="15">
        <v>0</v>
      </c>
      <c r="AA20" s="15">
        <v>-0.4</v>
      </c>
      <c r="AB20" s="15">
        <v>0.2</v>
      </c>
      <c r="AC20" s="15">
        <v>7.2</v>
      </c>
      <c r="AD20" s="15">
        <v>7.4</v>
      </c>
      <c r="AE20" s="15" t="s">
        <v>58</v>
      </c>
      <c r="AF20" s="15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34</v>
      </c>
      <c r="C21" s="1">
        <v>91</v>
      </c>
      <c r="D21" s="1"/>
      <c r="E21" s="1">
        <v>27</v>
      </c>
      <c r="F21" s="1">
        <v>64</v>
      </c>
      <c r="G21" s="8">
        <v>0.4</v>
      </c>
      <c r="H21" s="1">
        <v>730</v>
      </c>
      <c r="I21" s="1">
        <v>1010021023</v>
      </c>
      <c r="J21" s="1"/>
      <c r="K21" s="1"/>
      <c r="L21" s="1">
        <f t="shared" si="2"/>
        <v>27</v>
      </c>
      <c r="M21" s="1"/>
      <c r="N21" s="1"/>
      <c r="O21" s="11">
        <v>100</v>
      </c>
      <c r="P21" s="11">
        <v>150</v>
      </c>
      <c r="Q21" s="1">
        <f t="shared" si="3"/>
        <v>5.4</v>
      </c>
      <c r="R21" s="5"/>
      <c r="S21" s="5"/>
      <c r="T21" s="1"/>
      <c r="U21" s="1">
        <f t="shared" si="4"/>
        <v>11.851851851851851</v>
      </c>
      <c r="V21" s="1">
        <f t="shared" si="5"/>
        <v>11.851851851851851</v>
      </c>
      <c r="W21" s="1">
        <v>11.6</v>
      </c>
      <c r="X21" s="1">
        <v>13</v>
      </c>
      <c r="Y21" s="1">
        <v>7.4</v>
      </c>
      <c r="Z21" s="1">
        <v>7</v>
      </c>
      <c r="AA21" s="1">
        <v>9.6</v>
      </c>
      <c r="AB21" s="1">
        <v>2.8</v>
      </c>
      <c r="AC21" s="1">
        <v>10.4</v>
      </c>
      <c r="AD21" s="1">
        <v>14.2</v>
      </c>
      <c r="AE21" s="1"/>
      <c r="AF21" s="1">
        <f t="shared" ref="AF21:AF33" si="7"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34</v>
      </c>
      <c r="C22" s="1">
        <v>85</v>
      </c>
      <c r="D22" s="1"/>
      <c r="E22" s="1">
        <v>26</v>
      </c>
      <c r="F22" s="1">
        <v>59</v>
      </c>
      <c r="G22" s="8">
        <v>0.7</v>
      </c>
      <c r="H22" s="1">
        <v>730</v>
      </c>
      <c r="I22" s="1">
        <v>10010027943</v>
      </c>
      <c r="J22" s="1"/>
      <c r="K22" s="1"/>
      <c r="L22" s="1">
        <f t="shared" si="2"/>
        <v>26</v>
      </c>
      <c r="M22" s="1"/>
      <c r="N22" s="1"/>
      <c r="O22" s="11">
        <v>100</v>
      </c>
      <c r="P22" s="11">
        <v>200</v>
      </c>
      <c r="Q22" s="1">
        <f t="shared" si="3"/>
        <v>5.2</v>
      </c>
      <c r="R22" s="5"/>
      <c r="S22" s="5"/>
      <c r="T22" s="1"/>
      <c r="U22" s="1">
        <f t="shared" si="4"/>
        <v>11.346153846153845</v>
      </c>
      <c r="V22" s="1">
        <f t="shared" si="5"/>
        <v>11.346153846153845</v>
      </c>
      <c r="W22" s="1">
        <v>14.4</v>
      </c>
      <c r="X22" s="1">
        <v>12.4</v>
      </c>
      <c r="Y22" s="1">
        <v>8.1999999999999993</v>
      </c>
      <c r="Z22" s="1">
        <v>3.6</v>
      </c>
      <c r="AA22" s="1">
        <v>13.2</v>
      </c>
      <c r="AB22" s="1">
        <v>4.2</v>
      </c>
      <c r="AC22" s="1">
        <v>9</v>
      </c>
      <c r="AD22" s="1">
        <v>4.2</v>
      </c>
      <c r="AE22" s="1"/>
      <c r="AF22" s="1">
        <f t="shared" si="7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34</v>
      </c>
      <c r="C23" s="1">
        <v>23</v>
      </c>
      <c r="D23" s="1"/>
      <c r="E23" s="1">
        <v>2</v>
      </c>
      <c r="F23" s="1">
        <v>21</v>
      </c>
      <c r="G23" s="8">
        <v>0.4</v>
      </c>
      <c r="H23" s="1">
        <v>730</v>
      </c>
      <c r="I23" s="1">
        <v>1010011268</v>
      </c>
      <c r="J23" s="1"/>
      <c r="K23" s="1"/>
      <c r="L23" s="1">
        <f t="shared" si="2"/>
        <v>2</v>
      </c>
      <c r="M23" s="1"/>
      <c r="N23" s="1"/>
      <c r="O23" s="11">
        <v>30</v>
      </c>
      <c r="P23" s="11">
        <v>40</v>
      </c>
      <c r="Q23" s="1">
        <f t="shared" si="3"/>
        <v>0.4</v>
      </c>
      <c r="R23" s="5"/>
      <c r="S23" s="5"/>
      <c r="T23" s="1"/>
      <c r="U23" s="1">
        <f t="shared" si="4"/>
        <v>52.5</v>
      </c>
      <c r="V23" s="1">
        <f t="shared" si="5"/>
        <v>52.5</v>
      </c>
      <c r="W23" s="1">
        <v>1</v>
      </c>
      <c r="X23" s="1">
        <v>0.8</v>
      </c>
      <c r="Y23" s="1">
        <v>1</v>
      </c>
      <c r="Z23" s="1">
        <v>0.8</v>
      </c>
      <c r="AA23" s="1">
        <v>1.4</v>
      </c>
      <c r="AB23" s="1">
        <v>0.2</v>
      </c>
      <c r="AC23" s="1">
        <v>3.2</v>
      </c>
      <c r="AD23" s="1">
        <v>0</v>
      </c>
      <c r="AE23" s="20" t="s">
        <v>36</v>
      </c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34</v>
      </c>
      <c r="C24" s="1">
        <v>36</v>
      </c>
      <c r="D24" s="1"/>
      <c r="E24" s="1">
        <v>6</v>
      </c>
      <c r="F24" s="1">
        <v>30</v>
      </c>
      <c r="G24" s="8">
        <v>0.2</v>
      </c>
      <c r="H24" s="1">
        <v>730</v>
      </c>
      <c r="I24" s="1" t="s">
        <v>51</v>
      </c>
      <c r="J24" s="1"/>
      <c r="K24" s="1"/>
      <c r="L24" s="1">
        <f t="shared" si="2"/>
        <v>6</v>
      </c>
      <c r="M24" s="1"/>
      <c r="N24" s="1"/>
      <c r="O24" s="11"/>
      <c r="P24" s="11">
        <v>40</v>
      </c>
      <c r="Q24" s="1">
        <f t="shared" si="3"/>
        <v>1.2</v>
      </c>
      <c r="R24" s="5"/>
      <c r="S24" s="5"/>
      <c r="T24" s="1"/>
      <c r="U24" s="1">
        <f t="shared" si="4"/>
        <v>25</v>
      </c>
      <c r="V24" s="1">
        <f t="shared" si="5"/>
        <v>25</v>
      </c>
      <c r="W24" s="1">
        <v>2.6</v>
      </c>
      <c r="X24" s="1">
        <v>1</v>
      </c>
      <c r="Y24" s="1">
        <v>0</v>
      </c>
      <c r="Z24" s="1">
        <v>0.6</v>
      </c>
      <c r="AA24" s="1">
        <v>0.4</v>
      </c>
      <c r="AB24" s="1">
        <v>1.2</v>
      </c>
      <c r="AC24" s="1">
        <v>2.4</v>
      </c>
      <c r="AD24" s="1">
        <v>0</v>
      </c>
      <c r="AE24" s="22" t="s">
        <v>83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34</v>
      </c>
      <c r="C25" s="1">
        <v>47</v>
      </c>
      <c r="D25" s="1"/>
      <c r="E25" s="1">
        <v>30</v>
      </c>
      <c r="F25" s="1">
        <v>17</v>
      </c>
      <c r="G25" s="8">
        <v>0.32</v>
      </c>
      <c r="H25" s="1">
        <v>730</v>
      </c>
      <c r="I25" s="1">
        <v>1010021343</v>
      </c>
      <c r="J25" s="1"/>
      <c r="K25" s="1"/>
      <c r="L25" s="1">
        <f t="shared" si="2"/>
        <v>30</v>
      </c>
      <c r="M25" s="1"/>
      <c r="N25" s="1"/>
      <c r="O25" s="11"/>
      <c r="P25" s="11">
        <v>50</v>
      </c>
      <c r="Q25" s="1">
        <f t="shared" si="3"/>
        <v>6</v>
      </c>
      <c r="R25" s="5"/>
      <c r="S25" s="5"/>
      <c r="T25" s="1"/>
      <c r="U25" s="1">
        <f t="shared" si="4"/>
        <v>2.8333333333333335</v>
      </c>
      <c r="V25" s="1">
        <f t="shared" si="5"/>
        <v>2.8333333333333335</v>
      </c>
      <c r="W25" s="1">
        <v>2.6</v>
      </c>
      <c r="X25" s="1">
        <v>2</v>
      </c>
      <c r="Y25" s="1">
        <v>0</v>
      </c>
      <c r="Z25" s="1">
        <v>6.4</v>
      </c>
      <c r="AA25" s="1">
        <v>0.4</v>
      </c>
      <c r="AB25" s="1">
        <v>1.2</v>
      </c>
      <c r="AC25" s="1">
        <v>0</v>
      </c>
      <c r="AD25" s="1">
        <v>0</v>
      </c>
      <c r="AE25" s="1"/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34</v>
      </c>
      <c r="C26" s="1">
        <v>6</v>
      </c>
      <c r="D26" s="1"/>
      <c r="E26" s="1"/>
      <c r="F26" s="1">
        <v>6</v>
      </c>
      <c r="G26" s="8">
        <v>0.2</v>
      </c>
      <c r="H26" s="1">
        <v>730</v>
      </c>
      <c r="I26" s="1" t="s">
        <v>51</v>
      </c>
      <c r="J26" s="1"/>
      <c r="K26" s="1"/>
      <c r="L26" s="1">
        <f t="shared" si="2"/>
        <v>0</v>
      </c>
      <c r="M26" s="1"/>
      <c r="N26" s="1"/>
      <c r="O26" s="11">
        <v>20</v>
      </c>
      <c r="P26" s="11">
        <v>40</v>
      </c>
      <c r="Q26" s="1">
        <f t="shared" si="3"/>
        <v>0</v>
      </c>
      <c r="R26" s="5"/>
      <c r="S26" s="5"/>
      <c r="T26" s="1"/>
      <c r="U26" s="1" t="e">
        <f t="shared" si="4"/>
        <v>#DIV/0!</v>
      </c>
      <c r="V26" s="1" t="e">
        <f t="shared" si="5"/>
        <v>#DIV/0!</v>
      </c>
      <c r="W26" s="1">
        <v>2.8</v>
      </c>
      <c r="X26" s="1">
        <v>2.2000000000000002</v>
      </c>
      <c r="Y26" s="1">
        <v>0</v>
      </c>
      <c r="Z26" s="1">
        <v>0.6</v>
      </c>
      <c r="AA26" s="1">
        <v>0</v>
      </c>
      <c r="AB26" s="1">
        <v>0</v>
      </c>
      <c r="AC26" s="1">
        <v>1.8</v>
      </c>
      <c r="AD26" s="1">
        <v>0.4</v>
      </c>
      <c r="AE26" s="1" t="s">
        <v>65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34</v>
      </c>
      <c r="C27" s="1">
        <v>11</v>
      </c>
      <c r="D27" s="1"/>
      <c r="E27" s="1"/>
      <c r="F27" s="1">
        <v>11</v>
      </c>
      <c r="G27" s="8">
        <v>0.32</v>
      </c>
      <c r="H27" s="1">
        <v>730</v>
      </c>
      <c r="I27" s="1">
        <v>1010021314</v>
      </c>
      <c r="J27" s="1"/>
      <c r="K27" s="1"/>
      <c r="L27" s="1">
        <f t="shared" si="2"/>
        <v>0</v>
      </c>
      <c r="M27" s="1"/>
      <c r="N27" s="1"/>
      <c r="O27" s="11"/>
      <c r="P27" s="11">
        <v>40</v>
      </c>
      <c r="Q27" s="1">
        <f t="shared" si="3"/>
        <v>0</v>
      </c>
      <c r="R27" s="5"/>
      <c r="S27" s="5"/>
      <c r="T27" s="1"/>
      <c r="U27" s="1" t="e">
        <f t="shared" si="4"/>
        <v>#DIV/0!</v>
      </c>
      <c r="V27" s="1" t="e">
        <f t="shared" si="5"/>
        <v>#DIV/0!</v>
      </c>
      <c r="W27" s="1">
        <v>3.8</v>
      </c>
      <c r="X27" s="1">
        <v>0</v>
      </c>
      <c r="Y27" s="1">
        <v>0</v>
      </c>
      <c r="Z27" s="1">
        <v>8.1999999999999993</v>
      </c>
      <c r="AA27" s="1">
        <v>0.4</v>
      </c>
      <c r="AB27" s="1">
        <v>0.6</v>
      </c>
      <c r="AC27" s="1">
        <v>0.6</v>
      </c>
      <c r="AD27" s="1">
        <v>0</v>
      </c>
      <c r="AE27" s="20" t="s">
        <v>36</v>
      </c>
      <c r="AF27" s="1">
        <f t="shared" si="7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34</v>
      </c>
      <c r="C28" s="1">
        <v>23</v>
      </c>
      <c r="D28" s="1"/>
      <c r="E28" s="1">
        <v>23</v>
      </c>
      <c r="F28" s="1"/>
      <c r="G28" s="8">
        <v>1</v>
      </c>
      <c r="H28" s="1" t="s">
        <v>40</v>
      </c>
      <c r="I28" s="1">
        <v>1010020292</v>
      </c>
      <c r="J28" s="1"/>
      <c r="K28" s="1"/>
      <c r="L28" s="1">
        <f t="shared" si="2"/>
        <v>23</v>
      </c>
      <c r="M28" s="1"/>
      <c r="N28" s="1"/>
      <c r="O28" s="11">
        <v>40</v>
      </c>
      <c r="P28" s="11">
        <v>70</v>
      </c>
      <c r="Q28" s="1">
        <f t="shared" si="3"/>
        <v>4.5999999999999996</v>
      </c>
      <c r="R28" s="5"/>
      <c r="S28" s="5"/>
      <c r="T28" s="1"/>
      <c r="U28" s="1">
        <f t="shared" si="4"/>
        <v>0</v>
      </c>
      <c r="V28" s="1">
        <f t="shared" si="5"/>
        <v>0</v>
      </c>
      <c r="W28" s="1">
        <v>5.2</v>
      </c>
      <c r="X28" s="1">
        <v>7</v>
      </c>
      <c r="Y28" s="1">
        <v>0</v>
      </c>
      <c r="Z28" s="1">
        <v>8.4</v>
      </c>
      <c r="AA28" s="1">
        <v>1.4</v>
      </c>
      <c r="AB28" s="1">
        <v>4.5999999999999996</v>
      </c>
      <c r="AC28" s="1">
        <v>5.2</v>
      </c>
      <c r="AD28" s="1">
        <v>0.4</v>
      </c>
      <c r="AE28" s="1"/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34</v>
      </c>
      <c r="C29" s="1">
        <v>59</v>
      </c>
      <c r="D29" s="1"/>
      <c r="E29" s="1">
        <v>6</v>
      </c>
      <c r="F29" s="1">
        <v>53</v>
      </c>
      <c r="G29" s="8">
        <v>0.28000000000000003</v>
      </c>
      <c r="H29" s="1" t="s">
        <v>40</v>
      </c>
      <c r="I29" s="1">
        <v>1010025555</v>
      </c>
      <c r="J29" s="1"/>
      <c r="K29" s="1"/>
      <c r="L29" s="1">
        <f t="shared" si="2"/>
        <v>6</v>
      </c>
      <c r="M29" s="1"/>
      <c r="N29" s="1"/>
      <c r="O29" s="11"/>
      <c r="P29" s="11">
        <v>40</v>
      </c>
      <c r="Q29" s="1">
        <f t="shared" si="3"/>
        <v>1.2</v>
      </c>
      <c r="R29" s="5"/>
      <c r="S29" s="5"/>
      <c r="T29" s="1"/>
      <c r="U29" s="1">
        <f t="shared" si="4"/>
        <v>44.166666666666671</v>
      </c>
      <c r="V29" s="1">
        <f t="shared" si="5"/>
        <v>44.166666666666671</v>
      </c>
      <c r="W29" s="1">
        <v>2.8</v>
      </c>
      <c r="X29" s="1">
        <v>3.4</v>
      </c>
      <c r="Y29" s="1">
        <v>4.2</v>
      </c>
      <c r="Z29" s="1">
        <v>1.8</v>
      </c>
      <c r="AA29" s="1">
        <v>4.2</v>
      </c>
      <c r="AB29" s="1">
        <v>1.2</v>
      </c>
      <c r="AC29" s="1">
        <v>4</v>
      </c>
      <c r="AD29" s="1">
        <v>2.4</v>
      </c>
      <c r="AE29" s="20" t="s">
        <v>36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34</v>
      </c>
      <c r="C30" s="1">
        <v>60</v>
      </c>
      <c r="D30" s="1"/>
      <c r="E30" s="1">
        <v>10</v>
      </c>
      <c r="F30" s="1">
        <v>50</v>
      </c>
      <c r="G30" s="8">
        <v>0.28000000000000003</v>
      </c>
      <c r="H30" s="1">
        <v>365</v>
      </c>
      <c r="I30" s="1">
        <v>1010026655</v>
      </c>
      <c r="J30" s="1"/>
      <c r="K30" s="1"/>
      <c r="L30" s="1">
        <f t="shared" si="2"/>
        <v>10</v>
      </c>
      <c r="M30" s="1"/>
      <c r="N30" s="1"/>
      <c r="O30" s="11"/>
      <c r="P30" s="11">
        <v>60</v>
      </c>
      <c r="Q30" s="1">
        <f t="shared" si="3"/>
        <v>2</v>
      </c>
      <c r="R30" s="5"/>
      <c r="S30" s="5"/>
      <c r="T30" s="1"/>
      <c r="U30" s="1">
        <f t="shared" si="4"/>
        <v>25</v>
      </c>
      <c r="V30" s="1">
        <f t="shared" si="5"/>
        <v>25</v>
      </c>
      <c r="W30" s="1">
        <v>4</v>
      </c>
      <c r="X30" s="1">
        <v>2.6</v>
      </c>
      <c r="Y30" s="1">
        <v>2.6</v>
      </c>
      <c r="Z30" s="1">
        <v>1.8</v>
      </c>
      <c r="AA30" s="1">
        <v>4</v>
      </c>
      <c r="AB30" s="1">
        <v>3.4</v>
      </c>
      <c r="AC30" s="1">
        <v>4.8</v>
      </c>
      <c r="AD30" s="1">
        <v>1</v>
      </c>
      <c r="AE30" s="20" t="s">
        <v>36</v>
      </c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34</v>
      </c>
      <c r="C31" s="1">
        <v>31</v>
      </c>
      <c r="D31" s="1"/>
      <c r="E31" s="1">
        <v>12</v>
      </c>
      <c r="F31" s="1">
        <v>19</v>
      </c>
      <c r="G31" s="8">
        <v>0.28000000000000003</v>
      </c>
      <c r="H31" s="1">
        <v>365</v>
      </c>
      <c r="I31" s="1">
        <v>1010028228</v>
      </c>
      <c r="J31" s="1"/>
      <c r="K31" s="1"/>
      <c r="L31" s="1">
        <f t="shared" si="2"/>
        <v>12</v>
      </c>
      <c r="M31" s="1"/>
      <c r="N31" s="1"/>
      <c r="O31" s="11"/>
      <c r="P31" s="11">
        <v>60</v>
      </c>
      <c r="Q31" s="1">
        <f t="shared" si="3"/>
        <v>2.4</v>
      </c>
      <c r="R31" s="5"/>
      <c r="S31" s="5"/>
      <c r="T31" s="1"/>
      <c r="U31" s="1">
        <f t="shared" si="4"/>
        <v>7.916666666666667</v>
      </c>
      <c r="V31" s="1">
        <f t="shared" si="5"/>
        <v>7.916666666666667</v>
      </c>
      <c r="W31" s="1">
        <v>4</v>
      </c>
      <c r="X31" s="1">
        <v>3.4</v>
      </c>
      <c r="Y31" s="1">
        <v>2.6</v>
      </c>
      <c r="Z31" s="1">
        <v>1.8</v>
      </c>
      <c r="AA31" s="1">
        <v>2.4</v>
      </c>
      <c r="AB31" s="1">
        <v>0.8</v>
      </c>
      <c r="AC31" s="1">
        <v>4.4000000000000004</v>
      </c>
      <c r="AD31" s="1">
        <v>3.2</v>
      </c>
      <c r="AE31" s="10" t="s">
        <v>84</v>
      </c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21" t="s">
        <v>71</v>
      </c>
      <c r="B32" s="1" t="s">
        <v>34</v>
      </c>
      <c r="C32" s="1"/>
      <c r="D32" s="1"/>
      <c r="E32" s="1"/>
      <c r="F32" s="1"/>
      <c r="G32" s="8">
        <v>0.4</v>
      </c>
      <c r="H32" s="1">
        <v>730</v>
      </c>
      <c r="I32" s="1">
        <v>1010028186</v>
      </c>
      <c r="J32" s="1"/>
      <c r="K32" s="1"/>
      <c r="L32" s="1">
        <f t="shared" si="2"/>
        <v>0</v>
      </c>
      <c r="M32" s="1"/>
      <c r="N32" s="1"/>
      <c r="O32" s="11"/>
      <c r="P32" s="11">
        <v>40</v>
      </c>
      <c r="Q32" s="1">
        <f t="shared" si="3"/>
        <v>0</v>
      </c>
      <c r="R32" s="5">
        <v>40</v>
      </c>
      <c r="S32" s="5"/>
      <c r="T32" s="1" t="s">
        <v>87</v>
      </c>
      <c r="U32" s="1" t="e">
        <f t="shared" si="4"/>
        <v>#DIV/0!</v>
      </c>
      <c r="V32" s="1" t="e">
        <f t="shared" si="5"/>
        <v>#DIV/0!</v>
      </c>
      <c r="W32" s="1">
        <v>0</v>
      </c>
      <c r="X32" s="1">
        <v>2.6</v>
      </c>
      <c r="Y32" s="1">
        <v>1.4</v>
      </c>
      <c r="Z32" s="1">
        <v>2</v>
      </c>
      <c r="AA32" s="1">
        <v>0.4</v>
      </c>
      <c r="AB32" s="1">
        <v>0</v>
      </c>
      <c r="AC32" s="1">
        <v>3</v>
      </c>
      <c r="AD32" s="1">
        <v>2</v>
      </c>
      <c r="AE32" s="1" t="s">
        <v>72</v>
      </c>
      <c r="AF32" s="1">
        <f t="shared" si="7"/>
        <v>16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34</v>
      </c>
      <c r="C33" s="1">
        <v>375</v>
      </c>
      <c r="D33" s="1"/>
      <c r="E33" s="1">
        <v>182</v>
      </c>
      <c r="F33" s="1">
        <v>193</v>
      </c>
      <c r="G33" s="8">
        <v>0.75</v>
      </c>
      <c r="H33" s="1" t="s">
        <v>35</v>
      </c>
      <c r="I33" s="1" t="s">
        <v>74</v>
      </c>
      <c r="J33" s="1"/>
      <c r="K33" s="1"/>
      <c r="L33" s="1">
        <f t="shared" si="2"/>
        <v>182</v>
      </c>
      <c r="M33" s="1"/>
      <c r="N33" s="1"/>
      <c r="O33" s="11"/>
      <c r="P33" s="11">
        <v>1000</v>
      </c>
      <c r="Q33" s="1">
        <f t="shared" si="3"/>
        <v>36.4</v>
      </c>
      <c r="R33" s="5">
        <v>1000</v>
      </c>
      <c r="S33" s="5">
        <v>171</v>
      </c>
      <c r="T33" s="1" t="s">
        <v>87</v>
      </c>
      <c r="U33" s="1">
        <f t="shared" si="4"/>
        <v>32.774725274725277</v>
      </c>
      <c r="V33" s="1">
        <f t="shared" si="5"/>
        <v>5.302197802197802</v>
      </c>
      <c r="W33" s="1">
        <v>27.6</v>
      </c>
      <c r="X33" s="1">
        <v>53.6</v>
      </c>
      <c r="Y33" s="1">
        <v>8</v>
      </c>
      <c r="Z33" s="1">
        <v>100</v>
      </c>
      <c r="AA33" s="1">
        <v>0</v>
      </c>
      <c r="AB33" s="1">
        <v>0</v>
      </c>
      <c r="AC33" s="1">
        <v>0</v>
      </c>
      <c r="AD33" s="1">
        <v>21</v>
      </c>
      <c r="AE33" s="10" t="s">
        <v>85</v>
      </c>
      <c r="AF33" s="1">
        <f t="shared" si="7"/>
        <v>750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5" t="s">
        <v>75</v>
      </c>
      <c r="B34" s="15" t="s">
        <v>34</v>
      </c>
      <c r="C34" s="15"/>
      <c r="D34" s="15"/>
      <c r="E34" s="15"/>
      <c r="F34" s="15"/>
      <c r="G34" s="16">
        <v>0</v>
      </c>
      <c r="H34" s="15">
        <v>730</v>
      </c>
      <c r="I34" s="15" t="s">
        <v>38</v>
      </c>
      <c r="J34" s="15"/>
      <c r="K34" s="15"/>
      <c r="L34" s="15">
        <f t="shared" si="2"/>
        <v>0</v>
      </c>
      <c r="M34" s="15"/>
      <c r="N34" s="15"/>
      <c r="O34" s="17"/>
      <c r="P34" s="17"/>
      <c r="Q34" s="15">
        <f t="shared" si="3"/>
        <v>0</v>
      </c>
      <c r="R34" s="5"/>
      <c r="S34" s="18"/>
      <c r="T34" s="15"/>
      <c r="U34" s="15" t="e">
        <f t="shared" si="4"/>
        <v>#DIV/0!</v>
      </c>
      <c r="V34" s="15" t="e">
        <f t="shared" si="5"/>
        <v>#DIV/0!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10.8</v>
      </c>
      <c r="AE34" s="15"/>
      <c r="AF34" s="15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5" t="s">
        <v>76</v>
      </c>
      <c r="B35" s="15" t="s">
        <v>34</v>
      </c>
      <c r="C35" s="15">
        <v>104</v>
      </c>
      <c r="D35" s="15"/>
      <c r="E35" s="15">
        <v>1</v>
      </c>
      <c r="F35" s="15">
        <v>100</v>
      </c>
      <c r="G35" s="16">
        <v>0</v>
      </c>
      <c r="H35" s="15">
        <v>730</v>
      </c>
      <c r="I35" s="15" t="s">
        <v>38</v>
      </c>
      <c r="J35" s="15"/>
      <c r="K35" s="15"/>
      <c r="L35" s="15">
        <f t="shared" si="2"/>
        <v>1</v>
      </c>
      <c r="M35" s="15"/>
      <c r="N35" s="15"/>
      <c r="O35" s="17"/>
      <c r="P35" s="17"/>
      <c r="Q35" s="15">
        <f t="shared" si="3"/>
        <v>0.2</v>
      </c>
      <c r="R35" s="5"/>
      <c r="S35" s="18"/>
      <c r="T35" s="15"/>
      <c r="U35" s="15">
        <f t="shared" si="4"/>
        <v>500</v>
      </c>
      <c r="V35" s="15">
        <f t="shared" si="5"/>
        <v>500</v>
      </c>
      <c r="W35" s="15">
        <v>-1.4</v>
      </c>
      <c r="X35" s="15">
        <v>-0.8</v>
      </c>
      <c r="Y35" s="15">
        <v>0</v>
      </c>
      <c r="Z35" s="15">
        <v>0</v>
      </c>
      <c r="AA35" s="15">
        <v>-0.2</v>
      </c>
      <c r="AB35" s="15">
        <v>0</v>
      </c>
      <c r="AC35" s="15">
        <v>1</v>
      </c>
      <c r="AD35" s="15">
        <v>0</v>
      </c>
      <c r="AE35" s="20" t="s">
        <v>36</v>
      </c>
      <c r="AF35" s="15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34</v>
      </c>
      <c r="C36" s="1">
        <v>10</v>
      </c>
      <c r="D36" s="1"/>
      <c r="E36" s="1">
        <v>4</v>
      </c>
      <c r="F36" s="1">
        <v>6</v>
      </c>
      <c r="G36" s="8">
        <v>0.3</v>
      </c>
      <c r="H36" s="1" t="s">
        <v>40</v>
      </c>
      <c r="I36" s="1">
        <v>1010017917</v>
      </c>
      <c r="J36" s="1"/>
      <c r="K36" s="1"/>
      <c r="L36" s="1">
        <f t="shared" si="2"/>
        <v>4</v>
      </c>
      <c r="M36" s="1"/>
      <c r="N36" s="1"/>
      <c r="O36" s="11">
        <v>40</v>
      </c>
      <c r="P36" s="11">
        <v>50</v>
      </c>
      <c r="Q36" s="1">
        <f t="shared" si="3"/>
        <v>0.8</v>
      </c>
      <c r="R36" s="5"/>
      <c r="S36" s="5">
        <v>10</v>
      </c>
      <c r="T36" s="1"/>
      <c r="U36" s="1">
        <f t="shared" si="4"/>
        <v>7.5</v>
      </c>
      <c r="V36" s="1">
        <f t="shared" si="5"/>
        <v>7.5</v>
      </c>
      <c r="W36" s="1">
        <v>4.2</v>
      </c>
      <c r="X36" s="1">
        <v>2</v>
      </c>
      <c r="Y36" s="1">
        <v>1.6</v>
      </c>
      <c r="Z36" s="1">
        <v>0.6</v>
      </c>
      <c r="AA36" s="1">
        <v>2.8</v>
      </c>
      <c r="AB36" s="1">
        <v>0.4</v>
      </c>
      <c r="AC36" s="1">
        <v>5</v>
      </c>
      <c r="AD36" s="1">
        <v>-0.2</v>
      </c>
      <c r="AE36" s="1"/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34</v>
      </c>
      <c r="C37" s="1">
        <v>14</v>
      </c>
      <c r="D37" s="1"/>
      <c r="E37" s="1">
        <v>14</v>
      </c>
      <c r="F37" s="1"/>
      <c r="G37" s="8">
        <v>0.4</v>
      </c>
      <c r="H37" s="1">
        <v>730</v>
      </c>
      <c r="I37" s="1">
        <v>1010004259</v>
      </c>
      <c r="J37" s="1"/>
      <c r="K37" s="1"/>
      <c r="L37" s="1">
        <f t="shared" si="2"/>
        <v>14</v>
      </c>
      <c r="M37" s="1"/>
      <c r="N37" s="1"/>
      <c r="O37" s="11">
        <v>30</v>
      </c>
      <c r="P37" s="11">
        <v>40</v>
      </c>
      <c r="Q37" s="1">
        <f t="shared" si="3"/>
        <v>2.8</v>
      </c>
      <c r="R37" s="5"/>
      <c r="S37" s="5">
        <v>28</v>
      </c>
      <c r="T37" s="1"/>
      <c r="U37" s="1">
        <f t="shared" si="4"/>
        <v>0</v>
      </c>
      <c r="V37" s="1">
        <f t="shared" si="5"/>
        <v>0</v>
      </c>
      <c r="W37" s="1">
        <v>2.4</v>
      </c>
      <c r="X37" s="1">
        <v>0.6</v>
      </c>
      <c r="Y37" s="1">
        <v>1.8</v>
      </c>
      <c r="Z37" s="1">
        <v>1.4</v>
      </c>
      <c r="AA37" s="1">
        <v>1.2</v>
      </c>
      <c r="AB37" s="1">
        <v>0.6</v>
      </c>
      <c r="AC37" s="1">
        <v>4.2</v>
      </c>
      <c r="AD37" s="1">
        <v>0.4</v>
      </c>
      <c r="AE37" s="1"/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34</v>
      </c>
      <c r="C38" s="1">
        <v>15</v>
      </c>
      <c r="D38" s="1"/>
      <c r="E38" s="1">
        <v>7</v>
      </c>
      <c r="F38" s="1">
        <v>8</v>
      </c>
      <c r="G38" s="8">
        <v>0.3</v>
      </c>
      <c r="H38" s="1" t="s">
        <v>35</v>
      </c>
      <c r="I38" s="1">
        <v>1010013267</v>
      </c>
      <c r="J38" s="1"/>
      <c r="K38" s="1"/>
      <c r="L38" s="1">
        <f t="shared" si="2"/>
        <v>7</v>
      </c>
      <c r="M38" s="1"/>
      <c r="N38" s="1"/>
      <c r="O38" s="11">
        <v>30</v>
      </c>
      <c r="P38" s="11">
        <v>50</v>
      </c>
      <c r="Q38" s="1">
        <f t="shared" si="3"/>
        <v>1.4</v>
      </c>
      <c r="R38" s="5"/>
      <c r="S38" s="5">
        <v>6</v>
      </c>
      <c r="T38" s="1"/>
      <c r="U38" s="1">
        <f t="shared" si="4"/>
        <v>5.7142857142857144</v>
      </c>
      <c r="V38" s="1">
        <f t="shared" si="5"/>
        <v>5.7142857142857144</v>
      </c>
      <c r="W38" s="1">
        <v>3</v>
      </c>
      <c r="X38" s="1">
        <v>2</v>
      </c>
      <c r="Y38" s="1">
        <v>0.8</v>
      </c>
      <c r="Z38" s="1">
        <v>0</v>
      </c>
      <c r="AA38" s="1">
        <v>0.8</v>
      </c>
      <c r="AB38" s="1">
        <v>1.4</v>
      </c>
      <c r="AC38" s="1">
        <v>5</v>
      </c>
      <c r="AD38" s="1">
        <v>0</v>
      </c>
      <c r="AE38" s="1"/>
      <c r="AF38" s="1">
        <f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34</v>
      </c>
      <c r="C39" s="1">
        <v>10</v>
      </c>
      <c r="D39" s="1"/>
      <c r="E39" s="1">
        <v>8</v>
      </c>
      <c r="F39" s="1">
        <v>2</v>
      </c>
      <c r="G39" s="8">
        <v>0.3</v>
      </c>
      <c r="H39" s="1" t="s">
        <v>55</v>
      </c>
      <c r="I39" s="1">
        <v>1010027159</v>
      </c>
      <c r="J39" s="1"/>
      <c r="K39" s="1"/>
      <c r="L39" s="1">
        <f t="shared" si="2"/>
        <v>8</v>
      </c>
      <c r="M39" s="1"/>
      <c r="N39" s="1"/>
      <c r="O39" s="11">
        <v>30</v>
      </c>
      <c r="P39" s="11">
        <v>50</v>
      </c>
      <c r="Q39" s="1">
        <f t="shared" si="3"/>
        <v>1.6</v>
      </c>
      <c r="R39" s="5"/>
      <c r="S39" s="5">
        <v>14</v>
      </c>
      <c r="T39" s="1"/>
      <c r="U39" s="1">
        <f t="shared" si="4"/>
        <v>1.25</v>
      </c>
      <c r="V39" s="1">
        <f t="shared" si="5"/>
        <v>1.25</v>
      </c>
      <c r="W39" s="1">
        <v>2</v>
      </c>
      <c r="X39" s="1">
        <v>3.6</v>
      </c>
      <c r="Y39" s="1">
        <v>1</v>
      </c>
      <c r="Z39" s="1">
        <v>0</v>
      </c>
      <c r="AA39" s="1">
        <v>2.4</v>
      </c>
      <c r="AB39" s="1">
        <v>1</v>
      </c>
      <c r="AC39" s="1">
        <v>4.8</v>
      </c>
      <c r="AD39" s="1">
        <v>0</v>
      </c>
      <c r="AE39" s="1"/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1"/>
      <c r="P40" s="1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1"/>
      <c r="P41" s="1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1"/>
      <c r="P42" s="1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1"/>
      <c r="P43" s="1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1"/>
      <c r="P44" s="1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1"/>
      <c r="P45" s="1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1"/>
      <c r="P46" s="1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1"/>
      <c r="P47" s="1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1"/>
      <c r="P48" s="1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1"/>
      <c r="P49" s="1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1"/>
      <c r="P50" s="1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1"/>
      <c r="P51" s="1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1"/>
      <c r="P52" s="1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1"/>
      <c r="P53" s="1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1"/>
      <c r="P54" s="1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1"/>
      <c r="P55" s="1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1"/>
      <c r="P56" s="1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1"/>
      <c r="P57" s="1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1"/>
      <c r="P58" s="1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1"/>
      <c r="P59" s="1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1"/>
      <c r="P60" s="1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1"/>
      <c r="P61" s="1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1"/>
      <c r="P62" s="1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1"/>
      <c r="P63" s="1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1"/>
      <c r="P64" s="1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1"/>
      <c r="P65" s="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1"/>
      <c r="P66" s="1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1"/>
      <c r="P67" s="1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1"/>
      <c r="P68" s="1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1"/>
      <c r="P69" s="1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1"/>
      <c r="P70" s="1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1"/>
      <c r="P71" s="1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1"/>
      <c r="P72" s="1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1"/>
      <c r="P73" s="1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1"/>
      <c r="P74" s="1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1"/>
      <c r="P75" s="1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1"/>
      <c r="P76" s="1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1"/>
      <c r="P77" s="1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1"/>
      <c r="P78" s="1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1"/>
      <c r="P79" s="1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1"/>
      <c r="P80" s="1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1"/>
      <c r="P81" s="1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1"/>
      <c r="P82" s="1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1"/>
      <c r="P83" s="1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1"/>
      <c r="P84" s="1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1"/>
      <c r="P85" s="1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1"/>
      <c r="P86" s="1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1"/>
      <c r="P87" s="1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1"/>
      <c r="P88" s="1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1"/>
      <c r="P89" s="1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1"/>
      <c r="P90" s="1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1"/>
      <c r="P91" s="1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1"/>
      <c r="P92" s="1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1"/>
      <c r="P93" s="1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1"/>
      <c r="P94" s="1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1"/>
      <c r="P95" s="1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1"/>
      <c r="P96" s="1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1"/>
      <c r="P97" s="1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1"/>
      <c r="P98" s="1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1"/>
      <c r="P99" s="1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1"/>
      <c r="P100" s="1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1"/>
      <c r="P101" s="1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1"/>
      <c r="P102" s="1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1"/>
      <c r="P103" s="1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1"/>
      <c r="P104" s="1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1"/>
      <c r="P105" s="1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1"/>
      <c r="P106" s="1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1"/>
      <c r="P107" s="1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1"/>
      <c r="P108" s="1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1"/>
      <c r="P109" s="1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1"/>
      <c r="P110" s="1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1"/>
      <c r="P111" s="1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1"/>
      <c r="P112" s="1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1"/>
      <c r="P113" s="1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1"/>
      <c r="P114" s="1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1"/>
      <c r="P115" s="1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1"/>
      <c r="P116" s="1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1"/>
      <c r="P117" s="1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1"/>
      <c r="P118" s="1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1"/>
      <c r="P119" s="1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1"/>
      <c r="P120" s="1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1"/>
      <c r="P121" s="1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1"/>
      <c r="P122" s="1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1"/>
      <c r="P123" s="1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1"/>
      <c r="P124" s="1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1"/>
      <c r="P125" s="1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1"/>
      <c r="P126" s="1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1"/>
      <c r="P127" s="1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1"/>
      <c r="P128" s="1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1"/>
      <c r="P129" s="1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1"/>
      <c r="P130" s="1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1"/>
      <c r="P131" s="1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1"/>
      <c r="P132" s="1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1"/>
      <c r="P133" s="1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1"/>
      <c r="P134" s="1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1"/>
      <c r="P135" s="1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1"/>
      <c r="P136" s="1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1"/>
      <c r="P137" s="1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1"/>
      <c r="P138" s="1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1"/>
      <c r="P139" s="1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1"/>
      <c r="P140" s="1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1"/>
      <c r="P141" s="1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1"/>
      <c r="P142" s="1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1"/>
      <c r="P143" s="1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1"/>
      <c r="P144" s="1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1"/>
      <c r="P145" s="1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1"/>
      <c r="P146" s="1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1"/>
      <c r="P147" s="1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1"/>
      <c r="P148" s="1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1"/>
      <c r="P149" s="1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1"/>
      <c r="P150" s="1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1"/>
      <c r="P151" s="1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1"/>
      <c r="P152" s="1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1"/>
      <c r="P153" s="1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1"/>
      <c r="P154" s="1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1"/>
      <c r="P155" s="1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1"/>
      <c r="P156" s="1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1"/>
      <c r="P157" s="1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1"/>
      <c r="P158" s="1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1"/>
      <c r="P159" s="1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1"/>
      <c r="P160" s="1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1"/>
      <c r="P161" s="1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1"/>
      <c r="P162" s="1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1"/>
      <c r="P163" s="1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1"/>
      <c r="P164" s="1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1"/>
      <c r="P165" s="1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1"/>
      <c r="P166" s="1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1"/>
      <c r="P167" s="1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1"/>
      <c r="P168" s="1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1"/>
      <c r="P169" s="1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1"/>
      <c r="P170" s="1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1"/>
      <c r="P171" s="1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1"/>
      <c r="P172" s="1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1"/>
      <c r="P173" s="1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1"/>
      <c r="P174" s="1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1"/>
      <c r="P175" s="1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1"/>
      <c r="P176" s="1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1"/>
      <c r="P177" s="1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1"/>
      <c r="P178" s="1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1"/>
      <c r="P179" s="1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1"/>
      <c r="P180" s="1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1"/>
      <c r="P181" s="1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1"/>
      <c r="P182" s="1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1"/>
      <c r="P183" s="1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1"/>
      <c r="P184" s="1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1"/>
      <c r="P185" s="1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1"/>
      <c r="P186" s="1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1"/>
      <c r="P187" s="1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1"/>
      <c r="P188" s="1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1"/>
      <c r="P189" s="1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1"/>
      <c r="P190" s="1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1"/>
      <c r="P191" s="1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1"/>
      <c r="P192" s="1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1"/>
      <c r="P193" s="1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1"/>
      <c r="P194" s="1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1"/>
      <c r="P195" s="1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1"/>
      <c r="P196" s="1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1"/>
      <c r="P197" s="1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1"/>
      <c r="P198" s="1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1"/>
      <c r="P199" s="1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1"/>
      <c r="P200" s="1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1"/>
      <c r="P201" s="1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1"/>
      <c r="P202" s="1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1"/>
      <c r="P203" s="1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1"/>
      <c r="P204" s="1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1"/>
      <c r="P205" s="1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1"/>
      <c r="P206" s="1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1"/>
      <c r="P207" s="1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1"/>
      <c r="P208" s="1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1"/>
      <c r="P209" s="1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1"/>
      <c r="P210" s="1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1"/>
      <c r="P211" s="1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1"/>
      <c r="P212" s="1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1"/>
      <c r="P213" s="1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1"/>
      <c r="P214" s="1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1"/>
      <c r="P215" s="1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1"/>
      <c r="P216" s="1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1"/>
      <c r="P217" s="1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1"/>
      <c r="P218" s="1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1"/>
      <c r="P219" s="1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1"/>
      <c r="P220" s="1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1"/>
      <c r="P221" s="1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1"/>
      <c r="P222" s="1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1"/>
      <c r="P223" s="1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1"/>
      <c r="P224" s="1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1"/>
      <c r="P225" s="1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1"/>
      <c r="P226" s="1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1"/>
      <c r="P227" s="1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1"/>
      <c r="P228" s="1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1"/>
      <c r="P229" s="1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1"/>
      <c r="P230" s="1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1"/>
      <c r="P231" s="1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1"/>
      <c r="P232" s="1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1"/>
      <c r="P233" s="1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1"/>
      <c r="P234" s="1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1"/>
      <c r="P235" s="1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1"/>
      <c r="P236" s="1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1"/>
      <c r="P237" s="1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1"/>
      <c r="P238" s="1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1"/>
      <c r="P239" s="1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1"/>
      <c r="P240" s="1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1"/>
      <c r="P241" s="1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1"/>
      <c r="P242" s="1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1"/>
      <c r="P243" s="1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1"/>
      <c r="P244" s="1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1"/>
      <c r="P245" s="1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1"/>
      <c r="P246" s="1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1"/>
      <c r="P247" s="1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1"/>
      <c r="P248" s="1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1"/>
      <c r="P249" s="1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1"/>
      <c r="P250" s="1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1"/>
      <c r="P251" s="1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1"/>
      <c r="P252" s="1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1"/>
      <c r="P253" s="1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1"/>
      <c r="P254" s="1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1"/>
      <c r="P255" s="1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1"/>
      <c r="P256" s="1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1"/>
      <c r="P257" s="1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1"/>
      <c r="P258" s="1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1"/>
      <c r="P259" s="1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1"/>
      <c r="P260" s="1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1"/>
      <c r="P261" s="1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1"/>
      <c r="P262" s="1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1"/>
      <c r="P263" s="1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1"/>
      <c r="P264" s="1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1"/>
      <c r="P265" s="1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1"/>
      <c r="P266" s="1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1"/>
      <c r="P267" s="1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1"/>
      <c r="P268" s="1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1"/>
      <c r="P269" s="1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1"/>
      <c r="P270" s="1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1"/>
      <c r="P271" s="1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1"/>
      <c r="P272" s="1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1"/>
      <c r="P273" s="1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1"/>
      <c r="P274" s="1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1"/>
      <c r="P275" s="1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1"/>
      <c r="P276" s="1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1"/>
      <c r="P277" s="1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1"/>
      <c r="P278" s="1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1"/>
      <c r="P279" s="1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1"/>
      <c r="P280" s="1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1"/>
      <c r="P281" s="1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1"/>
      <c r="P282" s="1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1"/>
      <c r="P283" s="1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1"/>
      <c r="P284" s="1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1"/>
      <c r="P285" s="1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1"/>
      <c r="P286" s="1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1"/>
      <c r="P287" s="1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1"/>
      <c r="P288" s="1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1"/>
      <c r="P289" s="1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1"/>
      <c r="P290" s="1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1"/>
      <c r="P291" s="1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1"/>
      <c r="P292" s="1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1"/>
      <c r="P293" s="1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1"/>
      <c r="P294" s="1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1"/>
      <c r="P295" s="1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1"/>
      <c r="P296" s="1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1"/>
      <c r="P297" s="1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1"/>
      <c r="P298" s="1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1"/>
      <c r="P299" s="1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1"/>
      <c r="P300" s="1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1"/>
      <c r="P301" s="1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1"/>
      <c r="P302" s="1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1"/>
      <c r="P303" s="1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1"/>
      <c r="P304" s="1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1"/>
      <c r="P305" s="1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1"/>
      <c r="P306" s="1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1"/>
      <c r="P307" s="1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1"/>
      <c r="P308" s="1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1"/>
      <c r="P309" s="1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1"/>
      <c r="P310" s="1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1"/>
      <c r="P311" s="1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1"/>
      <c r="P312" s="1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1"/>
      <c r="P313" s="1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1"/>
      <c r="P314" s="1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1"/>
      <c r="P315" s="1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1"/>
      <c r="P316" s="1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1"/>
      <c r="P317" s="1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1"/>
      <c r="P318" s="1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1"/>
      <c r="P319" s="1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1"/>
      <c r="P320" s="1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1"/>
      <c r="P321" s="1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1"/>
      <c r="P322" s="1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1"/>
      <c r="P323" s="1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1"/>
      <c r="P324" s="1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1"/>
      <c r="P325" s="1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1"/>
      <c r="P326" s="1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1"/>
      <c r="P327" s="1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1"/>
      <c r="P328" s="1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1"/>
      <c r="P329" s="1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1"/>
      <c r="P330" s="1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1"/>
      <c r="P331" s="1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1"/>
      <c r="P332" s="1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1"/>
      <c r="P333" s="1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1"/>
      <c r="P334" s="1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1"/>
      <c r="P335" s="1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1"/>
      <c r="P336" s="1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1"/>
      <c r="P337" s="1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1"/>
      <c r="P338" s="1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1"/>
      <c r="P339" s="1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1"/>
      <c r="P340" s="1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1"/>
      <c r="P341" s="1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1"/>
      <c r="P342" s="1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1"/>
      <c r="P343" s="1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1"/>
      <c r="P344" s="1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1"/>
      <c r="P345" s="1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1"/>
      <c r="P346" s="1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1"/>
      <c r="P347" s="1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1"/>
      <c r="P348" s="1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1"/>
      <c r="P349" s="1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1"/>
      <c r="P350" s="1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1"/>
      <c r="P351" s="1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1"/>
      <c r="P352" s="1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1"/>
      <c r="P353" s="1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1"/>
      <c r="P354" s="1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1"/>
      <c r="P355" s="1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1"/>
      <c r="P356" s="1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1"/>
      <c r="P357" s="1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1"/>
      <c r="P358" s="1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1"/>
      <c r="P359" s="1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1"/>
      <c r="P360" s="1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1"/>
      <c r="P361" s="1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1"/>
      <c r="P362" s="1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1"/>
      <c r="P363" s="1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1"/>
      <c r="P364" s="1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1"/>
      <c r="P365" s="1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1"/>
      <c r="P366" s="1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1"/>
      <c r="P367" s="1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1"/>
      <c r="P368" s="1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1"/>
      <c r="P369" s="1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1"/>
      <c r="P370" s="1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1"/>
      <c r="P371" s="1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1"/>
      <c r="P372" s="1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1"/>
      <c r="P373" s="1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1"/>
      <c r="P374" s="1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1"/>
      <c r="P375" s="1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1"/>
      <c r="P376" s="1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1"/>
      <c r="P377" s="1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1"/>
      <c r="P378" s="1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1"/>
      <c r="P379" s="1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1"/>
      <c r="P380" s="1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1"/>
      <c r="P381" s="1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1"/>
      <c r="P382" s="1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1"/>
      <c r="P383" s="1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1"/>
      <c r="P384" s="1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1"/>
      <c r="P385" s="1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1"/>
      <c r="P386" s="1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1"/>
      <c r="P387" s="1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1"/>
      <c r="P388" s="1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1"/>
      <c r="P389" s="1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1"/>
      <c r="P390" s="1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1"/>
      <c r="P391" s="1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1"/>
      <c r="P392" s="1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1"/>
      <c r="P393" s="1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1"/>
      <c r="P394" s="1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1"/>
      <c r="P395" s="1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1"/>
      <c r="P396" s="1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1"/>
      <c r="P397" s="1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1"/>
      <c r="P398" s="1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1"/>
      <c r="P399" s="1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1"/>
      <c r="P400" s="1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1"/>
      <c r="P401" s="1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1"/>
      <c r="P402" s="1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1"/>
      <c r="P403" s="1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1"/>
      <c r="P404" s="1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1"/>
      <c r="P405" s="1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1"/>
      <c r="P406" s="1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1"/>
      <c r="P407" s="1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1"/>
      <c r="P408" s="1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1"/>
      <c r="P409" s="1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1"/>
      <c r="P410" s="1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1"/>
      <c r="P411" s="1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1"/>
      <c r="P412" s="1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1"/>
      <c r="P413" s="1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1"/>
      <c r="P414" s="1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1"/>
      <c r="P415" s="1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1"/>
      <c r="P416" s="1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1"/>
      <c r="P417" s="1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1"/>
      <c r="P418" s="1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1"/>
      <c r="P419" s="1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1"/>
      <c r="P420" s="1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1"/>
      <c r="P421" s="1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1"/>
      <c r="P422" s="1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1"/>
      <c r="P423" s="1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1"/>
      <c r="P424" s="1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1"/>
      <c r="P425" s="1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1"/>
      <c r="P426" s="1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1"/>
      <c r="P427" s="1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1"/>
      <c r="P428" s="1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1"/>
      <c r="P429" s="1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1"/>
      <c r="P430" s="1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1"/>
      <c r="P431" s="1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1"/>
      <c r="P432" s="1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1"/>
      <c r="P433" s="1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1"/>
      <c r="P434" s="1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1"/>
      <c r="P435" s="1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1"/>
      <c r="P436" s="1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1"/>
      <c r="P437" s="1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1"/>
      <c r="P438" s="1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1"/>
      <c r="P439" s="1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1"/>
      <c r="P440" s="1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1"/>
      <c r="P441" s="1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1"/>
      <c r="P442" s="1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1"/>
      <c r="P443" s="1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1"/>
      <c r="P444" s="1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1"/>
      <c r="P445" s="1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1"/>
      <c r="P446" s="1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1"/>
      <c r="P447" s="1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1"/>
      <c r="P448" s="1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1"/>
      <c r="P449" s="1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1"/>
      <c r="P450" s="1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1"/>
      <c r="P451" s="1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1"/>
      <c r="P452" s="1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1"/>
      <c r="P453" s="1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1"/>
      <c r="P454" s="1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1"/>
      <c r="P455" s="1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1"/>
      <c r="P456" s="1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1"/>
      <c r="P457" s="1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1"/>
      <c r="P458" s="1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1"/>
      <c r="P459" s="1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1"/>
      <c r="P460" s="1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1"/>
      <c r="P461" s="1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1"/>
      <c r="P462" s="1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1"/>
      <c r="P463" s="1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1"/>
      <c r="P464" s="1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1"/>
      <c r="P465" s="1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1"/>
      <c r="P466" s="1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1"/>
      <c r="P467" s="1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1"/>
      <c r="P468" s="1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1"/>
      <c r="P469" s="1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1"/>
      <c r="P470" s="1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1"/>
      <c r="P471" s="1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1"/>
      <c r="P472" s="1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1"/>
      <c r="P473" s="1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1"/>
      <c r="P474" s="1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1"/>
      <c r="P475" s="1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1"/>
      <c r="P476" s="1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1"/>
      <c r="P477" s="1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1"/>
      <c r="P478" s="1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1"/>
      <c r="P479" s="1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1"/>
      <c r="P480" s="1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1"/>
      <c r="P481" s="1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1"/>
      <c r="P482" s="1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1"/>
      <c r="P483" s="1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1"/>
      <c r="P484" s="1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1"/>
      <c r="P485" s="1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1"/>
      <c r="P486" s="1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1"/>
      <c r="P487" s="1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1"/>
      <c r="P488" s="1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1"/>
      <c r="P489" s="1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1"/>
      <c r="P490" s="1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1"/>
      <c r="P491" s="1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1"/>
      <c r="P492" s="1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1"/>
      <c r="P493" s="1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1"/>
      <c r="P494" s="1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1"/>
      <c r="P495" s="1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1"/>
      <c r="P496" s="1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</sheetData>
  <autoFilter ref="A3:AF39" xr:uid="{00000000-0009-0000-0000-000000000000}"/>
  <mergeCells count="1">
    <mergeCell ref="O1:P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2025-12-01T10:47:37Z</dcterms:created>
  <dcterms:modified xsi:type="dcterms:W3CDTF">2025-12-05T12:54:46Z</dcterms:modified>
</cp:coreProperties>
</file>