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МИРАТОРГ\2025\12,25\08,12,25 Мираторг ЗПФ Ташкент\"/>
    </mc:Choice>
  </mc:AlternateContent>
  <xr:revisionPtr revIDLastSave="0" documentId="13_ncr:1_{0E7BD4BE-D678-40EB-9023-6861E898DA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Sheet!$A$3:$AF$38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" i="1" l="1"/>
  <c r="AF8" i="1"/>
  <c r="AF9" i="1"/>
  <c r="AF10" i="1"/>
  <c r="AF11" i="1"/>
  <c r="AF12" i="1"/>
  <c r="AF13" i="1"/>
  <c r="AF14" i="1"/>
  <c r="AF15" i="1"/>
  <c r="AF16" i="1"/>
  <c r="AF17" i="1"/>
  <c r="AF20" i="1"/>
  <c r="AF21" i="1"/>
  <c r="AF22" i="1"/>
  <c r="AF23" i="1"/>
  <c r="AF24" i="1"/>
  <c r="AF26" i="1"/>
  <c r="AF29" i="1"/>
  <c r="AF30" i="1"/>
  <c r="AF31" i="1"/>
  <c r="AF33" i="1"/>
  <c r="AF34" i="1"/>
  <c r="AF35" i="1"/>
  <c r="AF36" i="1"/>
  <c r="AF37" i="1"/>
  <c r="AF38" i="1"/>
  <c r="AF6" i="1"/>
  <c r="R28" i="1"/>
  <c r="AF28" i="1" s="1"/>
  <c r="R19" i="1"/>
  <c r="AF19" i="1" s="1"/>
  <c r="S7" i="1"/>
  <c r="S8" i="1"/>
  <c r="S9" i="1"/>
  <c r="S10" i="1"/>
  <c r="S11" i="1"/>
  <c r="S12" i="1"/>
  <c r="S13" i="1"/>
  <c r="S14" i="1"/>
  <c r="S15" i="1"/>
  <c r="S16" i="1"/>
  <c r="S17" i="1"/>
  <c r="S18" i="1"/>
  <c r="R18" i="1" s="1"/>
  <c r="S19" i="1"/>
  <c r="S20" i="1"/>
  <c r="S21" i="1"/>
  <c r="S22" i="1"/>
  <c r="S23" i="1"/>
  <c r="S24" i="1"/>
  <c r="S25" i="1"/>
  <c r="R25" i="1" s="1"/>
  <c r="AF25" i="1" s="1"/>
  <c r="S26" i="1"/>
  <c r="S27" i="1"/>
  <c r="R27" i="1" s="1"/>
  <c r="AF27" i="1" s="1"/>
  <c r="S29" i="1"/>
  <c r="S30" i="1"/>
  <c r="S31" i="1"/>
  <c r="S32" i="1"/>
  <c r="R32" i="1" s="1"/>
  <c r="AF32" i="1" s="1"/>
  <c r="S33" i="1"/>
  <c r="S34" i="1"/>
  <c r="S35" i="1"/>
  <c r="S36" i="1"/>
  <c r="S37" i="1"/>
  <c r="S38" i="1"/>
  <c r="S6" i="1"/>
  <c r="AF18" i="1" l="1"/>
  <c r="R5" i="1"/>
  <c r="P7" i="1"/>
  <c r="U7" i="1" s="1"/>
  <c r="P8" i="1"/>
  <c r="Q8" i="1" s="1"/>
  <c r="P9" i="1"/>
  <c r="P10" i="1"/>
  <c r="P11" i="1"/>
  <c r="P12" i="1"/>
  <c r="U12" i="1" s="1"/>
  <c r="P13" i="1"/>
  <c r="P14" i="1"/>
  <c r="P15" i="1"/>
  <c r="P16" i="1"/>
  <c r="P17" i="1"/>
  <c r="P18" i="1"/>
  <c r="P19" i="1"/>
  <c r="P20" i="1"/>
  <c r="U20" i="1" s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U34" i="1" s="1"/>
  <c r="P35" i="1"/>
  <c r="P36" i="1"/>
  <c r="P37" i="1"/>
  <c r="P38" i="1"/>
  <c r="P6" i="1"/>
  <c r="V6" i="1" s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F5" i="1"/>
  <c r="E5" i="1"/>
  <c r="U17" i="1" l="1"/>
  <c r="U13" i="1"/>
  <c r="U9" i="1"/>
  <c r="U36" i="1"/>
  <c r="Q11" i="1"/>
  <c r="Q18" i="1"/>
  <c r="U32" i="1"/>
  <c r="U30" i="1"/>
  <c r="U28" i="1"/>
  <c r="U26" i="1"/>
  <c r="U24" i="1"/>
  <c r="U22" i="1"/>
  <c r="U10" i="1"/>
  <c r="U8" i="1"/>
  <c r="V36" i="1"/>
  <c r="V33" i="1"/>
  <c r="V29" i="1"/>
  <c r="V25" i="1"/>
  <c r="V21" i="1"/>
  <c r="V17" i="1"/>
  <c r="V13" i="1"/>
  <c r="V9" i="1"/>
  <c r="L5" i="1"/>
  <c r="V38" i="1"/>
  <c r="V34" i="1"/>
  <c r="V31" i="1"/>
  <c r="V27" i="1"/>
  <c r="V23" i="1"/>
  <c r="V19" i="1"/>
  <c r="V15" i="1"/>
  <c r="V11" i="1"/>
  <c r="V7" i="1"/>
  <c r="V37" i="1"/>
  <c r="V35" i="1"/>
  <c r="V32" i="1"/>
  <c r="V30" i="1"/>
  <c r="V28" i="1"/>
  <c r="V26" i="1"/>
  <c r="V24" i="1"/>
  <c r="V22" i="1"/>
  <c r="V20" i="1"/>
  <c r="V18" i="1"/>
  <c r="V16" i="1"/>
  <c r="V14" i="1"/>
  <c r="V12" i="1"/>
  <c r="V10" i="1"/>
  <c r="V8" i="1"/>
  <c r="P5" i="1"/>
  <c r="AF5" i="1" l="1"/>
  <c r="U16" i="1"/>
  <c r="U21" i="1"/>
  <c r="U25" i="1"/>
  <c r="U29" i="1"/>
  <c r="U33" i="1"/>
  <c r="U37" i="1"/>
  <c r="U6" i="1"/>
  <c r="Q5" i="1"/>
  <c r="U14" i="1"/>
  <c r="U18" i="1"/>
  <c r="U38" i="1"/>
  <c r="U11" i="1"/>
  <c r="U15" i="1"/>
  <c r="U19" i="1"/>
  <c r="U23" i="1"/>
  <c r="U27" i="1"/>
  <c r="U31" i="1"/>
  <c r="U35" i="1"/>
</calcChain>
</file>

<file path=xl/sharedStrings.xml><?xml version="1.0" encoding="utf-8"?>
<sst xmlns="http://schemas.openxmlformats.org/spreadsheetml/2006/main" count="153" uniqueCount="85">
  <si>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</si>
  <si>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</si>
  <si>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</si>
  <si>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</si>
  <si>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</si>
  <si>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</si>
  <si>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</si>
  <si>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</si>
  <si>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</si>
  <si>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</si>
  <si>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</si>
  <si>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</si>
  <si>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</si>
  <si>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</si>
  <si>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</si>
  <si>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</si>
  <si>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</si>
  <si>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</si>
  <si>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</si>
  <si>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</si>
  <si>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</si>
  <si>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</si>
  <si>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</si>
  <si>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</si>
  <si>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</si>
  <si>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</si>
  <si>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</si>
  <si>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</si>
  <si>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</si>
  <si>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</si>
  <si>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</si>
  <si>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</si>
  <si>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</si>
  <si>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Брокколи капуста 400 ЗАМ  МИРАТОРГ</t>
  </si>
  <si>
    <t>шт</t>
  </si>
  <si>
    <t>365?</t>
  </si>
  <si>
    <t>Бургер Класс из мр гов зам ШТ 1,05кг TF *6  МИРАТОРГ</t>
  </si>
  <si>
    <t>нет в бланке</t>
  </si>
  <si>
    <t>нужно увеличить продажи!!!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</si>
  <si>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</si>
  <si>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</si>
  <si>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</si>
  <si>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</si>
  <si>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</si>
  <si>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</si>
  <si>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</si>
  <si>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</si>
  <si>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</si>
  <si>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нужно увеличить продажи</t>
  </si>
  <si>
    <t>Микс полезных овощей 400 зам  МИРАТОРГ</t>
  </si>
  <si>
    <t>Наггетсы Куриные с сыром 250г*12 зам  МИРАТОРГ</t>
  </si>
  <si>
    <t>новинка</t>
  </si>
  <si>
    <t>нет в бланке для заказа</t>
  </si>
  <si>
    <t>Наггетсы куриные Классические 300г*12 (3,6кг) Мираторг Россия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</si>
  <si>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</si>
  <si>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</si>
  <si>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</si>
  <si>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</si>
  <si>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</si>
  <si>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</si>
  <si>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</si>
  <si>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</si>
  <si>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</si>
  <si>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</si>
  <si>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</si>
  <si>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</si>
  <si>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</si>
  <si>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</si>
  <si>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</si>
  <si>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</si>
  <si>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</si>
  <si>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</si>
  <si>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</si>
  <si>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</si>
  <si>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</si>
  <si>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</si>
  <si>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</si>
  <si>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</si>
  <si>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завод не отгружает!!! / 06,03,25 списано 4562шт. / нет в бланке для заказа</t>
  </si>
  <si>
    <t>завод не отгружает!!! / 17,08,25 списано 11шт. / нет в бланке для заказа</t>
  </si>
  <si>
    <t>завод не отгружает!!!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</si>
  <si>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завод не отгружает!!! / нет в бланке для заказа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</si>
  <si>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17,08,25 списано 12шт.</t>
    </r>
  </si>
  <si>
    <t>заказ</t>
  </si>
  <si>
    <t>19,12,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</si>
</sst>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164" fontId="1" fillId="5" borderId="1" xfId="1" applyNumberFormat="1" applyFill="1"/>
    <xf numFmtId="2" fontId="1" fillId="0" borderId="1" xfId="1" applyNumberFormat="1"/>
    <xf numFmtId="2" fontId="2" fillId="2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4" fillId="7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16,12,25%20&#1090;&#1096;&#1088;&#1089;&#1095;%20&#1084;&#1088;&#1090;&#1088;&#1075;%20&#1079;&#1087;&#10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O1" t="str">
            <v>поставок не было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F4" t="str">
            <v>15,12,</v>
          </cell>
          <cell r="Q4" t="str">
            <v>01,12,</v>
          </cell>
        </row>
        <row r="5">
          <cell r="E5">
            <v>588</v>
          </cell>
          <cell r="F5">
            <v>2310</v>
          </cell>
          <cell r="K5">
            <v>0</v>
          </cell>
          <cell r="L5">
            <v>588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117.60000000000001</v>
          </cell>
          <cell r="R5">
            <v>-1134</v>
          </cell>
          <cell r="S5">
            <v>330</v>
          </cell>
        </row>
        <row r="6">
          <cell r="A6" t="str">
            <v>Брокколи капуста 400 ЗАМ  МИРАТОРГ</v>
          </cell>
          <cell r="B6" t="str">
            <v>шт</v>
          </cell>
          <cell r="C6">
            <v>4</v>
          </cell>
          <cell r="F6">
            <v>47</v>
          </cell>
          <cell r="G6">
            <v>0.4</v>
          </cell>
          <cell r="H6" t="str">
            <v>365?</v>
          </cell>
          <cell r="I6">
            <v>1010011725</v>
          </cell>
          <cell r="L6">
            <v>0</v>
          </cell>
          <cell r="Q6">
            <v>0</v>
          </cell>
          <cell r="R6">
            <v>-47</v>
          </cell>
        </row>
        <row r="7">
          <cell r="A7" t="str">
            <v>Бургер Класс из мр гов зам ШТ 1,05кг TF *6  МИРАТОРГ</v>
          </cell>
          <cell r="B7" t="str">
            <v>шт</v>
          </cell>
          <cell r="C7">
            <v>12</v>
          </cell>
          <cell r="F7">
            <v>6</v>
          </cell>
          <cell r="G7">
            <v>0</v>
          </cell>
          <cell r="H7">
            <v>730</v>
          </cell>
          <cell r="I7" t="str">
            <v>нет в бланке</v>
          </cell>
          <cell r="L7">
            <v>0</v>
          </cell>
          <cell r="Q7">
            <v>0</v>
          </cell>
          <cell r="R7">
            <v>-6</v>
          </cell>
        </row>
        <row r="8">
          <cell r="A8" t="str">
            <v>Вишня б/косточки с/м 300г*20 (6кг) Мираторг Россия</v>
          </cell>
          <cell r="B8" t="str">
            <v>шт</v>
          </cell>
          <cell r="C8">
            <v>58</v>
          </cell>
          <cell r="E8">
            <v>8</v>
          </cell>
          <cell r="F8">
            <v>47</v>
          </cell>
          <cell r="G8">
            <v>0.3</v>
          </cell>
          <cell r="H8" t="str">
            <v>???</v>
          </cell>
          <cell r="I8">
            <v>1010004270</v>
          </cell>
          <cell r="L8">
            <v>8</v>
          </cell>
          <cell r="Q8">
            <v>1.6</v>
          </cell>
          <cell r="R8">
            <v>-31</v>
          </cell>
        </row>
        <row r="9">
          <cell r="A9" t="str">
            <v>Гавайская смесь 400г*20 (8кг) Vитамин Мираторг РОССИЯ  МИРАТОРГ</v>
          </cell>
          <cell r="B9" t="str">
            <v>шт</v>
          </cell>
          <cell r="C9">
            <v>33</v>
          </cell>
          <cell r="E9">
            <v>8</v>
          </cell>
          <cell r="F9">
            <v>130</v>
          </cell>
          <cell r="G9">
            <v>0.4</v>
          </cell>
          <cell r="H9">
            <v>730</v>
          </cell>
          <cell r="I9">
            <v>1010004227</v>
          </cell>
          <cell r="L9">
            <v>8</v>
          </cell>
          <cell r="Q9">
            <v>1.6</v>
          </cell>
          <cell r="R9">
            <v>-114</v>
          </cell>
        </row>
        <row r="10">
          <cell r="A10" t="str">
            <v>Итальянская смесь с/м 400г*10 (4кг) Vитамин  МИРАТОРГ</v>
          </cell>
          <cell r="B10" t="str">
            <v>шт</v>
          </cell>
          <cell r="C10">
            <v>40</v>
          </cell>
          <cell r="E10">
            <v>14</v>
          </cell>
          <cell r="F10">
            <v>69</v>
          </cell>
          <cell r="G10">
            <v>0.4</v>
          </cell>
          <cell r="H10">
            <v>730</v>
          </cell>
          <cell r="I10">
            <v>1010011730</v>
          </cell>
          <cell r="L10">
            <v>14</v>
          </cell>
          <cell r="Q10">
            <v>2.8</v>
          </cell>
          <cell r="R10">
            <v>-41</v>
          </cell>
        </row>
        <row r="11">
          <cell r="A11" t="str">
            <v>Карибская смесь с/м 400г*10 (4кг) Мираторг Россия</v>
          </cell>
          <cell r="B11" t="str">
            <v>шт</v>
          </cell>
          <cell r="C11">
            <v>65</v>
          </cell>
          <cell r="E11">
            <v>5</v>
          </cell>
          <cell r="F11">
            <v>41</v>
          </cell>
          <cell r="G11">
            <v>0.4</v>
          </cell>
          <cell r="H11" t="str">
            <v>???</v>
          </cell>
          <cell r="I11">
            <v>1010011735</v>
          </cell>
          <cell r="L11">
            <v>5</v>
          </cell>
          <cell r="Q11">
            <v>1</v>
          </cell>
          <cell r="R11">
            <v>-31</v>
          </cell>
        </row>
        <row r="12">
          <cell r="A12" t="str">
            <v>Картофель дольки с кожурой по-деревенски 400г*9 (3,6кг) ООО "Мираторг Запад" РОССИЯ</v>
          </cell>
          <cell r="B12" t="str">
            <v>шт</v>
          </cell>
          <cell r="C12">
            <v>1</v>
          </cell>
          <cell r="F12">
            <v>1</v>
          </cell>
          <cell r="G12">
            <v>0</v>
          </cell>
          <cell r="H12" t="str">
            <v>???</v>
          </cell>
          <cell r="I12" t="str">
            <v>нет в бланке</v>
          </cell>
          <cell r="L12">
            <v>0</v>
          </cell>
          <cell r="Q12">
            <v>0</v>
          </cell>
          <cell r="R12">
            <v>-1</v>
          </cell>
        </row>
        <row r="13">
          <cell r="A13" t="str">
            <v>Картофель фри с/м 500г*10 (5кг) МИРАТОРГ Россия</v>
          </cell>
          <cell r="B13" t="str">
            <v>шт</v>
          </cell>
          <cell r="C13">
            <v>40</v>
          </cell>
          <cell r="E13">
            <v>8</v>
          </cell>
          <cell r="F13">
            <v>94</v>
          </cell>
          <cell r="G13">
            <v>0.5</v>
          </cell>
          <cell r="H13">
            <v>730</v>
          </cell>
          <cell r="I13">
            <v>1010027797</v>
          </cell>
          <cell r="L13">
            <v>8</v>
          </cell>
          <cell r="Q13">
            <v>1.6</v>
          </cell>
          <cell r="R13">
            <v>-78</v>
          </cell>
        </row>
        <row r="14">
          <cell r="A14" t="str">
            <v>Лечо по-венгерски 0,4кг ОФ зам кор  МИРАТОРГ</v>
          </cell>
          <cell r="B14" t="str">
            <v>шт</v>
          </cell>
          <cell r="C14">
            <v>26</v>
          </cell>
          <cell r="E14">
            <v>1</v>
          </cell>
          <cell r="F14">
            <v>57</v>
          </cell>
          <cell r="G14">
            <v>0.4</v>
          </cell>
          <cell r="H14">
            <v>730</v>
          </cell>
          <cell r="I14">
            <v>1010004229</v>
          </cell>
          <cell r="L14">
            <v>1</v>
          </cell>
          <cell r="Q14">
            <v>0.2</v>
          </cell>
          <cell r="R14">
            <v>-55</v>
          </cell>
        </row>
        <row r="15">
          <cell r="A15" t="str">
            <v>Мексиканская смесь с/м 400г*10 (4кг) Мираторг Россия</v>
          </cell>
          <cell r="B15" t="str">
            <v>шт</v>
          </cell>
          <cell r="C15">
            <v>30</v>
          </cell>
          <cell r="E15">
            <v>8</v>
          </cell>
          <cell r="F15">
            <v>44</v>
          </cell>
          <cell r="G15">
            <v>0.4</v>
          </cell>
          <cell r="H15" t="str">
            <v>???</v>
          </cell>
          <cell r="I15">
            <v>1010011737</v>
          </cell>
          <cell r="L15">
            <v>8</v>
          </cell>
          <cell r="Q15">
            <v>1.6</v>
          </cell>
          <cell r="R15">
            <v>-28</v>
          </cell>
        </row>
        <row r="16">
          <cell r="A16" t="str">
            <v>Микс полезных овощей 400 зам  МИРАТОРГ</v>
          </cell>
          <cell r="B16" t="str">
            <v>шт</v>
          </cell>
          <cell r="C16">
            <v>21</v>
          </cell>
          <cell r="E16">
            <v>2</v>
          </cell>
          <cell r="F16">
            <v>53</v>
          </cell>
          <cell r="G16">
            <v>0.4</v>
          </cell>
          <cell r="H16">
            <v>730</v>
          </cell>
          <cell r="I16">
            <v>1010024886</v>
          </cell>
          <cell r="L16">
            <v>2</v>
          </cell>
          <cell r="Q16">
            <v>0.4</v>
          </cell>
          <cell r="R16">
            <v>-49</v>
          </cell>
        </row>
        <row r="17">
          <cell r="A17" t="str">
            <v>Наггетсы Куриные с сыром 250г*12 зам  МИРАТОРГ</v>
          </cell>
          <cell r="B17" t="str">
            <v>шт</v>
          </cell>
          <cell r="C17">
            <v>45</v>
          </cell>
          <cell r="E17">
            <v>43</v>
          </cell>
          <cell r="F17">
            <v>118</v>
          </cell>
          <cell r="G17">
            <v>0.3</v>
          </cell>
          <cell r="H17" t="str">
            <v>???</v>
          </cell>
          <cell r="I17" t="str">
            <v>новинка</v>
          </cell>
          <cell r="L17">
            <v>43</v>
          </cell>
          <cell r="Q17">
            <v>8.6</v>
          </cell>
          <cell r="R17">
            <v>-32</v>
          </cell>
        </row>
        <row r="18">
          <cell r="A18" t="str">
            <v>Наггетсы куриные Классические 300г*12 (3,6кг) Мираторг Россия</v>
          </cell>
          <cell r="B18" t="str">
            <v>шт</v>
          </cell>
          <cell r="C18">
            <v>227</v>
          </cell>
          <cell r="E18">
            <v>69</v>
          </cell>
          <cell r="F18">
            <v>118</v>
          </cell>
          <cell r="G18">
            <v>0.3</v>
          </cell>
          <cell r="H18" t="str">
            <v>???</v>
          </cell>
          <cell r="I18">
            <v>1010003817</v>
          </cell>
          <cell r="L18">
            <v>69</v>
          </cell>
          <cell r="Q18">
            <v>13.8</v>
          </cell>
          <cell r="R18">
            <v>20</v>
          </cell>
          <cell r="S18">
            <v>60</v>
          </cell>
        </row>
        <row r="19">
          <cell r="A19" t="str">
            <v>Наггетсы куриные хрустящие 300г*12 (3,6кг) Мираторг Россия</v>
          </cell>
          <cell r="B19" t="str">
            <v>шт</v>
          </cell>
          <cell r="C19">
            <v>168</v>
          </cell>
          <cell r="E19">
            <v>67</v>
          </cell>
          <cell r="F19">
            <v>142</v>
          </cell>
          <cell r="G19">
            <v>0.3</v>
          </cell>
          <cell r="H19" t="str">
            <v>730?</v>
          </cell>
          <cell r="I19">
            <v>1010003874</v>
          </cell>
          <cell r="L19">
            <v>67</v>
          </cell>
          <cell r="Q19">
            <v>13.4</v>
          </cell>
          <cell r="R19">
            <v>-8</v>
          </cell>
          <cell r="S19">
            <v>30</v>
          </cell>
        </row>
        <row r="20">
          <cell r="A20" t="str">
            <v>Палочки рыбные из фарша тресковых пород 270г*12 (3,24кг) ООО "Мираторг Запад" РОССИЯ  МИРАТОРГ</v>
          </cell>
          <cell r="B20" t="str">
            <v>шт</v>
          </cell>
          <cell r="C20">
            <v>4</v>
          </cell>
          <cell r="E20">
            <v>-3</v>
          </cell>
          <cell r="F20">
            <v>4</v>
          </cell>
          <cell r="G20">
            <v>0</v>
          </cell>
          <cell r="H20" t="str">
            <v>365?</v>
          </cell>
          <cell r="I20" t="str">
            <v>вывод / 1010027778</v>
          </cell>
          <cell r="L20">
            <v>-3</v>
          </cell>
          <cell r="Q20">
            <v>-0.6</v>
          </cell>
          <cell r="R20">
            <v>-10</v>
          </cell>
        </row>
        <row r="21">
          <cell r="A21" t="str">
            <v>Пельмени "Из мраморной говядины" с/м пленка  400г*16(6,4кг) BLACK ANGUS Мираторг (Брянск) Россия</v>
          </cell>
          <cell r="B21" t="str">
            <v>шт</v>
          </cell>
          <cell r="C21">
            <v>91</v>
          </cell>
          <cell r="E21">
            <v>27</v>
          </cell>
          <cell r="F21">
            <v>110</v>
          </cell>
          <cell r="G21">
            <v>0.4</v>
          </cell>
          <cell r="H21">
            <v>730</v>
          </cell>
          <cell r="I21">
            <v>1010021023</v>
          </cell>
          <cell r="L21">
            <v>27</v>
          </cell>
          <cell r="Q21">
            <v>5.4</v>
          </cell>
          <cell r="R21">
            <v>-56</v>
          </cell>
        </row>
        <row r="22">
          <cell r="A22" t="str">
            <v>Пельмени «Сочные» ГВ зам пакет 700г*8  МИРАТОРГ</v>
          </cell>
          <cell r="B22" t="str">
            <v>шт</v>
          </cell>
          <cell r="C22">
            <v>85</v>
          </cell>
          <cell r="E22">
            <v>26</v>
          </cell>
          <cell r="F22">
            <v>165</v>
          </cell>
          <cell r="G22">
            <v>0.7</v>
          </cell>
          <cell r="H22">
            <v>730</v>
          </cell>
          <cell r="I22">
            <v>10010027943</v>
          </cell>
          <cell r="L22">
            <v>26</v>
          </cell>
          <cell r="Q22">
            <v>5.2</v>
          </cell>
          <cell r="R22">
            <v>-113</v>
          </cell>
        </row>
        <row r="23">
          <cell r="A23" t="str">
            <v>Сотэ с прованскими травами 400г зам  МИРАТОРГ</v>
          </cell>
          <cell r="B23" t="str">
            <v>шт</v>
          </cell>
          <cell r="C23">
            <v>23</v>
          </cell>
          <cell r="E23">
            <v>2</v>
          </cell>
          <cell r="F23">
            <v>56</v>
          </cell>
          <cell r="G23">
            <v>0.4</v>
          </cell>
          <cell r="H23">
            <v>730</v>
          </cell>
          <cell r="I23">
            <v>1010011268</v>
          </cell>
          <cell r="L23">
            <v>2</v>
          </cell>
          <cell r="Q23">
            <v>0.4</v>
          </cell>
          <cell r="R23">
            <v>-52</v>
          </cell>
        </row>
        <row r="24">
          <cell r="A24" t="str">
            <v>Стейк Рибай Choice c/м TF 200г*60 (12 кг) Black Angus  МИРАТОРГ</v>
          </cell>
          <cell r="B24" t="str">
            <v>шт</v>
          </cell>
          <cell r="C24">
            <v>36</v>
          </cell>
          <cell r="E24">
            <v>6</v>
          </cell>
          <cell r="F24">
            <v>25</v>
          </cell>
          <cell r="G24">
            <v>0.2</v>
          </cell>
          <cell r="H24">
            <v>730</v>
          </cell>
          <cell r="I24" t="str">
            <v>новинка</v>
          </cell>
          <cell r="L24">
            <v>6</v>
          </cell>
          <cell r="Q24">
            <v>1.2</v>
          </cell>
          <cell r="R24">
            <v>-13</v>
          </cell>
        </row>
        <row r="25">
          <cell r="A25" t="str">
            <v>Стейк Рибай говяжий зам DF 320г BLACK ANGUS Мираторг (Брянск) Россия  МИРАТОРГ</v>
          </cell>
          <cell r="B25" t="str">
            <v>шт</v>
          </cell>
          <cell r="C25">
            <v>47</v>
          </cell>
          <cell r="E25">
            <v>30</v>
          </cell>
          <cell r="F25">
            <v>34</v>
          </cell>
          <cell r="G25">
            <v>0.32</v>
          </cell>
          <cell r="H25">
            <v>730</v>
          </cell>
          <cell r="I25">
            <v>1010021343</v>
          </cell>
          <cell r="L25">
            <v>30</v>
          </cell>
          <cell r="Q25">
            <v>6</v>
          </cell>
          <cell r="R25">
            <v>26</v>
          </cell>
          <cell r="S25">
            <v>50</v>
          </cell>
        </row>
        <row r="26">
          <cell r="A26" t="str">
            <v>Стейк Стриплойн Choice с/м TF 200г*60(12 кг) Black Angus  МИРАТОРГ</v>
          </cell>
          <cell r="B26" t="str">
            <v>шт</v>
          </cell>
          <cell r="C26">
            <v>6</v>
          </cell>
          <cell r="F26">
            <v>1</v>
          </cell>
          <cell r="G26">
            <v>0.2</v>
          </cell>
          <cell r="H26">
            <v>730</v>
          </cell>
          <cell r="I26" t="str">
            <v>новинка</v>
          </cell>
          <cell r="L26">
            <v>0</v>
          </cell>
          <cell r="Q26">
            <v>0</v>
          </cell>
          <cell r="R26">
            <v>-1</v>
          </cell>
        </row>
        <row r="27">
          <cell r="A27" t="str">
            <v>Стейк Стриплойн зам. DF 320г*6(1,92кг) BLACK ANGUS  МИРАТОРГ</v>
          </cell>
          <cell r="B27" t="str">
            <v>шт</v>
          </cell>
          <cell r="C27">
            <v>11</v>
          </cell>
          <cell r="G27">
            <v>0.32</v>
          </cell>
          <cell r="H27">
            <v>730</v>
          </cell>
          <cell r="I27">
            <v>1010021314</v>
          </cell>
          <cell r="L27">
            <v>0</v>
          </cell>
          <cell r="Q27">
            <v>0</v>
          </cell>
          <cell r="R27">
            <v>0</v>
          </cell>
          <cell r="S27">
            <v>50</v>
          </cell>
        </row>
        <row r="28">
          <cell r="A28" t="str">
            <v>Стейк из мраморной говядины б/к с/м TF ~1кг BLACK ANGUS Мираторг (Брянск) Россия  МИРАТОРГ</v>
          </cell>
          <cell r="B28" t="str">
            <v>шт</v>
          </cell>
          <cell r="C28">
            <v>23</v>
          </cell>
          <cell r="E28">
            <v>23</v>
          </cell>
          <cell r="G28">
            <v>1</v>
          </cell>
          <cell r="H28" t="str">
            <v>???</v>
          </cell>
          <cell r="I28">
            <v>1010020292</v>
          </cell>
          <cell r="L28">
            <v>23</v>
          </cell>
          <cell r="Q28">
            <v>4.5999999999999996</v>
          </cell>
          <cell r="R28">
            <v>46</v>
          </cell>
          <cell r="S28">
            <v>100</v>
          </cell>
        </row>
        <row r="29">
          <cell r="A29" t="str">
            <v>Сырники классические ЗАМ 280гр*4 (1,12кг) Мираторг Трио Россия</v>
          </cell>
          <cell r="B29" t="str">
            <v>шт</v>
          </cell>
          <cell r="C29">
            <v>59</v>
          </cell>
          <cell r="E29">
            <v>6</v>
          </cell>
          <cell r="F29">
            <v>50</v>
          </cell>
          <cell r="G29">
            <v>0.28000000000000003</v>
          </cell>
          <cell r="H29" t="str">
            <v>???</v>
          </cell>
          <cell r="I29">
            <v>1010025555</v>
          </cell>
          <cell r="L29">
            <v>6</v>
          </cell>
          <cell r="Q29">
            <v>1.2</v>
          </cell>
          <cell r="R29">
            <v>-38</v>
          </cell>
        </row>
        <row r="30">
          <cell r="A30" t="str">
            <v>Сырники с вишневой начинкой ЗАМ 280гр*4 (1,12кг) Мираторг Трио Россия</v>
          </cell>
          <cell r="B30" t="str">
            <v>шт</v>
          </cell>
          <cell r="C30">
            <v>60</v>
          </cell>
          <cell r="E30">
            <v>10</v>
          </cell>
          <cell r="F30">
            <v>73</v>
          </cell>
          <cell r="G30">
            <v>0.28000000000000003</v>
          </cell>
          <cell r="H30">
            <v>365</v>
          </cell>
          <cell r="I30">
            <v>1010026655</v>
          </cell>
          <cell r="L30">
            <v>10</v>
          </cell>
          <cell r="Q30">
            <v>2</v>
          </cell>
          <cell r="R30">
            <v>-53</v>
          </cell>
        </row>
        <row r="31">
          <cell r="A31" t="str">
            <v>Сырники с клубн.нач. 280гр ЗАМ  МИРАТОРГ</v>
          </cell>
          <cell r="B31" t="str">
            <v>шт</v>
          </cell>
          <cell r="C31">
            <v>31</v>
          </cell>
          <cell r="E31">
            <v>12</v>
          </cell>
          <cell r="F31">
            <v>64</v>
          </cell>
          <cell r="G31">
            <v>0.28000000000000003</v>
          </cell>
          <cell r="H31">
            <v>365</v>
          </cell>
          <cell r="I31">
            <v>1010028228</v>
          </cell>
          <cell r="L31">
            <v>12</v>
          </cell>
          <cell r="Q31">
            <v>2.4</v>
          </cell>
          <cell r="R31">
            <v>-40</v>
          </cell>
        </row>
        <row r="32">
          <cell r="A32" t="str">
            <v>Фарш говяжий зам 0,4кг ШТ  TF  МИРАТОРГ</v>
          </cell>
          <cell r="B32" t="str">
            <v>шт</v>
          </cell>
          <cell r="G32">
            <v>0.4</v>
          </cell>
          <cell r="H32">
            <v>730</v>
          </cell>
          <cell r="I32">
            <v>1010028186</v>
          </cell>
          <cell r="L32">
            <v>0</v>
          </cell>
          <cell r="Q32">
            <v>0</v>
          </cell>
          <cell r="R32">
            <v>0</v>
          </cell>
          <cell r="S32">
            <v>40</v>
          </cell>
        </row>
        <row r="33">
          <cell r="A33" t="str">
            <v>Фарш куриный "Домашний",зам,в/у0,75кг*8(6кг)  МИРАТОРГ</v>
          </cell>
          <cell r="B33" t="str">
            <v>шт</v>
          </cell>
          <cell r="C33">
            <v>375</v>
          </cell>
          <cell r="E33">
            <v>182</v>
          </cell>
          <cell r="F33">
            <v>509</v>
          </cell>
          <cell r="G33">
            <v>0.75</v>
          </cell>
          <cell r="H33" t="str">
            <v>365?</v>
          </cell>
          <cell r="I33" t="str">
            <v>снова заказываем</v>
          </cell>
          <cell r="L33">
            <v>182</v>
          </cell>
          <cell r="Q33">
            <v>36.4</v>
          </cell>
          <cell r="R33">
            <v>-145</v>
          </cell>
        </row>
        <row r="34">
          <cell r="A34" t="str">
            <v>Фасоль стручковая рез. с/м 30-40мм 400г*10 (4кг) Мираторг Россия</v>
          </cell>
          <cell r="B34" t="str">
            <v>шт</v>
          </cell>
          <cell r="G34">
            <v>0</v>
          </cell>
          <cell r="H34">
            <v>730</v>
          </cell>
          <cell r="I34" t="str">
            <v>нет в бланке</v>
          </cell>
          <cell r="L34">
            <v>0</v>
          </cell>
          <cell r="Q34">
            <v>0</v>
          </cell>
          <cell r="R34">
            <v>0</v>
          </cell>
        </row>
        <row r="35">
          <cell r="A35" t="str">
            <v>Чевапчичи из мраморной говядины с/м ГЗМС 300г*8(2,4кг) Мираторг (Брянск) Россия</v>
          </cell>
          <cell r="B35" t="str">
            <v>шт</v>
          </cell>
          <cell r="C35">
            <v>104</v>
          </cell>
          <cell r="E35">
            <v>1</v>
          </cell>
          <cell r="F35">
            <v>92</v>
          </cell>
          <cell r="G35">
            <v>0</v>
          </cell>
          <cell r="H35">
            <v>730</v>
          </cell>
          <cell r="I35" t="str">
            <v>нет в бланке</v>
          </cell>
          <cell r="L35">
            <v>1</v>
          </cell>
          <cell r="Q35">
            <v>0.2</v>
          </cell>
          <cell r="R35">
            <v>-90</v>
          </cell>
        </row>
        <row r="36">
          <cell r="A36" t="str">
            <v>Черная смородина с/м 300г*10 (3кг) Россия Мираторг</v>
          </cell>
          <cell r="B36" t="str">
            <v>шт</v>
          </cell>
          <cell r="C36">
            <v>10</v>
          </cell>
          <cell r="E36">
            <v>4</v>
          </cell>
          <cell r="F36">
            <v>33</v>
          </cell>
          <cell r="G36">
            <v>0.3</v>
          </cell>
          <cell r="H36" t="str">
            <v>???</v>
          </cell>
          <cell r="I36">
            <v>1010017917</v>
          </cell>
          <cell r="L36">
            <v>4</v>
          </cell>
          <cell r="Q36">
            <v>0.8</v>
          </cell>
          <cell r="R36">
            <v>-25</v>
          </cell>
        </row>
        <row r="37">
          <cell r="A37" t="str">
            <v>Шампиньоны рез. 400*20 зам  МИРАТОРГ</v>
          </cell>
          <cell r="B37" t="str">
            <v>шт</v>
          </cell>
          <cell r="C37">
            <v>14</v>
          </cell>
          <cell r="E37">
            <v>14</v>
          </cell>
          <cell r="F37">
            <v>32</v>
          </cell>
          <cell r="G37">
            <v>0.4</v>
          </cell>
          <cell r="H37">
            <v>730</v>
          </cell>
          <cell r="I37">
            <v>1010004259</v>
          </cell>
          <cell r="L37">
            <v>14</v>
          </cell>
          <cell r="Q37">
            <v>2.8</v>
          </cell>
          <cell r="R37">
            <v>-4</v>
          </cell>
        </row>
        <row r="38">
          <cell r="A38" t="str">
            <v>Ягодный коктейль 300г зам  МИРАТОРГ</v>
          </cell>
          <cell r="B38" t="str">
            <v>шт</v>
          </cell>
          <cell r="C38">
            <v>15</v>
          </cell>
          <cell r="E38">
            <v>7</v>
          </cell>
          <cell r="F38">
            <v>53</v>
          </cell>
          <cell r="G38">
            <v>0.3</v>
          </cell>
          <cell r="H38" t="str">
            <v>365?</v>
          </cell>
          <cell r="I38">
            <v>1010013267</v>
          </cell>
          <cell r="L38">
            <v>7</v>
          </cell>
          <cell r="Q38">
            <v>1.4</v>
          </cell>
          <cell r="R38">
            <v>-39</v>
          </cell>
        </row>
        <row r="39">
          <cell r="A39" t="str">
            <v>Ягодный морс 300г*10 зам  МИРАТОРГ</v>
          </cell>
          <cell r="B39" t="str">
            <v>шт</v>
          </cell>
          <cell r="C39">
            <v>10</v>
          </cell>
          <cell r="E39">
            <v>8</v>
          </cell>
          <cell r="F39">
            <v>42</v>
          </cell>
          <cell r="G39">
            <v>0.3</v>
          </cell>
          <cell r="H39" t="str">
            <v>730?</v>
          </cell>
          <cell r="I39">
            <v>1010027159</v>
          </cell>
          <cell r="L39">
            <v>8</v>
          </cell>
          <cell r="Q39">
            <v>1.6</v>
          </cell>
          <cell r="R39">
            <v>-26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4" sqref="AE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3.28515625" customWidth="1"/>
    <col min="10" max="10" width="1" customWidth="1"/>
    <col min="11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54.7109375" customWidth="1"/>
    <col min="32" max="32" width="7" customWidth="1"/>
    <col min="33" max="50" width="8" customWidth="1"/>
  </cols>
  <sheetData>
    <row r="1" spans="1:50" x14ac:dyDescent="0.25">
      <c r="A1" s="1"/>
      <c r="B1" s="1"/>
      <c r="C1" s="1"/>
      <c r="D1" s="1"/>
      <c r="E1" s="1"/>
      <c r="F1" s="1"/>
      <c r="G1" s="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83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9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 t="s">
        <v>84</v>
      </c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SUM(E6:E499)</f>
        <v>662</v>
      </c>
      <c r="F5" s="4">
        <f>SUM(F6:F499)</f>
        <v>2473</v>
      </c>
      <c r="G5" s="9"/>
      <c r="H5" s="1"/>
      <c r="I5" s="1"/>
      <c r="J5" s="1"/>
      <c r="K5" s="4">
        <f t="shared" ref="K5:S5" si="0">SUM(K6:K499)</f>
        <v>0</v>
      </c>
      <c r="L5" s="4">
        <f t="shared" si="0"/>
        <v>662</v>
      </c>
      <c r="M5" s="4">
        <f t="shared" si="0"/>
        <v>0</v>
      </c>
      <c r="N5" s="4">
        <f t="shared" si="0"/>
        <v>0</v>
      </c>
      <c r="O5" s="4">
        <f t="shared" si="0"/>
        <v>1220</v>
      </c>
      <c r="P5" s="4">
        <f t="shared" si="0"/>
        <v>132.39999999999998</v>
      </c>
      <c r="Q5" s="4">
        <f t="shared" si="0"/>
        <v>181</v>
      </c>
      <c r="R5" s="4">
        <f t="shared" si="0"/>
        <v>330</v>
      </c>
      <c r="S5" s="4">
        <f t="shared" si="0"/>
        <v>330</v>
      </c>
      <c r="T5" s="1"/>
      <c r="U5" s="1"/>
      <c r="V5" s="1"/>
      <c r="W5" s="4">
        <f t="shared" ref="W5:AD5" si="1">SUM(W6:W499)</f>
        <v>117.60000000000001</v>
      </c>
      <c r="X5" s="4">
        <f t="shared" si="1"/>
        <v>155.19999999999996</v>
      </c>
      <c r="Y5" s="4">
        <f t="shared" si="1"/>
        <v>202.6</v>
      </c>
      <c r="Z5" s="4">
        <f t="shared" si="1"/>
        <v>112.79999999999998</v>
      </c>
      <c r="AA5" s="4">
        <f t="shared" si="1"/>
        <v>199.59999999999997</v>
      </c>
      <c r="AB5" s="4">
        <f t="shared" si="1"/>
        <v>111.60000000000004</v>
      </c>
      <c r="AC5" s="4">
        <f t="shared" si="1"/>
        <v>65.400000000000006</v>
      </c>
      <c r="AD5" s="4">
        <f t="shared" si="1"/>
        <v>151.80000000000001</v>
      </c>
      <c r="AE5" s="1"/>
      <c r="AF5" s="4">
        <f>SUM(AF6:AF499)</f>
        <v>175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4</v>
      </c>
      <c r="D6" s="1">
        <v>50</v>
      </c>
      <c r="E6" s="1"/>
      <c r="F6" s="1">
        <v>54</v>
      </c>
      <c r="G6" s="9">
        <v>0.4</v>
      </c>
      <c r="H6" s="1" t="s">
        <v>35</v>
      </c>
      <c r="I6" s="1">
        <v>1010011725</v>
      </c>
      <c r="J6" s="1"/>
      <c r="K6" s="1"/>
      <c r="L6" s="1">
        <f t="shared" ref="L6:L38" si="2">E6-K6</f>
        <v>0</v>
      </c>
      <c r="M6" s="1"/>
      <c r="N6" s="1"/>
      <c r="O6" s="1"/>
      <c r="P6" s="1">
        <f>E6/5</f>
        <v>0</v>
      </c>
      <c r="Q6" s="5"/>
      <c r="R6" s="5"/>
      <c r="S6" s="5">
        <f>VLOOKUP(A6,[1]Sheet!$A$1:$S$65536,19,0)</f>
        <v>0</v>
      </c>
      <c r="T6" s="1"/>
      <c r="U6" s="1" t="e">
        <f>(F6+O6+Q6)/P6</f>
        <v>#DIV/0!</v>
      </c>
      <c r="V6" s="1" t="e">
        <f>(F6+O6)/P6</f>
        <v>#DIV/0!</v>
      </c>
      <c r="W6" s="1">
        <v>0</v>
      </c>
      <c r="X6" s="1">
        <v>2</v>
      </c>
      <c r="Y6" s="1">
        <v>0.8</v>
      </c>
      <c r="Z6" s="1">
        <v>1</v>
      </c>
      <c r="AA6" s="1">
        <v>0.8</v>
      </c>
      <c r="AB6" s="1">
        <v>0.2</v>
      </c>
      <c r="AC6" s="1">
        <v>0.4</v>
      </c>
      <c r="AD6" s="1">
        <v>2</v>
      </c>
      <c r="AE6" s="1"/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1" t="s">
        <v>36</v>
      </c>
      <c r="B7" s="11" t="s">
        <v>34</v>
      </c>
      <c r="C7" s="11">
        <v>12</v>
      </c>
      <c r="D7" s="11"/>
      <c r="E7" s="11"/>
      <c r="F7" s="11">
        <v>12</v>
      </c>
      <c r="G7" s="12">
        <v>0</v>
      </c>
      <c r="H7" s="11">
        <v>730</v>
      </c>
      <c r="I7" s="11" t="s">
        <v>37</v>
      </c>
      <c r="J7" s="11"/>
      <c r="K7" s="11"/>
      <c r="L7" s="11">
        <f t="shared" si="2"/>
        <v>0</v>
      </c>
      <c r="M7" s="11"/>
      <c r="N7" s="11"/>
      <c r="O7" s="11"/>
      <c r="P7" s="11">
        <f t="shared" ref="P7:P38" si="3">E7/5</f>
        <v>0</v>
      </c>
      <c r="Q7" s="13"/>
      <c r="R7" s="13"/>
      <c r="S7" s="5">
        <f>VLOOKUP(A7,[1]Sheet!$A$1:$S$65536,19,0)</f>
        <v>0</v>
      </c>
      <c r="T7" s="11"/>
      <c r="U7" s="11" t="e">
        <f t="shared" ref="U7:U38" si="4">(F7+O7+Q7)/P7</f>
        <v>#DIV/0!</v>
      </c>
      <c r="V7" s="11" t="e">
        <f t="shared" ref="V7:V38" si="5">(F7+O7)/P7</f>
        <v>#DIV/0!</v>
      </c>
      <c r="W7" s="11">
        <v>0</v>
      </c>
      <c r="X7" s="11">
        <v>0</v>
      </c>
      <c r="Y7" s="11">
        <v>0.2</v>
      </c>
      <c r="Z7" s="11">
        <v>2.4</v>
      </c>
      <c r="AA7" s="11">
        <v>0</v>
      </c>
      <c r="AB7" s="11">
        <v>1.2</v>
      </c>
      <c r="AC7" s="11">
        <v>0</v>
      </c>
      <c r="AD7" s="11">
        <v>0</v>
      </c>
      <c r="AE7" s="15" t="s">
        <v>38</v>
      </c>
      <c r="AF7" s="1">
        <f t="shared" ref="AF7:AF38" si="6"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34</v>
      </c>
      <c r="C8" s="1">
        <v>50</v>
      </c>
      <c r="D8" s="1">
        <v>80</v>
      </c>
      <c r="E8" s="1">
        <v>60</v>
      </c>
      <c r="F8" s="1">
        <v>70</v>
      </c>
      <c r="G8" s="9">
        <v>0.3</v>
      </c>
      <c r="H8" s="1" t="s">
        <v>40</v>
      </c>
      <c r="I8" s="1">
        <v>1010004270</v>
      </c>
      <c r="J8" s="1"/>
      <c r="K8" s="1"/>
      <c r="L8" s="1">
        <f t="shared" si="2"/>
        <v>60</v>
      </c>
      <c r="M8" s="1"/>
      <c r="N8" s="1"/>
      <c r="O8" s="1"/>
      <c r="P8" s="1">
        <f t="shared" si="3"/>
        <v>12</v>
      </c>
      <c r="Q8" s="5">
        <f t="shared" ref="Q8:Q11" si="7">10*P8-O8-F8</f>
        <v>50</v>
      </c>
      <c r="R8" s="5"/>
      <c r="S8" s="5">
        <f>VLOOKUP(A8,[1]Sheet!$A$1:$S$65536,19,0)</f>
        <v>0</v>
      </c>
      <c r="T8" s="1"/>
      <c r="U8" s="1">
        <f t="shared" si="4"/>
        <v>10</v>
      </c>
      <c r="V8" s="1">
        <f t="shared" si="5"/>
        <v>5.833333333333333</v>
      </c>
      <c r="W8" s="1">
        <v>1.6</v>
      </c>
      <c r="X8" s="1">
        <v>4.5999999999999996</v>
      </c>
      <c r="Y8" s="1">
        <v>3.2</v>
      </c>
      <c r="Z8" s="1">
        <v>6.4</v>
      </c>
      <c r="AA8" s="1">
        <v>0.6</v>
      </c>
      <c r="AB8" s="1">
        <v>3</v>
      </c>
      <c r="AC8" s="1">
        <v>1.4</v>
      </c>
      <c r="AD8" s="1">
        <v>6</v>
      </c>
      <c r="AE8" s="1" t="s">
        <v>38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25</v>
      </c>
      <c r="D9" s="1">
        <v>120</v>
      </c>
      <c r="E9" s="1">
        <v>7</v>
      </c>
      <c r="F9" s="1">
        <v>138</v>
      </c>
      <c r="G9" s="9">
        <v>0.4</v>
      </c>
      <c r="H9" s="1">
        <v>730</v>
      </c>
      <c r="I9" s="1">
        <v>1010004227</v>
      </c>
      <c r="J9" s="1"/>
      <c r="K9" s="1"/>
      <c r="L9" s="1">
        <f t="shared" si="2"/>
        <v>7</v>
      </c>
      <c r="M9" s="1"/>
      <c r="N9" s="1"/>
      <c r="O9" s="1"/>
      <c r="P9" s="1">
        <f t="shared" si="3"/>
        <v>1.4</v>
      </c>
      <c r="Q9" s="5"/>
      <c r="R9" s="5"/>
      <c r="S9" s="5">
        <f>VLOOKUP(A9,[1]Sheet!$A$1:$S$65536,19,0)</f>
        <v>0</v>
      </c>
      <c r="T9" s="1"/>
      <c r="U9" s="1">
        <f t="shared" si="4"/>
        <v>98.571428571428584</v>
      </c>
      <c r="V9" s="1">
        <f t="shared" si="5"/>
        <v>98.571428571428584</v>
      </c>
      <c r="W9" s="1">
        <v>1.6</v>
      </c>
      <c r="X9" s="1">
        <v>3.8</v>
      </c>
      <c r="Y9" s="1">
        <v>3.2</v>
      </c>
      <c r="Z9" s="1">
        <v>3</v>
      </c>
      <c r="AA9" s="1">
        <v>2.6</v>
      </c>
      <c r="AB9" s="1">
        <v>0</v>
      </c>
      <c r="AC9" s="1">
        <v>2.6</v>
      </c>
      <c r="AD9" s="1">
        <v>5.2</v>
      </c>
      <c r="AE9" s="15" t="s">
        <v>38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26</v>
      </c>
      <c r="D10" s="1">
        <v>100</v>
      </c>
      <c r="E10" s="1">
        <v>29</v>
      </c>
      <c r="F10" s="1">
        <v>97</v>
      </c>
      <c r="G10" s="9">
        <v>0.4</v>
      </c>
      <c r="H10" s="1">
        <v>730</v>
      </c>
      <c r="I10" s="1">
        <v>1010011730</v>
      </c>
      <c r="J10" s="1"/>
      <c r="K10" s="1"/>
      <c r="L10" s="1">
        <f t="shared" si="2"/>
        <v>29</v>
      </c>
      <c r="M10" s="1"/>
      <c r="N10" s="1"/>
      <c r="O10" s="1"/>
      <c r="P10" s="1">
        <f t="shared" si="3"/>
        <v>5.8</v>
      </c>
      <c r="Q10" s="5"/>
      <c r="R10" s="5"/>
      <c r="S10" s="5">
        <f>VLOOKUP(A10,[1]Sheet!$A$1:$S$65536,19,0)</f>
        <v>0</v>
      </c>
      <c r="T10" s="1"/>
      <c r="U10" s="1">
        <f t="shared" si="4"/>
        <v>16.724137931034484</v>
      </c>
      <c r="V10" s="1">
        <f t="shared" si="5"/>
        <v>16.724137931034484</v>
      </c>
      <c r="W10" s="1">
        <v>2.8</v>
      </c>
      <c r="X10" s="1">
        <v>6.8</v>
      </c>
      <c r="Y10" s="1">
        <v>2.4</v>
      </c>
      <c r="Z10" s="1">
        <v>4</v>
      </c>
      <c r="AA10" s="1">
        <v>2.6</v>
      </c>
      <c r="AB10" s="1">
        <v>0.6</v>
      </c>
      <c r="AC10" s="1">
        <v>3</v>
      </c>
      <c r="AD10" s="1">
        <v>4.2</v>
      </c>
      <c r="AE10" s="1"/>
      <c r="AF10" s="1">
        <f t="shared" si="6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>
        <v>60</v>
      </c>
      <c r="D11" s="1">
        <v>60</v>
      </c>
      <c r="E11" s="1">
        <v>66</v>
      </c>
      <c r="F11" s="1">
        <v>54</v>
      </c>
      <c r="G11" s="9">
        <v>0.4</v>
      </c>
      <c r="H11" s="1" t="s">
        <v>40</v>
      </c>
      <c r="I11" s="1">
        <v>1010011735</v>
      </c>
      <c r="J11" s="1"/>
      <c r="K11" s="1"/>
      <c r="L11" s="1">
        <f t="shared" si="2"/>
        <v>66</v>
      </c>
      <c r="M11" s="1"/>
      <c r="N11" s="1"/>
      <c r="O11" s="1"/>
      <c r="P11" s="1">
        <f t="shared" si="3"/>
        <v>13.2</v>
      </c>
      <c r="Q11" s="5">
        <f t="shared" si="7"/>
        <v>78</v>
      </c>
      <c r="R11" s="5"/>
      <c r="S11" s="5">
        <f>VLOOKUP(A11,[1]Sheet!$A$1:$S$65536,19,0)</f>
        <v>0</v>
      </c>
      <c r="T11" s="1"/>
      <c r="U11" s="1">
        <f t="shared" si="4"/>
        <v>10</v>
      </c>
      <c r="V11" s="1">
        <f t="shared" si="5"/>
        <v>4.0909090909090908</v>
      </c>
      <c r="W11" s="1">
        <v>1</v>
      </c>
      <c r="X11" s="1">
        <v>4</v>
      </c>
      <c r="Y11" s="1">
        <v>0</v>
      </c>
      <c r="Z11" s="1">
        <v>15.2</v>
      </c>
      <c r="AA11" s="1">
        <v>1.6</v>
      </c>
      <c r="AB11" s="1">
        <v>0.6</v>
      </c>
      <c r="AC11" s="1">
        <v>1.6</v>
      </c>
      <c r="AD11" s="1">
        <v>4</v>
      </c>
      <c r="AE11" s="1" t="s">
        <v>38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1" t="s">
        <v>44</v>
      </c>
      <c r="B12" s="11" t="s">
        <v>34</v>
      </c>
      <c r="C12" s="11">
        <v>1</v>
      </c>
      <c r="D12" s="11"/>
      <c r="E12" s="11"/>
      <c r="F12" s="11">
        <v>1</v>
      </c>
      <c r="G12" s="12">
        <v>0</v>
      </c>
      <c r="H12" s="11" t="s">
        <v>40</v>
      </c>
      <c r="I12" s="11" t="s">
        <v>37</v>
      </c>
      <c r="J12" s="11"/>
      <c r="K12" s="11"/>
      <c r="L12" s="11">
        <f t="shared" si="2"/>
        <v>0</v>
      </c>
      <c r="M12" s="11"/>
      <c r="N12" s="11"/>
      <c r="O12" s="11"/>
      <c r="P12" s="11">
        <f t="shared" si="3"/>
        <v>0</v>
      </c>
      <c r="Q12" s="13"/>
      <c r="R12" s="13"/>
      <c r="S12" s="5">
        <f>VLOOKUP(A12,[1]Sheet!$A$1:$S$65536,19,0)</f>
        <v>0</v>
      </c>
      <c r="T12" s="11"/>
      <c r="U12" s="11" t="e">
        <f t="shared" si="4"/>
        <v>#DIV/0!</v>
      </c>
      <c r="V12" s="11" t="e">
        <f t="shared" si="5"/>
        <v>#DIV/0!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/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34</v>
      </c>
      <c r="C13" s="1">
        <v>32</v>
      </c>
      <c r="D13" s="1">
        <v>100</v>
      </c>
      <c r="E13" s="1">
        <v>14</v>
      </c>
      <c r="F13" s="1">
        <v>118</v>
      </c>
      <c r="G13" s="9">
        <v>0.5</v>
      </c>
      <c r="H13" s="1">
        <v>730</v>
      </c>
      <c r="I13" s="1">
        <v>1010027797</v>
      </c>
      <c r="J13" s="1"/>
      <c r="K13" s="1"/>
      <c r="L13" s="1">
        <f t="shared" si="2"/>
        <v>14</v>
      </c>
      <c r="M13" s="1"/>
      <c r="N13" s="1"/>
      <c r="O13" s="1"/>
      <c r="P13" s="1">
        <f t="shared" si="3"/>
        <v>2.8</v>
      </c>
      <c r="Q13" s="5"/>
      <c r="R13" s="5"/>
      <c r="S13" s="5">
        <f>VLOOKUP(A13,[1]Sheet!$A$1:$S$65536,19,0)</f>
        <v>0</v>
      </c>
      <c r="T13" s="1"/>
      <c r="U13" s="1">
        <f t="shared" si="4"/>
        <v>42.142857142857146</v>
      </c>
      <c r="V13" s="1">
        <f t="shared" si="5"/>
        <v>42.142857142857146</v>
      </c>
      <c r="W13" s="1">
        <v>1.6</v>
      </c>
      <c r="X13" s="1">
        <v>5</v>
      </c>
      <c r="Y13" s="1">
        <v>6.4</v>
      </c>
      <c r="Z13" s="1">
        <v>2</v>
      </c>
      <c r="AA13" s="1">
        <v>3.8</v>
      </c>
      <c r="AB13" s="1">
        <v>3.2</v>
      </c>
      <c r="AC13" s="1">
        <v>1</v>
      </c>
      <c r="AD13" s="1">
        <v>1.6</v>
      </c>
      <c r="AE13" s="15" t="s">
        <v>38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34</v>
      </c>
      <c r="C14" s="1">
        <v>25</v>
      </c>
      <c r="D14" s="1">
        <v>50</v>
      </c>
      <c r="E14" s="1">
        <v>5</v>
      </c>
      <c r="F14" s="1">
        <v>70</v>
      </c>
      <c r="G14" s="9">
        <v>0.4</v>
      </c>
      <c r="H14" s="1">
        <v>730</v>
      </c>
      <c r="I14" s="1">
        <v>1010004229</v>
      </c>
      <c r="J14" s="1"/>
      <c r="K14" s="1"/>
      <c r="L14" s="1">
        <f t="shared" si="2"/>
        <v>5</v>
      </c>
      <c r="M14" s="1"/>
      <c r="N14" s="1"/>
      <c r="O14" s="1"/>
      <c r="P14" s="1">
        <f t="shared" si="3"/>
        <v>1</v>
      </c>
      <c r="Q14" s="5"/>
      <c r="R14" s="5"/>
      <c r="S14" s="5">
        <f>VLOOKUP(A14,[1]Sheet!$A$1:$S$65536,19,0)</f>
        <v>0</v>
      </c>
      <c r="T14" s="1"/>
      <c r="U14" s="1">
        <f t="shared" si="4"/>
        <v>70</v>
      </c>
      <c r="V14" s="1">
        <f t="shared" si="5"/>
        <v>70</v>
      </c>
      <c r="W14" s="1">
        <v>0.2</v>
      </c>
      <c r="X14" s="1">
        <v>1</v>
      </c>
      <c r="Y14" s="1">
        <v>0.8</v>
      </c>
      <c r="Z14" s="1">
        <v>1.8</v>
      </c>
      <c r="AA14" s="1">
        <v>0.8</v>
      </c>
      <c r="AB14" s="1">
        <v>0</v>
      </c>
      <c r="AC14" s="1">
        <v>0</v>
      </c>
      <c r="AD14" s="1">
        <v>0.6</v>
      </c>
      <c r="AE14" s="15" t="s">
        <v>38</v>
      </c>
      <c r="AF14" s="1">
        <f t="shared" si="6"/>
        <v>0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34</v>
      </c>
      <c r="C15" s="1">
        <v>22</v>
      </c>
      <c r="D15" s="1">
        <v>80</v>
      </c>
      <c r="E15" s="1">
        <v>30</v>
      </c>
      <c r="F15" s="1">
        <v>72</v>
      </c>
      <c r="G15" s="9">
        <v>0.4</v>
      </c>
      <c r="H15" s="1" t="s">
        <v>40</v>
      </c>
      <c r="I15" s="1">
        <v>1010011737</v>
      </c>
      <c r="J15" s="1"/>
      <c r="K15" s="1"/>
      <c r="L15" s="1">
        <f t="shared" si="2"/>
        <v>30</v>
      </c>
      <c r="M15" s="1"/>
      <c r="N15" s="1"/>
      <c r="O15" s="1"/>
      <c r="P15" s="1">
        <f t="shared" si="3"/>
        <v>6</v>
      </c>
      <c r="Q15" s="5"/>
      <c r="R15" s="5"/>
      <c r="S15" s="5">
        <f>VLOOKUP(A15,[1]Sheet!$A$1:$S$65536,19,0)</f>
        <v>0</v>
      </c>
      <c r="T15" s="1"/>
      <c r="U15" s="1">
        <f t="shared" si="4"/>
        <v>12</v>
      </c>
      <c r="V15" s="1">
        <f t="shared" si="5"/>
        <v>12</v>
      </c>
      <c r="W15" s="1">
        <v>1.6</v>
      </c>
      <c r="X15" s="1">
        <v>5.6</v>
      </c>
      <c r="Y15" s="1">
        <v>3</v>
      </c>
      <c r="Z15" s="1">
        <v>2</v>
      </c>
      <c r="AA15" s="1">
        <v>3.2</v>
      </c>
      <c r="AB15" s="1">
        <v>1.4</v>
      </c>
      <c r="AC15" s="1">
        <v>1</v>
      </c>
      <c r="AD15" s="1">
        <v>3.4</v>
      </c>
      <c r="AE15" s="1"/>
      <c r="AF15" s="1">
        <f t="shared" si="6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49</v>
      </c>
      <c r="B16" s="1" t="s">
        <v>34</v>
      </c>
      <c r="C16" s="1">
        <v>19</v>
      </c>
      <c r="D16" s="1">
        <v>40</v>
      </c>
      <c r="E16" s="1">
        <v>1</v>
      </c>
      <c r="F16" s="1">
        <v>58</v>
      </c>
      <c r="G16" s="9">
        <v>0.4</v>
      </c>
      <c r="H16" s="1">
        <v>730</v>
      </c>
      <c r="I16" s="1">
        <v>1010024886</v>
      </c>
      <c r="J16" s="1"/>
      <c r="K16" s="1"/>
      <c r="L16" s="1">
        <f t="shared" si="2"/>
        <v>1</v>
      </c>
      <c r="M16" s="1"/>
      <c r="N16" s="1"/>
      <c r="O16" s="1"/>
      <c r="P16" s="1">
        <f t="shared" si="3"/>
        <v>0.2</v>
      </c>
      <c r="Q16" s="5"/>
      <c r="R16" s="5"/>
      <c r="S16" s="5">
        <f>VLOOKUP(A16,[1]Sheet!$A$1:$S$65536,19,0)</f>
        <v>0</v>
      </c>
      <c r="T16" s="1"/>
      <c r="U16" s="1">
        <f t="shared" si="4"/>
        <v>290</v>
      </c>
      <c r="V16" s="1">
        <f t="shared" si="5"/>
        <v>290</v>
      </c>
      <c r="W16" s="1">
        <v>0.4</v>
      </c>
      <c r="X16" s="1">
        <v>2.8</v>
      </c>
      <c r="Y16" s="1">
        <v>0.8</v>
      </c>
      <c r="Z16" s="1">
        <v>0</v>
      </c>
      <c r="AA16" s="1">
        <v>1.6</v>
      </c>
      <c r="AB16" s="1">
        <v>0.2</v>
      </c>
      <c r="AC16" s="1">
        <v>0.2</v>
      </c>
      <c r="AD16" s="1">
        <v>2.2000000000000002</v>
      </c>
      <c r="AE16" s="15" t="s">
        <v>38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50</v>
      </c>
      <c r="B17" s="1" t="s">
        <v>34</v>
      </c>
      <c r="C17" s="1">
        <v>2</v>
      </c>
      <c r="D17" s="1"/>
      <c r="E17" s="1"/>
      <c r="F17" s="1">
        <v>2</v>
      </c>
      <c r="G17" s="9">
        <v>0.3</v>
      </c>
      <c r="H17" s="1" t="s">
        <v>40</v>
      </c>
      <c r="I17" s="1" t="s">
        <v>51</v>
      </c>
      <c r="J17" s="1"/>
      <c r="K17" s="1"/>
      <c r="L17" s="1">
        <f t="shared" si="2"/>
        <v>0</v>
      </c>
      <c r="M17" s="1"/>
      <c r="N17" s="1"/>
      <c r="O17" s="1">
        <v>120</v>
      </c>
      <c r="P17" s="1">
        <f t="shared" si="3"/>
        <v>0</v>
      </c>
      <c r="Q17" s="5"/>
      <c r="R17" s="5"/>
      <c r="S17" s="5">
        <f>VLOOKUP(A17,[1]Sheet!$A$1:$S$65536,19,0)</f>
        <v>0</v>
      </c>
      <c r="T17" s="1"/>
      <c r="U17" s="1" t="e">
        <f t="shared" si="4"/>
        <v>#DIV/0!</v>
      </c>
      <c r="V17" s="1" t="e">
        <f t="shared" si="5"/>
        <v>#DIV/0!</v>
      </c>
      <c r="W17" s="1">
        <v>8.6</v>
      </c>
      <c r="X17" s="1">
        <v>8.1999999999999993</v>
      </c>
      <c r="Y17" s="1">
        <v>12.8</v>
      </c>
      <c r="Z17" s="1">
        <v>0</v>
      </c>
      <c r="AA17" s="1">
        <v>7.4</v>
      </c>
      <c r="AB17" s="1">
        <v>2.6</v>
      </c>
      <c r="AC17" s="1">
        <v>0</v>
      </c>
      <c r="AD17" s="1">
        <v>0</v>
      </c>
      <c r="AE17" s="1" t="s">
        <v>52</v>
      </c>
      <c r="AF17" s="1">
        <f t="shared" si="6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34</v>
      </c>
      <c r="C18" s="1">
        <v>158</v>
      </c>
      <c r="D18" s="1">
        <v>200</v>
      </c>
      <c r="E18" s="1">
        <v>137</v>
      </c>
      <c r="F18" s="1">
        <v>221</v>
      </c>
      <c r="G18" s="9">
        <v>0.3</v>
      </c>
      <c r="H18" s="1" t="s">
        <v>40</v>
      </c>
      <c r="I18" s="1">
        <v>1010003817</v>
      </c>
      <c r="J18" s="1"/>
      <c r="K18" s="1"/>
      <c r="L18" s="1">
        <f t="shared" si="2"/>
        <v>137</v>
      </c>
      <c r="M18" s="1"/>
      <c r="N18" s="1"/>
      <c r="O18" s="1"/>
      <c r="P18" s="1">
        <f t="shared" si="3"/>
        <v>27.4</v>
      </c>
      <c r="Q18" s="5">
        <f t="shared" ref="Q18" si="8">10*P18-O18-F18</f>
        <v>53</v>
      </c>
      <c r="R18" s="5">
        <f>S18</f>
        <v>60</v>
      </c>
      <c r="S18" s="5">
        <f>VLOOKUP(A18,[1]Sheet!$A$1:$S$65536,19,0)</f>
        <v>60</v>
      </c>
      <c r="T18" s="1"/>
      <c r="U18" s="1">
        <f t="shared" si="4"/>
        <v>10</v>
      </c>
      <c r="V18" s="1">
        <f t="shared" si="5"/>
        <v>8.0656934306569354</v>
      </c>
      <c r="W18" s="1">
        <v>13.8</v>
      </c>
      <c r="X18" s="1">
        <v>11.6</v>
      </c>
      <c r="Y18" s="1">
        <v>30.6</v>
      </c>
      <c r="Z18" s="1">
        <v>22.4</v>
      </c>
      <c r="AA18" s="1">
        <v>13.8</v>
      </c>
      <c r="AB18" s="1">
        <v>28</v>
      </c>
      <c r="AC18" s="1">
        <v>16.399999999999999</v>
      </c>
      <c r="AD18" s="1">
        <v>25.8</v>
      </c>
      <c r="AE18" s="1"/>
      <c r="AF18" s="1">
        <f t="shared" si="6"/>
        <v>18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34</v>
      </c>
      <c r="C19" s="1">
        <v>101</v>
      </c>
      <c r="D19" s="1">
        <v>200</v>
      </c>
      <c r="E19" s="1">
        <v>112</v>
      </c>
      <c r="F19" s="1">
        <v>189</v>
      </c>
      <c r="G19" s="9">
        <v>0.3</v>
      </c>
      <c r="H19" s="1" t="s">
        <v>55</v>
      </c>
      <c r="I19" s="1">
        <v>1010003874</v>
      </c>
      <c r="J19" s="1"/>
      <c r="K19" s="1"/>
      <c r="L19" s="1">
        <f t="shared" si="2"/>
        <v>112</v>
      </c>
      <c r="M19" s="1"/>
      <c r="N19" s="1"/>
      <c r="O19" s="1">
        <v>60</v>
      </c>
      <c r="P19" s="1">
        <f t="shared" si="3"/>
        <v>22.4</v>
      </c>
      <c r="Q19" s="5"/>
      <c r="R19" s="5">
        <f>S19</f>
        <v>30</v>
      </c>
      <c r="S19" s="5">
        <f>VLOOKUP(A19,[1]Sheet!$A$1:$S$65536,19,0)</f>
        <v>30</v>
      </c>
      <c r="T19" s="1"/>
      <c r="U19" s="1">
        <f t="shared" si="4"/>
        <v>11.116071428571429</v>
      </c>
      <c r="V19" s="1">
        <f t="shared" si="5"/>
        <v>11.116071428571429</v>
      </c>
      <c r="W19" s="1">
        <v>13.4</v>
      </c>
      <c r="X19" s="1">
        <v>8.1999999999999993</v>
      </c>
      <c r="Y19" s="1">
        <v>30</v>
      </c>
      <c r="Z19" s="1">
        <v>12</v>
      </c>
      <c r="AA19" s="1">
        <v>15.8</v>
      </c>
      <c r="AB19" s="1">
        <v>26.2</v>
      </c>
      <c r="AC19" s="1">
        <v>14</v>
      </c>
      <c r="AD19" s="1">
        <v>20.8</v>
      </c>
      <c r="AE19" s="1"/>
      <c r="AF19" s="1">
        <f t="shared" si="6"/>
        <v>9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1" t="s">
        <v>56</v>
      </c>
      <c r="B20" s="11" t="s">
        <v>34</v>
      </c>
      <c r="C20" s="11">
        <v>4</v>
      </c>
      <c r="D20" s="11"/>
      <c r="E20" s="11"/>
      <c r="F20" s="11">
        <v>4</v>
      </c>
      <c r="G20" s="12">
        <v>0</v>
      </c>
      <c r="H20" s="11" t="s">
        <v>35</v>
      </c>
      <c r="I20" s="11" t="s">
        <v>57</v>
      </c>
      <c r="J20" s="11"/>
      <c r="K20" s="11"/>
      <c r="L20" s="11">
        <f t="shared" si="2"/>
        <v>0</v>
      </c>
      <c r="M20" s="11"/>
      <c r="N20" s="11"/>
      <c r="O20" s="11"/>
      <c r="P20" s="11">
        <f t="shared" si="3"/>
        <v>0</v>
      </c>
      <c r="Q20" s="13"/>
      <c r="R20" s="13"/>
      <c r="S20" s="5">
        <f>VLOOKUP(A20,[1]Sheet!$A$1:$S$65536,19,0)</f>
        <v>0</v>
      </c>
      <c r="T20" s="11"/>
      <c r="U20" s="11" t="e">
        <f t="shared" si="4"/>
        <v>#DIV/0!</v>
      </c>
      <c r="V20" s="11" t="e">
        <f t="shared" si="5"/>
        <v>#DIV/0!</v>
      </c>
      <c r="W20" s="11">
        <v>-0.6</v>
      </c>
      <c r="X20" s="11">
        <v>-1</v>
      </c>
      <c r="Y20" s="11">
        <v>-3</v>
      </c>
      <c r="Z20" s="11">
        <v>0</v>
      </c>
      <c r="AA20" s="11">
        <v>0</v>
      </c>
      <c r="AB20" s="11">
        <v>-0.4</v>
      </c>
      <c r="AC20" s="11">
        <v>0.2</v>
      </c>
      <c r="AD20" s="11">
        <v>7.2</v>
      </c>
      <c r="AE20" s="11" t="s">
        <v>58</v>
      </c>
      <c r="AF20" s="1">
        <f t="shared" si="6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59</v>
      </c>
      <c r="B21" s="1" t="s">
        <v>34</v>
      </c>
      <c r="C21" s="1">
        <v>64</v>
      </c>
      <c r="D21" s="1">
        <v>134</v>
      </c>
      <c r="E21" s="1">
        <v>34</v>
      </c>
      <c r="F21" s="1">
        <v>164</v>
      </c>
      <c r="G21" s="9">
        <v>0.4</v>
      </c>
      <c r="H21" s="1">
        <v>730</v>
      </c>
      <c r="I21" s="1">
        <v>1010021023</v>
      </c>
      <c r="J21" s="1"/>
      <c r="K21" s="1"/>
      <c r="L21" s="1">
        <f t="shared" si="2"/>
        <v>34</v>
      </c>
      <c r="M21" s="1"/>
      <c r="N21" s="1"/>
      <c r="O21" s="1"/>
      <c r="P21" s="1">
        <f t="shared" si="3"/>
        <v>6.8</v>
      </c>
      <c r="Q21" s="5"/>
      <c r="R21" s="5"/>
      <c r="S21" s="5">
        <f>VLOOKUP(A21,[1]Sheet!$A$1:$S$65536,19,0)</f>
        <v>0</v>
      </c>
      <c r="T21" s="1"/>
      <c r="U21" s="1">
        <f t="shared" si="4"/>
        <v>24.117647058823529</v>
      </c>
      <c r="V21" s="1">
        <f t="shared" si="5"/>
        <v>24.117647058823529</v>
      </c>
      <c r="W21" s="1">
        <v>5.4</v>
      </c>
      <c r="X21" s="1">
        <v>11.6</v>
      </c>
      <c r="Y21" s="1">
        <v>13</v>
      </c>
      <c r="Z21" s="1">
        <v>7.4</v>
      </c>
      <c r="AA21" s="1">
        <v>7</v>
      </c>
      <c r="AB21" s="1">
        <v>9.6</v>
      </c>
      <c r="AC21" s="1">
        <v>2.8</v>
      </c>
      <c r="AD21" s="1">
        <v>10.4</v>
      </c>
      <c r="AE21" s="14" t="s">
        <v>48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60</v>
      </c>
      <c r="B22" s="1" t="s">
        <v>34</v>
      </c>
      <c r="C22" s="1">
        <v>59</v>
      </c>
      <c r="D22" s="1">
        <v>192</v>
      </c>
      <c r="E22" s="1">
        <v>32</v>
      </c>
      <c r="F22" s="1">
        <v>219</v>
      </c>
      <c r="G22" s="9">
        <v>0.7</v>
      </c>
      <c r="H22" s="1">
        <v>730</v>
      </c>
      <c r="I22" s="1">
        <v>10010027943</v>
      </c>
      <c r="J22" s="1"/>
      <c r="K22" s="1"/>
      <c r="L22" s="1">
        <f t="shared" si="2"/>
        <v>32</v>
      </c>
      <c r="M22" s="1"/>
      <c r="N22" s="1"/>
      <c r="O22" s="1"/>
      <c r="P22" s="1">
        <f t="shared" si="3"/>
        <v>6.4</v>
      </c>
      <c r="Q22" s="5"/>
      <c r="R22" s="5"/>
      <c r="S22" s="5">
        <f>VLOOKUP(A22,[1]Sheet!$A$1:$S$65536,19,0)</f>
        <v>0</v>
      </c>
      <c r="T22" s="1"/>
      <c r="U22" s="1">
        <f t="shared" si="4"/>
        <v>34.21875</v>
      </c>
      <c r="V22" s="1">
        <f t="shared" si="5"/>
        <v>34.21875</v>
      </c>
      <c r="W22" s="1">
        <v>5.2</v>
      </c>
      <c r="X22" s="1">
        <v>14.4</v>
      </c>
      <c r="Y22" s="1">
        <v>12.4</v>
      </c>
      <c r="Z22" s="1">
        <v>8.1999999999999993</v>
      </c>
      <c r="AA22" s="1">
        <v>3.6</v>
      </c>
      <c r="AB22" s="1">
        <v>13.2</v>
      </c>
      <c r="AC22" s="1">
        <v>4.2</v>
      </c>
      <c r="AD22" s="1">
        <v>9</v>
      </c>
      <c r="AE22" s="15" t="s">
        <v>38</v>
      </c>
      <c r="AF22" s="1">
        <f t="shared" si="6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61</v>
      </c>
      <c r="B23" s="1" t="s">
        <v>34</v>
      </c>
      <c r="C23" s="1">
        <v>21</v>
      </c>
      <c r="D23" s="1">
        <v>40</v>
      </c>
      <c r="E23" s="1"/>
      <c r="F23" s="1">
        <v>61</v>
      </c>
      <c r="G23" s="9">
        <v>0.4</v>
      </c>
      <c r="H23" s="1">
        <v>730</v>
      </c>
      <c r="I23" s="1">
        <v>1010011268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5"/>
      <c r="S23" s="5">
        <f>VLOOKUP(A23,[1]Sheet!$A$1:$S$65536,19,0)</f>
        <v>0</v>
      </c>
      <c r="T23" s="1"/>
      <c r="U23" s="1" t="e">
        <f t="shared" si="4"/>
        <v>#DIV/0!</v>
      </c>
      <c r="V23" s="1" t="e">
        <f t="shared" si="5"/>
        <v>#DIV/0!</v>
      </c>
      <c r="W23" s="1">
        <v>0.4</v>
      </c>
      <c r="X23" s="1">
        <v>1</v>
      </c>
      <c r="Y23" s="1">
        <v>0.8</v>
      </c>
      <c r="Z23" s="1">
        <v>1</v>
      </c>
      <c r="AA23" s="1">
        <v>0.8</v>
      </c>
      <c r="AB23" s="1">
        <v>1.4</v>
      </c>
      <c r="AC23" s="1">
        <v>0.2</v>
      </c>
      <c r="AD23" s="1">
        <v>3.2</v>
      </c>
      <c r="AE23" s="15" t="s">
        <v>38</v>
      </c>
      <c r="AF23" s="1">
        <f t="shared" si="6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62</v>
      </c>
      <c r="B24" s="1" t="s">
        <v>34</v>
      </c>
      <c r="C24" s="1">
        <v>30</v>
      </c>
      <c r="D24" s="1"/>
      <c r="E24" s="1"/>
      <c r="F24" s="1">
        <v>30</v>
      </c>
      <c r="G24" s="9">
        <v>0.2</v>
      </c>
      <c r="H24" s="1">
        <v>730</v>
      </c>
      <c r="I24" s="1" t="s">
        <v>51</v>
      </c>
      <c r="J24" s="1"/>
      <c r="K24" s="1"/>
      <c r="L24" s="1">
        <f t="shared" si="2"/>
        <v>0</v>
      </c>
      <c r="M24" s="1"/>
      <c r="N24" s="1"/>
      <c r="O24" s="1"/>
      <c r="P24" s="1">
        <f t="shared" si="3"/>
        <v>0</v>
      </c>
      <c r="Q24" s="5"/>
      <c r="R24" s="5"/>
      <c r="S24" s="5">
        <f>VLOOKUP(A24,[1]Sheet!$A$1:$S$65536,19,0)</f>
        <v>0</v>
      </c>
      <c r="T24" s="1"/>
      <c r="U24" s="1" t="e">
        <f t="shared" si="4"/>
        <v>#DIV/0!</v>
      </c>
      <c r="V24" s="1" t="e">
        <f t="shared" si="5"/>
        <v>#DIV/0!</v>
      </c>
      <c r="W24" s="1">
        <v>1.2</v>
      </c>
      <c r="X24" s="1">
        <v>2.6</v>
      </c>
      <c r="Y24" s="1">
        <v>1</v>
      </c>
      <c r="Z24" s="1">
        <v>0</v>
      </c>
      <c r="AA24" s="1">
        <v>0.6</v>
      </c>
      <c r="AB24" s="1">
        <v>0.4</v>
      </c>
      <c r="AC24" s="1">
        <v>1.2</v>
      </c>
      <c r="AD24" s="1">
        <v>2.4</v>
      </c>
      <c r="AE24" s="17" t="s">
        <v>81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63</v>
      </c>
      <c r="B25" s="1" t="s">
        <v>34</v>
      </c>
      <c r="C25" s="1">
        <v>17</v>
      </c>
      <c r="D25" s="1">
        <v>50</v>
      </c>
      <c r="E25" s="1"/>
      <c r="F25" s="1">
        <v>67</v>
      </c>
      <c r="G25" s="9">
        <v>0.32</v>
      </c>
      <c r="H25" s="1">
        <v>730</v>
      </c>
      <c r="I25" s="1">
        <v>1010021343</v>
      </c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5">
        <f>S25</f>
        <v>50</v>
      </c>
      <c r="S25" s="5">
        <f>VLOOKUP(A25,[1]Sheet!$A$1:$S$65536,19,0)</f>
        <v>50</v>
      </c>
      <c r="T25" s="1"/>
      <c r="U25" s="1" t="e">
        <f t="shared" si="4"/>
        <v>#DIV/0!</v>
      </c>
      <c r="V25" s="1" t="e">
        <f t="shared" si="5"/>
        <v>#DIV/0!</v>
      </c>
      <c r="W25" s="1">
        <v>6</v>
      </c>
      <c r="X25" s="1">
        <v>2.6</v>
      </c>
      <c r="Y25" s="1">
        <v>2</v>
      </c>
      <c r="Z25" s="1">
        <v>0</v>
      </c>
      <c r="AA25" s="1">
        <v>6.4</v>
      </c>
      <c r="AB25" s="1">
        <v>0.4</v>
      </c>
      <c r="AC25" s="1">
        <v>1.2</v>
      </c>
      <c r="AD25" s="1">
        <v>0</v>
      </c>
      <c r="AE25" s="15" t="s">
        <v>38</v>
      </c>
      <c r="AF25" s="1">
        <f t="shared" si="6"/>
        <v>16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64</v>
      </c>
      <c r="B26" s="1" t="s">
        <v>34</v>
      </c>
      <c r="C26" s="1">
        <v>6</v>
      </c>
      <c r="D26" s="1"/>
      <c r="E26" s="1"/>
      <c r="F26" s="1">
        <v>6</v>
      </c>
      <c r="G26" s="9">
        <v>0.2</v>
      </c>
      <c r="H26" s="1">
        <v>730</v>
      </c>
      <c r="I26" s="1" t="s">
        <v>51</v>
      </c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5">
        <f>VLOOKUP(A26,[1]Sheet!$A$1:$S$65536,19,0)</f>
        <v>0</v>
      </c>
      <c r="T26" s="1"/>
      <c r="U26" s="1" t="e">
        <f t="shared" si="4"/>
        <v>#DIV/0!</v>
      </c>
      <c r="V26" s="1" t="e">
        <f t="shared" si="5"/>
        <v>#DIV/0!</v>
      </c>
      <c r="W26" s="1">
        <v>0</v>
      </c>
      <c r="X26" s="1">
        <v>2.8</v>
      </c>
      <c r="Y26" s="1">
        <v>2.2000000000000002</v>
      </c>
      <c r="Z26" s="1">
        <v>0</v>
      </c>
      <c r="AA26" s="1">
        <v>0.6</v>
      </c>
      <c r="AB26" s="1">
        <v>0</v>
      </c>
      <c r="AC26" s="1">
        <v>0</v>
      </c>
      <c r="AD26" s="1">
        <v>1.8</v>
      </c>
      <c r="AE26" s="8" t="s">
        <v>79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65</v>
      </c>
      <c r="B27" s="1" t="s">
        <v>34</v>
      </c>
      <c r="C27" s="1">
        <v>11</v>
      </c>
      <c r="D27" s="1">
        <v>40</v>
      </c>
      <c r="E27" s="1"/>
      <c r="F27" s="1">
        <v>51</v>
      </c>
      <c r="G27" s="9">
        <v>0.32</v>
      </c>
      <c r="H27" s="1">
        <v>730</v>
      </c>
      <c r="I27" s="1">
        <v>1010021314</v>
      </c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5">
        <f t="shared" ref="R27:R28" si="9">S27</f>
        <v>50</v>
      </c>
      <c r="S27" s="5">
        <f>VLOOKUP(A27,[1]Sheet!$A$1:$S$65536,19,0)</f>
        <v>50</v>
      </c>
      <c r="T27" s="1"/>
      <c r="U27" s="1" t="e">
        <f t="shared" si="4"/>
        <v>#DIV/0!</v>
      </c>
      <c r="V27" s="1" t="e">
        <f t="shared" si="5"/>
        <v>#DIV/0!</v>
      </c>
      <c r="W27" s="1">
        <v>0</v>
      </c>
      <c r="X27" s="1">
        <v>3.8</v>
      </c>
      <c r="Y27" s="1">
        <v>0</v>
      </c>
      <c r="Z27" s="1">
        <v>0</v>
      </c>
      <c r="AA27" s="1">
        <v>8.1999999999999993</v>
      </c>
      <c r="AB27" s="1">
        <v>0.4</v>
      </c>
      <c r="AC27" s="1">
        <v>0.6</v>
      </c>
      <c r="AD27" s="1">
        <v>0.6</v>
      </c>
      <c r="AE27" s="15" t="s">
        <v>38</v>
      </c>
      <c r="AF27" s="1">
        <f t="shared" si="6"/>
        <v>16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66</v>
      </c>
      <c r="B28" s="1" t="s">
        <v>34</v>
      </c>
      <c r="C28" s="1"/>
      <c r="D28" s="1">
        <v>69</v>
      </c>
      <c r="E28" s="1">
        <v>9</v>
      </c>
      <c r="F28" s="1">
        <v>60</v>
      </c>
      <c r="G28" s="9">
        <v>1</v>
      </c>
      <c r="H28" s="1" t="s">
        <v>40</v>
      </c>
      <c r="I28" s="1">
        <v>1010020292</v>
      </c>
      <c r="J28" s="1"/>
      <c r="K28" s="1"/>
      <c r="L28" s="1">
        <f t="shared" si="2"/>
        <v>9</v>
      </c>
      <c r="M28" s="1"/>
      <c r="N28" s="1"/>
      <c r="O28" s="1"/>
      <c r="P28" s="1">
        <f t="shared" si="3"/>
        <v>1.8</v>
      </c>
      <c r="Q28" s="5"/>
      <c r="R28" s="5">
        <f t="shared" si="9"/>
        <v>100</v>
      </c>
      <c r="S28" s="5">
        <v>100</v>
      </c>
      <c r="T28" s="1"/>
      <c r="U28" s="1">
        <f t="shared" si="4"/>
        <v>33.333333333333336</v>
      </c>
      <c r="V28" s="1">
        <f t="shared" si="5"/>
        <v>33.333333333333336</v>
      </c>
      <c r="W28" s="1">
        <v>4.5999999999999996</v>
      </c>
      <c r="X28" s="1">
        <v>5.2</v>
      </c>
      <c r="Y28" s="1">
        <v>7</v>
      </c>
      <c r="Z28" s="1">
        <v>0</v>
      </c>
      <c r="AA28" s="1">
        <v>8.4</v>
      </c>
      <c r="AB28" s="1">
        <v>1.4</v>
      </c>
      <c r="AC28" s="1">
        <v>4.5999999999999996</v>
      </c>
      <c r="AD28" s="1">
        <v>5.2</v>
      </c>
      <c r="AE28" s="1"/>
      <c r="AF28" s="1">
        <f t="shared" si="6"/>
        <v>100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67</v>
      </c>
      <c r="B29" s="1" t="s">
        <v>34</v>
      </c>
      <c r="C29" s="1">
        <v>53</v>
      </c>
      <c r="D29" s="1">
        <v>40</v>
      </c>
      <c r="E29" s="1">
        <v>20</v>
      </c>
      <c r="F29" s="1">
        <v>73</v>
      </c>
      <c r="G29" s="9">
        <v>0.28000000000000003</v>
      </c>
      <c r="H29" s="1" t="s">
        <v>40</v>
      </c>
      <c r="I29" s="1">
        <v>1010025555</v>
      </c>
      <c r="J29" s="1"/>
      <c r="K29" s="1"/>
      <c r="L29" s="1">
        <f t="shared" si="2"/>
        <v>20</v>
      </c>
      <c r="M29" s="1"/>
      <c r="N29" s="1"/>
      <c r="O29" s="1"/>
      <c r="P29" s="1">
        <f t="shared" si="3"/>
        <v>4</v>
      </c>
      <c r="Q29" s="5"/>
      <c r="R29" s="5"/>
      <c r="S29" s="5">
        <f>VLOOKUP(A29,[1]Sheet!$A$1:$S$65536,19,0)</f>
        <v>0</v>
      </c>
      <c r="T29" s="1"/>
      <c r="U29" s="1">
        <f t="shared" si="4"/>
        <v>18.25</v>
      </c>
      <c r="V29" s="1">
        <f t="shared" si="5"/>
        <v>18.25</v>
      </c>
      <c r="W29" s="1">
        <v>1.2</v>
      </c>
      <c r="X29" s="1">
        <v>2.8</v>
      </c>
      <c r="Y29" s="1">
        <v>3.4</v>
      </c>
      <c r="Z29" s="1">
        <v>4.2</v>
      </c>
      <c r="AA29" s="1">
        <v>1.8</v>
      </c>
      <c r="AB29" s="1">
        <v>4.2</v>
      </c>
      <c r="AC29" s="1">
        <v>1.2</v>
      </c>
      <c r="AD29" s="1">
        <v>4</v>
      </c>
      <c r="AE29" s="1"/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68</v>
      </c>
      <c r="B30" s="1" t="s">
        <v>34</v>
      </c>
      <c r="C30" s="1">
        <v>50</v>
      </c>
      <c r="D30" s="1">
        <v>60</v>
      </c>
      <c r="E30" s="1">
        <v>16</v>
      </c>
      <c r="F30" s="1">
        <v>94</v>
      </c>
      <c r="G30" s="9">
        <v>0.28000000000000003</v>
      </c>
      <c r="H30" s="1">
        <v>365</v>
      </c>
      <c r="I30" s="1">
        <v>1010026655</v>
      </c>
      <c r="J30" s="1"/>
      <c r="K30" s="1"/>
      <c r="L30" s="1">
        <f t="shared" si="2"/>
        <v>16</v>
      </c>
      <c r="M30" s="1"/>
      <c r="N30" s="1"/>
      <c r="O30" s="1"/>
      <c r="P30" s="1">
        <f t="shared" si="3"/>
        <v>3.2</v>
      </c>
      <c r="Q30" s="5"/>
      <c r="R30" s="5"/>
      <c r="S30" s="5">
        <f>VLOOKUP(A30,[1]Sheet!$A$1:$S$65536,19,0)</f>
        <v>0</v>
      </c>
      <c r="T30" s="1"/>
      <c r="U30" s="1">
        <f t="shared" si="4"/>
        <v>29.375</v>
      </c>
      <c r="V30" s="1">
        <f t="shared" si="5"/>
        <v>29.375</v>
      </c>
      <c r="W30" s="1">
        <v>2</v>
      </c>
      <c r="X30" s="1">
        <v>4</v>
      </c>
      <c r="Y30" s="1">
        <v>2.6</v>
      </c>
      <c r="Z30" s="1">
        <v>2.6</v>
      </c>
      <c r="AA30" s="1">
        <v>1.8</v>
      </c>
      <c r="AB30" s="1">
        <v>4</v>
      </c>
      <c r="AC30" s="1">
        <v>3.4</v>
      </c>
      <c r="AD30" s="1">
        <v>4.8</v>
      </c>
      <c r="AE30" s="15" t="s">
        <v>38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69</v>
      </c>
      <c r="B31" s="1" t="s">
        <v>34</v>
      </c>
      <c r="C31" s="1">
        <v>19</v>
      </c>
      <c r="D31" s="1">
        <v>60</v>
      </c>
      <c r="E31" s="1"/>
      <c r="F31" s="1">
        <v>79</v>
      </c>
      <c r="G31" s="9">
        <v>0.28000000000000003</v>
      </c>
      <c r="H31" s="1">
        <v>365</v>
      </c>
      <c r="I31" s="1">
        <v>1010028228</v>
      </c>
      <c r="J31" s="1"/>
      <c r="K31" s="1"/>
      <c r="L31" s="1">
        <f t="shared" si="2"/>
        <v>0</v>
      </c>
      <c r="M31" s="1"/>
      <c r="N31" s="1"/>
      <c r="O31" s="1"/>
      <c r="P31" s="1">
        <f t="shared" si="3"/>
        <v>0</v>
      </c>
      <c r="Q31" s="5"/>
      <c r="R31" s="5"/>
      <c r="S31" s="5">
        <f>VLOOKUP(A31,[1]Sheet!$A$1:$S$65536,19,0)</f>
        <v>0</v>
      </c>
      <c r="T31" s="1"/>
      <c r="U31" s="1" t="e">
        <f t="shared" si="4"/>
        <v>#DIV/0!</v>
      </c>
      <c r="V31" s="1" t="e">
        <f t="shared" si="5"/>
        <v>#DIV/0!</v>
      </c>
      <c r="W31" s="1">
        <v>2.4</v>
      </c>
      <c r="X31" s="1">
        <v>4</v>
      </c>
      <c r="Y31" s="1">
        <v>3.4</v>
      </c>
      <c r="Z31" s="1">
        <v>2.6</v>
      </c>
      <c r="AA31" s="1">
        <v>1.8</v>
      </c>
      <c r="AB31" s="1">
        <v>2.4</v>
      </c>
      <c r="AC31" s="1">
        <v>0.8</v>
      </c>
      <c r="AD31" s="1">
        <v>4.4000000000000004</v>
      </c>
      <c r="AE31" s="17" t="s">
        <v>82</v>
      </c>
      <c r="AF31" s="1">
        <f t="shared" si="6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6" t="s">
        <v>70</v>
      </c>
      <c r="B32" s="1" t="s">
        <v>34</v>
      </c>
      <c r="C32" s="1"/>
      <c r="D32" s="1"/>
      <c r="E32" s="1"/>
      <c r="F32" s="1"/>
      <c r="G32" s="9">
        <v>0.4</v>
      </c>
      <c r="H32" s="1">
        <v>730</v>
      </c>
      <c r="I32" s="1">
        <v>1010028186</v>
      </c>
      <c r="J32" s="1"/>
      <c r="K32" s="1"/>
      <c r="L32" s="1">
        <f t="shared" si="2"/>
        <v>0</v>
      </c>
      <c r="M32" s="1"/>
      <c r="N32" s="1"/>
      <c r="O32" s="1">
        <v>40</v>
      </c>
      <c r="P32" s="1">
        <f t="shared" si="3"/>
        <v>0</v>
      </c>
      <c r="Q32" s="5"/>
      <c r="R32" s="5">
        <f>S32</f>
        <v>40</v>
      </c>
      <c r="S32" s="5">
        <f>VLOOKUP(A32,[1]Sheet!$A$1:$S$65536,19,0)</f>
        <v>40</v>
      </c>
      <c r="T32" s="1"/>
      <c r="U32" s="1" t="e">
        <f t="shared" si="4"/>
        <v>#DIV/0!</v>
      </c>
      <c r="V32" s="1" t="e">
        <f t="shared" si="5"/>
        <v>#DIV/0!</v>
      </c>
      <c r="W32" s="1">
        <v>0</v>
      </c>
      <c r="X32" s="1">
        <v>0</v>
      </c>
      <c r="Y32" s="1">
        <v>2.6</v>
      </c>
      <c r="Z32" s="1">
        <v>1.4</v>
      </c>
      <c r="AA32" s="1">
        <v>2</v>
      </c>
      <c r="AB32" s="1">
        <v>0.4</v>
      </c>
      <c r="AC32" s="1">
        <v>0</v>
      </c>
      <c r="AD32" s="1">
        <v>3</v>
      </c>
      <c r="AE32" s="8" t="s">
        <v>80</v>
      </c>
      <c r="AF32" s="1">
        <f t="shared" si="6"/>
        <v>16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71</v>
      </c>
      <c r="B33" s="1" t="s">
        <v>34</v>
      </c>
      <c r="C33" s="1">
        <v>193</v>
      </c>
      <c r="D33" s="1"/>
      <c r="E33" s="1">
        <v>82</v>
      </c>
      <c r="F33" s="1">
        <v>111</v>
      </c>
      <c r="G33" s="9">
        <v>0.75</v>
      </c>
      <c r="H33" s="1" t="s">
        <v>35</v>
      </c>
      <c r="I33" s="1" t="s">
        <v>72</v>
      </c>
      <c r="J33" s="1"/>
      <c r="K33" s="1"/>
      <c r="L33" s="1">
        <f t="shared" si="2"/>
        <v>82</v>
      </c>
      <c r="M33" s="1"/>
      <c r="N33" s="1"/>
      <c r="O33" s="1">
        <v>1000</v>
      </c>
      <c r="P33" s="1">
        <f t="shared" si="3"/>
        <v>16.399999999999999</v>
      </c>
      <c r="Q33" s="5"/>
      <c r="R33" s="5"/>
      <c r="S33" s="5">
        <f>VLOOKUP(A33,[1]Sheet!$A$1:$S$65536,19,0)</f>
        <v>0</v>
      </c>
      <c r="T33" s="1"/>
      <c r="U33" s="1">
        <f t="shared" si="4"/>
        <v>67.743902439024396</v>
      </c>
      <c r="V33" s="1">
        <f t="shared" si="5"/>
        <v>67.743902439024396</v>
      </c>
      <c r="W33" s="1">
        <v>36.4</v>
      </c>
      <c r="X33" s="1">
        <v>27.6</v>
      </c>
      <c r="Y33" s="1">
        <v>53.6</v>
      </c>
      <c r="Z33" s="1">
        <v>8</v>
      </c>
      <c r="AA33" s="1">
        <v>100</v>
      </c>
      <c r="AB33" s="1">
        <v>0</v>
      </c>
      <c r="AC33" s="1">
        <v>0</v>
      </c>
      <c r="AD33" s="1">
        <v>0</v>
      </c>
      <c r="AE33" s="8" t="s">
        <v>78</v>
      </c>
      <c r="AF33" s="1">
        <f t="shared" si="6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1" t="s">
        <v>73</v>
      </c>
      <c r="B34" s="11" t="s">
        <v>34</v>
      </c>
      <c r="C34" s="11">
        <v>100</v>
      </c>
      <c r="D34" s="11"/>
      <c r="E34" s="11">
        <v>8</v>
      </c>
      <c r="F34" s="11">
        <v>92</v>
      </c>
      <c r="G34" s="12">
        <v>0</v>
      </c>
      <c r="H34" s="11">
        <v>730</v>
      </c>
      <c r="I34" s="11" t="s">
        <v>37</v>
      </c>
      <c r="J34" s="11"/>
      <c r="K34" s="11"/>
      <c r="L34" s="11">
        <f t="shared" si="2"/>
        <v>8</v>
      </c>
      <c r="M34" s="11"/>
      <c r="N34" s="11"/>
      <c r="O34" s="11"/>
      <c r="P34" s="11">
        <f t="shared" si="3"/>
        <v>1.6</v>
      </c>
      <c r="Q34" s="13"/>
      <c r="R34" s="13"/>
      <c r="S34" s="5">
        <f>VLOOKUP(A34,[1]Sheet!$A$1:$S$65536,19,0)</f>
        <v>0</v>
      </c>
      <c r="T34" s="11"/>
      <c r="U34" s="11">
        <f t="shared" si="4"/>
        <v>57.5</v>
      </c>
      <c r="V34" s="11">
        <f t="shared" si="5"/>
        <v>57.5</v>
      </c>
      <c r="W34" s="11">
        <v>0.2</v>
      </c>
      <c r="X34" s="11">
        <v>-1.4</v>
      </c>
      <c r="Y34" s="11">
        <v>-0.8</v>
      </c>
      <c r="Z34" s="11">
        <v>0</v>
      </c>
      <c r="AA34" s="11">
        <v>0</v>
      </c>
      <c r="AB34" s="11">
        <v>-0.2</v>
      </c>
      <c r="AC34" s="11">
        <v>0</v>
      </c>
      <c r="AD34" s="11">
        <v>1</v>
      </c>
      <c r="AE34" s="15" t="s">
        <v>38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74</v>
      </c>
      <c r="B35" s="1" t="s">
        <v>34</v>
      </c>
      <c r="C35" s="1">
        <v>6</v>
      </c>
      <c r="D35" s="1">
        <v>50</v>
      </c>
      <c r="E35" s="1"/>
      <c r="F35" s="1">
        <v>56</v>
      </c>
      <c r="G35" s="9">
        <v>0.3</v>
      </c>
      <c r="H35" s="1" t="s">
        <v>40</v>
      </c>
      <c r="I35" s="1">
        <v>1010017917</v>
      </c>
      <c r="J35" s="1"/>
      <c r="K35" s="1"/>
      <c r="L35" s="1">
        <f t="shared" si="2"/>
        <v>0</v>
      </c>
      <c r="M35" s="1"/>
      <c r="N35" s="1"/>
      <c r="O35" s="1"/>
      <c r="P35" s="1">
        <f t="shared" si="3"/>
        <v>0</v>
      </c>
      <c r="Q35" s="5"/>
      <c r="R35" s="5"/>
      <c r="S35" s="5">
        <f>VLOOKUP(A35,[1]Sheet!$A$1:$S$65536,19,0)</f>
        <v>0</v>
      </c>
      <c r="T35" s="1"/>
      <c r="U35" s="1" t="e">
        <f t="shared" si="4"/>
        <v>#DIV/0!</v>
      </c>
      <c r="V35" s="1" t="e">
        <f t="shared" si="5"/>
        <v>#DIV/0!</v>
      </c>
      <c r="W35" s="1">
        <v>0.8</v>
      </c>
      <c r="X35" s="1">
        <v>4.2</v>
      </c>
      <c r="Y35" s="1">
        <v>2</v>
      </c>
      <c r="Z35" s="1">
        <v>1.6</v>
      </c>
      <c r="AA35" s="1">
        <v>0.6</v>
      </c>
      <c r="AB35" s="1">
        <v>2.8</v>
      </c>
      <c r="AC35" s="1">
        <v>0.4</v>
      </c>
      <c r="AD35" s="1">
        <v>5</v>
      </c>
      <c r="AE35" s="1"/>
      <c r="AF35" s="1">
        <f t="shared" si="6"/>
        <v>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75</v>
      </c>
      <c r="B36" s="1" t="s">
        <v>34</v>
      </c>
      <c r="C36" s="1"/>
      <c r="D36" s="1">
        <v>40</v>
      </c>
      <c r="E36" s="1"/>
      <c r="F36" s="1">
        <v>40</v>
      </c>
      <c r="G36" s="9">
        <v>0.4</v>
      </c>
      <c r="H36" s="1">
        <v>730</v>
      </c>
      <c r="I36" s="1">
        <v>1010004259</v>
      </c>
      <c r="J36" s="1"/>
      <c r="K36" s="1"/>
      <c r="L36" s="1">
        <f t="shared" si="2"/>
        <v>0</v>
      </c>
      <c r="M36" s="1"/>
      <c r="N36" s="1"/>
      <c r="O36" s="1"/>
      <c r="P36" s="1">
        <f t="shared" si="3"/>
        <v>0</v>
      </c>
      <c r="Q36" s="5"/>
      <c r="R36" s="5"/>
      <c r="S36" s="5">
        <f>VLOOKUP(A36,[1]Sheet!$A$1:$S$65536,19,0)</f>
        <v>0</v>
      </c>
      <c r="T36" s="1"/>
      <c r="U36" s="1" t="e">
        <f t="shared" si="4"/>
        <v>#DIV/0!</v>
      </c>
      <c r="V36" s="1" t="e">
        <f t="shared" si="5"/>
        <v>#DIV/0!</v>
      </c>
      <c r="W36" s="1">
        <v>2.8</v>
      </c>
      <c r="X36" s="1">
        <v>2.4</v>
      </c>
      <c r="Y36" s="1">
        <v>0.6</v>
      </c>
      <c r="Z36" s="1">
        <v>1.8</v>
      </c>
      <c r="AA36" s="1">
        <v>1.4</v>
      </c>
      <c r="AB36" s="1">
        <v>1.2</v>
      </c>
      <c r="AC36" s="1">
        <v>0.6</v>
      </c>
      <c r="AD36" s="1">
        <v>4.2</v>
      </c>
      <c r="AE36" s="1"/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76</v>
      </c>
      <c r="B37" s="1" t="s">
        <v>34</v>
      </c>
      <c r="C37" s="1">
        <v>8</v>
      </c>
      <c r="D37" s="1">
        <v>50</v>
      </c>
      <c r="E37" s="1"/>
      <c r="F37" s="1">
        <v>58</v>
      </c>
      <c r="G37" s="9">
        <v>0.3</v>
      </c>
      <c r="H37" s="1" t="s">
        <v>35</v>
      </c>
      <c r="I37" s="1">
        <v>1010013267</v>
      </c>
      <c r="J37" s="1"/>
      <c r="K37" s="1"/>
      <c r="L37" s="1">
        <f t="shared" si="2"/>
        <v>0</v>
      </c>
      <c r="M37" s="1"/>
      <c r="N37" s="1"/>
      <c r="O37" s="1"/>
      <c r="P37" s="1">
        <f t="shared" si="3"/>
        <v>0</v>
      </c>
      <c r="Q37" s="5"/>
      <c r="R37" s="5"/>
      <c r="S37" s="5">
        <f>VLOOKUP(A37,[1]Sheet!$A$1:$S$65536,19,0)</f>
        <v>0</v>
      </c>
      <c r="T37" s="1"/>
      <c r="U37" s="1" t="e">
        <f t="shared" si="4"/>
        <v>#DIV/0!</v>
      </c>
      <c r="V37" s="1" t="e">
        <f t="shared" si="5"/>
        <v>#DIV/0!</v>
      </c>
      <c r="W37" s="1">
        <v>1.4</v>
      </c>
      <c r="X37" s="1">
        <v>3</v>
      </c>
      <c r="Y37" s="1">
        <v>2</v>
      </c>
      <c r="Z37" s="1">
        <v>0.8</v>
      </c>
      <c r="AA37" s="1">
        <v>0</v>
      </c>
      <c r="AB37" s="1">
        <v>0.8</v>
      </c>
      <c r="AC37" s="1">
        <v>1.4</v>
      </c>
      <c r="AD37" s="1">
        <v>5</v>
      </c>
      <c r="AE37" s="1"/>
      <c r="AF37" s="1">
        <f t="shared" si="6"/>
        <v>0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77</v>
      </c>
      <c r="B38" s="1" t="s">
        <v>34</v>
      </c>
      <c r="C38" s="1">
        <v>2</v>
      </c>
      <c r="D38" s="1">
        <v>50</v>
      </c>
      <c r="E38" s="1"/>
      <c r="F38" s="1">
        <v>52</v>
      </c>
      <c r="G38" s="9">
        <v>0.3</v>
      </c>
      <c r="H38" s="1" t="s">
        <v>55</v>
      </c>
      <c r="I38" s="1">
        <v>1010027159</v>
      </c>
      <c r="J38" s="1"/>
      <c r="K38" s="1"/>
      <c r="L38" s="1">
        <f t="shared" si="2"/>
        <v>0</v>
      </c>
      <c r="M38" s="1"/>
      <c r="N38" s="1"/>
      <c r="O38" s="1"/>
      <c r="P38" s="1">
        <f t="shared" si="3"/>
        <v>0</v>
      </c>
      <c r="Q38" s="5"/>
      <c r="R38" s="5"/>
      <c r="S38" s="5">
        <f>VLOOKUP(A38,[1]Sheet!$A$1:$S$65536,19,0)</f>
        <v>0</v>
      </c>
      <c r="T38" s="1"/>
      <c r="U38" s="1" t="e">
        <f t="shared" si="4"/>
        <v>#DIV/0!</v>
      </c>
      <c r="V38" s="1" t="e">
        <f t="shared" si="5"/>
        <v>#DIV/0!</v>
      </c>
      <c r="W38" s="1">
        <v>1.6</v>
      </c>
      <c r="X38" s="1">
        <v>2</v>
      </c>
      <c r="Y38" s="1">
        <v>3.6</v>
      </c>
      <c r="Z38" s="1">
        <v>1</v>
      </c>
      <c r="AA38" s="1">
        <v>0</v>
      </c>
      <c r="AB38" s="1">
        <v>2.4</v>
      </c>
      <c r="AC38" s="1">
        <v>1</v>
      </c>
      <c r="AD38" s="1">
        <v>4.8</v>
      </c>
      <c r="AE38" s="1"/>
      <c r="AF38" s="1">
        <f t="shared" si="6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</sheetData>
  <autoFilter ref="A3:AF38" xr:uid="{9067061C-CE6D-4E11-824B-506F01A357C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2025-12-08T12:47:45Z</dcterms:created>
  <dcterms:modified xsi:type="dcterms:W3CDTF">2025-12-16T08:19:07Z</dcterms:modified>
</cp:coreProperties>
</file>