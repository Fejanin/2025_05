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Мираторг КИ Ташкент\"/>
    </mc:Choice>
  </mc:AlternateContent>
  <xr:revisionPtr revIDLastSave="0" documentId="13_ncr:1_{42A65670-115E-40D6-9DED-41459C07A0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Sheet!$A$3:$AE$24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24" i="1" l="1"/>
  <c r="P24" i="1"/>
  <c r="U24" i="1" s="1"/>
  <c r="L24" i="1"/>
  <c r="V23" i="1"/>
  <c r="P23" i="1"/>
  <c r="U23" i="1" s="1"/>
  <c r="L23" i="1"/>
  <c r="V22" i="1"/>
  <c r="P22" i="1"/>
  <c r="T22" i="1" s="1"/>
  <c r="L22" i="1"/>
  <c r="V21" i="1"/>
  <c r="F21" i="1"/>
  <c r="E21" i="1"/>
  <c r="L21" i="1" s="1"/>
  <c r="V20" i="1"/>
  <c r="P20" i="1"/>
  <c r="U20" i="1" s="1"/>
  <c r="L20" i="1"/>
  <c r="V19" i="1"/>
  <c r="P19" i="1"/>
  <c r="U19" i="1" s="1"/>
  <c r="L19" i="1"/>
  <c r="V18" i="1"/>
  <c r="P18" i="1"/>
  <c r="U18" i="1" s="1"/>
  <c r="L18" i="1"/>
  <c r="V17" i="1"/>
  <c r="P17" i="1"/>
  <c r="U17" i="1" s="1"/>
  <c r="L17" i="1"/>
  <c r="V16" i="1"/>
  <c r="P16" i="1"/>
  <c r="U16" i="1" s="1"/>
  <c r="L16" i="1"/>
  <c r="V15" i="1"/>
  <c r="P15" i="1"/>
  <c r="U15" i="1" s="1"/>
  <c r="L15" i="1"/>
  <c r="V14" i="1"/>
  <c r="P14" i="1"/>
  <c r="U14" i="1" s="1"/>
  <c r="L14" i="1"/>
  <c r="V13" i="1"/>
  <c r="P13" i="1"/>
  <c r="U13" i="1" s="1"/>
  <c r="L13" i="1"/>
  <c r="V12" i="1"/>
  <c r="P12" i="1"/>
  <c r="U12" i="1" s="1"/>
  <c r="L12" i="1"/>
  <c r="V11" i="1"/>
  <c r="P11" i="1"/>
  <c r="U11" i="1" s="1"/>
  <c r="L11" i="1"/>
  <c r="V10" i="1"/>
  <c r="P10" i="1"/>
  <c r="T10" i="1" s="1"/>
  <c r="L10" i="1"/>
  <c r="V9" i="1"/>
  <c r="F9" i="1"/>
  <c r="E9" i="1"/>
  <c r="L9" i="1" s="1"/>
  <c r="AE8" i="1"/>
  <c r="V8" i="1"/>
  <c r="P8" i="1"/>
  <c r="T8" i="1" s="1"/>
  <c r="L8" i="1"/>
  <c r="V7" i="1"/>
  <c r="P7" i="1"/>
  <c r="Q7" i="1" s="1"/>
  <c r="L7" i="1"/>
  <c r="V6" i="1"/>
  <c r="P6" i="1"/>
  <c r="Q6" i="1" s="1"/>
  <c r="L6" i="1"/>
  <c r="AC5" i="1"/>
  <c r="AB5" i="1"/>
  <c r="AA5" i="1"/>
  <c r="Z5" i="1"/>
  <c r="Y5" i="1"/>
  <c r="X5" i="1"/>
  <c r="W5" i="1"/>
  <c r="R5" i="1"/>
  <c r="O5" i="1"/>
  <c r="N5" i="1"/>
  <c r="M5" i="1"/>
  <c r="K5" i="1"/>
  <c r="Q13" i="1" l="1"/>
  <c r="Q23" i="1"/>
  <c r="Q17" i="1"/>
  <c r="Q18" i="1"/>
  <c r="AE18" i="1" s="1"/>
  <c r="Q24" i="1"/>
  <c r="Q19" i="1"/>
  <c r="Q16" i="1"/>
  <c r="AE16" i="1" s="1"/>
  <c r="E5" i="1"/>
  <c r="V5" i="1"/>
  <c r="Q11" i="1"/>
  <c r="Q15" i="1"/>
  <c r="P9" i="1"/>
  <c r="T20" i="1"/>
  <c r="P21" i="1"/>
  <c r="Q21" i="1" s="1"/>
  <c r="AE21" i="1" s="1"/>
  <c r="AE6" i="1"/>
  <c r="AE7" i="1"/>
  <c r="Q12" i="1"/>
  <c r="AE12" i="1" s="1"/>
  <c r="Q14" i="1"/>
  <c r="AE14" i="1" s="1"/>
  <c r="T18" i="1"/>
  <c r="L5" i="1"/>
  <c r="U6" i="1"/>
  <c r="U7" i="1"/>
  <c r="U8" i="1"/>
  <c r="U10" i="1"/>
  <c r="U22" i="1"/>
  <c r="F5" i="1"/>
  <c r="U21" i="1" l="1"/>
  <c r="Q9" i="1"/>
  <c r="AE9" i="1" s="1"/>
  <c r="T7" i="1"/>
  <c r="AE19" i="1"/>
  <c r="T19" i="1"/>
  <c r="AE11" i="1"/>
  <c r="T11" i="1"/>
  <c r="AE13" i="1"/>
  <c r="T13" i="1"/>
  <c r="P5" i="1"/>
  <c r="T14" i="1"/>
  <c r="T21" i="1"/>
  <c r="AE15" i="1"/>
  <c r="T15" i="1"/>
  <c r="AE17" i="1"/>
  <c r="T17" i="1"/>
  <c r="AE24" i="1"/>
  <c r="T24" i="1"/>
  <c r="U9" i="1"/>
  <c r="T16" i="1"/>
  <c r="T12" i="1"/>
  <c r="T6" i="1"/>
  <c r="AE23" i="1"/>
  <c r="T23" i="1"/>
  <c r="AE5" i="1" l="1"/>
  <c r="T9" i="1"/>
  <c r="Q5" i="1"/>
</calcChain>
</file>

<file path=xl/sharedStrings.xml><?xml version="1.0" encoding="utf-8"?>
<sst xmlns="http://schemas.openxmlformats.org/spreadsheetml/2006/main" count="94" uniqueCount="67">
  <si>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</si>
  <si>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</si>
  <si>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</si>
  <si>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</si>
  <si>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</si>
  <si>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</si>
  <si>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</si>
  <si>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</si>
  <si>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</si>
  <si>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</si>
  <si>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</si>
  <si>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</si>
  <si>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</si>
  <si>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</si>
  <si>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</si>
  <si>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</si>
  <si>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</si>
  <si>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</si>
  <si>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</si>
  <si>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</si>
  <si>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</si>
  <si>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</si>
  <si>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</si>
  <si>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</si>
  <si>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</si>
  <si>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10,11,</t>
  </si>
  <si>
    <t>03,10,</t>
  </si>
  <si>
    <t>20,10,</t>
  </si>
  <si>
    <t>13,10,</t>
  </si>
  <si>
    <t>06,10,</t>
  </si>
  <si>
    <t>29,09,</t>
  </si>
  <si>
    <t>22,09,</t>
  </si>
  <si>
    <t>15,09,</t>
  </si>
  <si>
    <t>08,09,</t>
  </si>
  <si>
    <t>КП Колбаса в/к Балыковая ВУ охл 300г*6  МИРАТОРГ</t>
  </si>
  <si>
    <t>шт</t>
  </si>
  <si>
    <t>вместо 375гр</t>
  </si>
  <si>
    <t>Колбаса п/к Краковская ОХЛ ВУ 330г*5 (1,65 кг)  МИРАТОРГ</t>
  </si>
  <si>
    <t>вместо 430гр</t>
  </si>
  <si>
    <t>Колбаса с/к Сальчичон ВУ ОХЛ 280г*6 (1,68 кг)  МИРАТОРГ</t>
  </si>
  <si>
    <t>Колбаса с/к Сервелат ГОСТ ВУ ОХЛ 0,3кг*6(1,8кг)  МИРАТОРГ</t>
  </si>
  <si>
    <t>новый артикул</t>
  </si>
  <si>
    <t>Сервелат полусухой с/к ВУ ОХЛ 300гр МИРАТОРГ</t>
  </si>
  <si>
    <t>дубль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</si>
  <si>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</si>
  <si>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</si>
  <si>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вместо 300гр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</si>
  <si>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</si>
  <si>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</si>
  <si>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</si>
  <si>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</si>
  <si>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</si>
  <si>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11,05,25 списание 274шт.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</si>
  <si>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</si>
  <si>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</si>
  <si>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</si>
  <si>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на вывод / 1010030636</t>
  </si>
  <si>
    <t>17,09,25 списание 692шт. / на вывод / СРОКИ (17,03,25)</t>
  </si>
  <si>
    <t>МХБ Колбаса сырокопченая Брауншвейгская ШТ. ВУ ОХЛ 300гр*8 (2,4 кг) МИРАТОРГ</t>
  </si>
  <si>
    <t>КП Колбаса с/к Брауншвейгская ВУ ОХЛ 300г*6 (1,8кг) 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</si>
  <si>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</si>
  <si>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</si>
  <si>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22,05,25 списание 310шт.</t>
  </si>
  <si>
    <t>22,05,25 списание 215шт.</t>
  </si>
  <si>
    <t>нужно увеличить продажи</t>
  </si>
  <si>
    <t>нужно увеличить продажи / новый артикул</t>
  </si>
  <si>
    <t>нужно увеличить продажи / вместо 300гр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</si>
</sst>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4" fillId="0" borderId="1" xfId="1" applyNumberFormat="1" applyFont="1"/>
    <xf numFmtId="164" fontId="1" fillId="5" borderId="6" xfId="1" applyNumberFormat="1" applyFill="1" applyBorder="1"/>
    <xf numFmtId="164" fontId="1" fillId="5" borderId="7" xfId="1" applyNumberFormat="1" applyFill="1" applyBorder="1"/>
    <xf numFmtId="2" fontId="1" fillId="5" borderId="1" xfId="1" applyNumberFormat="1" applyFill="1"/>
    <xf numFmtId="164" fontId="1" fillId="5" borderId="1" xfId="1" applyNumberFormat="1" applyFill="1"/>
    <xf numFmtId="164" fontId="1" fillId="5" borderId="2" xfId="1" applyNumberFormat="1" applyFill="1" applyBorder="1"/>
    <xf numFmtId="164" fontId="5" fillId="6" borderId="4" xfId="1" applyNumberFormat="1" applyFont="1" applyFill="1" applyBorder="1"/>
    <xf numFmtId="164" fontId="5" fillId="6" borderId="5" xfId="1" applyNumberFormat="1" applyFont="1" applyFill="1" applyBorder="1"/>
    <xf numFmtId="164" fontId="5" fillId="6" borderId="7" xfId="1" applyNumberFormat="1" applyFont="1" applyFill="1" applyBorder="1"/>
    <xf numFmtId="164" fontId="5" fillId="6" borderId="8" xfId="1" applyNumberFormat="1" applyFont="1" applyFill="1" applyBorder="1"/>
    <xf numFmtId="164" fontId="1" fillId="7" borderId="1" xfId="1" applyNumberFormat="1" applyFill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8;&#1072;&#1096;&#1082;&#1077;&#1085;&#1090;%2028,10,25-03,10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28.10.2025 - 03.11.2025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28.10.25</v>
          </cell>
          <cell r="E6" t="str">
            <v>29.10.25</v>
          </cell>
          <cell r="F6" t="str">
            <v>30.10.25</v>
          </cell>
        </row>
        <row r="8">
          <cell r="A8" t="str">
            <v>7187 ГРУДИНКА ПРЕМИУМ к/в мл/к в/у 0.3кг_50с  ОСТАНКИНО</v>
          </cell>
          <cell r="C8">
            <v>1417</v>
          </cell>
          <cell r="D8">
            <v>548</v>
          </cell>
          <cell r="E8">
            <v>177</v>
          </cell>
          <cell r="F8">
            <v>204</v>
          </cell>
        </row>
        <row r="9">
          <cell r="A9" t="str">
            <v>1721-Сосиски Вязанка Сливочные ТМ Стародворские колбасы</v>
          </cell>
          <cell r="C9">
            <v>504.82499999999999</v>
          </cell>
          <cell r="D9">
            <v>166.45</v>
          </cell>
          <cell r="E9">
            <v>41.365000000000002</v>
          </cell>
          <cell r="F9">
            <v>81.739999999999995</v>
          </cell>
        </row>
        <row r="10">
          <cell r="A10" t="str">
            <v>2074-Сосиски Молочные для завтрака Особый рецепт</v>
          </cell>
          <cell r="C10">
            <v>683.64499999999998</v>
          </cell>
          <cell r="D10">
            <v>204.542</v>
          </cell>
          <cell r="E10">
            <v>143.79400000000001</v>
          </cell>
          <cell r="F10">
            <v>53.122</v>
          </cell>
        </row>
        <row r="11">
          <cell r="A11" t="str">
            <v>1875-Колбаса Филейная оригинальная ТМ Особый рецепт в оболочке полиамид.  ПОКОМ</v>
          </cell>
          <cell r="C11">
            <v>385.55399999999997</v>
          </cell>
          <cell r="D11">
            <v>62.646000000000001</v>
          </cell>
          <cell r="E11">
            <v>200.43799999999999</v>
          </cell>
          <cell r="F11">
            <v>52.579000000000001</v>
          </cell>
        </row>
        <row r="12">
          <cell r="A12" t="str">
            <v>1867-Колбаса Филейная ТМ Особый рецепт в оболочке полиамид большой батон.  ПОКОМ</v>
          </cell>
          <cell r="C12">
            <v>436.93400000000003</v>
          </cell>
          <cell r="D12">
            <v>102.351</v>
          </cell>
          <cell r="E12">
            <v>201.38300000000001</v>
          </cell>
          <cell r="F12">
            <v>26.388999999999999</v>
          </cell>
        </row>
        <row r="13">
          <cell r="A13" t="str">
            <v>2472 Сардельки Левантские Особая Без свинины Весовые NDX мгс Особый рецепт, вес 1кг</v>
          </cell>
          <cell r="C13">
            <v>292.46100000000001</v>
          </cell>
          <cell r="D13">
            <v>40.825000000000003</v>
          </cell>
          <cell r="E13">
            <v>124.351</v>
          </cell>
          <cell r="F13">
            <v>25.597000000000001</v>
          </cell>
        </row>
        <row r="14">
          <cell r="A14" t="str">
            <v>7070 СОЧНЫЕ ПМ сос п/о мгс 1.5*4_А_50с  ОСТАНКИНО</v>
          </cell>
          <cell r="C14">
            <v>304.40499999999997</v>
          </cell>
          <cell r="D14">
            <v>66.284999999999997</v>
          </cell>
          <cell r="E14">
            <v>50.182000000000002</v>
          </cell>
          <cell r="F14">
            <v>25.113</v>
          </cell>
        </row>
        <row r="15">
          <cell r="A15" t="str">
            <v>2205-Сосиски Молочные для завтрака ТМ Особый рецепт 0,4кг</v>
          </cell>
          <cell r="C15">
            <v>627</v>
          </cell>
          <cell r="D15">
            <v>146</v>
          </cell>
          <cell r="E15">
            <v>232</v>
          </cell>
          <cell r="F15">
            <v>127</v>
          </cell>
        </row>
        <row r="16">
          <cell r="A16" t="str">
            <v>1869-Колбаса Молочная ТМ Особый рецепт в оболочке полиамид большой батон.  ПОКОМ</v>
          </cell>
          <cell r="C16">
            <v>391.43200000000002</v>
          </cell>
          <cell r="D16">
            <v>94.192999999999998</v>
          </cell>
          <cell r="E16">
            <v>192.54900000000001</v>
          </cell>
          <cell r="F16">
            <v>26.062999999999999</v>
          </cell>
        </row>
        <row r="17">
          <cell r="A17" t="str">
            <v>1870-Колбаса Со шпиком ТМ Особый рецепт в оболочке полиамид большой батон.  ПОКОМ</v>
          </cell>
          <cell r="C17">
            <v>372.43299999999999</v>
          </cell>
          <cell r="D17">
            <v>76.781999999999996</v>
          </cell>
          <cell r="E17">
            <v>174.19300000000001</v>
          </cell>
          <cell r="F17">
            <v>37.049999999999997</v>
          </cell>
        </row>
        <row r="18">
          <cell r="A18" t="str">
            <v>0222-Ветчины Дугушка Дугушка б/о Стародворье, 1кг</v>
          </cell>
          <cell r="C18">
            <v>219.10900000000001</v>
          </cell>
          <cell r="D18">
            <v>69.733999999999995</v>
          </cell>
          <cell r="E18">
            <v>42.24</v>
          </cell>
          <cell r="F18">
            <v>39.786000000000001</v>
          </cell>
        </row>
        <row r="19">
          <cell r="A19" t="str">
            <v>Фарш куриный "Домашний",зам,в/у0,75кг*8(6кг)  МИРАТОРГ</v>
          </cell>
          <cell r="C19">
            <v>500</v>
          </cell>
        </row>
        <row r="20">
          <cell r="A20" t="str">
            <v>0178 Ветчины Нежная Особая Особая Весовые П/а Особый рецепт большой батон  ПОКОМ</v>
          </cell>
          <cell r="C20">
            <v>219.56299999999999</v>
          </cell>
          <cell r="D20">
            <v>75.757000000000005</v>
          </cell>
          <cell r="E20">
            <v>29.986000000000001</v>
          </cell>
          <cell r="F20">
            <v>25.257000000000001</v>
          </cell>
        </row>
        <row r="21">
          <cell r="A21" t="str">
            <v>6072 ЭКСТРА Папа может вар п/о 0.4кг_UZ</v>
          </cell>
          <cell r="C21">
            <v>587</v>
          </cell>
          <cell r="D21">
            <v>117</v>
          </cell>
          <cell r="E21">
            <v>171</v>
          </cell>
          <cell r="F21">
            <v>227</v>
          </cell>
        </row>
        <row r="22">
          <cell r="A22" t="str">
            <v>Вареные колбасы Сливушка Вязанка Фикс.вес 0,45 П/а Вязанка  ПОКОМ</v>
          </cell>
          <cell r="C22">
            <v>392</v>
          </cell>
          <cell r="D22">
            <v>207</v>
          </cell>
          <cell r="E22">
            <v>43</v>
          </cell>
          <cell r="F22">
            <v>32</v>
          </cell>
        </row>
        <row r="23">
          <cell r="A23" t="str">
            <v>6093 САЛЯМИ ИТАЛЬЯНСКАЯ с/к в/у 1/250 8шт_UZ</v>
          </cell>
          <cell r="C23">
            <v>343</v>
          </cell>
          <cell r="D23">
            <v>106</v>
          </cell>
          <cell r="E23">
            <v>49</v>
          </cell>
          <cell r="F23">
            <v>65</v>
          </cell>
        </row>
        <row r="24">
          <cell r="A24" t="str">
            <v>6346 ФИЛЕЙНАЯ Папа может вар п/о 0.5кг_СНГ  ОСТАНКИНО</v>
          </cell>
          <cell r="C24">
            <v>413</v>
          </cell>
          <cell r="D24">
            <v>120</v>
          </cell>
          <cell r="E24">
            <v>57</v>
          </cell>
          <cell r="F24">
            <v>122</v>
          </cell>
        </row>
        <row r="25">
          <cell r="A25" t="str">
            <v>4087   СЕРВЕЛАТ КОПЧЕНЫЙ НА БУКЕ в/к в/К 0,35</v>
          </cell>
          <cell r="C25">
            <v>416</v>
          </cell>
          <cell r="D25">
            <v>149</v>
          </cell>
          <cell r="E25">
            <v>44</v>
          </cell>
          <cell r="F25">
            <v>71</v>
          </cell>
        </row>
        <row r="26">
          <cell r="A26" t="str">
            <v>2150 В/к колбасы Рубленая Запеченная Дугушка Весовые Вектор Стародворье, вес 1кг</v>
          </cell>
          <cell r="C26">
            <v>153.17400000000001</v>
          </cell>
          <cell r="D26">
            <v>31.655999999999999</v>
          </cell>
          <cell r="E26">
            <v>29.922000000000001</v>
          </cell>
          <cell r="F26">
            <v>28.140999999999998</v>
          </cell>
        </row>
        <row r="27">
          <cell r="A27" t="str">
            <v>СК БОГОРОДСКАЯ ПРЕСС ФИБ ВУ ШТ0.3КГ К3.6  ЧЕРКИЗОВО</v>
          </cell>
          <cell r="C27">
            <v>195</v>
          </cell>
          <cell r="D27">
            <v>44</v>
          </cell>
          <cell r="E27">
            <v>32</v>
          </cell>
          <cell r="F27">
            <v>33</v>
          </cell>
        </row>
        <row r="28">
          <cell r="A28" t="str">
            <v>6787 СЕРВЕЛАТ КРЕМЛЕВСКИЙ в/к в/у 0.33кг 8шт.  ОСТАНКИНО</v>
          </cell>
          <cell r="C28">
            <v>258</v>
          </cell>
          <cell r="D28">
            <v>70</v>
          </cell>
          <cell r="E28">
            <v>29</v>
          </cell>
          <cell r="F28">
            <v>30</v>
          </cell>
        </row>
        <row r="29">
          <cell r="A29" t="str">
            <v>7058 ШПИКАЧКИ СОЧНЫЕ С БЕКОНОМ п/о мгс 1*3_60с  ОСТАНКИНО</v>
          </cell>
          <cell r="C29">
            <v>160.142</v>
          </cell>
          <cell r="D29">
            <v>35.408000000000001</v>
          </cell>
          <cell r="E29">
            <v>29.327999999999999</v>
          </cell>
          <cell r="F29">
            <v>22.018999999999998</v>
          </cell>
        </row>
        <row r="30">
          <cell r="A30" t="str">
            <v>1523-Сосиски Вязанка Молочные ТМ Стародворские колбасы</v>
          </cell>
          <cell r="C30">
            <v>129.93100000000001</v>
          </cell>
          <cell r="D30">
            <v>48.389000000000003</v>
          </cell>
          <cell r="E30">
            <v>14.827</v>
          </cell>
          <cell r="F30">
            <v>16.206</v>
          </cell>
        </row>
        <row r="31">
          <cell r="A31" t="str">
            <v>Вареные колбасы Докторская ГОСТ Вязанка Фикс.вес 0,4 Вектор Вязанка  ПОКОМ</v>
          </cell>
          <cell r="C31">
            <v>232</v>
          </cell>
          <cell r="D31">
            <v>81</v>
          </cell>
          <cell r="E31">
            <v>13</v>
          </cell>
          <cell r="F31">
            <v>35</v>
          </cell>
        </row>
        <row r="32">
          <cell r="A32" t="str">
            <v>1205 Копченые колбасы Салями Мясорубская с рубленым шпиком срез Бордо ф/в 0,35 фиброуз Стародворье  ПОКОМ</v>
          </cell>
          <cell r="C32">
            <v>329</v>
          </cell>
          <cell r="D32">
            <v>73</v>
          </cell>
          <cell r="E32">
            <v>74</v>
          </cell>
          <cell r="F32">
            <v>37</v>
          </cell>
        </row>
        <row r="33">
          <cell r="A33" t="str">
            <v>1720-Сосиски Вязанка Сливочные ТМ Стародворские колбасы ТС Вязанка амицел в мод газов.среде 0,45кг</v>
          </cell>
          <cell r="C33">
            <v>200</v>
          </cell>
          <cell r="D33">
            <v>69</v>
          </cell>
          <cell r="E33">
            <v>13</v>
          </cell>
          <cell r="F33">
            <v>26</v>
          </cell>
        </row>
        <row r="34">
          <cell r="A34" t="str">
            <v>6807 СЕРВЕЛАТ ЕВРОПЕЙСКИЙ в/к в/у 0.33кг 8шт.  ОСТАНКИНО</v>
          </cell>
          <cell r="C34">
            <v>238</v>
          </cell>
          <cell r="D34">
            <v>60</v>
          </cell>
          <cell r="E34">
            <v>48</v>
          </cell>
          <cell r="F34">
            <v>26</v>
          </cell>
        </row>
        <row r="35">
          <cell r="A35" t="str">
            <v>МХБ Колб полусухая «Салями» ВУ ОХЛ 280гр*6 (1,68кг)  МИРАТОРГ</v>
          </cell>
          <cell r="C35">
            <v>171</v>
          </cell>
          <cell r="D35">
            <v>48</v>
          </cell>
          <cell r="E35">
            <v>42</v>
          </cell>
          <cell r="F35">
            <v>28</v>
          </cell>
        </row>
        <row r="36">
          <cell r="A36" t="str">
            <v>1202 В/к колбасы Сервелат Мясорубский с мелкорубленным окороком срез Бордо Фикс.вес 0,35 фиброуз Ста</v>
          </cell>
          <cell r="C36">
            <v>310</v>
          </cell>
          <cell r="D36">
            <v>90</v>
          </cell>
          <cell r="E36">
            <v>61</v>
          </cell>
          <cell r="F36">
            <v>36</v>
          </cell>
        </row>
        <row r="37">
          <cell r="A37" t="str">
            <v>Стейк из мраморной говядины б/к с/м TF ~1кг BLACK ANGUS Мираторг (Брянск) Россия  МИРАТОРГ</v>
          </cell>
          <cell r="C37">
            <v>42</v>
          </cell>
          <cell r="D37">
            <v>4</v>
          </cell>
          <cell r="F37">
            <v>38</v>
          </cell>
        </row>
        <row r="38">
          <cell r="A38" t="str">
            <v>ВАР МОЛОЧНАЯ ПО-ЧЕ НМО ШТ 0.4КГ К2.4  ЧЕРКИЗОВО</v>
          </cell>
          <cell r="C38">
            <v>259</v>
          </cell>
          <cell r="D38">
            <v>62</v>
          </cell>
          <cell r="E38">
            <v>51</v>
          </cell>
          <cell r="F38">
            <v>44</v>
          </cell>
        </row>
        <row r="39">
          <cell r="A39" t="str">
            <v>6092 АРОМАТНАЯ с/к в/у 1/250 8шт_UZ</v>
          </cell>
          <cell r="C39">
            <v>207</v>
          </cell>
          <cell r="D39">
            <v>58</v>
          </cell>
          <cell r="E39">
            <v>26</v>
          </cell>
          <cell r="F39">
            <v>32</v>
          </cell>
        </row>
        <row r="40">
          <cell r="A40" t="str">
            <v>7075 МОЛОЧ.ПРЕМИУМ ПМ сос п/о мгс 1.5*4_О_50с  ОСТАНКИНО</v>
          </cell>
          <cell r="C40">
            <v>130.648</v>
          </cell>
          <cell r="D40">
            <v>42.194000000000003</v>
          </cell>
          <cell r="E40">
            <v>12.378</v>
          </cell>
          <cell r="F40">
            <v>21.635999999999999</v>
          </cell>
        </row>
        <row r="41">
          <cell r="A41" t="str">
            <v>1370-Сосиски Сочинки Бордо Весовой п/а Стародворье</v>
          </cell>
          <cell r="C41">
            <v>133.54499999999999</v>
          </cell>
          <cell r="D41">
            <v>35.78</v>
          </cell>
          <cell r="E41">
            <v>4.4950000000000001</v>
          </cell>
          <cell r="F41">
            <v>24.401</v>
          </cell>
        </row>
        <row r="42">
          <cell r="A42" t="str">
            <v>Стейк Рибай говяжий зам DF 320г BLACK ANGUS Мираторг (Брянск) Россия  МИРАТОРГ</v>
          </cell>
          <cell r="C42">
            <v>32</v>
          </cell>
          <cell r="F42">
            <v>32</v>
          </cell>
        </row>
        <row r="43">
          <cell r="A43" t="str">
            <v>1118 В/к колбасы Салями Запеченая Дугушка  Вектор Стародворье, 1кг</v>
          </cell>
          <cell r="C43">
            <v>95.837999999999994</v>
          </cell>
          <cell r="D43">
            <v>24.574999999999999</v>
          </cell>
          <cell r="E43">
            <v>21.125</v>
          </cell>
          <cell r="F43">
            <v>17.591999999999999</v>
          </cell>
        </row>
        <row r="44">
          <cell r="A44" t="str">
            <v>МХБ Мясной продукт из свинины сырокопченый Бекон ШТ. ОХЛ ВУ 200г*10 (2 кг) МИРАТОРГ</v>
          </cell>
          <cell r="C44">
            <v>263</v>
          </cell>
          <cell r="D44">
            <v>119</v>
          </cell>
          <cell r="E44">
            <v>33</v>
          </cell>
          <cell r="F44">
            <v>40</v>
          </cell>
        </row>
        <row r="45">
          <cell r="A45" t="str">
            <v>СК БОРОДИНСКАЯ СРЕЗ ФИБ ВУ 0.3КГ ШТ К3.6  ЧЕРКИЗОВО</v>
          </cell>
          <cell r="C45">
            <v>147</v>
          </cell>
          <cell r="D45">
            <v>50</v>
          </cell>
          <cell r="E45">
            <v>32</v>
          </cell>
          <cell r="F45">
            <v>28</v>
          </cell>
        </row>
        <row r="46">
          <cell r="A46" t="str">
            <v>5096   СЕРВЕЛАТ КРЕМЛЕВСКИЙ в/к в/у_СНГ</v>
          </cell>
          <cell r="C46">
            <v>74.801000000000002</v>
          </cell>
          <cell r="D46">
            <v>23.974</v>
          </cell>
          <cell r="E46">
            <v>0.89</v>
          </cell>
          <cell r="F46">
            <v>10.263</v>
          </cell>
        </row>
        <row r="47">
          <cell r="A47" t="str">
            <v>5608 СЕРВЕЛАТ ФИНСКИЙ в/к в/у срез 0.35кг_СНГ</v>
          </cell>
          <cell r="C47">
            <v>259</v>
          </cell>
          <cell r="D47">
            <v>42</v>
          </cell>
          <cell r="E47">
            <v>34</v>
          </cell>
          <cell r="F47">
            <v>65</v>
          </cell>
        </row>
        <row r="48">
          <cell r="A48" t="str">
            <v>6095 ЮБИЛЕЙНАЯ с/к в/у 1/250 8шт_UZ</v>
          </cell>
          <cell r="C48">
            <v>191</v>
          </cell>
          <cell r="D48">
            <v>54</v>
          </cell>
          <cell r="E48">
            <v>31</v>
          </cell>
          <cell r="F48">
            <v>31</v>
          </cell>
        </row>
        <row r="49">
          <cell r="A49" t="str">
            <v>Вареные колбасы Молокуша Вязанка Вес п/а Вязанка  ПОКОМ</v>
          </cell>
          <cell r="C49">
            <v>103.634</v>
          </cell>
          <cell r="D49">
            <v>44.593000000000004</v>
          </cell>
          <cell r="E49">
            <v>9.4499999999999993</v>
          </cell>
          <cell r="F49">
            <v>13.615</v>
          </cell>
        </row>
        <row r="50">
          <cell r="A50" t="str">
            <v>1871-Колбаса Филейная оригинальная ТМ Особый рецепт в оболочке полиамид 0,4 кг.  ПОКОМ</v>
          </cell>
          <cell r="C50">
            <v>275</v>
          </cell>
          <cell r="D50">
            <v>52</v>
          </cell>
          <cell r="E50">
            <v>125</v>
          </cell>
          <cell r="F50">
            <v>75</v>
          </cell>
        </row>
        <row r="51">
          <cell r="A51" t="str">
            <v>6268 ГОВЯЖЬЯ Папа может вар п/о 0.4кг 8шт.  ОСТАНКИНО</v>
          </cell>
          <cell r="C51">
            <v>294</v>
          </cell>
          <cell r="D51">
            <v>89</v>
          </cell>
          <cell r="E51">
            <v>69</v>
          </cell>
          <cell r="F51">
            <v>44</v>
          </cell>
        </row>
        <row r="52">
          <cell r="A52" t="str">
            <v>6076 МЯСНАЯ Папа может вар п/о 0.4кг_UZ</v>
          </cell>
          <cell r="C52">
            <v>324</v>
          </cell>
          <cell r="D52">
            <v>91</v>
          </cell>
          <cell r="E52">
            <v>64</v>
          </cell>
          <cell r="F52">
            <v>54</v>
          </cell>
        </row>
        <row r="53">
          <cell r="A53" t="str">
            <v>КОПЧ БЕКОН НАР ВУ ШТ 0.18КГ К1.8  ЧЕРКИЗОВО</v>
          </cell>
          <cell r="C53">
            <v>191</v>
          </cell>
          <cell r="D53">
            <v>87</v>
          </cell>
          <cell r="E53">
            <v>55</v>
          </cell>
          <cell r="F53">
            <v>20</v>
          </cell>
        </row>
        <row r="54">
          <cell r="A54" t="str">
            <v>4079 СЕРВЕЛАТ КОПЧЕНЫЙ НА БУКЕ в/к в/у_СНГ</v>
          </cell>
          <cell r="C54">
            <v>84.317999999999998</v>
          </cell>
          <cell r="D54">
            <v>36.850999999999999</v>
          </cell>
          <cell r="E54">
            <v>7.8579999999999997</v>
          </cell>
          <cell r="F54">
            <v>16.43</v>
          </cell>
        </row>
        <row r="55">
          <cell r="A55" t="str">
            <v>Стейк Стриплойн зам. DF 320г*6(1,92кг) BLACK ANGUS  МИРАТОРГ</v>
          </cell>
          <cell r="C55">
            <v>41</v>
          </cell>
          <cell r="F55">
            <v>41</v>
          </cell>
        </row>
        <row r="56">
          <cell r="A56" t="str">
            <v>2634 Колбаса Дугушка Стародворская ТМ Стародворье ТС Дугушка  ПОКОМ</v>
          </cell>
          <cell r="C56">
            <v>106.84699999999999</v>
          </cell>
          <cell r="D56">
            <v>35.442</v>
          </cell>
          <cell r="E56">
            <v>16.053999999999998</v>
          </cell>
          <cell r="F56">
            <v>6.7720000000000002</v>
          </cell>
        </row>
        <row r="57">
          <cell r="A57" t="str">
            <v>Колбаса с/к Сервелат ГОСТ ВУ ОХЛ 0,3кг*6(1,8кг)  МИРАТОРГ</v>
          </cell>
          <cell r="C57">
            <v>85</v>
          </cell>
          <cell r="D57">
            <v>55</v>
          </cell>
          <cell r="E57">
            <v>7</v>
          </cell>
          <cell r="F57">
            <v>6</v>
          </cell>
        </row>
        <row r="58">
          <cell r="A58" t="str">
            <v>6765 РУБЛЕНЫЕ сос ц/о мгс 0.36кг 6шт.  ОСТАНКИНО</v>
          </cell>
          <cell r="C58">
            <v>169</v>
          </cell>
          <cell r="D58">
            <v>50</v>
          </cell>
          <cell r="E58">
            <v>15</v>
          </cell>
          <cell r="F58">
            <v>31</v>
          </cell>
        </row>
        <row r="59">
          <cell r="A59" t="str">
            <v>7077 МЯСНЫЕ С ГОВЯД.ПМ сос п/о мгс 0.4кг_50с ОСТАНКИНО</v>
          </cell>
          <cell r="C59">
            <v>255</v>
          </cell>
          <cell r="D59">
            <v>81</v>
          </cell>
          <cell r="E59">
            <v>57</v>
          </cell>
          <cell r="F59">
            <v>47</v>
          </cell>
        </row>
        <row r="60">
          <cell r="A60" t="str">
            <v>СК СЕРВЕЛЕТТИ ПРЕСС СРЕЗ БО ВУ ШТ 0.25КГ  ЧЕРКИЗОВО</v>
          </cell>
          <cell r="C60">
            <v>97</v>
          </cell>
          <cell r="D60">
            <v>18</v>
          </cell>
          <cell r="E60">
            <v>30</v>
          </cell>
          <cell r="F60">
            <v>21</v>
          </cell>
        </row>
        <row r="61">
          <cell r="A61" t="str">
            <v>1411 Сосиски «Сочинки Сливочные» Весовые ТМ «Стародворье» 1,35 кг  ПОКОМ</v>
          </cell>
          <cell r="C61">
            <v>98.838999999999999</v>
          </cell>
          <cell r="D61">
            <v>36.856999999999999</v>
          </cell>
          <cell r="E61">
            <v>0.92</v>
          </cell>
          <cell r="F61">
            <v>18.841999999999999</v>
          </cell>
        </row>
        <row r="62">
          <cell r="A62" t="str">
            <v>СОС СЛИВОЧНЫЕ ГОСТ ЦО ЗА ЛОТ ШТ 0.45КГ K1.8 ЧЕРКИЗОВО</v>
          </cell>
          <cell r="C62">
            <v>113</v>
          </cell>
          <cell r="D62">
            <v>27</v>
          </cell>
        </row>
        <row r="63">
          <cell r="A63" t="str">
            <v>ВАР МОЛОЧНАЯ ПО-Ч НМО 1 КГ К3  ЧЕРКИЗОВО</v>
          </cell>
          <cell r="C63">
            <v>73.073999999999998</v>
          </cell>
          <cell r="D63">
            <v>1.1639999999999999</v>
          </cell>
          <cell r="E63">
            <v>7.8E-2</v>
          </cell>
          <cell r="F63">
            <v>12.6</v>
          </cell>
        </row>
        <row r="64">
          <cell r="A64" t="str">
            <v>1204 Копченые колбасы Салями Мясорубская с рубленым шпиком Бордо Весовой фиброуз Стародворье  ПОКОМ</v>
          </cell>
          <cell r="C64">
            <v>77.825999999999993</v>
          </cell>
          <cell r="D64">
            <v>16.023</v>
          </cell>
          <cell r="E64">
            <v>9.407</v>
          </cell>
          <cell r="F64">
            <v>2.9180000000000001</v>
          </cell>
        </row>
        <row r="65">
          <cell r="A65" t="str">
            <v>7104 БЕКОН Останкино с/к с/н в/у 1/180_СНГ_50 ОСТАНКИНО</v>
          </cell>
          <cell r="C65">
            <v>177</v>
          </cell>
          <cell r="D65">
            <v>85</v>
          </cell>
          <cell r="E65">
            <v>25</v>
          </cell>
          <cell r="F65">
            <v>18</v>
          </cell>
        </row>
        <row r="66">
          <cell r="A66" t="str">
            <v>1120 В/к колбасы Сервелат Запеченный Дугушка Вес Вектор Стародворье, вес 1кг</v>
          </cell>
          <cell r="C66">
            <v>70.319999999999993</v>
          </cell>
          <cell r="D66">
            <v>20.204999999999998</v>
          </cell>
          <cell r="E66">
            <v>8.8140000000000001</v>
          </cell>
          <cell r="F66">
            <v>18.489999999999998</v>
          </cell>
        </row>
        <row r="67">
          <cell r="A67" t="str">
            <v>7333 СЕРВЕЛАТ ОХОТНИЧИЙ ПМ в/к в/у 0.28кг_СНГ  ОСТАНКИНО</v>
          </cell>
          <cell r="C67">
            <v>208</v>
          </cell>
          <cell r="D67">
            <v>37</v>
          </cell>
          <cell r="E67">
            <v>21</v>
          </cell>
          <cell r="F67">
            <v>41</v>
          </cell>
        </row>
        <row r="68">
          <cell r="A68" t="str">
            <v>МХБ Колбаса варено-копченая Сервелат Финский ШТ. Ф/О ОХЛ В/У 375г*6 (2,25кг) МИРАТОРГ</v>
          </cell>
          <cell r="C68">
            <v>137</v>
          </cell>
          <cell r="D68">
            <v>51</v>
          </cell>
          <cell r="E68">
            <v>10</v>
          </cell>
          <cell r="F68">
            <v>28</v>
          </cell>
        </row>
        <row r="69">
          <cell r="A69" t="str">
            <v>МХБ Колбаса сырокопченая Брауншвейгская ШТ. ВУ ОХЛ 300гр*8 (2,4 кг) МИРАТОРГ</v>
          </cell>
          <cell r="C69">
            <v>66</v>
          </cell>
          <cell r="D69">
            <v>39</v>
          </cell>
          <cell r="E69">
            <v>2</v>
          </cell>
          <cell r="F69">
            <v>6</v>
          </cell>
        </row>
        <row r="70">
          <cell r="A70" t="str">
            <v>1371-Сосиски Сочинки с сочной грудинкой Бордо Фикс.вес 0,4 П/а мгс Стародворье</v>
          </cell>
          <cell r="C70">
            <v>187</v>
          </cell>
          <cell r="D70">
            <v>72</v>
          </cell>
          <cell r="E70">
            <v>6</v>
          </cell>
          <cell r="F70">
            <v>19</v>
          </cell>
        </row>
        <row r="71">
          <cell r="A71" t="str">
            <v>СОС КОПЧ ПО-Ч ЛОТ ПМО ЗА ШТ 0.4КГ K1.6  ЧЕРКИЗОВО</v>
          </cell>
          <cell r="C71">
            <v>145</v>
          </cell>
          <cell r="D71">
            <v>41</v>
          </cell>
          <cell r="E71">
            <v>19</v>
          </cell>
          <cell r="F71">
            <v>20</v>
          </cell>
        </row>
        <row r="72">
          <cell r="A72" t="str">
            <v>1201 В/к колбасы Сервелат Мясорубский с мелкорубленным окороком Бордо Весовой фиброуз Стародворье  П</v>
          </cell>
          <cell r="C72">
            <v>61.81</v>
          </cell>
          <cell r="D72">
            <v>16.866</v>
          </cell>
          <cell r="E72">
            <v>2.8029999999999999</v>
          </cell>
          <cell r="F72">
            <v>0.13800000000000001</v>
          </cell>
        </row>
        <row r="73">
          <cell r="A73" t="str">
            <v>СОС ВЕНСКИЕ БО ЗА ПАК 1.25КГ K5 ЧЕРКИЗОВО</v>
          </cell>
          <cell r="C73">
            <v>49.768000000000001</v>
          </cell>
          <cell r="D73">
            <v>39.869999999999997</v>
          </cell>
          <cell r="E73">
            <v>-2.6259999999999999</v>
          </cell>
          <cell r="F73">
            <v>-4.93</v>
          </cell>
        </row>
        <row r="74">
          <cell r="A74" t="str">
            <v>6837 ФИЛЕЙНЫЕ Папа Может сос ц/о мгс 0.4кг  ОСТАНКИНО</v>
          </cell>
          <cell r="C74">
            <v>162</v>
          </cell>
          <cell r="D74">
            <v>56</v>
          </cell>
          <cell r="E74">
            <v>27</v>
          </cell>
          <cell r="F74">
            <v>22</v>
          </cell>
        </row>
        <row r="75">
          <cell r="A75" t="str">
            <v>ВК СЕРВ ГОСТ СРЕЗ ФИБ ВУ ШТ 0.5КГ К2  ЧЕРКИЗОВО</v>
          </cell>
          <cell r="C75">
            <v>55</v>
          </cell>
          <cell r="D75">
            <v>36</v>
          </cell>
          <cell r="E75">
            <v>-6</v>
          </cell>
          <cell r="F75">
            <v>8</v>
          </cell>
        </row>
        <row r="76">
          <cell r="A76" t="str">
            <v>7067 СОЧНЫЕ ПМ сос п/о мгс 0.41кг_СНГ_50с  ОСТАНКИНО</v>
          </cell>
          <cell r="C76">
            <v>168</v>
          </cell>
          <cell r="D76">
            <v>59</v>
          </cell>
          <cell r="E76">
            <v>18</v>
          </cell>
          <cell r="F76">
            <v>26</v>
          </cell>
        </row>
        <row r="77">
          <cell r="A77" t="str">
            <v>ВАР КЛАССИЧЕСКАЯ ПО-Ч ЦО ЗА 1.6КГ K3.2 ЧЕРКИЗОВО</v>
          </cell>
          <cell r="C77">
            <v>41.048999999999999</v>
          </cell>
          <cell r="D77">
            <v>21.052</v>
          </cell>
          <cell r="E77">
            <v>4.8090000000000002</v>
          </cell>
          <cell r="F77">
            <v>-5.8849999999999998</v>
          </cell>
        </row>
        <row r="78">
          <cell r="A78" t="str">
            <v>Вареные колбасы «Филейская» Фикс.вес 0,45 Вектор ТМ «Вязанка»  ПОКОМ</v>
          </cell>
          <cell r="C78">
            <v>109</v>
          </cell>
          <cell r="D78">
            <v>46</v>
          </cell>
          <cell r="E78">
            <v>3</v>
          </cell>
          <cell r="F78">
            <v>29</v>
          </cell>
        </row>
        <row r="79">
          <cell r="A79" t="str">
            <v>1224 В/к колбасы «Сочинка по-европейски с сочной грудинкой» Весовой фиброуз ТМ «Стародворье»  ПОКОМ</v>
          </cell>
          <cell r="C79">
            <v>58.110999999999997</v>
          </cell>
          <cell r="D79">
            <v>16.332000000000001</v>
          </cell>
          <cell r="E79">
            <v>6.4349999999999996</v>
          </cell>
          <cell r="F79">
            <v>0.90800000000000003</v>
          </cell>
        </row>
        <row r="80">
          <cell r="A80" t="str">
            <v>1284-Сосиски Баварушки ТМ Баварушка в оболочке амицел в модифицированной газовой среде 0,6 кг.</v>
          </cell>
          <cell r="C80">
            <v>68</v>
          </cell>
          <cell r="D80">
            <v>2</v>
          </cell>
          <cell r="E80">
            <v>8</v>
          </cell>
          <cell r="F80">
            <v>8</v>
          </cell>
        </row>
        <row r="81">
          <cell r="A81" t="str">
            <v>1372-Сосиски Сочинки с сочным окороком Бордо Фикс.вес 0,4 П/а мгс Стародворье</v>
          </cell>
          <cell r="C81">
            <v>146</v>
          </cell>
          <cell r="D81">
            <v>41</v>
          </cell>
          <cell r="E81">
            <v>6</v>
          </cell>
          <cell r="F81">
            <v>17</v>
          </cell>
        </row>
        <row r="82">
          <cell r="A82" t="str">
            <v>Колбаса с/к Сальчичон ВУ ОХЛ 280г*6 (1,68 кг)  МИРАТОРГ</v>
          </cell>
          <cell r="C82">
            <v>62</v>
          </cell>
          <cell r="D82">
            <v>12</v>
          </cell>
          <cell r="F82">
            <v>24</v>
          </cell>
        </row>
        <row r="83">
          <cell r="A83" t="str">
            <v>0262 Ветчина «Сочинка с сочным окороком» Весовой п/а ТМ «Стародворье»  ПОКОМ</v>
          </cell>
          <cell r="C83">
            <v>50.875999999999998</v>
          </cell>
          <cell r="D83">
            <v>5.4</v>
          </cell>
          <cell r="E83">
            <v>3.6040000000000001</v>
          </cell>
          <cell r="F83">
            <v>2.7749999999999999</v>
          </cell>
        </row>
        <row r="84">
          <cell r="A84" t="str">
            <v>СК САЛЬЧИЧОН СРЕЗ ФИБ ВУ ШТ 0,3 КГ ЧЕРКИЗОВО (ПРЕМИУМ)</v>
          </cell>
          <cell r="C84">
            <v>61</v>
          </cell>
          <cell r="D84">
            <v>25</v>
          </cell>
          <cell r="E84">
            <v>9</v>
          </cell>
          <cell r="F84">
            <v>20</v>
          </cell>
        </row>
        <row r="85">
          <cell r="A85" t="str">
            <v>ВЕТЧ МРАМОРНАЯ ПО-ЧЕРКИЗОВСКИ ШТ 0,4 КГ  ЧЕРКИЗОВО</v>
          </cell>
          <cell r="C85">
            <v>79</v>
          </cell>
          <cell r="D85">
            <v>20</v>
          </cell>
          <cell r="E85">
            <v>34</v>
          </cell>
          <cell r="F85">
            <v>9</v>
          </cell>
        </row>
        <row r="86">
          <cell r="A86" t="str">
            <v>1851-Колбаса Филедворская по-стародворски ТМ Стародворье в оболочке полиамид 0,4 кг.  ПОКОМ</v>
          </cell>
          <cell r="C86">
            <v>144</v>
          </cell>
          <cell r="D86">
            <v>51</v>
          </cell>
          <cell r="E86">
            <v>11</v>
          </cell>
          <cell r="F86">
            <v>10</v>
          </cell>
        </row>
        <row r="87">
          <cell r="A87" t="str">
            <v>Вареные колбасы «Филейская» Весовые Вектор ТМ «Вязанка»  ПОКОМ</v>
          </cell>
          <cell r="C87">
            <v>48.225999999999999</v>
          </cell>
          <cell r="D87">
            <v>15.667</v>
          </cell>
          <cell r="E87">
            <v>6.6849999999999996</v>
          </cell>
          <cell r="F87">
            <v>2.2730000000000001</v>
          </cell>
        </row>
        <row r="88">
          <cell r="A88" t="str">
            <v>МХБ Колбаса варено-копченая Сервелат ШТ. Ф/О ОХЛ В/У 375г*6 (2,25кг) МИРАТОРГ</v>
          </cell>
          <cell r="C88">
            <v>89</v>
          </cell>
          <cell r="D88">
            <v>33</v>
          </cell>
          <cell r="E88">
            <v>13</v>
          </cell>
          <cell r="F88">
            <v>9</v>
          </cell>
        </row>
        <row r="89">
          <cell r="A89" t="str">
            <v>МХБ Колбаса полукопченая Чесночная ШТ. ф/о ОХЛ 375г*6 (2,25кг) МИРАТОРГ</v>
          </cell>
          <cell r="C89">
            <v>92</v>
          </cell>
          <cell r="D89">
            <v>29</v>
          </cell>
          <cell r="E89">
            <v>9</v>
          </cell>
          <cell r="F89">
            <v>18</v>
          </cell>
        </row>
        <row r="90">
          <cell r="A90" t="str">
            <v>Колбаса п/к Краковская ОХЛ ВУ 330г*5 (1,65 кг)  МИРАТОРГ</v>
          </cell>
          <cell r="C90">
            <v>72</v>
          </cell>
          <cell r="D90">
            <v>21</v>
          </cell>
          <cell r="E90">
            <v>12</v>
          </cell>
          <cell r="F90">
            <v>12</v>
          </cell>
        </row>
        <row r="91">
          <cell r="A91" t="str">
            <v>1231 Сосиски Сливочные Дугушки Дугушка Весовые П/а Стародворье, вес 1кг</v>
          </cell>
          <cell r="C91">
            <v>44.4</v>
          </cell>
          <cell r="D91">
            <v>-0.54700000000000004</v>
          </cell>
        </row>
        <row r="92">
          <cell r="A92" t="str">
            <v>6094 ЮБИЛЕЙНАЯ с/к в/у_UZ</v>
          </cell>
          <cell r="C92">
            <v>20.434000000000001</v>
          </cell>
          <cell r="D92">
            <v>14.026</v>
          </cell>
          <cell r="E92">
            <v>0.97</v>
          </cell>
          <cell r="F92">
            <v>2.96</v>
          </cell>
        </row>
        <row r="93">
          <cell r="A93" t="str">
            <v>КП Колбаса в/к Балыковая ВУ охл 300г*6  МИРАТОРГ</v>
          </cell>
          <cell r="C93">
            <v>98</v>
          </cell>
          <cell r="D93">
            <v>24</v>
          </cell>
          <cell r="E93">
            <v>14</v>
          </cell>
          <cell r="F93">
            <v>18</v>
          </cell>
        </row>
        <row r="94">
          <cell r="A94" t="str">
            <v>6220 ГОВЯЖЬЯ Папа может вар п/о  ОСТАНКИНО</v>
          </cell>
          <cell r="C94">
            <v>40.037999999999997</v>
          </cell>
          <cell r="D94">
            <v>13.333</v>
          </cell>
          <cell r="E94">
            <v>8</v>
          </cell>
        </row>
        <row r="95">
          <cell r="A95" t="str">
            <v>1952-Колбаса Со шпиком ТМ Особый рецепт в оболочке полиамид 0,5 кг.  ПОКОМ</v>
          </cell>
          <cell r="C95">
            <v>96</v>
          </cell>
          <cell r="D95">
            <v>26</v>
          </cell>
          <cell r="E95">
            <v>26</v>
          </cell>
        </row>
        <row r="96">
          <cell r="A96" t="str">
            <v>Сервелат полусухой с/к ВУ ОХЛ 300гр МИРАТОРГ</v>
          </cell>
          <cell r="C96">
            <v>34</v>
          </cell>
          <cell r="F96">
            <v>16</v>
          </cell>
        </row>
        <row r="97">
          <cell r="A97" t="str">
            <v>МХБ Сервелат Мраморный ШТ. в/к ВУ ОХЛ 330г*6 (1,98кг)  МИРАТОРГ</v>
          </cell>
          <cell r="C97">
            <v>51</v>
          </cell>
          <cell r="D97">
            <v>9</v>
          </cell>
          <cell r="E97">
            <v>-2</v>
          </cell>
          <cell r="F97">
            <v>21</v>
          </cell>
        </row>
        <row r="98">
          <cell r="A98" t="str">
            <v>Наггетсы куриные хрустящие 300г*12 (3,6кг) Мираторг Россия</v>
          </cell>
          <cell r="C98">
            <v>79</v>
          </cell>
          <cell r="D98">
            <v>3</v>
          </cell>
          <cell r="E98">
            <v>46</v>
          </cell>
          <cell r="F98">
            <v>18</v>
          </cell>
        </row>
        <row r="99">
          <cell r="A99" t="str">
            <v>СК САЛЬЧИЧОН С РОЗОВЫМ ПЕРЦ. СРЕЗ ШТ 0,3  ЧЕРКИЗОВО</v>
          </cell>
          <cell r="C99">
            <v>39</v>
          </cell>
          <cell r="D99">
            <v>11</v>
          </cell>
          <cell r="E99">
            <v>9</v>
          </cell>
          <cell r="F99">
            <v>14</v>
          </cell>
        </row>
        <row r="100">
          <cell r="A100" t="str">
            <v>1461 Сосиски «Баварские» Фикс.вес 0,35 П/а ТМ «Стародворье»  ПОКОМ</v>
          </cell>
          <cell r="C100">
            <v>97</v>
          </cell>
          <cell r="D100">
            <v>42</v>
          </cell>
          <cell r="E100">
            <v>-2</v>
          </cell>
          <cell r="F100">
            <v>12</v>
          </cell>
        </row>
        <row r="101">
          <cell r="A101" t="str">
            <v>СОС МОЛОЧНЫЕ ПО-Ч ПМО ЗА ЛОТ ШТ 0.45КГ K1.8 ЧЕРКИЗОВО</v>
          </cell>
          <cell r="C101">
            <v>54</v>
          </cell>
          <cell r="D101">
            <v>23</v>
          </cell>
          <cell r="E101">
            <v>-2</v>
          </cell>
          <cell r="F101">
            <v>-1</v>
          </cell>
        </row>
        <row r="102">
          <cell r="A102" t="str">
            <v>7059 ШПИКАЧКИ СОЧНЫЕ С БЕК. п/о мгс 0.3кг_60с  ОСТАНКИНО</v>
          </cell>
          <cell r="C102">
            <v>98</v>
          </cell>
          <cell r="D102">
            <v>34</v>
          </cell>
          <cell r="F102">
            <v>25</v>
          </cell>
        </row>
        <row r="103">
          <cell r="A103" t="str">
            <v>МХБ Колбаса варено-копченая Сервелат Коньячный Ф/О ОХЛ В/У 300г*6 (1,8кг)  МИРАТОРГ</v>
          </cell>
          <cell r="C103">
            <v>77</v>
          </cell>
          <cell r="D103">
            <v>24</v>
          </cell>
          <cell r="E103">
            <v>14</v>
          </cell>
          <cell r="F103">
            <v>10</v>
          </cell>
        </row>
        <row r="104">
          <cell r="A104" t="str">
            <v>Наггетсы куриные Классические 300г*12 (3,6кг) Мираторг Россия</v>
          </cell>
          <cell r="C104">
            <v>69</v>
          </cell>
          <cell r="D104">
            <v>3</v>
          </cell>
          <cell r="E104">
            <v>34</v>
          </cell>
          <cell r="F104">
            <v>18</v>
          </cell>
        </row>
        <row r="105">
          <cell r="A105" t="str">
            <v>6075 МЯСНАЯ Папа может вар п/о_UZ</v>
          </cell>
          <cell r="C105">
            <v>36.622999999999998</v>
          </cell>
          <cell r="D105">
            <v>2.726</v>
          </cell>
          <cell r="E105">
            <v>4.03</v>
          </cell>
          <cell r="F105">
            <v>4.0640000000000001</v>
          </cell>
        </row>
        <row r="106">
          <cell r="A106" t="str">
            <v>С/к колбасы Баварская Бавария Фикс.вес 0,17 б/о терм/п Стародворье</v>
          </cell>
          <cell r="C106">
            <v>47</v>
          </cell>
          <cell r="D106">
            <v>14</v>
          </cell>
          <cell r="E106">
            <v>4</v>
          </cell>
          <cell r="F106">
            <v>16</v>
          </cell>
        </row>
        <row r="107">
          <cell r="A107" t="str">
            <v>У_Фарш куриный "Домашний",зам,в/у0,75кг*8(6кг)  МИРАТОРГ</v>
          </cell>
          <cell r="C107">
            <v>71</v>
          </cell>
        </row>
        <row r="108">
          <cell r="A108" t="str">
            <v>МХБ Колбаса вареная Докторская ШТ. п/а ОХЛ 470г*6 (2,82 кг) МИРАТОРГ</v>
          </cell>
          <cell r="C108">
            <v>38</v>
          </cell>
          <cell r="D108">
            <v>12</v>
          </cell>
          <cell r="E108">
            <v>6</v>
          </cell>
          <cell r="F108">
            <v>9</v>
          </cell>
        </row>
        <row r="109">
          <cell r="A109" t="str">
            <v>6091 АРОМАТНАЯ с/к в/у_UZ</v>
          </cell>
          <cell r="C109">
            <v>11.374000000000001</v>
          </cell>
          <cell r="D109">
            <v>8.9209999999999994</v>
          </cell>
        </row>
        <row r="110">
          <cell r="A110" t="str">
            <v>СК ОНЕЖСКАЯ СРЕЗ ФИБ ВУ ШТ 0.3КГ K1.8 ЧЕРКИЗОВО</v>
          </cell>
          <cell r="C110">
            <v>27</v>
          </cell>
          <cell r="D110">
            <v>3</v>
          </cell>
          <cell r="E110">
            <v>2</v>
          </cell>
          <cell r="F110">
            <v>15</v>
          </cell>
        </row>
        <row r="111">
          <cell r="A111" t="str">
            <v>Наггетсы куриные с сыром 300г*12 (3,6кг) Мираторг Россия</v>
          </cell>
          <cell r="C111">
            <v>37</v>
          </cell>
          <cell r="D111">
            <v>8</v>
          </cell>
          <cell r="E111">
            <v>11</v>
          </cell>
          <cell r="F111">
            <v>18</v>
          </cell>
        </row>
        <row r="112">
          <cell r="A112" t="str">
            <v>ВАР АРОМАТНАЯ ПО-Ч ЦО ЗА 1.6КГ K3.2 ЧЕРКИЗОВО</v>
          </cell>
          <cell r="C112">
            <v>12.801</v>
          </cell>
          <cell r="D112">
            <v>-0.26500000000000001</v>
          </cell>
          <cell r="F112">
            <v>-3.2</v>
          </cell>
        </row>
        <row r="113">
          <cell r="A113" t="str">
            <v>ВК БАЛЫКОВАЯ ПО-ЧЕРКИЗ СРЕЗ ШТ0,3 К1,8  ЧЕРКИЗОВО</v>
          </cell>
          <cell r="C113">
            <v>26</v>
          </cell>
          <cell r="D113">
            <v>15</v>
          </cell>
          <cell r="E113">
            <v>1</v>
          </cell>
          <cell r="F113">
            <v>-4</v>
          </cell>
        </row>
        <row r="114">
          <cell r="A114" t="str">
            <v>6078 ФИЛЕЙНАЯ Папа может вар п/о_UZ</v>
          </cell>
          <cell r="C114">
            <v>19.902999999999999</v>
          </cell>
          <cell r="D114">
            <v>-0.113</v>
          </cell>
          <cell r="E114">
            <v>7.968</v>
          </cell>
        </row>
        <row r="115">
          <cell r="A115" t="str">
            <v>Пельмени "Из мраморной говядины" с/м пленка  400г*16(6,4кг) BLACK ANGUS Мираторг (Брянск) Россия</v>
          </cell>
          <cell r="C115">
            <v>35</v>
          </cell>
          <cell r="D115">
            <v>5</v>
          </cell>
          <cell r="E115">
            <v>5</v>
          </cell>
          <cell r="F115">
            <v>13</v>
          </cell>
        </row>
        <row r="116">
          <cell r="A116" t="str">
            <v>1728-Сосиски сливочные по-стародворски в оболочке</v>
          </cell>
          <cell r="C116">
            <v>14.909000000000001</v>
          </cell>
          <cell r="D116">
            <v>8.1210000000000004</v>
          </cell>
        </row>
        <row r="117">
          <cell r="A117" t="str">
            <v>СК САЛЬЧИЧОН НАРЕЗ ФИБ ЗА ШТ 0.1КГ К1.2  ЧЕРКИЗОВО</v>
          </cell>
          <cell r="C117">
            <v>26</v>
          </cell>
          <cell r="D117">
            <v>23</v>
          </cell>
        </row>
        <row r="118">
          <cell r="A118" t="str">
            <v>КП Колбаса с/к Брауншвейгская ВУ ОХЛ 300г*6 (1,8кг)  МИРАТОРГ</v>
          </cell>
          <cell r="C118">
            <v>12</v>
          </cell>
          <cell r="F118">
            <v>6</v>
          </cell>
        </row>
        <row r="119">
          <cell r="A119" t="str">
            <v>2027 Ветчина Нежная п/а ТМ Особый рецепт шт. 0,4кг</v>
          </cell>
          <cell r="C119">
            <v>24</v>
          </cell>
          <cell r="D119">
            <v>15</v>
          </cell>
          <cell r="E119">
            <v>-1</v>
          </cell>
          <cell r="F119">
            <v>-9</v>
          </cell>
        </row>
        <row r="120">
          <cell r="A120" t="str">
            <v>1868-Колбаса Филейная ТМ Особый рецепт в оболочке полиамид 0,5 кг.  ПОКОМ</v>
          </cell>
          <cell r="C120">
            <v>24</v>
          </cell>
          <cell r="D120">
            <v>4</v>
          </cell>
          <cell r="E120">
            <v>-6</v>
          </cell>
          <cell r="F120">
            <v>10</v>
          </cell>
        </row>
        <row r="121">
          <cell r="A121" t="str">
            <v>Картофель фри с/м 500г*10 (5кг) МИРАТОРГ Россия</v>
          </cell>
          <cell r="C121">
            <v>19</v>
          </cell>
          <cell r="D121">
            <v>3</v>
          </cell>
          <cell r="E121">
            <v>10</v>
          </cell>
          <cell r="F121">
            <v>6</v>
          </cell>
        </row>
        <row r="122">
          <cell r="A122" t="str">
            <v>МХБ Колбаса вареная Молочная ШТ. п/а ОХЛ 470*6 (2,82 кг) МИРАТОРГ</v>
          </cell>
          <cell r="C122">
            <v>14</v>
          </cell>
          <cell r="D122">
            <v>6</v>
          </cell>
          <cell r="E122">
            <v>1</v>
          </cell>
        </row>
        <row r="123">
          <cell r="A123" t="str">
            <v>Пельмени «Сочные» ГВ зам пакет 700г*8  МИРАТОРГ</v>
          </cell>
          <cell r="C123">
            <v>18</v>
          </cell>
          <cell r="D123">
            <v>5</v>
          </cell>
          <cell r="E123">
            <v>7</v>
          </cell>
          <cell r="F123">
            <v>6</v>
          </cell>
        </row>
        <row r="124">
          <cell r="A124" t="str">
            <v>Фарш говяжий зам 0,4кг ШТ  TF  МИРАТОРГ</v>
          </cell>
          <cell r="C124">
            <v>10</v>
          </cell>
          <cell r="E124">
            <v>10</v>
          </cell>
        </row>
        <row r="125">
          <cell r="A125" t="str">
            <v>6071 ЭКСТРА Папа может вар п/о_UZ</v>
          </cell>
          <cell r="C125">
            <v>6.7380000000000004</v>
          </cell>
          <cell r="D125">
            <v>2.706</v>
          </cell>
          <cell r="E125">
            <v>4.032</v>
          </cell>
        </row>
        <row r="126">
          <cell r="A126" t="str">
            <v>Мексиканская смесь с/м 400г*10 (4кг) Мираторг Россия</v>
          </cell>
          <cell r="C126">
            <v>16</v>
          </cell>
          <cell r="D126">
            <v>7</v>
          </cell>
          <cell r="E126">
            <v>7</v>
          </cell>
          <cell r="F126">
            <v>2</v>
          </cell>
        </row>
        <row r="127">
          <cell r="A127" t="str">
            <v>МХБ Ветчина для завтрака ШТ. ОХЛ п/а 400г*6 (2,4кг) МИРАТОРГ</v>
          </cell>
          <cell r="C127">
            <v>9</v>
          </cell>
          <cell r="D127">
            <v>-3</v>
          </cell>
          <cell r="E127">
            <v>4</v>
          </cell>
        </row>
        <row r="128">
          <cell r="A128" t="str">
            <v>Стейк Рибай Choice c/м TF 200г*60 (12 кг) Black Angus  МИРАТОРГ</v>
          </cell>
          <cell r="C128">
            <v>3</v>
          </cell>
          <cell r="F128">
            <v>3</v>
          </cell>
        </row>
        <row r="129">
          <cell r="A129" t="str">
            <v>Итальянская смесь с/м 400г*10 (4кг) Vитамин  МИРАТОРГ</v>
          </cell>
          <cell r="C129">
            <v>13</v>
          </cell>
          <cell r="D129">
            <v>4</v>
          </cell>
          <cell r="E129">
            <v>7</v>
          </cell>
          <cell r="F129">
            <v>2</v>
          </cell>
        </row>
        <row r="130">
          <cell r="A130" t="str">
            <v>Гавайская смесь 400г*20 (8кг) Vитамин Мираторг РОССИЯ  МИРАТОРГ</v>
          </cell>
          <cell r="C130">
            <v>13</v>
          </cell>
          <cell r="D130">
            <v>4</v>
          </cell>
          <cell r="E130">
            <v>7</v>
          </cell>
          <cell r="F130">
            <v>2</v>
          </cell>
        </row>
        <row r="131">
          <cell r="A131" t="str">
            <v>0232 С/к колбасы Княжеская Бордо Весовые б/о терм/п Стародворье</v>
          </cell>
          <cell r="C131">
            <v>1.31</v>
          </cell>
          <cell r="E131">
            <v>-1.105</v>
          </cell>
        </row>
        <row r="132">
          <cell r="A132" t="str">
            <v>Стейк Стриплойн Choice с/м TF 200г*60(12 кг) Black Angus  МИРАТОРГ</v>
          </cell>
          <cell r="C132">
            <v>3</v>
          </cell>
          <cell r="F132">
            <v>3</v>
          </cell>
        </row>
        <row r="133">
          <cell r="A133" t="str">
            <v>МХБ Колбаса вареная Классическая ШТ. ОХЛ п/а 470г*6 (2,82кг) МИРАТОРГ</v>
          </cell>
          <cell r="C133">
            <v>8</v>
          </cell>
          <cell r="D133">
            <v>12</v>
          </cell>
          <cell r="E133">
            <v>-3</v>
          </cell>
          <cell r="F133">
            <v>-2</v>
          </cell>
        </row>
        <row r="134">
          <cell r="A134" t="str">
            <v>Сырники с вишневой начинкой ЗАМ 280гр*4 (1,12кг) Мираторг Трио Россия</v>
          </cell>
          <cell r="C134">
            <v>9</v>
          </cell>
          <cell r="D134">
            <v>5</v>
          </cell>
          <cell r="F134">
            <v>4</v>
          </cell>
        </row>
        <row r="135">
          <cell r="A135" t="str">
            <v>Сырники с клубн.нач. 280гр ЗАМ  МИРАТОРГ</v>
          </cell>
          <cell r="C135">
            <v>9</v>
          </cell>
          <cell r="D135">
            <v>5</v>
          </cell>
          <cell r="F135">
            <v>4</v>
          </cell>
        </row>
        <row r="136">
          <cell r="A136" t="str">
            <v>Сырники классические ЗАМ 280гр*4 (1,12кг) Мираторг Трио Россия</v>
          </cell>
          <cell r="C136">
            <v>9</v>
          </cell>
          <cell r="D136">
            <v>5</v>
          </cell>
          <cell r="F136">
            <v>4</v>
          </cell>
        </row>
        <row r="137">
          <cell r="A137" t="str">
            <v>Микс полезных овощей 400 зам  МИРАТОРГ</v>
          </cell>
          <cell r="C137">
            <v>8</v>
          </cell>
          <cell r="D137">
            <v>4</v>
          </cell>
          <cell r="E137">
            <v>2</v>
          </cell>
          <cell r="F137">
            <v>2</v>
          </cell>
        </row>
        <row r="138">
          <cell r="A138" t="str">
            <v>Карибская смесь с/м 400г*10 (4кг) Мираторг Россия</v>
          </cell>
          <cell r="C138">
            <v>8</v>
          </cell>
          <cell r="D138">
            <v>4</v>
          </cell>
          <cell r="E138">
            <v>2</v>
          </cell>
          <cell r="F138">
            <v>2</v>
          </cell>
        </row>
        <row r="139">
          <cell r="A139" t="str">
            <v>Шампиньоны рез. 400*20 зам  МИРАТОРГ</v>
          </cell>
          <cell r="C139">
            <v>7</v>
          </cell>
          <cell r="D139">
            <v>3</v>
          </cell>
          <cell r="E139">
            <v>2</v>
          </cell>
          <cell r="F139">
            <v>2</v>
          </cell>
        </row>
        <row r="140">
          <cell r="A140" t="str">
            <v>Брокколи капуста 400 ЗАМ  МИРАТОРГ</v>
          </cell>
          <cell r="C140">
            <v>4</v>
          </cell>
          <cell r="E140">
            <v>2</v>
          </cell>
          <cell r="F140">
            <v>2</v>
          </cell>
        </row>
        <row r="141">
          <cell r="A141" t="str">
            <v>Вишня б/косточки с/м 300г*20 (6кг) Мираторг Россия</v>
          </cell>
          <cell r="C141">
            <v>3</v>
          </cell>
          <cell r="D141">
            <v>3</v>
          </cell>
        </row>
        <row r="142">
          <cell r="A142" t="str">
            <v>Черная смородина с/м 300г*10 (3кг) Россия Мираторг</v>
          </cell>
          <cell r="C142">
            <v>3</v>
          </cell>
          <cell r="D142">
            <v>3</v>
          </cell>
        </row>
        <row r="143">
          <cell r="A143" t="str">
            <v>Сотэ с прованскими травами 400г зам  МИРАТОРГ</v>
          </cell>
          <cell r="C143">
            <v>4</v>
          </cell>
          <cell r="E143">
            <v>2</v>
          </cell>
          <cell r="F143">
            <v>2</v>
          </cell>
        </row>
        <row r="144">
          <cell r="A144" t="str">
            <v>Лечо по-венгерски 0,4кг ОФ зам кор  МИРАТОРГ</v>
          </cell>
          <cell r="C144">
            <v>4</v>
          </cell>
          <cell r="E144">
            <v>2</v>
          </cell>
          <cell r="F144">
            <v>2</v>
          </cell>
        </row>
        <row r="145">
          <cell r="A145" t="str">
            <v>СК САЛЬЧИЧОН С РОЗОВЫМ ПЕРЦЕМ НАР ШТ 85Г  ЧЕРКИЗОВО</v>
          </cell>
          <cell r="C145">
            <v>2</v>
          </cell>
          <cell r="D145">
            <v>3</v>
          </cell>
        </row>
        <row r="146">
          <cell r="A146" t="str">
            <v>БОНУС_2074-Сосиски Молочные для завтрака Особый рецепт</v>
          </cell>
          <cell r="C146">
            <v>152.81100000000001</v>
          </cell>
          <cell r="D146">
            <v>30.7</v>
          </cell>
          <cell r="E146">
            <v>51.210999999999999</v>
          </cell>
          <cell r="F146">
            <v>11.846</v>
          </cell>
        </row>
        <row r="147">
          <cell r="A147" t="str">
            <v>БОНУС_Консервы стерилизованные. Баранина тушеная  высший сорт ГОСТ, 325г, 36 вл.  Новые фермы</v>
          </cell>
          <cell r="C147">
            <v>91</v>
          </cell>
          <cell r="D147">
            <v>26</v>
          </cell>
          <cell r="E147">
            <v>21</v>
          </cell>
          <cell r="F147">
            <v>10</v>
          </cell>
        </row>
        <row r="148">
          <cell r="A148" t="str">
            <v>БОНУС_2634 Колбаса Дугушка Стародворская ТМ Стародворье ТС Дугушка  ПОКОМ</v>
          </cell>
          <cell r="C148">
            <v>87.447999999999993</v>
          </cell>
          <cell r="D148">
            <v>17.747</v>
          </cell>
          <cell r="E148">
            <v>17.876999999999999</v>
          </cell>
          <cell r="F148">
            <v>19.495999999999999</v>
          </cell>
        </row>
        <row r="149">
          <cell r="A149" t="str">
            <v>БОНУС_1867-Колбаса Филейная ТМ Особый рецепт в оболочке полиамид большой батон.  ПОКОМ</v>
          </cell>
          <cell r="C149">
            <v>87.040999999999997</v>
          </cell>
          <cell r="D149">
            <v>15.519</v>
          </cell>
          <cell r="E149">
            <v>44.4</v>
          </cell>
          <cell r="F149">
            <v>7.274</v>
          </cell>
        </row>
        <row r="150">
          <cell r="A150" t="str">
            <v>БОНУС_Консервы мясные кусковые стерилизованные. Баранина Классическая, 325г, 36 вл.  Новые фермы</v>
          </cell>
          <cell r="C150">
            <v>84</v>
          </cell>
          <cell r="D150">
            <v>24</v>
          </cell>
          <cell r="E150">
            <v>17</v>
          </cell>
          <cell r="F150">
            <v>10</v>
          </cell>
        </row>
        <row r="151">
          <cell r="A151" t="str">
            <v>БОНУС_1205 Копченые колбасы Салями Мясорубская с рубленым шпиком срез Бордо ф/в 0,35 фиброуз Стародворье</v>
          </cell>
          <cell r="C151">
            <v>81</v>
          </cell>
          <cell r="D151">
            <v>21</v>
          </cell>
          <cell r="E151">
            <v>18</v>
          </cell>
          <cell r="F151">
            <v>13</v>
          </cell>
        </row>
        <row r="152">
          <cell r="A152" t="str">
            <v>БОНУС_2205-Сосиски Молочные для завтрака ТМ Особый рецепт 0,4кг</v>
          </cell>
          <cell r="C152">
            <v>77</v>
          </cell>
          <cell r="D152">
            <v>13</v>
          </cell>
          <cell r="E152">
            <v>29</v>
          </cell>
          <cell r="F152">
            <v>14</v>
          </cell>
        </row>
        <row r="153">
          <cell r="A153" t="str">
            <v>БОНУС_1875-Колбаса Филейная оригинальная ТМ Особый рецепт в оболочке полиамид.  ПОКОМ</v>
          </cell>
          <cell r="C153">
            <v>74.626000000000005</v>
          </cell>
          <cell r="D153">
            <v>8.0579999999999998</v>
          </cell>
          <cell r="E153">
            <v>47.082000000000001</v>
          </cell>
          <cell r="F153">
            <v>7.2919999999999998</v>
          </cell>
        </row>
        <row r="154">
          <cell r="A154" t="str">
            <v>БОНУС_1869-Колбаса Молочная ТМ Особый рецепт в оболочке полиамид большой батон.  ПОКОМ</v>
          </cell>
          <cell r="C154">
            <v>67.106999999999999</v>
          </cell>
          <cell r="D154">
            <v>18.332000000000001</v>
          </cell>
          <cell r="E154">
            <v>36.383000000000003</v>
          </cell>
        </row>
        <row r="155">
          <cell r="A155" t="str">
            <v>БОНУС_1870-Колбаса Со шпиком ТМ Особый рецепт в оболочке полиамид большой батон.  ПОКОМ</v>
          </cell>
          <cell r="C155">
            <v>59.671999999999997</v>
          </cell>
          <cell r="D155">
            <v>9.99</v>
          </cell>
          <cell r="E155">
            <v>32.097999999999999</v>
          </cell>
          <cell r="F155">
            <v>4.944</v>
          </cell>
        </row>
        <row r="156">
          <cell r="A156" t="str">
            <v>БОНУС_1871-Колбаса Филейная оригинальная ТМ Особый рецепт в оболочке полиамид 0,4 кг.  ПОКОМ</v>
          </cell>
          <cell r="C156">
            <v>27</v>
          </cell>
          <cell r="D156">
            <v>2</v>
          </cell>
          <cell r="E156">
            <v>15</v>
          </cell>
          <cell r="F156">
            <v>6</v>
          </cell>
        </row>
        <row r="157">
          <cell r="A157" t="str">
            <v>БОНУС_1204 Копченые колбасы Салями Мясорубская с рубленым шпиком Бордо Весовой фиброуз Стародворье  ПОКОМ</v>
          </cell>
          <cell r="C157">
            <v>25.542000000000002</v>
          </cell>
          <cell r="D157">
            <v>4.367</v>
          </cell>
          <cell r="E157">
            <v>5.1159999999999997</v>
          </cell>
          <cell r="F157">
            <v>0.72499999999999998</v>
          </cell>
        </row>
        <row r="158">
          <cell r="A158" t="str">
            <v>БОНУС_СОС ВЕНСКИЕ БО ЗА ПАК 1.25КГ K5 ЧЕРКИЗОВО</v>
          </cell>
          <cell r="C158">
            <v>21.757000000000001</v>
          </cell>
          <cell r="D158">
            <v>4.71</v>
          </cell>
          <cell r="E158">
            <v>17.047000000000001</v>
          </cell>
        </row>
        <row r="159">
          <cell r="A159" t="str">
            <v>БОНУС_1370-Сосиски Сочинки Бордо Весовой п/а Стародворье</v>
          </cell>
          <cell r="C159">
            <v>17.45</v>
          </cell>
          <cell r="E159">
            <v>1.4750000000000001</v>
          </cell>
          <cell r="F159">
            <v>2.855</v>
          </cell>
        </row>
        <row r="160">
          <cell r="A160" t="str">
            <v>БОНУС_СОС МОЛОЧНЫЕ ПО-Ч ПМО ЗА ЛОТ ШТ 0.45КГ K1.8 ЧЕРКИЗОВО</v>
          </cell>
          <cell r="C160">
            <v>12</v>
          </cell>
          <cell r="E160">
            <v>12</v>
          </cell>
        </row>
        <row r="161">
          <cell r="A161" t="str">
            <v>БОНУС_СОС КОПЧ ПО-Ч ЛОТ ПМО ЗА ШТ 0.4КГ K1.6  ЧЕРКИЗОВО</v>
          </cell>
          <cell r="C161">
            <v>11</v>
          </cell>
          <cell r="D161">
            <v>11</v>
          </cell>
        </row>
        <row r="162">
          <cell r="A162" t="str">
            <v>БОНУС_1411 Сосиски «Сочинки Сливочные» Весовые ТМ «Стародворье» 1,35 кг  ПОКОМ</v>
          </cell>
          <cell r="C162">
            <v>9.4580000000000002</v>
          </cell>
          <cell r="D162">
            <v>2.6890000000000001</v>
          </cell>
          <cell r="F162">
            <v>2.7050000000000001</v>
          </cell>
        </row>
        <row r="163">
          <cell r="A163" t="str">
            <v>БОНУС_ВАР КЛАССИЧЕСКАЯ ПО-Ч ЦО ЗА 1.6КГ K3.2 ЧЕРКИЗОВО</v>
          </cell>
          <cell r="C163">
            <v>3.218</v>
          </cell>
          <cell r="D163">
            <v>3.218</v>
          </cell>
        </row>
        <row r="164">
          <cell r="A164" t="str">
            <v>БОНУС_КОПЧ БЕКОН НАР ВУ ШТ 0.18КГ К1.8  ЧЕРКИЗОВО</v>
          </cell>
          <cell r="C164">
            <v>3</v>
          </cell>
          <cell r="D164">
            <v>3</v>
          </cell>
        </row>
        <row r="165">
          <cell r="A165" t="str">
            <v>БОНУС_1868-Колбаса Филейная ТМ Особый рецепт в оболочке полиамид 0,5 кг.  ПОКОМ</v>
          </cell>
          <cell r="C165">
            <v>3</v>
          </cell>
          <cell r="D165">
            <v>1</v>
          </cell>
          <cell r="E165">
            <v>1</v>
          </cell>
          <cell r="F165">
            <v>1</v>
          </cell>
        </row>
        <row r="166">
          <cell r="A166" t="str">
            <v>БОНУС_Колбаса «Филедворская по-стародворски» Весовой п/а ТМ «Стародворье»  ПОКОМ</v>
          </cell>
          <cell r="C166">
            <v>2.6749999999999998</v>
          </cell>
        </row>
        <row r="167">
          <cell r="A167" t="str">
            <v>БОНУС_1371-Сосиски Сочинки с сочной грудинкой Бордо Фикс.вес 0,4 П/а мгс Стародворье</v>
          </cell>
          <cell r="C167">
            <v>2</v>
          </cell>
        </row>
        <row r="168">
          <cell r="A168" t="str">
            <v>МХБ Колбаса с/к "Куршская" ВУ ОХЛ 280г*8 (2,24 кг)  МИРАТОРГ</v>
          </cell>
          <cell r="C168">
            <v>-1</v>
          </cell>
          <cell r="D168">
            <v>-1</v>
          </cell>
        </row>
        <row r="169">
          <cell r="A169" t="str">
            <v>СВ ФУЭТ ЭКСТРА 0.15КГ К0.9  ЧЕРКИЗОВО</v>
          </cell>
          <cell r="C169">
            <v>-1</v>
          </cell>
          <cell r="E169">
            <v>-3</v>
          </cell>
          <cell r="F169">
            <v>2</v>
          </cell>
        </row>
        <row r="170">
          <cell r="A170" t="str">
            <v>2094 Вареные колбасы Докторская Дугушка Дугушка Весовые Вектор Стародворье, вес 1кг</v>
          </cell>
          <cell r="C170">
            <v>-1.696</v>
          </cell>
        </row>
        <row r="171">
          <cell r="A171" t="str">
            <v>СК БРАУНШВЕЙГСКАЯ ГОСТ БО СРЕЗ ШТ 0,2КГ  ЧЕРКИЗОВО</v>
          </cell>
          <cell r="C171">
            <v>-3</v>
          </cell>
          <cell r="D171">
            <v>-2</v>
          </cell>
          <cell r="F171">
            <v>1</v>
          </cell>
        </row>
        <row r="172">
          <cell r="A172" t="str">
            <v>СК САЛЯМИНИ ВУ ШТ 0.18 КГ  ЧЕРКИЗОВО</v>
          </cell>
          <cell r="C172">
            <v>-8</v>
          </cell>
          <cell r="F172">
            <v>-8</v>
          </cell>
        </row>
        <row r="173">
          <cell r="A173" t="str">
            <v>Сервелат Коньячный в/к ВУ ОХЛ 375гр  МИРАТОРГ</v>
          </cell>
          <cell r="C173">
            <v>-6</v>
          </cell>
          <cell r="F173">
            <v>-5</v>
          </cell>
        </row>
        <row r="174">
          <cell r="A174" t="str">
            <v>Итого</v>
          </cell>
          <cell r="C174">
            <v>20254.776999999998</v>
          </cell>
          <cell r="D174">
            <v>5764.1009999999997</v>
          </cell>
          <cell r="E174">
            <v>3936.3209999999999</v>
          </cell>
          <cell r="F174">
            <v>3085.8609999999999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9" sqref="S2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6" style="11" customWidth="1"/>
    <col min="8" max="8" width="5" customWidth="1"/>
    <col min="9" max="9" width="12" customWidth="1"/>
    <col min="10" max="10" width="1" customWidth="1"/>
    <col min="11" max="14" width="0.28515625" customWidth="1"/>
    <col min="15" max="15" width="0.42578125" customWidth="1"/>
    <col min="16" max="18" width="7" customWidth="1"/>
    <col min="19" max="19" width="21" customWidth="1"/>
    <col min="20" max="21" width="5" customWidth="1"/>
    <col min="22" max="29" width="6" customWidth="1"/>
    <col min="30" max="30" width="59.140625" customWidth="1"/>
    <col min="31" max="31" width="7" customWidth="1"/>
    <col min="32" max="46" width="3" customWidth="1"/>
  </cols>
  <sheetData>
    <row r="1" spans="1:46" x14ac:dyDescent="0.25">
      <c r="A1" s="1"/>
      <c r="B1" s="1"/>
      <c r="C1" s="1"/>
      <c r="D1" s="1"/>
      <c r="E1" s="1"/>
      <c r="F1" s="1"/>
      <c r="G1" s="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0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8" t="s">
        <v>17</v>
      </c>
      <c r="S3" s="8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9"/>
      <c r="H4" s="1"/>
      <c r="I4" s="1"/>
      <c r="J4" s="1"/>
      <c r="K4" s="1"/>
      <c r="L4" s="1"/>
      <c r="M4" s="1"/>
      <c r="N4" s="1"/>
      <c r="O4" s="12" t="s">
        <v>24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SUM(E6:E498)</f>
        <v>2404</v>
      </c>
      <c r="F5" s="4">
        <f>SUM(F6:F498)</f>
        <v>4438</v>
      </c>
      <c r="G5" s="9"/>
      <c r="H5" s="1"/>
      <c r="I5" s="1"/>
      <c r="J5" s="1"/>
      <c r="K5" s="4">
        <f t="shared" ref="K5:R5" si="0">SUM(K6:K498)</f>
        <v>0</v>
      </c>
      <c r="L5" s="4">
        <f t="shared" si="0"/>
        <v>2404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480.80000000000007</v>
      </c>
      <c r="Q5" s="4">
        <f t="shared" si="0"/>
        <v>5224.6000000000004</v>
      </c>
      <c r="R5" s="4">
        <f t="shared" si="0"/>
        <v>0</v>
      </c>
      <c r="S5" s="1"/>
      <c r="T5" s="1"/>
      <c r="U5" s="1"/>
      <c r="V5" s="4">
        <f t="shared" ref="V5:AC5" si="1">SUM(V6:V498)</f>
        <v>275.40000000000003</v>
      </c>
      <c r="W5" s="4">
        <f t="shared" si="1"/>
        <v>328.59999999999997</v>
      </c>
      <c r="X5" s="4">
        <f t="shared" si="1"/>
        <v>446.6</v>
      </c>
      <c r="Y5" s="4">
        <f t="shared" si="1"/>
        <v>403.20000000000005</v>
      </c>
      <c r="Z5" s="4">
        <f t="shared" si="1"/>
        <v>367.8</v>
      </c>
      <c r="AA5" s="4">
        <f t="shared" si="1"/>
        <v>294.2</v>
      </c>
      <c r="AB5" s="4">
        <f t="shared" si="1"/>
        <v>401.00000000000006</v>
      </c>
      <c r="AC5" s="4">
        <f t="shared" si="1"/>
        <v>347.79999999999995</v>
      </c>
      <c r="AD5" s="1"/>
      <c r="AE5" s="4">
        <f>SUM(AE6:AE498)</f>
        <v>1654.7429999999999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34</v>
      </c>
      <c r="B6" s="1" t="s">
        <v>35</v>
      </c>
      <c r="C6" s="1">
        <v>469</v>
      </c>
      <c r="D6" s="1"/>
      <c r="E6" s="1">
        <v>191</v>
      </c>
      <c r="F6" s="1">
        <v>234</v>
      </c>
      <c r="G6" s="9">
        <v>0.3</v>
      </c>
      <c r="H6" s="1">
        <v>55</v>
      </c>
      <c r="I6" s="1">
        <v>1010027650</v>
      </c>
      <c r="J6" s="1"/>
      <c r="K6" s="1"/>
      <c r="L6" s="1">
        <f t="shared" ref="L6:L24" si="2">E6-K6</f>
        <v>191</v>
      </c>
      <c r="M6" s="1"/>
      <c r="N6" s="1"/>
      <c r="O6" s="1"/>
      <c r="P6" s="1">
        <f t="shared" ref="P6:P24" si="3">E6/5</f>
        <v>38.200000000000003</v>
      </c>
      <c r="Q6" s="5">
        <f>19*P6-F6</f>
        <v>491.80000000000007</v>
      </c>
      <c r="R6" s="5"/>
      <c r="S6" s="1"/>
      <c r="T6" s="1">
        <f t="shared" ref="T6:T24" si="4">(F6+Q6)/P6</f>
        <v>19</v>
      </c>
      <c r="U6" s="1">
        <f t="shared" ref="U6:U24" si="5">F6/P6</f>
        <v>6.1256544502617798</v>
      </c>
      <c r="V6" s="1">
        <f>IFERROR(VLOOKUP(A6,[1]TDSheet!$A:$G,3,0),0)/5</f>
        <v>19.600000000000001</v>
      </c>
      <c r="W6" s="1">
        <v>27.8</v>
      </c>
      <c r="X6" s="1">
        <v>37.6</v>
      </c>
      <c r="Y6" s="1">
        <v>40.6</v>
      </c>
      <c r="Z6" s="1">
        <v>31.4</v>
      </c>
      <c r="AA6" s="1">
        <v>39.4</v>
      </c>
      <c r="AB6" s="1">
        <v>49.4</v>
      </c>
      <c r="AC6" s="1">
        <v>-1</v>
      </c>
      <c r="AD6" s="1" t="s">
        <v>36</v>
      </c>
      <c r="AE6" s="1">
        <f>G6*Q6</f>
        <v>147.54000000000002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37</v>
      </c>
      <c r="B7" s="1" t="s">
        <v>35</v>
      </c>
      <c r="C7" s="1">
        <v>324</v>
      </c>
      <c r="D7" s="1"/>
      <c r="E7" s="1">
        <v>126</v>
      </c>
      <c r="F7" s="1">
        <v>193</v>
      </c>
      <c r="G7" s="9">
        <v>0.33</v>
      </c>
      <c r="H7" s="1">
        <v>55</v>
      </c>
      <c r="I7" s="1">
        <v>1010033736</v>
      </c>
      <c r="J7" s="1"/>
      <c r="K7" s="1"/>
      <c r="L7" s="1">
        <f t="shared" si="2"/>
        <v>126</v>
      </c>
      <c r="M7" s="1"/>
      <c r="N7" s="1"/>
      <c r="O7" s="1"/>
      <c r="P7" s="1">
        <f t="shared" si="3"/>
        <v>25.2</v>
      </c>
      <c r="Q7" s="5">
        <f>21*P7-F7</f>
        <v>336.19999999999993</v>
      </c>
      <c r="R7" s="5"/>
      <c r="S7" s="1"/>
      <c r="T7" s="1">
        <f t="shared" si="4"/>
        <v>20.999999999999996</v>
      </c>
      <c r="U7" s="1">
        <f t="shared" si="5"/>
        <v>7.6587301587301591</v>
      </c>
      <c r="V7" s="1">
        <f>IFERROR(VLOOKUP(A7,[1]TDSheet!$A:$G,3,0),0)/5</f>
        <v>14.4</v>
      </c>
      <c r="W7" s="1">
        <v>20.399999999999999</v>
      </c>
      <c r="X7" s="1">
        <v>30</v>
      </c>
      <c r="Y7" s="1">
        <v>29.2</v>
      </c>
      <c r="Z7" s="1">
        <v>23.8</v>
      </c>
      <c r="AA7" s="1">
        <v>-0.8</v>
      </c>
      <c r="AB7" s="1">
        <v>14</v>
      </c>
      <c r="AC7" s="1">
        <v>4.8</v>
      </c>
      <c r="AD7" s="1" t="s">
        <v>38</v>
      </c>
      <c r="AE7" s="1">
        <f>G7*Q7</f>
        <v>110.94599999999998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5.75" customHeight="1" thickBot="1" x14ac:dyDescent="0.3">
      <c r="A8" s="1" t="s">
        <v>39</v>
      </c>
      <c r="B8" s="1" t="s">
        <v>35</v>
      </c>
      <c r="C8" s="1">
        <v>311</v>
      </c>
      <c r="D8" s="1"/>
      <c r="E8" s="1">
        <v>52</v>
      </c>
      <c r="F8" s="1">
        <v>257</v>
      </c>
      <c r="G8" s="9">
        <v>0.28000000000000003</v>
      </c>
      <c r="H8" s="1">
        <v>180</v>
      </c>
      <c r="I8" s="1">
        <v>1010033335</v>
      </c>
      <c r="J8" s="1"/>
      <c r="K8" s="1"/>
      <c r="L8" s="1">
        <f t="shared" si="2"/>
        <v>52</v>
      </c>
      <c r="M8" s="1"/>
      <c r="N8" s="1"/>
      <c r="O8" s="1"/>
      <c r="P8" s="1">
        <f t="shared" si="3"/>
        <v>10.4</v>
      </c>
      <c r="Q8" s="5"/>
      <c r="R8" s="5"/>
      <c r="S8" s="1"/>
      <c r="T8" s="1">
        <f t="shared" si="4"/>
        <v>24.71153846153846</v>
      </c>
      <c r="U8" s="1">
        <f t="shared" si="5"/>
        <v>24.71153846153846</v>
      </c>
      <c r="V8" s="1">
        <f>IFERROR(VLOOKUP(A8,[1]TDSheet!$A:$G,3,0),0)/5</f>
        <v>12.4</v>
      </c>
      <c r="W8" s="1">
        <v>7</v>
      </c>
      <c r="X8" s="1">
        <v>4</v>
      </c>
      <c r="Y8" s="1">
        <v>1</v>
      </c>
      <c r="Z8" s="1">
        <v>-0.8</v>
      </c>
      <c r="AA8" s="1">
        <v>3.6</v>
      </c>
      <c r="AB8" s="1">
        <v>10.4</v>
      </c>
      <c r="AC8" s="1">
        <v>14.4</v>
      </c>
      <c r="AD8" s="23" t="s">
        <v>66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6" t="s">
        <v>40</v>
      </c>
      <c r="B9" s="7" t="s">
        <v>35</v>
      </c>
      <c r="C9" s="7">
        <v>8</v>
      </c>
      <c r="D9" s="7"/>
      <c r="E9" s="18">
        <f>-1+E10</f>
        <v>190</v>
      </c>
      <c r="F9" s="19">
        <f>8+F10</f>
        <v>101</v>
      </c>
      <c r="G9" s="9">
        <v>0.3</v>
      </c>
      <c r="H9" s="1">
        <v>150</v>
      </c>
      <c r="I9" s="1">
        <v>1010033332</v>
      </c>
      <c r="J9" s="1"/>
      <c r="K9" s="1"/>
      <c r="L9" s="1">
        <f t="shared" si="2"/>
        <v>190</v>
      </c>
      <c r="M9" s="1"/>
      <c r="N9" s="1"/>
      <c r="O9" s="1"/>
      <c r="P9" s="1">
        <f t="shared" si="3"/>
        <v>38</v>
      </c>
      <c r="Q9" s="5">
        <f>16*P9-F9</f>
        <v>507</v>
      </c>
      <c r="R9" s="5"/>
      <c r="S9" s="1"/>
      <c r="T9" s="1">
        <f t="shared" si="4"/>
        <v>16</v>
      </c>
      <c r="U9" s="1">
        <f t="shared" si="5"/>
        <v>2.6578947368421053</v>
      </c>
      <c r="V9" s="1">
        <f>IFERROR(VLOOKUP(A9,[1]TDSheet!$A:$G,3,0),0)/5</f>
        <v>17</v>
      </c>
      <c r="W9" s="1">
        <v>21.8</v>
      </c>
      <c r="X9" s="1">
        <v>53.4</v>
      </c>
      <c r="Y9" s="1">
        <v>44.2</v>
      </c>
      <c r="Z9" s="1">
        <v>79.400000000000006</v>
      </c>
      <c r="AA9" s="1">
        <v>0</v>
      </c>
      <c r="AB9" s="1">
        <v>0</v>
      </c>
      <c r="AC9" s="1">
        <v>-1.2</v>
      </c>
      <c r="AD9" s="1" t="s">
        <v>41</v>
      </c>
      <c r="AE9" s="1">
        <f>G9*Q9</f>
        <v>152.1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5.75" customHeight="1" thickBot="1" x14ac:dyDescent="0.3">
      <c r="A10" s="13" t="s">
        <v>42</v>
      </c>
      <c r="B10" s="14"/>
      <c r="C10" s="14">
        <v>293</v>
      </c>
      <c r="D10" s="14"/>
      <c r="E10" s="20">
        <v>191</v>
      </c>
      <c r="F10" s="21">
        <v>93</v>
      </c>
      <c r="G10" s="15">
        <v>0</v>
      </c>
      <c r="H10" s="16"/>
      <c r="I10" s="16" t="s">
        <v>43</v>
      </c>
      <c r="J10" s="16" t="s">
        <v>40</v>
      </c>
      <c r="K10" s="16"/>
      <c r="L10" s="16">
        <f t="shared" si="2"/>
        <v>191</v>
      </c>
      <c r="M10" s="16"/>
      <c r="N10" s="16"/>
      <c r="O10" s="16"/>
      <c r="P10" s="16">
        <f t="shared" si="3"/>
        <v>38.200000000000003</v>
      </c>
      <c r="Q10" s="17"/>
      <c r="R10" s="17"/>
      <c r="S10" s="16"/>
      <c r="T10" s="16">
        <f t="shared" si="4"/>
        <v>2.4345549738219892</v>
      </c>
      <c r="U10" s="16">
        <f t="shared" si="5"/>
        <v>2.4345549738219892</v>
      </c>
      <c r="V10" s="16">
        <f>IFERROR(VLOOKUP(A10,[1]TDSheet!$A:$G,3,0),0)/5</f>
        <v>6.8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/>
      <c r="AE10" s="16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44</v>
      </c>
      <c r="B11" s="1" t="s">
        <v>35</v>
      </c>
      <c r="C11" s="1">
        <v>301</v>
      </c>
      <c r="D11" s="1"/>
      <c r="E11" s="1">
        <v>53</v>
      </c>
      <c r="F11" s="1">
        <v>228</v>
      </c>
      <c r="G11" s="9">
        <v>0.4</v>
      </c>
      <c r="H11" s="1">
        <v>75</v>
      </c>
      <c r="I11" s="1">
        <v>1010016111</v>
      </c>
      <c r="J11" s="1"/>
      <c r="K11" s="1"/>
      <c r="L11" s="1">
        <f t="shared" si="2"/>
        <v>53</v>
      </c>
      <c r="M11" s="1"/>
      <c r="N11" s="1"/>
      <c r="O11" s="1"/>
      <c r="P11" s="1">
        <f t="shared" si="3"/>
        <v>10.6</v>
      </c>
      <c r="Q11" s="5">
        <f t="shared" ref="Q7:Q24" si="6">25*P11-F11</f>
        <v>37</v>
      </c>
      <c r="R11" s="5"/>
      <c r="S11" s="1"/>
      <c r="T11" s="1">
        <f t="shared" si="4"/>
        <v>25</v>
      </c>
      <c r="U11" s="1">
        <f t="shared" si="5"/>
        <v>21.509433962264151</v>
      </c>
      <c r="V11" s="1">
        <f>IFERROR(VLOOKUP(A11,[1]TDSheet!$A:$G,3,0),0)/5</f>
        <v>1.8</v>
      </c>
      <c r="W11" s="1">
        <v>5.2</v>
      </c>
      <c r="X11" s="1">
        <v>13.4</v>
      </c>
      <c r="Y11" s="1">
        <v>8.4</v>
      </c>
      <c r="Z11" s="1">
        <v>7.8</v>
      </c>
      <c r="AA11" s="1">
        <v>10</v>
      </c>
      <c r="AB11" s="1">
        <v>12</v>
      </c>
      <c r="AC11" s="1">
        <v>10</v>
      </c>
      <c r="AD11" s="22" t="s">
        <v>64</v>
      </c>
      <c r="AE11" s="1">
        <f t="shared" ref="AE11:AE19" si="7">G11*Q11</f>
        <v>14.8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45</v>
      </c>
      <c r="B12" s="1" t="s">
        <v>35</v>
      </c>
      <c r="C12" s="1">
        <v>306</v>
      </c>
      <c r="D12" s="1">
        <v>618</v>
      </c>
      <c r="E12" s="1">
        <v>251</v>
      </c>
      <c r="F12" s="1">
        <v>671</v>
      </c>
      <c r="G12" s="9">
        <v>0.28000000000000003</v>
      </c>
      <c r="H12" s="1">
        <v>120</v>
      </c>
      <c r="I12" s="1">
        <v>1010033329</v>
      </c>
      <c r="J12" s="1"/>
      <c r="K12" s="1"/>
      <c r="L12" s="1">
        <f t="shared" si="2"/>
        <v>251</v>
      </c>
      <c r="M12" s="1"/>
      <c r="N12" s="1"/>
      <c r="O12" s="1"/>
      <c r="P12" s="1">
        <f t="shared" si="3"/>
        <v>50.2</v>
      </c>
      <c r="Q12" s="5">
        <f t="shared" si="6"/>
        <v>584</v>
      </c>
      <c r="R12" s="5"/>
      <c r="S12" s="1"/>
      <c r="T12" s="1">
        <f t="shared" si="4"/>
        <v>25</v>
      </c>
      <c r="U12" s="1">
        <f t="shared" si="5"/>
        <v>13.366533864541832</v>
      </c>
      <c r="V12" s="1">
        <f>IFERROR(VLOOKUP(A12,[1]TDSheet!$A:$G,3,0),0)/5</f>
        <v>34.200000000000003</v>
      </c>
      <c r="W12" s="1">
        <v>49.4</v>
      </c>
      <c r="X12" s="1">
        <v>51.4</v>
      </c>
      <c r="Y12" s="1">
        <v>-0.4</v>
      </c>
      <c r="Z12" s="1">
        <v>13.4</v>
      </c>
      <c r="AA12" s="1">
        <v>56.2</v>
      </c>
      <c r="AB12" s="1">
        <v>82.4</v>
      </c>
      <c r="AC12" s="1">
        <v>0</v>
      </c>
      <c r="AD12" s="1" t="s">
        <v>46</v>
      </c>
      <c r="AE12" s="1">
        <f t="shared" si="7"/>
        <v>163.52000000000001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47</v>
      </c>
      <c r="B13" s="1" t="s">
        <v>35</v>
      </c>
      <c r="C13" s="1">
        <v>87</v>
      </c>
      <c r="D13" s="1">
        <v>84</v>
      </c>
      <c r="E13" s="1">
        <v>52</v>
      </c>
      <c r="F13" s="1">
        <v>109</v>
      </c>
      <c r="G13" s="9">
        <v>0.47</v>
      </c>
      <c r="H13" s="1">
        <v>75</v>
      </c>
      <c r="I13" s="1">
        <v>1010015954</v>
      </c>
      <c r="J13" s="1"/>
      <c r="K13" s="1"/>
      <c r="L13" s="1">
        <f t="shared" si="2"/>
        <v>52</v>
      </c>
      <c r="M13" s="1"/>
      <c r="N13" s="1"/>
      <c r="O13" s="1"/>
      <c r="P13" s="1">
        <f t="shared" si="3"/>
        <v>10.4</v>
      </c>
      <c r="Q13" s="5">
        <f>23*P13-F13</f>
        <v>130.20000000000002</v>
      </c>
      <c r="R13" s="5"/>
      <c r="S13" s="1"/>
      <c r="T13" s="1">
        <f t="shared" si="4"/>
        <v>23</v>
      </c>
      <c r="U13" s="1">
        <f t="shared" si="5"/>
        <v>10.48076923076923</v>
      </c>
      <c r="V13" s="1">
        <f>IFERROR(VLOOKUP(A13,[1]TDSheet!$A:$G,3,0),0)/5</f>
        <v>7.6</v>
      </c>
      <c r="W13" s="1">
        <v>13.4</v>
      </c>
      <c r="X13" s="1">
        <v>5.8</v>
      </c>
      <c r="Y13" s="1">
        <v>9</v>
      </c>
      <c r="Z13" s="1">
        <v>10.199999999999999</v>
      </c>
      <c r="AA13" s="1">
        <v>7.4</v>
      </c>
      <c r="AB13" s="1">
        <v>10.8</v>
      </c>
      <c r="AC13" s="1">
        <v>14.6</v>
      </c>
      <c r="AD13" s="1"/>
      <c r="AE13" s="1">
        <f t="shared" si="7"/>
        <v>61.194000000000003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48</v>
      </c>
      <c r="B14" s="1" t="s">
        <v>35</v>
      </c>
      <c r="C14" s="1">
        <v>56</v>
      </c>
      <c r="D14" s="1">
        <v>48</v>
      </c>
      <c r="E14" s="1">
        <v>16</v>
      </c>
      <c r="F14" s="1">
        <v>74</v>
      </c>
      <c r="G14" s="9">
        <v>0.47</v>
      </c>
      <c r="H14" s="1">
        <v>75</v>
      </c>
      <c r="I14" s="1">
        <v>1010016092</v>
      </c>
      <c r="J14" s="1"/>
      <c r="K14" s="1"/>
      <c r="L14" s="1">
        <f t="shared" si="2"/>
        <v>16</v>
      </c>
      <c r="M14" s="1"/>
      <c r="N14" s="1"/>
      <c r="O14" s="1"/>
      <c r="P14" s="1">
        <f t="shared" si="3"/>
        <v>3.2</v>
      </c>
      <c r="Q14" s="5">
        <f t="shared" si="6"/>
        <v>6</v>
      </c>
      <c r="R14" s="5"/>
      <c r="S14" s="1"/>
      <c r="T14" s="1">
        <f t="shared" si="4"/>
        <v>25</v>
      </c>
      <c r="U14" s="1">
        <f t="shared" si="5"/>
        <v>23.125</v>
      </c>
      <c r="V14" s="1">
        <f>IFERROR(VLOOKUP(A14,[1]TDSheet!$A:$G,3,0),0)/5</f>
        <v>1.6</v>
      </c>
      <c r="W14" s="1">
        <v>6.6</v>
      </c>
      <c r="X14" s="1">
        <v>6.2</v>
      </c>
      <c r="Y14" s="1">
        <v>2.8</v>
      </c>
      <c r="Z14" s="1">
        <v>6.8</v>
      </c>
      <c r="AA14" s="1">
        <v>4</v>
      </c>
      <c r="AB14" s="1">
        <v>5.6</v>
      </c>
      <c r="AC14" s="1">
        <v>4.2</v>
      </c>
      <c r="AD14" s="1"/>
      <c r="AE14" s="1">
        <f t="shared" si="7"/>
        <v>2.82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49</v>
      </c>
      <c r="B15" s="1" t="s">
        <v>35</v>
      </c>
      <c r="C15" s="1">
        <v>66</v>
      </c>
      <c r="D15" s="1">
        <v>72</v>
      </c>
      <c r="E15" s="1">
        <v>34</v>
      </c>
      <c r="F15" s="1">
        <v>92</v>
      </c>
      <c r="G15" s="9">
        <v>0.47</v>
      </c>
      <c r="H15" s="1">
        <v>75</v>
      </c>
      <c r="I15" s="1">
        <v>1010015952</v>
      </c>
      <c r="J15" s="1"/>
      <c r="K15" s="1"/>
      <c r="L15" s="1">
        <f t="shared" si="2"/>
        <v>34</v>
      </c>
      <c r="M15" s="1"/>
      <c r="N15" s="1"/>
      <c r="O15" s="1"/>
      <c r="P15" s="1">
        <f t="shared" si="3"/>
        <v>6.8</v>
      </c>
      <c r="Q15" s="5">
        <f t="shared" si="6"/>
        <v>78</v>
      </c>
      <c r="R15" s="5"/>
      <c r="S15" s="1"/>
      <c r="T15" s="1">
        <f t="shared" si="4"/>
        <v>25</v>
      </c>
      <c r="U15" s="1">
        <f t="shared" si="5"/>
        <v>13.529411764705882</v>
      </c>
      <c r="V15" s="1">
        <f>IFERROR(VLOOKUP(A15,[1]TDSheet!$A:$G,3,0),0)/5</f>
        <v>2.8</v>
      </c>
      <c r="W15" s="1">
        <v>5.8</v>
      </c>
      <c r="X15" s="1">
        <v>5.2</v>
      </c>
      <c r="Y15" s="1">
        <v>6.8</v>
      </c>
      <c r="Z15" s="1">
        <v>7.2</v>
      </c>
      <c r="AA15" s="1">
        <v>3.8</v>
      </c>
      <c r="AB15" s="1">
        <v>6.2</v>
      </c>
      <c r="AC15" s="1">
        <v>12</v>
      </c>
      <c r="AD15" s="1"/>
      <c r="AE15" s="1">
        <f t="shared" si="7"/>
        <v>36.659999999999997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50</v>
      </c>
      <c r="B16" s="1" t="s">
        <v>35</v>
      </c>
      <c r="C16" s="1">
        <v>274</v>
      </c>
      <c r="D16" s="1">
        <v>60</v>
      </c>
      <c r="E16" s="1">
        <v>138</v>
      </c>
      <c r="F16" s="1">
        <v>149</v>
      </c>
      <c r="G16" s="9">
        <v>0.3</v>
      </c>
      <c r="H16" s="1">
        <v>55</v>
      </c>
      <c r="I16" s="1">
        <v>1010032953</v>
      </c>
      <c r="J16" s="1"/>
      <c r="K16" s="1"/>
      <c r="L16" s="1">
        <f t="shared" si="2"/>
        <v>138</v>
      </c>
      <c r="M16" s="1"/>
      <c r="N16" s="1"/>
      <c r="O16" s="1"/>
      <c r="P16" s="1">
        <f t="shared" si="3"/>
        <v>27.6</v>
      </c>
      <c r="Q16" s="5">
        <f>18*P16-F16</f>
        <v>347.8</v>
      </c>
      <c r="R16" s="5"/>
      <c r="S16" s="1"/>
      <c r="T16" s="1">
        <f t="shared" si="4"/>
        <v>18</v>
      </c>
      <c r="U16" s="1">
        <f t="shared" si="5"/>
        <v>5.3985507246376807</v>
      </c>
      <c r="V16" s="1">
        <f>IFERROR(VLOOKUP(A16,[1]TDSheet!$A:$G,3,0),0)/5</f>
        <v>15.4</v>
      </c>
      <c r="W16" s="1">
        <v>22.6</v>
      </c>
      <c r="X16" s="1">
        <v>19</v>
      </c>
      <c r="Y16" s="1">
        <v>6</v>
      </c>
      <c r="Z16" s="1">
        <v>0.2</v>
      </c>
      <c r="AA16" s="1">
        <v>0</v>
      </c>
      <c r="AB16" s="1">
        <v>4</v>
      </c>
      <c r="AC16" s="1">
        <v>51.2</v>
      </c>
      <c r="AD16" s="1" t="s">
        <v>36</v>
      </c>
      <c r="AE16" s="1">
        <f t="shared" si="7"/>
        <v>104.34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51</v>
      </c>
      <c r="B17" s="1" t="s">
        <v>35</v>
      </c>
      <c r="C17" s="1">
        <v>383</v>
      </c>
      <c r="D17" s="1">
        <v>252</v>
      </c>
      <c r="E17" s="1">
        <v>240</v>
      </c>
      <c r="F17" s="1">
        <v>351</v>
      </c>
      <c r="G17" s="9">
        <v>0.375</v>
      </c>
      <c r="H17" s="1">
        <v>55</v>
      </c>
      <c r="I17" s="1">
        <v>1010022954</v>
      </c>
      <c r="J17" s="1"/>
      <c r="K17" s="1"/>
      <c r="L17" s="1">
        <f t="shared" si="2"/>
        <v>240</v>
      </c>
      <c r="M17" s="1"/>
      <c r="N17" s="1"/>
      <c r="O17" s="1"/>
      <c r="P17" s="1">
        <f t="shared" si="3"/>
        <v>48</v>
      </c>
      <c r="Q17" s="5">
        <f>20*P17-F17</f>
        <v>609</v>
      </c>
      <c r="R17" s="5"/>
      <c r="S17" s="1"/>
      <c r="T17" s="1">
        <f t="shared" si="4"/>
        <v>20</v>
      </c>
      <c r="U17" s="1">
        <f t="shared" si="5"/>
        <v>7.3125</v>
      </c>
      <c r="V17" s="1">
        <f>IFERROR(VLOOKUP(A17,[1]TDSheet!$A:$G,3,0),0)/5</f>
        <v>27.4</v>
      </c>
      <c r="W17" s="1">
        <v>36.200000000000003</v>
      </c>
      <c r="X17" s="1">
        <v>44.8</v>
      </c>
      <c r="Y17" s="1">
        <v>46</v>
      </c>
      <c r="Z17" s="1">
        <v>32.200000000000003</v>
      </c>
      <c r="AA17" s="1">
        <v>36.6</v>
      </c>
      <c r="AB17" s="1">
        <v>46.4</v>
      </c>
      <c r="AC17" s="1">
        <v>55.2</v>
      </c>
      <c r="AD17" s="1" t="s">
        <v>52</v>
      </c>
      <c r="AE17" s="1">
        <f t="shared" si="7"/>
        <v>228.375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53</v>
      </c>
      <c r="B18" s="1" t="s">
        <v>35</v>
      </c>
      <c r="C18" s="1">
        <v>474</v>
      </c>
      <c r="D18" s="1"/>
      <c r="E18" s="1">
        <v>149</v>
      </c>
      <c r="F18" s="1">
        <v>245</v>
      </c>
      <c r="G18" s="9">
        <v>0.375</v>
      </c>
      <c r="H18" s="1">
        <v>55</v>
      </c>
      <c r="I18" s="1">
        <v>1010016034</v>
      </c>
      <c r="J18" s="1"/>
      <c r="K18" s="1"/>
      <c r="L18" s="1">
        <f t="shared" si="2"/>
        <v>149</v>
      </c>
      <c r="M18" s="1"/>
      <c r="N18" s="1"/>
      <c r="O18" s="1"/>
      <c r="P18" s="1">
        <f t="shared" si="3"/>
        <v>29.8</v>
      </c>
      <c r="Q18" s="5">
        <f>21*P18-F18</f>
        <v>380.80000000000007</v>
      </c>
      <c r="R18" s="5"/>
      <c r="S18" s="1"/>
      <c r="T18" s="1">
        <f t="shared" si="4"/>
        <v>21.000000000000004</v>
      </c>
      <c r="U18" s="1">
        <f t="shared" si="5"/>
        <v>8.2214765100671148</v>
      </c>
      <c r="V18" s="1">
        <f>IFERROR(VLOOKUP(A18,[1]TDSheet!$A:$G,3,0),0)/5</f>
        <v>17.8</v>
      </c>
      <c r="W18" s="1">
        <v>24.8</v>
      </c>
      <c r="X18" s="1">
        <v>31.8</v>
      </c>
      <c r="Y18" s="1">
        <v>38</v>
      </c>
      <c r="Z18" s="1">
        <v>28.6</v>
      </c>
      <c r="AA18" s="1">
        <v>27.2</v>
      </c>
      <c r="AB18" s="1">
        <v>43.8</v>
      </c>
      <c r="AC18" s="1">
        <v>48.8</v>
      </c>
      <c r="AD18" s="1" t="s">
        <v>62</v>
      </c>
      <c r="AE18" s="1">
        <f t="shared" si="7"/>
        <v>142.80000000000001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54</v>
      </c>
      <c r="B19" s="1" t="s">
        <v>35</v>
      </c>
      <c r="C19" s="1">
        <v>402</v>
      </c>
      <c r="D19" s="1">
        <v>78</v>
      </c>
      <c r="E19" s="1">
        <v>170</v>
      </c>
      <c r="F19" s="1">
        <v>252</v>
      </c>
      <c r="G19" s="9">
        <v>0.375</v>
      </c>
      <c r="H19" s="1">
        <v>55</v>
      </c>
      <c r="I19" s="1">
        <v>1010023122</v>
      </c>
      <c r="J19" s="1"/>
      <c r="K19" s="1"/>
      <c r="L19" s="1">
        <f t="shared" si="2"/>
        <v>170</v>
      </c>
      <c r="M19" s="1"/>
      <c r="N19" s="1"/>
      <c r="O19" s="1"/>
      <c r="P19" s="1">
        <f t="shared" si="3"/>
        <v>34</v>
      </c>
      <c r="Q19" s="5">
        <f>20*P19-F19</f>
        <v>428</v>
      </c>
      <c r="R19" s="5"/>
      <c r="S19" s="1"/>
      <c r="T19" s="1">
        <f t="shared" si="4"/>
        <v>20</v>
      </c>
      <c r="U19" s="1">
        <f t="shared" si="5"/>
        <v>7.4117647058823533</v>
      </c>
      <c r="V19" s="1">
        <f>IFERROR(VLOOKUP(A19,[1]TDSheet!$A:$G,3,0),0)/5</f>
        <v>18.399999999999999</v>
      </c>
      <c r="W19" s="1">
        <v>26.2</v>
      </c>
      <c r="X19" s="1">
        <v>43.4</v>
      </c>
      <c r="Y19" s="1">
        <v>43.8</v>
      </c>
      <c r="Z19" s="1">
        <v>27.8</v>
      </c>
      <c r="AA19" s="1">
        <v>30.2</v>
      </c>
      <c r="AB19" s="1">
        <v>34.6</v>
      </c>
      <c r="AC19" s="1">
        <v>18.2</v>
      </c>
      <c r="AD19" s="1"/>
      <c r="AE19" s="1">
        <f t="shared" si="7"/>
        <v>160.5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5.75" customHeight="1" thickBot="1" x14ac:dyDescent="0.3">
      <c r="A20" s="16" t="s">
        <v>55</v>
      </c>
      <c r="B20" s="16" t="s">
        <v>35</v>
      </c>
      <c r="C20" s="16">
        <v>-8</v>
      </c>
      <c r="D20" s="16"/>
      <c r="E20" s="16">
        <v>-1</v>
      </c>
      <c r="F20" s="16">
        <v>-8</v>
      </c>
      <c r="G20" s="15">
        <v>0</v>
      </c>
      <c r="H20" s="16">
        <v>120</v>
      </c>
      <c r="I20" s="16" t="s">
        <v>56</v>
      </c>
      <c r="J20" s="16"/>
      <c r="K20" s="16"/>
      <c r="L20" s="16">
        <f t="shared" si="2"/>
        <v>-1</v>
      </c>
      <c r="M20" s="16"/>
      <c r="N20" s="16"/>
      <c r="O20" s="16"/>
      <c r="P20" s="16">
        <f t="shared" si="3"/>
        <v>-0.2</v>
      </c>
      <c r="Q20" s="17"/>
      <c r="R20" s="17"/>
      <c r="S20" s="16"/>
      <c r="T20" s="16">
        <f t="shared" si="4"/>
        <v>40</v>
      </c>
      <c r="U20" s="16">
        <f t="shared" si="5"/>
        <v>40</v>
      </c>
      <c r="V20" s="16">
        <f>IFERROR(VLOOKUP(A20,[1]TDSheet!$A:$G,3,0),0)/5</f>
        <v>-0.2</v>
      </c>
      <c r="W20" s="16">
        <v>0</v>
      </c>
      <c r="X20" s="16">
        <v>0</v>
      </c>
      <c r="Y20" s="16">
        <v>0</v>
      </c>
      <c r="Z20" s="16">
        <v>-0.4</v>
      </c>
      <c r="AA20" s="16">
        <v>0.2</v>
      </c>
      <c r="AB20" s="16">
        <v>-0.2</v>
      </c>
      <c r="AC20" s="16">
        <v>-0.8</v>
      </c>
      <c r="AD20" s="16" t="s">
        <v>57</v>
      </c>
      <c r="AE20" s="16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6" t="s">
        <v>58</v>
      </c>
      <c r="B21" s="7" t="s">
        <v>35</v>
      </c>
      <c r="C21" s="7">
        <v>104</v>
      </c>
      <c r="D21" s="7"/>
      <c r="E21" s="18">
        <f>80+E22</f>
        <v>84</v>
      </c>
      <c r="F21" s="19">
        <f>23+F22</f>
        <v>340</v>
      </c>
      <c r="G21" s="9">
        <v>0.3</v>
      </c>
      <c r="H21" s="1">
        <v>150</v>
      </c>
      <c r="I21" s="1">
        <v>1010033324</v>
      </c>
      <c r="J21" s="1"/>
      <c r="K21" s="1"/>
      <c r="L21" s="1">
        <f t="shared" si="2"/>
        <v>84</v>
      </c>
      <c r="M21" s="1"/>
      <c r="N21" s="1"/>
      <c r="O21" s="1"/>
      <c r="P21" s="1">
        <f t="shared" si="3"/>
        <v>16.8</v>
      </c>
      <c r="Q21" s="5">
        <f t="shared" si="6"/>
        <v>80</v>
      </c>
      <c r="R21" s="5"/>
      <c r="S21" s="1"/>
      <c r="T21" s="1">
        <f t="shared" si="4"/>
        <v>25</v>
      </c>
      <c r="U21" s="1">
        <f t="shared" si="5"/>
        <v>20.238095238095237</v>
      </c>
      <c r="V21" s="1">
        <f>IFERROR(VLOOKUP(A21,[1]TDSheet!$A:$G,3,0),0)/5</f>
        <v>13.2</v>
      </c>
      <c r="W21" s="1">
        <v>6</v>
      </c>
      <c r="X21" s="1">
        <v>17.8</v>
      </c>
      <c r="Y21" s="1">
        <v>36.200000000000003</v>
      </c>
      <c r="Z21" s="1">
        <v>25.4</v>
      </c>
      <c r="AA21" s="1">
        <v>1</v>
      </c>
      <c r="AB21" s="1">
        <v>4.8</v>
      </c>
      <c r="AC21" s="1">
        <v>16</v>
      </c>
      <c r="AD21" s="22" t="s">
        <v>65</v>
      </c>
      <c r="AE21" s="1">
        <f>G21*Q21</f>
        <v>24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5.75" customHeight="1" thickBot="1" x14ac:dyDescent="0.3">
      <c r="A22" s="13" t="s">
        <v>59</v>
      </c>
      <c r="B22" s="14"/>
      <c r="C22" s="14">
        <v>321</v>
      </c>
      <c r="D22" s="14"/>
      <c r="E22" s="20">
        <v>4</v>
      </c>
      <c r="F22" s="21">
        <v>317</v>
      </c>
      <c r="G22" s="15">
        <v>0</v>
      </c>
      <c r="H22" s="16"/>
      <c r="I22" s="16" t="s">
        <v>43</v>
      </c>
      <c r="J22" s="16" t="s">
        <v>58</v>
      </c>
      <c r="K22" s="16"/>
      <c r="L22" s="16">
        <f t="shared" si="2"/>
        <v>4</v>
      </c>
      <c r="M22" s="16"/>
      <c r="N22" s="16"/>
      <c r="O22" s="16"/>
      <c r="P22" s="16">
        <f t="shared" si="3"/>
        <v>0.8</v>
      </c>
      <c r="Q22" s="17"/>
      <c r="R22" s="17"/>
      <c r="S22" s="16"/>
      <c r="T22" s="16">
        <f t="shared" si="4"/>
        <v>396.25</v>
      </c>
      <c r="U22" s="16">
        <f t="shared" si="5"/>
        <v>396.25</v>
      </c>
      <c r="V22" s="16">
        <f>IFERROR(VLOOKUP(A22,[1]TDSheet!$A:$G,3,0),0)/5</f>
        <v>2.4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/>
      <c r="AE22" s="16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60</v>
      </c>
      <c r="B23" s="1" t="s">
        <v>35</v>
      </c>
      <c r="C23" s="1">
        <v>741</v>
      </c>
      <c r="D23" s="1"/>
      <c r="E23" s="1">
        <v>281</v>
      </c>
      <c r="F23" s="1">
        <v>459</v>
      </c>
      <c r="G23" s="9">
        <v>0.2</v>
      </c>
      <c r="H23" s="1">
        <v>90</v>
      </c>
      <c r="I23" s="1">
        <v>1010025585</v>
      </c>
      <c r="J23" s="1"/>
      <c r="K23" s="1"/>
      <c r="L23" s="1">
        <f t="shared" si="2"/>
        <v>281</v>
      </c>
      <c r="M23" s="1"/>
      <c r="N23" s="1"/>
      <c r="O23" s="1"/>
      <c r="P23" s="1">
        <f t="shared" si="3"/>
        <v>56.2</v>
      </c>
      <c r="Q23" s="5">
        <f t="shared" ref="Q23:Q24" si="8">21*P23-F23</f>
        <v>721.2</v>
      </c>
      <c r="R23" s="5"/>
      <c r="S23" s="1"/>
      <c r="T23" s="1">
        <f t="shared" si="4"/>
        <v>21</v>
      </c>
      <c r="U23" s="1">
        <f t="shared" si="5"/>
        <v>8.1672597864768672</v>
      </c>
      <c r="V23" s="1">
        <f>IFERROR(VLOOKUP(A23,[1]TDSheet!$A:$G,3,0),0)/5</f>
        <v>52.6</v>
      </c>
      <c r="W23" s="1">
        <v>31</v>
      </c>
      <c r="X23" s="1">
        <v>53</v>
      </c>
      <c r="Y23" s="1">
        <v>52</v>
      </c>
      <c r="Z23" s="1">
        <v>48</v>
      </c>
      <c r="AA23" s="1">
        <v>53.2</v>
      </c>
      <c r="AB23" s="1">
        <v>52</v>
      </c>
      <c r="AC23" s="1">
        <v>57.2</v>
      </c>
      <c r="AD23" s="1"/>
      <c r="AE23" s="1">
        <f>G23*Q23</f>
        <v>144.24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61</v>
      </c>
      <c r="B24" s="1" t="s">
        <v>35</v>
      </c>
      <c r="C24" s="1">
        <v>528</v>
      </c>
      <c r="D24" s="1"/>
      <c r="E24" s="1">
        <v>183</v>
      </c>
      <c r="F24" s="1">
        <v>281</v>
      </c>
      <c r="G24" s="9">
        <v>0.33</v>
      </c>
      <c r="H24" s="1">
        <v>55</v>
      </c>
      <c r="I24" s="1">
        <v>1010029655</v>
      </c>
      <c r="J24" s="1"/>
      <c r="K24" s="1"/>
      <c r="L24" s="1">
        <f t="shared" si="2"/>
        <v>183</v>
      </c>
      <c r="M24" s="1"/>
      <c r="N24" s="1"/>
      <c r="O24" s="1"/>
      <c r="P24" s="1">
        <f t="shared" si="3"/>
        <v>36.6</v>
      </c>
      <c r="Q24" s="5">
        <f t="shared" si="8"/>
        <v>487.6</v>
      </c>
      <c r="R24" s="5"/>
      <c r="S24" s="1"/>
      <c r="T24" s="1">
        <f t="shared" si="4"/>
        <v>21</v>
      </c>
      <c r="U24" s="1">
        <f t="shared" si="5"/>
        <v>7.6775956284153004</v>
      </c>
      <c r="V24" s="1">
        <f>IFERROR(VLOOKUP(A24,[1]TDSheet!$A:$G,3,0),0)/5</f>
        <v>10.199999999999999</v>
      </c>
      <c r="W24" s="1">
        <v>24.4</v>
      </c>
      <c r="X24" s="1">
        <v>29.8</v>
      </c>
      <c r="Y24" s="1">
        <v>39.6</v>
      </c>
      <c r="Z24" s="1">
        <v>26.8</v>
      </c>
      <c r="AA24" s="1">
        <v>22.2</v>
      </c>
      <c r="AB24" s="1">
        <v>24.8</v>
      </c>
      <c r="AC24" s="1">
        <v>44.2</v>
      </c>
      <c r="AD24" s="1" t="s">
        <v>63</v>
      </c>
      <c r="AE24" s="1">
        <f>G24*Q24</f>
        <v>160.90800000000002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6" spans="1:46" x14ac:dyDescent="0.25">
      <c r="A26" s="1"/>
      <c r="B26" s="1"/>
      <c r="C26" s="1"/>
      <c r="D26" s="1"/>
      <c r="E26" s="1"/>
      <c r="F26" s="1"/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/>
      <c r="B27" s="1"/>
      <c r="C27" s="1"/>
      <c r="D27" s="1"/>
      <c r="E27" s="1"/>
      <c r="F27" s="1"/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/>
      <c r="B28" s="1"/>
      <c r="C28" s="1"/>
      <c r="D28" s="1"/>
      <c r="E28" s="1"/>
      <c r="F28" s="1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/>
      <c r="B29" s="1"/>
      <c r="C29" s="1"/>
      <c r="D29" s="1"/>
      <c r="E29" s="1"/>
      <c r="F29" s="1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/>
      <c r="B30" s="1"/>
      <c r="C30" s="1"/>
      <c r="D30" s="1"/>
      <c r="E30" s="1"/>
      <c r="F30" s="1"/>
      <c r="G30" s="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/>
      <c r="B31" s="1"/>
      <c r="C31" s="1"/>
      <c r="D31" s="1"/>
      <c r="E31" s="1"/>
      <c r="F31" s="1"/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/>
      <c r="B32" s="1"/>
      <c r="C32" s="1"/>
      <c r="D32" s="1"/>
      <c r="E32" s="1"/>
      <c r="F32" s="1"/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/>
      <c r="B33" s="1"/>
      <c r="C33" s="1"/>
      <c r="D33" s="1"/>
      <c r="E33" s="1"/>
      <c r="F33" s="1"/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/>
      <c r="B34" s="1"/>
      <c r="C34" s="1"/>
      <c r="D34" s="1"/>
      <c r="E34" s="1"/>
      <c r="F34" s="1"/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/>
      <c r="B35" s="1"/>
      <c r="C35" s="1"/>
      <c r="D35" s="1"/>
      <c r="E35" s="1"/>
      <c r="F35" s="1"/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/>
      <c r="B36" s="1"/>
      <c r="C36" s="1"/>
      <c r="D36" s="1"/>
      <c r="E36" s="1"/>
      <c r="F36" s="1"/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/>
      <c r="B37" s="1"/>
      <c r="C37" s="1"/>
      <c r="D37" s="1"/>
      <c r="E37" s="1"/>
      <c r="F37" s="1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/>
      <c r="B38" s="1"/>
      <c r="C38" s="1"/>
      <c r="D38" s="1"/>
      <c r="E38" s="1"/>
      <c r="F38" s="1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/>
      <c r="B39" s="1"/>
      <c r="C39" s="1"/>
      <c r="D39" s="1"/>
      <c r="E39" s="1"/>
      <c r="F39" s="1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/>
      <c r="B40" s="1"/>
      <c r="C40" s="1"/>
      <c r="D40" s="1"/>
      <c r="E40" s="1"/>
      <c r="F40" s="1"/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/>
      <c r="B41" s="1"/>
      <c r="C41" s="1"/>
      <c r="D41" s="1"/>
      <c r="E41" s="1"/>
      <c r="F41" s="1"/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/>
      <c r="B42" s="1"/>
      <c r="C42" s="1"/>
      <c r="D42" s="1"/>
      <c r="E42" s="1"/>
      <c r="F42" s="1"/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/>
      <c r="B43" s="1"/>
      <c r="C43" s="1"/>
      <c r="D43" s="1"/>
      <c r="E43" s="1"/>
      <c r="F43" s="1"/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/>
      <c r="B44" s="1"/>
      <c r="C44" s="1"/>
      <c r="D44" s="1"/>
      <c r="E44" s="1"/>
      <c r="F44" s="1"/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/>
      <c r="B45" s="1"/>
      <c r="C45" s="1"/>
      <c r="D45" s="1"/>
      <c r="E45" s="1"/>
      <c r="F45" s="1"/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/>
      <c r="B46" s="1"/>
      <c r="C46" s="1"/>
      <c r="D46" s="1"/>
      <c r="E46" s="1"/>
      <c r="F46" s="1"/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/>
      <c r="B47" s="1"/>
      <c r="C47" s="1"/>
      <c r="D47" s="1"/>
      <c r="E47" s="1"/>
      <c r="F47" s="1"/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/>
      <c r="B48" s="1"/>
      <c r="C48" s="1"/>
      <c r="D48" s="1"/>
      <c r="E48" s="1"/>
      <c r="F48" s="1"/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/>
      <c r="B49" s="1"/>
      <c r="C49" s="1"/>
      <c r="D49" s="1"/>
      <c r="E49" s="1"/>
      <c r="F49" s="1"/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/>
      <c r="B50" s="1"/>
      <c r="C50" s="1"/>
      <c r="D50" s="1"/>
      <c r="E50" s="1"/>
      <c r="F50" s="1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/>
      <c r="B51" s="1"/>
      <c r="C51" s="1"/>
      <c r="D51" s="1"/>
      <c r="E51" s="1"/>
      <c r="F51" s="1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/>
      <c r="B52" s="1"/>
      <c r="C52" s="1"/>
      <c r="D52" s="1"/>
      <c r="E52" s="1"/>
      <c r="F52" s="1"/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/>
      <c r="B53" s="1"/>
      <c r="C53" s="1"/>
      <c r="D53" s="1"/>
      <c r="E53" s="1"/>
      <c r="F53" s="1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/>
      <c r="B54" s="1"/>
      <c r="C54" s="1"/>
      <c r="D54" s="1"/>
      <c r="E54" s="1"/>
      <c r="F54" s="1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/>
      <c r="B55" s="1"/>
      <c r="C55" s="1"/>
      <c r="D55" s="1"/>
      <c r="E55" s="1"/>
      <c r="F55" s="1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/>
      <c r="B56" s="1"/>
      <c r="C56" s="1"/>
      <c r="D56" s="1"/>
      <c r="E56" s="1"/>
      <c r="F56" s="1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/>
      <c r="B57" s="1"/>
      <c r="C57" s="1"/>
      <c r="D57" s="1"/>
      <c r="E57" s="1"/>
      <c r="F57" s="1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/>
      <c r="B58" s="1"/>
      <c r="C58" s="1"/>
      <c r="D58" s="1"/>
      <c r="E58" s="1"/>
      <c r="F58" s="1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/>
      <c r="B59" s="1"/>
      <c r="C59" s="1"/>
      <c r="D59" s="1"/>
      <c r="E59" s="1"/>
      <c r="F59" s="1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/>
      <c r="B60" s="1"/>
      <c r="C60" s="1"/>
      <c r="D60" s="1"/>
      <c r="E60" s="1"/>
      <c r="F60" s="1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/>
      <c r="B61" s="1"/>
      <c r="C61" s="1"/>
      <c r="D61" s="1"/>
      <c r="E61" s="1"/>
      <c r="F61" s="1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/>
      <c r="B62" s="1"/>
      <c r="C62" s="1"/>
      <c r="D62" s="1"/>
      <c r="E62" s="1"/>
      <c r="F62" s="1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/>
      <c r="B63" s="1"/>
      <c r="C63" s="1"/>
      <c r="D63" s="1"/>
      <c r="E63" s="1"/>
      <c r="F63" s="1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/>
      <c r="B64" s="1"/>
      <c r="C64" s="1"/>
      <c r="D64" s="1"/>
      <c r="E64" s="1"/>
      <c r="F64" s="1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/>
      <c r="B65" s="1"/>
      <c r="C65" s="1"/>
      <c r="D65" s="1"/>
      <c r="E65" s="1"/>
      <c r="F65" s="1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/>
      <c r="B66" s="1"/>
      <c r="C66" s="1"/>
      <c r="D66" s="1"/>
      <c r="E66" s="1"/>
      <c r="F66" s="1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/>
      <c r="B67" s="1"/>
      <c r="C67" s="1"/>
      <c r="D67" s="1"/>
      <c r="E67" s="1"/>
      <c r="F67" s="1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/>
      <c r="B68" s="1"/>
      <c r="C68" s="1"/>
      <c r="D68" s="1"/>
      <c r="E68" s="1"/>
      <c r="F68" s="1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/>
      <c r="B69" s="1"/>
      <c r="C69" s="1"/>
      <c r="D69" s="1"/>
      <c r="E69" s="1"/>
      <c r="F69" s="1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/>
      <c r="B70" s="1"/>
      <c r="C70" s="1"/>
      <c r="D70" s="1"/>
      <c r="E70" s="1"/>
      <c r="F70" s="1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/>
      <c r="B71" s="1"/>
      <c r="C71" s="1"/>
      <c r="D71" s="1"/>
      <c r="E71" s="1"/>
      <c r="F71" s="1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/>
      <c r="B72" s="1"/>
      <c r="C72" s="1"/>
      <c r="D72" s="1"/>
      <c r="E72" s="1"/>
      <c r="F72" s="1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/>
      <c r="B73" s="1"/>
      <c r="C73" s="1"/>
      <c r="D73" s="1"/>
      <c r="E73" s="1"/>
      <c r="F73" s="1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/>
      <c r="B74" s="1"/>
      <c r="C74" s="1"/>
      <c r="D74" s="1"/>
      <c r="E74" s="1"/>
      <c r="F74" s="1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/>
      <c r="B75" s="1"/>
      <c r="C75" s="1"/>
      <c r="D75" s="1"/>
      <c r="E75" s="1"/>
      <c r="F75" s="1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/>
      <c r="B76" s="1"/>
      <c r="C76" s="1"/>
      <c r="D76" s="1"/>
      <c r="E76" s="1"/>
      <c r="F76" s="1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/>
      <c r="B77" s="1"/>
      <c r="C77" s="1"/>
      <c r="D77" s="1"/>
      <c r="E77" s="1"/>
      <c r="F77" s="1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/>
      <c r="B78" s="1"/>
      <c r="C78" s="1"/>
      <c r="D78" s="1"/>
      <c r="E78" s="1"/>
      <c r="F78" s="1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/>
      <c r="B79" s="1"/>
      <c r="C79" s="1"/>
      <c r="D79" s="1"/>
      <c r="E79" s="1"/>
      <c r="F79" s="1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/>
      <c r="B80" s="1"/>
      <c r="C80" s="1"/>
      <c r="D80" s="1"/>
      <c r="E80" s="1"/>
      <c r="F80" s="1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/>
      <c r="B81" s="1"/>
      <c r="C81" s="1"/>
      <c r="D81" s="1"/>
      <c r="E81" s="1"/>
      <c r="F81" s="1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/>
      <c r="B82" s="1"/>
      <c r="C82" s="1"/>
      <c r="D82" s="1"/>
      <c r="E82" s="1"/>
      <c r="F82" s="1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/>
      <c r="B83" s="1"/>
      <c r="C83" s="1"/>
      <c r="D83" s="1"/>
      <c r="E83" s="1"/>
      <c r="F83" s="1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/>
      <c r="B84" s="1"/>
      <c r="C84" s="1"/>
      <c r="D84" s="1"/>
      <c r="E84" s="1"/>
      <c r="F84" s="1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/>
      <c r="B85" s="1"/>
      <c r="C85" s="1"/>
      <c r="D85" s="1"/>
      <c r="E85" s="1"/>
      <c r="F85" s="1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/>
      <c r="B86" s="1"/>
      <c r="C86" s="1"/>
      <c r="D86" s="1"/>
      <c r="E86" s="1"/>
      <c r="F86" s="1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/>
      <c r="B87" s="1"/>
      <c r="C87" s="1"/>
      <c r="D87" s="1"/>
      <c r="E87" s="1"/>
      <c r="F87" s="1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/>
      <c r="B88" s="1"/>
      <c r="C88" s="1"/>
      <c r="D88" s="1"/>
      <c r="E88" s="1"/>
      <c r="F88" s="1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/>
      <c r="B89" s="1"/>
      <c r="C89" s="1"/>
      <c r="D89" s="1"/>
      <c r="E89" s="1"/>
      <c r="F89" s="1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/>
      <c r="B90" s="1"/>
      <c r="C90" s="1"/>
      <c r="D90" s="1"/>
      <c r="E90" s="1"/>
      <c r="F90" s="1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/>
      <c r="B91" s="1"/>
      <c r="C91" s="1"/>
      <c r="D91" s="1"/>
      <c r="E91" s="1"/>
      <c r="F91" s="1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/>
      <c r="B92" s="1"/>
      <c r="C92" s="1"/>
      <c r="D92" s="1"/>
      <c r="E92" s="1"/>
      <c r="F92" s="1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/>
      <c r="B93" s="1"/>
      <c r="C93" s="1"/>
      <c r="D93" s="1"/>
      <c r="E93" s="1"/>
      <c r="F93" s="1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/>
      <c r="B94" s="1"/>
      <c r="C94" s="1"/>
      <c r="D94" s="1"/>
      <c r="E94" s="1"/>
      <c r="F94" s="1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/>
      <c r="B95" s="1"/>
      <c r="C95" s="1"/>
      <c r="D95" s="1"/>
      <c r="E95" s="1"/>
      <c r="F95" s="1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/>
      <c r="B96" s="1"/>
      <c r="C96" s="1"/>
      <c r="D96" s="1"/>
      <c r="E96" s="1"/>
      <c r="F96" s="1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/>
      <c r="B97" s="1"/>
      <c r="C97" s="1"/>
      <c r="D97" s="1"/>
      <c r="E97" s="1"/>
      <c r="F97" s="1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/>
      <c r="B98" s="1"/>
      <c r="C98" s="1"/>
      <c r="D98" s="1"/>
      <c r="E98" s="1"/>
      <c r="F98" s="1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/>
      <c r="B99" s="1"/>
      <c r="C99" s="1"/>
      <c r="D99" s="1"/>
      <c r="E99" s="1"/>
      <c r="F99" s="1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/>
      <c r="B100" s="1"/>
      <c r="C100" s="1"/>
      <c r="D100" s="1"/>
      <c r="E100" s="1"/>
      <c r="F100" s="1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/>
      <c r="B101" s="1"/>
      <c r="C101" s="1"/>
      <c r="D101" s="1"/>
      <c r="E101" s="1"/>
      <c r="F101" s="1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/>
      <c r="B102" s="1"/>
      <c r="C102" s="1"/>
      <c r="D102" s="1"/>
      <c r="E102" s="1"/>
      <c r="F102" s="1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/>
      <c r="B103" s="1"/>
      <c r="C103" s="1"/>
      <c r="D103" s="1"/>
      <c r="E103" s="1"/>
      <c r="F103" s="1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/>
      <c r="B104" s="1"/>
      <c r="C104" s="1"/>
      <c r="D104" s="1"/>
      <c r="E104" s="1"/>
      <c r="F104" s="1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/>
      <c r="B105" s="1"/>
      <c r="C105" s="1"/>
      <c r="D105" s="1"/>
      <c r="E105" s="1"/>
      <c r="F105" s="1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/>
      <c r="B106" s="1"/>
      <c r="C106" s="1"/>
      <c r="D106" s="1"/>
      <c r="E106" s="1"/>
      <c r="F106" s="1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/>
      <c r="B107" s="1"/>
      <c r="C107" s="1"/>
      <c r="D107" s="1"/>
      <c r="E107" s="1"/>
      <c r="F107" s="1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/>
      <c r="B108" s="1"/>
      <c r="C108" s="1"/>
      <c r="D108" s="1"/>
      <c r="E108" s="1"/>
      <c r="F108" s="1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/>
      <c r="B109" s="1"/>
      <c r="C109" s="1"/>
      <c r="D109" s="1"/>
      <c r="E109" s="1"/>
      <c r="F109" s="1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/>
      <c r="B110" s="1"/>
      <c r="C110" s="1"/>
      <c r="D110" s="1"/>
      <c r="E110" s="1"/>
      <c r="F110" s="1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/>
      <c r="B111" s="1"/>
      <c r="C111" s="1"/>
      <c r="D111" s="1"/>
      <c r="E111" s="1"/>
      <c r="F111" s="1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/>
      <c r="B112" s="1"/>
      <c r="C112" s="1"/>
      <c r="D112" s="1"/>
      <c r="E112" s="1"/>
      <c r="F112" s="1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/>
      <c r="B113" s="1"/>
      <c r="C113" s="1"/>
      <c r="D113" s="1"/>
      <c r="E113" s="1"/>
      <c r="F113" s="1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/>
      <c r="B114" s="1"/>
      <c r="C114" s="1"/>
      <c r="D114" s="1"/>
      <c r="E114" s="1"/>
      <c r="F114" s="1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/>
      <c r="B115" s="1"/>
      <c r="C115" s="1"/>
      <c r="D115" s="1"/>
      <c r="E115" s="1"/>
      <c r="F115" s="1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/>
      <c r="B116" s="1"/>
      <c r="C116" s="1"/>
      <c r="D116" s="1"/>
      <c r="E116" s="1"/>
      <c r="F116" s="1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/>
      <c r="B117" s="1"/>
      <c r="C117" s="1"/>
      <c r="D117" s="1"/>
      <c r="E117" s="1"/>
      <c r="F117" s="1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/>
      <c r="B118" s="1"/>
      <c r="C118" s="1"/>
      <c r="D118" s="1"/>
      <c r="E118" s="1"/>
      <c r="F118" s="1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/>
      <c r="B119" s="1"/>
      <c r="C119" s="1"/>
      <c r="D119" s="1"/>
      <c r="E119" s="1"/>
      <c r="F119" s="1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/>
      <c r="B120" s="1"/>
      <c r="C120" s="1"/>
      <c r="D120" s="1"/>
      <c r="E120" s="1"/>
      <c r="F120" s="1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/>
      <c r="B121" s="1"/>
      <c r="C121" s="1"/>
      <c r="D121" s="1"/>
      <c r="E121" s="1"/>
      <c r="F121" s="1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/>
      <c r="B122" s="1"/>
      <c r="C122" s="1"/>
      <c r="D122" s="1"/>
      <c r="E122" s="1"/>
      <c r="F122" s="1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/>
      <c r="B123" s="1"/>
      <c r="C123" s="1"/>
      <c r="D123" s="1"/>
      <c r="E123" s="1"/>
      <c r="F123" s="1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/>
      <c r="B124" s="1"/>
      <c r="C124" s="1"/>
      <c r="D124" s="1"/>
      <c r="E124" s="1"/>
      <c r="F124" s="1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/>
      <c r="B125" s="1"/>
      <c r="C125" s="1"/>
      <c r="D125" s="1"/>
      <c r="E125" s="1"/>
      <c r="F125" s="1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/>
      <c r="B126" s="1"/>
      <c r="C126" s="1"/>
      <c r="D126" s="1"/>
      <c r="E126" s="1"/>
      <c r="F126" s="1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/>
      <c r="B127" s="1"/>
      <c r="C127" s="1"/>
      <c r="D127" s="1"/>
      <c r="E127" s="1"/>
      <c r="F127" s="1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/>
      <c r="B128" s="1"/>
      <c r="C128" s="1"/>
      <c r="D128" s="1"/>
      <c r="E128" s="1"/>
      <c r="F128" s="1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</sheetData>
  <autoFilter ref="A3:AE2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2025-11-10T13:34:11Z</dcterms:created>
  <dcterms:modified xsi:type="dcterms:W3CDTF">2025-11-10T13:47:39Z</dcterms:modified>
</cp:coreProperties>
</file>