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27D3C37D-53FB-4836-A717-7C7C207653C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64" i="1" l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Y497" i="1" s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02" i="1"/>
  <c r="Z213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<sst xmlns="http://schemas.openxmlformats.org/spreadsheetml/2006/main" count="2294" uniqueCount="781">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</sst>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3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394</v>
      </c>
      <c r="Y41" s="554">
        <f>IFERROR(IF(X41="",0,CEILING((X41/$H41),1)*$H41),"")</f>
        <v>399.6</v>
      </c>
      <c r="Z41" s="36">
        <f>IFERROR(IF(Y41=0,"",ROUNDUP(Y41/H41,0)*0.01898),"")</f>
        <v>0.70226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408.95740740740746</v>
      </c>
      <c r="BN41" s="64">
        <f>IFERROR(Y41*I41/H41,"0")</f>
        <v>414.77000000000004</v>
      </c>
      <c r="BO41" s="64">
        <f>IFERROR(1/J41*(X41/H41),"0")</f>
        <v>0.57002314814814814</v>
      </c>
      <c r="BP41" s="64">
        <f>IFERROR(1/J41*(Y41/H41),"0")</f>
        <v>0.578125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169</v>
      </c>
      <c r="Y42" s="554">
        <f>IFERROR(IF(X42="",0,CEILING((X42/$H42),1)*$H42),"")</f>
        <v>170.20000000000002</v>
      </c>
      <c r="Z42" s="36">
        <f>IFERROR(IF(Y42=0,"",ROUNDUP(Y42/H42,0)*0.00902),"")</f>
        <v>0.41492000000000001</v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177.67837837837837</v>
      </c>
      <c r="BN42" s="64">
        <f>IFERROR(Y42*I42/H42,"0")</f>
        <v>178.94000000000003</v>
      </c>
      <c r="BO42" s="64">
        <f>IFERROR(1/J42*(X42/H42),"0")</f>
        <v>0.34602784602784598</v>
      </c>
      <c r="BP42" s="64">
        <f>IFERROR(1/J42*(Y42/H42),"0")</f>
        <v>0.34848484848484851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82.157157157157144</v>
      </c>
      <c r="Y44" s="555">
        <f>IFERROR(Y41/H41,"0")+IFERROR(Y42/H42,"0")+IFERROR(Y43/H43,"0")</f>
        <v>83</v>
      </c>
      <c r="Z44" s="555">
        <f>IFERROR(IF(Z41="",0,Z41),"0")+IFERROR(IF(Z42="",0,Z42),"0")+IFERROR(IF(Z43="",0,Z43),"0")</f>
        <v>1.1171800000000001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563</v>
      </c>
      <c r="Y45" s="555">
        <f>IFERROR(SUM(Y41:Y43),"0")</f>
        <v>569.80000000000007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81</v>
      </c>
      <c r="Y52" s="554">
        <f t="shared" ref="Y52:Y57" si="0">IFERROR(IF(X52="",0,CEILING((X52/$H52),1)*$H52),"")</f>
        <v>89.6</v>
      </c>
      <c r="Z52" s="36">
        <f>IFERROR(IF(Y52=0,"",ROUNDUP(Y52/H52,0)*0.01898),"")</f>
        <v>0.15184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83.965178571428581</v>
      </c>
      <c r="BN52" s="64">
        <f t="shared" ref="BN52:BN57" si="2">IFERROR(Y52*I52/H52,"0")</f>
        <v>92.88</v>
      </c>
      <c r="BO52" s="64">
        <f t="shared" ref="BO52:BO57" si="3">IFERROR(1/J52*(X52/H52),"0")</f>
        <v>0.11300223214285715</v>
      </c>
      <c r="BP52" s="64">
        <f t="shared" ref="BP52:BP57" si="4">IFERROR(1/J52*(Y52/H52),"0")</f>
        <v>0.125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196</v>
      </c>
      <c r="Y53" s="554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203.44074074074075</v>
      </c>
      <c r="BN53" s="64">
        <f t="shared" si="2"/>
        <v>212.99</v>
      </c>
      <c r="BO53" s="64">
        <f t="shared" si="3"/>
        <v>0.28356481481481477</v>
      </c>
      <c r="BP53" s="64">
        <f t="shared" si="4"/>
        <v>0.296875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85</v>
      </c>
      <c r="Y55" s="554">
        <f t="shared" si="0"/>
        <v>88</v>
      </c>
      <c r="Z55" s="36">
        <f>IFERROR(IF(Y55=0,"",ROUNDUP(Y55/H55,0)*0.00902),"")</f>
        <v>0.19844000000000001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89.037500000000009</v>
      </c>
      <c r="BN55" s="64">
        <f t="shared" si="2"/>
        <v>92.18</v>
      </c>
      <c r="BO55" s="64">
        <f t="shared" si="3"/>
        <v>0.16098484848484848</v>
      </c>
      <c r="BP55" s="64">
        <f t="shared" si="4"/>
        <v>0.16666666666666669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46.630291005290999</v>
      </c>
      <c r="Y58" s="555">
        <f>IFERROR(Y52/H52,"0")+IFERROR(Y53/H53,"0")+IFERROR(Y54/H54,"0")+IFERROR(Y55/H55,"0")+IFERROR(Y56/H56,"0")+IFERROR(Y57/H57,"0")</f>
        <v>49</v>
      </c>
      <c r="Z58" s="555">
        <f>IFERROR(IF(Z52="",0,Z52),"0")+IFERROR(IF(Z53="",0,Z53),"0")+IFERROR(IF(Z54="",0,Z54),"0")+IFERROR(IF(Z55="",0,Z55),"0")+IFERROR(IF(Z56="",0,Z56),"0")+IFERROR(IF(Z57="",0,Z57),"0")</f>
        <v>0.71090000000000009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362</v>
      </c>
      <c r="Y59" s="555">
        <f>IFERROR(SUM(Y52:Y57),"0")</f>
        <v>382.8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165</v>
      </c>
      <c r="Y61" s="554">
        <f>IFERROR(IF(X61="",0,CEILING((X61/$H61),1)*$H61),"")</f>
        <v>172.8</v>
      </c>
      <c r="Z61" s="36">
        <f>IFERROR(IF(Y61=0,"",ROUNDUP(Y61/H61,0)*0.01898),"")</f>
        <v>0.30368000000000001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171.26388888888889</v>
      </c>
      <c r="BN61" s="64">
        <f>IFERROR(Y61*I61/H61,"0")</f>
        <v>179.36</v>
      </c>
      <c r="BO61" s="64">
        <f>IFERROR(1/J61*(X61/H61),"0")</f>
        <v>0.23871527777777776</v>
      </c>
      <c r="BP61" s="64">
        <f>IFERROR(1/J61*(Y61/H61),"0")</f>
        <v>0.25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15.277777777777777</v>
      </c>
      <c r="Y64" s="555">
        <f>IFERROR(Y61/H61,"0")+IFERROR(Y62/H62,"0")+IFERROR(Y63/H63,"0")</f>
        <v>16</v>
      </c>
      <c r="Z64" s="555">
        <f>IFERROR(IF(Z61="",0,Z61),"0")+IFERROR(IF(Z62="",0,Z62),"0")+IFERROR(IF(Z63="",0,Z63),"0")</f>
        <v>0.30368000000000001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165</v>
      </c>
      <c r="Y65" s="555">
        <f>IFERROR(SUM(Y61:Y63),"0")</f>
        <v>172.8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42</v>
      </c>
      <c r="Y79" s="554">
        <f>IFERROR(IF(X79="",0,CEILING((X79/$H79),1)*$H79),"")</f>
        <v>46.8</v>
      </c>
      <c r="Z79" s="36">
        <f>IFERROR(IF(Y79=0,"",ROUNDUP(Y79/H79,0)*0.01898),"")</f>
        <v>0.11388000000000001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44.207692307692312</v>
      </c>
      <c r="BN79" s="64">
        <f>IFERROR(Y79*I79/H79,"0")</f>
        <v>49.260000000000005</v>
      </c>
      <c r="BO79" s="64">
        <f>IFERROR(1/J79*(X79/H79),"0")</f>
        <v>8.4134615384615391E-2</v>
      </c>
      <c r="BP79" s="64">
        <f>IFERROR(1/J79*(Y79/H79),"0")</f>
        <v>9.375E-2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11</v>
      </c>
      <c r="Y80" s="554">
        <f>IFERROR(IF(X80="",0,CEILING((X80/$H80),1)*$H80),"")</f>
        <v>12</v>
      </c>
      <c r="Z80" s="36">
        <f>IFERROR(IF(Y80=0,"",ROUNDUP(Y80/H80,0)*0.00902),"")</f>
        <v>4.5100000000000001E-2</v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11.870833333333334</v>
      </c>
      <c r="BN80" s="64">
        <f>IFERROR(Y80*I80/H80,"0")</f>
        <v>12.95</v>
      </c>
      <c r="BO80" s="64">
        <f>IFERROR(1/J80*(X80/H80),"0")</f>
        <v>3.4722222222222231E-2</v>
      </c>
      <c r="BP80" s="64">
        <f>IFERROR(1/J80*(Y80/H80),"0")</f>
        <v>3.787878787878788E-2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9.967948717948719</v>
      </c>
      <c r="Y81" s="555">
        <f>IFERROR(Y79/H79,"0")+IFERROR(Y80/H80,"0")</f>
        <v>11</v>
      </c>
      <c r="Z81" s="555">
        <f>IFERROR(IF(Z79="",0,Z79),"0")+IFERROR(IF(Z80="",0,Z80),"0")</f>
        <v>0.15898000000000001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53</v>
      </c>
      <c r="Y82" s="555">
        <f>IFERROR(SUM(Y79:Y80),"0")</f>
        <v>58.8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391</v>
      </c>
      <c r="Y85" s="554">
        <f>IFERROR(IF(X85="",0,CEILING((X85/$H85),1)*$H85),"")</f>
        <v>399.6</v>
      </c>
      <c r="Z85" s="36">
        <f>IFERROR(IF(Y85=0,"",ROUNDUP(Y85/H85,0)*0.01898),"")</f>
        <v>0.70226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405.84351851851852</v>
      </c>
      <c r="BN85" s="64">
        <f>IFERROR(Y85*I85/H85,"0")</f>
        <v>414.77000000000004</v>
      </c>
      <c r="BO85" s="64">
        <f>IFERROR(1/J85*(X85/H85),"0")</f>
        <v>0.56568287037037035</v>
      </c>
      <c r="BP85" s="64">
        <f>IFERROR(1/J85*(Y85/H85),"0")</f>
        <v>0.578125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160</v>
      </c>
      <c r="Y88" s="554">
        <f>IFERROR(IF(X88="",0,CEILING((X88/$H88),1)*$H88),"")</f>
        <v>162</v>
      </c>
      <c r="Z88" s="36">
        <f>IFERROR(IF(Y88=0,"",ROUNDUP(Y88/H88,0)*0.00902),"")</f>
        <v>0.32472000000000001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166.75555555555559</v>
      </c>
      <c r="BN88" s="64">
        <f>IFERROR(Y88*I88/H88,"0")</f>
        <v>168.84000000000003</v>
      </c>
      <c r="BO88" s="64">
        <f>IFERROR(1/J88*(X88/H88),"0")</f>
        <v>0.26936026936026936</v>
      </c>
      <c r="BP88" s="64">
        <f>IFERROR(1/J88*(Y88/H88),"0")</f>
        <v>0.27272727272727271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71.759259259259267</v>
      </c>
      <c r="Y89" s="555">
        <f>IFERROR(Y85/H85,"0")+IFERROR(Y86/H86,"0")+IFERROR(Y87/H87,"0")+IFERROR(Y88/H88,"0")</f>
        <v>73</v>
      </c>
      <c r="Z89" s="555">
        <f>IFERROR(IF(Z85="",0,Z85),"0")+IFERROR(IF(Z86="",0,Z86),"0")+IFERROR(IF(Z87="",0,Z87),"0")+IFERROR(IF(Z88="",0,Z88),"0")</f>
        <v>1.02698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551</v>
      </c>
      <c r="Y90" s="555">
        <f>IFERROR(SUM(Y85:Y88),"0")</f>
        <v>561.6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63</v>
      </c>
      <c r="Y92" s="554">
        <f>IFERROR(IF(X92="",0,CEILING((X92/$H92),1)*$H92),"")</f>
        <v>64.8</v>
      </c>
      <c r="Z92" s="36">
        <f>IFERROR(IF(Y92=0,"",ROUNDUP(Y92/H92,0)*0.01898),"")</f>
        <v>0.15184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66.842222222222219</v>
      </c>
      <c r="BN92" s="64">
        <f>IFERROR(Y92*I92/H92,"0")</f>
        <v>68.751999999999995</v>
      </c>
      <c r="BO92" s="64">
        <f>IFERROR(1/J92*(X92/H92),"0")</f>
        <v>0.12152777777777778</v>
      </c>
      <c r="BP92" s="64">
        <f>IFERROR(1/J92*(Y92/H92),"0")</f>
        <v>0.125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118</v>
      </c>
      <c r="Y94" s="554">
        <f>IFERROR(IF(X94="",0,CEILING((X94/$H94),1)*$H94),"")</f>
        <v>118.80000000000001</v>
      </c>
      <c r="Z94" s="36">
        <f>IFERROR(IF(Y94=0,"",ROUNDUP(Y94/H94,0)*0.00651),"")</f>
        <v>0.28644000000000003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129.01333333333332</v>
      </c>
      <c r="BN94" s="64">
        <f>IFERROR(Y94*I94/H94,"0")</f>
        <v>129.88800000000001</v>
      </c>
      <c r="BO94" s="64">
        <f>IFERROR(1/J94*(X94/H94),"0")</f>
        <v>0.24013024013024015</v>
      </c>
      <c r="BP94" s="64">
        <f>IFERROR(1/J94*(Y94/H94),"0")</f>
        <v>0.24175824175824179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51.481481481481481</v>
      </c>
      <c r="Y96" s="555">
        <f>IFERROR(Y92/H92,"0")+IFERROR(Y93/H93,"0")+IFERROR(Y94/H94,"0")+IFERROR(Y95/H95,"0")</f>
        <v>52</v>
      </c>
      <c r="Z96" s="555">
        <f>IFERROR(IF(Z92="",0,Z92),"0")+IFERROR(IF(Z93="",0,Z93),"0")+IFERROR(IF(Z94="",0,Z94),"0")+IFERROR(IF(Z95="",0,Z95),"0")</f>
        <v>0.43828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181</v>
      </c>
      <c r="Y97" s="555">
        <f>IFERROR(SUM(Y92:Y95),"0")</f>
        <v>183.60000000000002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326</v>
      </c>
      <c r="Y100" s="554">
        <f>IFERROR(IF(X100="",0,CEILING((X100/$H100),1)*$H100),"")</f>
        <v>334.8</v>
      </c>
      <c r="Z100" s="36">
        <f>IFERROR(IF(Y100=0,"",ROUNDUP(Y100/H100,0)*0.01898),"")</f>
        <v>0.58838000000000001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338.37592592592597</v>
      </c>
      <c r="BN100" s="64">
        <f>IFERROR(Y100*I100/H100,"0")</f>
        <v>347.51000000000005</v>
      </c>
      <c r="BO100" s="64">
        <f>IFERROR(1/J100*(X100/H100),"0")</f>
        <v>0.47164351851851849</v>
      </c>
      <c r="BP100" s="64">
        <f>IFERROR(1/J100*(Y100/H100),"0")</f>
        <v>0.484375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96</v>
      </c>
      <c r="Y103" s="554">
        <f>IFERROR(IF(X103="",0,CEILING((X103/$H103),1)*$H103),"")</f>
        <v>99</v>
      </c>
      <c r="Z103" s="36">
        <f>IFERROR(IF(Y103=0,"",ROUNDUP(Y103/H103,0)*0.00902),"")</f>
        <v>0.19844000000000001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100.05333333333334</v>
      </c>
      <c r="BN103" s="64">
        <f>IFERROR(Y103*I103/H103,"0")</f>
        <v>103.18</v>
      </c>
      <c r="BO103" s="64">
        <f>IFERROR(1/J103*(X103/H103),"0")</f>
        <v>0.1616161616161616</v>
      </c>
      <c r="BP103" s="64">
        <f>IFERROR(1/J103*(Y103/H103),"0")</f>
        <v>0.16666666666666669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51.518518518518519</v>
      </c>
      <c r="Y105" s="555">
        <f>IFERROR(Y100/H100,"0")+IFERROR(Y101/H101,"0")+IFERROR(Y102/H102,"0")+IFERROR(Y103/H103,"0")+IFERROR(Y104/H104,"0")</f>
        <v>53</v>
      </c>
      <c r="Z105" s="555">
        <f>IFERROR(IF(Z100="",0,Z100),"0")+IFERROR(IF(Z101="",0,Z101),"0")+IFERROR(IF(Z102="",0,Z102),"0")+IFERROR(IF(Z103="",0,Z103),"0")+IFERROR(IF(Z104="",0,Z104),"0")</f>
        <v>0.78682000000000007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422</v>
      </c>
      <c r="Y106" s="555">
        <f>IFERROR(SUM(Y100:Y104),"0")</f>
        <v>433.8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66</v>
      </c>
      <c r="Y108" s="554">
        <f>IFERROR(IF(X108="",0,CEILING((X108/$H108),1)*$H108),"")</f>
        <v>75.600000000000009</v>
      </c>
      <c r="Z108" s="36">
        <f>IFERROR(IF(Y108=0,"",ROUNDUP(Y108/H108,0)*0.01898),"")</f>
        <v>0.13286000000000001</v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68.505555555555546</v>
      </c>
      <c r="BN108" s="64">
        <f>IFERROR(Y108*I108/H108,"0")</f>
        <v>78.47</v>
      </c>
      <c r="BO108" s="64">
        <f>IFERROR(1/J108*(X108/H108),"0")</f>
        <v>9.5486111111111105E-2</v>
      </c>
      <c r="BP108" s="64">
        <f>IFERROR(1/J108*(Y108/H108),"0")</f>
        <v>0.109375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153</v>
      </c>
      <c r="Y111" s="554">
        <f>IFERROR(IF(X111="",0,CEILING((X111/$H111),1)*$H111),"")</f>
        <v>153.6</v>
      </c>
      <c r="Z111" s="36">
        <f>IFERROR(IF(Y111=0,"",ROUNDUP(Y111/H111,0)*0.00651),"")</f>
        <v>0.41664000000000001</v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164.47500000000002</v>
      </c>
      <c r="BN111" s="64">
        <f>IFERROR(Y111*I111/H111,"0")</f>
        <v>165.12</v>
      </c>
      <c r="BO111" s="64">
        <f>IFERROR(1/J111*(X111/H111),"0")</f>
        <v>0.35027472527472531</v>
      </c>
      <c r="BP111" s="64">
        <f>IFERROR(1/J111*(Y111/H111),"0")</f>
        <v>0.35164835164835168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69.861111111111114</v>
      </c>
      <c r="Y112" s="555">
        <f>IFERROR(Y108/H108,"0")+IFERROR(Y109/H109,"0")+IFERROR(Y110/H110,"0")+IFERROR(Y111/H111,"0")</f>
        <v>71</v>
      </c>
      <c r="Z112" s="555">
        <f>IFERROR(IF(Z108="",0,Z108),"0")+IFERROR(IF(Z109="",0,Z109),"0")+IFERROR(IF(Z110="",0,Z110),"0")+IFERROR(IF(Z111="",0,Z111),"0")</f>
        <v>0.54949999999999999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219</v>
      </c>
      <c r="Y113" s="555">
        <f>IFERROR(SUM(Y108:Y111),"0")</f>
        <v>229.2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80</v>
      </c>
      <c r="Y115" s="554">
        <f>IFERROR(IF(X115="",0,CEILING((X115/$H115),1)*$H115),"")</f>
        <v>81</v>
      </c>
      <c r="Z115" s="36">
        <f>IFERROR(IF(Y115=0,"",ROUNDUP(Y115/H115,0)*0.01898),"")</f>
        <v>0.1898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84.819753086419752</v>
      </c>
      <c r="BN115" s="64">
        <f>IFERROR(Y115*I115/H115,"0")</f>
        <v>85.88</v>
      </c>
      <c r="BO115" s="64">
        <f>IFERROR(1/J115*(X115/H115),"0")</f>
        <v>0.15432098765432101</v>
      </c>
      <c r="BP115" s="64">
        <f>IFERROR(1/J115*(Y115/H115),"0")</f>
        <v>0.15625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90</v>
      </c>
      <c r="Y117" s="554">
        <f>IFERROR(IF(X117="",0,CEILING((X117/$H117),1)*$H117),"")</f>
        <v>91.800000000000011</v>
      </c>
      <c r="Z117" s="36">
        <f>IFERROR(IF(Y117=0,"",ROUNDUP(Y117/H117,0)*0.00651),"")</f>
        <v>0.22134000000000001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98.399999999999991</v>
      </c>
      <c r="BN117" s="64">
        <f>IFERROR(Y117*I117/H117,"0")</f>
        <v>100.36799999999999</v>
      </c>
      <c r="BO117" s="64">
        <f>IFERROR(1/J117*(X117/H117),"0")</f>
        <v>0.18315018315018314</v>
      </c>
      <c r="BP117" s="64">
        <f>IFERROR(1/J117*(Y117/H117),"0")</f>
        <v>0.18681318681318682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43.209876543209873</v>
      </c>
      <c r="Y119" s="555">
        <f>IFERROR(Y115/H115,"0")+IFERROR(Y116/H116,"0")+IFERROR(Y117/H117,"0")+IFERROR(Y118/H118,"0")</f>
        <v>44</v>
      </c>
      <c r="Z119" s="555">
        <f>IFERROR(IF(Z115="",0,Z115),"0")+IFERROR(IF(Z116="",0,Z116),"0")+IFERROR(IF(Z117="",0,Z117),"0")+IFERROR(IF(Z118="",0,Z118),"0")</f>
        <v>0.41114000000000001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170</v>
      </c>
      <c r="Y120" s="555">
        <f>IFERROR(SUM(Y115:Y118),"0")</f>
        <v>172.8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180</v>
      </c>
      <c r="Y169" s="554">
        <f t="shared" si="10"/>
        <v>180.6</v>
      </c>
      <c r="Z169" s="36">
        <f>IFERROR(IF(Y169=0,"",ROUNDUP(Y169/H169,0)*0.00902),"")</f>
        <v>0.38785999999999998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190.71428571428569</v>
      </c>
      <c r="BN169" s="64">
        <f t="shared" si="12"/>
        <v>191.35</v>
      </c>
      <c r="BO169" s="64">
        <f t="shared" si="13"/>
        <v>0.32467532467532467</v>
      </c>
      <c r="BP169" s="64">
        <f t="shared" si="14"/>
        <v>0.32575757575757575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292</v>
      </c>
      <c r="Y171" s="554">
        <f t="shared" si="10"/>
        <v>294</v>
      </c>
      <c r="Z171" s="36">
        <f>IFERROR(IF(Y171=0,"",ROUNDUP(Y171/H171,0)*0.00902),"")</f>
        <v>0.63139999999999996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305.20952380952377</v>
      </c>
      <c r="BN171" s="64">
        <f t="shared" si="12"/>
        <v>307.29999999999995</v>
      </c>
      <c r="BO171" s="64">
        <f t="shared" si="13"/>
        <v>0.52669552669552666</v>
      </c>
      <c r="BP171" s="64">
        <f t="shared" si="14"/>
        <v>0.53030303030303028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134</v>
      </c>
      <c r="Y173" s="554">
        <f t="shared" si="10"/>
        <v>134.4</v>
      </c>
      <c r="Z173" s="36">
        <f>IFERROR(IF(Y173=0,"",ROUNDUP(Y173/H173,0)*0.00502),"")</f>
        <v>0.32128000000000001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142.29523809523809</v>
      </c>
      <c r="BN173" s="64">
        <f t="shared" si="12"/>
        <v>142.72</v>
      </c>
      <c r="BO173" s="64">
        <f t="shared" si="13"/>
        <v>0.27269027269027274</v>
      </c>
      <c r="BP173" s="64">
        <f t="shared" si="14"/>
        <v>0.27350427350427353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70</v>
      </c>
      <c r="Y176" s="554">
        <f t="shared" si="10"/>
        <v>70.2</v>
      </c>
      <c r="Z176" s="36">
        <f>IFERROR(IF(Y176=0,"",ROUNDUP(Y176/H176,0)*0.00502),"")</f>
        <v>0.19578000000000001</v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75.055555555555557</v>
      </c>
      <c r="BN176" s="64">
        <f t="shared" si="12"/>
        <v>75.27</v>
      </c>
      <c r="BO176" s="64">
        <f t="shared" si="13"/>
        <v>0.16619183285849953</v>
      </c>
      <c r="BP176" s="64">
        <f t="shared" si="14"/>
        <v>0.16666666666666669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279</v>
      </c>
      <c r="Y178" s="554">
        <f t="shared" si="10"/>
        <v>279.3</v>
      </c>
      <c r="Z178" s="36">
        <f>IFERROR(IF(Y178=0,"",ROUNDUP(Y178/H178,0)*0.00502),"")</f>
        <v>0.66766000000000003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292.28571428571428</v>
      </c>
      <c r="BN178" s="64">
        <f t="shared" si="12"/>
        <v>292.60000000000002</v>
      </c>
      <c r="BO178" s="64">
        <f t="shared" si="13"/>
        <v>0.56776556776556786</v>
      </c>
      <c r="BP178" s="64">
        <f t="shared" si="14"/>
        <v>0.56837606837606847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347.93650793650795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349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2.2039800000000001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955</v>
      </c>
      <c r="Y182" s="555">
        <f>IFERROR(SUM(Y167:Y180),"0")</f>
        <v>958.5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7</v>
      </c>
      <c r="Y185" s="554">
        <f>IFERROR(IF(X185="",0,CEILING((X185/$H185),1)*$H185),"")</f>
        <v>7.5600000000000005</v>
      </c>
      <c r="Z185" s="36">
        <f>IFERROR(IF(Y185=0,"",ROUNDUP(Y185/H185,0)*0.0059),"")</f>
        <v>3.5400000000000001E-2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8.0555555555555554</v>
      </c>
      <c r="BN185" s="64">
        <f>IFERROR(Y185*I185/H185,"0")</f>
        <v>8.6999999999999993</v>
      </c>
      <c r="BO185" s="64">
        <f>IFERROR(1/J185*(X185/H185),"0")</f>
        <v>2.5720164609053495E-2</v>
      </c>
      <c r="BP185" s="64">
        <f>IFERROR(1/J185*(Y185/H185),"0")</f>
        <v>2.7777777777777776E-2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13</v>
      </c>
      <c r="Y186" s="554">
        <f>IFERROR(IF(X186="",0,CEILING((X186/$H186),1)*$H186),"")</f>
        <v>13.86</v>
      </c>
      <c r="Z186" s="36">
        <f>IFERROR(IF(Y186=0,"",ROUNDUP(Y186/H186,0)*0.0059),"")</f>
        <v>6.4899999999999999E-2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14.960317460317459</v>
      </c>
      <c r="BN186" s="64">
        <f>IFERROR(Y186*I186/H186,"0")</f>
        <v>15.949999999999998</v>
      </c>
      <c r="BO186" s="64">
        <f>IFERROR(1/J186*(X186/H186),"0")</f>
        <v>4.776601998824221E-2</v>
      </c>
      <c r="BP186" s="64">
        <f>IFERROR(1/J186*(Y186/H186),"0")</f>
        <v>5.0925925925925923E-2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15.873015873015873</v>
      </c>
      <c r="Y187" s="555">
        <f>IFERROR(Y184/H184,"0")+IFERROR(Y185/H185,"0")+IFERROR(Y186/H186,"0")</f>
        <v>17</v>
      </c>
      <c r="Z187" s="555">
        <f>IFERROR(IF(Z184="",0,Z184),"0")+IFERROR(IF(Z185="",0,Z185),"0")+IFERROR(IF(Z186="",0,Z186),"0")</f>
        <v>0.1003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20</v>
      </c>
      <c r="Y188" s="555">
        <f>IFERROR(SUM(Y184:Y186),"0")</f>
        <v>21.42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9</v>
      </c>
      <c r="Y190" s="554">
        <f>IFERROR(IF(X190="",0,CEILING((X190/$H190),1)*$H190),"")</f>
        <v>10.08</v>
      </c>
      <c r="Z190" s="36">
        <f>IFERROR(IF(Y190=0,"",ROUNDUP(Y190/H190,0)*0.0059),"")</f>
        <v>4.7199999999999999E-2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10.357142857142856</v>
      </c>
      <c r="BN190" s="64">
        <f>IFERROR(Y190*I190/H190,"0")</f>
        <v>11.6</v>
      </c>
      <c r="BO190" s="64">
        <f>IFERROR(1/J190*(X190/H190),"0")</f>
        <v>3.3068783068783067E-2</v>
      </c>
      <c r="BP190" s="64">
        <f>IFERROR(1/J190*(Y190/H190),"0")</f>
        <v>3.7037037037037035E-2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7.1428571428571432</v>
      </c>
      <c r="Y191" s="555">
        <f>IFERROR(Y190/H190,"0")</f>
        <v>8</v>
      </c>
      <c r="Z191" s="555">
        <f>IFERROR(IF(Z190="",0,Z190),"0")</f>
        <v>4.7199999999999999E-2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9</v>
      </c>
      <c r="Y192" s="555">
        <f>IFERROR(SUM(Y190:Y190),"0")</f>
        <v>10.08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231</v>
      </c>
      <c r="Y205" s="554">
        <f t="shared" ref="Y205:Y212" si="15">IFERROR(IF(X205="",0,CEILING((X205/$H205),1)*$H205),"")</f>
        <v>232.20000000000002</v>
      </c>
      <c r="Z205" s="36">
        <f>IFERROR(IF(Y205=0,"",ROUNDUP(Y205/H205,0)*0.00902),"")</f>
        <v>0.38785999999999998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239.12777777777777</v>
      </c>
      <c r="BN205" s="64">
        <f t="shared" ref="BN205:BN212" si="17">IFERROR(Y205*I205/H205,"0")</f>
        <v>240.37</v>
      </c>
      <c r="BO205" s="64">
        <f t="shared" ref="BO205:BO212" si="18">IFERROR(1/J205*(X205/H205),"0")</f>
        <v>0.32407407407407401</v>
      </c>
      <c r="BP205" s="64">
        <f t="shared" ref="BP205:BP212" si="19">IFERROR(1/J205*(Y205/H205),"0")</f>
        <v>0.32575757575757575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337</v>
      </c>
      <c r="Y206" s="554">
        <f t="shared" si="15"/>
        <v>340.20000000000005</v>
      </c>
      <c r="Z206" s="36">
        <f>IFERROR(IF(Y206=0,"",ROUNDUP(Y206/H206,0)*0.00902),"")</f>
        <v>0.56825999999999999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348.85740740740738</v>
      </c>
      <c r="BN206" s="64">
        <f t="shared" si="17"/>
        <v>352.17</v>
      </c>
      <c r="BO206" s="64">
        <f t="shared" si="18"/>
        <v>0.4727833894500561</v>
      </c>
      <c r="BP206" s="64">
        <f t="shared" si="19"/>
        <v>0.47727272727272735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366</v>
      </c>
      <c r="Y208" s="554">
        <f t="shared" si="15"/>
        <v>367.20000000000005</v>
      </c>
      <c r="Z208" s="36">
        <f>IFERROR(IF(Y208=0,"",ROUNDUP(Y208/H208,0)*0.00902),"")</f>
        <v>0.61336000000000002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378.87777777777774</v>
      </c>
      <c r="BN208" s="64">
        <f t="shared" si="17"/>
        <v>380.12</v>
      </c>
      <c r="BO208" s="64">
        <f t="shared" si="18"/>
        <v>0.51346801346801341</v>
      </c>
      <c r="BP208" s="64">
        <f t="shared" si="19"/>
        <v>0.51515151515151514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57</v>
      </c>
      <c r="Y209" s="554">
        <f t="shared" si="15"/>
        <v>57.6</v>
      </c>
      <c r="Z209" s="36">
        <f>IFERROR(IF(Y209=0,"",ROUNDUP(Y209/H209,0)*0.00502),"")</f>
        <v>0.16064000000000001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61.11666666666666</v>
      </c>
      <c r="BN209" s="64">
        <f t="shared" si="17"/>
        <v>61.759999999999991</v>
      </c>
      <c r="BO209" s="64">
        <f t="shared" si="18"/>
        <v>0.13532763532763534</v>
      </c>
      <c r="BP209" s="64">
        <f t="shared" si="19"/>
        <v>0.13675213675213677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59</v>
      </c>
      <c r="Y210" s="554">
        <f t="shared" si="15"/>
        <v>59.4</v>
      </c>
      <c r="Z210" s="36">
        <f>IFERROR(IF(Y210=0,"",ROUNDUP(Y210/H210,0)*0.00502),"")</f>
        <v>0.16566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62.277777777777771</v>
      </c>
      <c r="BN210" s="64">
        <f t="shared" si="17"/>
        <v>62.699999999999989</v>
      </c>
      <c r="BO210" s="64">
        <f t="shared" si="18"/>
        <v>0.14007597340930675</v>
      </c>
      <c r="BP210" s="64">
        <f t="shared" si="19"/>
        <v>0.14102564102564105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72</v>
      </c>
      <c r="Y212" s="554">
        <f t="shared" si="15"/>
        <v>72</v>
      </c>
      <c r="Z212" s="36">
        <f>IFERROR(IF(Y212=0,"",ROUNDUP(Y212/H212,0)*0.00502),"")</f>
        <v>0.20080000000000001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75.999999999999986</v>
      </c>
      <c r="BN212" s="64">
        <f t="shared" si="17"/>
        <v>75.999999999999986</v>
      </c>
      <c r="BO212" s="64">
        <f t="shared" si="18"/>
        <v>0.17094017094017094</v>
      </c>
      <c r="BP212" s="64">
        <f t="shared" si="19"/>
        <v>0.17094017094017094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277.40740740740739</v>
      </c>
      <c r="Y213" s="555">
        <f>IFERROR(Y205/H205,"0")+IFERROR(Y206/H206,"0")+IFERROR(Y207/H207,"0")+IFERROR(Y208/H208,"0")+IFERROR(Y209/H209,"0")+IFERROR(Y210/H210,"0")+IFERROR(Y211/H211,"0")+IFERROR(Y212/H212,"0")</f>
        <v>279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2.0965799999999999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1122</v>
      </c>
      <c r="Y214" s="555">
        <f>IFERROR(SUM(Y205:Y212),"0")</f>
        <v>1128.6000000000001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28</v>
      </c>
      <c r="Y216" s="554">
        <f t="shared" ref="Y216:Y224" si="20">IFERROR(IF(X216="",0,CEILING((X216/$H216),1)*$H216),"")</f>
        <v>32.4</v>
      </c>
      <c r="Z216" s="36">
        <f>IFERROR(IF(Y216=0,"",ROUNDUP(Y216/H216,0)*0.01898),"")</f>
        <v>7.5920000000000001E-2</v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29.707654320987654</v>
      </c>
      <c r="BN216" s="64">
        <f t="shared" ref="BN216:BN224" si="22">IFERROR(Y216*I216/H216,"0")</f>
        <v>34.375999999999998</v>
      </c>
      <c r="BO216" s="64">
        <f t="shared" ref="BO216:BO224" si="23">IFERROR(1/J216*(X216/H216),"0")</f>
        <v>5.401234567901235E-2</v>
      </c>
      <c r="BP216" s="64">
        <f t="shared" ref="BP216:BP224" si="24">IFERROR(1/J216*(Y216/H216),"0")</f>
        <v>6.25E-2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141</v>
      </c>
      <c r="Y218" s="554">
        <f t="shared" si="20"/>
        <v>147.89999999999998</v>
      </c>
      <c r="Z218" s="36">
        <f>IFERROR(IF(Y218=0,"",ROUNDUP(Y218/H218,0)*0.01898),"")</f>
        <v>0.32266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149.00620689655173</v>
      </c>
      <c r="BN218" s="64">
        <f t="shared" si="22"/>
        <v>156.298</v>
      </c>
      <c r="BO218" s="64">
        <f t="shared" si="23"/>
        <v>0.25323275862068967</v>
      </c>
      <c r="BP218" s="64">
        <f t="shared" si="24"/>
        <v>0.265625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50</v>
      </c>
      <c r="Y219" s="554">
        <f t="shared" si="20"/>
        <v>50.4</v>
      </c>
      <c r="Z219" s="36">
        <f t="shared" ref="Z219:Z224" si="25">IFERROR(IF(Y219=0,"",ROUNDUP(Y219/H219,0)*0.00651),"")</f>
        <v>0.13671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55.625</v>
      </c>
      <c r="BN219" s="64">
        <f t="shared" si="22"/>
        <v>56.069999999999993</v>
      </c>
      <c r="BO219" s="64">
        <f t="shared" si="23"/>
        <v>0.11446886446886449</v>
      </c>
      <c r="BP219" s="64">
        <f t="shared" si="24"/>
        <v>0.11538461538461539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269</v>
      </c>
      <c r="Y221" s="554">
        <f t="shared" si="20"/>
        <v>271.2</v>
      </c>
      <c r="Z221" s="36">
        <f t="shared" si="25"/>
        <v>0.73563000000000001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297.245</v>
      </c>
      <c r="BN221" s="64">
        <f t="shared" si="22"/>
        <v>299.67599999999999</v>
      </c>
      <c r="BO221" s="64">
        <f t="shared" si="23"/>
        <v>0.61584249084249099</v>
      </c>
      <c r="BP221" s="64">
        <f t="shared" si="24"/>
        <v>0.62087912087912089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159</v>
      </c>
      <c r="Y222" s="554">
        <f t="shared" si="20"/>
        <v>160.79999999999998</v>
      </c>
      <c r="Z222" s="36">
        <f t="shared" si="25"/>
        <v>0.43617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175.69500000000002</v>
      </c>
      <c r="BN222" s="64">
        <f t="shared" si="22"/>
        <v>177.684</v>
      </c>
      <c r="BO222" s="64">
        <f t="shared" si="23"/>
        <v>0.36401098901098905</v>
      </c>
      <c r="BP222" s="64">
        <f t="shared" si="24"/>
        <v>0.36813186813186816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94</v>
      </c>
      <c r="Y223" s="554">
        <f t="shared" si="20"/>
        <v>96</v>
      </c>
      <c r="Z223" s="36">
        <f t="shared" si="25"/>
        <v>0.26040000000000002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103.87</v>
      </c>
      <c r="BN223" s="64">
        <f t="shared" si="22"/>
        <v>106.08000000000001</v>
      </c>
      <c r="BO223" s="64">
        <f t="shared" si="23"/>
        <v>0.21520146520146524</v>
      </c>
      <c r="BP223" s="64">
        <f t="shared" si="24"/>
        <v>0.2197802197802198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38</v>
      </c>
      <c r="Y224" s="554">
        <f t="shared" si="20"/>
        <v>38.4</v>
      </c>
      <c r="Z224" s="36">
        <f t="shared" si="25"/>
        <v>0.10416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42.085000000000001</v>
      </c>
      <c r="BN224" s="64">
        <f t="shared" si="22"/>
        <v>42.527999999999999</v>
      </c>
      <c r="BO224" s="64">
        <f t="shared" si="23"/>
        <v>8.6996336996337006E-2</v>
      </c>
      <c r="BP224" s="64">
        <f t="shared" si="24"/>
        <v>8.7912087912087919E-2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273.83035334184763</v>
      </c>
      <c r="Y225" s="555">
        <f>IFERROR(Y216/H216,"0")+IFERROR(Y217/H217,"0")+IFERROR(Y218/H218,"0")+IFERROR(Y219/H219,"0")+IFERROR(Y220/H220,"0")+IFERROR(Y221/H221,"0")+IFERROR(Y222/H222,"0")+IFERROR(Y223/H223,"0")+IFERROR(Y224/H224,"0")</f>
        <v>278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2.07165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779</v>
      </c>
      <c r="Y226" s="555">
        <f>IFERROR(SUM(Y216:Y224),"0")</f>
        <v>797.09999999999991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28</v>
      </c>
      <c r="Y228" s="554">
        <f>IFERROR(IF(X228="",0,CEILING((X228/$H228),1)*$H228),"")</f>
        <v>28.799999999999997</v>
      </c>
      <c r="Z228" s="36">
        <f>IFERROR(IF(Y228=0,"",ROUNDUP(Y228/H228,0)*0.00651),"")</f>
        <v>7.8119999999999995E-2</v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30.94</v>
      </c>
      <c r="BN228" s="64">
        <f>IFERROR(Y228*I228/H228,"0")</f>
        <v>31.824000000000002</v>
      </c>
      <c r="BO228" s="64">
        <f>IFERROR(1/J228*(X228/H228),"0")</f>
        <v>6.4102564102564111E-2</v>
      </c>
      <c r="BP228" s="64">
        <f>IFERROR(1/J228*(Y228/H228),"0")</f>
        <v>6.5934065934065936E-2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20</v>
      </c>
      <c r="Y229" s="554">
        <f>IFERROR(IF(X229="",0,CEILING((X229/$H229),1)*$H229),"")</f>
        <v>21.599999999999998</v>
      </c>
      <c r="Z229" s="36">
        <f>IFERROR(IF(Y229=0,"",ROUNDUP(Y229/H229,0)*0.00651),"")</f>
        <v>5.8590000000000003E-2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22.100000000000005</v>
      </c>
      <c r="BN229" s="64">
        <f>IFERROR(Y229*I229/H229,"0")</f>
        <v>23.868000000000002</v>
      </c>
      <c r="BO229" s="64">
        <f>IFERROR(1/J229*(X229/H229),"0")</f>
        <v>4.5787545787545791E-2</v>
      </c>
      <c r="BP229" s="64">
        <f>IFERROR(1/J229*(Y229/H229),"0")</f>
        <v>4.9450549450549455E-2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20</v>
      </c>
      <c r="Y230" s="555">
        <f>IFERROR(Y228/H228,"0")+IFERROR(Y229/H229,"0")</f>
        <v>21</v>
      </c>
      <c r="Z230" s="555">
        <f>IFERROR(IF(Z228="",0,Z228),"0")+IFERROR(IF(Z229="",0,Z229),"0")</f>
        <v>0.13671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48</v>
      </c>
      <c r="Y231" s="555">
        <f>IFERROR(SUM(Y228:Y229),"0")</f>
        <v>50.399999999999991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258</v>
      </c>
      <c r="Y234" s="554">
        <f t="shared" ref="Y234:Y242" si="26">IFERROR(IF(X234="",0,CEILING((X234/$H234),1)*$H234),"")</f>
        <v>266.8</v>
      </c>
      <c r="Z234" s="36">
        <f>IFERROR(IF(Y234=0,"",ROUNDUP(Y234/H234,0)*0.01898),"")</f>
        <v>0.43653999999999998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267.11896551724141</v>
      </c>
      <c r="BN234" s="64">
        <f t="shared" ref="BN234:BN242" si="28">IFERROR(Y234*I234/H234,"0")</f>
        <v>276.23</v>
      </c>
      <c r="BO234" s="64">
        <f t="shared" ref="BO234:BO242" si="29">IFERROR(1/J234*(X234/H234),"0")</f>
        <v>0.34752155172413796</v>
      </c>
      <c r="BP234" s="64">
        <f t="shared" ref="BP234:BP242" si="30">IFERROR(1/J234*(Y234/H234),"0")</f>
        <v>0.359375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8</v>
      </c>
      <c r="Y237" s="554">
        <f t="shared" si="26"/>
        <v>8</v>
      </c>
      <c r="Z237" s="36">
        <f>IFERROR(IF(Y237=0,"",ROUNDUP(Y237/H237,0)*0.00902),"")</f>
        <v>1.804E-2</v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8.3800000000000008</v>
      </c>
      <c r="BN237" s="64">
        <f t="shared" si="28"/>
        <v>8.3800000000000008</v>
      </c>
      <c r="BO237" s="64">
        <f t="shared" si="29"/>
        <v>1.5151515151515152E-2</v>
      </c>
      <c r="BP237" s="64">
        <f t="shared" si="30"/>
        <v>1.5151515151515152E-2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24.241379310344829</v>
      </c>
      <c r="Y243" s="555">
        <f>IFERROR(Y234/H234,"0")+IFERROR(Y235/H235,"0")+IFERROR(Y236/H236,"0")+IFERROR(Y237/H237,"0")+IFERROR(Y238/H238,"0")+IFERROR(Y239/H239,"0")+IFERROR(Y240/H240,"0")+IFERROR(Y241/H241,"0")+IFERROR(Y242/H242,"0")</f>
        <v>25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0.45457999999999998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266</v>
      </c>
      <c r="Y244" s="555">
        <f>IFERROR(SUM(Y234:Y242),"0")</f>
        <v>274.8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8</v>
      </c>
      <c r="Y250" s="554">
        <f>IFERROR(IF(X250="",0,CEILING((X250/$H250),1)*$H250),"")</f>
        <v>9</v>
      </c>
      <c r="Z250" s="36">
        <f>IFERROR(IF(Y250=0,"",ROUNDUP(Y250/H250,0)*0.0059),"")</f>
        <v>2.9499999999999998E-2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8.7777777777777786</v>
      </c>
      <c r="BN250" s="64">
        <f>IFERROR(Y250*I250/H250,"0")</f>
        <v>9.8750000000000018</v>
      </c>
      <c r="BO250" s="64">
        <f>IFERROR(1/J250*(X250/H250),"0")</f>
        <v>2.0576131687242798E-2</v>
      </c>
      <c r="BP250" s="64">
        <f>IFERROR(1/J250*(Y250/H250),"0")</f>
        <v>2.3148148148148147E-2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4.4444444444444446</v>
      </c>
      <c r="Y251" s="555">
        <f>IFERROR(Y250/H250,"0")</f>
        <v>5</v>
      </c>
      <c r="Z251" s="555">
        <f>IFERROR(IF(Z250="",0,Z250),"0")</f>
        <v>2.9499999999999998E-2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8</v>
      </c>
      <c r="Y252" s="555">
        <f>IFERROR(SUM(Y250:Y250),"0")</f>
        <v>9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5</v>
      </c>
      <c r="Y256" s="554">
        <f>IFERROR(IF(X256="",0,CEILING((X256/$H256),1)*$H256),"")</f>
        <v>5.4</v>
      </c>
      <c r="Z256" s="36">
        <f>IFERROR(IF(Y256=0,"",ROUNDUP(Y256/H256,0)*0.0059),"")</f>
        <v>3.5400000000000001E-2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6.0555555555555554</v>
      </c>
      <c r="BN256" s="64">
        <f>IFERROR(Y256*I256/H256,"0")</f>
        <v>6.5400000000000009</v>
      </c>
      <c r="BO256" s="64">
        <f>IFERROR(1/J256*(X256/H256),"0")</f>
        <v>2.5720164609053495E-2</v>
      </c>
      <c r="BP256" s="64">
        <f>IFERROR(1/J256*(Y256/H256),"0")</f>
        <v>2.7777777777777776E-2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8</v>
      </c>
      <c r="Y257" s="554">
        <f>IFERROR(IF(X257="",0,CEILING((X257/$H257),1)*$H257),"")</f>
        <v>8.91</v>
      </c>
      <c r="Z257" s="36">
        <f>IFERROR(IF(Y257=0,"",ROUNDUP(Y257/H257,0)*0.0059),"")</f>
        <v>5.3100000000000001E-2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9.5353535353535346</v>
      </c>
      <c r="BN257" s="64">
        <f>IFERROR(Y257*I257/H257,"0")</f>
        <v>10.62</v>
      </c>
      <c r="BO257" s="64">
        <f>IFERROR(1/J257*(X257/H257),"0")</f>
        <v>3.7411148522259637E-2</v>
      </c>
      <c r="BP257" s="64">
        <f>IFERROR(1/J257*(Y257/H257),"0")</f>
        <v>4.1666666666666664E-2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6</v>
      </c>
      <c r="Y258" s="554">
        <f>IFERROR(IF(X258="",0,CEILING((X258/$H258),1)*$H258),"")</f>
        <v>6.93</v>
      </c>
      <c r="Z258" s="36">
        <f>IFERROR(IF(Y258=0,"",ROUNDUP(Y258/H258,0)*0.0059),"")</f>
        <v>4.1299999999999996E-2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7.1515151515151514</v>
      </c>
      <c r="BN258" s="64">
        <f>IFERROR(Y258*I258/H258,"0")</f>
        <v>8.259999999999998</v>
      </c>
      <c r="BO258" s="64">
        <f>IFERROR(1/J258*(X258/H258),"0")</f>
        <v>2.8058361391694722E-2</v>
      </c>
      <c r="BP258" s="64">
        <f>IFERROR(1/J258*(Y258/H258),"0")</f>
        <v>3.2407407407407406E-2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19.696969696969695</v>
      </c>
      <c r="Y259" s="555">
        <f>IFERROR(Y254/H254,"0")+IFERROR(Y255/H255,"0")+IFERROR(Y256/H256,"0")+IFERROR(Y257/H257,"0")+IFERROR(Y258/H258,"0")</f>
        <v>22</v>
      </c>
      <c r="Z259" s="555">
        <f>IFERROR(IF(Z254="",0,Z254),"0")+IFERROR(IF(Z255="",0,Z255),"0")+IFERROR(IF(Z256="",0,Z256),"0")+IFERROR(IF(Z257="",0,Z257),"0")+IFERROR(IF(Z258="",0,Z258),"0")</f>
        <v>0.1298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19</v>
      </c>
      <c r="Y260" s="555">
        <f>IFERROR(SUM(Y254:Y258),"0")</f>
        <v>21.240000000000002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38</v>
      </c>
      <c r="Y281" s="554">
        <f>IFERROR(IF(X281="",0,CEILING((X281/$H281),1)*$H281),"")</f>
        <v>38.4</v>
      </c>
      <c r="Z281" s="36">
        <f>IFERROR(IF(Y281=0,"",ROUNDUP(Y281/H281,0)*0.00651),"")</f>
        <v>0.10416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41.990000000000009</v>
      </c>
      <c r="BN281" s="64">
        <f>IFERROR(Y281*I281/H281,"0")</f>
        <v>42.432000000000002</v>
      </c>
      <c r="BO281" s="64">
        <f>IFERROR(1/J281*(X281/H281),"0")</f>
        <v>8.6996336996337006E-2</v>
      </c>
      <c r="BP281" s="64">
        <f>IFERROR(1/J281*(Y281/H281),"0")</f>
        <v>8.7912087912087919E-2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51</v>
      </c>
      <c r="Y282" s="554">
        <f>IFERROR(IF(X282="",0,CEILING((X282/$H282),1)*$H282),"")</f>
        <v>52.8</v>
      </c>
      <c r="Z282" s="36">
        <f>IFERROR(IF(Y282=0,"",ROUNDUP(Y282/H282,0)*0.00651),"")</f>
        <v>0.14322000000000001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54.82500000000001</v>
      </c>
      <c r="BN282" s="64">
        <f>IFERROR(Y282*I282/H282,"0")</f>
        <v>56.76</v>
      </c>
      <c r="BO282" s="64">
        <f>IFERROR(1/J282*(X282/H282),"0")</f>
        <v>0.11675824175824177</v>
      </c>
      <c r="BP282" s="64">
        <f>IFERROR(1/J282*(Y282/H282),"0")</f>
        <v>0.12087912087912089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37.083333333333336</v>
      </c>
      <c r="Y283" s="555">
        <f>IFERROR(Y280/H280,"0")+IFERROR(Y281/H281,"0")+IFERROR(Y282/H282,"0")</f>
        <v>38</v>
      </c>
      <c r="Z283" s="555">
        <f>IFERROR(IF(Z280="",0,Z280),"0")+IFERROR(IF(Z281="",0,Z281),"0")+IFERROR(IF(Z282="",0,Z282),"0")</f>
        <v>0.24738000000000002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89</v>
      </c>
      <c r="Y284" s="555">
        <f>IFERROR(SUM(Y280:Y282),"0")</f>
        <v>91.199999999999989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32</v>
      </c>
      <c r="Y311" s="554">
        <f t="shared" si="31"/>
        <v>32.4</v>
      </c>
      <c r="Z311" s="36">
        <f>IFERROR(IF(Y311=0,"",ROUNDUP(Y311/H311,0)*0.00651),"")</f>
        <v>0.11718000000000001</v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36.053333333333335</v>
      </c>
      <c r="BN311" s="64">
        <f t="shared" si="33"/>
        <v>36.503999999999998</v>
      </c>
      <c r="BO311" s="64">
        <f t="shared" si="34"/>
        <v>9.7680097680097694E-2</v>
      </c>
      <c r="BP311" s="64">
        <f t="shared" si="35"/>
        <v>9.8901098901098911E-2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17.777777777777779</v>
      </c>
      <c r="Y312" s="555">
        <f>IFERROR(Y306/H306,"0")+IFERROR(Y307/H307,"0")+IFERROR(Y308/H308,"0")+IFERROR(Y309/H309,"0")+IFERROR(Y310/H310,"0")+IFERROR(Y311/H311,"0")</f>
        <v>18</v>
      </c>
      <c r="Z312" s="555">
        <f>IFERROR(IF(Z306="",0,Z306),"0")+IFERROR(IF(Z307="",0,Z307),"0")+IFERROR(IF(Z308="",0,Z308),"0")+IFERROR(IF(Z309="",0,Z309),"0")+IFERROR(IF(Z310="",0,Z310),"0")+IFERROR(IF(Z311="",0,Z311),"0")</f>
        <v>0.11718000000000001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32</v>
      </c>
      <c r="Y313" s="555">
        <f>IFERROR(SUM(Y306:Y311),"0")</f>
        <v>32.4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92</v>
      </c>
      <c r="Y322" s="554">
        <f>IFERROR(IF(X322="",0,CEILING((X322/$H322),1)*$H322),"")</f>
        <v>92.4</v>
      </c>
      <c r="Z322" s="36">
        <f>IFERROR(IF(Y322=0,"",ROUNDUP(Y322/H322,0)*0.01898),"")</f>
        <v>0.20877999999999999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97.410476190476189</v>
      </c>
      <c r="BN322" s="64">
        <f>IFERROR(Y322*I322/H322,"0")</f>
        <v>97.834000000000003</v>
      </c>
      <c r="BO322" s="64">
        <f>IFERROR(1/J322*(X322/H322),"0")</f>
        <v>0.17113095238095238</v>
      </c>
      <c r="BP322" s="64">
        <f>IFERROR(1/J322*(Y322/H322),"0")</f>
        <v>0.171875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193</v>
      </c>
      <c r="Y323" s="554">
        <f>IFERROR(IF(X323="",0,CEILING((X323/$H323),1)*$H323),"")</f>
        <v>195</v>
      </c>
      <c r="Z323" s="36">
        <f>IFERROR(IF(Y323=0,"",ROUNDUP(Y323/H323,0)*0.01898),"")</f>
        <v>0.47450000000000003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205.22333333333336</v>
      </c>
      <c r="BN323" s="64">
        <f>IFERROR(Y323*I323/H323,"0")</f>
        <v>207.35000000000002</v>
      </c>
      <c r="BO323" s="64">
        <f>IFERROR(1/J323*(X323/H323),"0")</f>
        <v>0.38661858974358976</v>
      </c>
      <c r="BP323" s="64">
        <f>IFERROR(1/J323*(Y323/H323),"0")</f>
        <v>0.390625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53</v>
      </c>
      <c r="Y324" s="554">
        <f>IFERROR(IF(X324="",0,CEILING((X324/$H324),1)*$H324),"")</f>
        <v>58.800000000000004</v>
      </c>
      <c r="Z324" s="36">
        <f>IFERROR(IF(Y324=0,"",ROUNDUP(Y324/H324,0)*0.01898),"")</f>
        <v>0.13286000000000001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56.116904761904763</v>
      </c>
      <c r="BN324" s="64">
        <f>IFERROR(Y324*I324/H324,"0")</f>
        <v>62.258000000000003</v>
      </c>
      <c r="BO324" s="64">
        <f>IFERROR(1/J324*(X324/H324),"0")</f>
        <v>9.8586309523809521E-2</v>
      </c>
      <c r="BP324" s="64">
        <f>IFERROR(1/J324*(Y324/H324),"0")</f>
        <v>0.109375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42.005494505494511</v>
      </c>
      <c r="Y325" s="555">
        <f>IFERROR(Y322/H322,"0")+IFERROR(Y323/H323,"0")+IFERROR(Y324/H324,"0")</f>
        <v>43</v>
      </c>
      <c r="Z325" s="555">
        <f>IFERROR(IF(Z322="",0,Z322),"0")+IFERROR(IF(Z323="",0,Z323),"0")+IFERROR(IF(Z324="",0,Z324),"0")</f>
        <v>0.81613999999999998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338</v>
      </c>
      <c r="Y326" s="555">
        <f>IFERROR(SUM(Y322:Y324),"0")</f>
        <v>346.2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11</v>
      </c>
      <c r="Y328" s="554">
        <f>IFERROR(IF(X328="",0,CEILING((X328/$H328),1)*$H328),"")</f>
        <v>12.16</v>
      </c>
      <c r="Z328" s="36">
        <f>IFERROR(IF(Y328=0,"",ROUNDUP(Y328/H328,0)*0.00902),"")</f>
        <v>3.6080000000000001E-2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11.976973684210527</v>
      </c>
      <c r="BN328" s="64">
        <f>IFERROR(Y328*I328/H328,"0")</f>
        <v>13.24</v>
      </c>
      <c r="BO328" s="64">
        <f>IFERROR(1/J328*(X328/H328),"0")</f>
        <v>2.7412280701754384E-2</v>
      </c>
      <c r="BP328" s="64">
        <f>IFERROR(1/J328*(Y328/H328),"0")</f>
        <v>3.0303030303030304E-2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8</v>
      </c>
      <c r="Y329" s="554">
        <f>IFERROR(IF(X329="",0,CEILING((X329/$H329),1)*$H329),"")</f>
        <v>9.120000000000001</v>
      </c>
      <c r="Z329" s="36">
        <f>IFERROR(IF(Y329=0,"",ROUNDUP(Y329/H329,0)*0.00902),"")</f>
        <v>2.7060000000000001E-2</v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8.6052631578947363</v>
      </c>
      <c r="BN329" s="64">
        <f>IFERROR(Y329*I329/H329,"0")</f>
        <v>9.81</v>
      </c>
      <c r="BO329" s="64">
        <f>IFERROR(1/J329*(X329/H329),"0")</f>
        <v>1.9936204146730464E-2</v>
      </c>
      <c r="BP329" s="64">
        <f>IFERROR(1/J329*(Y329/H329),"0")</f>
        <v>2.2727272727272731E-2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23</v>
      </c>
      <c r="Y330" s="554">
        <f>IFERROR(IF(X330="",0,CEILING((X330/$H330),1)*$H330),"")</f>
        <v>25.5</v>
      </c>
      <c r="Z330" s="36">
        <f>IFERROR(IF(Y330=0,"",ROUNDUP(Y330/H330,0)*0.00651),"")</f>
        <v>6.5100000000000005E-2</v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26.652941176470591</v>
      </c>
      <c r="BN330" s="64">
        <f>IFERROR(Y330*I330/H330,"0")</f>
        <v>29.550000000000004</v>
      </c>
      <c r="BO330" s="64">
        <f>IFERROR(1/J330*(X330/H330),"0")</f>
        <v>4.9558284852402504E-2</v>
      </c>
      <c r="BP330" s="64">
        <f>IFERROR(1/J330*(Y330/H330),"0")</f>
        <v>5.4945054945054951E-2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53</v>
      </c>
      <c r="Y331" s="554">
        <f>IFERROR(IF(X331="",0,CEILING((X331/$H331),1)*$H331),"")</f>
        <v>53.55</v>
      </c>
      <c r="Z331" s="36">
        <f>IFERROR(IF(Y331=0,"",ROUNDUP(Y331/H331,0)*0.00651),"")</f>
        <v>0.13671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59.858823529411765</v>
      </c>
      <c r="BN331" s="64">
        <f>IFERROR(Y331*I331/H331,"0")</f>
        <v>60.48</v>
      </c>
      <c r="BO331" s="64">
        <f>IFERROR(1/J331*(X331/H331),"0")</f>
        <v>0.11419952596423186</v>
      </c>
      <c r="BP331" s="64">
        <f>IFERROR(1/J331*(Y331/H331),"0")</f>
        <v>0.11538461538461539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36.053921568627452</v>
      </c>
      <c r="Y332" s="555">
        <f>IFERROR(Y328/H328,"0")+IFERROR(Y329/H329,"0")+IFERROR(Y330/H330,"0")+IFERROR(Y331/H331,"0")</f>
        <v>38</v>
      </c>
      <c r="Z332" s="555">
        <f>IFERROR(IF(Z328="",0,Z328),"0")+IFERROR(IF(Z329="",0,Z329),"0")+IFERROR(IF(Z330="",0,Z330),"0")+IFERROR(IF(Z331="",0,Z331),"0")</f>
        <v>0.26495000000000002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95</v>
      </c>
      <c r="Y333" s="555">
        <f>IFERROR(SUM(Y328:Y331),"0")</f>
        <v>100.33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1</v>
      </c>
      <c r="Y335" s="554">
        <f>IFERROR(IF(X335="",0,CEILING((X335/$H335),1)*$H335),"")</f>
        <v>2</v>
      </c>
      <c r="Z335" s="36">
        <f>IFERROR(IF(Y335=0,"",ROUNDUP(Y335/H335,0)*0.00474),"")</f>
        <v>4.7400000000000003E-3</v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1.1200000000000001</v>
      </c>
      <c r="BN335" s="64">
        <f>IFERROR(Y335*I335/H335,"0")</f>
        <v>2.2400000000000002</v>
      </c>
      <c r="BO335" s="64">
        <f>IFERROR(1/J335*(X335/H335),"0")</f>
        <v>2.1008403361344537E-3</v>
      </c>
      <c r="BP335" s="64">
        <f>IFERROR(1/J335*(Y335/H335),"0")</f>
        <v>4.2016806722689074E-3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5</v>
      </c>
      <c r="Y336" s="554">
        <f>IFERROR(IF(X336="",0,CEILING((X336/$H336),1)*$H336),"")</f>
        <v>6</v>
      </c>
      <c r="Z336" s="36">
        <f>IFERROR(IF(Y336=0,"",ROUNDUP(Y336/H336,0)*0.00474),"")</f>
        <v>1.422E-2</v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5.6000000000000005</v>
      </c>
      <c r="BN336" s="64">
        <f>IFERROR(Y336*I336/H336,"0")</f>
        <v>6.7200000000000006</v>
      </c>
      <c r="BO336" s="64">
        <f>IFERROR(1/J336*(X336/H336),"0")</f>
        <v>1.0504201680672268E-2</v>
      </c>
      <c r="BP336" s="64">
        <f>IFERROR(1/J336*(Y336/H336),"0")</f>
        <v>1.2605042016806723E-2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13</v>
      </c>
      <c r="Y337" s="554">
        <f>IFERROR(IF(X337="",0,CEILING((X337/$H337),1)*$H337),"")</f>
        <v>14</v>
      </c>
      <c r="Z337" s="36">
        <f>IFERROR(IF(Y337=0,"",ROUNDUP(Y337/H337,0)*0.00474),"")</f>
        <v>3.3180000000000001E-2</v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14.560000000000002</v>
      </c>
      <c r="BN337" s="64">
        <f>IFERROR(Y337*I337/H337,"0")</f>
        <v>15.680000000000001</v>
      </c>
      <c r="BO337" s="64">
        <f>IFERROR(1/J337*(X337/H337),"0")</f>
        <v>2.7310924369747899E-2</v>
      </c>
      <c r="BP337" s="64">
        <f>IFERROR(1/J337*(Y337/H337),"0")</f>
        <v>2.9411764705882353E-2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9.5</v>
      </c>
      <c r="Y338" s="555">
        <f>IFERROR(Y335/H335,"0")+IFERROR(Y336/H336,"0")+IFERROR(Y337/H337,"0")</f>
        <v>11</v>
      </c>
      <c r="Z338" s="555">
        <f>IFERROR(IF(Z335="",0,Z335),"0")+IFERROR(IF(Z336="",0,Z336),"0")+IFERROR(IF(Z337="",0,Z337),"0")</f>
        <v>5.2140000000000006E-2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19</v>
      </c>
      <c r="Y339" s="555">
        <f>IFERROR(SUM(Y335:Y337),"0")</f>
        <v>22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16</v>
      </c>
      <c r="Y342" s="554">
        <f>IFERROR(IF(X342="",0,CEILING((X342/$H342),1)*$H342),"")</f>
        <v>16.2</v>
      </c>
      <c r="Z342" s="36">
        <f>IFERROR(IF(Y342=0,"",ROUNDUP(Y342/H342,0)*0.01898),"")</f>
        <v>3.7960000000000001E-2</v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16.975802469135804</v>
      </c>
      <c r="BN342" s="64">
        <f>IFERROR(Y342*I342/H342,"0")</f>
        <v>17.187999999999999</v>
      </c>
      <c r="BO342" s="64">
        <f>IFERROR(1/J342*(X342/H342),"0")</f>
        <v>3.0864197530864199E-2</v>
      </c>
      <c r="BP342" s="64">
        <f>IFERROR(1/J342*(Y342/H342),"0")</f>
        <v>3.125E-2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1.9753086419753088</v>
      </c>
      <c r="Y345" s="555">
        <f>IFERROR(Y342/H342,"0")+IFERROR(Y343/H343,"0")+IFERROR(Y344/H344,"0")</f>
        <v>2</v>
      </c>
      <c r="Z345" s="555">
        <f>IFERROR(IF(Z342="",0,Z342),"0")+IFERROR(IF(Z343="",0,Z343),"0")+IFERROR(IF(Z344="",0,Z344),"0")</f>
        <v>3.7960000000000001E-2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16</v>
      </c>
      <c r="Y346" s="555">
        <f>IFERROR(SUM(Y342:Y344),"0")</f>
        <v>16.2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495</v>
      </c>
      <c r="Y350" s="554">
        <f t="shared" ref="Y350:Y356" si="36">IFERROR(IF(X350="",0,CEILING((X350/$H350),1)*$H350),"")</f>
        <v>495</v>
      </c>
      <c r="Z350" s="36">
        <f>IFERROR(IF(Y350=0,"",ROUNDUP(Y350/H350,0)*0.02175),"")</f>
        <v>0.71775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510.51000000000005</v>
      </c>
      <c r="BN350" s="64">
        <f t="shared" ref="BN350:BN356" si="38">IFERROR(Y350*I350/H350,"0")</f>
        <v>510.51000000000005</v>
      </c>
      <c r="BO350" s="64">
        <f t="shared" ref="BO350:BO356" si="39">IFERROR(1/J350*(X350/H350),"0")</f>
        <v>0.6875</v>
      </c>
      <c r="BP350" s="64">
        <f t="shared" ref="BP350:BP356" si="40">IFERROR(1/J350*(Y350/H350),"0")</f>
        <v>0.6875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243</v>
      </c>
      <c r="Y351" s="554">
        <f t="shared" si="36"/>
        <v>255</v>
      </c>
      <c r="Z351" s="36">
        <f>IFERROR(IF(Y351=0,"",ROUNDUP(Y351/H351,0)*0.02175),"")</f>
        <v>0.36974999999999997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250.614</v>
      </c>
      <c r="BN351" s="64">
        <f t="shared" si="38"/>
        <v>262.99</v>
      </c>
      <c r="BO351" s="64">
        <f t="shared" si="39"/>
        <v>0.33749999999999997</v>
      </c>
      <c r="BP351" s="64">
        <f t="shared" si="40"/>
        <v>0.35416666666666663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506</v>
      </c>
      <c r="Y352" s="554">
        <f t="shared" si="36"/>
        <v>510</v>
      </c>
      <c r="Z352" s="36">
        <f>IFERROR(IF(Y352=0,"",ROUNDUP(Y352/H352,0)*0.02175),"")</f>
        <v>0.73949999999999994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521.85466666666673</v>
      </c>
      <c r="BN352" s="64">
        <f t="shared" si="38"/>
        <v>525.98</v>
      </c>
      <c r="BO352" s="64">
        <f t="shared" si="39"/>
        <v>0.70277777777777772</v>
      </c>
      <c r="BP352" s="64">
        <f t="shared" si="40"/>
        <v>0.70833333333333326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498</v>
      </c>
      <c r="Y353" s="554">
        <f t="shared" si="36"/>
        <v>510</v>
      </c>
      <c r="Z353" s="36">
        <f>IFERROR(IF(Y353=0,"",ROUNDUP(Y353/H353,0)*0.02175),"")</f>
        <v>0.73949999999999994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513.60400000000004</v>
      </c>
      <c r="BN353" s="64">
        <f t="shared" si="38"/>
        <v>525.98</v>
      </c>
      <c r="BO353" s="64">
        <f t="shared" si="39"/>
        <v>0.69166666666666665</v>
      </c>
      <c r="BP353" s="64">
        <f t="shared" si="40"/>
        <v>0.70833333333333326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116.13333333333334</v>
      </c>
      <c r="Y357" s="555">
        <f>IFERROR(Y350/H350,"0")+IFERROR(Y351/H351,"0")+IFERROR(Y352/H352,"0")+IFERROR(Y353/H353,"0")+IFERROR(Y354/H354,"0")+IFERROR(Y355/H355,"0")+IFERROR(Y356/H356,"0")</f>
        <v>118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2.5665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1742</v>
      </c>
      <c r="Y358" s="555">
        <f>IFERROR(SUM(Y350:Y356),"0")</f>
        <v>1770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551</v>
      </c>
      <c r="Y360" s="554">
        <f>IFERROR(IF(X360="",0,CEILING((X360/$H360),1)*$H360),"")</f>
        <v>555</v>
      </c>
      <c r="Z360" s="36">
        <f>IFERROR(IF(Y360=0,"",ROUNDUP(Y360/H360,0)*0.02175),"")</f>
        <v>0.80474999999999997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568.2646666666667</v>
      </c>
      <c r="BN360" s="64">
        <f>IFERROR(Y360*I360/H360,"0")</f>
        <v>572.39</v>
      </c>
      <c r="BO360" s="64">
        <f>IFERROR(1/J360*(X360/H360),"0")</f>
        <v>0.76527777777777772</v>
      </c>
      <c r="BP360" s="64">
        <f>IFERROR(1/J360*(Y360/H360),"0")</f>
        <v>0.77083333333333326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36.733333333333334</v>
      </c>
      <c r="Y362" s="555">
        <f>IFERROR(Y360/H360,"0")+IFERROR(Y361/H361,"0")</f>
        <v>37</v>
      </c>
      <c r="Z362" s="555">
        <f>IFERROR(IF(Z360="",0,Z360),"0")+IFERROR(IF(Z361="",0,Z361),"0")</f>
        <v>0.80474999999999997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551</v>
      </c>
      <c r="Y363" s="555">
        <f>IFERROR(SUM(Y360:Y361),"0")</f>
        <v>555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95</v>
      </c>
      <c r="Y370" s="554">
        <f>IFERROR(IF(X370="",0,CEILING((X370/$H370),1)*$H370),"")</f>
        <v>99</v>
      </c>
      <c r="Z370" s="36">
        <f>IFERROR(IF(Y370=0,"",ROUNDUP(Y370/H370,0)*0.01898),"")</f>
        <v>0.20877999999999999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100.21444444444444</v>
      </c>
      <c r="BN370" s="64">
        <f>IFERROR(Y370*I370/H370,"0")</f>
        <v>104.434</v>
      </c>
      <c r="BO370" s="64">
        <f>IFERROR(1/J370*(X370/H370),"0")</f>
        <v>0.16493055555555555</v>
      </c>
      <c r="BP370" s="64">
        <f>IFERROR(1/J370*(Y370/H370),"0")</f>
        <v>0.171875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10.555555555555555</v>
      </c>
      <c r="Y371" s="555">
        <f>IFERROR(Y370/H370,"0")</f>
        <v>11</v>
      </c>
      <c r="Z371" s="555">
        <f>IFERROR(IF(Z370="",0,Z370),"0")</f>
        <v>0.20877999999999999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95</v>
      </c>
      <c r="Y372" s="555">
        <f>IFERROR(SUM(Y370:Y370),"0")</f>
        <v>99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14</v>
      </c>
      <c r="Y375" s="554">
        <f>IFERROR(IF(X375="",0,CEILING((X375/$H375),1)*$H375),"")</f>
        <v>24</v>
      </c>
      <c r="Z375" s="36">
        <f>IFERROR(IF(Y375=0,"",ROUNDUP(Y375/H375,0)*0.01898),"")</f>
        <v>3.7960000000000001E-2</v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14.478333333333333</v>
      </c>
      <c r="BN375" s="64">
        <f>IFERROR(Y375*I375/H375,"0")</f>
        <v>24.820000000000004</v>
      </c>
      <c r="BO375" s="64">
        <f>IFERROR(1/J375*(X375/H375),"0")</f>
        <v>1.8229166666666668E-2</v>
      </c>
      <c r="BP375" s="64">
        <f>IFERROR(1/J375*(Y375/H375),"0")</f>
        <v>3.125E-2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1.1666666666666667</v>
      </c>
      <c r="Y377" s="555">
        <f>IFERROR(Y375/H375,"0")+IFERROR(Y376/H376,"0")</f>
        <v>2</v>
      </c>
      <c r="Z377" s="555">
        <f>IFERROR(IF(Z375="",0,Z375),"0")+IFERROR(IF(Z376="",0,Z376),"0")</f>
        <v>3.7960000000000001E-2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14</v>
      </c>
      <c r="Y378" s="555">
        <f>IFERROR(SUM(Y375:Y376),"0")</f>
        <v>24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459</v>
      </c>
      <c r="Y385" s="554">
        <f>IFERROR(IF(X385="",0,CEILING((X385/$H385),1)*$H385),"")</f>
        <v>459</v>
      </c>
      <c r="Z385" s="36">
        <f>IFERROR(IF(Y385=0,"",ROUNDUP(Y385/H385,0)*0.01898),"")</f>
        <v>0.96798000000000006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484.19400000000002</v>
      </c>
      <c r="BN385" s="64">
        <f>IFERROR(Y385*I385/H385,"0")</f>
        <v>484.19400000000002</v>
      </c>
      <c r="BO385" s="64">
        <f>IFERROR(1/J385*(X385/H385),"0")</f>
        <v>0.796875</v>
      </c>
      <c r="BP385" s="64">
        <f>IFERROR(1/J385*(Y385/H385),"0")</f>
        <v>0.796875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51</v>
      </c>
      <c r="Y388" s="555">
        <f>IFERROR(Y385/H385,"0")+IFERROR(Y386/H386,"0")+IFERROR(Y387/H387,"0")</f>
        <v>51</v>
      </c>
      <c r="Z388" s="555">
        <f>IFERROR(IF(Z385="",0,Z385),"0")+IFERROR(IF(Z386="",0,Z386),"0")+IFERROR(IF(Z387="",0,Z387),"0")</f>
        <v>0.96798000000000006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459</v>
      </c>
      <c r="Y389" s="555">
        <f>IFERROR(SUM(Y385:Y387),"0")</f>
        <v>459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137</v>
      </c>
      <c r="Y429" s="554">
        <f t="shared" ref="Y429:Y440" si="47">IFERROR(IF(X429="",0,CEILING((X429/$H429),1)*$H429),"")</f>
        <v>137.28</v>
      </c>
      <c r="Z429" s="36">
        <f t="shared" ref="Z429:Z435" si="48">IFERROR(IF(Y429=0,"",ROUNDUP(Y429/H429,0)*0.01196),"")</f>
        <v>0.31096000000000001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146.08143939393938</v>
      </c>
      <c r="BN429" s="64">
        <f t="shared" ref="BN429:BN440" si="50">IFERROR(Y429*I429/H429,"0")</f>
        <v>146.38</v>
      </c>
      <c r="BO429" s="64">
        <f t="shared" ref="BO429:BO440" si="51">IFERROR(1/J429*(X429/H429),"0")</f>
        <v>0.24949009324009325</v>
      </c>
      <c r="BP429" s="64">
        <f t="shared" ref="BP429:BP440" si="52">IFERROR(1/J429*(Y429/H429),"0")</f>
        <v>0.25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42</v>
      </c>
      <c r="Y432" s="554">
        <f t="shared" si="47"/>
        <v>42.24</v>
      </c>
      <c r="Z432" s="36">
        <f t="shared" si="48"/>
        <v>9.5680000000000001E-2</v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44.784090909090907</v>
      </c>
      <c r="BN432" s="64">
        <f t="shared" si="50"/>
        <v>45.04</v>
      </c>
      <c r="BO432" s="64">
        <f t="shared" si="51"/>
        <v>7.6486013986013984E-2</v>
      </c>
      <c r="BP432" s="64">
        <f t="shared" si="52"/>
        <v>7.6923076923076927E-2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239</v>
      </c>
      <c r="Y433" s="554">
        <f t="shared" si="47"/>
        <v>242.88000000000002</v>
      </c>
      <c r="Z433" s="36">
        <f t="shared" si="48"/>
        <v>0.55015999999999998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254.842803030303</v>
      </c>
      <c r="BN433" s="64">
        <f t="shared" si="50"/>
        <v>258.98</v>
      </c>
      <c r="BO433" s="64">
        <f t="shared" si="51"/>
        <v>0.43524184149184153</v>
      </c>
      <c r="BP433" s="64">
        <f t="shared" si="52"/>
        <v>0.44230769230769235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269</v>
      </c>
      <c r="Y435" s="554">
        <f t="shared" si="47"/>
        <v>269.28000000000003</v>
      </c>
      <c r="Z435" s="36">
        <f t="shared" si="48"/>
        <v>0.60996000000000006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286.83143939393938</v>
      </c>
      <c r="BN435" s="64">
        <f t="shared" si="50"/>
        <v>287.13</v>
      </c>
      <c r="BO435" s="64">
        <f t="shared" si="51"/>
        <v>0.48987470862470861</v>
      </c>
      <c r="BP435" s="64">
        <f t="shared" si="52"/>
        <v>0.49038461538461542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60</v>
      </c>
      <c r="Y437" s="554">
        <f t="shared" si="47"/>
        <v>62.4</v>
      </c>
      <c r="Z437" s="36">
        <f>IFERROR(IF(Y437=0,"",ROUNDUP(Y437/H437,0)*0.00902),"")</f>
        <v>0.11726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86.375000000000014</v>
      </c>
      <c r="BN437" s="64">
        <f t="shared" si="50"/>
        <v>89.830000000000013</v>
      </c>
      <c r="BO437" s="64">
        <f t="shared" si="51"/>
        <v>9.4696969696969696E-2</v>
      </c>
      <c r="BP437" s="64">
        <f t="shared" si="52"/>
        <v>9.8484848484848481E-2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7</v>
      </c>
      <c r="Y440" s="554">
        <f t="shared" si="47"/>
        <v>9.6</v>
      </c>
      <c r="Z440" s="36">
        <f>IFERROR(IF(Y440=0,"",ROUNDUP(Y440/H440,0)*0.00902),"")</f>
        <v>1.804E-2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10.077083333333334</v>
      </c>
      <c r="BN440" s="64">
        <f t="shared" si="50"/>
        <v>13.82</v>
      </c>
      <c r="BO440" s="64">
        <f t="shared" si="51"/>
        <v>1.10479797979798E-2</v>
      </c>
      <c r="BP440" s="64">
        <f t="shared" si="52"/>
        <v>1.5151515151515152E-2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144.07196969696969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146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1.7020599999999999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754</v>
      </c>
      <c r="Y442" s="555">
        <f>IFERROR(SUM(Y429:Y440),"0")</f>
        <v>763.68000000000006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278</v>
      </c>
      <c r="Y444" s="554">
        <f>IFERROR(IF(X444="",0,CEILING((X444/$H444),1)*$H444),"")</f>
        <v>279.84000000000003</v>
      </c>
      <c r="Z444" s="36">
        <f>IFERROR(IF(Y444=0,"",ROUNDUP(Y444/H444,0)*0.01196),"")</f>
        <v>0.63388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296.42803030303025</v>
      </c>
      <c r="BN444" s="64">
        <f>IFERROR(Y444*I444/H444,"0")</f>
        <v>298.39000000000004</v>
      </c>
      <c r="BO444" s="64">
        <f>IFERROR(1/J444*(X444/H444),"0")</f>
        <v>0.50626456876456871</v>
      </c>
      <c r="BP444" s="64">
        <f>IFERROR(1/J444*(Y444/H444),"0")</f>
        <v>0.50961538461538469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54</v>
      </c>
      <c r="Y446" s="554">
        <f>IFERROR(IF(X446="",0,CEILING((X446/$H446),1)*$H446),"")</f>
        <v>57.599999999999994</v>
      </c>
      <c r="Z446" s="36">
        <f>IFERROR(IF(Y446=0,"",ROUNDUP(Y446/H446,0)*0.00902),"")</f>
        <v>0.10824</v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77.737499999999997</v>
      </c>
      <c r="BN446" s="64">
        <f>IFERROR(Y446*I446/H446,"0")</f>
        <v>82.92</v>
      </c>
      <c r="BO446" s="64">
        <f>IFERROR(1/J446*(X446/H446),"0")</f>
        <v>8.5227272727272735E-2</v>
      </c>
      <c r="BP446" s="64">
        <f>IFERROR(1/J446*(Y446/H446),"0")</f>
        <v>9.0909090909090912E-2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63.901515151515149</v>
      </c>
      <c r="Y447" s="555">
        <f>IFERROR(Y444/H444,"0")+IFERROR(Y445/H445,"0")+IFERROR(Y446/H446,"0")</f>
        <v>65</v>
      </c>
      <c r="Z447" s="555">
        <f>IFERROR(IF(Z444="",0,Z444),"0")+IFERROR(IF(Z445="",0,Z445),"0")+IFERROR(IF(Z446="",0,Z446),"0")</f>
        <v>0.74212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332</v>
      </c>
      <c r="Y448" s="555">
        <f>IFERROR(SUM(Y444:Y446),"0")</f>
        <v>337.44000000000005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116</v>
      </c>
      <c r="Y450" s="554">
        <f t="shared" ref="Y450:Y455" si="53">IFERROR(IF(X450="",0,CEILING((X450/$H450),1)*$H450),"")</f>
        <v>116.16000000000001</v>
      </c>
      <c r="Z450" s="36">
        <f>IFERROR(IF(Y450=0,"",ROUNDUP(Y450/H450,0)*0.01196),"")</f>
        <v>0.26312000000000002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123.68939393939394</v>
      </c>
      <c r="BN450" s="64">
        <f t="shared" ref="BN450:BN455" si="55">IFERROR(Y450*I450/H450,"0")</f>
        <v>123.86</v>
      </c>
      <c r="BO450" s="64">
        <f t="shared" ref="BO450:BO455" si="56">IFERROR(1/J450*(X450/H450),"0")</f>
        <v>0.21124708624708624</v>
      </c>
      <c r="BP450" s="64">
        <f t="shared" ref="BP450:BP455" si="57">IFERROR(1/J450*(Y450/H450),"0")</f>
        <v>0.21153846153846156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143</v>
      </c>
      <c r="Y451" s="554">
        <f t="shared" si="53"/>
        <v>147.84</v>
      </c>
      <c r="Z451" s="36">
        <f>IFERROR(IF(Y451=0,"",ROUNDUP(Y451/H451,0)*0.01196),"")</f>
        <v>0.33488000000000001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152.47916666666666</v>
      </c>
      <c r="BN451" s="64">
        <f t="shared" si="55"/>
        <v>157.63999999999999</v>
      </c>
      <c r="BO451" s="64">
        <f t="shared" si="56"/>
        <v>0.26041666666666669</v>
      </c>
      <c r="BP451" s="64">
        <f t="shared" si="57"/>
        <v>0.26923076923076927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195</v>
      </c>
      <c r="Y452" s="554">
        <f t="shared" si="53"/>
        <v>195.36</v>
      </c>
      <c r="Z452" s="36">
        <f>IFERROR(IF(Y452=0,"",ROUNDUP(Y452/H452,0)*0.01196),"")</f>
        <v>0.44252000000000002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207.92613636363635</v>
      </c>
      <c r="BN452" s="64">
        <f t="shared" si="55"/>
        <v>208.31</v>
      </c>
      <c r="BO452" s="64">
        <f t="shared" si="56"/>
        <v>0.35511363636363635</v>
      </c>
      <c r="BP452" s="64">
        <f t="shared" si="57"/>
        <v>0.35576923076923078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85.98484848484847</v>
      </c>
      <c r="Y456" s="555">
        <f>IFERROR(Y450/H450,"0")+IFERROR(Y451/H451,"0")+IFERROR(Y452/H452,"0")+IFERROR(Y453/H453,"0")+IFERROR(Y454/H454,"0")+IFERROR(Y455/H455,"0")</f>
        <v>87</v>
      </c>
      <c r="Z456" s="555">
        <f>IFERROR(IF(Z450="",0,Z450),"0")+IFERROR(IF(Z451="",0,Z451),"0")+IFERROR(IF(Z452="",0,Z452),"0")+IFERROR(IF(Z453="",0,Z453),"0")+IFERROR(IF(Z454="",0,Z454),"0")+IFERROR(IF(Z455="",0,Z455),"0")</f>
        <v>1.0405200000000001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454</v>
      </c>
      <c r="Y457" s="555">
        <f>IFERROR(SUM(Y450:Y455),"0")</f>
        <v>459.36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10902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11112.15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11519.944632735069</v>
      </c>
      <c r="Y496" s="555">
        <f>IFERROR(SUM(BN22:BN492),"0")</f>
        <v>11744.670999999995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19</v>
      </c>
      <c r="Y497" s="38">
        <f>ROUNDUP(SUM(BP22:BP492),0)</f>
        <v>19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11994.944632735069</v>
      </c>
      <c r="Y498" s="555">
        <f>GrossWeightTotalR+PalletQtyTotalR*25</f>
        <v>12219.670999999995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2086.3794147745807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2123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22.380180000000003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569.80000000000007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614.4</v>
      </c>
      <c r="E505" s="46">
        <f>IFERROR(Y85*1,"0")+IFERROR(Y86*1,"0")+IFERROR(Y87*1,"0")+IFERROR(Y88*1,"0")+IFERROR(Y92*1,"0")+IFERROR(Y93*1,"0")+IFERROR(Y94*1,"0")+IFERROR(Y95*1,"0")</f>
        <v>745.2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835.8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990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1976.1000000000001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305.04000000000002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91.199999999999989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500.93000000000006</v>
      </c>
      <c r="R505" s="46">
        <f>IFERROR(Y342*1,"0")+IFERROR(Y343*1,"0")+IFERROR(Y344*1,"0")</f>
        <v>16.2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2424</v>
      </c>
      <c r="T505" s="46">
        <f>IFERROR(Y375*1,"0")+IFERROR(Y376*1,"0")+IFERROR(Y380*1,"0")+IFERROR(Y381*1,"0")+IFERROR(Y385*1,"0")+IFERROR(Y386*1,"0")+IFERROR(Y387*1,"0")</f>
        <v>483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1560.48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2025-12-26T09:03:39Z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