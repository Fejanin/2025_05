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1B2898D9-B9D0-4061-9BD0-4F42DD45BE3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J9" i="1"/>
  <c r="F10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Y497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41" i="1"/>
  <c r="Z469" i="1"/>
  <c r="Z325" i="1"/>
  <c r="Z154" i="1"/>
  <c r="Z44" i="1"/>
  <c r="Z32" i="1"/>
  <c r="Z500" i="1" s="1"/>
  <c r="Y499" i="1"/>
  <c r="X498" i="1"/>
  <c r="Y495" i="1"/>
  <c r="Z402" i="1"/>
  <c r="Z213" i="1"/>
  <c r="Z312" i="1"/>
  <c r="Z303" i="1"/>
  <c r="Z283" i="1"/>
  <c r="Z225" i="1"/>
  <c r="Z181" i="1"/>
  <c r="Z112" i="1"/>
  <c r="Z105" i="1"/>
</calcChain>
</file>

<file path=xl/sharedStrings.xml><?xml version="1.0" encoding="utf-8"?>
<sst xmlns="http://schemas.openxmlformats.org/spreadsheetml/2006/main" count="2244" uniqueCount="781">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</sst>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3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126</v>
      </c>
      <c r="Y41" s="554">
        <f>IFERROR(IF(X41="",0,CEILING((X41/$H41),1)*$H41),"")</f>
        <v>129.60000000000002</v>
      </c>
      <c r="Z41" s="36">
        <f>IFERROR(IF(Y41=0,"",ROUNDUP(Y41/H41,0)*0.01898),"")</f>
        <v>0.22776000000000002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130.78333333333333</v>
      </c>
      <c r="BN41" s="64">
        <f>IFERROR(Y41*I41/H41,"0")</f>
        <v>134.52000000000001</v>
      </c>
      <c r="BO41" s="64">
        <f>IFERROR(1/J41*(X41/H41),"0")</f>
        <v>0.18229166666666666</v>
      </c>
      <c r="BP41" s="64">
        <f>IFERROR(1/J41*(Y41/H41),"0")</f>
        <v>0.18750000000000003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8</v>
      </c>
      <c r="Y42" s="554">
        <f>IFERROR(IF(X42="",0,CEILING((X42/$H42),1)*$H42),"")</f>
        <v>11.100000000000001</v>
      </c>
      <c r="Z42" s="36">
        <f>IFERROR(IF(Y42=0,"",ROUNDUP(Y42/H42,0)*0.00902),"")</f>
        <v>2.7060000000000001E-2</v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8.4108108108108102</v>
      </c>
      <c r="BN42" s="64">
        <f>IFERROR(Y42*I42/H42,"0")</f>
        <v>11.670000000000002</v>
      </c>
      <c r="BO42" s="64">
        <f>IFERROR(1/J42*(X42/H42),"0")</f>
        <v>1.6380016380016377E-2</v>
      </c>
      <c r="BP42" s="64">
        <f>IFERROR(1/J42*(Y42/H42),"0")</f>
        <v>2.2727272727272731E-2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13.828828828828827</v>
      </c>
      <c r="Y44" s="555">
        <f>IFERROR(Y41/H41,"0")+IFERROR(Y42/H42,"0")+IFERROR(Y43/H43,"0")</f>
        <v>15.000000000000002</v>
      </c>
      <c r="Z44" s="555">
        <f>IFERROR(IF(Z41="",0,Z41),"0")+IFERROR(IF(Z42="",0,Z42),"0")+IFERROR(IF(Z43="",0,Z43),"0")</f>
        <v>0.25482000000000005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134</v>
      </c>
      <c r="Y45" s="555">
        <f>IFERROR(SUM(Y41:Y43),"0")</f>
        <v>140.70000000000002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114</v>
      </c>
      <c r="B47" s="54" t="s">
        <v>115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116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117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118</v>
      </c>
      <c r="B52" s="54" t="s">
        <v>119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27</v>
      </c>
      <c r="Y52" s="554">
        <f t="shared" ref="Y52:Y57" si="0">IFERROR(IF(X52="",0,CEILING((X52/$H52),1)*$H52),"")</f>
        <v>33.599999999999994</v>
      </c>
      <c r="Z52" s="36">
        <f>IFERROR(IF(Y52=0,"",ROUNDUP(Y52/H52,0)*0.01898),"")</f>
        <v>5.6940000000000004E-2</v>
      </c>
      <c r="AA52" s="56"/>
      <c r="AB52" s="57"/>
      <c r="AC52" s="93" t="s">
        <v>120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27.988392857142856</v>
      </c>
      <c r="BN52" s="64">
        <f t="shared" ref="BN52:BN57" si="2">IFERROR(Y52*I52/H52,"0")</f>
        <v>34.829999999999991</v>
      </c>
      <c r="BO52" s="64">
        <f t="shared" ref="BO52:BO57" si="3">IFERROR(1/J52*(X52/H52),"0")</f>
        <v>3.7667410714285719E-2</v>
      </c>
      <c r="BP52" s="64">
        <f t="shared" ref="BP52:BP57" si="4">IFERROR(1/J52*(Y52/H52),"0")</f>
        <v>4.6874999999999993E-2</v>
      </c>
    </row>
    <row r="53" spans="1:68" ht="27" customHeight="1" x14ac:dyDescent="0.25">
      <c r="A53" s="54" t="s">
        <v>121</v>
      </c>
      <c r="B53" s="54" t="s">
        <v>122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123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124</v>
      </c>
      <c r="B54" s="54" t="s">
        <v>125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126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127</v>
      </c>
      <c r="B55" s="54" t="s">
        <v>128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129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132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133</v>
      </c>
      <c r="B57" s="54" t="s">
        <v>134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135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2.410714285714286</v>
      </c>
      <c r="Y58" s="555">
        <f>IFERROR(Y52/H52,"0")+IFERROR(Y53/H53,"0")+IFERROR(Y54/H54,"0")+IFERROR(Y55/H55,"0")+IFERROR(Y56/H56,"0")+IFERROR(Y57/H57,"0")</f>
        <v>2.9999999999999996</v>
      </c>
      <c r="Z58" s="555">
        <f>IFERROR(IF(Z52="",0,Z52),"0")+IFERROR(IF(Z53="",0,Z53),"0")+IFERROR(IF(Z54="",0,Z54),"0")+IFERROR(IF(Z55="",0,Z55),"0")+IFERROR(IF(Z56="",0,Z56),"0")+IFERROR(IF(Z57="",0,Z57),"0")</f>
        <v>5.6940000000000004E-2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27</v>
      </c>
      <c r="Y59" s="555">
        <f>IFERROR(SUM(Y52:Y57),"0")</f>
        <v>33.599999999999994</v>
      </c>
      <c r="Z59" s="37"/>
      <c r="AA59" s="556"/>
      <c r="AB59" s="556"/>
      <c r="AC59" s="556"/>
    </row>
    <row r="60" spans="1:68" ht="14.25" customHeight="1" x14ac:dyDescent="0.25">
      <c r="A60" s="569" t="s">
        <v>136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137</v>
      </c>
      <c r="B61" s="54" t="s">
        <v>138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/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34</v>
      </c>
      <c r="Y61" s="554">
        <f>IFERROR(IF(X61="",0,CEILING((X61/$H61),1)*$H61),"")</f>
        <v>43.2</v>
      </c>
      <c r="Z61" s="36">
        <f>IFERROR(IF(Y61=0,"",ROUNDUP(Y61/H61,0)*0.01898),"")</f>
        <v>7.5920000000000001E-2</v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35.290740740740745</v>
      </c>
      <c r="BN61" s="64">
        <f>IFERROR(Y61*I61/H61,"0")</f>
        <v>44.84</v>
      </c>
      <c r="BO61" s="64">
        <f>IFERROR(1/J61*(X61/H61),"0")</f>
        <v>4.9189814814814811E-2</v>
      </c>
      <c r="BP61" s="64">
        <f>IFERROR(1/J61*(Y61/H61),"0")</f>
        <v>6.25E-2</v>
      </c>
    </row>
    <row r="62" spans="1:68" ht="16.5" customHeight="1" x14ac:dyDescent="0.25">
      <c r="A62" s="54" t="s">
        <v>140</v>
      </c>
      <c r="B62" s="54" t="s">
        <v>141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142</v>
      </c>
      <c r="B63" s="54" t="s">
        <v>143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139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3.1481481481481479</v>
      </c>
      <c r="Y64" s="555">
        <f>IFERROR(Y61/H61,"0")+IFERROR(Y62/H62,"0")+IFERROR(Y63/H63,"0")</f>
        <v>4</v>
      </c>
      <c r="Z64" s="555">
        <f>IFERROR(IF(Z61="",0,Z61),"0")+IFERROR(IF(Z62="",0,Z62),"0")+IFERROR(IF(Z63="",0,Z63),"0")</f>
        <v>7.5920000000000001E-2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34</v>
      </c>
      <c r="Y65" s="555">
        <f>IFERROR(SUM(Y61:Y63),"0")</f>
        <v>43.2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144</v>
      </c>
      <c r="B67" s="54" t="s">
        <v>145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146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147</v>
      </c>
      <c r="B68" s="54" t="s">
        <v>148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149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150</v>
      </c>
      <c r="B72" s="54" t="s">
        <v>151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152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153</v>
      </c>
      <c r="B73" s="54" t="s">
        <v>154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155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156</v>
      </c>
      <c r="B74" s="54" t="s">
        <v>157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158</v>
      </c>
      <c r="B75" s="54" t="s">
        <v>159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160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161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162</v>
      </c>
      <c r="B79" s="54" t="s">
        <v>163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164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165</v>
      </c>
      <c r="B80" s="54" t="s">
        <v>166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167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168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169</v>
      </c>
      <c r="B85" s="54" t="s">
        <v>170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133</v>
      </c>
      <c r="Y85" s="554">
        <f>IFERROR(IF(X85="",0,CEILING((X85/$H85),1)*$H85),"")</f>
        <v>140.4</v>
      </c>
      <c r="Z85" s="36">
        <f>IFERROR(IF(Y85=0,"",ROUNDUP(Y85/H85,0)*0.01898),"")</f>
        <v>0.24674000000000001</v>
      </c>
      <c r="AA85" s="56"/>
      <c r="AB85" s="57"/>
      <c r="AC85" s="127" t="s">
        <v>171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138.04907407407407</v>
      </c>
      <c r="BN85" s="64">
        <f>IFERROR(Y85*I85/H85,"0")</f>
        <v>145.73000000000002</v>
      </c>
      <c r="BO85" s="64">
        <f>IFERROR(1/J85*(X85/H85),"0")</f>
        <v>0.19241898148148148</v>
      </c>
      <c r="BP85" s="64">
        <f>IFERROR(1/J85*(Y85/H85),"0")</f>
        <v>0.203125</v>
      </c>
    </row>
    <row r="86" spans="1:68" ht="27" customHeight="1" x14ac:dyDescent="0.25">
      <c r="A86" s="54" t="s">
        <v>172</v>
      </c>
      <c r="B86" s="54" t="s">
        <v>173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174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175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178</v>
      </c>
      <c r="B88" s="54" t="s">
        <v>179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171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12.314814814814815</v>
      </c>
      <c r="Y89" s="555">
        <f>IFERROR(Y85/H85,"0")+IFERROR(Y86/H86,"0")+IFERROR(Y87/H87,"0")+IFERROR(Y88/H88,"0")</f>
        <v>13</v>
      </c>
      <c r="Z89" s="555">
        <f>IFERROR(IF(Z85="",0,Z85),"0")+IFERROR(IF(Z86="",0,Z86),"0")+IFERROR(IF(Z87="",0,Z87),"0")+IFERROR(IF(Z88="",0,Z88),"0")</f>
        <v>0.24674000000000001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133</v>
      </c>
      <c r="Y90" s="555">
        <f>IFERROR(SUM(Y85:Y88),"0")</f>
        <v>140.4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180</v>
      </c>
      <c r="B92" s="54" t="s">
        <v>181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51</v>
      </c>
      <c r="Y92" s="554">
        <f>IFERROR(IF(X92="",0,CEILING((X92/$H92),1)*$H92),"")</f>
        <v>56.699999999999996</v>
      </c>
      <c r="Z92" s="36">
        <f>IFERROR(IF(Y92=0,"",ROUNDUP(Y92/H92,0)*0.01898),"")</f>
        <v>0.13286000000000001</v>
      </c>
      <c r="AA92" s="56"/>
      <c r="AB92" s="57"/>
      <c r="AC92" s="135" t="s">
        <v>182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54.110370370370369</v>
      </c>
      <c r="BN92" s="64">
        <f>IFERROR(Y92*I92/H92,"0")</f>
        <v>60.157999999999994</v>
      </c>
      <c r="BO92" s="64">
        <f>IFERROR(1/J92*(X92/H92),"0")</f>
        <v>9.8379629629629636E-2</v>
      </c>
      <c r="BP92" s="64">
        <f>IFERROR(1/J92*(Y92/H92),"0")</f>
        <v>0.109375</v>
      </c>
    </row>
    <row r="93" spans="1:68" ht="27" customHeight="1" x14ac:dyDescent="0.25">
      <c r="A93" s="54" t="s">
        <v>183</v>
      </c>
      <c r="B93" s="54" t="s">
        <v>184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185</v>
      </c>
      <c r="B94" s="54" t="s">
        <v>186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187</v>
      </c>
      <c r="B95" s="54" t="s">
        <v>188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6.2962962962962967</v>
      </c>
      <c r="Y96" s="555">
        <f>IFERROR(Y92/H92,"0")+IFERROR(Y93/H93,"0")+IFERROR(Y94/H94,"0")+IFERROR(Y95/H95,"0")</f>
        <v>7</v>
      </c>
      <c r="Z96" s="555">
        <f>IFERROR(IF(Z92="",0,Z92),"0")+IFERROR(IF(Z93="",0,Z93),"0")+IFERROR(IF(Z94="",0,Z94),"0")+IFERROR(IF(Z95="",0,Z95),"0")</f>
        <v>0.13286000000000001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51</v>
      </c>
      <c r="Y97" s="555">
        <f>IFERROR(SUM(Y92:Y95),"0")</f>
        <v>56.699999999999996</v>
      </c>
      <c r="Z97" s="37"/>
      <c r="AA97" s="556"/>
      <c r="AB97" s="556"/>
      <c r="AC97" s="556"/>
    </row>
    <row r="98" spans="1:68" ht="16.5" customHeight="1" x14ac:dyDescent="0.25">
      <c r="A98" s="567" t="s">
        <v>190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191</v>
      </c>
      <c r="B100" s="54" t="s">
        <v>192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163</v>
      </c>
      <c r="Y100" s="554">
        <f>IFERROR(IF(X100="",0,CEILING((X100/$H100),1)*$H100),"")</f>
        <v>172.8</v>
      </c>
      <c r="Z100" s="36">
        <f>IFERROR(IF(Y100=0,"",ROUNDUP(Y100/H100,0)*0.01898),"")</f>
        <v>0.30368000000000001</v>
      </c>
      <c r="AA100" s="56"/>
      <c r="AB100" s="57"/>
      <c r="AC100" s="143" t="s">
        <v>193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169.18796296296298</v>
      </c>
      <c r="BN100" s="64">
        <f>IFERROR(Y100*I100/H100,"0")</f>
        <v>179.36</v>
      </c>
      <c r="BO100" s="64">
        <f>IFERROR(1/J100*(X100/H100),"0")</f>
        <v>0.23582175925925924</v>
      </c>
      <c r="BP100" s="64">
        <f>IFERROR(1/J100*(Y100/H100),"0")</f>
        <v>0.25</v>
      </c>
    </row>
    <row r="101" spans="1:68" ht="27" customHeight="1" x14ac:dyDescent="0.25">
      <c r="A101" s="54" t="s">
        <v>194</v>
      </c>
      <c r="B101" s="54" t="s">
        <v>195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174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196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199</v>
      </c>
      <c r="B103" s="54" t="s">
        <v>200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201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193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15.092592592592592</v>
      </c>
      <c r="Y105" s="555">
        <f>IFERROR(Y100/H100,"0")+IFERROR(Y101/H101,"0")+IFERROR(Y102/H102,"0")+IFERROR(Y103/H103,"0")+IFERROR(Y104/H104,"0")</f>
        <v>16</v>
      </c>
      <c r="Z105" s="555">
        <f>IFERROR(IF(Z100="",0,Z100),"0")+IFERROR(IF(Z101="",0,Z101),"0")+IFERROR(IF(Z102="",0,Z102),"0")+IFERROR(IF(Z103="",0,Z103),"0")+IFERROR(IF(Z104="",0,Z104),"0")</f>
        <v>0.30368000000000001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163</v>
      </c>
      <c r="Y106" s="555">
        <f>IFERROR(SUM(Y100:Y104),"0")</f>
        <v>172.8</v>
      </c>
      <c r="Z106" s="37"/>
      <c r="AA106" s="556"/>
      <c r="AB106" s="556"/>
      <c r="AC106" s="556"/>
    </row>
    <row r="107" spans="1:68" ht="14.25" customHeight="1" x14ac:dyDescent="0.25">
      <c r="A107" s="569" t="s">
        <v>136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/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customHeight="1" x14ac:dyDescent="0.25">
      <c r="A121" s="569" t="s">
        <v>161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136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201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117</v>
      </c>
      <c r="Y169" s="554">
        <f t="shared" si="10"/>
        <v>117.60000000000001</v>
      </c>
      <c r="Z169" s="36">
        <f>IFERROR(IF(Y169=0,"",ROUNDUP(Y169/H169,0)*0.00902),"")</f>
        <v>0.25256000000000001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123.96428571428571</v>
      </c>
      <c r="BN169" s="64">
        <f t="shared" si="12"/>
        <v>124.60000000000001</v>
      </c>
      <c r="BO169" s="64">
        <f t="shared" si="13"/>
        <v>0.21103896103896105</v>
      </c>
      <c r="BP169" s="64">
        <f t="shared" si="14"/>
        <v>0.21212121212121213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201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156</v>
      </c>
      <c r="Y171" s="554">
        <f t="shared" si="10"/>
        <v>159.6</v>
      </c>
      <c r="Z171" s="36">
        <f>IFERROR(IF(Y171=0,"",ROUNDUP(Y171/H171,0)*0.00902),"")</f>
        <v>0.34276000000000001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163.05714285714282</v>
      </c>
      <c r="BN171" s="64">
        <f t="shared" si="12"/>
        <v>166.81999999999996</v>
      </c>
      <c r="BO171" s="64">
        <f t="shared" si="13"/>
        <v>0.28138528138528135</v>
      </c>
      <c r="BP171" s="64">
        <f t="shared" si="14"/>
        <v>0.2878787878787879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23</v>
      </c>
      <c r="Y173" s="554">
        <f t="shared" si="10"/>
        <v>23.1</v>
      </c>
      <c r="Z173" s="36">
        <f>IFERROR(IF(Y173=0,"",ROUNDUP(Y173/H173,0)*0.00502),"")</f>
        <v>5.5220000000000005E-2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24.423809523809524</v>
      </c>
      <c r="BN173" s="64">
        <f t="shared" si="12"/>
        <v>24.53</v>
      </c>
      <c r="BO173" s="64">
        <f t="shared" si="13"/>
        <v>4.680504680504681E-2</v>
      </c>
      <c r="BP173" s="64">
        <f t="shared" si="14"/>
        <v>4.7008547008547015E-2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18</v>
      </c>
      <c r="Y176" s="554">
        <f t="shared" si="10"/>
        <v>18</v>
      </c>
      <c r="Z176" s="36">
        <f>IFERROR(IF(Y176=0,"",ROUNDUP(Y176/H176,0)*0.00502),"")</f>
        <v>5.0200000000000002E-2</v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19.3</v>
      </c>
      <c r="BN176" s="64">
        <f t="shared" si="12"/>
        <v>19.3</v>
      </c>
      <c r="BO176" s="64">
        <f t="shared" si="13"/>
        <v>4.2735042735042736E-2</v>
      </c>
      <c r="BP176" s="64">
        <f t="shared" si="14"/>
        <v>4.2735042735042736E-2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174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10</v>
      </c>
      <c r="Y178" s="554">
        <f t="shared" si="10"/>
        <v>10.5</v>
      </c>
      <c r="Z178" s="36">
        <f>IFERROR(IF(Y178=0,"",ROUNDUP(Y178/H178,0)*0.00502),"")</f>
        <v>2.5100000000000001E-2</v>
      </c>
      <c r="AA178" s="56"/>
      <c r="AB178" s="57"/>
      <c r="AC178" s="225" t="s">
        <v>290</v>
      </c>
      <c r="AG178" s="64"/>
      <c r="AJ178" s="68"/>
      <c r="AK178" s="68">
        <v>0</v>
      </c>
      <c r="BB178" s="226" t="s">
        <v>1</v>
      </c>
      <c r="BM178" s="64">
        <f t="shared" si="11"/>
        <v>10.476190476190476</v>
      </c>
      <c r="BN178" s="64">
        <f t="shared" si="12"/>
        <v>11</v>
      </c>
      <c r="BO178" s="64">
        <f t="shared" si="13"/>
        <v>2.0350020350020353E-2</v>
      </c>
      <c r="BP178" s="64">
        <f t="shared" si="14"/>
        <v>2.1367521367521368E-2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90.714285714285708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92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0.72584000000000015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324</v>
      </c>
      <c r="Y182" s="555">
        <f>IFERROR(SUM(Y167:Y180),"0")</f>
        <v>328.8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1</v>
      </c>
      <c r="Y185" s="554">
        <f>IFERROR(IF(X185="",0,CEILING((X185/$H185),1)*$H185),"")</f>
        <v>1.26</v>
      </c>
      <c r="Z185" s="36">
        <f>IFERROR(IF(Y185=0,"",ROUNDUP(Y185/H185,0)*0.0059),"")</f>
        <v>5.8999999999999999E-3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1.1507936507936507</v>
      </c>
      <c r="BN185" s="64">
        <f>IFERROR(Y185*I185/H185,"0")</f>
        <v>1.45</v>
      </c>
      <c r="BO185" s="64">
        <f>IFERROR(1/J185*(X185/H185),"0")</f>
        <v>3.6743092298647849E-3</v>
      </c>
      <c r="BP185" s="64">
        <f>IFERROR(1/J185*(Y185/H185),"0")</f>
        <v>4.6296296296296294E-3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1</v>
      </c>
      <c r="Y186" s="554">
        <f>IFERROR(IF(X186="",0,CEILING((X186/$H186),1)*$H186),"")</f>
        <v>1.26</v>
      </c>
      <c r="Z186" s="36">
        <f>IFERROR(IF(Y186=0,"",ROUNDUP(Y186/H186,0)*0.0059),"")</f>
        <v>5.8999999999999999E-3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1.1507936507936507</v>
      </c>
      <c r="BN186" s="64">
        <f>IFERROR(Y186*I186/H186,"0")</f>
        <v>1.45</v>
      </c>
      <c r="BO186" s="64">
        <f>IFERROR(1/J186*(X186/H186),"0")</f>
        <v>3.6743092298647849E-3</v>
      </c>
      <c r="BP186" s="64">
        <f>IFERROR(1/J186*(Y186/H186),"0")</f>
        <v>4.6296296296296294E-3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1.5873015873015872</v>
      </c>
      <c r="Y187" s="555">
        <f>IFERROR(Y184/H184,"0")+IFERROR(Y185/H185,"0")+IFERROR(Y186/H186,"0")</f>
        <v>2</v>
      </c>
      <c r="Z187" s="555">
        <f>IFERROR(IF(Z184="",0,Z184),"0")+IFERROR(IF(Z185="",0,Z185),"0")+IFERROR(IF(Z186="",0,Z186),"0")</f>
        <v>1.18E-2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2</v>
      </c>
      <c r="Y188" s="555">
        <f>IFERROR(SUM(Y184:Y186),"0")</f>
        <v>2.52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1</v>
      </c>
      <c r="Y190" s="554">
        <f>IFERROR(IF(X190="",0,CEILING((X190/$H190),1)*$H190),"")</f>
        <v>1.26</v>
      </c>
      <c r="Z190" s="36">
        <f>IFERROR(IF(Y190=0,"",ROUNDUP(Y190/H190,0)*0.0059),"")</f>
        <v>5.8999999999999999E-3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1.1507936507936507</v>
      </c>
      <c r="BN190" s="64">
        <f>IFERROR(Y190*I190/H190,"0")</f>
        <v>1.45</v>
      </c>
      <c r="BO190" s="64">
        <f>IFERROR(1/J190*(X190/H190),"0")</f>
        <v>3.6743092298647849E-3</v>
      </c>
      <c r="BP190" s="64">
        <f>IFERROR(1/J190*(Y190/H190),"0")</f>
        <v>4.6296296296296294E-3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0.79365079365079361</v>
      </c>
      <c r="Y191" s="555">
        <f>IFERROR(Y190/H190,"0")</f>
        <v>1</v>
      </c>
      <c r="Z191" s="555">
        <f>IFERROR(IF(Z190="",0,Z190),"0")</f>
        <v>5.8999999999999999E-3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1</v>
      </c>
      <c r="Y192" s="555">
        <f>IFERROR(SUM(Y190:Y190),"0")</f>
        <v>1.26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136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201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160</v>
      </c>
      <c r="Y205" s="554">
        <f t="shared" ref="Y205:Y212" si="15">IFERROR(IF(X205="",0,CEILING((X205/$H205),1)*$H205),"")</f>
        <v>162</v>
      </c>
      <c r="Z205" s="36">
        <f>IFERROR(IF(Y205=0,"",ROUNDUP(Y205/H205,0)*0.00902),"")</f>
        <v>0.27060000000000001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165.62962962962962</v>
      </c>
      <c r="BN205" s="64">
        <f t="shared" ref="BN205:BN212" si="17">IFERROR(Y205*I205/H205,"0")</f>
        <v>167.7</v>
      </c>
      <c r="BO205" s="64">
        <f t="shared" ref="BO205:BO212" si="18">IFERROR(1/J205*(X205/H205),"0")</f>
        <v>0.22446689113355778</v>
      </c>
      <c r="BP205" s="64">
        <f t="shared" ref="BP205:BP212" si="19">IFERROR(1/J205*(Y205/H205),"0")</f>
        <v>0.22727272727272727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201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177</v>
      </c>
      <c r="Y206" s="554">
        <f t="shared" si="15"/>
        <v>178.20000000000002</v>
      </c>
      <c r="Z206" s="36">
        <f>IFERROR(IF(Y206=0,"",ROUNDUP(Y206/H206,0)*0.00902),"")</f>
        <v>0.29766000000000004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183.22777777777776</v>
      </c>
      <c r="BN206" s="64">
        <f t="shared" si="17"/>
        <v>184.47</v>
      </c>
      <c r="BO206" s="64">
        <f t="shared" si="18"/>
        <v>0.24831649831649832</v>
      </c>
      <c r="BP206" s="64">
        <f t="shared" si="19"/>
        <v>0.25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201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523</v>
      </c>
      <c r="Y208" s="554">
        <f t="shared" si="15"/>
        <v>523.80000000000007</v>
      </c>
      <c r="Z208" s="36">
        <f>IFERROR(IF(Y208=0,"",ROUNDUP(Y208/H208,0)*0.00902),"")</f>
        <v>0.87494000000000005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541.4018518518518</v>
      </c>
      <c r="BN208" s="64">
        <f t="shared" si="17"/>
        <v>542.23</v>
      </c>
      <c r="BO208" s="64">
        <f t="shared" si="18"/>
        <v>0.73372615039281708</v>
      </c>
      <c r="BP208" s="64">
        <f t="shared" si="19"/>
        <v>0.73484848484848486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17</v>
      </c>
      <c r="Y209" s="554">
        <f t="shared" si="15"/>
        <v>18</v>
      </c>
      <c r="Z209" s="36">
        <f>IFERROR(IF(Y209=0,"",ROUNDUP(Y209/H209,0)*0.00502),"")</f>
        <v>5.0200000000000002E-2</v>
      </c>
      <c r="AA209" s="56"/>
      <c r="AB209" s="57"/>
      <c r="AC209" s="255" t="s">
        <v>340</v>
      </c>
      <c r="AG209" s="64"/>
      <c r="AJ209" s="68"/>
      <c r="AK209" s="68">
        <v>0</v>
      </c>
      <c r="BB209" s="256" t="s">
        <v>1</v>
      </c>
      <c r="BM209" s="64">
        <f t="shared" si="16"/>
        <v>18.227777777777778</v>
      </c>
      <c r="BN209" s="64">
        <f t="shared" si="17"/>
        <v>19.3</v>
      </c>
      <c r="BO209" s="64">
        <f t="shared" si="18"/>
        <v>4.0360873694207031E-2</v>
      </c>
      <c r="BP209" s="64">
        <f t="shared" si="19"/>
        <v>4.2735042735042736E-2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13</v>
      </c>
      <c r="Y210" s="554">
        <f t="shared" si="15"/>
        <v>14.4</v>
      </c>
      <c r="Z210" s="36">
        <f>IFERROR(IF(Y210=0,"",ROUNDUP(Y210/H210,0)*0.00502),"")</f>
        <v>4.0160000000000001E-2</v>
      </c>
      <c r="AA210" s="56"/>
      <c r="AB210" s="57"/>
      <c r="AC210" s="257" t="s">
        <v>343</v>
      </c>
      <c r="AG210" s="64"/>
      <c r="AJ210" s="68"/>
      <c r="AK210" s="68">
        <v>0</v>
      </c>
      <c r="BB210" s="258" t="s">
        <v>1</v>
      </c>
      <c r="BM210" s="64">
        <f t="shared" si="16"/>
        <v>13.722222222222221</v>
      </c>
      <c r="BN210" s="64">
        <f t="shared" si="17"/>
        <v>15.2</v>
      </c>
      <c r="BO210" s="64">
        <f t="shared" si="18"/>
        <v>3.0864197530864203E-2</v>
      </c>
      <c r="BP210" s="64">
        <f t="shared" si="19"/>
        <v>3.4188034188034191E-2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/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23</v>
      </c>
      <c r="Y212" s="554">
        <f t="shared" si="15"/>
        <v>23.400000000000002</v>
      </c>
      <c r="Z212" s="36">
        <f>IFERROR(IF(Y212=0,"",ROUNDUP(Y212/H212,0)*0.00502),"")</f>
        <v>6.5259999999999999E-2</v>
      </c>
      <c r="AA212" s="56"/>
      <c r="AB212" s="57"/>
      <c r="AC212" s="261" t="s">
        <v>349</v>
      </c>
      <c r="AG212" s="64"/>
      <c r="AJ212" s="68"/>
      <c r="AK212" s="68">
        <v>0</v>
      </c>
      <c r="BB212" s="262" t="s">
        <v>1</v>
      </c>
      <c r="BM212" s="64">
        <f t="shared" si="16"/>
        <v>24.277777777777775</v>
      </c>
      <c r="BN212" s="64">
        <f t="shared" si="17"/>
        <v>24.7</v>
      </c>
      <c r="BO212" s="64">
        <f t="shared" si="18"/>
        <v>5.4605887939221276E-2</v>
      </c>
      <c r="BP212" s="64">
        <f t="shared" si="19"/>
        <v>5.5555555555555559E-2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188.7037037037037</v>
      </c>
      <c r="Y213" s="555">
        <f>IFERROR(Y205/H205,"0")+IFERROR(Y206/H206,"0")+IFERROR(Y207/H207,"0")+IFERROR(Y208/H208,"0")+IFERROR(Y209/H209,"0")+IFERROR(Y210/H210,"0")+IFERROR(Y211/H211,"0")+IFERROR(Y212/H212,"0")</f>
        <v>191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1.5988200000000001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913</v>
      </c>
      <c r="Y214" s="555">
        <f>IFERROR(SUM(Y205:Y212),"0")</f>
        <v>919.80000000000007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/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31</v>
      </c>
      <c r="Y218" s="554">
        <f t="shared" si="20"/>
        <v>34.799999999999997</v>
      </c>
      <c r="Z218" s="36">
        <f>IFERROR(IF(Y218=0,"",ROUNDUP(Y218/H218,0)*0.01898),"")</f>
        <v>7.5920000000000001E-2</v>
      </c>
      <c r="AA218" s="56"/>
      <c r="AB218" s="57"/>
      <c r="AC218" s="267" t="s">
        <v>366</v>
      </c>
      <c r="AG218" s="64"/>
      <c r="AJ218" s="68"/>
      <c r="AK218" s="68">
        <v>0</v>
      </c>
      <c r="BB218" s="268" t="s">
        <v>1</v>
      </c>
      <c r="BM218" s="64">
        <f t="shared" si="21"/>
        <v>32.760229885057477</v>
      </c>
      <c r="BN218" s="64">
        <f t="shared" si="22"/>
        <v>36.776000000000003</v>
      </c>
      <c r="BO218" s="64">
        <f t="shared" si="23"/>
        <v>5.5675287356321844E-2</v>
      </c>
      <c r="BP218" s="64">
        <f t="shared" si="24"/>
        <v>6.25E-2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65</v>
      </c>
      <c r="Y219" s="554">
        <f t="shared" si="20"/>
        <v>67.2</v>
      </c>
      <c r="Z219" s="36">
        <f t="shared" ref="Z219:Z224" si="25">IFERROR(IF(Y219=0,"",ROUNDUP(Y219/H219,0)*0.00651),"")</f>
        <v>0.18228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72.3125</v>
      </c>
      <c r="BN219" s="64">
        <f t="shared" si="22"/>
        <v>74.760000000000005</v>
      </c>
      <c r="BO219" s="64">
        <f t="shared" si="23"/>
        <v>0.14880952380952384</v>
      </c>
      <c r="BP219" s="64">
        <f t="shared" si="24"/>
        <v>0.15384615384615388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222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30.646551724137932</v>
      </c>
      <c r="Y225" s="555">
        <f>IFERROR(Y216/H216,"0")+IFERROR(Y217/H217,"0")+IFERROR(Y218/H218,"0")+IFERROR(Y219/H219,"0")+IFERROR(Y220/H220,"0")+IFERROR(Y221/H221,"0")+IFERROR(Y222/H222,"0")+IFERROR(Y223/H223,"0")+IFERROR(Y224/H224,"0")</f>
        <v>32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0.25819999999999999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96</v>
      </c>
      <c r="Y226" s="555">
        <f>IFERROR(SUM(Y216:Y224),"0")</f>
        <v>102</v>
      </c>
      <c r="Z226" s="37"/>
      <c r="AA226" s="556"/>
      <c r="AB226" s="556"/>
      <c r="AC226" s="556"/>
    </row>
    <row r="227" spans="1:68" ht="14.25" customHeight="1" x14ac:dyDescent="0.25">
      <c r="A227" s="569" t="s">
        <v>161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7</v>
      </c>
      <c r="Y229" s="554">
        <f>IFERROR(IF(X229="",0,CEILING((X229/$H229),1)*$H229),"")</f>
        <v>7.1999999999999993</v>
      </c>
      <c r="Z229" s="36">
        <f>IFERROR(IF(Y229=0,"",ROUNDUP(Y229/H229,0)*0.00651),"")</f>
        <v>1.9529999999999999E-2</v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7.7350000000000003</v>
      </c>
      <c r="BN229" s="64">
        <f>IFERROR(Y229*I229/H229,"0")</f>
        <v>7.9560000000000004</v>
      </c>
      <c r="BO229" s="64">
        <f>IFERROR(1/J229*(X229/H229),"0")</f>
        <v>1.6025641025641028E-2</v>
      </c>
      <c r="BP229" s="64">
        <f>IFERROR(1/J229*(Y229/H229),"0")</f>
        <v>1.6483516483516484E-2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2.916666666666667</v>
      </c>
      <c r="Y230" s="555">
        <f>IFERROR(Y228/H228,"0")+IFERROR(Y229/H229,"0")</f>
        <v>3</v>
      </c>
      <c r="Z230" s="555">
        <f>IFERROR(IF(Z228="",0,Z228),"0")+IFERROR(IF(Z229="",0,Z229),"0")</f>
        <v>1.9529999999999999E-2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7</v>
      </c>
      <c r="Y231" s="555">
        <f>IFERROR(SUM(Y228:Y229),"0")</f>
        <v>7.1999999999999993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136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3</v>
      </c>
      <c r="Y250" s="554">
        <f>IFERROR(IF(X250="",0,CEILING((X250/$H250),1)*$H250),"")</f>
        <v>3.6</v>
      </c>
      <c r="Z250" s="36">
        <f>IFERROR(IF(Y250=0,"",ROUNDUP(Y250/H250,0)*0.0059),"")</f>
        <v>1.18E-2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3.291666666666667</v>
      </c>
      <c r="BN250" s="64">
        <f>IFERROR(Y250*I250/H250,"0")</f>
        <v>3.95</v>
      </c>
      <c r="BO250" s="64">
        <f>IFERROR(1/J250*(X250/H250),"0")</f>
        <v>7.7160493827160481E-3</v>
      </c>
      <c r="BP250" s="64">
        <f>IFERROR(1/J250*(Y250/H250),"0")</f>
        <v>9.2592592592592587E-3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1.6666666666666665</v>
      </c>
      <c r="Y251" s="555">
        <f>IFERROR(Y250/H250,"0")</f>
        <v>2</v>
      </c>
      <c r="Z251" s="555">
        <f>IFERROR(IF(Z250="",0,Z250),"0")</f>
        <v>1.18E-2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3</v>
      </c>
      <c r="Y252" s="555">
        <f>IFERROR(SUM(Y250:Y250),"0")</f>
        <v>3.6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1</v>
      </c>
      <c r="Y256" s="554">
        <f>IFERROR(IF(X256="",0,CEILING((X256/$H256),1)*$H256),"")</f>
        <v>1.8</v>
      </c>
      <c r="Z256" s="36">
        <f>IFERROR(IF(Y256=0,"",ROUNDUP(Y256/H256,0)*0.0059),"")</f>
        <v>1.18E-2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1.2111111111111112</v>
      </c>
      <c r="BN256" s="64">
        <f>IFERROR(Y256*I256/H256,"0")</f>
        <v>2.1800000000000002</v>
      </c>
      <c r="BO256" s="64">
        <f>IFERROR(1/J256*(X256/H256),"0")</f>
        <v>5.1440329218106996E-3</v>
      </c>
      <c r="BP256" s="64">
        <f>IFERROR(1/J256*(Y256/H256),"0")</f>
        <v>9.2592592592592587E-3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1</v>
      </c>
      <c r="Y258" s="554">
        <f>IFERROR(IF(X258="",0,CEILING((X258/$H258),1)*$H258),"")</f>
        <v>1.98</v>
      </c>
      <c r="Z258" s="36">
        <f>IFERROR(IF(Y258=0,"",ROUNDUP(Y258/H258,0)*0.0059),"")</f>
        <v>1.18E-2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1.1919191919191918</v>
      </c>
      <c r="BN258" s="64">
        <f>IFERROR(Y258*I258/H258,"0")</f>
        <v>2.36</v>
      </c>
      <c r="BO258" s="64">
        <f>IFERROR(1/J258*(X258/H258),"0")</f>
        <v>4.6763935652824546E-3</v>
      </c>
      <c r="BP258" s="64">
        <f>IFERROR(1/J258*(Y258/H258),"0")</f>
        <v>9.2592592592592587E-3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2.1212121212121211</v>
      </c>
      <c r="Y259" s="555">
        <f>IFERROR(Y254/H254,"0")+IFERROR(Y255/H255,"0")+IFERROR(Y256/H256,"0")+IFERROR(Y257/H257,"0")+IFERROR(Y258/H258,"0")</f>
        <v>4</v>
      </c>
      <c r="Z259" s="555">
        <f>IFERROR(IF(Z254="",0,Z254),"0")+IFERROR(IF(Z255="",0,Z255),"0")+IFERROR(IF(Z256="",0,Z256),"0")+IFERROR(IF(Z257="",0,Z257),"0")+IFERROR(IF(Z258="",0,Z258),"0")</f>
        <v>2.3599999999999999E-2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2</v>
      </c>
      <c r="Y260" s="555">
        <f>IFERROR(SUM(Y254:Y258),"0")</f>
        <v>3.7800000000000002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222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5</v>
      </c>
      <c r="Y311" s="554">
        <f t="shared" si="31"/>
        <v>5.4</v>
      </c>
      <c r="Z311" s="36">
        <f>IFERROR(IF(Y311=0,"",ROUNDUP(Y311/H311,0)*0.00651),"")</f>
        <v>1.9529999999999999E-2</v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5.6333333333333337</v>
      </c>
      <c r="BN311" s="64">
        <f t="shared" si="33"/>
        <v>6.0839999999999996</v>
      </c>
      <c r="BO311" s="64">
        <f t="shared" si="34"/>
        <v>1.5262515262515264E-2</v>
      </c>
      <c r="BP311" s="64">
        <f t="shared" si="35"/>
        <v>1.6483516483516484E-2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2.7777777777777777</v>
      </c>
      <c r="Y312" s="555">
        <f>IFERROR(Y306/H306,"0")+IFERROR(Y307/H307,"0")+IFERROR(Y308/H308,"0")+IFERROR(Y309/H309,"0")+IFERROR(Y310/H310,"0")+IFERROR(Y311/H311,"0")</f>
        <v>3</v>
      </c>
      <c r="Z312" s="555">
        <f>IFERROR(IF(Z306="",0,Z306),"0")+IFERROR(IF(Z307="",0,Z307),"0")+IFERROR(IF(Z308="",0,Z308),"0")+IFERROR(IF(Z309="",0,Z309),"0")+IFERROR(IF(Z310="",0,Z310),"0")+IFERROR(IF(Z311="",0,Z311),"0")</f>
        <v>1.9529999999999999E-2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5</v>
      </c>
      <c r="Y313" s="555">
        <f>IFERROR(SUM(Y306:Y311),"0")</f>
        <v>5.4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161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54</v>
      </c>
      <c r="Y323" s="554">
        <f>IFERROR(IF(X323="",0,CEILING((X323/$H323),1)*$H323),"")</f>
        <v>54.6</v>
      </c>
      <c r="Z323" s="36">
        <f>IFERROR(IF(Y323=0,"",ROUNDUP(Y323/H323,0)*0.01898),"")</f>
        <v>0.13286000000000001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57.420000000000009</v>
      </c>
      <c r="BN323" s="64">
        <f>IFERROR(Y323*I323/H323,"0")</f>
        <v>58.058000000000007</v>
      </c>
      <c r="BO323" s="64">
        <f>IFERROR(1/J323*(X323/H323),"0")</f>
        <v>0.10817307692307693</v>
      </c>
      <c r="BP323" s="64">
        <f>IFERROR(1/J323*(Y323/H323),"0")</f>
        <v>0.109375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24</v>
      </c>
      <c r="Y324" s="554">
        <f>IFERROR(IF(X324="",0,CEILING((X324/$H324),1)*$H324),"")</f>
        <v>25.200000000000003</v>
      </c>
      <c r="Z324" s="36">
        <f>IFERROR(IF(Y324=0,"",ROUNDUP(Y324/H324,0)*0.01898),"")</f>
        <v>5.6940000000000004E-2</v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25.411428571428573</v>
      </c>
      <c r="BN324" s="64">
        <f>IFERROR(Y324*I324/H324,"0")</f>
        <v>26.682000000000002</v>
      </c>
      <c r="BO324" s="64">
        <f>IFERROR(1/J324*(X324/H324),"0")</f>
        <v>4.4642857142857144E-2</v>
      </c>
      <c r="BP324" s="64">
        <f>IFERROR(1/J324*(Y324/H324),"0")</f>
        <v>4.6875E-2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9.780219780219781</v>
      </c>
      <c r="Y325" s="555">
        <f>IFERROR(Y322/H322,"0")+IFERROR(Y323/H323,"0")+IFERROR(Y324/H324,"0")</f>
        <v>10</v>
      </c>
      <c r="Z325" s="555">
        <f>IFERROR(IF(Z322="",0,Z322),"0")+IFERROR(IF(Z323="",0,Z323),"0")+IFERROR(IF(Z324="",0,Z324),"0")</f>
        <v>0.18980000000000002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78</v>
      </c>
      <c r="Y326" s="555">
        <f>IFERROR(SUM(Y322:Y324),"0")</f>
        <v>79.800000000000011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4</v>
      </c>
      <c r="Y328" s="554">
        <f>IFERROR(IF(X328="",0,CEILING((X328/$H328),1)*$H328),"")</f>
        <v>6.08</v>
      </c>
      <c r="Z328" s="36">
        <f>IFERROR(IF(Y328=0,"",ROUNDUP(Y328/H328,0)*0.00902),"")</f>
        <v>1.804E-2</v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4.3552631578947372</v>
      </c>
      <c r="BN328" s="64">
        <f>IFERROR(Y328*I328/H328,"0")</f>
        <v>6.62</v>
      </c>
      <c r="BO328" s="64">
        <f>IFERROR(1/J328*(X328/H328),"0")</f>
        <v>9.9681020733652318E-3</v>
      </c>
      <c r="BP328" s="64">
        <f>IFERROR(1/J328*(Y328/H328),"0")</f>
        <v>1.5151515151515152E-2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4</v>
      </c>
      <c r="Y329" s="554">
        <f>IFERROR(IF(X329="",0,CEILING((X329/$H329),1)*$H329),"")</f>
        <v>6.08</v>
      </c>
      <c r="Z329" s="36">
        <f>IFERROR(IF(Y329=0,"",ROUNDUP(Y329/H329,0)*0.00902),"")</f>
        <v>1.804E-2</v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4.3026315789473681</v>
      </c>
      <c r="BN329" s="64">
        <f>IFERROR(Y329*I329/H329,"0")</f>
        <v>6.5399999999999991</v>
      </c>
      <c r="BO329" s="64">
        <f>IFERROR(1/J329*(X329/H329),"0")</f>
        <v>9.9681020733652318E-3</v>
      </c>
      <c r="BP329" s="64">
        <f>IFERROR(1/J329*(Y329/H329),"0")</f>
        <v>1.5151515151515152E-2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3</v>
      </c>
      <c r="Y330" s="554">
        <f>IFERROR(IF(X330="",0,CEILING((X330/$H330),1)*$H330),"")</f>
        <v>5.0999999999999996</v>
      </c>
      <c r="Z330" s="36">
        <f>IFERROR(IF(Y330=0,"",ROUNDUP(Y330/H330,0)*0.00651),"")</f>
        <v>1.302E-2</v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3.4764705882352946</v>
      </c>
      <c r="BN330" s="64">
        <f>IFERROR(Y330*I330/H330,"0")</f>
        <v>5.91</v>
      </c>
      <c r="BO330" s="64">
        <f>IFERROR(1/J330*(X330/H330),"0")</f>
        <v>6.4641241111829352E-3</v>
      </c>
      <c r="BP330" s="64">
        <f>IFERROR(1/J330*(Y330/H330),"0")</f>
        <v>1.098901098901099E-2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/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3.8080495356037156</v>
      </c>
      <c r="Y332" s="555">
        <f>IFERROR(Y328/H328,"0")+IFERROR(Y329/H329,"0")+IFERROR(Y330/H330,"0")+IFERROR(Y331/H331,"0")</f>
        <v>6</v>
      </c>
      <c r="Z332" s="555">
        <f>IFERROR(IF(Z328="",0,Z328),"0")+IFERROR(IF(Z329="",0,Z329),"0")+IFERROR(IF(Z330="",0,Z330),"0")+IFERROR(IF(Z331="",0,Z331),"0")</f>
        <v>4.9100000000000005E-2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11</v>
      </c>
      <c r="Y333" s="555">
        <f>IFERROR(SUM(Y328:Y331),"0")</f>
        <v>17.259999999999998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1198</v>
      </c>
      <c r="Y350" s="554">
        <f t="shared" ref="Y350:Y356" si="36">IFERROR(IF(X350="",0,CEILING((X350/$H350),1)*$H350),"")</f>
        <v>1200</v>
      </c>
      <c r="Z350" s="36">
        <f>IFERROR(IF(Y350=0,"",ROUNDUP(Y350/H350,0)*0.02175),"")</f>
        <v>1.7399999999999998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1235.5373333333334</v>
      </c>
      <c r="BN350" s="64">
        <f t="shared" ref="BN350:BN356" si="38">IFERROR(Y350*I350/H350,"0")</f>
        <v>1237.5999999999999</v>
      </c>
      <c r="BO350" s="64">
        <f t="shared" ref="BO350:BO356" si="39">IFERROR(1/J350*(X350/H350),"0")</f>
        <v>1.6638888888888888</v>
      </c>
      <c r="BP350" s="64">
        <f t="shared" ref="BP350:BP356" si="40">IFERROR(1/J350*(Y350/H350),"0")</f>
        <v>1.6666666666666665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194</v>
      </c>
      <c r="Y351" s="554">
        <f t="shared" si="36"/>
        <v>195</v>
      </c>
      <c r="Z351" s="36">
        <f>IFERROR(IF(Y351=0,"",ROUNDUP(Y351/H351,0)*0.02175),"")</f>
        <v>0.28275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200.07866666666669</v>
      </c>
      <c r="BN351" s="64">
        <f t="shared" si="38"/>
        <v>201.11</v>
      </c>
      <c r="BO351" s="64">
        <f t="shared" si="39"/>
        <v>0.26944444444444443</v>
      </c>
      <c r="BP351" s="64">
        <f t="shared" si="40"/>
        <v>0.27083333333333331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0">
        <v>4680115887046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828</v>
      </c>
      <c r="Y352" s="554">
        <f t="shared" si="36"/>
        <v>840</v>
      </c>
      <c r="Z352" s="36">
        <f>IFERROR(IF(Y352=0,"",ROUNDUP(Y352/H352,0)*0.02175),"")</f>
        <v>1.218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853.94399999999996</v>
      </c>
      <c r="BN352" s="64">
        <f t="shared" si="38"/>
        <v>866.32</v>
      </c>
      <c r="BO352" s="64">
        <f t="shared" si="39"/>
        <v>1.1499999999999999</v>
      </c>
      <c r="BP352" s="64">
        <f t="shared" si="40"/>
        <v>1.1666666666666665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0">
        <v>4680115884830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630</v>
      </c>
      <c r="Y353" s="554">
        <f t="shared" si="36"/>
        <v>630</v>
      </c>
      <c r="Z353" s="36">
        <f>IFERROR(IF(Y353=0,"",ROUNDUP(Y353/H353,0)*0.02175),"")</f>
        <v>0.91349999999999998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649.74</v>
      </c>
      <c r="BN353" s="64">
        <f t="shared" si="38"/>
        <v>649.74</v>
      </c>
      <c r="BO353" s="64">
        <f t="shared" si="39"/>
        <v>0.875</v>
      </c>
      <c r="BP353" s="64">
        <f t="shared" si="40"/>
        <v>0.875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190</v>
      </c>
      <c r="Y357" s="555">
        <f>IFERROR(Y350/H350,"0")+IFERROR(Y351/H351,"0")+IFERROR(Y352/H352,"0")+IFERROR(Y353/H353,"0")+IFERROR(Y354/H354,"0")+IFERROR(Y355/H355,"0")+IFERROR(Y356/H356,"0")</f>
        <v>191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4.1542499999999993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2850</v>
      </c>
      <c r="Y358" s="555">
        <f>IFERROR(SUM(Y350:Y356),"0")</f>
        <v>2865</v>
      </c>
      <c r="Z358" s="37"/>
      <c r="AA358" s="556"/>
      <c r="AB358" s="556"/>
      <c r="AC358" s="556"/>
    </row>
    <row r="359" spans="1:68" ht="14.25" customHeight="1" x14ac:dyDescent="0.25">
      <c r="A359" s="569" t="s">
        <v>136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793</v>
      </c>
      <c r="Y360" s="554">
        <f>IFERROR(IF(X360="",0,CEILING((X360/$H360),1)*$H360),"")</f>
        <v>795</v>
      </c>
      <c r="Z360" s="36">
        <f>IFERROR(IF(Y360=0,"",ROUNDUP(Y360/H360,0)*0.02175),"")</f>
        <v>1.1527499999999999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817.84733333333338</v>
      </c>
      <c r="BN360" s="64">
        <f>IFERROR(Y360*I360/H360,"0")</f>
        <v>819.91</v>
      </c>
      <c r="BO360" s="64">
        <f>IFERROR(1/J360*(X360/H360),"0")</f>
        <v>1.1013888888888888</v>
      </c>
      <c r="BP360" s="64">
        <f>IFERROR(1/J360*(Y360/H360),"0")</f>
        <v>1.1041666666666665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52.866666666666667</v>
      </c>
      <c r="Y362" s="555">
        <f>IFERROR(Y360/H360,"0")+IFERROR(Y361/H361,"0")</f>
        <v>53</v>
      </c>
      <c r="Z362" s="555">
        <f>IFERROR(IF(Z360="",0,Z360),"0")+IFERROR(IF(Z361="",0,Z361),"0")</f>
        <v>1.1527499999999999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793</v>
      </c>
      <c r="Y363" s="555">
        <f>IFERROR(SUM(Y360:Y361),"0")</f>
        <v>795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22</v>
      </c>
      <c r="Y366" s="554">
        <f>IFERROR(IF(X366="",0,CEILING((X366/$H366),1)*$H366),"")</f>
        <v>27</v>
      </c>
      <c r="Z366" s="36">
        <f>IFERROR(IF(Y366=0,"",ROUNDUP(Y366/H366,0)*0.01898),"")</f>
        <v>5.6940000000000004E-2</v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23.207555555555555</v>
      </c>
      <c r="BN366" s="64">
        <f>IFERROR(Y366*I366/H366,"0")</f>
        <v>28.481999999999996</v>
      </c>
      <c r="BO366" s="64">
        <f>IFERROR(1/J366*(X366/H366),"0")</f>
        <v>3.8194444444444448E-2</v>
      </c>
      <c r="BP366" s="64">
        <f>IFERROR(1/J366*(Y366/H366),"0")</f>
        <v>4.6875E-2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2.4444444444444446</v>
      </c>
      <c r="Y367" s="555">
        <f>IFERROR(Y365/H365,"0")+IFERROR(Y366/H366,"0")</f>
        <v>3</v>
      </c>
      <c r="Z367" s="555">
        <f>IFERROR(IF(Z365="",0,Z365),"0")+IFERROR(IF(Z366="",0,Z366),"0")</f>
        <v>5.6940000000000004E-2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22</v>
      </c>
      <c r="Y368" s="555">
        <f>IFERROR(SUM(Y365:Y366),"0")</f>
        <v>27</v>
      </c>
      <c r="Z368" s="37"/>
      <c r="AA368" s="556"/>
      <c r="AB368" s="556"/>
      <c r="AC368" s="556"/>
    </row>
    <row r="369" spans="1:68" ht="14.25" customHeight="1" x14ac:dyDescent="0.25">
      <c r="A369" s="569" t="s">
        <v>161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65</v>
      </c>
      <c r="Y370" s="554">
        <f>IFERROR(IF(X370="",0,CEILING((X370/$H370),1)*$H370),"")</f>
        <v>72</v>
      </c>
      <c r="Z370" s="36">
        <f>IFERROR(IF(Y370=0,"",ROUNDUP(Y370/H370,0)*0.01898),"")</f>
        <v>0.15184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68.567777777777778</v>
      </c>
      <c r="BN370" s="64">
        <f>IFERROR(Y370*I370/H370,"0")</f>
        <v>75.951999999999998</v>
      </c>
      <c r="BO370" s="64">
        <f>IFERROR(1/J370*(X370/H370),"0")</f>
        <v>0.11284722222222222</v>
      </c>
      <c r="BP370" s="64">
        <f>IFERROR(1/J370*(Y370/H370),"0")</f>
        <v>0.125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7.2222222222222223</v>
      </c>
      <c r="Y371" s="555">
        <f>IFERROR(Y370/H370,"0")</f>
        <v>8</v>
      </c>
      <c r="Z371" s="555">
        <f>IFERROR(IF(Z370="",0,Z370),"0")</f>
        <v>0.15184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65</v>
      </c>
      <c r="Y372" s="555">
        <f>IFERROR(SUM(Y370:Y370),"0")</f>
        <v>72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4301031457</v>
      </c>
      <c r="D380" s="560">
        <v>4607091384802</v>
      </c>
      <c r="E380" s="561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7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4301031303</v>
      </c>
      <c r="D381" s="560">
        <v>4607091384802</v>
      </c>
      <c r="E381" s="561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35</v>
      </c>
      <c r="P381" s="60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115</v>
      </c>
      <c r="Y385" s="554">
        <f>IFERROR(IF(X385="",0,CEILING((X385/$H385),1)*$H385),"")</f>
        <v>117</v>
      </c>
      <c r="Z385" s="36">
        <f>IFERROR(IF(Y385=0,"",ROUNDUP(Y385/H385,0)*0.01898),"")</f>
        <v>0.24674000000000001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121.31222222222222</v>
      </c>
      <c r="BN385" s="64">
        <f>IFERROR(Y385*I385/H385,"0")</f>
        <v>123.422</v>
      </c>
      <c r="BO385" s="64">
        <f>IFERROR(1/J385*(X385/H385),"0")</f>
        <v>0.19965277777777779</v>
      </c>
      <c r="BP385" s="64">
        <f>IFERROR(1/J385*(Y385/H385),"0")</f>
        <v>0.203125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8</v>
      </c>
      <c r="Y386" s="554">
        <f>IFERROR(IF(X386="",0,CEILING((X386/$H386),1)*$H386),"")</f>
        <v>9.6</v>
      </c>
      <c r="Z386" s="36">
        <f>IFERROR(IF(Y386=0,"",ROUNDUP(Y386/H386,0)*0.00651),"")</f>
        <v>2.6040000000000001E-2</v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8.8800000000000008</v>
      </c>
      <c r="BN386" s="64">
        <f>IFERROR(Y386*I386/H386,"0")</f>
        <v>10.656000000000001</v>
      </c>
      <c r="BO386" s="64">
        <f>IFERROR(1/J386*(X386/H386),"0")</f>
        <v>1.8315018315018316E-2</v>
      </c>
      <c r="BP386" s="64">
        <f>IFERROR(1/J386*(Y386/H386),"0")</f>
        <v>2.197802197802198E-2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16.111111111111111</v>
      </c>
      <c r="Y388" s="555">
        <f>IFERROR(Y385/H385,"0")+IFERROR(Y386/H386,"0")+IFERROR(Y387/H387,"0")</f>
        <v>17</v>
      </c>
      <c r="Z388" s="555">
        <f>IFERROR(IF(Z385="",0,Z385),"0")+IFERROR(IF(Z386="",0,Z386),"0")+IFERROR(IF(Z387="",0,Z387),"0")</f>
        <v>0.27278000000000002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123</v>
      </c>
      <c r="Y389" s="555">
        <f>IFERROR(SUM(Y385:Y387),"0")</f>
        <v>126.6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201</v>
      </c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54</v>
      </c>
      <c r="Y393" s="554">
        <f t="shared" ref="Y393:Y401" si="41">IFERROR(IF(X393="",0,CEILING((X393/$H393),1)*$H393),"")</f>
        <v>54</v>
      </c>
      <c r="Z393" s="36">
        <f>IFERROR(IF(Y393=0,"",ROUNDUP(Y393/H393,0)*0.00902),"")</f>
        <v>9.0200000000000002E-2</v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55.9</v>
      </c>
      <c r="BN393" s="64">
        <f t="shared" ref="BN393:BN401" si="43">IFERROR(Y393*I393/H393,"0")</f>
        <v>55.9</v>
      </c>
      <c r="BO393" s="64">
        <f t="shared" ref="BO393:BO401" si="44">IFERROR(1/J393*(X393/H393),"0")</f>
        <v>7.575757575757576E-2</v>
      </c>
      <c r="BP393" s="64">
        <f t="shared" ref="BP393:BP401" si="45">IFERROR(1/J393*(Y393/H393),"0")</f>
        <v>7.575757575757576E-2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10</v>
      </c>
      <c r="Y402" s="555">
        <f>IFERROR(Y393/H393,"0")+IFERROR(Y394/H394,"0")+IFERROR(Y395/H395,"0")+IFERROR(Y396/H396,"0")+IFERROR(Y397/H397,"0")+IFERROR(Y398/H398,"0")+IFERROR(Y399/H399,"0")+IFERROR(Y400/H400,"0")+IFERROR(Y401/H401,"0")</f>
        <v>10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9.0200000000000002E-2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54</v>
      </c>
      <c r="Y403" s="555">
        <f>IFERROR(SUM(Y393:Y401),"0")</f>
        <v>54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136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201</v>
      </c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98</v>
      </c>
      <c r="Y415" s="554">
        <f>IFERROR(IF(X415="",0,CEILING((X415/$H415),1)*$H415),"")</f>
        <v>102.60000000000001</v>
      </c>
      <c r="Z415" s="36">
        <f>IFERROR(IF(Y415=0,"",ROUNDUP(Y415/H415,0)*0.00902),"")</f>
        <v>0.17138</v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101.44814814814814</v>
      </c>
      <c r="BN415" s="64">
        <f>IFERROR(Y415*I415/H415,"0")</f>
        <v>106.21</v>
      </c>
      <c r="BO415" s="64">
        <f>IFERROR(1/J415*(X415/H415),"0")</f>
        <v>0.13748597081930414</v>
      </c>
      <c r="BP415" s="64">
        <f>IFERROR(1/J415*(Y415/H415),"0")</f>
        <v>0.14393939393939395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18.148148148148145</v>
      </c>
      <c r="Y419" s="555">
        <f>IFERROR(Y415/H415,"0")+IFERROR(Y416/H416,"0")+IFERROR(Y417/H417,"0")+IFERROR(Y418/H418,"0")</f>
        <v>19</v>
      </c>
      <c r="Z419" s="555">
        <f>IFERROR(IF(Z415="",0,Z415),"0")+IFERROR(IF(Z416="",0,Z416),"0")+IFERROR(IF(Z417="",0,Z417),"0")+IFERROR(IF(Z418="",0,Z418),"0")</f>
        <v>0.17138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98</v>
      </c>
      <c r="Y420" s="555">
        <f>IFERROR(SUM(Y415:Y418),"0")</f>
        <v>102.60000000000001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18</v>
      </c>
      <c r="Y429" s="554">
        <f t="shared" ref="Y429:Y440" si="47">IFERROR(IF(X429="",0,CEILING((X429/$H429),1)*$H429),"")</f>
        <v>21.12</v>
      </c>
      <c r="Z429" s="36">
        <f t="shared" ref="Z429:Z435" si="48">IFERROR(IF(Y429=0,"",ROUNDUP(Y429/H429,0)*0.01196),"")</f>
        <v>4.7840000000000001E-2</v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ref="BM429:BM440" si="49">IFERROR(X429*I429/H429,"0")</f>
        <v>19.193181818181817</v>
      </c>
      <c r="BN429" s="64">
        <f t="shared" ref="BN429:BN440" si="50">IFERROR(Y429*I429/H429,"0")</f>
        <v>22.52</v>
      </c>
      <c r="BO429" s="64">
        <f t="shared" ref="BO429:BO440" si="51">IFERROR(1/J429*(X429/H429),"0")</f>
        <v>3.277972027972028E-2</v>
      </c>
      <c r="BP429" s="64">
        <f t="shared" ref="BP429:BP440" si="52">IFERROR(1/J429*(Y429/H429),"0")</f>
        <v>3.8461538461538464E-2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18</v>
      </c>
      <c r="Y433" s="554">
        <f t="shared" si="47"/>
        <v>21.12</v>
      </c>
      <c r="Z433" s="36">
        <f t="shared" si="48"/>
        <v>4.7840000000000001E-2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19.193181818181817</v>
      </c>
      <c r="BN433" s="64">
        <f t="shared" si="50"/>
        <v>22.52</v>
      </c>
      <c r="BO433" s="64">
        <f t="shared" si="51"/>
        <v>3.277972027972028E-2</v>
      </c>
      <c r="BP433" s="64">
        <f t="shared" si="52"/>
        <v>3.8461538461538464E-2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99</v>
      </c>
      <c r="Y435" s="554">
        <f t="shared" si="47"/>
        <v>100.32000000000001</v>
      </c>
      <c r="Z435" s="36">
        <f t="shared" si="48"/>
        <v>0.22724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105.5625</v>
      </c>
      <c r="BN435" s="64">
        <f t="shared" si="50"/>
        <v>106.97</v>
      </c>
      <c r="BO435" s="64">
        <f t="shared" si="51"/>
        <v>0.18028846153846154</v>
      </c>
      <c r="BP435" s="64">
        <f t="shared" si="52"/>
        <v>0.18269230769230771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15</v>
      </c>
      <c r="Y440" s="554">
        <f t="shared" si="47"/>
        <v>19.2</v>
      </c>
      <c r="Z440" s="36">
        <f>IFERROR(IF(Y440=0,"",ROUNDUP(Y440/H440,0)*0.00902),"")</f>
        <v>3.6080000000000001E-2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21.593750000000004</v>
      </c>
      <c r="BN440" s="64">
        <f t="shared" si="50"/>
        <v>27.64</v>
      </c>
      <c r="BO440" s="64">
        <f t="shared" si="51"/>
        <v>2.3674242424242424E-2</v>
      </c>
      <c r="BP440" s="64">
        <f t="shared" si="52"/>
        <v>3.0303030303030304E-2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28.693181818181817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31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0.35899999999999999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150</v>
      </c>
      <c r="Y442" s="555">
        <f>IFERROR(SUM(Y429:Y440),"0")</f>
        <v>161.76</v>
      </c>
      <c r="Z442" s="37"/>
      <c r="AA442" s="556"/>
      <c r="AB442" s="556"/>
      <c r="AC442" s="556"/>
    </row>
    <row r="443" spans="1:68" ht="14.25" customHeight="1" x14ac:dyDescent="0.25">
      <c r="A443" s="569" t="s">
        <v>136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111</v>
      </c>
      <c r="Y444" s="554">
        <f>IFERROR(IF(X444="",0,CEILING((X444/$H444),1)*$H444),"")</f>
        <v>116.16000000000001</v>
      </c>
      <c r="Z444" s="36">
        <f>IFERROR(IF(Y444=0,"",ROUNDUP(Y444/H444,0)*0.01196),"")</f>
        <v>0.26312000000000002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118.35795454545453</v>
      </c>
      <c r="BN444" s="64">
        <f>IFERROR(Y444*I444/H444,"0")</f>
        <v>123.86</v>
      </c>
      <c r="BO444" s="64">
        <f>IFERROR(1/J444*(X444/H444),"0")</f>
        <v>0.20214160839160841</v>
      </c>
      <c r="BP444" s="64">
        <f>IFERROR(1/J444*(Y444/H444),"0")</f>
        <v>0.21153846153846156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21.022727272727273</v>
      </c>
      <c r="Y447" s="555">
        <f>IFERROR(Y444/H444,"0")+IFERROR(Y445/H445,"0")+IFERROR(Y446/H446,"0")</f>
        <v>22</v>
      </c>
      <c r="Z447" s="555">
        <f>IFERROR(IF(Z444="",0,Z444),"0")+IFERROR(IF(Z445="",0,Z445),"0")+IFERROR(IF(Z446="",0,Z446),"0")</f>
        <v>0.26312000000000002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111</v>
      </c>
      <c r="Y448" s="555">
        <f>IFERROR(SUM(Y444:Y446),"0")</f>
        <v>116.16000000000001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136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21</v>
      </c>
      <c r="Y482" s="554">
        <f>IFERROR(IF(X482="",0,CEILING((X482/$H482),1)*$H482),"")</f>
        <v>27</v>
      </c>
      <c r="Z482" s="36">
        <f>IFERROR(IF(Y482=0,"",ROUNDUP(Y482/H482,0)*0.01898),"")</f>
        <v>5.6940000000000004E-2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22.152666666666665</v>
      </c>
      <c r="BN482" s="64">
        <f>IFERROR(Y482*I482/H482,"0")</f>
        <v>28.481999999999996</v>
      </c>
      <c r="BO482" s="64">
        <f>IFERROR(1/J482*(X482/H482),"0")</f>
        <v>3.6458333333333336E-2</v>
      </c>
      <c r="BP482" s="64">
        <f>IFERROR(1/J482*(Y482/H482),"0")</f>
        <v>4.6875E-2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2.3333333333333335</v>
      </c>
      <c r="Y483" s="555">
        <f>IFERROR(Y482/H482,"0")</f>
        <v>3</v>
      </c>
      <c r="Z483" s="555">
        <f>IFERROR(IF(Z482="",0,Z482),"0")</f>
        <v>5.6940000000000004E-2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21</v>
      </c>
      <c r="Y484" s="555">
        <f>IFERROR(SUM(Y482:Y482),"0")</f>
        <v>27</v>
      </c>
      <c r="Z484" s="37"/>
      <c r="AA484" s="556"/>
      <c r="AB484" s="556"/>
      <c r="AC484" s="556"/>
    </row>
    <row r="485" spans="1:68" ht="14.25" customHeight="1" x14ac:dyDescent="0.25">
      <c r="A485" s="569" t="s">
        <v>161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136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6271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6405.9400000000005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6516.5993576803976</v>
      </c>
      <c r="Y496" s="555">
        <f>IFERROR(SUM(BN22:BN492),"0")</f>
        <v>6660.4780000000001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10</v>
      </c>
      <c r="Y497" s="38">
        <f>ROUNDUP(SUM(BP22:BP492),0)</f>
        <v>10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6766.5993576803976</v>
      </c>
      <c r="Y498" s="555">
        <f>GrossWeightTotalR+PalletQtyTotalR*25</f>
        <v>6910.4780000000001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737.44931605445652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761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10.714080000000001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117</v>
      </c>
      <c r="E503" s="598" t="s">
        <v>168</v>
      </c>
      <c r="F503" s="598" t="s">
        <v>190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140.70000000000002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76.8</v>
      </c>
      <c r="E505" s="46">
        <f>IFERROR(Y85*1,"0")+IFERROR(Y86*1,"0")+IFERROR(Y87*1,"0")+IFERROR(Y88*1,"0")+IFERROR(Y92*1,"0")+IFERROR(Y93*1,"0")+IFERROR(Y94*1,"0")+IFERROR(Y95*1,"0")</f>
        <v>197.1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172.8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332.58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1029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7.3800000000000008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102.46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3759</v>
      </c>
      <c r="T505" s="46">
        <f>IFERROR(Y375*1,"0")+IFERROR(Y376*1,"0")+IFERROR(Y380*1,"0")+IFERROR(Y381*1,"0")+IFERROR(Y385*1,"0")+IFERROR(Y386*1,"0")+IFERROR(Y387*1,"0")</f>
        <v>126.6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54</v>
      </c>
      <c r="V505" s="46">
        <f>IFERROR(Y411*1,"0")+IFERROR(Y415*1,"0")+IFERROR(Y416*1,"0")+IFERROR(Y417*1,"0")+IFERROR(Y418*1,"0")</f>
        <v>102.60000000000001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277.92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27</v>
      </c>
      <c r="Z505" s="46">
        <f>IFERROR(Y492*1,"0")</f>
        <v>0</v>
      </c>
      <c r="AB505" s="52"/>
      <c r="AC505" s="52"/>
      <c r="AF505" s="551"/>
    </row>
  </sheetData>
  <sheetProtection algorithmName="SHA-512" hashValue="6jJLVR9Kh3xkPeOjX9tI0ECkwRW+QVtdgqDKqI1ZpQoXVz8JjHAmGUOiLzYyxB/TVjzKo0TWSo3oxPZmiXiGtA==" saltValue="tvhr3l2hPHTKT/bzG7FOE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85 X92 X100 X103 X115 X117 X169 X171 X173 X205:X206 X208 X219 X221:X224 X281:X282 X323 X350:X351 X353 X360 X385 X393 X415 X433 X435 X444 X450:X452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irhARvDOmEDhYt2jKtuBONf/mh7oA6BfKTQBjT0hSP5OeZ/POQXKwI4umYDz1w5//Wi5B1imRo653gbFCNcvpQ==" saltValue="dQD4P7UdeeFqgr6FQD3X2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2025-12-26T08:59:33Z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