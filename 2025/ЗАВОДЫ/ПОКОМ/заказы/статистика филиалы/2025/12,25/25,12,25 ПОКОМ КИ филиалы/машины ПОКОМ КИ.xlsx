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C879517F-5145-4284-B11E-E093EDDB9A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4" i="1" l="1"/>
  <c r="AA9" i="1"/>
  <c r="AA7" i="1"/>
  <c r="AA6" i="1"/>
  <c r="AA5" i="1"/>
  <c r="AA3" i="1"/>
  <c r="L10" i="1"/>
  <c r="Z8" i="1"/>
  <c r="Y8" i="1"/>
  <c r="X8" i="1"/>
  <c r="W8" i="1"/>
  <c r="V8" i="1"/>
  <c r="U8" i="1"/>
  <c r="T8" i="1"/>
  <c r="S8" i="1"/>
  <c r="R8" i="1"/>
  <c r="Q8" i="1"/>
  <c r="P8" i="1"/>
  <c r="O8" i="1"/>
  <c r="C8" i="1" l="1"/>
  <c r="N8" i="1" l="1"/>
  <c r="N10" i="1" s="1"/>
  <c r="M8" i="1"/>
  <c r="L8" i="1"/>
  <c r="D8" i="1" l="1"/>
  <c r="E8" i="1"/>
  <c r="F8" i="1"/>
  <c r="G8" i="1"/>
  <c r="H8" i="1"/>
  <c r="I8" i="1"/>
  <c r="J8" i="1"/>
  <c r="K8" i="1"/>
  <c r="B8" i="1" l="1"/>
  <c r="AA8" i="1" l="1"/>
</calcChain>
</file>

<file path=xl/sharedStrings.xml><?xml version="1.0" encoding="utf-8"?>
<sst xmlns="http://schemas.openxmlformats.org/spreadsheetml/2006/main" count="66" uniqueCount="25">
  <si>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</si>
  <si>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</si>
  <si>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</si>
  <si>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</si>
  <si>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</si>
  <si>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</si>
  <si>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</si>
  <si>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</si>
  <si>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</si>
  <si>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</si>
  <si>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</si>
  <si>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НПК ЛП</t>
  </si>
  <si>
    <t>Сыры</t>
  </si>
  <si>
    <t>1 машина на 03,01</t>
  </si>
  <si>
    <t>2 машина на 03,01</t>
  </si>
  <si>
    <t>3 машина на 03,01</t>
  </si>
  <si>
    <t>1 машина на 04,01</t>
  </si>
  <si>
    <t>1 машина на 05,01</t>
  </si>
  <si>
    <t>2 машина на 05,01</t>
  </si>
  <si>
    <t>3 машина на 05,01</t>
  </si>
  <si>
    <t>4 машина на 05,01</t>
  </si>
  <si>
    <t>03,01,</t>
  </si>
  <si>
    <t>04,01,</t>
  </si>
  <si>
    <t>05,01,</t>
  </si>
  <si>
    <t>НПК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</si>
</sst>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zoomScaleNormal="100" workbookViewId="0">
      <selection activeCell="AC14" sqref="AC14"/>
    </sheetView>
  </sheetViews>
  <sheetFormatPr defaultRowHeight="15" x14ac:dyDescent="0.25"/>
  <cols>
    <col min="1" max="1" width="16.42578125" customWidth="1"/>
    <col min="2" max="2" width="12" customWidth="1"/>
    <col min="3" max="26" width="8.42578125" customWidth="1"/>
    <col min="27" max="27" width="8.140625" bestFit="1" customWidth="1"/>
  </cols>
  <sheetData>
    <row r="1" spans="1:27" x14ac:dyDescent="0.25">
      <c r="A1" s="30" t="s">
        <v>4</v>
      </c>
      <c r="B1" s="32" t="s">
        <v>5</v>
      </c>
      <c r="C1" s="30" t="s">
        <v>13</v>
      </c>
      <c r="D1" s="34"/>
      <c r="E1" s="35"/>
      <c r="F1" s="30" t="s">
        <v>14</v>
      </c>
      <c r="G1" s="34"/>
      <c r="H1" s="35"/>
      <c r="I1" s="30" t="s">
        <v>15</v>
      </c>
      <c r="J1" s="34"/>
      <c r="K1" s="35"/>
      <c r="L1" s="30" t="s">
        <v>16</v>
      </c>
      <c r="M1" s="34"/>
      <c r="N1" s="35"/>
      <c r="O1" s="30" t="s">
        <v>17</v>
      </c>
      <c r="P1" s="34"/>
      <c r="Q1" s="35"/>
      <c r="R1" s="30" t="s">
        <v>18</v>
      </c>
      <c r="S1" s="34"/>
      <c r="T1" s="35"/>
      <c r="U1" s="30" t="s">
        <v>19</v>
      </c>
      <c r="V1" s="34"/>
      <c r="W1" s="35"/>
      <c r="X1" s="30" t="s">
        <v>20</v>
      </c>
      <c r="Y1" s="34"/>
      <c r="Z1" s="35"/>
      <c r="AA1" s="28" t="s">
        <v>6</v>
      </c>
    </row>
    <row r="2" spans="1:27" ht="15.75" thickBot="1" x14ac:dyDescent="0.3">
      <c r="A2" s="31"/>
      <c r="B2" s="33"/>
      <c r="C2" s="11" t="s">
        <v>8</v>
      </c>
      <c r="D2" s="8" t="s">
        <v>9</v>
      </c>
      <c r="E2" s="12" t="s">
        <v>10</v>
      </c>
      <c r="F2" s="11" t="s">
        <v>8</v>
      </c>
      <c r="G2" s="8" t="s">
        <v>9</v>
      </c>
      <c r="H2" s="12" t="s">
        <v>10</v>
      </c>
      <c r="I2" s="11" t="s">
        <v>8</v>
      </c>
      <c r="J2" s="8" t="s">
        <v>9</v>
      </c>
      <c r="K2" s="12" t="s">
        <v>10</v>
      </c>
      <c r="L2" s="11" t="s">
        <v>8</v>
      </c>
      <c r="M2" s="8" t="s">
        <v>9</v>
      </c>
      <c r="N2" s="12" t="s">
        <v>10</v>
      </c>
      <c r="O2" s="11" t="s">
        <v>8</v>
      </c>
      <c r="P2" s="8" t="s">
        <v>9</v>
      </c>
      <c r="Q2" s="12" t="s">
        <v>10</v>
      </c>
      <c r="R2" s="11" t="s">
        <v>8</v>
      </c>
      <c r="S2" s="8" t="s">
        <v>9</v>
      </c>
      <c r="T2" s="12" t="s">
        <v>10</v>
      </c>
      <c r="U2" s="11" t="s">
        <v>8</v>
      </c>
      <c r="V2" s="8" t="s">
        <v>9</v>
      </c>
      <c r="W2" s="12" t="s">
        <v>10</v>
      </c>
      <c r="X2" s="11" t="s">
        <v>8</v>
      </c>
      <c r="Y2" s="8" t="s">
        <v>9</v>
      </c>
      <c r="Z2" s="12" t="s">
        <v>10</v>
      </c>
      <c r="AA2" s="29"/>
    </row>
    <row r="3" spans="1:27" x14ac:dyDescent="0.25">
      <c r="A3" s="6" t="s">
        <v>0</v>
      </c>
      <c r="B3" s="9">
        <v>12470</v>
      </c>
      <c r="C3" s="6"/>
      <c r="D3" s="3"/>
      <c r="E3" s="7"/>
      <c r="F3" s="6">
        <v>6270</v>
      </c>
      <c r="G3" s="3">
        <v>6910</v>
      </c>
      <c r="H3" s="7">
        <v>10</v>
      </c>
      <c r="I3" s="6"/>
      <c r="J3" s="3"/>
      <c r="K3" s="7"/>
      <c r="L3" s="6"/>
      <c r="M3" s="3"/>
      <c r="N3" s="7"/>
      <c r="O3" s="6"/>
      <c r="P3" s="3"/>
      <c r="Q3" s="7"/>
      <c r="R3" s="6">
        <v>6200</v>
      </c>
      <c r="S3" s="3">
        <v>6816</v>
      </c>
      <c r="T3" s="7">
        <v>10</v>
      </c>
      <c r="U3" s="6"/>
      <c r="V3" s="3"/>
      <c r="W3" s="7"/>
      <c r="X3" s="6"/>
      <c r="Y3" s="3"/>
      <c r="Z3" s="7"/>
      <c r="AA3" s="13">
        <f>B3-C3-F3-I3-L3-O3-R3-U3-X3</f>
        <v>0</v>
      </c>
    </row>
    <row r="4" spans="1:27" x14ac:dyDescent="0.25">
      <c r="A4" s="4" t="s">
        <v>1</v>
      </c>
      <c r="B4" s="10">
        <v>43460</v>
      </c>
      <c r="C4" s="4">
        <v>10000</v>
      </c>
      <c r="D4" s="2">
        <v>11253</v>
      </c>
      <c r="E4" s="5">
        <v>18</v>
      </c>
      <c r="F4" s="4"/>
      <c r="G4" s="2"/>
      <c r="H4" s="5"/>
      <c r="I4" s="4">
        <v>8500</v>
      </c>
      <c r="J4" s="2">
        <v>9399</v>
      </c>
      <c r="K4" s="5">
        <v>15</v>
      </c>
      <c r="L4" s="4">
        <v>4000</v>
      </c>
      <c r="M4" s="2">
        <v>4429</v>
      </c>
      <c r="N4" s="5">
        <v>7</v>
      </c>
      <c r="O4" s="4">
        <v>10100</v>
      </c>
      <c r="P4" s="2">
        <v>11321</v>
      </c>
      <c r="Q4" s="5">
        <v>18</v>
      </c>
      <c r="R4" s="4"/>
      <c r="S4" s="2"/>
      <c r="T4" s="5"/>
      <c r="U4" s="4">
        <v>8460</v>
      </c>
      <c r="V4" s="2">
        <v>9376</v>
      </c>
      <c r="W4" s="5">
        <v>15</v>
      </c>
      <c r="X4" s="4">
        <v>2400</v>
      </c>
      <c r="Y4" s="2">
        <v>2663</v>
      </c>
      <c r="Z4" s="5">
        <v>5</v>
      </c>
      <c r="AA4" s="13">
        <f>B4-C4-F4-I4-L4-O4-R4-U4-X4</f>
        <v>0</v>
      </c>
    </row>
    <row r="5" spans="1:27" x14ac:dyDescent="0.25">
      <c r="A5" s="4" t="s">
        <v>2</v>
      </c>
      <c r="B5" s="10">
        <v>43290</v>
      </c>
      <c r="C5" s="4"/>
      <c r="D5" s="2"/>
      <c r="E5" s="5"/>
      <c r="F5" s="4">
        <v>10900</v>
      </c>
      <c r="G5" s="2">
        <v>12219</v>
      </c>
      <c r="H5" s="5">
        <v>19</v>
      </c>
      <c r="I5" s="4">
        <v>8700</v>
      </c>
      <c r="J5" s="2">
        <v>9568</v>
      </c>
      <c r="K5" s="5">
        <v>15</v>
      </c>
      <c r="L5" s="4">
        <v>4000</v>
      </c>
      <c r="M5" s="2">
        <v>4382</v>
      </c>
      <c r="N5" s="5">
        <v>7</v>
      </c>
      <c r="O5" s="4"/>
      <c r="P5" s="2"/>
      <c r="Q5" s="5"/>
      <c r="R5" s="4">
        <v>10900</v>
      </c>
      <c r="S5" s="2">
        <v>12283</v>
      </c>
      <c r="T5" s="5">
        <v>20</v>
      </c>
      <c r="U5" s="4">
        <v>8790</v>
      </c>
      <c r="V5" s="2">
        <v>9617</v>
      </c>
      <c r="W5" s="5">
        <v>14</v>
      </c>
      <c r="X5" s="4"/>
      <c r="Y5" s="2"/>
      <c r="Z5" s="5"/>
      <c r="AA5" s="13">
        <f>B5-C5-F5-I5-L5-O5-R5-U5-X5</f>
        <v>0</v>
      </c>
    </row>
    <row r="6" spans="1:27" x14ac:dyDescent="0.25">
      <c r="A6" s="4" t="s">
        <v>3</v>
      </c>
      <c r="B6" s="10">
        <v>14160</v>
      </c>
      <c r="C6" s="4">
        <v>7160</v>
      </c>
      <c r="D6" s="2">
        <v>7973</v>
      </c>
      <c r="E6" s="5">
        <v>12</v>
      </c>
      <c r="F6" s="4"/>
      <c r="G6" s="2"/>
      <c r="H6" s="5"/>
      <c r="I6" s="4"/>
      <c r="J6" s="2"/>
      <c r="K6" s="5"/>
      <c r="L6" s="4"/>
      <c r="M6" s="2"/>
      <c r="N6" s="5"/>
      <c r="O6" s="4">
        <v>7000</v>
      </c>
      <c r="P6" s="2">
        <v>7784</v>
      </c>
      <c r="Q6" s="5">
        <v>12</v>
      </c>
      <c r="R6" s="4"/>
      <c r="S6" s="2"/>
      <c r="T6" s="5"/>
      <c r="U6" s="4"/>
      <c r="V6" s="2"/>
      <c r="W6" s="5"/>
      <c r="X6" s="4"/>
      <c r="Y6" s="2"/>
      <c r="Z6" s="5"/>
      <c r="AA6" s="13">
        <f>B6-C6-F6-I6-L6-O6-R6-U6-X6</f>
        <v>0</v>
      </c>
    </row>
    <row r="7" spans="1:27" ht="15.75" thickBot="1" x14ac:dyDescent="0.3">
      <c r="A7" s="14" t="s">
        <v>11</v>
      </c>
      <c r="B7" s="15">
        <v>14780</v>
      </c>
      <c r="C7" s="14"/>
      <c r="D7" s="16"/>
      <c r="E7" s="17"/>
      <c r="F7" s="14"/>
      <c r="G7" s="16"/>
      <c r="H7" s="17"/>
      <c r="I7" s="14"/>
      <c r="J7" s="16"/>
      <c r="K7" s="17"/>
      <c r="L7" s="14"/>
      <c r="M7" s="16"/>
      <c r="N7" s="17"/>
      <c r="O7" s="14"/>
      <c r="P7" s="16"/>
      <c r="Q7" s="17"/>
      <c r="R7" s="14"/>
      <c r="S7" s="16"/>
      <c r="T7" s="17"/>
      <c r="U7" s="14"/>
      <c r="V7" s="16"/>
      <c r="W7" s="17"/>
      <c r="X7" s="14">
        <v>14780</v>
      </c>
      <c r="Y7" s="16">
        <v>16638</v>
      </c>
      <c r="Z7" s="17">
        <v>26</v>
      </c>
      <c r="AA7" s="13">
        <f>B7-C7-F7-I7-L7-O7-R7-U7-X7</f>
        <v>0</v>
      </c>
    </row>
    <row r="8" spans="1:27" s="1" customFormat="1" ht="15.75" thickBot="1" x14ac:dyDescent="0.3">
      <c r="A8" s="18" t="s">
        <v>7</v>
      </c>
      <c r="B8" s="19">
        <f t="shared" ref="B8:AA8" si="0">SUM(B3:B7)</f>
        <v>128160</v>
      </c>
      <c r="C8" s="18">
        <f t="shared" si="0"/>
        <v>17160</v>
      </c>
      <c r="D8" s="20">
        <f t="shared" si="0"/>
        <v>19226</v>
      </c>
      <c r="E8" s="21">
        <f t="shared" si="0"/>
        <v>30</v>
      </c>
      <c r="F8" s="18">
        <f t="shared" si="0"/>
        <v>17170</v>
      </c>
      <c r="G8" s="20">
        <f t="shared" si="0"/>
        <v>19129</v>
      </c>
      <c r="H8" s="21">
        <f t="shared" si="0"/>
        <v>29</v>
      </c>
      <c r="I8" s="18">
        <f t="shared" si="0"/>
        <v>17200</v>
      </c>
      <c r="J8" s="20">
        <f t="shared" si="0"/>
        <v>18967</v>
      </c>
      <c r="K8" s="21">
        <f t="shared" si="0"/>
        <v>30</v>
      </c>
      <c r="L8" s="18">
        <f t="shared" si="0"/>
        <v>8000</v>
      </c>
      <c r="M8" s="20">
        <f t="shared" si="0"/>
        <v>8811</v>
      </c>
      <c r="N8" s="21">
        <f t="shared" si="0"/>
        <v>14</v>
      </c>
      <c r="O8" s="18">
        <f t="shared" ref="O8:W8" si="1">SUM(O3:O7)</f>
        <v>17100</v>
      </c>
      <c r="P8" s="20">
        <f t="shared" si="1"/>
        <v>19105</v>
      </c>
      <c r="Q8" s="21">
        <f t="shared" si="1"/>
        <v>30</v>
      </c>
      <c r="R8" s="18">
        <f t="shared" si="1"/>
        <v>17100</v>
      </c>
      <c r="S8" s="20">
        <f t="shared" si="1"/>
        <v>19099</v>
      </c>
      <c r="T8" s="21">
        <f t="shared" si="1"/>
        <v>30</v>
      </c>
      <c r="U8" s="18">
        <f t="shared" si="1"/>
        <v>17250</v>
      </c>
      <c r="V8" s="20">
        <f t="shared" si="1"/>
        <v>18993</v>
      </c>
      <c r="W8" s="21">
        <f t="shared" si="1"/>
        <v>29</v>
      </c>
      <c r="X8" s="18">
        <f t="shared" ref="X8:Z8" si="2">SUM(X3:X7)</f>
        <v>17180</v>
      </c>
      <c r="Y8" s="20">
        <f t="shared" si="2"/>
        <v>19301</v>
      </c>
      <c r="Z8" s="21">
        <f t="shared" si="2"/>
        <v>31</v>
      </c>
      <c r="AA8" s="22">
        <f t="shared" si="0"/>
        <v>0</v>
      </c>
    </row>
    <row r="9" spans="1:27" ht="15.75" thickBot="1" x14ac:dyDescent="0.3">
      <c r="A9" s="23" t="s">
        <v>12</v>
      </c>
      <c r="B9" s="24">
        <v>7500</v>
      </c>
      <c r="C9" s="23"/>
      <c r="D9" s="25"/>
      <c r="E9" s="26"/>
      <c r="F9" s="23"/>
      <c r="G9" s="25"/>
      <c r="H9" s="26"/>
      <c r="I9" s="23"/>
      <c r="J9" s="25"/>
      <c r="K9" s="26"/>
      <c r="L9" s="23">
        <v>7500</v>
      </c>
      <c r="M9" s="25"/>
      <c r="N9" s="26">
        <v>16</v>
      </c>
      <c r="O9" s="23"/>
      <c r="P9" s="25"/>
      <c r="Q9" s="26"/>
      <c r="R9" s="23"/>
      <c r="S9" s="25"/>
      <c r="T9" s="26"/>
      <c r="U9" s="23"/>
      <c r="V9" s="25"/>
      <c r="W9" s="26"/>
      <c r="X9" s="23"/>
      <c r="Y9" s="25"/>
      <c r="Z9" s="26"/>
      <c r="AA9" s="27">
        <f>B9-C9-F9-I9-L9-O9-R9-U9-X9</f>
        <v>0</v>
      </c>
    </row>
    <row r="10" spans="1:27" x14ac:dyDescent="0.25">
      <c r="L10">
        <f>SUM(L8:L9)</f>
        <v>15500</v>
      </c>
      <c r="N10">
        <f>SUM(N8:N9)</f>
        <v>30</v>
      </c>
    </row>
    <row r="11" spans="1:27" x14ac:dyDescent="0.25">
      <c r="N11">
        <v>16</v>
      </c>
    </row>
    <row r="13" spans="1:27" x14ac:dyDescent="0.25">
      <c r="C13" t="s">
        <v>21</v>
      </c>
      <c r="F13" t="s">
        <v>21</v>
      </c>
      <c r="I13" t="s">
        <v>21</v>
      </c>
      <c r="L13" t="s">
        <v>22</v>
      </c>
      <c r="O13" t="s">
        <v>23</v>
      </c>
      <c r="R13" t="s">
        <v>23</v>
      </c>
      <c r="U13" t="s">
        <v>23</v>
      </c>
      <c r="X13" t="s">
        <v>23</v>
      </c>
    </row>
    <row r="14" spans="1:27" x14ac:dyDescent="0.25">
      <c r="C14">
        <v>1</v>
      </c>
      <c r="F14">
        <v>2</v>
      </c>
      <c r="I14">
        <v>3</v>
      </c>
      <c r="L14">
        <v>4</v>
      </c>
      <c r="O14">
        <v>5</v>
      </c>
      <c r="R14">
        <v>6</v>
      </c>
      <c r="U14">
        <v>7</v>
      </c>
      <c r="X14">
        <v>8</v>
      </c>
    </row>
    <row r="15" spans="1:27" x14ac:dyDescent="0.25">
      <c r="C15" t="s">
        <v>1</v>
      </c>
      <c r="F15" t="s">
        <v>0</v>
      </c>
      <c r="I15" t="s">
        <v>1</v>
      </c>
      <c r="L15" t="s">
        <v>1</v>
      </c>
      <c r="O15" t="s">
        <v>1</v>
      </c>
      <c r="R15" t="s">
        <v>0</v>
      </c>
      <c r="U15" t="s">
        <v>1</v>
      </c>
      <c r="X15" t="s">
        <v>1</v>
      </c>
    </row>
    <row r="16" spans="1:27" x14ac:dyDescent="0.25">
      <c r="C16" t="s">
        <v>3</v>
      </c>
      <c r="F16" t="s">
        <v>2</v>
      </c>
      <c r="I16" t="s">
        <v>2</v>
      </c>
      <c r="L16" t="s">
        <v>2</v>
      </c>
      <c r="O16" t="s">
        <v>3</v>
      </c>
      <c r="R16" t="s">
        <v>2</v>
      </c>
      <c r="U16" t="s">
        <v>2</v>
      </c>
      <c r="X16" t="s">
        <v>24</v>
      </c>
    </row>
  </sheetData>
  <mergeCells count="11">
    <mergeCell ref="AA1:AA2"/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2025-12-26T09:31:15Z</dcterms:modified>
</cp:coreProperties>
</file>