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"/>
    </mc:Choice>
  </mc:AlternateContent>
  <xr:revisionPtr revIDLastSave="0" documentId="13_ncr:1_{8FE061D5-EED6-46C5-B1C1-280A4D1275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6" i="1"/>
  <c r="V5" i="1"/>
  <c r="AL5" i="1" l="1"/>
  <c r="T19" i="1"/>
  <c r="U19" i="1" s="1"/>
  <c r="AK19" i="1" s="1"/>
  <c r="T21" i="1"/>
  <c r="U21" i="1" s="1"/>
  <c r="AK21" i="1" s="1"/>
  <c r="T24" i="1"/>
  <c r="U24" i="1" s="1"/>
  <c r="AK24" i="1" s="1"/>
  <c r="T26" i="1"/>
  <c r="U26" i="1" s="1"/>
  <c r="AK26" i="1" s="1"/>
  <c r="T27" i="1"/>
  <c r="U27" i="1" s="1"/>
  <c r="AK27" i="1" s="1"/>
  <c r="T28" i="1"/>
  <c r="U28" i="1" s="1"/>
  <c r="AK28" i="1" s="1"/>
  <c r="T29" i="1"/>
  <c r="U29" i="1" s="1"/>
  <c r="AK29" i="1" s="1"/>
  <c r="T30" i="1"/>
  <c r="U30" i="1" s="1"/>
  <c r="AK30" i="1" s="1"/>
  <c r="T31" i="1"/>
  <c r="U31" i="1" s="1"/>
  <c r="AK31" i="1" s="1"/>
  <c r="T33" i="1"/>
  <c r="U33" i="1" s="1"/>
  <c r="AK33" i="1" s="1"/>
  <c r="T37" i="1"/>
  <c r="U37" i="1" s="1"/>
  <c r="AK37" i="1" s="1"/>
  <c r="T39" i="1"/>
  <c r="U39" i="1" s="1"/>
  <c r="AK39" i="1" s="1"/>
  <c r="T40" i="1"/>
  <c r="U40" i="1" s="1"/>
  <c r="AK40" i="1" s="1"/>
  <c r="T41" i="1"/>
  <c r="U41" i="1" s="1"/>
  <c r="AK41" i="1" s="1"/>
  <c r="T45" i="1"/>
  <c r="U45" i="1" s="1"/>
  <c r="AK45" i="1" s="1"/>
  <c r="T51" i="1"/>
  <c r="U51" i="1" s="1"/>
  <c r="AK51" i="1" s="1"/>
  <c r="T53" i="1"/>
  <c r="U53" i="1" s="1"/>
  <c r="AK53" i="1" s="1"/>
  <c r="T54" i="1"/>
  <c r="U54" i="1" s="1"/>
  <c r="AK54" i="1" s="1"/>
  <c r="T57" i="1"/>
  <c r="U57" i="1" s="1"/>
  <c r="AK57" i="1" s="1"/>
  <c r="T58" i="1"/>
  <c r="U58" i="1" s="1"/>
  <c r="AK58" i="1" s="1"/>
  <c r="T60" i="1"/>
  <c r="U60" i="1" s="1"/>
  <c r="AK60" i="1" s="1"/>
  <c r="T65" i="1"/>
  <c r="U65" i="1" s="1"/>
  <c r="AK65" i="1" s="1"/>
  <c r="T66" i="1"/>
  <c r="U66" i="1" s="1"/>
  <c r="AK66" i="1" s="1"/>
  <c r="T67" i="1"/>
  <c r="U67" i="1" s="1"/>
  <c r="AK67" i="1" s="1"/>
  <c r="T68" i="1"/>
  <c r="U68" i="1" s="1"/>
  <c r="AK68" i="1" s="1"/>
  <c r="T69" i="1"/>
  <c r="U69" i="1" s="1"/>
  <c r="AK69" i="1" s="1"/>
  <c r="T71" i="1"/>
  <c r="U71" i="1" s="1"/>
  <c r="AK71" i="1" s="1"/>
  <c r="T73" i="1"/>
  <c r="U73" i="1" s="1"/>
  <c r="AK73" i="1" s="1"/>
  <c r="T74" i="1"/>
  <c r="U74" i="1" s="1"/>
  <c r="AK74" i="1" s="1"/>
  <c r="T79" i="1"/>
  <c r="U79" i="1" s="1"/>
  <c r="AK79" i="1" s="1"/>
  <c r="T80" i="1"/>
  <c r="U80" i="1" s="1"/>
  <c r="AK80" i="1" s="1"/>
  <c r="T82" i="1"/>
  <c r="U82" i="1" s="1"/>
  <c r="AK82" i="1" s="1"/>
  <c r="T83" i="1"/>
  <c r="U83" i="1" s="1"/>
  <c r="AK83" i="1" s="1"/>
  <c r="T84" i="1"/>
  <c r="U84" i="1" s="1"/>
  <c r="AK84" i="1" s="1"/>
  <c r="T86" i="1"/>
  <c r="U86" i="1" s="1"/>
  <c r="AK86" i="1" s="1"/>
  <c r="T87" i="1"/>
  <c r="U87" i="1" s="1"/>
  <c r="AK87" i="1" s="1"/>
  <c r="T88" i="1"/>
  <c r="U88" i="1" s="1"/>
  <c r="AK88" i="1" s="1"/>
  <c r="T89" i="1"/>
  <c r="U89" i="1" s="1"/>
  <c r="AK89" i="1" s="1"/>
  <c r="T90" i="1"/>
  <c r="U90" i="1" s="1"/>
  <c r="AK90" i="1" s="1"/>
  <c r="T92" i="1"/>
  <c r="U92" i="1" s="1"/>
  <c r="AK92" i="1" s="1"/>
  <c r="T93" i="1"/>
  <c r="U93" i="1" s="1"/>
  <c r="AK93" i="1" s="1"/>
  <c r="T95" i="1"/>
  <c r="U95" i="1" s="1"/>
  <c r="AK95" i="1" s="1"/>
  <c r="T6" i="1"/>
  <c r="U6" i="1" s="1"/>
  <c r="AK6" i="1" s="1"/>
  <c r="Q67" i="1" l="1"/>
  <c r="Z67" i="1" s="1"/>
  <c r="Q95" i="1"/>
  <c r="Z95" i="1" s="1"/>
  <c r="L95" i="1"/>
  <c r="Q94" i="1"/>
  <c r="AA94" i="1" s="1"/>
  <c r="L94" i="1"/>
  <c r="Q93" i="1"/>
  <c r="Z93" i="1" s="1"/>
  <c r="L93" i="1"/>
  <c r="Q92" i="1"/>
  <c r="L92" i="1"/>
  <c r="Q91" i="1"/>
  <c r="R91" i="1" s="1"/>
  <c r="T91" i="1" s="1"/>
  <c r="U91" i="1" s="1"/>
  <c r="AK91" i="1" s="1"/>
  <c r="L91" i="1"/>
  <c r="Q90" i="1"/>
  <c r="L90" i="1"/>
  <c r="Q89" i="1"/>
  <c r="Z89" i="1" s="1"/>
  <c r="L89" i="1"/>
  <c r="Q88" i="1"/>
  <c r="AA88" i="1" s="1"/>
  <c r="L88" i="1"/>
  <c r="Q87" i="1"/>
  <c r="L87" i="1"/>
  <c r="Q86" i="1"/>
  <c r="Z86" i="1" s="1"/>
  <c r="L86" i="1"/>
  <c r="Q85" i="1"/>
  <c r="AA85" i="1" s="1"/>
  <c r="L85" i="1"/>
  <c r="Q84" i="1"/>
  <c r="Z84" i="1" s="1"/>
  <c r="L84" i="1"/>
  <c r="Q83" i="1"/>
  <c r="L83" i="1"/>
  <c r="Q82" i="1"/>
  <c r="Z82" i="1" s="1"/>
  <c r="L82" i="1"/>
  <c r="Q81" i="1"/>
  <c r="AA81" i="1" s="1"/>
  <c r="L81" i="1"/>
  <c r="Q80" i="1"/>
  <c r="Z80" i="1" s="1"/>
  <c r="L80" i="1"/>
  <c r="Q79" i="1"/>
  <c r="Z79" i="1" s="1"/>
  <c r="L79" i="1"/>
  <c r="Q78" i="1"/>
  <c r="L78" i="1"/>
  <c r="Q77" i="1"/>
  <c r="S77" i="1" s="1"/>
  <c r="L77" i="1"/>
  <c r="F76" i="1"/>
  <c r="E76" i="1"/>
  <c r="Q76" i="1" s="1"/>
  <c r="S76" i="1" s="1"/>
  <c r="Q75" i="1"/>
  <c r="L75" i="1"/>
  <c r="Q74" i="1"/>
  <c r="Z74" i="1" s="1"/>
  <c r="L74" i="1"/>
  <c r="Q73" i="1"/>
  <c r="Z73" i="1" s="1"/>
  <c r="L73" i="1"/>
  <c r="Q72" i="1"/>
  <c r="AA72" i="1" s="1"/>
  <c r="L72" i="1"/>
  <c r="Q71" i="1"/>
  <c r="L71" i="1"/>
  <c r="Q70" i="1"/>
  <c r="R70" i="1" s="1"/>
  <c r="T70" i="1" s="1"/>
  <c r="U70" i="1" s="1"/>
  <c r="AK70" i="1" s="1"/>
  <c r="L70" i="1"/>
  <c r="Q69" i="1"/>
  <c r="Z69" i="1" s="1"/>
  <c r="L69" i="1"/>
  <c r="Q68" i="1"/>
  <c r="AA68" i="1" s="1"/>
  <c r="L68" i="1"/>
  <c r="L67" i="1"/>
  <c r="Q66" i="1"/>
  <c r="Z66" i="1" s="1"/>
  <c r="L66" i="1"/>
  <c r="Q65" i="1"/>
  <c r="L65" i="1"/>
  <c r="Q64" i="1"/>
  <c r="R64" i="1" s="1"/>
  <c r="T64" i="1" s="1"/>
  <c r="U64" i="1" s="1"/>
  <c r="AK64" i="1" s="1"/>
  <c r="L64" i="1"/>
  <c r="Q63" i="1"/>
  <c r="AA63" i="1" s="1"/>
  <c r="L63" i="1"/>
  <c r="Q62" i="1"/>
  <c r="R62" i="1" s="1"/>
  <c r="T62" i="1" s="1"/>
  <c r="U62" i="1" s="1"/>
  <c r="AK62" i="1" s="1"/>
  <c r="L62" i="1"/>
  <c r="Q61" i="1"/>
  <c r="AA61" i="1" s="1"/>
  <c r="L61" i="1"/>
  <c r="Q60" i="1"/>
  <c r="Z60" i="1" s="1"/>
  <c r="L60" i="1"/>
  <c r="Q59" i="1"/>
  <c r="AA59" i="1" s="1"/>
  <c r="L59" i="1"/>
  <c r="Q58" i="1"/>
  <c r="Z58" i="1" s="1"/>
  <c r="L58" i="1"/>
  <c r="Q57" i="1"/>
  <c r="L57" i="1"/>
  <c r="Q56" i="1"/>
  <c r="L56" i="1"/>
  <c r="Q55" i="1"/>
  <c r="AA55" i="1" s="1"/>
  <c r="L55" i="1"/>
  <c r="Q54" i="1"/>
  <c r="Z54" i="1" s="1"/>
  <c r="L54" i="1"/>
  <c r="Q53" i="1"/>
  <c r="Z53" i="1" s="1"/>
  <c r="L53" i="1"/>
  <c r="Q52" i="1"/>
  <c r="AA52" i="1" s="1"/>
  <c r="L52" i="1"/>
  <c r="Q51" i="1"/>
  <c r="Z51" i="1" s="1"/>
  <c r="L51" i="1"/>
  <c r="Q50" i="1"/>
  <c r="AA50" i="1" s="1"/>
  <c r="L50" i="1"/>
  <c r="Q49" i="1"/>
  <c r="R49" i="1" s="1"/>
  <c r="T49" i="1" s="1"/>
  <c r="U49" i="1" s="1"/>
  <c r="AK49" i="1" s="1"/>
  <c r="L49" i="1"/>
  <c r="Q48" i="1"/>
  <c r="AA48" i="1" s="1"/>
  <c r="L48" i="1"/>
  <c r="Q47" i="1"/>
  <c r="L47" i="1"/>
  <c r="Q46" i="1"/>
  <c r="AA46" i="1" s="1"/>
  <c r="L46" i="1"/>
  <c r="Q45" i="1"/>
  <c r="Z45" i="1" s="1"/>
  <c r="L45" i="1"/>
  <c r="Q44" i="1"/>
  <c r="AA44" i="1" s="1"/>
  <c r="L44" i="1"/>
  <c r="Q43" i="1"/>
  <c r="L43" i="1"/>
  <c r="Q42" i="1"/>
  <c r="AA42" i="1" s="1"/>
  <c r="L42" i="1"/>
  <c r="Q41" i="1"/>
  <c r="Z41" i="1" s="1"/>
  <c r="L41" i="1"/>
  <c r="Q40" i="1"/>
  <c r="L40" i="1"/>
  <c r="Q39" i="1"/>
  <c r="Z39" i="1" s="1"/>
  <c r="L39" i="1"/>
  <c r="Q38" i="1"/>
  <c r="AA38" i="1" s="1"/>
  <c r="L38" i="1"/>
  <c r="Q37" i="1"/>
  <c r="Z37" i="1" s="1"/>
  <c r="L37" i="1"/>
  <c r="Q36" i="1"/>
  <c r="AA36" i="1" s="1"/>
  <c r="L36" i="1"/>
  <c r="Q35" i="1"/>
  <c r="L35" i="1"/>
  <c r="Q34" i="1"/>
  <c r="AA34" i="1" s="1"/>
  <c r="L34" i="1"/>
  <c r="Q33" i="1"/>
  <c r="Z33" i="1" s="1"/>
  <c r="L33" i="1"/>
  <c r="Q32" i="1"/>
  <c r="AA32" i="1" s="1"/>
  <c r="L32" i="1"/>
  <c r="Q31" i="1"/>
  <c r="Z31" i="1" s="1"/>
  <c r="L31" i="1"/>
  <c r="Q30" i="1"/>
  <c r="L30" i="1"/>
  <c r="Q29" i="1"/>
  <c r="L29" i="1"/>
  <c r="Q28" i="1"/>
  <c r="Z28" i="1" s="1"/>
  <c r="L28" i="1"/>
  <c r="Q27" i="1"/>
  <c r="L27" i="1"/>
  <c r="Q26" i="1"/>
  <c r="L26" i="1"/>
  <c r="Q25" i="1"/>
  <c r="L25" i="1"/>
  <c r="Q24" i="1"/>
  <c r="L24" i="1"/>
  <c r="Q23" i="1"/>
  <c r="L23" i="1"/>
  <c r="Q22" i="1"/>
  <c r="AA22" i="1" s="1"/>
  <c r="L22" i="1"/>
  <c r="Q21" i="1"/>
  <c r="L21" i="1"/>
  <c r="Q20" i="1"/>
  <c r="S20" i="1" s="1"/>
  <c r="L20" i="1"/>
  <c r="Q19" i="1"/>
  <c r="L19" i="1"/>
  <c r="Q18" i="1"/>
  <c r="L18" i="1"/>
  <c r="Q17" i="1"/>
  <c r="L17" i="1"/>
  <c r="Q16" i="1"/>
  <c r="L16" i="1"/>
  <c r="Q15" i="1"/>
  <c r="L15" i="1"/>
  <c r="Q14" i="1"/>
  <c r="S14" i="1" s="1"/>
  <c r="L14" i="1"/>
  <c r="Q13" i="1"/>
  <c r="AA13" i="1" s="1"/>
  <c r="L13" i="1"/>
  <c r="Q12" i="1"/>
  <c r="R12" i="1" s="1"/>
  <c r="T12" i="1" s="1"/>
  <c r="U12" i="1" s="1"/>
  <c r="AK12" i="1" s="1"/>
  <c r="L12" i="1"/>
  <c r="Q11" i="1"/>
  <c r="AA11" i="1" s="1"/>
  <c r="L11" i="1"/>
  <c r="Q10" i="1"/>
  <c r="L10" i="1"/>
  <c r="Q9" i="1"/>
  <c r="AA9" i="1" s="1"/>
  <c r="L9" i="1"/>
  <c r="Q8" i="1"/>
  <c r="L8" i="1"/>
  <c r="Q7" i="1"/>
  <c r="AA7" i="1" s="1"/>
  <c r="L7" i="1"/>
  <c r="Q6" i="1"/>
  <c r="Z6" i="1" s="1"/>
  <c r="L6" i="1"/>
  <c r="AI5" i="1"/>
  <c r="AH5" i="1"/>
  <c r="AG5" i="1"/>
  <c r="AF5" i="1"/>
  <c r="AE5" i="1"/>
  <c r="AD5" i="1"/>
  <c r="AC5" i="1"/>
  <c r="AB5" i="1"/>
  <c r="Y5" i="1"/>
  <c r="W5" i="1"/>
  <c r="P5" i="1"/>
  <c r="O5" i="1"/>
  <c r="N5" i="1"/>
  <c r="M5" i="1"/>
  <c r="K5" i="1"/>
  <c r="AA78" i="1" l="1"/>
  <c r="S78" i="1"/>
  <c r="AA15" i="1"/>
  <c r="S15" i="1"/>
  <c r="AA17" i="1"/>
  <c r="S17" i="1"/>
  <c r="Z70" i="1"/>
  <c r="AA71" i="1"/>
  <c r="Z71" i="1"/>
  <c r="F5" i="1"/>
  <c r="AA83" i="1"/>
  <c r="Z83" i="1"/>
  <c r="AA87" i="1"/>
  <c r="Z87" i="1"/>
  <c r="AA90" i="1"/>
  <c r="Z90" i="1"/>
  <c r="Z91" i="1"/>
  <c r="AA92" i="1"/>
  <c r="Z92" i="1"/>
  <c r="Z12" i="1"/>
  <c r="AA19" i="1"/>
  <c r="Z19" i="1"/>
  <c r="AA21" i="1"/>
  <c r="Z21" i="1"/>
  <c r="AA24" i="1"/>
  <c r="Z24" i="1"/>
  <c r="AA26" i="1"/>
  <c r="Z26" i="1"/>
  <c r="AA27" i="1"/>
  <c r="Z27" i="1"/>
  <c r="AA29" i="1"/>
  <c r="Z29" i="1"/>
  <c r="AA30" i="1"/>
  <c r="Z30" i="1"/>
  <c r="AA40" i="1"/>
  <c r="Z40" i="1"/>
  <c r="Z49" i="1"/>
  <c r="AA57" i="1"/>
  <c r="Z57" i="1"/>
  <c r="Z62" i="1"/>
  <c r="Z64" i="1"/>
  <c r="AA65" i="1"/>
  <c r="Z65" i="1"/>
  <c r="Z68" i="1"/>
  <c r="Z88" i="1"/>
  <c r="R94" i="1"/>
  <c r="T94" i="1" s="1"/>
  <c r="U94" i="1" s="1"/>
  <c r="AK94" i="1" s="1"/>
  <c r="R44" i="1"/>
  <c r="T44" i="1" s="1"/>
  <c r="U44" i="1" s="1"/>
  <c r="AK44" i="1" s="1"/>
  <c r="R59" i="1"/>
  <c r="T59" i="1" s="1"/>
  <c r="U59" i="1" s="1"/>
  <c r="AK59" i="1" s="1"/>
  <c r="R42" i="1"/>
  <c r="T42" i="1" s="1"/>
  <c r="U42" i="1" s="1"/>
  <c r="AK42" i="1" s="1"/>
  <c r="R46" i="1"/>
  <c r="T46" i="1" s="1"/>
  <c r="U46" i="1" s="1"/>
  <c r="AK46" i="1" s="1"/>
  <c r="R52" i="1"/>
  <c r="T52" i="1" s="1"/>
  <c r="U52" i="1" s="1"/>
  <c r="AK52" i="1" s="1"/>
  <c r="R61" i="1"/>
  <c r="T61" i="1" s="1"/>
  <c r="U61" i="1" s="1"/>
  <c r="AK61" i="1" s="1"/>
  <c r="R63" i="1"/>
  <c r="T63" i="1" s="1"/>
  <c r="U63" i="1" s="1"/>
  <c r="AK63" i="1" s="1"/>
  <c r="E5" i="1"/>
  <c r="AA73" i="1"/>
  <c r="R48" i="1"/>
  <c r="T48" i="1" s="1"/>
  <c r="U48" i="1" s="1"/>
  <c r="AK48" i="1" s="1"/>
  <c r="R36" i="1"/>
  <c r="T36" i="1" s="1"/>
  <c r="U36" i="1" s="1"/>
  <c r="AK36" i="1" s="1"/>
  <c r="R81" i="1"/>
  <c r="T81" i="1" s="1"/>
  <c r="U81" i="1" s="1"/>
  <c r="AK81" i="1" s="1"/>
  <c r="R32" i="1"/>
  <c r="T32" i="1" s="1"/>
  <c r="U32" i="1" s="1"/>
  <c r="AK32" i="1" s="1"/>
  <c r="R85" i="1"/>
  <c r="T85" i="1" s="1"/>
  <c r="U85" i="1" s="1"/>
  <c r="AK85" i="1" s="1"/>
  <c r="R76" i="1"/>
  <c r="T76" i="1" s="1"/>
  <c r="U76" i="1" s="1"/>
  <c r="AK76" i="1" s="1"/>
  <c r="R34" i="1"/>
  <c r="T34" i="1" s="1"/>
  <c r="U34" i="1" s="1"/>
  <c r="AK34" i="1" s="1"/>
  <c r="R50" i="1"/>
  <c r="T50" i="1" s="1"/>
  <c r="U50" i="1" s="1"/>
  <c r="AK50" i="1" s="1"/>
  <c r="R78" i="1"/>
  <c r="T78" i="1" s="1"/>
  <c r="U78" i="1" s="1"/>
  <c r="AK78" i="1" s="1"/>
  <c r="R16" i="1"/>
  <c r="T16" i="1" s="1"/>
  <c r="U16" i="1" s="1"/>
  <c r="AK16" i="1" s="1"/>
  <c r="R47" i="1"/>
  <c r="T47" i="1" s="1"/>
  <c r="U47" i="1" s="1"/>
  <c r="AK47" i="1" s="1"/>
  <c r="R56" i="1"/>
  <c r="T56" i="1" s="1"/>
  <c r="U56" i="1" s="1"/>
  <c r="AK56" i="1" s="1"/>
  <c r="R77" i="1"/>
  <c r="T77" i="1" s="1"/>
  <c r="U77" i="1" s="1"/>
  <c r="AK77" i="1" s="1"/>
  <c r="R7" i="1"/>
  <c r="T7" i="1" s="1"/>
  <c r="U7" i="1" s="1"/>
  <c r="AK7" i="1" s="1"/>
  <c r="R11" i="1"/>
  <c r="T11" i="1" s="1"/>
  <c r="U11" i="1" s="1"/>
  <c r="AK11" i="1" s="1"/>
  <c r="R15" i="1"/>
  <c r="R38" i="1"/>
  <c r="T38" i="1" s="1"/>
  <c r="U38" i="1" s="1"/>
  <c r="AK38" i="1" s="1"/>
  <c r="R55" i="1"/>
  <c r="T55" i="1" s="1"/>
  <c r="U55" i="1" s="1"/>
  <c r="AK55" i="1" s="1"/>
  <c r="R8" i="1"/>
  <c r="T8" i="1" s="1"/>
  <c r="U8" i="1" s="1"/>
  <c r="AK8" i="1" s="1"/>
  <c r="R10" i="1"/>
  <c r="T10" i="1" s="1"/>
  <c r="U10" i="1" s="1"/>
  <c r="AK10" i="1" s="1"/>
  <c r="R14" i="1"/>
  <c r="T14" i="1" s="1"/>
  <c r="U14" i="1" s="1"/>
  <c r="AK14" i="1" s="1"/>
  <c r="R35" i="1"/>
  <c r="T35" i="1" s="1"/>
  <c r="U35" i="1" s="1"/>
  <c r="AK35" i="1" s="1"/>
  <c r="R43" i="1"/>
  <c r="T43" i="1" s="1"/>
  <c r="U43" i="1" s="1"/>
  <c r="AK43" i="1" s="1"/>
  <c r="R75" i="1"/>
  <c r="T75" i="1" s="1"/>
  <c r="U75" i="1" s="1"/>
  <c r="AK75" i="1" s="1"/>
  <c r="R9" i="1"/>
  <c r="T9" i="1" s="1"/>
  <c r="U9" i="1" s="1"/>
  <c r="AK9" i="1" s="1"/>
  <c r="R13" i="1"/>
  <c r="T13" i="1" s="1"/>
  <c r="U13" i="1" s="1"/>
  <c r="AK13" i="1" s="1"/>
  <c r="R17" i="1"/>
  <c r="T17" i="1" s="1"/>
  <c r="U17" i="1" s="1"/>
  <c r="AK17" i="1" s="1"/>
  <c r="R22" i="1"/>
  <c r="T22" i="1" s="1"/>
  <c r="U22" i="1" s="1"/>
  <c r="AK22" i="1" s="1"/>
  <c r="R72" i="1"/>
  <c r="T72" i="1" s="1"/>
  <c r="U72" i="1" s="1"/>
  <c r="AK72" i="1" s="1"/>
  <c r="R18" i="1"/>
  <c r="T18" i="1" s="1"/>
  <c r="U18" i="1" s="1"/>
  <c r="AK18" i="1" s="1"/>
  <c r="R20" i="1"/>
  <c r="T20" i="1" s="1"/>
  <c r="U20" i="1" s="1"/>
  <c r="AK20" i="1" s="1"/>
  <c r="R23" i="1"/>
  <c r="T23" i="1" s="1"/>
  <c r="U23" i="1" s="1"/>
  <c r="AK23" i="1" s="1"/>
  <c r="R25" i="1"/>
  <c r="T25" i="1" s="1"/>
  <c r="U25" i="1" s="1"/>
  <c r="AK25" i="1" s="1"/>
  <c r="AA31" i="1"/>
  <c r="AA33" i="1"/>
  <c r="AA35" i="1"/>
  <c r="AA37" i="1"/>
  <c r="AA39" i="1"/>
  <c r="AA41" i="1"/>
  <c r="AA43" i="1"/>
  <c r="AA45" i="1"/>
  <c r="AA47" i="1"/>
  <c r="AA49" i="1"/>
  <c r="AA51" i="1"/>
  <c r="AA53" i="1"/>
  <c r="Q5" i="1"/>
  <c r="AA23" i="1"/>
  <c r="AA25" i="1"/>
  <c r="AA67" i="1"/>
  <c r="AA69" i="1"/>
  <c r="AA75" i="1"/>
  <c r="AA80" i="1"/>
  <c r="AA82" i="1"/>
  <c r="AA84" i="1"/>
  <c r="AA86" i="1"/>
  <c r="AA6" i="1"/>
  <c r="AA8" i="1"/>
  <c r="AA10" i="1"/>
  <c r="L76" i="1"/>
  <c r="L5" i="1" s="1"/>
  <c r="AA12" i="1"/>
  <c r="AA14" i="1"/>
  <c r="AA16" i="1"/>
  <c r="AA18" i="1"/>
  <c r="AA20" i="1"/>
  <c r="AA28" i="1"/>
  <c r="AA54" i="1"/>
  <c r="AA56" i="1"/>
  <c r="AA58" i="1"/>
  <c r="AA60" i="1"/>
  <c r="AA62" i="1"/>
  <c r="AA64" i="1"/>
  <c r="AA66" i="1"/>
  <c r="AA70" i="1"/>
  <c r="AA74" i="1"/>
  <c r="AA76" i="1"/>
  <c r="AA77" i="1"/>
  <c r="AA79" i="1"/>
  <c r="AA89" i="1"/>
  <c r="AA91" i="1"/>
  <c r="AA93" i="1"/>
  <c r="AA95" i="1"/>
  <c r="S5" i="1" l="1"/>
  <c r="T15" i="1"/>
  <c r="U15" i="1" s="1"/>
  <c r="Z23" i="1"/>
  <c r="Z18" i="1"/>
  <c r="Z22" i="1"/>
  <c r="Z13" i="1"/>
  <c r="Z75" i="1"/>
  <c r="Z35" i="1"/>
  <c r="Z10" i="1"/>
  <c r="Z55" i="1"/>
  <c r="Z7" i="1"/>
  <c r="Z56" i="1"/>
  <c r="Z16" i="1"/>
  <c r="Z50" i="1"/>
  <c r="Z32" i="1"/>
  <c r="Z36" i="1"/>
  <c r="Z63" i="1"/>
  <c r="Z52" i="1"/>
  <c r="Z42" i="1"/>
  <c r="Z44" i="1"/>
  <c r="Z76" i="1"/>
  <c r="Z25" i="1"/>
  <c r="Z20" i="1"/>
  <c r="Z72" i="1"/>
  <c r="Z17" i="1"/>
  <c r="Z9" i="1"/>
  <c r="Z43" i="1"/>
  <c r="Z14" i="1"/>
  <c r="Z8" i="1"/>
  <c r="Z38" i="1"/>
  <c r="Z11" i="1"/>
  <c r="Z77" i="1"/>
  <c r="Z47" i="1"/>
  <c r="Z78" i="1"/>
  <c r="Z34" i="1"/>
  <c r="Z85" i="1"/>
  <c r="Z81" i="1"/>
  <c r="Z48" i="1"/>
  <c r="Z61" i="1"/>
  <c r="Z46" i="1"/>
  <c r="Z59" i="1"/>
  <c r="Z94" i="1"/>
  <c r="R5" i="1"/>
  <c r="U5" i="1" l="1"/>
  <c r="AK15" i="1"/>
  <c r="AK5" i="1" s="1"/>
  <c r="Z15" i="1"/>
  <c r="T5" i="1"/>
</calcChain>
</file>

<file path=xl/sharedStrings.xml><?xml version="1.0" encoding="utf-8"?>
<sst xmlns="http://schemas.openxmlformats.org/spreadsheetml/2006/main" count="360" uniqueCount="150">
  <si>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</si>
  <si>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</si>
  <si>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</si>
  <si>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</si>
  <si>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</si>
  <si>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</si>
  <si>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</si>
  <si>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</si>
  <si>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</si>
  <si>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</si>
  <si>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</si>
  <si>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</si>
  <si>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</si>
  <si>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</si>
  <si>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</si>
  <si>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</si>
  <si>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</si>
  <si>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</si>
  <si>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</si>
  <si>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</si>
  <si>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</si>
  <si>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</si>
  <si>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</si>
  <si>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</si>
  <si>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</si>
  <si>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15,12,</t>
  </si>
  <si>
    <t>20,12,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</si>
  <si>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</si>
  <si>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</si>
  <si>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</si>
  <si>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</si>
  <si>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</si>
  <si>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</si>
  <si>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</si>
  <si>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</si>
  <si>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</si>
  <si>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</si>
  <si>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</si>
  <si>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</si>
  <si>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</si>
  <si>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</si>
  <si>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</si>
  <si>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</si>
  <si>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</si>
  <si>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</si>
  <si>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</si>
  <si>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</si>
  <si>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</si>
  <si>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</si>
  <si>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</si>
  <si>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</si>
  <si>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</si>
  <si>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</si>
  <si>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</si>
  <si>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</si>
  <si>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</si>
  <si>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</si>
  <si>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>не в матрице</t>
  </si>
  <si>
    <t xml:space="preserve"> 452  Колбаса Со шпиком ВЕС большой батон ТМ Особый рецепт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</si>
  <si>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</si>
  <si>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</si>
  <si>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</si>
  <si>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</si>
  <si>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</si>
  <si>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</si>
  <si>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</si>
  <si>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</si>
  <si>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</si>
  <si>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</si>
  <si>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</si>
  <si>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</si>
  <si>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</si>
  <si>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</si>
  <si>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</si>
  <si>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</si>
  <si>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</si>
  <si>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</si>
  <si>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</si>
  <si>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</si>
  <si>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</si>
  <si>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</si>
  <si>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</si>
  <si>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</si>
  <si>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</si>
  <si>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</si>
  <si>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</si>
  <si>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</si>
  <si>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</si>
  <si>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</si>
  <si>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</si>
  <si>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</si>
  <si>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</si>
  <si>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</si>
  <si>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</si>
  <si>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</si>
  <si>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</si>
  <si>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</si>
  <si>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</si>
  <si>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</si>
  <si>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</si>
  <si>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</si>
  <si>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</si>
  <si>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</si>
  <si>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</si>
  <si>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</si>
  <si>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</si>
  <si>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</si>
  <si>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</si>
  <si>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</si>
  <si>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</si>
  <si>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</si>
  <si>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</si>
  <si>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</si>
  <si>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>нужно увеличить продажи / Мера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</si>
  <si>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</si>
  <si>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</si>
  <si>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</si>
  <si>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</si>
  <si>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</si>
  <si>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</si>
  <si>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</si>
  <si>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</si>
  <si>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</si>
  <si>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</si>
  <si>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</si>
  <si>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</si>
  <si>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</si>
  <si>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</si>
  <si>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</si>
  <si>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</si>
  <si>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</si>
  <si>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</si>
  <si>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</si>
  <si>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</si>
  <si>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</si>
  <si>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</si>
  <si>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</si>
  <si>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</si>
  <si>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377  Колбаса Молочная Дугушка 0,6кг ТМ Стародворье 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</si>
  <si>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</si>
  <si>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</si>
  <si>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</si>
  <si>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</si>
  <si>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</si>
  <si>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</si>
  <si>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до машины</t>
  </si>
  <si>
    <t>итого</t>
  </si>
  <si>
    <t>заказ</t>
  </si>
  <si>
    <t>22,12,(2)</t>
  </si>
  <si>
    <t>22,12,(1)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</si>
</sst>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/>
    <xf numFmtId="164" fontId="5" fillId="9" borderId="1" xfId="1" applyNumberFormat="1" applyFont="1" applyFill="1"/>
    <xf numFmtId="164" fontId="1" fillId="10" borderId="1" xfId="1" applyNumberFormat="1" applyFill="1"/>
    <xf numFmtId="164" fontId="6" fillId="10" borderId="1" xfId="1" applyNumberFormat="1" applyFont="1" applyFill="1"/>
    <xf numFmtId="164" fontId="7" fillId="0" borderId="1" xfId="1" applyNumberFormat="1" applyFont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RowHeight="15" x14ac:dyDescent="0.25"/>
  <cols>
    <col min="1" max="1" width="53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8" width="7" customWidth="1"/>
    <col min="19" max="22" width="7" style="23" customWidth="1"/>
    <col min="23" max="23" width="7" customWidth="1"/>
    <col min="24" max="24" width="16" customWidth="1"/>
    <col min="25" max="25" width="7" customWidth="1"/>
    <col min="26" max="27" width="5" customWidth="1"/>
    <col min="28" max="35" width="6" customWidth="1"/>
    <col min="36" max="36" width="24.42578125" customWidth="1"/>
    <col min="37" max="38" width="7" customWidth="1"/>
    <col min="39" max="55" width="3" customWidth="1"/>
  </cols>
  <sheetData>
    <row r="1" spans="1:55" x14ac:dyDescent="0.25">
      <c r="A1" s="18"/>
      <c r="B1" s="18"/>
      <c r="C1" s="18"/>
      <c r="D1" s="18"/>
      <c r="E1" s="18"/>
      <c r="F1" s="18"/>
      <c r="G1" s="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24">
        <v>0.5</v>
      </c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</row>
    <row r="2" spans="1:55" x14ac:dyDescent="0.25">
      <c r="A2" s="18"/>
      <c r="B2" s="18"/>
      <c r="C2" s="18"/>
      <c r="D2" s="18"/>
      <c r="E2" s="18"/>
      <c r="F2" s="18"/>
      <c r="G2" s="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</row>
    <row r="3" spans="1:5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145</v>
      </c>
      <c r="T3" s="2" t="s">
        <v>146</v>
      </c>
      <c r="U3" s="2" t="s">
        <v>147</v>
      </c>
      <c r="V3" s="2" t="s">
        <v>147</v>
      </c>
      <c r="W3" s="6" t="s">
        <v>17</v>
      </c>
      <c r="X3" s="6" t="s">
        <v>18</v>
      </c>
      <c r="Y3" s="1" t="s">
        <v>19</v>
      </c>
      <c r="Z3" s="1" t="s">
        <v>20</v>
      </c>
      <c r="AA3" s="1" t="s">
        <v>21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23</v>
      </c>
      <c r="AK3" s="1" t="s">
        <v>24</v>
      </c>
      <c r="AL3" s="1" t="s">
        <v>24</v>
      </c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</row>
    <row r="4" spans="1:55" x14ac:dyDescent="0.25">
      <c r="A4" s="18"/>
      <c r="B4" s="18"/>
      <c r="C4" s="18"/>
      <c r="D4" s="18"/>
      <c r="E4" s="18"/>
      <c r="F4" s="18"/>
      <c r="G4" s="7"/>
      <c r="H4" s="18"/>
      <c r="I4" s="18"/>
      <c r="J4" s="18"/>
      <c r="K4" s="18"/>
      <c r="L4" s="18"/>
      <c r="M4" s="18"/>
      <c r="N4" s="18"/>
      <c r="O4" s="18" t="s">
        <v>25</v>
      </c>
      <c r="P4" s="18" t="s">
        <v>26</v>
      </c>
      <c r="Q4" s="18" t="s">
        <v>27</v>
      </c>
      <c r="R4" s="18"/>
      <c r="S4" s="18"/>
      <c r="T4" s="18"/>
      <c r="U4" s="18" t="s">
        <v>149</v>
      </c>
      <c r="V4" s="18" t="s">
        <v>148</v>
      </c>
      <c r="W4" s="18"/>
      <c r="X4" s="18"/>
      <c r="Y4" s="18"/>
      <c r="Z4" s="18"/>
      <c r="AA4" s="18"/>
      <c r="AB4" s="18" t="s">
        <v>28</v>
      </c>
      <c r="AC4" s="18" t="s">
        <v>29</v>
      </c>
      <c r="AD4" s="18" t="s">
        <v>30</v>
      </c>
      <c r="AE4" s="18" t="s">
        <v>31</v>
      </c>
      <c r="AF4" s="18" t="s">
        <v>32</v>
      </c>
      <c r="AG4" s="18" t="s">
        <v>33</v>
      </c>
      <c r="AH4" s="18" t="s">
        <v>34</v>
      </c>
      <c r="AI4" s="18" t="s">
        <v>35</v>
      </c>
      <c r="AJ4" s="18"/>
      <c r="AK4" s="18" t="s">
        <v>149</v>
      </c>
      <c r="AL4" s="18" t="s">
        <v>148</v>
      </c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</row>
    <row r="5" spans="1:55" x14ac:dyDescent="0.25">
      <c r="A5" s="18"/>
      <c r="B5" s="18"/>
      <c r="C5" s="18"/>
      <c r="D5" s="18"/>
      <c r="E5" s="3">
        <f>SUM(E6:E500)</f>
        <v>13123.163000000002</v>
      </c>
      <c r="F5" s="3">
        <f>SUM(F6:F500)</f>
        <v>12030.521000000002</v>
      </c>
      <c r="G5" s="7"/>
      <c r="H5" s="18"/>
      <c r="I5" s="18"/>
      <c r="J5" s="18"/>
      <c r="K5" s="3">
        <f t="shared" ref="K5:W5" si="0">SUM(K6:K500)</f>
        <v>13517.758000000003</v>
      </c>
      <c r="L5" s="3">
        <f t="shared" si="0"/>
        <v>-394.5950000000002</v>
      </c>
      <c r="M5" s="3">
        <f t="shared" si="0"/>
        <v>0</v>
      </c>
      <c r="N5" s="3">
        <f t="shared" si="0"/>
        <v>0</v>
      </c>
      <c r="O5" s="3">
        <f t="shared" si="0"/>
        <v>3219.8278000000014</v>
      </c>
      <c r="P5" s="3">
        <f t="shared" si="0"/>
        <v>13585.508220000002</v>
      </c>
      <c r="Q5" s="3">
        <f t="shared" si="0"/>
        <v>2624.6326000000004</v>
      </c>
      <c r="R5" s="3">
        <f t="shared" si="0"/>
        <v>7586.9196599999987</v>
      </c>
      <c r="S5" s="3">
        <f t="shared" si="0"/>
        <v>446.32470000000001</v>
      </c>
      <c r="T5" s="3">
        <f t="shared" si="0"/>
        <v>8033.2443599999997</v>
      </c>
      <c r="U5" s="3">
        <f t="shared" si="0"/>
        <v>4973.2443599999997</v>
      </c>
      <c r="V5" s="3">
        <f t="shared" ref="V5" si="1">SUM(V6:V500)</f>
        <v>3060</v>
      </c>
      <c r="W5" s="3">
        <f t="shared" si="0"/>
        <v>0</v>
      </c>
      <c r="X5" s="18"/>
      <c r="Y5" s="3">
        <f>SUM(Y6:Y500)</f>
        <v>0</v>
      </c>
      <c r="Z5" s="18"/>
      <c r="AA5" s="18"/>
      <c r="AB5" s="3">
        <f t="shared" ref="AB5:AI5" si="2">SUM(AB6:AB500)</f>
        <v>2468.4562000000005</v>
      </c>
      <c r="AC5" s="3">
        <f t="shared" si="2"/>
        <v>2103.4102000000003</v>
      </c>
      <c r="AD5" s="3">
        <f t="shared" si="2"/>
        <v>2142.1634000000008</v>
      </c>
      <c r="AE5" s="3">
        <f t="shared" si="2"/>
        <v>2500.273799999999</v>
      </c>
      <c r="AF5" s="3">
        <f t="shared" si="2"/>
        <v>2546.3481999999999</v>
      </c>
      <c r="AG5" s="3">
        <f t="shared" si="2"/>
        <v>2145.5862000000011</v>
      </c>
      <c r="AH5" s="3">
        <f t="shared" si="2"/>
        <v>2059.7105999999999</v>
      </c>
      <c r="AI5" s="3">
        <f t="shared" si="2"/>
        <v>2202.6275999999998</v>
      </c>
      <c r="AJ5" s="18"/>
      <c r="AK5" s="3">
        <f>SUM(AK6:AK500)</f>
        <v>3501</v>
      </c>
      <c r="AL5" s="3">
        <f>SUM(AL6:AL500)</f>
        <v>2060</v>
      </c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</row>
    <row r="6" spans="1:55" x14ac:dyDescent="0.25">
      <c r="A6" s="18" t="s">
        <v>36</v>
      </c>
      <c r="B6" s="18" t="s">
        <v>37</v>
      </c>
      <c r="C6" s="18">
        <v>100.881</v>
      </c>
      <c r="D6" s="18">
        <v>163.50399999999999</v>
      </c>
      <c r="E6" s="18">
        <v>108.205</v>
      </c>
      <c r="F6" s="18">
        <v>156.18</v>
      </c>
      <c r="G6" s="7">
        <v>1</v>
      </c>
      <c r="H6" s="18">
        <v>50</v>
      </c>
      <c r="I6" s="18" t="s">
        <v>38</v>
      </c>
      <c r="J6" s="18"/>
      <c r="K6" s="18">
        <v>115.2</v>
      </c>
      <c r="L6" s="18">
        <f t="shared" ref="L6:L37" si="3">E6-K6</f>
        <v>-6.9950000000000045</v>
      </c>
      <c r="M6" s="18"/>
      <c r="N6" s="18"/>
      <c r="O6" s="18">
        <v>14.72380000000001</v>
      </c>
      <c r="P6" s="18">
        <v>204.85787999999999</v>
      </c>
      <c r="Q6" s="18">
        <f t="shared" ref="Q6:Q37" si="4">E6/5</f>
        <v>21.640999999999998</v>
      </c>
      <c r="R6" s="4"/>
      <c r="S6" s="4"/>
      <c r="T6" s="4">
        <f>S6+R6</f>
        <v>0</v>
      </c>
      <c r="U6" s="4">
        <f>T6-V6</f>
        <v>0</v>
      </c>
      <c r="V6" s="4"/>
      <c r="W6" s="4"/>
      <c r="X6" s="18"/>
      <c r="Y6" s="18"/>
      <c r="Z6" s="18">
        <f>(F6+O6+P6+T6)/Q6</f>
        <v>17.363415738644242</v>
      </c>
      <c r="AA6" s="18">
        <f t="shared" ref="AA6:AA37" si="5">(F6+O6+P6)/Q6</f>
        <v>17.363415738644242</v>
      </c>
      <c r="AB6" s="18">
        <v>28.107199999999999</v>
      </c>
      <c r="AC6" s="18">
        <v>22.5428</v>
      </c>
      <c r="AD6" s="18">
        <v>22.8916</v>
      </c>
      <c r="AE6" s="18">
        <v>13.454599999999999</v>
      </c>
      <c r="AF6" s="18">
        <v>13.1496</v>
      </c>
      <c r="AG6" s="18">
        <v>22.103400000000001</v>
      </c>
      <c r="AH6" s="18">
        <v>19.587199999999999</v>
      </c>
      <c r="AI6" s="18">
        <v>20.831199999999999</v>
      </c>
      <c r="AJ6" s="18"/>
      <c r="AK6" s="18">
        <f>ROUND(G6*U6,0)</f>
        <v>0</v>
      </c>
      <c r="AL6" s="18">
        <f>ROUND(G6*V6,0)</f>
        <v>0</v>
      </c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</row>
    <row r="7" spans="1:55" x14ac:dyDescent="0.25">
      <c r="A7" s="18" t="s">
        <v>39</v>
      </c>
      <c r="B7" s="18" t="s">
        <v>37</v>
      </c>
      <c r="C7" s="18">
        <v>100.997</v>
      </c>
      <c r="D7" s="18">
        <v>9.4710000000000001</v>
      </c>
      <c r="E7" s="18">
        <v>38.399000000000001</v>
      </c>
      <c r="F7" s="18">
        <v>71.069000000000003</v>
      </c>
      <c r="G7" s="7">
        <v>1</v>
      </c>
      <c r="H7" s="18">
        <v>45</v>
      </c>
      <c r="I7" s="18" t="s">
        <v>38</v>
      </c>
      <c r="J7" s="18"/>
      <c r="K7" s="18">
        <v>37.950000000000003</v>
      </c>
      <c r="L7" s="18">
        <f t="shared" si="3"/>
        <v>0.44899999999999807</v>
      </c>
      <c r="M7" s="18"/>
      <c r="N7" s="18"/>
      <c r="O7" s="18">
        <v>0</v>
      </c>
      <c r="P7" s="18">
        <v>28.17791999999999</v>
      </c>
      <c r="Q7" s="18">
        <f t="shared" si="4"/>
        <v>7.6798000000000002</v>
      </c>
      <c r="R7" s="4">
        <f t="shared" ref="R7:R20" si="6">14*Q7-P7-O7-F7</f>
        <v>8.2702800000000138</v>
      </c>
      <c r="S7" s="4"/>
      <c r="T7" s="4">
        <f t="shared" ref="T7:T70" si="7">S7+R7</f>
        <v>8.2702800000000138</v>
      </c>
      <c r="U7" s="4">
        <f t="shared" ref="U7:U70" si="8">T7-V7</f>
        <v>8.2702800000000138</v>
      </c>
      <c r="V7" s="4"/>
      <c r="W7" s="4"/>
      <c r="X7" s="18"/>
      <c r="Y7" s="18"/>
      <c r="Z7" s="18">
        <f t="shared" ref="Z7:Z70" si="9">(F7+O7+P7+T7)/Q7</f>
        <v>14</v>
      </c>
      <c r="AA7" s="18">
        <f t="shared" si="5"/>
        <v>12.923112581056797</v>
      </c>
      <c r="AB7" s="18">
        <v>7.6087999999999996</v>
      </c>
      <c r="AC7" s="18">
        <v>3.928199999999999</v>
      </c>
      <c r="AD7" s="18">
        <v>7.7417999999999996</v>
      </c>
      <c r="AE7" s="18">
        <v>10.5726</v>
      </c>
      <c r="AF7" s="18">
        <v>7.4672000000000001</v>
      </c>
      <c r="AG7" s="18">
        <v>13.5046</v>
      </c>
      <c r="AH7" s="18">
        <v>16.084399999999999</v>
      </c>
      <c r="AI7" s="18">
        <v>6.0244</v>
      </c>
      <c r="AJ7" s="18" t="s">
        <v>40</v>
      </c>
      <c r="AK7" s="18">
        <f t="shared" ref="AK7:AK70" si="10">ROUND(G7*U7,0)</f>
        <v>8</v>
      </c>
      <c r="AL7" s="18">
        <f t="shared" ref="AL7:AL70" si="11">ROUND(G7*V7,0)</f>
        <v>0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</row>
    <row r="8" spans="1:55" x14ac:dyDescent="0.25">
      <c r="A8" s="18" t="s">
        <v>41</v>
      </c>
      <c r="B8" s="18" t="s">
        <v>37</v>
      </c>
      <c r="C8" s="18">
        <v>103.52</v>
      </c>
      <c r="D8" s="18">
        <v>19.137</v>
      </c>
      <c r="E8" s="18">
        <v>77.763000000000005</v>
      </c>
      <c r="F8" s="18">
        <v>42.177</v>
      </c>
      <c r="G8" s="7">
        <v>1</v>
      </c>
      <c r="H8" s="18">
        <v>45</v>
      </c>
      <c r="I8" s="18" t="s">
        <v>38</v>
      </c>
      <c r="J8" s="18"/>
      <c r="K8" s="18">
        <v>78</v>
      </c>
      <c r="L8" s="18">
        <f t="shared" si="3"/>
        <v>-0.23699999999999477</v>
      </c>
      <c r="M8" s="18"/>
      <c r="N8" s="18"/>
      <c r="O8" s="18">
        <v>0</v>
      </c>
      <c r="P8" s="18">
        <v>127.47036</v>
      </c>
      <c r="Q8" s="18">
        <f t="shared" si="4"/>
        <v>15.552600000000002</v>
      </c>
      <c r="R8" s="4">
        <f t="shared" si="6"/>
        <v>48.089040000000033</v>
      </c>
      <c r="S8" s="4"/>
      <c r="T8" s="4">
        <f t="shared" si="7"/>
        <v>48.089040000000033</v>
      </c>
      <c r="U8" s="4">
        <f t="shared" si="8"/>
        <v>48.089040000000033</v>
      </c>
      <c r="V8" s="4"/>
      <c r="W8" s="4"/>
      <c r="X8" s="18"/>
      <c r="Y8" s="18"/>
      <c r="Z8" s="18">
        <f t="shared" si="9"/>
        <v>14</v>
      </c>
      <c r="AA8" s="18">
        <f t="shared" si="5"/>
        <v>10.907974229389296</v>
      </c>
      <c r="AB8" s="18">
        <v>14.3314</v>
      </c>
      <c r="AC8" s="18">
        <v>6.7866</v>
      </c>
      <c r="AD8" s="18">
        <v>8.9580000000000002</v>
      </c>
      <c r="AE8" s="18">
        <v>13.060600000000001</v>
      </c>
      <c r="AF8" s="18">
        <v>13.902799999999999</v>
      </c>
      <c r="AG8" s="18">
        <v>9.0680000000000014</v>
      </c>
      <c r="AH8" s="18">
        <v>8.5060000000000002</v>
      </c>
      <c r="AI8" s="18">
        <v>14.9778</v>
      </c>
      <c r="AJ8" s="18"/>
      <c r="AK8" s="18">
        <f t="shared" si="10"/>
        <v>48</v>
      </c>
      <c r="AL8" s="18">
        <f t="shared" si="11"/>
        <v>0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</row>
    <row r="9" spans="1:55" x14ac:dyDescent="0.25">
      <c r="A9" s="18" t="s">
        <v>42</v>
      </c>
      <c r="B9" s="18" t="s">
        <v>43</v>
      </c>
      <c r="C9" s="18">
        <v>303</v>
      </c>
      <c r="D9" s="18">
        <v>210</v>
      </c>
      <c r="E9" s="18">
        <v>326</v>
      </c>
      <c r="F9" s="18">
        <v>168</v>
      </c>
      <c r="G9" s="7">
        <v>0.45</v>
      </c>
      <c r="H9" s="18">
        <v>45</v>
      </c>
      <c r="I9" s="18" t="s">
        <v>38</v>
      </c>
      <c r="J9" s="18"/>
      <c r="K9" s="18">
        <v>338</v>
      </c>
      <c r="L9" s="18">
        <f t="shared" si="3"/>
        <v>-12</v>
      </c>
      <c r="M9" s="18"/>
      <c r="N9" s="18"/>
      <c r="O9" s="18">
        <v>0</v>
      </c>
      <c r="P9" s="18">
        <v>390.6</v>
      </c>
      <c r="Q9" s="18">
        <f t="shared" si="4"/>
        <v>65.2</v>
      </c>
      <c r="R9" s="4">
        <f t="shared" si="6"/>
        <v>354.20000000000005</v>
      </c>
      <c r="S9" s="4"/>
      <c r="T9" s="4">
        <f t="shared" si="7"/>
        <v>354.20000000000005</v>
      </c>
      <c r="U9" s="4">
        <f t="shared" si="8"/>
        <v>154.20000000000005</v>
      </c>
      <c r="V9" s="4">
        <v>200</v>
      </c>
      <c r="W9" s="4"/>
      <c r="X9" s="18"/>
      <c r="Y9" s="18"/>
      <c r="Z9" s="18">
        <f t="shared" si="9"/>
        <v>14</v>
      </c>
      <c r="AA9" s="18">
        <f t="shared" si="5"/>
        <v>8.5674846625766872</v>
      </c>
      <c r="AB9" s="18">
        <v>49</v>
      </c>
      <c r="AC9" s="18">
        <v>23.2</v>
      </c>
      <c r="AD9" s="18">
        <v>35</v>
      </c>
      <c r="AE9" s="18">
        <v>51</v>
      </c>
      <c r="AF9" s="18">
        <v>52.8</v>
      </c>
      <c r="AG9" s="18">
        <v>26.6</v>
      </c>
      <c r="AH9" s="18">
        <v>18.2</v>
      </c>
      <c r="AI9" s="18">
        <v>36.799999999999997</v>
      </c>
      <c r="AJ9" s="18" t="s">
        <v>40</v>
      </c>
      <c r="AK9" s="18">
        <f t="shared" si="10"/>
        <v>69</v>
      </c>
      <c r="AL9" s="18">
        <f t="shared" si="11"/>
        <v>90</v>
      </c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</row>
    <row r="10" spans="1:55" x14ac:dyDescent="0.25">
      <c r="A10" s="18" t="s">
        <v>44</v>
      </c>
      <c r="B10" s="18" t="s">
        <v>43</v>
      </c>
      <c r="C10" s="18">
        <v>570</v>
      </c>
      <c r="D10" s="18">
        <v>14</v>
      </c>
      <c r="E10" s="18">
        <v>374</v>
      </c>
      <c r="F10" s="18">
        <v>186</v>
      </c>
      <c r="G10" s="7">
        <v>0.45</v>
      </c>
      <c r="H10" s="18">
        <v>45</v>
      </c>
      <c r="I10" s="18" t="s">
        <v>38</v>
      </c>
      <c r="J10" s="18"/>
      <c r="K10" s="18">
        <v>385</v>
      </c>
      <c r="L10" s="18">
        <f t="shared" si="3"/>
        <v>-11</v>
      </c>
      <c r="M10" s="18"/>
      <c r="N10" s="18"/>
      <c r="O10" s="18">
        <v>0</v>
      </c>
      <c r="P10" s="18">
        <v>494.6</v>
      </c>
      <c r="Q10" s="18">
        <f t="shared" si="4"/>
        <v>74.8</v>
      </c>
      <c r="R10" s="4">
        <f t="shared" si="6"/>
        <v>366.6</v>
      </c>
      <c r="S10" s="4"/>
      <c r="T10" s="4">
        <f t="shared" si="7"/>
        <v>366.6</v>
      </c>
      <c r="U10" s="4">
        <f t="shared" si="8"/>
        <v>166.60000000000002</v>
      </c>
      <c r="V10" s="4">
        <v>200</v>
      </c>
      <c r="W10" s="4"/>
      <c r="X10" s="18"/>
      <c r="Y10" s="18"/>
      <c r="Z10" s="18">
        <f t="shared" si="9"/>
        <v>14.000000000000002</v>
      </c>
      <c r="AA10" s="18">
        <f t="shared" si="5"/>
        <v>9.0989304812834231</v>
      </c>
      <c r="AB10" s="18">
        <v>59</v>
      </c>
      <c r="AC10" s="18">
        <v>31.8</v>
      </c>
      <c r="AD10" s="18">
        <v>33.6</v>
      </c>
      <c r="AE10" s="18">
        <v>51.4</v>
      </c>
      <c r="AF10" s="18">
        <v>57.2</v>
      </c>
      <c r="AG10" s="18">
        <v>53.4</v>
      </c>
      <c r="AH10" s="18">
        <v>48</v>
      </c>
      <c r="AI10" s="18">
        <v>50.4</v>
      </c>
      <c r="AJ10" s="18"/>
      <c r="AK10" s="18">
        <f t="shared" si="10"/>
        <v>75</v>
      </c>
      <c r="AL10" s="18">
        <f t="shared" si="11"/>
        <v>90</v>
      </c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</row>
    <row r="11" spans="1:55" x14ac:dyDescent="0.25">
      <c r="A11" s="18" t="s">
        <v>45</v>
      </c>
      <c r="B11" s="18" t="s">
        <v>43</v>
      </c>
      <c r="C11" s="18">
        <v>20</v>
      </c>
      <c r="D11" s="18">
        <v>45</v>
      </c>
      <c r="E11" s="18">
        <v>30</v>
      </c>
      <c r="F11" s="18">
        <v>30</v>
      </c>
      <c r="G11" s="7">
        <v>0.17</v>
      </c>
      <c r="H11" s="18">
        <v>180</v>
      </c>
      <c r="I11" s="18" t="s">
        <v>38</v>
      </c>
      <c r="J11" s="18"/>
      <c r="K11" s="18">
        <v>34</v>
      </c>
      <c r="L11" s="18">
        <f t="shared" si="3"/>
        <v>-4</v>
      </c>
      <c r="M11" s="18"/>
      <c r="N11" s="18"/>
      <c r="O11" s="18">
        <v>0</v>
      </c>
      <c r="P11" s="18">
        <v>38.04</v>
      </c>
      <c r="Q11" s="18">
        <f t="shared" si="4"/>
        <v>6</v>
      </c>
      <c r="R11" s="4">
        <f t="shared" si="6"/>
        <v>15.96</v>
      </c>
      <c r="S11" s="4"/>
      <c r="T11" s="4">
        <f t="shared" si="7"/>
        <v>15.96</v>
      </c>
      <c r="U11" s="4">
        <f t="shared" si="8"/>
        <v>15.96</v>
      </c>
      <c r="V11" s="4"/>
      <c r="W11" s="4"/>
      <c r="X11" s="18"/>
      <c r="Y11" s="18"/>
      <c r="Z11" s="18">
        <f t="shared" si="9"/>
        <v>14</v>
      </c>
      <c r="AA11" s="18">
        <f t="shared" si="5"/>
        <v>11.339999999999998</v>
      </c>
      <c r="AB11" s="18">
        <v>5.6</v>
      </c>
      <c r="AC11" s="18">
        <v>1.8</v>
      </c>
      <c r="AD11" s="18">
        <v>4.4000000000000004</v>
      </c>
      <c r="AE11" s="18">
        <v>5.4</v>
      </c>
      <c r="AF11" s="18">
        <v>2.6</v>
      </c>
      <c r="AG11" s="18">
        <v>2.4</v>
      </c>
      <c r="AH11" s="18">
        <v>4.2</v>
      </c>
      <c r="AI11" s="18">
        <v>3.4</v>
      </c>
      <c r="AJ11" s="18"/>
      <c r="AK11" s="18">
        <f t="shared" si="10"/>
        <v>3</v>
      </c>
      <c r="AL11" s="18">
        <f t="shared" si="11"/>
        <v>0</v>
      </c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</row>
    <row r="12" spans="1:55" x14ac:dyDescent="0.25">
      <c r="A12" s="18" t="s">
        <v>46</v>
      </c>
      <c r="B12" s="18" t="s">
        <v>43</v>
      </c>
      <c r="C12" s="18">
        <v>37</v>
      </c>
      <c r="D12" s="18">
        <v>24</v>
      </c>
      <c r="E12" s="18">
        <v>34</v>
      </c>
      <c r="F12" s="18">
        <v>27</v>
      </c>
      <c r="G12" s="7">
        <v>0.3</v>
      </c>
      <c r="H12" s="18">
        <v>40</v>
      </c>
      <c r="I12" s="18" t="s">
        <v>38</v>
      </c>
      <c r="J12" s="18"/>
      <c r="K12" s="18">
        <v>34</v>
      </c>
      <c r="L12" s="18">
        <f t="shared" si="3"/>
        <v>0</v>
      </c>
      <c r="M12" s="18"/>
      <c r="N12" s="18"/>
      <c r="O12" s="18">
        <v>0</v>
      </c>
      <c r="P12" s="18">
        <v>6</v>
      </c>
      <c r="Q12" s="18">
        <f t="shared" si="4"/>
        <v>6.8</v>
      </c>
      <c r="R12" s="4">
        <f>11*Q12-P12-O12-F12</f>
        <v>41.8</v>
      </c>
      <c r="S12" s="4"/>
      <c r="T12" s="4">
        <f t="shared" si="7"/>
        <v>41.8</v>
      </c>
      <c r="U12" s="4">
        <f t="shared" si="8"/>
        <v>41.8</v>
      </c>
      <c r="V12" s="4"/>
      <c r="W12" s="4"/>
      <c r="X12" s="18"/>
      <c r="Y12" s="18"/>
      <c r="Z12" s="18">
        <f t="shared" si="9"/>
        <v>11</v>
      </c>
      <c r="AA12" s="18">
        <f t="shared" si="5"/>
        <v>4.8529411764705888</v>
      </c>
      <c r="AB12" s="18">
        <v>3.4</v>
      </c>
      <c r="AC12" s="18">
        <v>1.2</v>
      </c>
      <c r="AD12" s="18">
        <v>3.4</v>
      </c>
      <c r="AE12" s="18">
        <v>5.8</v>
      </c>
      <c r="AF12" s="18">
        <v>4.5999999999999996</v>
      </c>
      <c r="AG12" s="18">
        <v>3</v>
      </c>
      <c r="AH12" s="18">
        <v>2.6</v>
      </c>
      <c r="AI12" s="18">
        <v>6.2</v>
      </c>
      <c r="AJ12" s="18"/>
      <c r="AK12" s="18">
        <f t="shared" si="10"/>
        <v>13</v>
      </c>
      <c r="AL12" s="18">
        <f t="shared" si="11"/>
        <v>0</v>
      </c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</row>
    <row r="13" spans="1:55" x14ac:dyDescent="0.25">
      <c r="A13" s="18" t="s">
        <v>47</v>
      </c>
      <c r="B13" s="18" t="s">
        <v>43</v>
      </c>
      <c r="C13" s="18">
        <v>12</v>
      </c>
      <c r="D13" s="18">
        <v>120</v>
      </c>
      <c r="E13" s="18">
        <v>79</v>
      </c>
      <c r="F13" s="18">
        <v>43</v>
      </c>
      <c r="G13" s="7">
        <v>0.17</v>
      </c>
      <c r="H13" s="18">
        <v>180</v>
      </c>
      <c r="I13" s="18" t="s">
        <v>38</v>
      </c>
      <c r="J13" s="18"/>
      <c r="K13" s="18">
        <v>79</v>
      </c>
      <c r="L13" s="18">
        <f t="shared" si="3"/>
        <v>0</v>
      </c>
      <c r="M13" s="18"/>
      <c r="N13" s="18"/>
      <c r="O13" s="18">
        <v>0</v>
      </c>
      <c r="P13" s="18">
        <v>30</v>
      </c>
      <c r="Q13" s="18">
        <f t="shared" si="4"/>
        <v>15.8</v>
      </c>
      <c r="R13" s="4">
        <f t="shared" si="6"/>
        <v>148.20000000000002</v>
      </c>
      <c r="S13" s="4"/>
      <c r="T13" s="4">
        <f t="shared" si="7"/>
        <v>148.20000000000002</v>
      </c>
      <c r="U13" s="4">
        <f t="shared" si="8"/>
        <v>148.20000000000002</v>
      </c>
      <c r="V13" s="4"/>
      <c r="W13" s="4"/>
      <c r="X13" s="18"/>
      <c r="Y13" s="18"/>
      <c r="Z13" s="18">
        <f t="shared" si="9"/>
        <v>14</v>
      </c>
      <c r="AA13" s="18">
        <f t="shared" si="5"/>
        <v>4.6202531645569618</v>
      </c>
      <c r="AB13" s="18">
        <v>3.8</v>
      </c>
      <c r="AC13" s="18">
        <v>1.8</v>
      </c>
      <c r="AD13" s="18">
        <v>10.4</v>
      </c>
      <c r="AE13" s="18">
        <v>13.2</v>
      </c>
      <c r="AF13" s="18">
        <v>5.6</v>
      </c>
      <c r="AG13" s="18">
        <v>4</v>
      </c>
      <c r="AH13" s="18">
        <v>5.2</v>
      </c>
      <c r="AI13" s="18">
        <v>4</v>
      </c>
      <c r="AJ13" s="18"/>
      <c r="AK13" s="18">
        <f t="shared" si="10"/>
        <v>25</v>
      </c>
      <c r="AL13" s="18">
        <f t="shared" si="11"/>
        <v>0</v>
      </c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</row>
    <row r="14" spans="1:55" x14ac:dyDescent="0.25">
      <c r="A14" s="18" t="s">
        <v>48</v>
      </c>
      <c r="B14" s="18" t="s">
        <v>37</v>
      </c>
      <c r="C14" s="18">
        <v>93.674999999999997</v>
      </c>
      <c r="D14" s="18">
        <v>406.48200000000003</v>
      </c>
      <c r="E14" s="18">
        <v>198.37200000000001</v>
      </c>
      <c r="F14" s="18">
        <v>301.78500000000003</v>
      </c>
      <c r="G14" s="7">
        <v>1</v>
      </c>
      <c r="H14" s="18">
        <v>55</v>
      </c>
      <c r="I14" s="18" t="s">
        <v>38</v>
      </c>
      <c r="J14" s="18"/>
      <c r="K14" s="18">
        <v>185.3</v>
      </c>
      <c r="L14" s="18">
        <f t="shared" si="3"/>
        <v>13.072000000000003</v>
      </c>
      <c r="M14" s="18"/>
      <c r="N14" s="18"/>
      <c r="O14" s="18">
        <v>0</v>
      </c>
      <c r="P14" s="18">
        <v>118.14438</v>
      </c>
      <c r="Q14" s="18">
        <f t="shared" si="4"/>
        <v>39.674400000000006</v>
      </c>
      <c r="R14" s="4">
        <f t="shared" si="6"/>
        <v>135.51222000000007</v>
      </c>
      <c r="S14" s="4">
        <f>$S$1*Q14</f>
        <v>19.837200000000003</v>
      </c>
      <c r="T14" s="4">
        <f t="shared" si="7"/>
        <v>155.34942000000007</v>
      </c>
      <c r="U14" s="4">
        <f t="shared" si="8"/>
        <v>95.349420000000066</v>
      </c>
      <c r="V14" s="4">
        <v>60</v>
      </c>
      <c r="W14" s="4"/>
      <c r="X14" s="18"/>
      <c r="Y14" s="18"/>
      <c r="Z14" s="18">
        <f t="shared" si="9"/>
        <v>14.499999999999998</v>
      </c>
      <c r="AA14" s="18">
        <f t="shared" si="5"/>
        <v>10.584391446373479</v>
      </c>
      <c r="AB14" s="18">
        <v>34.943199999999997</v>
      </c>
      <c r="AC14" s="18">
        <v>35.653399999999998</v>
      </c>
      <c r="AD14" s="18">
        <v>39.485599999999998</v>
      </c>
      <c r="AE14" s="18">
        <v>30.003599999999999</v>
      </c>
      <c r="AF14" s="18">
        <v>28.9682</v>
      </c>
      <c r="AG14" s="18">
        <v>28.988199999999999</v>
      </c>
      <c r="AH14" s="18">
        <v>27.410599999999999</v>
      </c>
      <c r="AI14" s="18">
        <v>36.727600000000002</v>
      </c>
      <c r="AJ14" s="18" t="s">
        <v>49</v>
      </c>
      <c r="AK14" s="18">
        <f t="shared" si="10"/>
        <v>95</v>
      </c>
      <c r="AL14" s="18">
        <f t="shared" si="11"/>
        <v>60</v>
      </c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</row>
    <row r="15" spans="1:55" x14ac:dyDescent="0.25">
      <c r="A15" s="18" t="s">
        <v>50</v>
      </c>
      <c r="B15" s="18" t="s">
        <v>37</v>
      </c>
      <c r="C15" s="18">
        <v>1544.6020000000001</v>
      </c>
      <c r="D15" s="18">
        <v>504.86900000000003</v>
      </c>
      <c r="E15" s="18">
        <v>1132.434</v>
      </c>
      <c r="F15" s="18">
        <v>905.26700000000005</v>
      </c>
      <c r="G15" s="7">
        <v>1</v>
      </c>
      <c r="H15" s="18">
        <v>50</v>
      </c>
      <c r="I15" s="18" t="s">
        <v>38</v>
      </c>
      <c r="J15" s="18"/>
      <c r="K15" s="18">
        <v>1127.7</v>
      </c>
      <c r="L15" s="18">
        <f t="shared" si="3"/>
        <v>4.7339999999999236</v>
      </c>
      <c r="M15" s="18"/>
      <c r="N15" s="18"/>
      <c r="O15" s="18">
        <v>386.23410000000013</v>
      </c>
      <c r="P15" s="18">
        <v>1313.2985000000001</v>
      </c>
      <c r="Q15" s="18">
        <f t="shared" si="4"/>
        <v>226.48679999999999</v>
      </c>
      <c r="R15" s="4">
        <f t="shared" si="6"/>
        <v>566.01559999999972</v>
      </c>
      <c r="S15" s="4">
        <f>$S$1*Q15</f>
        <v>113.24339999999999</v>
      </c>
      <c r="T15" s="4">
        <f t="shared" si="7"/>
        <v>679.25899999999967</v>
      </c>
      <c r="U15" s="4">
        <f t="shared" si="8"/>
        <v>279.25899999999967</v>
      </c>
      <c r="V15" s="4">
        <v>400</v>
      </c>
      <c r="W15" s="4"/>
      <c r="X15" s="18"/>
      <c r="Y15" s="18"/>
      <c r="Z15" s="18">
        <f t="shared" si="9"/>
        <v>14.5</v>
      </c>
      <c r="AA15" s="18">
        <f t="shared" si="5"/>
        <v>11.50088923504593</v>
      </c>
      <c r="AB15" s="18">
        <v>222.994</v>
      </c>
      <c r="AC15" s="18">
        <v>199.20480000000001</v>
      </c>
      <c r="AD15" s="18">
        <v>189.55840000000001</v>
      </c>
      <c r="AE15" s="18">
        <v>187.78579999999999</v>
      </c>
      <c r="AF15" s="18">
        <v>203.39779999999999</v>
      </c>
      <c r="AG15" s="18">
        <v>204.13220000000001</v>
      </c>
      <c r="AH15" s="18">
        <v>183.4896</v>
      </c>
      <c r="AI15" s="18">
        <v>203.5548</v>
      </c>
      <c r="AJ15" s="18" t="s">
        <v>49</v>
      </c>
      <c r="AK15" s="18">
        <f t="shared" si="10"/>
        <v>279</v>
      </c>
      <c r="AL15" s="18">
        <f t="shared" si="11"/>
        <v>400</v>
      </c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</row>
    <row r="16" spans="1:55" x14ac:dyDescent="0.25">
      <c r="A16" s="18" t="s">
        <v>51</v>
      </c>
      <c r="B16" s="18" t="s">
        <v>37</v>
      </c>
      <c r="C16" s="18">
        <v>46.302999999999997</v>
      </c>
      <c r="D16" s="18">
        <v>32.761000000000003</v>
      </c>
      <c r="E16" s="18">
        <v>40.198</v>
      </c>
      <c r="F16" s="18">
        <v>34.494</v>
      </c>
      <c r="G16" s="7">
        <v>1</v>
      </c>
      <c r="H16" s="18">
        <v>60</v>
      </c>
      <c r="I16" s="18" t="s">
        <v>38</v>
      </c>
      <c r="J16" s="18"/>
      <c r="K16" s="18">
        <v>41.1</v>
      </c>
      <c r="L16" s="18">
        <f t="shared" si="3"/>
        <v>-0.90200000000000102</v>
      </c>
      <c r="M16" s="18"/>
      <c r="N16" s="18"/>
      <c r="O16" s="18">
        <v>4</v>
      </c>
      <c r="P16" s="18">
        <v>48.751680000000022</v>
      </c>
      <c r="Q16" s="18">
        <f t="shared" si="4"/>
        <v>8.0396000000000001</v>
      </c>
      <c r="R16" s="4">
        <f t="shared" si="6"/>
        <v>25.30871999999998</v>
      </c>
      <c r="S16" s="4"/>
      <c r="T16" s="4">
        <f t="shared" si="7"/>
        <v>25.30871999999998</v>
      </c>
      <c r="U16" s="4">
        <f t="shared" si="8"/>
        <v>25.30871999999998</v>
      </c>
      <c r="V16" s="4"/>
      <c r="W16" s="4"/>
      <c r="X16" s="18"/>
      <c r="Y16" s="18"/>
      <c r="Z16" s="18">
        <f t="shared" si="9"/>
        <v>14</v>
      </c>
      <c r="AA16" s="18">
        <f t="shared" si="5"/>
        <v>10.851992636449577</v>
      </c>
      <c r="AB16" s="18">
        <v>7.3372000000000002</v>
      </c>
      <c r="AC16" s="18">
        <v>6.5974000000000004</v>
      </c>
      <c r="AD16" s="18">
        <v>7.4787999999999997</v>
      </c>
      <c r="AE16" s="18">
        <v>6.1229999999999993</v>
      </c>
      <c r="AF16" s="18">
        <v>4.5469999999999997</v>
      </c>
      <c r="AG16" s="18">
        <v>1.302</v>
      </c>
      <c r="AH16" s="18">
        <v>3.5842000000000001</v>
      </c>
      <c r="AI16" s="18">
        <v>9.8675999999999995</v>
      </c>
      <c r="AJ16" s="18"/>
      <c r="AK16" s="18">
        <f t="shared" si="10"/>
        <v>25</v>
      </c>
      <c r="AL16" s="18">
        <f t="shared" si="11"/>
        <v>0</v>
      </c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</row>
    <row r="17" spans="1:55" x14ac:dyDescent="0.25">
      <c r="A17" s="18" t="s">
        <v>52</v>
      </c>
      <c r="B17" s="18" t="s">
        <v>37</v>
      </c>
      <c r="C17" s="18">
        <v>793.399</v>
      </c>
      <c r="D17" s="18">
        <v>737.49900000000002</v>
      </c>
      <c r="E17" s="18">
        <v>712.98299999999995</v>
      </c>
      <c r="F17" s="18">
        <v>805.46400000000006</v>
      </c>
      <c r="G17" s="7">
        <v>1</v>
      </c>
      <c r="H17" s="18">
        <v>60</v>
      </c>
      <c r="I17" s="18" t="s">
        <v>38</v>
      </c>
      <c r="J17" s="18"/>
      <c r="K17" s="18">
        <v>720</v>
      </c>
      <c r="L17" s="18">
        <f t="shared" si="3"/>
        <v>-7.0170000000000528</v>
      </c>
      <c r="M17" s="18"/>
      <c r="N17" s="18"/>
      <c r="O17" s="18">
        <v>253.0233999999999</v>
      </c>
      <c r="P17" s="18">
        <v>797.02240000000029</v>
      </c>
      <c r="Q17" s="18">
        <f t="shared" si="4"/>
        <v>142.5966</v>
      </c>
      <c r="R17" s="4">
        <f t="shared" si="6"/>
        <v>140.84259999999972</v>
      </c>
      <c r="S17" s="4">
        <f>$S$1*Q17</f>
        <v>71.298299999999998</v>
      </c>
      <c r="T17" s="4">
        <f t="shared" si="7"/>
        <v>212.1408999999997</v>
      </c>
      <c r="U17" s="4">
        <f t="shared" si="8"/>
        <v>112.1408999999997</v>
      </c>
      <c r="V17" s="4">
        <v>100</v>
      </c>
      <c r="W17" s="4"/>
      <c r="X17" s="18"/>
      <c r="Y17" s="18"/>
      <c r="Z17" s="18">
        <f t="shared" si="9"/>
        <v>14.500000000000002</v>
      </c>
      <c r="AA17" s="18">
        <f t="shared" si="5"/>
        <v>13.012300433530676</v>
      </c>
      <c r="AB17" s="18">
        <v>155.06899999999999</v>
      </c>
      <c r="AC17" s="18">
        <v>145.56960000000001</v>
      </c>
      <c r="AD17" s="18">
        <v>137.7544</v>
      </c>
      <c r="AE17" s="18">
        <v>134.04519999999999</v>
      </c>
      <c r="AF17" s="18">
        <v>126.4396</v>
      </c>
      <c r="AG17" s="18">
        <v>126.4182</v>
      </c>
      <c r="AH17" s="18">
        <v>118.1044</v>
      </c>
      <c r="AI17" s="18">
        <v>121.0548</v>
      </c>
      <c r="AJ17" s="18"/>
      <c r="AK17" s="18">
        <f t="shared" si="10"/>
        <v>112</v>
      </c>
      <c r="AL17" s="18">
        <f t="shared" si="11"/>
        <v>100</v>
      </c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</row>
    <row r="18" spans="1:55" x14ac:dyDescent="0.25">
      <c r="A18" s="18" t="s">
        <v>53</v>
      </c>
      <c r="B18" s="18" t="s">
        <v>37</v>
      </c>
      <c r="C18" s="18">
        <v>68.784999999999997</v>
      </c>
      <c r="D18" s="18"/>
      <c r="E18" s="18">
        <v>29.431999999999999</v>
      </c>
      <c r="F18" s="18">
        <v>39.353000000000002</v>
      </c>
      <c r="G18" s="7">
        <v>1</v>
      </c>
      <c r="H18" s="18">
        <v>60</v>
      </c>
      <c r="I18" s="18" t="s">
        <v>38</v>
      </c>
      <c r="J18" s="18"/>
      <c r="K18" s="18">
        <v>26.6</v>
      </c>
      <c r="L18" s="18">
        <f t="shared" si="3"/>
        <v>2.8319999999999972</v>
      </c>
      <c r="M18" s="18"/>
      <c r="N18" s="18"/>
      <c r="O18" s="18">
        <v>0</v>
      </c>
      <c r="P18" s="18">
        <v>20.80200000000001</v>
      </c>
      <c r="Q18" s="18">
        <f t="shared" si="4"/>
        <v>5.8864000000000001</v>
      </c>
      <c r="R18" s="4">
        <f t="shared" si="6"/>
        <v>22.254599999999989</v>
      </c>
      <c r="S18" s="4"/>
      <c r="T18" s="4">
        <f t="shared" si="7"/>
        <v>22.254599999999989</v>
      </c>
      <c r="U18" s="4">
        <f t="shared" si="8"/>
        <v>22.254599999999989</v>
      </c>
      <c r="V18" s="4"/>
      <c r="W18" s="4"/>
      <c r="X18" s="18"/>
      <c r="Y18" s="18"/>
      <c r="Z18" s="18">
        <f t="shared" si="9"/>
        <v>14.000000000000002</v>
      </c>
      <c r="AA18" s="18">
        <f t="shared" si="5"/>
        <v>10.219319108453387</v>
      </c>
      <c r="AB18" s="18">
        <v>4.9603999999999999</v>
      </c>
      <c r="AC18" s="18">
        <v>4.3460000000000001</v>
      </c>
      <c r="AD18" s="18">
        <v>3.9996</v>
      </c>
      <c r="AE18" s="18">
        <v>6.077</v>
      </c>
      <c r="AF18" s="18">
        <v>8.2406000000000006</v>
      </c>
      <c r="AG18" s="18">
        <v>5.8932000000000002</v>
      </c>
      <c r="AH18" s="18">
        <v>5.5014000000000003</v>
      </c>
      <c r="AI18" s="18">
        <v>3.8847999999999998</v>
      </c>
      <c r="AJ18" s="18"/>
      <c r="AK18" s="18">
        <f t="shared" si="10"/>
        <v>22</v>
      </c>
      <c r="AL18" s="18">
        <f t="shared" si="11"/>
        <v>0</v>
      </c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</row>
    <row r="19" spans="1:55" x14ac:dyDescent="0.25">
      <c r="A19" s="18" t="s">
        <v>54</v>
      </c>
      <c r="B19" s="18" t="s">
        <v>37</v>
      </c>
      <c r="C19" s="18">
        <v>5.2640000000000002</v>
      </c>
      <c r="D19" s="18"/>
      <c r="E19" s="18">
        <v>3.4</v>
      </c>
      <c r="F19" s="18">
        <v>1.8640000000000001</v>
      </c>
      <c r="G19" s="7">
        <v>1</v>
      </c>
      <c r="H19" s="18">
        <v>180</v>
      </c>
      <c r="I19" s="18" t="s">
        <v>38</v>
      </c>
      <c r="J19" s="18"/>
      <c r="K19" s="18">
        <v>3.4</v>
      </c>
      <c r="L19" s="18">
        <f t="shared" si="3"/>
        <v>0</v>
      </c>
      <c r="M19" s="18"/>
      <c r="N19" s="18"/>
      <c r="O19" s="18">
        <v>0</v>
      </c>
      <c r="P19" s="18">
        <v>4.5549999999999988</v>
      </c>
      <c r="Q19" s="18">
        <f t="shared" si="4"/>
        <v>0.67999999999999994</v>
      </c>
      <c r="R19" s="4">
        <v>4</v>
      </c>
      <c r="S19" s="4"/>
      <c r="T19" s="4">
        <f t="shared" si="7"/>
        <v>4</v>
      </c>
      <c r="U19" s="4">
        <f t="shared" si="8"/>
        <v>4</v>
      </c>
      <c r="V19" s="4"/>
      <c r="W19" s="4"/>
      <c r="X19" s="18"/>
      <c r="Y19" s="18"/>
      <c r="Z19" s="18">
        <f t="shared" si="9"/>
        <v>15.322058823529412</v>
      </c>
      <c r="AA19" s="18">
        <f t="shared" si="5"/>
        <v>9.4397058823529409</v>
      </c>
      <c r="AB19" s="18">
        <v>0.52779999999999994</v>
      </c>
      <c r="AC19" s="18">
        <v>0.222</v>
      </c>
      <c r="AD19" s="18">
        <v>0.4582</v>
      </c>
      <c r="AE19" s="18">
        <v>0.45879999999999999</v>
      </c>
      <c r="AF19" s="18">
        <v>0.15440000000000001</v>
      </c>
      <c r="AG19" s="18">
        <v>1.0407999999999999</v>
      </c>
      <c r="AH19" s="18">
        <v>1.1104000000000001</v>
      </c>
      <c r="AI19" s="18">
        <v>0.14879999999999999</v>
      </c>
      <c r="AJ19" s="18"/>
      <c r="AK19" s="18">
        <f t="shared" si="10"/>
        <v>4</v>
      </c>
      <c r="AL19" s="18">
        <f t="shared" si="11"/>
        <v>0</v>
      </c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</row>
    <row r="20" spans="1:55" x14ac:dyDescent="0.25">
      <c r="A20" s="18" t="s">
        <v>55</v>
      </c>
      <c r="B20" s="18" t="s">
        <v>37</v>
      </c>
      <c r="C20" s="18">
        <v>528.30499999999995</v>
      </c>
      <c r="D20" s="18">
        <v>7.024</v>
      </c>
      <c r="E20" s="18">
        <v>275.99200000000002</v>
      </c>
      <c r="F20" s="18">
        <v>259.33699999999999</v>
      </c>
      <c r="G20" s="7">
        <v>1</v>
      </c>
      <c r="H20" s="18">
        <v>60</v>
      </c>
      <c r="I20" s="18" t="s">
        <v>38</v>
      </c>
      <c r="J20" s="18"/>
      <c r="K20" s="18">
        <v>254.6</v>
      </c>
      <c r="L20" s="18">
        <f t="shared" si="3"/>
        <v>21.392000000000024</v>
      </c>
      <c r="M20" s="18"/>
      <c r="N20" s="18"/>
      <c r="O20" s="18">
        <v>0</v>
      </c>
      <c r="P20" s="18">
        <v>398.14699999999999</v>
      </c>
      <c r="Q20" s="18">
        <f t="shared" si="4"/>
        <v>55.198400000000007</v>
      </c>
      <c r="R20" s="4">
        <f t="shared" si="6"/>
        <v>115.29360000000014</v>
      </c>
      <c r="S20" s="4">
        <f>$S$1*Q20</f>
        <v>27.599200000000003</v>
      </c>
      <c r="T20" s="4">
        <f t="shared" si="7"/>
        <v>142.89280000000014</v>
      </c>
      <c r="U20" s="4">
        <f t="shared" si="8"/>
        <v>142.89280000000014</v>
      </c>
      <c r="V20" s="4"/>
      <c r="W20" s="4"/>
      <c r="X20" s="18"/>
      <c r="Y20" s="18"/>
      <c r="Z20" s="18">
        <f t="shared" si="9"/>
        <v>14.499999999999998</v>
      </c>
      <c r="AA20" s="18">
        <f t="shared" si="5"/>
        <v>11.911287283689379</v>
      </c>
      <c r="AB20" s="18">
        <v>54.27</v>
      </c>
      <c r="AC20" s="18">
        <v>36.486600000000003</v>
      </c>
      <c r="AD20" s="18">
        <v>38.938000000000002</v>
      </c>
      <c r="AE20" s="18">
        <v>47.522599999999997</v>
      </c>
      <c r="AF20" s="18">
        <v>55.830800000000004</v>
      </c>
      <c r="AG20" s="18">
        <v>40.405999999999999</v>
      </c>
      <c r="AH20" s="18">
        <v>36.976999999999997</v>
      </c>
      <c r="AI20" s="18">
        <v>45.398000000000003</v>
      </c>
      <c r="AJ20" s="18" t="s">
        <v>49</v>
      </c>
      <c r="AK20" s="18">
        <f t="shared" si="10"/>
        <v>143</v>
      </c>
      <c r="AL20" s="18">
        <f t="shared" si="11"/>
        <v>0</v>
      </c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</row>
    <row r="21" spans="1:55" x14ac:dyDescent="0.25">
      <c r="A21" s="11" t="s">
        <v>56</v>
      </c>
      <c r="B21" s="11" t="s">
        <v>37</v>
      </c>
      <c r="C21" s="11"/>
      <c r="D21" s="11"/>
      <c r="E21" s="19">
        <v>5</v>
      </c>
      <c r="F21" s="19">
        <v>-5</v>
      </c>
      <c r="G21" s="12">
        <v>0</v>
      </c>
      <c r="H21" s="11" t="e">
        <v>#N/A</v>
      </c>
      <c r="I21" s="11" t="s">
        <v>57</v>
      </c>
      <c r="J21" s="11" t="s">
        <v>58</v>
      </c>
      <c r="K21" s="11">
        <v>5</v>
      </c>
      <c r="L21" s="11">
        <f t="shared" si="3"/>
        <v>0</v>
      </c>
      <c r="M21" s="11"/>
      <c r="N21" s="11"/>
      <c r="O21" s="11"/>
      <c r="P21" s="11"/>
      <c r="Q21" s="11">
        <f t="shared" si="4"/>
        <v>1</v>
      </c>
      <c r="R21" s="13"/>
      <c r="S21" s="13"/>
      <c r="T21" s="4">
        <f t="shared" si="7"/>
        <v>0</v>
      </c>
      <c r="U21" s="4">
        <f t="shared" si="8"/>
        <v>0</v>
      </c>
      <c r="V21" s="4"/>
      <c r="W21" s="13"/>
      <c r="X21" s="11"/>
      <c r="Y21" s="11"/>
      <c r="Z21" s="18">
        <f t="shared" si="9"/>
        <v>-5</v>
      </c>
      <c r="AA21" s="11">
        <f t="shared" si="5"/>
        <v>-5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/>
      <c r="AK21" s="18">
        <f t="shared" si="10"/>
        <v>0</v>
      </c>
      <c r="AL21" s="18">
        <f t="shared" si="11"/>
        <v>0</v>
      </c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</row>
    <row r="22" spans="1:55" x14ac:dyDescent="0.25">
      <c r="A22" s="18" t="s">
        <v>59</v>
      </c>
      <c r="B22" s="18" t="s">
        <v>37</v>
      </c>
      <c r="C22" s="18">
        <v>95.756</v>
      </c>
      <c r="D22" s="18">
        <v>59.054000000000002</v>
      </c>
      <c r="E22" s="18">
        <v>115.67100000000001</v>
      </c>
      <c r="F22" s="18">
        <v>39.139000000000003</v>
      </c>
      <c r="G22" s="7">
        <v>1</v>
      </c>
      <c r="H22" s="18">
        <v>60</v>
      </c>
      <c r="I22" s="18" t="s">
        <v>38</v>
      </c>
      <c r="J22" s="18"/>
      <c r="K22" s="18">
        <v>107.1</v>
      </c>
      <c r="L22" s="18">
        <f t="shared" si="3"/>
        <v>8.5710000000000122</v>
      </c>
      <c r="M22" s="18"/>
      <c r="N22" s="18"/>
      <c r="O22" s="18">
        <v>0</v>
      </c>
      <c r="P22" s="18">
        <v>141.33068</v>
      </c>
      <c r="Q22" s="18">
        <f t="shared" si="4"/>
        <v>23.1342</v>
      </c>
      <c r="R22" s="4">
        <f t="shared" ref="R22:R25" si="12">14*Q22-P22-O22-F22</f>
        <v>143.40912</v>
      </c>
      <c r="S22" s="4"/>
      <c r="T22" s="4">
        <f t="shared" si="7"/>
        <v>143.40912</v>
      </c>
      <c r="U22" s="4">
        <f t="shared" si="8"/>
        <v>93.409120000000001</v>
      </c>
      <c r="V22" s="4">
        <v>50</v>
      </c>
      <c r="W22" s="4"/>
      <c r="X22" s="18"/>
      <c r="Y22" s="18"/>
      <c r="Z22" s="18">
        <f t="shared" si="9"/>
        <v>14</v>
      </c>
      <c r="AA22" s="18">
        <f t="shared" si="5"/>
        <v>7.8009907409808861</v>
      </c>
      <c r="AB22" s="18">
        <v>16.4252</v>
      </c>
      <c r="AC22" s="18">
        <v>11.7744</v>
      </c>
      <c r="AD22" s="18">
        <v>13.5616</v>
      </c>
      <c r="AE22" s="18">
        <v>17.310600000000001</v>
      </c>
      <c r="AF22" s="18">
        <v>17.488199999999999</v>
      </c>
      <c r="AG22" s="18">
        <v>13.7178</v>
      </c>
      <c r="AH22" s="18">
        <v>11.576000000000001</v>
      </c>
      <c r="AI22" s="18">
        <v>15.3306</v>
      </c>
      <c r="AJ22" s="18"/>
      <c r="AK22" s="18">
        <f t="shared" si="10"/>
        <v>93</v>
      </c>
      <c r="AL22" s="18">
        <f t="shared" si="11"/>
        <v>50</v>
      </c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</row>
    <row r="23" spans="1:55" x14ac:dyDescent="0.25">
      <c r="A23" s="18" t="s">
        <v>60</v>
      </c>
      <c r="B23" s="18" t="s">
        <v>37</v>
      </c>
      <c r="C23" s="18">
        <v>131.38200000000001</v>
      </c>
      <c r="D23" s="18">
        <v>0.875</v>
      </c>
      <c r="E23" s="18">
        <v>86.721000000000004</v>
      </c>
      <c r="F23" s="18">
        <v>39.430999999999997</v>
      </c>
      <c r="G23" s="7">
        <v>1</v>
      </c>
      <c r="H23" s="18">
        <v>60</v>
      </c>
      <c r="I23" s="18" t="s">
        <v>38</v>
      </c>
      <c r="J23" s="18"/>
      <c r="K23" s="18">
        <v>85.6</v>
      </c>
      <c r="L23" s="18">
        <f t="shared" si="3"/>
        <v>1.1210000000000093</v>
      </c>
      <c r="M23" s="18"/>
      <c r="N23" s="18"/>
      <c r="O23" s="18">
        <v>0</v>
      </c>
      <c r="P23" s="18">
        <v>76.194440000000014</v>
      </c>
      <c r="Q23" s="18">
        <f t="shared" si="4"/>
        <v>17.344200000000001</v>
      </c>
      <c r="R23" s="4">
        <f t="shared" si="12"/>
        <v>127.19336</v>
      </c>
      <c r="S23" s="4"/>
      <c r="T23" s="4">
        <f t="shared" si="7"/>
        <v>127.19336</v>
      </c>
      <c r="U23" s="4">
        <f t="shared" si="8"/>
        <v>77.193359999999998</v>
      </c>
      <c r="V23" s="4">
        <v>50</v>
      </c>
      <c r="W23" s="4"/>
      <c r="X23" s="18"/>
      <c r="Y23" s="18"/>
      <c r="Z23" s="18">
        <f t="shared" si="9"/>
        <v>14</v>
      </c>
      <c r="AA23" s="18">
        <f t="shared" si="5"/>
        <v>6.666519066892679</v>
      </c>
      <c r="AB23" s="18">
        <v>11.5716</v>
      </c>
      <c r="AC23" s="18">
        <v>10.374000000000001</v>
      </c>
      <c r="AD23" s="18">
        <v>5.6201999999999996</v>
      </c>
      <c r="AE23" s="18">
        <v>8.7821999999999996</v>
      </c>
      <c r="AF23" s="18">
        <v>15.809799999999999</v>
      </c>
      <c r="AG23" s="18">
        <v>11.1982</v>
      </c>
      <c r="AH23" s="18">
        <v>8.3884000000000007</v>
      </c>
      <c r="AI23" s="18">
        <v>8.4285999999999994</v>
      </c>
      <c r="AJ23" s="18"/>
      <c r="AK23" s="18">
        <f t="shared" si="10"/>
        <v>77</v>
      </c>
      <c r="AL23" s="18">
        <f t="shared" si="11"/>
        <v>50</v>
      </c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</row>
    <row r="24" spans="1:55" x14ac:dyDescent="0.25">
      <c r="A24" s="18" t="s">
        <v>61</v>
      </c>
      <c r="B24" s="18" t="s">
        <v>37</v>
      </c>
      <c r="C24" s="18">
        <v>8.9990000000000006</v>
      </c>
      <c r="D24" s="18"/>
      <c r="E24" s="18">
        <v>0.35099999999999998</v>
      </c>
      <c r="F24" s="18">
        <v>8.6479999999999997</v>
      </c>
      <c r="G24" s="7">
        <v>1</v>
      </c>
      <c r="H24" s="18">
        <v>180</v>
      </c>
      <c r="I24" s="18" t="s">
        <v>38</v>
      </c>
      <c r="J24" s="18"/>
      <c r="K24" s="18">
        <v>0.35</v>
      </c>
      <c r="L24" s="18">
        <f t="shared" si="3"/>
        <v>1.0000000000000009E-3</v>
      </c>
      <c r="M24" s="18"/>
      <c r="N24" s="18"/>
      <c r="O24" s="18">
        <v>0</v>
      </c>
      <c r="P24" s="18">
        <v>0</v>
      </c>
      <c r="Q24" s="18">
        <f t="shared" si="4"/>
        <v>7.0199999999999999E-2</v>
      </c>
      <c r="R24" s="4"/>
      <c r="S24" s="4"/>
      <c r="T24" s="4">
        <f t="shared" si="7"/>
        <v>0</v>
      </c>
      <c r="U24" s="4">
        <f t="shared" si="8"/>
        <v>0</v>
      </c>
      <c r="V24" s="4"/>
      <c r="W24" s="4"/>
      <c r="X24" s="18"/>
      <c r="Y24" s="18"/>
      <c r="Z24" s="18">
        <f t="shared" si="9"/>
        <v>123.19088319088318</v>
      </c>
      <c r="AA24" s="18">
        <f t="shared" si="5"/>
        <v>123.19088319088318</v>
      </c>
      <c r="AB24" s="18">
        <v>0.2114</v>
      </c>
      <c r="AC24" s="18">
        <v>0.35239999999999999</v>
      </c>
      <c r="AD24" s="18">
        <v>0.2112</v>
      </c>
      <c r="AE24" s="18">
        <v>0</v>
      </c>
      <c r="AF24" s="18">
        <v>7.2399999999999992E-2</v>
      </c>
      <c r="AG24" s="18">
        <v>0.28460000000000002</v>
      </c>
      <c r="AH24" s="18">
        <v>0.2122</v>
      </c>
      <c r="AI24" s="18">
        <v>0.35520000000000002</v>
      </c>
      <c r="AJ24" s="21" t="s">
        <v>62</v>
      </c>
      <c r="AK24" s="18">
        <f t="shared" si="10"/>
        <v>0</v>
      </c>
      <c r="AL24" s="18">
        <f t="shared" si="11"/>
        <v>0</v>
      </c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</row>
    <row r="25" spans="1:55" x14ac:dyDescent="0.25">
      <c r="A25" s="18" t="s">
        <v>63</v>
      </c>
      <c r="B25" s="18" t="s">
        <v>37</v>
      </c>
      <c r="C25" s="18">
        <v>144.55500000000001</v>
      </c>
      <c r="D25" s="18">
        <v>128.36000000000001</v>
      </c>
      <c r="E25" s="18">
        <v>177.38499999999999</v>
      </c>
      <c r="F25" s="18">
        <v>84.138999999999996</v>
      </c>
      <c r="G25" s="7">
        <v>1</v>
      </c>
      <c r="H25" s="18">
        <v>60</v>
      </c>
      <c r="I25" s="18" t="s">
        <v>38</v>
      </c>
      <c r="J25" s="18"/>
      <c r="K25" s="18">
        <v>171.8</v>
      </c>
      <c r="L25" s="18">
        <f t="shared" si="3"/>
        <v>5.5849999999999795</v>
      </c>
      <c r="M25" s="18"/>
      <c r="N25" s="18"/>
      <c r="O25" s="18">
        <v>28.851599999999959</v>
      </c>
      <c r="P25" s="18">
        <v>286.37119999999999</v>
      </c>
      <c r="Q25" s="18">
        <f t="shared" si="4"/>
        <v>35.476999999999997</v>
      </c>
      <c r="R25" s="4">
        <f t="shared" si="12"/>
        <v>97.316199999999995</v>
      </c>
      <c r="S25" s="4"/>
      <c r="T25" s="4">
        <f t="shared" si="7"/>
        <v>97.316199999999995</v>
      </c>
      <c r="U25" s="4">
        <f t="shared" si="8"/>
        <v>97.316199999999995</v>
      </c>
      <c r="V25" s="4"/>
      <c r="W25" s="4"/>
      <c r="X25" s="18"/>
      <c r="Y25" s="18"/>
      <c r="Z25" s="18">
        <f t="shared" si="9"/>
        <v>14</v>
      </c>
      <c r="AA25" s="18">
        <f t="shared" si="5"/>
        <v>11.256921385686502</v>
      </c>
      <c r="AB25" s="18">
        <v>32.472999999999999</v>
      </c>
      <c r="AC25" s="18">
        <v>22.639800000000001</v>
      </c>
      <c r="AD25" s="18">
        <v>21.586600000000001</v>
      </c>
      <c r="AE25" s="18">
        <v>24.5672</v>
      </c>
      <c r="AF25" s="18">
        <v>26.389800000000001</v>
      </c>
      <c r="AG25" s="18">
        <v>14.9778</v>
      </c>
      <c r="AH25" s="18">
        <v>15.308</v>
      </c>
      <c r="AI25" s="18">
        <v>27.5396</v>
      </c>
      <c r="AJ25" s="18" t="s">
        <v>49</v>
      </c>
      <c r="AK25" s="18">
        <f t="shared" si="10"/>
        <v>97</v>
      </c>
      <c r="AL25" s="18">
        <f t="shared" si="11"/>
        <v>0</v>
      </c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</row>
    <row r="26" spans="1:55" x14ac:dyDescent="0.25">
      <c r="A26" s="14" t="s">
        <v>64</v>
      </c>
      <c r="B26" s="14" t="s">
        <v>37</v>
      </c>
      <c r="C26" s="14"/>
      <c r="D26" s="14"/>
      <c r="E26" s="14"/>
      <c r="F26" s="14"/>
      <c r="G26" s="15">
        <v>0</v>
      </c>
      <c r="H26" s="14">
        <v>30</v>
      </c>
      <c r="I26" s="14" t="s">
        <v>38</v>
      </c>
      <c r="J26" s="14"/>
      <c r="K26" s="14"/>
      <c r="L26" s="14">
        <f t="shared" si="3"/>
        <v>0</v>
      </c>
      <c r="M26" s="14"/>
      <c r="N26" s="14"/>
      <c r="O26" s="14">
        <v>0</v>
      </c>
      <c r="P26" s="14">
        <v>0</v>
      </c>
      <c r="Q26" s="14">
        <f t="shared" si="4"/>
        <v>0</v>
      </c>
      <c r="R26" s="16"/>
      <c r="S26" s="16"/>
      <c r="T26" s="4">
        <f t="shared" si="7"/>
        <v>0</v>
      </c>
      <c r="U26" s="4">
        <f t="shared" si="8"/>
        <v>0</v>
      </c>
      <c r="V26" s="4"/>
      <c r="W26" s="16"/>
      <c r="X26" s="14"/>
      <c r="Y26" s="14"/>
      <c r="Z26" s="18" t="e">
        <f t="shared" si="9"/>
        <v>#DIV/0!</v>
      </c>
      <c r="AA26" s="14" t="e">
        <f t="shared" si="5"/>
        <v>#DIV/0!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 t="s">
        <v>65</v>
      </c>
      <c r="AK26" s="18">
        <f t="shared" si="10"/>
        <v>0</v>
      </c>
      <c r="AL26" s="18">
        <f t="shared" si="11"/>
        <v>0</v>
      </c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</row>
    <row r="27" spans="1:55" x14ac:dyDescent="0.25">
      <c r="A27" s="18" t="s">
        <v>66</v>
      </c>
      <c r="B27" s="18" t="s">
        <v>37</v>
      </c>
      <c r="C27" s="18">
        <v>74.903000000000006</v>
      </c>
      <c r="D27" s="18">
        <v>36.231999999999999</v>
      </c>
      <c r="E27" s="18">
        <v>69.561000000000007</v>
      </c>
      <c r="F27" s="18">
        <v>39.090000000000003</v>
      </c>
      <c r="G27" s="7">
        <v>1</v>
      </c>
      <c r="H27" s="18">
        <v>30</v>
      </c>
      <c r="I27" s="18" t="s">
        <v>38</v>
      </c>
      <c r="J27" s="18"/>
      <c r="K27" s="18">
        <v>64.5</v>
      </c>
      <c r="L27" s="18">
        <f t="shared" si="3"/>
        <v>5.061000000000007</v>
      </c>
      <c r="M27" s="18"/>
      <c r="N27" s="18"/>
      <c r="O27" s="18">
        <v>77.618000000000038</v>
      </c>
      <c r="P27" s="18">
        <v>73.841999999999999</v>
      </c>
      <c r="Q27" s="18">
        <f t="shared" si="4"/>
        <v>13.912200000000002</v>
      </c>
      <c r="R27" s="4"/>
      <c r="S27" s="4"/>
      <c r="T27" s="4">
        <f t="shared" si="7"/>
        <v>0</v>
      </c>
      <c r="U27" s="4">
        <f t="shared" si="8"/>
        <v>0</v>
      </c>
      <c r="V27" s="4"/>
      <c r="W27" s="4"/>
      <c r="X27" s="18"/>
      <c r="Y27" s="18"/>
      <c r="Z27" s="18">
        <f t="shared" si="9"/>
        <v>13.69661160707868</v>
      </c>
      <c r="AA27" s="18">
        <f t="shared" si="5"/>
        <v>13.69661160707868</v>
      </c>
      <c r="AB27" s="18">
        <v>18.367000000000001</v>
      </c>
      <c r="AC27" s="18">
        <v>16.213000000000001</v>
      </c>
      <c r="AD27" s="18">
        <v>15.67</v>
      </c>
      <c r="AE27" s="18">
        <v>15.3672</v>
      </c>
      <c r="AF27" s="18">
        <v>14.0596</v>
      </c>
      <c r="AG27" s="18">
        <v>18.2806</v>
      </c>
      <c r="AH27" s="18">
        <v>17.439</v>
      </c>
      <c r="AI27" s="18">
        <v>15.557399999999999</v>
      </c>
      <c r="AJ27" s="18"/>
      <c r="AK27" s="18">
        <f t="shared" si="10"/>
        <v>0</v>
      </c>
      <c r="AL27" s="18">
        <f t="shared" si="11"/>
        <v>0</v>
      </c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</row>
    <row r="28" spans="1:55" x14ac:dyDescent="0.25">
      <c r="A28" s="18" t="s">
        <v>67</v>
      </c>
      <c r="B28" s="18" t="s">
        <v>37</v>
      </c>
      <c r="C28" s="18">
        <v>32.746000000000002</v>
      </c>
      <c r="D28" s="18">
        <v>163.39500000000001</v>
      </c>
      <c r="E28" s="18">
        <v>91.531000000000006</v>
      </c>
      <c r="F28" s="18">
        <v>90.363</v>
      </c>
      <c r="G28" s="7">
        <v>1</v>
      </c>
      <c r="H28" s="18">
        <v>30</v>
      </c>
      <c r="I28" s="18" t="s">
        <v>38</v>
      </c>
      <c r="J28" s="18"/>
      <c r="K28" s="18">
        <v>107.2</v>
      </c>
      <c r="L28" s="18">
        <f t="shared" si="3"/>
        <v>-15.668999999999997</v>
      </c>
      <c r="M28" s="18"/>
      <c r="N28" s="18"/>
      <c r="O28" s="18">
        <v>9.8036000000000456</v>
      </c>
      <c r="P28" s="18">
        <v>126.53847999999989</v>
      </c>
      <c r="Q28" s="18">
        <f t="shared" si="4"/>
        <v>18.3062</v>
      </c>
      <c r="R28" s="4"/>
      <c r="S28" s="4"/>
      <c r="T28" s="4">
        <f t="shared" si="7"/>
        <v>0</v>
      </c>
      <c r="U28" s="4">
        <f t="shared" si="8"/>
        <v>0</v>
      </c>
      <c r="V28" s="4"/>
      <c r="W28" s="4"/>
      <c r="X28" s="18"/>
      <c r="Y28" s="18"/>
      <c r="Z28" s="18">
        <f t="shared" si="9"/>
        <v>12.384060045230575</v>
      </c>
      <c r="AA28" s="18">
        <f t="shared" si="5"/>
        <v>12.384060045230575</v>
      </c>
      <c r="AB28" s="18">
        <v>19.308199999999999</v>
      </c>
      <c r="AC28" s="18">
        <v>15.922000000000001</v>
      </c>
      <c r="AD28" s="18">
        <v>20.171399999999998</v>
      </c>
      <c r="AE28" s="18">
        <v>17.4268</v>
      </c>
      <c r="AF28" s="18">
        <v>14.5634</v>
      </c>
      <c r="AG28" s="18">
        <v>17.923200000000001</v>
      </c>
      <c r="AH28" s="18">
        <v>19.881399999999999</v>
      </c>
      <c r="AI28" s="18">
        <v>18.697800000000001</v>
      </c>
      <c r="AJ28" s="18" t="s">
        <v>49</v>
      </c>
      <c r="AK28" s="18">
        <f t="shared" si="10"/>
        <v>0</v>
      </c>
      <c r="AL28" s="18">
        <f t="shared" si="11"/>
        <v>0</v>
      </c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</row>
    <row r="29" spans="1:55" x14ac:dyDescent="0.25">
      <c r="A29" s="14" t="s">
        <v>68</v>
      </c>
      <c r="B29" s="14" t="s">
        <v>37</v>
      </c>
      <c r="C29" s="14"/>
      <c r="D29" s="14"/>
      <c r="E29" s="14"/>
      <c r="F29" s="14"/>
      <c r="G29" s="15">
        <v>0</v>
      </c>
      <c r="H29" s="14">
        <v>45</v>
      </c>
      <c r="I29" s="14" t="s">
        <v>38</v>
      </c>
      <c r="J29" s="14"/>
      <c r="K29" s="14"/>
      <c r="L29" s="14">
        <f t="shared" si="3"/>
        <v>0</v>
      </c>
      <c r="M29" s="14"/>
      <c r="N29" s="14"/>
      <c r="O29" s="14">
        <v>0</v>
      </c>
      <c r="P29" s="14">
        <v>0</v>
      </c>
      <c r="Q29" s="14">
        <f t="shared" si="4"/>
        <v>0</v>
      </c>
      <c r="R29" s="16"/>
      <c r="S29" s="16"/>
      <c r="T29" s="4">
        <f t="shared" si="7"/>
        <v>0</v>
      </c>
      <c r="U29" s="4">
        <f t="shared" si="8"/>
        <v>0</v>
      </c>
      <c r="V29" s="4"/>
      <c r="W29" s="16"/>
      <c r="X29" s="14"/>
      <c r="Y29" s="14"/>
      <c r="Z29" s="18" t="e">
        <f t="shared" si="9"/>
        <v>#DIV/0!</v>
      </c>
      <c r="AA29" s="14" t="e">
        <f t="shared" si="5"/>
        <v>#DIV/0!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 t="s">
        <v>65</v>
      </c>
      <c r="AK29" s="18">
        <f t="shared" si="10"/>
        <v>0</v>
      </c>
      <c r="AL29" s="18">
        <f t="shared" si="11"/>
        <v>0</v>
      </c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</row>
    <row r="30" spans="1:55" x14ac:dyDescent="0.25">
      <c r="A30" s="18" t="s">
        <v>69</v>
      </c>
      <c r="B30" s="18" t="s">
        <v>37</v>
      </c>
      <c r="C30" s="18">
        <v>37.457999999999998</v>
      </c>
      <c r="D30" s="18"/>
      <c r="E30" s="18">
        <v>17.393999999999998</v>
      </c>
      <c r="F30" s="18">
        <v>20.064</v>
      </c>
      <c r="G30" s="7">
        <v>1</v>
      </c>
      <c r="H30" s="18">
        <v>40</v>
      </c>
      <c r="I30" s="18" t="s">
        <v>38</v>
      </c>
      <c r="J30" s="18"/>
      <c r="K30" s="18">
        <v>14.7</v>
      </c>
      <c r="L30" s="18">
        <f t="shared" si="3"/>
        <v>2.6939999999999991</v>
      </c>
      <c r="M30" s="18"/>
      <c r="N30" s="18"/>
      <c r="O30" s="18">
        <v>17.494800000000001</v>
      </c>
      <c r="P30" s="18">
        <v>20.146599999999999</v>
      </c>
      <c r="Q30" s="18">
        <f t="shared" si="4"/>
        <v>3.4787999999999997</v>
      </c>
      <c r="R30" s="4"/>
      <c r="S30" s="4"/>
      <c r="T30" s="4">
        <f t="shared" si="7"/>
        <v>0</v>
      </c>
      <c r="U30" s="4">
        <f t="shared" si="8"/>
        <v>0</v>
      </c>
      <c r="V30" s="4"/>
      <c r="W30" s="4"/>
      <c r="X30" s="18"/>
      <c r="Y30" s="18"/>
      <c r="Z30" s="18">
        <f t="shared" si="9"/>
        <v>16.587731401632748</v>
      </c>
      <c r="AA30" s="18">
        <f t="shared" si="5"/>
        <v>16.587731401632748</v>
      </c>
      <c r="AB30" s="18">
        <v>4.9555999999999996</v>
      </c>
      <c r="AC30" s="18">
        <v>4.5793999999999997</v>
      </c>
      <c r="AD30" s="18">
        <v>1.9532</v>
      </c>
      <c r="AE30" s="18">
        <v>4.3648000000000007</v>
      </c>
      <c r="AF30" s="18">
        <v>5.7283999999999997</v>
      </c>
      <c r="AG30" s="18">
        <v>5.2148000000000003</v>
      </c>
      <c r="AH30" s="18">
        <v>3.2502</v>
      </c>
      <c r="AI30" s="18">
        <v>2.3372000000000002</v>
      </c>
      <c r="AJ30" s="18"/>
      <c r="AK30" s="18">
        <f t="shared" si="10"/>
        <v>0</v>
      </c>
      <c r="AL30" s="18">
        <f t="shared" si="11"/>
        <v>0</v>
      </c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</row>
    <row r="31" spans="1:55" x14ac:dyDescent="0.25">
      <c r="A31" s="18" t="s">
        <v>70</v>
      </c>
      <c r="B31" s="18" t="s">
        <v>37</v>
      </c>
      <c r="C31" s="18">
        <v>48.84</v>
      </c>
      <c r="D31" s="18">
        <v>71.566000000000003</v>
      </c>
      <c r="E31" s="18">
        <v>20.187999999999999</v>
      </c>
      <c r="F31" s="18">
        <v>91.244</v>
      </c>
      <c r="G31" s="7">
        <v>1</v>
      </c>
      <c r="H31" s="18">
        <v>30</v>
      </c>
      <c r="I31" s="18" t="s">
        <v>38</v>
      </c>
      <c r="J31" s="18"/>
      <c r="K31" s="18">
        <v>22</v>
      </c>
      <c r="L31" s="18">
        <f t="shared" si="3"/>
        <v>-1.8120000000000012</v>
      </c>
      <c r="M31" s="18"/>
      <c r="N31" s="18"/>
      <c r="O31" s="18">
        <v>0</v>
      </c>
      <c r="P31" s="18">
        <v>0</v>
      </c>
      <c r="Q31" s="18">
        <f t="shared" si="4"/>
        <v>4.0375999999999994</v>
      </c>
      <c r="R31" s="4"/>
      <c r="S31" s="4"/>
      <c r="T31" s="4">
        <f t="shared" si="7"/>
        <v>0</v>
      </c>
      <c r="U31" s="4">
        <f t="shared" si="8"/>
        <v>0</v>
      </c>
      <c r="V31" s="4"/>
      <c r="W31" s="4"/>
      <c r="X31" s="18"/>
      <c r="Y31" s="18"/>
      <c r="Z31" s="18">
        <f t="shared" si="9"/>
        <v>22.598573409946507</v>
      </c>
      <c r="AA31" s="18">
        <f t="shared" si="5"/>
        <v>22.598573409946507</v>
      </c>
      <c r="AB31" s="18">
        <v>4.9176000000000002</v>
      </c>
      <c r="AC31" s="18">
        <v>4.3883999999999999</v>
      </c>
      <c r="AD31" s="18">
        <v>7.2539999999999996</v>
      </c>
      <c r="AE31" s="18">
        <v>10.346</v>
      </c>
      <c r="AF31" s="18">
        <v>8.8159999999999989</v>
      </c>
      <c r="AG31" s="18">
        <v>5.7187999999999999</v>
      </c>
      <c r="AH31" s="18">
        <v>6.0586000000000002</v>
      </c>
      <c r="AI31" s="18">
        <v>8.0104000000000006</v>
      </c>
      <c r="AJ31" s="18" t="s">
        <v>71</v>
      </c>
      <c r="AK31" s="18">
        <f t="shared" si="10"/>
        <v>0</v>
      </c>
      <c r="AL31" s="18">
        <f t="shared" si="11"/>
        <v>0</v>
      </c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</row>
    <row r="32" spans="1:55" x14ac:dyDescent="0.25">
      <c r="A32" s="18" t="s">
        <v>72</v>
      </c>
      <c r="B32" s="18" t="s">
        <v>37</v>
      </c>
      <c r="C32" s="18">
        <v>123.617</v>
      </c>
      <c r="D32" s="18">
        <v>124.97499999999999</v>
      </c>
      <c r="E32" s="18">
        <v>99.478999999999999</v>
      </c>
      <c r="F32" s="18">
        <v>141.89599999999999</v>
      </c>
      <c r="G32" s="7">
        <v>1</v>
      </c>
      <c r="H32" s="18">
        <v>50</v>
      </c>
      <c r="I32" s="18" t="s">
        <v>38</v>
      </c>
      <c r="J32" s="18"/>
      <c r="K32" s="18">
        <v>96.108000000000004</v>
      </c>
      <c r="L32" s="18">
        <f t="shared" si="3"/>
        <v>3.3709999999999951</v>
      </c>
      <c r="M32" s="18"/>
      <c r="N32" s="18"/>
      <c r="O32" s="18">
        <v>0</v>
      </c>
      <c r="P32" s="18">
        <v>75.815839999999938</v>
      </c>
      <c r="Q32" s="18">
        <f t="shared" si="4"/>
        <v>19.895800000000001</v>
      </c>
      <c r="R32" s="4">
        <f t="shared" ref="R32:R50" si="13">14*Q32-P32-O32-F32</f>
        <v>60.829360000000094</v>
      </c>
      <c r="S32" s="4"/>
      <c r="T32" s="4">
        <f t="shared" si="7"/>
        <v>60.829360000000094</v>
      </c>
      <c r="U32" s="4">
        <f t="shared" si="8"/>
        <v>60.829360000000094</v>
      </c>
      <c r="V32" s="4"/>
      <c r="W32" s="4"/>
      <c r="X32" s="18"/>
      <c r="Y32" s="18"/>
      <c r="Z32" s="18">
        <f t="shared" si="9"/>
        <v>14</v>
      </c>
      <c r="AA32" s="18">
        <f t="shared" si="5"/>
        <v>10.942602961429042</v>
      </c>
      <c r="AB32" s="18">
        <v>18.579599999999999</v>
      </c>
      <c r="AC32" s="18">
        <v>18.502600000000001</v>
      </c>
      <c r="AD32" s="18">
        <v>21.0794</v>
      </c>
      <c r="AE32" s="18">
        <v>22.010400000000001</v>
      </c>
      <c r="AF32" s="18">
        <v>23.454000000000001</v>
      </c>
      <c r="AG32" s="18">
        <v>19.119</v>
      </c>
      <c r="AH32" s="18">
        <v>11.136200000000001</v>
      </c>
      <c r="AI32" s="18">
        <v>20.192799999999998</v>
      </c>
      <c r="AJ32" s="18"/>
      <c r="AK32" s="18">
        <f t="shared" si="10"/>
        <v>61</v>
      </c>
      <c r="AL32" s="18">
        <f t="shared" si="11"/>
        <v>0</v>
      </c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</row>
    <row r="33" spans="1:55" x14ac:dyDescent="0.25">
      <c r="A33" s="18" t="s">
        <v>73</v>
      </c>
      <c r="B33" s="18" t="s">
        <v>37</v>
      </c>
      <c r="C33" s="18">
        <v>18.969000000000001</v>
      </c>
      <c r="D33" s="18">
        <v>144.411</v>
      </c>
      <c r="E33" s="18">
        <v>53.677</v>
      </c>
      <c r="F33" s="18">
        <v>107.92</v>
      </c>
      <c r="G33" s="7">
        <v>1</v>
      </c>
      <c r="H33" s="18">
        <v>50</v>
      </c>
      <c r="I33" s="18" t="s">
        <v>38</v>
      </c>
      <c r="J33" s="18"/>
      <c r="K33" s="18">
        <v>48.1</v>
      </c>
      <c r="L33" s="18">
        <f t="shared" si="3"/>
        <v>5.5769999999999982</v>
      </c>
      <c r="M33" s="18"/>
      <c r="N33" s="18"/>
      <c r="O33" s="18">
        <v>16.909599999999969</v>
      </c>
      <c r="P33" s="18">
        <v>23.925360000000079</v>
      </c>
      <c r="Q33" s="18">
        <f t="shared" si="4"/>
        <v>10.7354</v>
      </c>
      <c r="R33" s="4">
        <v>4</v>
      </c>
      <c r="S33" s="4"/>
      <c r="T33" s="4">
        <f t="shared" si="7"/>
        <v>4</v>
      </c>
      <c r="U33" s="4">
        <f t="shared" si="8"/>
        <v>4</v>
      </c>
      <c r="V33" s="4"/>
      <c r="W33" s="4"/>
      <c r="X33" s="18"/>
      <c r="Y33" s="18"/>
      <c r="Z33" s="18">
        <f t="shared" si="9"/>
        <v>14.229088808987093</v>
      </c>
      <c r="AA33" s="18">
        <f t="shared" si="5"/>
        <v>13.856489744210746</v>
      </c>
      <c r="AB33" s="18">
        <v>11.4434</v>
      </c>
      <c r="AC33" s="18">
        <v>14.2158</v>
      </c>
      <c r="AD33" s="18">
        <v>15.3316</v>
      </c>
      <c r="AE33" s="18">
        <v>10.8422</v>
      </c>
      <c r="AF33" s="18">
        <v>9.7569999999999997</v>
      </c>
      <c r="AG33" s="18">
        <v>10.241400000000001</v>
      </c>
      <c r="AH33" s="18">
        <v>9.4992000000000001</v>
      </c>
      <c r="AI33" s="18">
        <v>9.333400000000001</v>
      </c>
      <c r="AJ33" s="18"/>
      <c r="AK33" s="18">
        <f t="shared" si="10"/>
        <v>4</v>
      </c>
      <c r="AL33" s="18">
        <f t="shared" si="11"/>
        <v>0</v>
      </c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</row>
    <row r="34" spans="1:55" x14ac:dyDescent="0.25">
      <c r="A34" s="18" t="s">
        <v>74</v>
      </c>
      <c r="B34" s="18" t="s">
        <v>43</v>
      </c>
      <c r="C34" s="18">
        <v>1361</v>
      </c>
      <c r="D34" s="18">
        <v>40</v>
      </c>
      <c r="E34" s="18">
        <v>796</v>
      </c>
      <c r="F34" s="18">
        <v>593</v>
      </c>
      <c r="G34" s="7">
        <v>0.4</v>
      </c>
      <c r="H34" s="18">
        <v>45</v>
      </c>
      <c r="I34" s="18" t="s">
        <v>38</v>
      </c>
      <c r="J34" s="18"/>
      <c r="K34" s="18">
        <v>799</v>
      </c>
      <c r="L34" s="18">
        <f t="shared" si="3"/>
        <v>-3</v>
      </c>
      <c r="M34" s="18"/>
      <c r="N34" s="18"/>
      <c r="O34" s="18">
        <v>0</v>
      </c>
      <c r="P34" s="18">
        <v>935.24</v>
      </c>
      <c r="Q34" s="18">
        <f t="shared" si="4"/>
        <v>159.19999999999999</v>
      </c>
      <c r="R34" s="4">
        <f t="shared" si="13"/>
        <v>700.55999999999972</v>
      </c>
      <c r="S34" s="4"/>
      <c r="T34" s="4">
        <f t="shared" si="7"/>
        <v>700.55999999999972</v>
      </c>
      <c r="U34" s="4">
        <f t="shared" si="8"/>
        <v>300.55999999999972</v>
      </c>
      <c r="V34" s="4">
        <v>400</v>
      </c>
      <c r="W34" s="4"/>
      <c r="X34" s="18"/>
      <c r="Y34" s="18"/>
      <c r="Z34" s="18">
        <f t="shared" si="9"/>
        <v>14</v>
      </c>
      <c r="AA34" s="18">
        <f t="shared" si="5"/>
        <v>9.599497487437187</v>
      </c>
      <c r="AB34" s="18">
        <v>133.6</v>
      </c>
      <c r="AC34" s="18">
        <v>100.4</v>
      </c>
      <c r="AD34" s="18">
        <v>94.2</v>
      </c>
      <c r="AE34" s="18">
        <v>135.4</v>
      </c>
      <c r="AF34" s="18">
        <v>147</v>
      </c>
      <c r="AG34" s="18">
        <v>111.6</v>
      </c>
      <c r="AH34" s="18">
        <v>97.4</v>
      </c>
      <c r="AI34" s="18">
        <v>99</v>
      </c>
      <c r="AJ34" s="18" t="s">
        <v>75</v>
      </c>
      <c r="AK34" s="18">
        <f t="shared" si="10"/>
        <v>120</v>
      </c>
      <c r="AL34" s="18">
        <f t="shared" si="11"/>
        <v>160</v>
      </c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</row>
    <row r="35" spans="1:55" x14ac:dyDescent="0.25">
      <c r="A35" s="18" t="s">
        <v>76</v>
      </c>
      <c r="B35" s="18" t="s">
        <v>43</v>
      </c>
      <c r="C35" s="18">
        <v>144</v>
      </c>
      <c r="D35" s="18">
        <v>114</v>
      </c>
      <c r="E35" s="18">
        <v>149</v>
      </c>
      <c r="F35" s="18">
        <v>79</v>
      </c>
      <c r="G35" s="7">
        <v>0.45</v>
      </c>
      <c r="H35" s="18">
        <v>50</v>
      </c>
      <c r="I35" s="10" t="s">
        <v>77</v>
      </c>
      <c r="J35" s="18"/>
      <c r="K35" s="18">
        <v>178</v>
      </c>
      <c r="L35" s="18">
        <f t="shared" si="3"/>
        <v>-29</v>
      </c>
      <c r="M35" s="18"/>
      <c r="N35" s="18"/>
      <c r="O35" s="18">
        <v>0</v>
      </c>
      <c r="P35" s="18">
        <v>221.08</v>
      </c>
      <c r="Q35" s="18">
        <f t="shared" si="4"/>
        <v>29.8</v>
      </c>
      <c r="R35" s="4">
        <f t="shared" si="13"/>
        <v>117.11999999999998</v>
      </c>
      <c r="S35" s="4"/>
      <c r="T35" s="4">
        <f t="shared" si="7"/>
        <v>117.11999999999998</v>
      </c>
      <c r="U35" s="4">
        <f t="shared" si="8"/>
        <v>117.11999999999998</v>
      </c>
      <c r="V35" s="4"/>
      <c r="W35" s="4"/>
      <c r="X35" s="18"/>
      <c r="Y35" s="18"/>
      <c r="Z35" s="18">
        <f t="shared" si="9"/>
        <v>14.000000000000002</v>
      </c>
      <c r="AA35" s="18">
        <f t="shared" si="5"/>
        <v>10.069798657718122</v>
      </c>
      <c r="AB35" s="18">
        <v>26.2</v>
      </c>
      <c r="AC35" s="18">
        <v>20.2</v>
      </c>
      <c r="AD35" s="18">
        <v>21.2</v>
      </c>
      <c r="AE35" s="18">
        <v>21.6</v>
      </c>
      <c r="AF35" s="18">
        <v>19.2</v>
      </c>
      <c r="AG35" s="18">
        <v>22.2</v>
      </c>
      <c r="AH35" s="18">
        <v>24</v>
      </c>
      <c r="AI35" s="18">
        <v>15.8</v>
      </c>
      <c r="AJ35" s="18" t="s">
        <v>40</v>
      </c>
      <c r="AK35" s="18">
        <f t="shared" si="10"/>
        <v>53</v>
      </c>
      <c r="AL35" s="18">
        <f t="shared" si="11"/>
        <v>0</v>
      </c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</row>
    <row r="36" spans="1:55" x14ac:dyDescent="0.25">
      <c r="A36" s="18" t="s">
        <v>78</v>
      </c>
      <c r="B36" s="18" t="s">
        <v>43</v>
      </c>
      <c r="C36" s="18">
        <v>1018</v>
      </c>
      <c r="D36" s="18">
        <v>7</v>
      </c>
      <c r="E36" s="18">
        <v>572</v>
      </c>
      <c r="F36" s="18">
        <v>441</v>
      </c>
      <c r="G36" s="7">
        <v>0.4</v>
      </c>
      <c r="H36" s="18">
        <v>45</v>
      </c>
      <c r="I36" s="18" t="s">
        <v>38</v>
      </c>
      <c r="J36" s="18"/>
      <c r="K36" s="18">
        <v>585</v>
      </c>
      <c r="L36" s="18">
        <f t="shared" si="3"/>
        <v>-13</v>
      </c>
      <c r="M36" s="18"/>
      <c r="N36" s="18"/>
      <c r="O36" s="18">
        <v>0</v>
      </c>
      <c r="P36" s="18">
        <v>770.88</v>
      </c>
      <c r="Q36" s="18">
        <f t="shared" si="4"/>
        <v>114.4</v>
      </c>
      <c r="R36" s="4">
        <f t="shared" si="13"/>
        <v>389.72000000000014</v>
      </c>
      <c r="S36" s="4"/>
      <c r="T36" s="4">
        <f t="shared" si="7"/>
        <v>389.72000000000014</v>
      </c>
      <c r="U36" s="4">
        <f t="shared" si="8"/>
        <v>189.72000000000014</v>
      </c>
      <c r="V36" s="4">
        <v>200</v>
      </c>
      <c r="W36" s="4"/>
      <c r="X36" s="18"/>
      <c r="Y36" s="18"/>
      <c r="Z36" s="18">
        <f t="shared" si="9"/>
        <v>14.000000000000002</v>
      </c>
      <c r="AA36" s="18">
        <f t="shared" si="5"/>
        <v>10.593356643356644</v>
      </c>
      <c r="AB36" s="18">
        <v>103.2</v>
      </c>
      <c r="AC36" s="18">
        <v>73</v>
      </c>
      <c r="AD36" s="18">
        <v>81</v>
      </c>
      <c r="AE36" s="18">
        <v>109.4</v>
      </c>
      <c r="AF36" s="18">
        <v>112.4</v>
      </c>
      <c r="AG36" s="18">
        <v>85</v>
      </c>
      <c r="AH36" s="18">
        <v>82.6</v>
      </c>
      <c r="AI36" s="18">
        <v>92.6</v>
      </c>
      <c r="AJ36" s="18"/>
      <c r="AK36" s="18">
        <f t="shared" si="10"/>
        <v>76</v>
      </c>
      <c r="AL36" s="18">
        <f t="shared" si="11"/>
        <v>80</v>
      </c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</row>
    <row r="37" spans="1:55" x14ac:dyDescent="0.25">
      <c r="A37" s="18" t="s">
        <v>79</v>
      </c>
      <c r="B37" s="18" t="s">
        <v>43</v>
      </c>
      <c r="C37" s="18">
        <v>220.63399999999999</v>
      </c>
      <c r="D37" s="18">
        <v>11</v>
      </c>
      <c r="E37" s="18">
        <v>42</v>
      </c>
      <c r="F37" s="18">
        <v>176.63399999999999</v>
      </c>
      <c r="G37" s="7">
        <v>0.4</v>
      </c>
      <c r="H37" s="18">
        <v>40</v>
      </c>
      <c r="I37" s="18" t="s">
        <v>38</v>
      </c>
      <c r="J37" s="18"/>
      <c r="K37" s="18">
        <v>55</v>
      </c>
      <c r="L37" s="18">
        <f t="shared" si="3"/>
        <v>-13</v>
      </c>
      <c r="M37" s="18"/>
      <c r="N37" s="18"/>
      <c r="O37" s="18">
        <v>0</v>
      </c>
      <c r="P37" s="18">
        <v>0</v>
      </c>
      <c r="Q37" s="18">
        <f t="shared" si="4"/>
        <v>8.4</v>
      </c>
      <c r="R37" s="4"/>
      <c r="S37" s="4"/>
      <c r="T37" s="4">
        <f t="shared" si="7"/>
        <v>0</v>
      </c>
      <c r="U37" s="4">
        <f t="shared" si="8"/>
        <v>0</v>
      </c>
      <c r="V37" s="4"/>
      <c r="W37" s="4"/>
      <c r="X37" s="18"/>
      <c r="Y37" s="18"/>
      <c r="Z37" s="18">
        <f t="shared" si="9"/>
        <v>21.02785714285714</v>
      </c>
      <c r="AA37" s="18">
        <f t="shared" si="5"/>
        <v>21.02785714285714</v>
      </c>
      <c r="AB37" s="18">
        <v>6.4</v>
      </c>
      <c r="AC37" s="18">
        <v>3.2</v>
      </c>
      <c r="AD37" s="18">
        <v>6</v>
      </c>
      <c r="AE37" s="18">
        <v>8.1999999999999993</v>
      </c>
      <c r="AF37" s="18">
        <v>4.4000000000000004</v>
      </c>
      <c r="AG37" s="18">
        <v>0.87319999999999998</v>
      </c>
      <c r="AH37" s="18">
        <v>11.273199999999999</v>
      </c>
      <c r="AI37" s="18">
        <v>23.2</v>
      </c>
      <c r="AJ37" s="21" t="s">
        <v>62</v>
      </c>
      <c r="AK37" s="18">
        <f t="shared" si="10"/>
        <v>0</v>
      </c>
      <c r="AL37" s="18">
        <f t="shared" si="11"/>
        <v>0</v>
      </c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</row>
    <row r="38" spans="1:55" x14ac:dyDescent="0.25">
      <c r="A38" s="18" t="s">
        <v>80</v>
      </c>
      <c r="B38" s="18" t="s">
        <v>37</v>
      </c>
      <c r="C38" s="18">
        <v>72.846000000000004</v>
      </c>
      <c r="D38" s="18">
        <v>8.4659999999999993</v>
      </c>
      <c r="E38" s="18">
        <v>27.97</v>
      </c>
      <c r="F38" s="18">
        <v>41.735999999999997</v>
      </c>
      <c r="G38" s="7">
        <v>1</v>
      </c>
      <c r="H38" s="18">
        <v>45</v>
      </c>
      <c r="I38" s="18" t="s">
        <v>38</v>
      </c>
      <c r="J38" s="18"/>
      <c r="K38" s="18">
        <v>31</v>
      </c>
      <c r="L38" s="18">
        <f t="shared" ref="L38:L69" si="14">E38-K38</f>
        <v>-3.0300000000000011</v>
      </c>
      <c r="M38" s="18"/>
      <c r="N38" s="18"/>
      <c r="O38" s="18">
        <v>0</v>
      </c>
      <c r="P38" s="18">
        <v>15.618000000000009</v>
      </c>
      <c r="Q38" s="18">
        <f t="shared" ref="Q38:Q69" si="15">E38/5</f>
        <v>5.5939999999999994</v>
      </c>
      <c r="R38" s="4">
        <f t="shared" si="13"/>
        <v>20.961999999999982</v>
      </c>
      <c r="S38" s="4"/>
      <c r="T38" s="4">
        <f t="shared" si="7"/>
        <v>20.961999999999982</v>
      </c>
      <c r="U38" s="4">
        <f t="shared" si="8"/>
        <v>20.961999999999982</v>
      </c>
      <c r="V38" s="4"/>
      <c r="W38" s="4"/>
      <c r="X38" s="18"/>
      <c r="Y38" s="18"/>
      <c r="Z38" s="18">
        <f t="shared" si="9"/>
        <v>14</v>
      </c>
      <c r="AA38" s="18">
        <f t="shared" ref="AA38:AA69" si="16">(F38+O38+P38)/Q38</f>
        <v>10.252770825884879</v>
      </c>
      <c r="AB38" s="18">
        <v>5.4148000000000014</v>
      </c>
      <c r="AC38" s="18">
        <v>3.1444000000000001</v>
      </c>
      <c r="AD38" s="18">
        <v>5.4264000000000001</v>
      </c>
      <c r="AE38" s="18">
        <v>7.1159999999999997</v>
      </c>
      <c r="AF38" s="18">
        <v>7.7611999999999997</v>
      </c>
      <c r="AG38" s="18">
        <v>9.8159999999999989</v>
      </c>
      <c r="AH38" s="18">
        <v>6.9276</v>
      </c>
      <c r="AI38" s="18">
        <v>3.18</v>
      </c>
      <c r="AJ38" s="18"/>
      <c r="AK38" s="18">
        <f t="shared" si="10"/>
        <v>21</v>
      </c>
      <c r="AL38" s="18">
        <f t="shared" si="11"/>
        <v>0</v>
      </c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</row>
    <row r="39" spans="1:55" x14ac:dyDescent="0.25">
      <c r="A39" s="18" t="s">
        <v>81</v>
      </c>
      <c r="B39" s="18" t="s">
        <v>43</v>
      </c>
      <c r="C39" s="18">
        <v>44</v>
      </c>
      <c r="D39" s="18">
        <v>20</v>
      </c>
      <c r="E39" s="18">
        <v>44</v>
      </c>
      <c r="F39" s="18">
        <v>20</v>
      </c>
      <c r="G39" s="7">
        <v>0.1</v>
      </c>
      <c r="H39" s="18">
        <v>730</v>
      </c>
      <c r="I39" s="18" t="s">
        <v>38</v>
      </c>
      <c r="J39" s="18"/>
      <c r="K39" s="18">
        <v>44</v>
      </c>
      <c r="L39" s="18">
        <f t="shared" si="14"/>
        <v>0</v>
      </c>
      <c r="M39" s="18"/>
      <c r="N39" s="18"/>
      <c r="O39" s="18">
        <v>12</v>
      </c>
      <c r="P39" s="18">
        <v>113.04</v>
      </c>
      <c r="Q39" s="18">
        <f t="shared" si="15"/>
        <v>8.8000000000000007</v>
      </c>
      <c r="R39" s="4"/>
      <c r="S39" s="4"/>
      <c r="T39" s="4">
        <f t="shared" si="7"/>
        <v>0</v>
      </c>
      <c r="U39" s="4">
        <f t="shared" si="8"/>
        <v>0</v>
      </c>
      <c r="V39" s="4"/>
      <c r="W39" s="4"/>
      <c r="X39" s="18"/>
      <c r="Y39" s="18"/>
      <c r="Z39" s="18">
        <f t="shared" si="9"/>
        <v>16.481818181818184</v>
      </c>
      <c r="AA39" s="18">
        <f t="shared" si="16"/>
        <v>16.481818181818184</v>
      </c>
      <c r="AB39" s="18">
        <v>10.6</v>
      </c>
      <c r="AC39" s="18">
        <v>5.2</v>
      </c>
      <c r="AD39" s="18">
        <v>5.4</v>
      </c>
      <c r="AE39" s="18">
        <v>3</v>
      </c>
      <c r="AF39" s="18">
        <v>3</v>
      </c>
      <c r="AG39" s="18">
        <v>6.2</v>
      </c>
      <c r="AH39" s="18">
        <v>5.6</v>
      </c>
      <c r="AI39" s="18">
        <v>7.2</v>
      </c>
      <c r="AJ39" s="18"/>
      <c r="AK39" s="18">
        <f t="shared" si="10"/>
        <v>0</v>
      </c>
      <c r="AL39" s="18">
        <f t="shared" si="11"/>
        <v>0</v>
      </c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</row>
    <row r="40" spans="1:55" x14ac:dyDescent="0.25">
      <c r="A40" s="18" t="s">
        <v>82</v>
      </c>
      <c r="B40" s="18" t="s">
        <v>43</v>
      </c>
      <c r="C40" s="18">
        <v>87</v>
      </c>
      <c r="D40" s="18">
        <v>68</v>
      </c>
      <c r="E40" s="18">
        <v>94</v>
      </c>
      <c r="F40" s="18">
        <v>57</v>
      </c>
      <c r="G40" s="7">
        <v>0.35</v>
      </c>
      <c r="H40" s="18">
        <v>40</v>
      </c>
      <c r="I40" s="18" t="s">
        <v>38</v>
      </c>
      <c r="J40" s="18"/>
      <c r="K40" s="18">
        <v>97</v>
      </c>
      <c r="L40" s="18">
        <f t="shared" si="14"/>
        <v>-3</v>
      </c>
      <c r="M40" s="18"/>
      <c r="N40" s="18"/>
      <c r="O40" s="18">
        <v>93.6</v>
      </c>
      <c r="P40" s="18">
        <v>140.88000000000011</v>
      </c>
      <c r="Q40" s="18">
        <f t="shared" si="15"/>
        <v>18.8</v>
      </c>
      <c r="R40" s="4"/>
      <c r="S40" s="4"/>
      <c r="T40" s="4">
        <f t="shared" si="7"/>
        <v>0</v>
      </c>
      <c r="U40" s="4">
        <f t="shared" si="8"/>
        <v>0</v>
      </c>
      <c r="V40" s="4"/>
      <c r="W40" s="4"/>
      <c r="X40" s="18"/>
      <c r="Y40" s="18"/>
      <c r="Z40" s="18">
        <f t="shared" si="9"/>
        <v>15.504255319148943</v>
      </c>
      <c r="AA40" s="18">
        <f t="shared" si="16"/>
        <v>15.504255319148943</v>
      </c>
      <c r="AB40" s="18">
        <v>25.2</v>
      </c>
      <c r="AC40" s="18">
        <v>20.6</v>
      </c>
      <c r="AD40" s="18">
        <v>15</v>
      </c>
      <c r="AE40" s="18">
        <v>20.8</v>
      </c>
      <c r="AF40" s="18">
        <v>15</v>
      </c>
      <c r="AG40" s="18">
        <v>13.6</v>
      </c>
      <c r="AH40" s="18">
        <v>20.6</v>
      </c>
      <c r="AI40" s="18">
        <v>30.2</v>
      </c>
      <c r="AJ40" s="18" t="s">
        <v>40</v>
      </c>
      <c r="AK40" s="18">
        <f t="shared" si="10"/>
        <v>0</v>
      </c>
      <c r="AL40" s="18">
        <f t="shared" si="11"/>
        <v>0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</row>
    <row r="41" spans="1:55" x14ac:dyDescent="0.25">
      <c r="A41" s="18" t="s">
        <v>83</v>
      </c>
      <c r="B41" s="18" t="s">
        <v>37</v>
      </c>
      <c r="C41" s="18">
        <v>91.001000000000005</v>
      </c>
      <c r="D41" s="18">
        <v>162.96299999999999</v>
      </c>
      <c r="E41" s="18">
        <v>94.070999999999998</v>
      </c>
      <c r="F41" s="18">
        <v>157.73099999999999</v>
      </c>
      <c r="G41" s="7">
        <v>1</v>
      </c>
      <c r="H41" s="18">
        <v>40</v>
      </c>
      <c r="I41" s="18" t="s">
        <v>38</v>
      </c>
      <c r="J41" s="18"/>
      <c r="K41" s="18">
        <v>92.97</v>
      </c>
      <c r="L41" s="18">
        <f t="shared" si="14"/>
        <v>1.1009999999999991</v>
      </c>
      <c r="M41" s="18"/>
      <c r="N41" s="18"/>
      <c r="O41" s="18">
        <v>84.287599999999969</v>
      </c>
      <c r="P41" s="18">
        <v>35.317600000000063</v>
      </c>
      <c r="Q41" s="18">
        <f t="shared" si="15"/>
        <v>18.8142</v>
      </c>
      <c r="R41" s="4"/>
      <c r="S41" s="4"/>
      <c r="T41" s="4">
        <f t="shared" si="7"/>
        <v>0</v>
      </c>
      <c r="U41" s="4">
        <f t="shared" si="8"/>
        <v>0</v>
      </c>
      <c r="V41" s="4"/>
      <c r="W41" s="4"/>
      <c r="X41" s="18"/>
      <c r="Y41" s="18"/>
      <c r="Z41" s="18">
        <f t="shared" si="9"/>
        <v>14.74079152980196</v>
      </c>
      <c r="AA41" s="18">
        <f t="shared" si="16"/>
        <v>14.74079152980196</v>
      </c>
      <c r="AB41" s="18">
        <v>21.289200000000001</v>
      </c>
      <c r="AC41" s="18">
        <v>27.791599999999999</v>
      </c>
      <c r="AD41" s="18">
        <v>26.162600000000001</v>
      </c>
      <c r="AE41" s="18">
        <v>16.2638</v>
      </c>
      <c r="AF41" s="18">
        <v>14.3744</v>
      </c>
      <c r="AG41" s="18">
        <v>17.4038</v>
      </c>
      <c r="AH41" s="18">
        <v>26.459199999999999</v>
      </c>
      <c r="AI41" s="18">
        <v>33.893999999999998</v>
      </c>
      <c r="AJ41" s="18"/>
      <c r="AK41" s="18">
        <f t="shared" si="10"/>
        <v>0</v>
      </c>
      <c r="AL41" s="18">
        <f t="shared" si="11"/>
        <v>0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</row>
    <row r="42" spans="1:55" x14ac:dyDescent="0.25">
      <c r="A42" s="18" t="s">
        <v>84</v>
      </c>
      <c r="B42" s="18" t="s">
        <v>43</v>
      </c>
      <c r="C42" s="18">
        <v>194</v>
      </c>
      <c r="D42" s="18">
        <v>6</v>
      </c>
      <c r="E42" s="18">
        <v>172</v>
      </c>
      <c r="F42" s="18">
        <v>20</v>
      </c>
      <c r="G42" s="7">
        <v>0.4</v>
      </c>
      <c r="H42" s="18">
        <v>40</v>
      </c>
      <c r="I42" s="18" t="s">
        <v>38</v>
      </c>
      <c r="J42" s="18"/>
      <c r="K42" s="18">
        <v>173</v>
      </c>
      <c r="L42" s="18">
        <f t="shared" si="14"/>
        <v>-1</v>
      </c>
      <c r="M42" s="18"/>
      <c r="N42" s="18"/>
      <c r="O42" s="18">
        <v>0</v>
      </c>
      <c r="P42" s="18">
        <v>204.2</v>
      </c>
      <c r="Q42" s="18">
        <f t="shared" si="15"/>
        <v>34.4</v>
      </c>
      <c r="R42" s="4">
        <f>12*Q42-P42-O42-F42</f>
        <v>188.59999999999997</v>
      </c>
      <c r="S42" s="4"/>
      <c r="T42" s="4">
        <f t="shared" si="7"/>
        <v>188.59999999999997</v>
      </c>
      <c r="U42" s="4">
        <f t="shared" si="8"/>
        <v>88.599999999999966</v>
      </c>
      <c r="V42" s="4">
        <v>100</v>
      </c>
      <c r="W42" s="4"/>
      <c r="X42" s="18"/>
      <c r="Y42" s="18"/>
      <c r="Z42" s="18">
        <f t="shared" si="9"/>
        <v>12</v>
      </c>
      <c r="AA42" s="18">
        <f t="shared" si="16"/>
        <v>6.5174418604651159</v>
      </c>
      <c r="AB42" s="18">
        <v>28</v>
      </c>
      <c r="AC42" s="18">
        <v>10.199999999999999</v>
      </c>
      <c r="AD42" s="18">
        <v>2</v>
      </c>
      <c r="AE42" s="18">
        <v>11.6</v>
      </c>
      <c r="AF42" s="18">
        <v>25.2</v>
      </c>
      <c r="AG42" s="18">
        <v>14.2</v>
      </c>
      <c r="AH42" s="18">
        <v>3.6</v>
      </c>
      <c r="AI42" s="18">
        <v>6.4</v>
      </c>
      <c r="AJ42" s="18"/>
      <c r="AK42" s="18">
        <f t="shared" si="10"/>
        <v>35</v>
      </c>
      <c r="AL42" s="18">
        <f t="shared" si="11"/>
        <v>40</v>
      </c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</row>
    <row r="43" spans="1:55" x14ac:dyDescent="0.25">
      <c r="A43" s="18" t="s">
        <v>85</v>
      </c>
      <c r="B43" s="18" t="s">
        <v>43</v>
      </c>
      <c r="C43" s="18">
        <v>575</v>
      </c>
      <c r="D43" s="18">
        <v>7</v>
      </c>
      <c r="E43" s="18">
        <v>275</v>
      </c>
      <c r="F43" s="18">
        <v>302</v>
      </c>
      <c r="G43" s="7">
        <v>0.4</v>
      </c>
      <c r="H43" s="18">
        <v>45</v>
      </c>
      <c r="I43" s="18" t="s">
        <v>38</v>
      </c>
      <c r="J43" s="18"/>
      <c r="K43" s="18">
        <v>276</v>
      </c>
      <c r="L43" s="18">
        <f t="shared" si="14"/>
        <v>-1</v>
      </c>
      <c r="M43" s="18"/>
      <c r="N43" s="18"/>
      <c r="O43" s="18">
        <v>0</v>
      </c>
      <c r="P43" s="18">
        <v>0</v>
      </c>
      <c r="Q43" s="18">
        <f t="shared" si="15"/>
        <v>55</v>
      </c>
      <c r="R43" s="4">
        <f t="shared" si="13"/>
        <v>468</v>
      </c>
      <c r="S43" s="4"/>
      <c r="T43" s="4">
        <f t="shared" si="7"/>
        <v>468</v>
      </c>
      <c r="U43" s="4">
        <f t="shared" si="8"/>
        <v>268</v>
      </c>
      <c r="V43" s="4">
        <v>200</v>
      </c>
      <c r="W43" s="4"/>
      <c r="X43" s="18"/>
      <c r="Y43" s="18"/>
      <c r="Z43" s="18">
        <f t="shared" si="9"/>
        <v>14</v>
      </c>
      <c r="AA43" s="18">
        <f t="shared" si="16"/>
        <v>5.4909090909090912</v>
      </c>
      <c r="AB43" s="18">
        <v>27.8</v>
      </c>
      <c r="AC43" s="18">
        <v>13.8</v>
      </c>
      <c r="AD43" s="18">
        <v>13.2</v>
      </c>
      <c r="AE43" s="18">
        <v>28.6</v>
      </c>
      <c r="AF43" s="18">
        <v>46.2</v>
      </c>
      <c r="AG43" s="18">
        <v>36.6</v>
      </c>
      <c r="AH43" s="18">
        <v>25.8</v>
      </c>
      <c r="AI43" s="18">
        <v>20.399999999999999</v>
      </c>
      <c r="AJ43" s="18" t="s">
        <v>40</v>
      </c>
      <c r="AK43" s="18">
        <f t="shared" si="10"/>
        <v>107</v>
      </c>
      <c r="AL43" s="18">
        <f t="shared" si="11"/>
        <v>80</v>
      </c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</row>
    <row r="44" spans="1:55" x14ac:dyDescent="0.25">
      <c r="A44" s="18" t="s">
        <v>86</v>
      </c>
      <c r="B44" s="18" t="s">
        <v>37</v>
      </c>
      <c r="C44" s="18">
        <v>113.711</v>
      </c>
      <c r="D44" s="18">
        <v>209.49600000000001</v>
      </c>
      <c r="E44" s="18">
        <v>148.209</v>
      </c>
      <c r="F44" s="18">
        <v>167.036</v>
      </c>
      <c r="G44" s="7">
        <v>1</v>
      </c>
      <c r="H44" s="18">
        <v>40</v>
      </c>
      <c r="I44" s="18" t="s">
        <v>38</v>
      </c>
      <c r="J44" s="18"/>
      <c r="K44" s="18">
        <v>147.47</v>
      </c>
      <c r="L44" s="18">
        <f t="shared" si="14"/>
        <v>0.73900000000000432</v>
      </c>
      <c r="M44" s="18"/>
      <c r="N44" s="18"/>
      <c r="O44" s="18">
        <v>35.27020000000006</v>
      </c>
      <c r="P44" s="18">
        <v>142.51907999999989</v>
      </c>
      <c r="Q44" s="18">
        <f t="shared" si="15"/>
        <v>29.6418</v>
      </c>
      <c r="R44" s="4">
        <f>12*Q44-P44-O44-F44</f>
        <v>10.876320000000021</v>
      </c>
      <c r="S44" s="4"/>
      <c r="T44" s="4">
        <f t="shared" si="7"/>
        <v>10.876320000000021</v>
      </c>
      <c r="U44" s="4">
        <f t="shared" si="8"/>
        <v>10.876320000000021</v>
      </c>
      <c r="V44" s="4"/>
      <c r="W44" s="4"/>
      <c r="X44" s="18"/>
      <c r="Y44" s="18"/>
      <c r="Z44" s="18">
        <f t="shared" si="9"/>
        <v>11.999999999999998</v>
      </c>
      <c r="AA44" s="18">
        <f t="shared" si="16"/>
        <v>11.633074914478875</v>
      </c>
      <c r="AB44" s="18">
        <v>30.0472</v>
      </c>
      <c r="AC44" s="18">
        <v>29.268599999999999</v>
      </c>
      <c r="AD44" s="18">
        <v>32.658000000000001</v>
      </c>
      <c r="AE44" s="18">
        <v>25.21</v>
      </c>
      <c r="AF44" s="18">
        <v>22.6038</v>
      </c>
      <c r="AG44" s="18">
        <v>18.8994</v>
      </c>
      <c r="AH44" s="18">
        <v>30.1252</v>
      </c>
      <c r="AI44" s="18">
        <v>39.570999999999998</v>
      </c>
      <c r="AJ44" s="18"/>
      <c r="AK44" s="18">
        <f t="shared" si="10"/>
        <v>11</v>
      </c>
      <c r="AL44" s="18">
        <f t="shared" si="11"/>
        <v>0</v>
      </c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</row>
    <row r="45" spans="1:55" x14ac:dyDescent="0.25">
      <c r="A45" s="18" t="s">
        <v>87</v>
      </c>
      <c r="B45" s="18" t="s">
        <v>43</v>
      </c>
      <c r="C45" s="18">
        <v>181</v>
      </c>
      <c r="D45" s="18">
        <v>114</v>
      </c>
      <c r="E45" s="18">
        <v>201</v>
      </c>
      <c r="F45" s="18">
        <v>91</v>
      </c>
      <c r="G45" s="7">
        <v>0.35</v>
      </c>
      <c r="H45" s="18">
        <v>40</v>
      </c>
      <c r="I45" s="18" t="s">
        <v>38</v>
      </c>
      <c r="J45" s="18"/>
      <c r="K45" s="18">
        <v>240</v>
      </c>
      <c r="L45" s="18">
        <f t="shared" si="14"/>
        <v>-39</v>
      </c>
      <c r="M45" s="18"/>
      <c r="N45" s="18"/>
      <c r="O45" s="18">
        <v>150.6</v>
      </c>
      <c r="P45" s="18">
        <v>349.11999999999989</v>
      </c>
      <c r="Q45" s="18">
        <f t="shared" si="15"/>
        <v>40.200000000000003</v>
      </c>
      <c r="R45" s="4"/>
      <c r="S45" s="4"/>
      <c r="T45" s="4">
        <f t="shared" si="7"/>
        <v>0</v>
      </c>
      <c r="U45" s="4">
        <f t="shared" si="8"/>
        <v>0</v>
      </c>
      <c r="V45" s="4"/>
      <c r="W45" s="4"/>
      <c r="X45" s="18"/>
      <c r="Y45" s="18"/>
      <c r="Z45" s="18">
        <f t="shared" si="9"/>
        <v>14.694527363184076</v>
      </c>
      <c r="AA45" s="18">
        <f t="shared" si="16"/>
        <v>14.694527363184076</v>
      </c>
      <c r="AB45" s="18">
        <v>48.8</v>
      </c>
      <c r="AC45" s="18">
        <v>36</v>
      </c>
      <c r="AD45" s="18">
        <v>32</v>
      </c>
      <c r="AE45" s="18">
        <v>25.8</v>
      </c>
      <c r="AF45" s="18">
        <v>37.6</v>
      </c>
      <c r="AG45" s="18">
        <v>37.799999999999997</v>
      </c>
      <c r="AH45" s="18">
        <v>29.8</v>
      </c>
      <c r="AI45" s="18">
        <v>31.4</v>
      </c>
      <c r="AJ45" s="18" t="s">
        <v>49</v>
      </c>
      <c r="AK45" s="18">
        <f t="shared" si="10"/>
        <v>0</v>
      </c>
      <c r="AL45" s="18">
        <f t="shared" si="11"/>
        <v>0</v>
      </c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</row>
    <row r="46" spans="1:55" x14ac:dyDescent="0.25">
      <c r="A46" s="18" t="s">
        <v>88</v>
      </c>
      <c r="B46" s="18" t="s">
        <v>43</v>
      </c>
      <c r="C46" s="18">
        <v>216</v>
      </c>
      <c r="D46" s="18">
        <v>469</v>
      </c>
      <c r="E46" s="18">
        <v>402</v>
      </c>
      <c r="F46" s="18">
        <v>266</v>
      </c>
      <c r="G46" s="7">
        <v>0.4</v>
      </c>
      <c r="H46" s="18">
        <v>40</v>
      </c>
      <c r="I46" s="18" t="s">
        <v>38</v>
      </c>
      <c r="J46" s="18"/>
      <c r="K46" s="18">
        <v>413</v>
      </c>
      <c r="L46" s="18">
        <f t="shared" si="14"/>
        <v>-11</v>
      </c>
      <c r="M46" s="18"/>
      <c r="N46" s="18"/>
      <c r="O46" s="18">
        <v>0</v>
      </c>
      <c r="P46" s="18">
        <v>360.11999999999978</v>
      </c>
      <c r="Q46" s="18">
        <f t="shared" si="15"/>
        <v>80.400000000000006</v>
      </c>
      <c r="R46" s="4">
        <f>12*Q46-P46-O46-F46</f>
        <v>338.68000000000029</v>
      </c>
      <c r="S46" s="4"/>
      <c r="T46" s="4">
        <f t="shared" si="7"/>
        <v>338.68000000000029</v>
      </c>
      <c r="U46" s="4">
        <f t="shared" si="8"/>
        <v>188.68000000000029</v>
      </c>
      <c r="V46" s="4">
        <v>150</v>
      </c>
      <c r="W46" s="4"/>
      <c r="X46" s="18"/>
      <c r="Y46" s="18"/>
      <c r="Z46" s="18">
        <f t="shared" si="9"/>
        <v>12</v>
      </c>
      <c r="AA46" s="18">
        <f t="shared" si="16"/>
        <v>7.7875621890547233</v>
      </c>
      <c r="AB46" s="18">
        <v>61.8</v>
      </c>
      <c r="AC46" s="18">
        <v>53.6</v>
      </c>
      <c r="AD46" s="18">
        <v>67.400000000000006</v>
      </c>
      <c r="AE46" s="18">
        <v>67.599999999999994</v>
      </c>
      <c r="AF46" s="18">
        <v>56</v>
      </c>
      <c r="AG46" s="18">
        <v>48.4</v>
      </c>
      <c r="AH46" s="18">
        <v>47.2</v>
      </c>
      <c r="AI46" s="18">
        <v>52.6</v>
      </c>
      <c r="AJ46" s="18" t="s">
        <v>40</v>
      </c>
      <c r="AK46" s="18">
        <f t="shared" si="10"/>
        <v>75</v>
      </c>
      <c r="AL46" s="18">
        <f t="shared" si="11"/>
        <v>60</v>
      </c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</row>
    <row r="47" spans="1:55" x14ac:dyDescent="0.25">
      <c r="A47" s="18" t="s">
        <v>89</v>
      </c>
      <c r="B47" s="18" t="s">
        <v>37</v>
      </c>
      <c r="C47" s="18">
        <v>11.532</v>
      </c>
      <c r="D47" s="18">
        <v>217.03800000000001</v>
      </c>
      <c r="E47" s="18">
        <v>67.361999999999995</v>
      </c>
      <c r="F47" s="18">
        <v>128.77799999999999</v>
      </c>
      <c r="G47" s="7">
        <v>1</v>
      </c>
      <c r="H47" s="18">
        <v>50</v>
      </c>
      <c r="I47" s="18" t="s">
        <v>38</v>
      </c>
      <c r="J47" s="18"/>
      <c r="K47" s="18">
        <v>107.1</v>
      </c>
      <c r="L47" s="18">
        <f t="shared" si="14"/>
        <v>-39.738</v>
      </c>
      <c r="M47" s="18"/>
      <c r="N47" s="18"/>
      <c r="O47" s="18">
        <v>0</v>
      </c>
      <c r="P47" s="18">
        <v>0</v>
      </c>
      <c r="Q47" s="18">
        <f t="shared" si="15"/>
        <v>13.472399999999999</v>
      </c>
      <c r="R47" s="4">
        <f t="shared" si="13"/>
        <v>59.835599999999999</v>
      </c>
      <c r="S47" s="4"/>
      <c r="T47" s="4">
        <f t="shared" si="7"/>
        <v>59.835599999999999</v>
      </c>
      <c r="U47" s="4">
        <f t="shared" si="8"/>
        <v>59.835599999999999</v>
      </c>
      <c r="V47" s="4"/>
      <c r="W47" s="4"/>
      <c r="X47" s="18"/>
      <c r="Y47" s="18"/>
      <c r="Z47" s="18">
        <f t="shared" si="9"/>
        <v>14</v>
      </c>
      <c r="AA47" s="18">
        <f t="shared" si="16"/>
        <v>9.5586532466375704</v>
      </c>
      <c r="AB47" s="18">
        <v>8.6025999999999989</v>
      </c>
      <c r="AC47" s="18">
        <v>10.509</v>
      </c>
      <c r="AD47" s="18">
        <v>18.158200000000001</v>
      </c>
      <c r="AE47" s="18">
        <v>18.692799999999998</v>
      </c>
      <c r="AF47" s="18">
        <v>9.9703999999999997</v>
      </c>
      <c r="AG47" s="18">
        <v>6.67</v>
      </c>
      <c r="AH47" s="18">
        <v>13.2408</v>
      </c>
      <c r="AI47" s="18">
        <v>13.295</v>
      </c>
      <c r="AJ47" s="18"/>
      <c r="AK47" s="18">
        <f t="shared" si="10"/>
        <v>60</v>
      </c>
      <c r="AL47" s="18">
        <f t="shared" si="11"/>
        <v>0</v>
      </c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</row>
    <row r="48" spans="1:55" x14ac:dyDescent="0.25">
      <c r="A48" s="18" t="s">
        <v>90</v>
      </c>
      <c r="B48" s="18" t="s">
        <v>37</v>
      </c>
      <c r="C48" s="18">
        <v>94.843999999999994</v>
      </c>
      <c r="D48" s="18">
        <v>214.61500000000001</v>
      </c>
      <c r="E48" s="18">
        <v>164.85599999999999</v>
      </c>
      <c r="F48" s="18">
        <v>142.31</v>
      </c>
      <c r="G48" s="7">
        <v>1</v>
      </c>
      <c r="H48" s="18">
        <v>50</v>
      </c>
      <c r="I48" s="18" t="s">
        <v>38</v>
      </c>
      <c r="J48" s="18"/>
      <c r="K48" s="18">
        <v>159.30000000000001</v>
      </c>
      <c r="L48" s="18">
        <f t="shared" si="14"/>
        <v>5.5559999999999832</v>
      </c>
      <c r="M48" s="18"/>
      <c r="N48" s="18"/>
      <c r="O48" s="18">
        <v>47.411999999999978</v>
      </c>
      <c r="P48" s="18">
        <v>170.84479999999991</v>
      </c>
      <c r="Q48" s="18">
        <f t="shared" si="15"/>
        <v>32.971199999999996</v>
      </c>
      <c r="R48" s="4">
        <f t="shared" si="13"/>
        <v>101.03000000000003</v>
      </c>
      <c r="S48" s="4"/>
      <c r="T48" s="4">
        <f t="shared" si="7"/>
        <v>101.03000000000003</v>
      </c>
      <c r="U48" s="4">
        <f t="shared" si="8"/>
        <v>101.03000000000003</v>
      </c>
      <c r="V48" s="4"/>
      <c r="W48" s="4"/>
      <c r="X48" s="18"/>
      <c r="Y48" s="18"/>
      <c r="Z48" s="18">
        <f t="shared" si="9"/>
        <v>14</v>
      </c>
      <c r="AA48" s="18">
        <f t="shared" si="16"/>
        <v>10.935810646867568</v>
      </c>
      <c r="AB48" s="18">
        <v>31.989000000000001</v>
      </c>
      <c r="AC48" s="18">
        <v>28.648</v>
      </c>
      <c r="AD48" s="18">
        <v>28.224799999999998</v>
      </c>
      <c r="AE48" s="18">
        <v>27.474399999999999</v>
      </c>
      <c r="AF48" s="18">
        <v>26.8276</v>
      </c>
      <c r="AG48" s="18">
        <v>28.4208</v>
      </c>
      <c r="AH48" s="18">
        <v>18.7074</v>
      </c>
      <c r="AI48" s="18">
        <v>18.491800000000001</v>
      </c>
      <c r="AJ48" s="18"/>
      <c r="AK48" s="18">
        <f t="shared" si="10"/>
        <v>101</v>
      </c>
      <c r="AL48" s="18">
        <f t="shared" si="11"/>
        <v>0</v>
      </c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</row>
    <row r="49" spans="1:55" x14ac:dyDescent="0.25">
      <c r="A49" s="18" t="s">
        <v>91</v>
      </c>
      <c r="B49" s="18" t="s">
        <v>37</v>
      </c>
      <c r="C49" s="18">
        <v>83.320999999999998</v>
      </c>
      <c r="D49" s="18">
        <v>10.388999999999999</v>
      </c>
      <c r="E49" s="18">
        <v>47.43</v>
      </c>
      <c r="F49" s="18">
        <v>46.28</v>
      </c>
      <c r="G49" s="7">
        <v>1</v>
      </c>
      <c r="H49" s="18">
        <v>40</v>
      </c>
      <c r="I49" s="9" t="s">
        <v>92</v>
      </c>
      <c r="J49" s="18"/>
      <c r="K49" s="18">
        <v>42.2</v>
      </c>
      <c r="L49" s="18">
        <f t="shared" si="14"/>
        <v>5.2299999999999969</v>
      </c>
      <c r="M49" s="18"/>
      <c r="N49" s="18"/>
      <c r="O49" s="18">
        <v>0</v>
      </c>
      <c r="P49" s="18">
        <v>20.520599999999991</v>
      </c>
      <c r="Q49" s="18">
        <f t="shared" si="15"/>
        <v>9.4860000000000007</v>
      </c>
      <c r="R49" s="4">
        <f>12*Q49-P49-O49-F49</f>
        <v>47.031400000000019</v>
      </c>
      <c r="S49" s="4"/>
      <c r="T49" s="4">
        <f t="shared" si="7"/>
        <v>47.031400000000019</v>
      </c>
      <c r="U49" s="4">
        <f t="shared" si="8"/>
        <v>47.031400000000019</v>
      </c>
      <c r="V49" s="4"/>
      <c r="W49" s="4"/>
      <c r="X49" s="18"/>
      <c r="Y49" s="18"/>
      <c r="Z49" s="18">
        <f t="shared" si="9"/>
        <v>12</v>
      </c>
      <c r="AA49" s="18">
        <f t="shared" si="16"/>
        <v>7.0420198186801581</v>
      </c>
      <c r="AB49" s="18">
        <v>5.6243999999999996</v>
      </c>
      <c r="AC49" s="18">
        <v>4.1120000000000001</v>
      </c>
      <c r="AD49" s="18">
        <v>5.6002000000000001</v>
      </c>
      <c r="AE49" s="18">
        <v>265.959</v>
      </c>
      <c r="AF49" s="18">
        <v>265.33980000000003</v>
      </c>
      <c r="AG49" s="18">
        <v>6.7629999999999999</v>
      </c>
      <c r="AH49" s="18">
        <v>6.1753999999999998</v>
      </c>
      <c r="AI49" s="18">
        <v>9.5682000000000009</v>
      </c>
      <c r="AJ49" s="18" t="s">
        <v>93</v>
      </c>
      <c r="AK49" s="18">
        <f t="shared" si="10"/>
        <v>47</v>
      </c>
      <c r="AL49" s="18">
        <f t="shared" si="11"/>
        <v>0</v>
      </c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</row>
    <row r="50" spans="1:55" x14ac:dyDescent="0.25">
      <c r="A50" s="18" t="s">
        <v>94</v>
      </c>
      <c r="B50" s="18" t="s">
        <v>43</v>
      </c>
      <c r="C50" s="18">
        <v>64</v>
      </c>
      <c r="D50" s="18">
        <v>193</v>
      </c>
      <c r="E50" s="18">
        <v>157</v>
      </c>
      <c r="F50" s="18">
        <v>75</v>
      </c>
      <c r="G50" s="7">
        <v>0.45</v>
      </c>
      <c r="H50" s="18">
        <v>50</v>
      </c>
      <c r="I50" s="18" t="s">
        <v>38</v>
      </c>
      <c r="J50" s="18"/>
      <c r="K50" s="18">
        <v>202</v>
      </c>
      <c r="L50" s="18">
        <f t="shared" si="14"/>
        <v>-45</v>
      </c>
      <c r="M50" s="18"/>
      <c r="N50" s="18"/>
      <c r="O50" s="18">
        <v>24.799999999999979</v>
      </c>
      <c r="P50" s="18">
        <v>281.16000000000003</v>
      </c>
      <c r="Q50" s="18">
        <f t="shared" si="15"/>
        <v>31.4</v>
      </c>
      <c r="R50" s="4">
        <f t="shared" si="13"/>
        <v>58.639999999999958</v>
      </c>
      <c r="S50" s="4"/>
      <c r="T50" s="4">
        <f t="shared" si="7"/>
        <v>58.639999999999958</v>
      </c>
      <c r="U50" s="4">
        <f t="shared" si="8"/>
        <v>58.639999999999958</v>
      </c>
      <c r="V50" s="4"/>
      <c r="W50" s="4"/>
      <c r="X50" s="18"/>
      <c r="Y50" s="18"/>
      <c r="Z50" s="18">
        <f t="shared" si="9"/>
        <v>14.000000000000002</v>
      </c>
      <c r="AA50" s="18">
        <f t="shared" si="16"/>
        <v>12.132484076433123</v>
      </c>
      <c r="AB50" s="18">
        <v>33.4</v>
      </c>
      <c r="AC50" s="18">
        <v>23</v>
      </c>
      <c r="AD50" s="18">
        <v>21.8</v>
      </c>
      <c r="AE50" s="18">
        <v>22.8</v>
      </c>
      <c r="AF50" s="18">
        <v>17.8</v>
      </c>
      <c r="AG50" s="18">
        <v>20.8</v>
      </c>
      <c r="AH50" s="18">
        <v>20.2</v>
      </c>
      <c r="AI50" s="18">
        <v>8</v>
      </c>
      <c r="AJ50" s="18"/>
      <c r="AK50" s="18">
        <f t="shared" si="10"/>
        <v>26</v>
      </c>
      <c r="AL50" s="18">
        <f t="shared" si="11"/>
        <v>0</v>
      </c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</row>
    <row r="51" spans="1:55" x14ac:dyDescent="0.25">
      <c r="A51" s="22" t="s">
        <v>95</v>
      </c>
      <c r="B51" s="18" t="s">
        <v>43</v>
      </c>
      <c r="C51" s="18">
        <v>79</v>
      </c>
      <c r="D51" s="18">
        <v>2</v>
      </c>
      <c r="E51" s="18">
        <v>-1</v>
      </c>
      <c r="F51" s="18">
        <v>37</v>
      </c>
      <c r="G51" s="7">
        <v>0.4</v>
      </c>
      <c r="H51" s="18">
        <v>40</v>
      </c>
      <c r="I51" s="18" t="s">
        <v>38</v>
      </c>
      <c r="J51" s="18"/>
      <c r="K51" s="18">
        <v>44</v>
      </c>
      <c r="L51" s="18">
        <f t="shared" si="14"/>
        <v>-45</v>
      </c>
      <c r="M51" s="18"/>
      <c r="N51" s="18"/>
      <c r="O51" s="18">
        <v>0</v>
      </c>
      <c r="P51" s="18">
        <v>11</v>
      </c>
      <c r="Q51" s="18">
        <f t="shared" si="15"/>
        <v>-0.2</v>
      </c>
      <c r="R51" s="4"/>
      <c r="S51" s="4"/>
      <c r="T51" s="4">
        <f t="shared" si="7"/>
        <v>0</v>
      </c>
      <c r="U51" s="4">
        <f t="shared" si="8"/>
        <v>0</v>
      </c>
      <c r="V51" s="4"/>
      <c r="W51" s="4"/>
      <c r="X51" s="18"/>
      <c r="Y51" s="18"/>
      <c r="Z51" s="18">
        <f t="shared" si="9"/>
        <v>-240</v>
      </c>
      <c r="AA51" s="18">
        <f t="shared" si="16"/>
        <v>-240</v>
      </c>
      <c r="AB51" s="18">
        <v>5</v>
      </c>
      <c r="AC51" s="18">
        <v>1.8</v>
      </c>
      <c r="AD51" s="18">
        <v>0.4</v>
      </c>
      <c r="AE51" s="18">
        <v>7.8</v>
      </c>
      <c r="AF51" s="18">
        <v>9</v>
      </c>
      <c r="AG51" s="18">
        <v>8.1999999999999993</v>
      </c>
      <c r="AH51" s="18">
        <v>7.8</v>
      </c>
      <c r="AI51" s="18">
        <v>3.8</v>
      </c>
      <c r="AJ51" s="21" t="s">
        <v>62</v>
      </c>
      <c r="AK51" s="18">
        <f t="shared" si="10"/>
        <v>0</v>
      </c>
      <c r="AL51" s="18">
        <f t="shared" si="11"/>
        <v>0</v>
      </c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</row>
    <row r="52" spans="1:55" x14ac:dyDescent="0.25">
      <c r="A52" s="18" t="s">
        <v>96</v>
      </c>
      <c r="B52" s="18" t="s">
        <v>43</v>
      </c>
      <c r="C52" s="18">
        <v>68</v>
      </c>
      <c r="D52" s="18">
        <v>92</v>
      </c>
      <c r="E52" s="18">
        <v>73</v>
      </c>
      <c r="F52" s="18">
        <v>60</v>
      </c>
      <c r="G52" s="7">
        <v>0.4</v>
      </c>
      <c r="H52" s="18">
        <v>40</v>
      </c>
      <c r="I52" s="18" t="s">
        <v>38</v>
      </c>
      <c r="J52" s="18"/>
      <c r="K52" s="18">
        <v>97</v>
      </c>
      <c r="L52" s="18">
        <f t="shared" si="14"/>
        <v>-24</v>
      </c>
      <c r="M52" s="18"/>
      <c r="N52" s="18"/>
      <c r="O52" s="18">
        <v>0</v>
      </c>
      <c r="P52" s="18">
        <v>59.279999999999987</v>
      </c>
      <c r="Q52" s="18">
        <f t="shared" si="15"/>
        <v>14.6</v>
      </c>
      <c r="R52" s="4">
        <f>12*Q52-P52-O52-F52</f>
        <v>55.92</v>
      </c>
      <c r="S52" s="4"/>
      <c r="T52" s="4">
        <f t="shared" si="7"/>
        <v>55.92</v>
      </c>
      <c r="U52" s="4">
        <f t="shared" si="8"/>
        <v>55.92</v>
      </c>
      <c r="V52" s="4"/>
      <c r="W52" s="4"/>
      <c r="X52" s="18"/>
      <c r="Y52" s="18"/>
      <c r="Z52" s="18">
        <f t="shared" si="9"/>
        <v>12</v>
      </c>
      <c r="AA52" s="18">
        <f t="shared" si="16"/>
        <v>8.1698630136986292</v>
      </c>
      <c r="AB52" s="18">
        <v>12.2</v>
      </c>
      <c r="AC52" s="18">
        <v>6.6</v>
      </c>
      <c r="AD52" s="18">
        <v>10.4</v>
      </c>
      <c r="AE52" s="18">
        <v>15.8</v>
      </c>
      <c r="AF52" s="18">
        <v>12.2</v>
      </c>
      <c r="AG52" s="18">
        <v>7.2</v>
      </c>
      <c r="AH52" s="18">
        <v>9.1999999999999993</v>
      </c>
      <c r="AI52" s="18">
        <v>8.8000000000000007</v>
      </c>
      <c r="AJ52" s="18" t="s">
        <v>49</v>
      </c>
      <c r="AK52" s="18">
        <f t="shared" si="10"/>
        <v>22</v>
      </c>
      <c r="AL52" s="18">
        <f t="shared" si="11"/>
        <v>0</v>
      </c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</row>
    <row r="53" spans="1:55" x14ac:dyDescent="0.25">
      <c r="A53" s="14" t="s">
        <v>97</v>
      </c>
      <c r="B53" s="14" t="s">
        <v>37</v>
      </c>
      <c r="C53" s="14"/>
      <c r="D53" s="14"/>
      <c r="E53" s="14"/>
      <c r="F53" s="14"/>
      <c r="G53" s="15">
        <v>0</v>
      </c>
      <c r="H53" s="14">
        <v>50</v>
      </c>
      <c r="I53" s="14" t="s">
        <v>38</v>
      </c>
      <c r="J53" s="14"/>
      <c r="K53" s="14"/>
      <c r="L53" s="14">
        <f t="shared" si="14"/>
        <v>0</v>
      </c>
      <c r="M53" s="14"/>
      <c r="N53" s="14"/>
      <c r="O53" s="14">
        <v>0</v>
      </c>
      <c r="P53" s="14">
        <v>0</v>
      </c>
      <c r="Q53" s="14">
        <f t="shared" si="15"/>
        <v>0</v>
      </c>
      <c r="R53" s="16"/>
      <c r="S53" s="16"/>
      <c r="T53" s="4">
        <f t="shared" si="7"/>
        <v>0</v>
      </c>
      <c r="U53" s="4">
        <f t="shared" si="8"/>
        <v>0</v>
      </c>
      <c r="V53" s="4"/>
      <c r="W53" s="16"/>
      <c r="X53" s="14"/>
      <c r="Y53" s="14"/>
      <c r="Z53" s="18" t="e">
        <f t="shared" si="9"/>
        <v>#DIV/0!</v>
      </c>
      <c r="AA53" s="14" t="e">
        <f t="shared" si="16"/>
        <v>#DIV/0!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 t="s">
        <v>65</v>
      </c>
      <c r="AK53" s="18">
        <f t="shared" si="10"/>
        <v>0</v>
      </c>
      <c r="AL53" s="18">
        <f t="shared" si="11"/>
        <v>0</v>
      </c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</row>
    <row r="54" spans="1:55" x14ac:dyDescent="0.25">
      <c r="A54" s="18" t="s">
        <v>98</v>
      </c>
      <c r="B54" s="18" t="s">
        <v>43</v>
      </c>
      <c r="C54" s="18">
        <v>32</v>
      </c>
      <c r="D54" s="18">
        <v>40</v>
      </c>
      <c r="E54" s="18">
        <v>28</v>
      </c>
      <c r="F54" s="18">
        <v>44</v>
      </c>
      <c r="G54" s="7">
        <v>0.1</v>
      </c>
      <c r="H54" s="18">
        <v>730</v>
      </c>
      <c r="I54" s="18" t="s">
        <v>38</v>
      </c>
      <c r="J54" s="18"/>
      <c r="K54" s="18">
        <v>28</v>
      </c>
      <c r="L54" s="18">
        <f t="shared" si="14"/>
        <v>0</v>
      </c>
      <c r="M54" s="18"/>
      <c r="N54" s="18"/>
      <c r="O54" s="18">
        <v>13</v>
      </c>
      <c r="P54" s="18">
        <v>52.759999999999991</v>
      </c>
      <c r="Q54" s="18">
        <f t="shared" si="15"/>
        <v>5.6</v>
      </c>
      <c r="R54" s="4"/>
      <c r="S54" s="4"/>
      <c r="T54" s="4">
        <f t="shared" si="7"/>
        <v>0</v>
      </c>
      <c r="U54" s="4">
        <f t="shared" si="8"/>
        <v>0</v>
      </c>
      <c r="V54" s="4"/>
      <c r="W54" s="4"/>
      <c r="X54" s="18"/>
      <c r="Y54" s="18"/>
      <c r="Z54" s="18">
        <f t="shared" si="9"/>
        <v>19.599999999999998</v>
      </c>
      <c r="AA54" s="18">
        <f t="shared" si="16"/>
        <v>19.599999999999998</v>
      </c>
      <c r="AB54" s="18">
        <v>7.4</v>
      </c>
      <c r="AC54" s="18">
        <v>6.2</v>
      </c>
      <c r="AD54" s="18">
        <v>6.4</v>
      </c>
      <c r="AE54" s="18">
        <v>3</v>
      </c>
      <c r="AF54" s="18">
        <v>3</v>
      </c>
      <c r="AG54" s="18">
        <v>5.4</v>
      </c>
      <c r="AH54" s="18">
        <v>4.2</v>
      </c>
      <c r="AI54" s="18">
        <v>5.4</v>
      </c>
      <c r="AJ54" s="18"/>
      <c r="AK54" s="18">
        <f t="shared" si="10"/>
        <v>0</v>
      </c>
      <c r="AL54" s="18">
        <f t="shared" si="11"/>
        <v>0</v>
      </c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</row>
    <row r="55" spans="1:55" x14ac:dyDescent="0.25">
      <c r="A55" s="18" t="s">
        <v>99</v>
      </c>
      <c r="B55" s="18" t="s">
        <v>37</v>
      </c>
      <c r="C55" s="18">
        <v>149.51300000000001</v>
      </c>
      <c r="D55" s="18">
        <v>161.16399999999999</v>
      </c>
      <c r="E55" s="18">
        <v>178.858</v>
      </c>
      <c r="F55" s="18">
        <v>130.465</v>
      </c>
      <c r="G55" s="7">
        <v>1</v>
      </c>
      <c r="H55" s="18">
        <v>50</v>
      </c>
      <c r="I55" s="18" t="s">
        <v>38</v>
      </c>
      <c r="J55" s="18"/>
      <c r="K55" s="18">
        <v>178.3</v>
      </c>
      <c r="L55" s="18">
        <f t="shared" si="14"/>
        <v>0.55799999999999272</v>
      </c>
      <c r="M55" s="18"/>
      <c r="N55" s="18"/>
      <c r="O55" s="18">
        <v>71.270399999999967</v>
      </c>
      <c r="P55" s="18">
        <v>207.18503999999999</v>
      </c>
      <c r="Q55" s="18">
        <f t="shared" si="15"/>
        <v>35.771599999999999</v>
      </c>
      <c r="R55" s="4">
        <f t="shared" ref="R55:R56" si="17">14*Q55-P55-O55-F55</f>
        <v>91.881959999999992</v>
      </c>
      <c r="S55" s="4"/>
      <c r="T55" s="4">
        <f t="shared" si="7"/>
        <v>91.881959999999992</v>
      </c>
      <c r="U55" s="4">
        <f t="shared" si="8"/>
        <v>91.881959999999992</v>
      </c>
      <c r="V55" s="4"/>
      <c r="W55" s="4"/>
      <c r="X55" s="18"/>
      <c r="Y55" s="18"/>
      <c r="Z55" s="18">
        <f t="shared" si="9"/>
        <v>14</v>
      </c>
      <c r="AA55" s="18">
        <f t="shared" si="16"/>
        <v>11.431427165684509</v>
      </c>
      <c r="AB55" s="18">
        <v>36.772599999999997</v>
      </c>
      <c r="AC55" s="18">
        <v>32.881799999999998</v>
      </c>
      <c r="AD55" s="18">
        <v>30.616399999999999</v>
      </c>
      <c r="AE55" s="18">
        <v>26.2258</v>
      </c>
      <c r="AF55" s="18">
        <v>21.907599999999999</v>
      </c>
      <c r="AG55" s="18">
        <v>32.782200000000003</v>
      </c>
      <c r="AH55" s="18">
        <v>30.646599999999999</v>
      </c>
      <c r="AI55" s="18">
        <v>21.851600000000001</v>
      </c>
      <c r="AJ55" s="18"/>
      <c r="AK55" s="18">
        <f t="shared" si="10"/>
        <v>92</v>
      </c>
      <c r="AL55" s="18">
        <f t="shared" si="11"/>
        <v>0</v>
      </c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</row>
    <row r="56" spans="1:55" x14ac:dyDescent="0.25">
      <c r="A56" s="18" t="s">
        <v>100</v>
      </c>
      <c r="B56" s="18" t="s">
        <v>37</v>
      </c>
      <c r="C56" s="18">
        <v>69.114000000000004</v>
      </c>
      <c r="D56" s="18"/>
      <c r="E56" s="18">
        <v>54.037999999999997</v>
      </c>
      <c r="F56" s="18">
        <v>13.725</v>
      </c>
      <c r="G56" s="7">
        <v>1</v>
      </c>
      <c r="H56" s="18">
        <v>50</v>
      </c>
      <c r="I56" s="18" t="s">
        <v>38</v>
      </c>
      <c r="J56" s="18"/>
      <c r="K56" s="18">
        <v>52.2</v>
      </c>
      <c r="L56" s="18">
        <f t="shared" si="14"/>
        <v>1.8379999999999939</v>
      </c>
      <c r="M56" s="18"/>
      <c r="N56" s="18"/>
      <c r="O56" s="18">
        <v>11.377599999999999</v>
      </c>
      <c r="P56" s="18">
        <v>99.06407999999999</v>
      </c>
      <c r="Q56" s="18">
        <f t="shared" si="15"/>
        <v>10.807599999999999</v>
      </c>
      <c r="R56" s="4">
        <f t="shared" si="17"/>
        <v>27.139720000000004</v>
      </c>
      <c r="S56" s="4"/>
      <c r="T56" s="4">
        <f t="shared" si="7"/>
        <v>27.139720000000004</v>
      </c>
      <c r="U56" s="4">
        <f t="shared" si="8"/>
        <v>27.139720000000004</v>
      </c>
      <c r="V56" s="4"/>
      <c r="W56" s="4"/>
      <c r="X56" s="18"/>
      <c r="Y56" s="18"/>
      <c r="Z56" s="18">
        <f t="shared" si="9"/>
        <v>14.000000000000002</v>
      </c>
      <c r="AA56" s="18">
        <f t="shared" si="16"/>
        <v>11.488830082534513</v>
      </c>
      <c r="AB56" s="18">
        <v>11.3232</v>
      </c>
      <c r="AC56" s="18">
        <v>6.4828000000000001</v>
      </c>
      <c r="AD56" s="18">
        <v>4.8945999999999996</v>
      </c>
      <c r="AE56" s="18">
        <v>7.6365999999999996</v>
      </c>
      <c r="AF56" s="18">
        <v>9.8180000000000014</v>
      </c>
      <c r="AG56" s="18">
        <v>6.6341999999999999</v>
      </c>
      <c r="AH56" s="18">
        <v>3.8988</v>
      </c>
      <c r="AI56" s="18">
        <v>5.4142000000000001</v>
      </c>
      <c r="AJ56" s="18"/>
      <c r="AK56" s="18">
        <f t="shared" si="10"/>
        <v>27</v>
      </c>
      <c r="AL56" s="18">
        <f t="shared" si="11"/>
        <v>0</v>
      </c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</row>
    <row r="57" spans="1:55" x14ac:dyDescent="0.25">
      <c r="A57" s="18" t="s">
        <v>101</v>
      </c>
      <c r="B57" s="18" t="s">
        <v>43</v>
      </c>
      <c r="C57" s="18">
        <v>32</v>
      </c>
      <c r="D57" s="18">
        <v>20</v>
      </c>
      <c r="E57" s="18">
        <v>32</v>
      </c>
      <c r="F57" s="18">
        <v>20</v>
      </c>
      <c r="G57" s="7">
        <v>0.1</v>
      </c>
      <c r="H57" s="18">
        <v>730</v>
      </c>
      <c r="I57" s="18" t="s">
        <v>38</v>
      </c>
      <c r="J57" s="18"/>
      <c r="K57" s="18">
        <v>38</v>
      </c>
      <c r="L57" s="18">
        <f t="shared" si="14"/>
        <v>-6</v>
      </c>
      <c r="M57" s="18"/>
      <c r="N57" s="18"/>
      <c r="O57" s="18">
        <v>10.8</v>
      </c>
      <c r="P57" s="18">
        <v>85.679999999999978</v>
      </c>
      <c r="Q57" s="18">
        <f t="shared" si="15"/>
        <v>6.4</v>
      </c>
      <c r="R57" s="4"/>
      <c r="S57" s="4"/>
      <c r="T57" s="4">
        <f t="shared" si="7"/>
        <v>0</v>
      </c>
      <c r="U57" s="4">
        <f t="shared" si="8"/>
        <v>0</v>
      </c>
      <c r="V57" s="4"/>
      <c r="W57" s="4"/>
      <c r="X57" s="18"/>
      <c r="Y57" s="18"/>
      <c r="Z57" s="18">
        <f t="shared" si="9"/>
        <v>18.199999999999996</v>
      </c>
      <c r="AA57" s="18">
        <f t="shared" si="16"/>
        <v>18.199999999999996</v>
      </c>
      <c r="AB57" s="18">
        <v>8.1999999999999993</v>
      </c>
      <c r="AC57" s="18">
        <v>4</v>
      </c>
      <c r="AD57" s="18">
        <v>4.2</v>
      </c>
      <c r="AE57" s="18">
        <v>4.2</v>
      </c>
      <c r="AF57" s="18">
        <v>4.2</v>
      </c>
      <c r="AG57" s="18">
        <v>6</v>
      </c>
      <c r="AH57" s="18">
        <v>4.8</v>
      </c>
      <c r="AI57" s="18">
        <v>5.8</v>
      </c>
      <c r="AJ57" s="18"/>
      <c r="AK57" s="18">
        <f t="shared" si="10"/>
        <v>0</v>
      </c>
      <c r="AL57" s="18">
        <f t="shared" si="11"/>
        <v>0</v>
      </c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</row>
    <row r="58" spans="1:55" x14ac:dyDescent="0.25">
      <c r="A58" s="18" t="s">
        <v>102</v>
      </c>
      <c r="B58" s="18" t="s">
        <v>43</v>
      </c>
      <c r="C58" s="18">
        <v>61</v>
      </c>
      <c r="D58" s="18">
        <v>34</v>
      </c>
      <c r="E58" s="18">
        <v>42</v>
      </c>
      <c r="F58" s="18">
        <v>38</v>
      </c>
      <c r="G58" s="7">
        <v>0.4</v>
      </c>
      <c r="H58" s="18">
        <v>50</v>
      </c>
      <c r="I58" s="18" t="s">
        <v>38</v>
      </c>
      <c r="J58" s="18"/>
      <c r="K58" s="18">
        <v>56</v>
      </c>
      <c r="L58" s="18">
        <f t="shared" si="14"/>
        <v>-14</v>
      </c>
      <c r="M58" s="18"/>
      <c r="N58" s="18"/>
      <c r="O58" s="18">
        <v>0</v>
      </c>
      <c r="P58" s="18">
        <v>108.76</v>
      </c>
      <c r="Q58" s="18">
        <f t="shared" si="15"/>
        <v>8.4</v>
      </c>
      <c r="R58" s="4"/>
      <c r="S58" s="4"/>
      <c r="T58" s="4">
        <f t="shared" si="7"/>
        <v>0</v>
      </c>
      <c r="U58" s="4">
        <f t="shared" si="8"/>
        <v>0</v>
      </c>
      <c r="V58" s="4"/>
      <c r="W58" s="4"/>
      <c r="X58" s="18"/>
      <c r="Y58" s="18"/>
      <c r="Z58" s="18">
        <f t="shared" si="9"/>
        <v>17.471428571428568</v>
      </c>
      <c r="AA58" s="18">
        <f t="shared" si="16"/>
        <v>17.471428571428568</v>
      </c>
      <c r="AB58" s="18">
        <v>12.4</v>
      </c>
      <c r="AC58" s="18">
        <v>5</v>
      </c>
      <c r="AD58" s="18">
        <v>3.8</v>
      </c>
      <c r="AE58" s="18">
        <v>9.4</v>
      </c>
      <c r="AF58" s="18">
        <v>8.4</v>
      </c>
      <c r="AG58" s="18">
        <v>9.8000000000000007</v>
      </c>
      <c r="AH58" s="18">
        <v>11</v>
      </c>
      <c r="AI58" s="18">
        <v>4</v>
      </c>
      <c r="AJ58" s="18"/>
      <c r="AK58" s="18">
        <f t="shared" si="10"/>
        <v>0</v>
      </c>
      <c r="AL58" s="18">
        <f t="shared" si="11"/>
        <v>0</v>
      </c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</row>
    <row r="59" spans="1:55" x14ac:dyDescent="0.25">
      <c r="A59" s="18" t="s">
        <v>103</v>
      </c>
      <c r="B59" s="18" t="s">
        <v>37</v>
      </c>
      <c r="C59" s="18">
        <v>0.67800000000000005</v>
      </c>
      <c r="D59" s="18">
        <v>127.41200000000001</v>
      </c>
      <c r="E59" s="18">
        <v>78.069000000000003</v>
      </c>
      <c r="F59" s="18">
        <v>44.515000000000001</v>
      </c>
      <c r="G59" s="7">
        <v>1</v>
      </c>
      <c r="H59" s="18">
        <v>40</v>
      </c>
      <c r="I59" s="18" t="s">
        <v>38</v>
      </c>
      <c r="J59" s="18"/>
      <c r="K59" s="18">
        <v>77.5</v>
      </c>
      <c r="L59" s="18">
        <f t="shared" si="14"/>
        <v>0.56900000000000261</v>
      </c>
      <c r="M59" s="18"/>
      <c r="N59" s="18"/>
      <c r="O59" s="18">
        <v>0</v>
      </c>
      <c r="P59" s="18">
        <v>0</v>
      </c>
      <c r="Q59" s="18">
        <f t="shared" si="15"/>
        <v>15.613800000000001</v>
      </c>
      <c r="R59" s="4">
        <f t="shared" ref="R59:R64" si="18">12*Q59-P59-O59-F59</f>
        <v>142.85060000000004</v>
      </c>
      <c r="S59" s="4"/>
      <c r="T59" s="4">
        <f t="shared" si="7"/>
        <v>142.85060000000004</v>
      </c>
      <c r="U59" s="4">
        <f t="shared" si="8"/>
        <v>142.85060000000004</v>
      </c>
      <c r="V59" s="4"/>
      <c r="W59" s="4"/>
      <c r="X59" s="18"/>
      <c r="Y59" s="18"/>
      <c r="Z59" s="18">
        <f t="shared" si="9"/>
        <v>12.000000000000002</v>
      </c>
      <c r="AA59" s="18">
        <f t="shared" si="16"/>
        <v>2.8510035993800353</v>
      </c>
      <c r="AB59" s="18">
        <v>1.1060000000000001</v>
      </c>
      <c r="AC59" s="18">
        <v>5.3941999999999997</v>
      </c>
      <c r="AD59" s="18">
        <v>11.5876</v>
      </c>
      <c r="AE59" s="18">
        <v>10.593999999999999</v>
      </c>
      <c r="AF59" s="18">
        <v>4.4005999999999998</v>
      </c>
      <c r="AG59" s="18">
        <v>0</v>
      </c>
      <c r="AH59" s="18">
        <v>2.1882000000000001</v>
      </c>
      <c r="AI59" s="18">
        <v>6.3006000000000002</v>
      </c>
      <c r="AJ59" s="18"/>
      <c r="AK59" s="18">
        <f t="shared" si="10"/>
        <v>143</v>
      </c>
      <c r="AL59" s="18">
        <f t="shared" si="11"/>
        <v>0</v>
      </c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</row>
    <row r="60" spans="1:55" x14ac:dyDescent="0.25">
      <c r="A60" s="18" t="s">
        <v>104</v>
      </c>
      <c r="B60" s="18" t="s">
        <v>37</v>
      </c>
      <c r="C60" s="18">
        <v>37.67</v>
      </c>
      <c r="D60" s="18">
        <v>23.956</v>
      </c>
      <c r="E60" s="18">
        <v>41.786999999999999</v>
      </c>
      <c r="F60" s="18">
        <v>19.838999999999999</v>
      </c>
      <c r="G60" s="7">
        <v>1</v>
      </c>
      <c r="H60" s="18">
        <v>40</v>
      </c>
      <c r="I60" s="18" t="s">
        <v>38</v>
      </c>
      <c r="J60" s="18"/>
      <c r="K60" s="18">
        <v>42.8</v>
      </c>
      <c r="L60" s="18">
        <f t="shared" si="14"/>
        <v>-1.0129999999999981</v>
      </c>
      <c r="M60" s="18"/>
      <c r="N60" s="18"/>
      <c r="O60" s="18">
        <v>0</v>
      </c>
      <c r="P60" s="18">
        <v>83.948599999999999</v>
      </c>
      <c r="Q60" s="18">
        <f t="shared" si="15"/>
        <v>8.3574000000000002</v>
      </c>
      <c r="R60" s="4"/>
      <c r="S60" s="4"/>
      <c r="T60" s="4">
        <f t="shared" si="7"/>
        <v>0</v>
      </c>
      <c r="U60" s="4">
        <f t="shared" si="8"/>
        <v>0</v>
      </c>
      <c r="V60" s="4"/>
      <c r="W60" s="4"/>
      <c r="X60" s="18"/>
      <c r="Y60" s="18"/>
      <c r="Z60" s="18">
        <f t="shared" si="9"/>
        <v>12.418646947615287</v>
      </c>
      <c r="AA60" s="18">
        <f t="shared" si="16"/>
        <v>12.418646947615287</v>
      </c>
      <c r="AB60" s="18">
        <v>10.234</v>
      </c>
      <c r="AC60" s="18">
        <v>3.2046000000000001</v>
      </c>
      <c r="AD60" s="18">
        <v>1.6073999999999999</v>
      </c>
      <c r="AE60" s="18">
        <v>5.4567999999999994</v>
      </c>
      <c r="AF60" s="18">
        <v>4.6482000000000001</v>
      </c>
      <c r="AG60" s="18">
        <v>1.6592</v>
      </c>
      <c r="AH60" s="18">
        <v>3.0577999999999999</v>
      </c>
      <c r="AI60" s="18">
        <v>4.9668000000000001</v>
      </c>
      <c r="AJ60" s="18"/>
      <c r="AK60" s="18">
        <f t="shared" si="10"/>
        <v>0</v>
      </c>
      <c r="AL60" s="18">
        <f t="shared" si="11"/>
        <v>0</v>
      </c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</row>
    <row r="61" spans="1:55" x14ac:dyDescent="0.25">
      <c r="A61" s="18" t="s">
        <v>105</v>
      </c>
      <c r="B61" s="18" t="s">
        <v>43</v>
      </c>
      <c r="C61" s="18">
        <v>268</v>
      </c>
      <c r="D61" s="18">
        <v>463</v>
      </c>
      <c r="E61" s="18">
        <v>398</v>
      </c>
      <c r="F61" s="18">
        <v>323</v>
      </c>
      <c r="G61" s="7">
        <v>0.4</v>
      </c>
      <c r="H61" s="18">
        <v>40</v>
      </c>
      <c r="I61" s="18" t="s">
        <v>38</v>
      </c>
      <c r="J61" s="18"/>
      <c r="K61" s="18">
        <v>402</v>
      </c>
      <c r="L61" s="18">
        <f t="shared" si="14"/>
        <v>-4</v>
      </c>
      <c r="M61" s="18"/>
      <c r="N61" s="18"/>
      <c r="O61" s="18">
        <v>176.00000000000031</v>
      </c>
      <c r="P61" s="18">
        <v>194.4399999999994</v>
      </c>
      <c r="Q61" s="18">
        <f t="shared" si="15"/>
        <v>79.599999999999994</v>
      </c>
      <c r="R61" s="4">
        <f t="shared" si="18"/>
        <v>261.76000000000022</v>
      </c>
      <c r="S61" s="4"/>
      <c r="T61" s="4">
        <f t="shared" si="7"/>
        <v>261.76000000000022</v>
      </c>
      <c r="U61" s="4">
        <f t="shared" si="8"/>
        <v>161.76000000000022</v>
      </c>
      <c r="V61" s="4">
        <v>100</v>
      </c>
      <c r="W61" s="4"/>
      <c r="X61" s="18"/>
      <c r="Y61" s="18"/>
      <c r="Z61" s="18">
        <f t="shared" si="9"/>
        <v>12</v>
      </c>
      <c r="AA61" s="18">
        <f t="shared" si="16"/>
        <v>8.7115577889447202</v>
      </c>
      <c r="AB61" s="18">
        <v>68.599999999999994</v>
      </c>
      <c r="AC61" s="18">
        <v>74</v>
      </c>
      <c r="AD61" s="18">
        <v>77.2</v>
      </c>
      <c r="AE61" s="18">
        <v>81.599999999999994</v>
      </c>
      <c r="AF61" s="18">
        <v>71.8</v>
      </c>
      <c r="AG61" s="18">
        <v>73.599999999999994</v>
      </c>
      <c r="AH61" s="18">
        <v>72.599999999999994</v>
      </c>
      <c r="AI61" s="18">
        <v>65.599999999999994</v>
      </c>
      <c r="AJ61" s="18"/>
      <c r="AK61" s="18">
        <f t="shared" si="10"/>
        <v>65</v>
      </c>
      <c r="AL61" s="18">
        <f t="shared" si="11"/>
        <v>40</v>
      </c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</row>
    <row r="62" spans="1:55" x14ac:dyDescent="0.25">
      <c r="A62" s="18" t="s">
        <v>106</v>
      </c>
      <c r="B62" s="18" t="s">
        <v>43</v>
      </c>
      <c r="C62" s="18">
        <v>232</v>
      </c>
      <c r="D62" s="18">
        <v>295</v>
      </c>
      <c r="E62" s="18">
        <v>419</v>
      </c>
      <c r="F62" s="18">
        <v>102</v>
      </c>
      <c r="G62" s="7">
        <v>0.4</v>
      </c>
      <c r="H62" s="18">
        <v>40</v>
      </c>
      <c r="I62" s="18" t="s">
        <v>38</v>
      </c>
      <c r="J62" s="18"/>
      <c r="K62" s="18">
        <v>438</v>
      </c>
      <c r="L62" s="18">
        <f t="shared" si="14"/>
        <v>-19</v>
      </c>
      <c r="M62" s="18"/>
      <c r="N62" s="18"/>
      <c r="O62" s="18">
        <v>158.19999999999999</v>
      </c>
      <c r="P62" s="18">
        <v>385.28000000000009</v>
      </c>
      <c r="Q62" s="18">
        <f t="shared" si="15"/>
        <v>83.8</v>
      </c>
      <c r="R62" s="4">
        <f t="shared" si="18"/>
        <v>360.11999999999983</v>
      </c>
      <c r="S62" s="4"/>
      <c r="T62" s="4">
        <f t="shared" si="7"/>
        <v>360.11999999999983</v>
      </c>
      <c r="U62" s="4">
        <f t="shared" si="8"/>
        <v>210.11999999999983</v>
      </c>
      <c r="V62" s="4">
        <v>150</v>
      </c>
      <c r="W62" s="4"/>
      <c r="X62" s="18"/>
      <c r="Y62" s="18"/>
      <c r="Z62" s="18">
        <f t="shared" si="9"/>
        <v>12</v>
      </c>
      <c r="AA62" s="18">
        <f t="shared" si="16"/>
        <v>7.7026252983293562</v>
      </c>
      <c r="AB62" s="18">
        <v>64.2</v>
      </c>
      <c r="AC62" s="18">
        <v>55.6</v>
      </c>
      <c r="AD62" s="18">
        <v>55</v>
      </c>
      <c r="AE62" s="18">
        <v>55</v>
      </c>
      <c r="AF62" s="18">
        <v>54</v>
      </c>
      <c r="AG62" s="18">
        <v>53</v>
      </c>
      <c r="AH62" s="18">
        <v>50.4</v>
      </c>
      <c r="AI62" s="18">
        <v>53.2</v>
      </c>
      <c r="AJ62" s="18" t="s">
        <v>40</v>
      </c>
      <c r="AK62" s="18">
        <f t="shared" si="10"/>
        <v>84</v>
      </c>
      <c r="AL62" s="18">
        <f t="shared" si="11"/>
        <v>60</v>
      </c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</row>
    <row r="63" spans="1:55" x14ac:dyDescent="0.25">
      <c r="A63" s="18" t="s">
        <v>107</v>
      </c>
      <c r="B63" s="18" t="s">
        <v>37</v>
      </c>
      <c r="C63" s="18">
        <v>90.677999999999997</v>
      </c>
      <c r="D63" s="18">
        <v>277.20800000000003</v>
      </c>
      <c r="E63" s="18">
        <v>206.285</v>
      </c>
      <c r="F63" s="18">
        <v>158.874</v>
      </c>
      <c r="G63" s="7">
        <v>1</v>
      </c>
      <c r="H63" s="18">
        <v>40</v>
      </c>
      <c r="I63" s="18" t="s">
        <v>38</v>
      </c>
      <c r="J63" s="18"/>
      <c r="K63" s="18">
        <v>180.4</v>
      </c>
      <c r="L63" s="18">
        <f t="shared" si="14"/>
        <v>25.884999999999991</v>
      </c>
      <c r="M63" s="18"/>
      <c r="N63" s="18"/>
      <c r="O63" s="18">
        <v>112.9978000000001</v>
      </c>
      <c r="P63" s="18">
        <v>50.130600000000037</v>
      </c>
      <c r="Q63" s="18">
        <f t="shared" si="15"/>
        <v>41.256999999999998</v>
      </c>
      <c r="R63" s="4">
        <f t="shared" si="18"/>
        <v>173.08159999999984</v>
      </c>
      <c r="S63" s="4"/>
      <c r="T63" s="4">
        <f t="shared" si="7"/>
        <v>173.08159999999984</v>
      </c>
      <c r="U63" s="4">
        <f t="shared" si="8"/>
        <v>173.08159999999984</v>
      </c>
      <c r="V63" s="4"/>
      <c r="W63" s="4"/>
      <c r="X63" s="18"/>
      <c r="Y63" s="18"/>
      <c r="Z63" s="18">
        <f t="shared" si="9"/>
        <v>12</v>
      </c>
      <c r="AA63" s="18">
        <f t="shared" si="16"/>
        <v>7.8047943379305371</v>
      </c>
      <c r="AB63" s="18">
        <v>33.469000000000001</v>
      </c>
      <c r="AC63" s="18">
        <v>39.264600000000002</v>
      </c>
      <c r="AD63" s="18">
        <v>38.571399999999997</v>
      </c>
      <c r="AE63" s="18">
        <v>30.079000000000001</v>
      </c>
      <c r="AF63" s="18">
        <v>28.5932</v>
      </c>
      <c r="AG63" s="18">
        <v>33.534999999999997</v>
      </c>
      <c r="AH63" s="18">
        <v>37.005200000000002</v>
      </c>
      <c r="AI63" s="18">
        <v>29.488</v>
      </c>
      <c r="AJ63" s="18"/>
      <c r="AK63" s="18">
        <f t="shared" si="10"/>
        <v>173</v>
      </c>
      <c r="AL63" s="18">
        <f t="shared" si="11"/>
        <v>0</v>
      </c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</row>
    <row r="64" spans="1:55" x14ac:dyDescent="0.25">
      <c r="A64" s="18" t="s">
        <v>108</v>
      </c>
      <c r="B64" s="18" t="s">
        <v>37</v>
      </c>
      <c r="C64" s="18">
        <v>78.403000000000006</v>
      </c>
      <c r="D64" s="18">
        <v>320.84899999999999</v>
      </c>
      <c r="E64" s="18">
        <v>199.25700000000001</v>
      </c>
      <c r="F64" s="18">
        <v>194.53200000000001</v>
      </c>
      <c r="G64" s="7">
        <v>1</v>
      </c>
      <c r="H64" s="18">
        <v>40</v>
      </c>
      <c r="I64" s="18" t="s">
        <v>38</v>
      </c>
      <c r="J64" s="18"/>
      <c r="K64" s="18">
        <v>174.1</v>
      </c>
      <c r="L64" s="18">
        <f t="shared" si="14"/>
        <v>25.157000000000011</v>
      </c>
      <c r="M64" s="18"/>
      <c r="N64" s="18"/>
      <c r="O64" s="18">
        <v>98.239000000000047</v>
      </c>
      <c r="P64" s="18">
        <v>51.332240000000048</v>
      </c>
      <c r="Q64" s="18">
        <f t="shared" si="15"/>
        <v>39.851399999999998</v>
      </c>
      <c r="R64" s="4">
        <f t="shared" si="18"/>
        <v>134.11355999999986</v>
      </c>
      <c r="S64" s="4"/>
      <c r="T64" s="4">
        <f t="shared" si="7"/>
        <v>134.11355999999986</v>
      </c>
      <c r="U64" s="4">
        <f t="shared" si="8"/>
        <v>134.11355999999986</v>
      </c>
      <c r="V64" s="4"/>
      <c r="W64" s="4"/>
      <c r="X64" s="18"/>
      <c r="Y64" s="18"/>
      <c r="Z64" s="18">
        <f t="shared" si="9"/>
        <v>12.000000000000002</v>
      </c>
      <c r="AA64" s="18">
        <f t="shared" si="16"/>
        <v>8.6346587572833116</v>
      </c>
      <c r="AB64" s="18">
        <v>34.515599999999999</v>
      </c>
      <c r="AC64" s="18">
        <v>40.766800000000003</v>
      </c>
      <c r="AD64" s="18">
        <v>41.4636</v>
      </c>
      <c r="AE64" s="18">
        <v>34.110199999999999</v>
      </c>
      <c r="AF64" s="18">
        <v>30.884</v>
      </c>
      <c r="AG64" s="18">
        <v>34.429199999999987</v>
      </c>
      <c r="AH64" s="18">
        <v>38.568600000000004</v>
      </c>
      <c r="AI64" s="18">
        <v>41.019599999999997</v>
      </c>
      <c r="AJ64" s="18"/>
      <c r="AK64" s="18">
        <f t="shared" si="10"/>
        <v>134</v>
      </c>
      <c r="AL64" s="18">
        <f t="shared" si="11"/>
        <v>0</v>
      </c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</row>
    <row r="65" spans="1:55" x14ac:dyDescent="0.25">
      <c r="A65" s="18" t="s">
        <v>109</v>
      </c>
      <c r="B65" s="18" t="s">
        <v>37</v>
      </c>
      <c r="C65" s="18">
        <v>222.86099999999999</v>
      </c>
      <c r="D65" s="18">
        <v>441.55399999999997</v>
      </c>
      <c r="E65" s="18">
        <v>210.74100000000001</v>
      </c>
      <c r="F65" s="18">
        <v>364.851</v>
      </c>
      <c r="G65" s="7">
        <v>1</v>
      </c>
      <c r="H65" s="18">
        <v>40</v>
      </c>
      <c r="I65" s="18" t="s">
        <v>38</v>
      </c>
      <c r="J65" s="18"/>
      <c r="K65" s="18">
        <v>266.5</v>
      </c>
      <c r="L65" s="18">
        <f t="shared" si="14"/>
        <v>-55.758999999999986</v>
      </c>
      <c r="M65" s="18"/>
      <c r="N65" s="18"/>
      <c r="O65" s="18">
        <v>418.48120000000017</v>
      </c>
      <c r="P65" s="18">
        <v>84.504599999999868</v>
      </c>
      <c r="Q65" s="18">
        <f t="shared" si="15"/>
        <v>42.148200000000003</v>
      </c>
      <c r="R65" s="4"/>
      <c r="S65" s="4"/>
      <c r="T65" s="4">
        <f t="shared" si="7"/>
        <v>0</v>
      </c>
      <c r="U65" s="4">
        <f t="shared" si="8"/>
        <v>0</v>
      </c>
      <c r="V65" s="4"/>
      <c r="W65" s="4"/>
      <c r="X65" s="18"/>
      <c r="Y65" s="18"/>
      <c r="Z65" s="18">
        <f t="shared" si="9"/>
        <v>20.59012721776968</v>
      </c>
      <c r="AA65" s="18">
        <f t="shared" si="16"/>
        <v>20.59012721776968</v>
      </c>
      <c r="AB65" s="18">
        <v>70.266999999999996</v>
      </c>
      <c r="AC65" s="18">
        <v>82.022000000000006</v>
      </c>
      <c r="AD65" s="18">
        <v>66.065799999999996</v>
      </c>
      <c r="AE65" s="18">
        <v>55.956800000000001</v>
      </c>
      <c r="AF65" s="18">
        <v>56.508200000000002</v>
      </c>
      <c r="AG65" s="18">
        <v>69.138599999999997</v>
      </c>
      <c r="AH65" s="18">
        <v>66.917999999999992</v>
      </c>
      <c r="AI65" s="18">
        <v>59.311400000000013</v>
      </c>
      <c r="AJ65" s="18"/>
      <c r="AK65" s="18">
        <f t="shared" si="10"/>
        <v>0</v>
      </c>
      <c r="AL65" s="18">
        <f t="shared" si="11"/>
        <v>0</v>
      </c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</row>
    <row r="66" spans="1:55" x14ac:dyDescent="0.25">
      <c r="A66" s="14" t="s">
        <v>110</v>
      </c>
      <c r="B66" s="14" t="s">
        <v>37</v>
      </c>
      <c r="C66" s="14"/>
      <c r="D66" s="14"/>
      <c r="E66" s="14"/>
      <c r="F66" s="14"/>
      <c r="G66" s="15">
        <v>0</v>
      </c>
      <c r="H66" s="14">
        <v>30</v>
      </c>
      <c r="I66" s="14" t="s">
        <v>38</v>
      </c>
      <c r="J66" s="14"/>
      <c r="K66" s="14"/>
      <c r="L66" s="14">
        <f t="shared" si="14"/>
        <v>0</v>
      </c>
      <c r="M66" s="14"/>
      <c r="N66" s="14"/>
      <c r="O66" s="14">
        <v>0</v>
      </c>
      <c r="P66" s="14">
        <v>0</v>
      </c>
      <c r="Q66" s="14">
        <f t="shared" si="15"/>
        <v>0</v>
      </c>
      <c r="R66" s="16"/>
      <c r="S66" s="16"/>
      <c r="T66" s="4">
        <f t="shared" si="7"/>
        <v>0</v>
      </c>
      <c r="U66" s="4">
        <f t="shared" si="8"/>
        <v>0</v>
      </c>
      <c r="V66" s="4"/>
      <c r="W66" s="16"/>
      <c r="X66" s="14"/>
      <c r="Y66" s="14"/>
      <c r="Z66" s="18" t="e">
        <f t="shared" si="9"/>
        <v>#DIV/0!</v>
      </c>
      <c r="AA66" s="14" t="e">
        <f t="shared" si="16"/>
        <v>#DIV/0!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 t="s">
        <v>65</v>
      </c>
      <c r="AK66" s="18">
        <f t="shared" si="10"/>
        <v>0</v>
      </c>
      <c r="AL66" s="18">
        <f t="shared" si="11"/>
        <v>0</v>
      </c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</row>
    <row r="67" spans="1:55" x14ac:dyDescent="0.25">
      <c r="A67" s="18" t="s">
        <v>111</v>
      </c>
      <c r="B67" s="18" t="s">
        <v>43</v>
      </c>
      <c r="C67" s="18">
        <v>19.120999999999999</v>
      </c>
      <c r="D67" s="18">
        <v>80</v>
      </c>
      <c r="E67" s="18">
        <v>89</v>
      </c>
      <c r="F67" s="18">
        <v>2.121</v>
      </c>
      <c r="G67" s="7">
        <v>0.6</v>
      </c>
      <c r="H67" s="18">
        <v>60</v>
      </c>
      <c r="I67" s="10" t="s">
        <v>77</v>
      </c>
      <c r="J67" s="18"/>
      <c r="K67" s="18">
        <v>110</v>
      </c>
      <c r="L67" s="18">
        <f t="shared" si="14"/>
        <v>-21</v>
      </c>
      <c r="M67" s="18"/>
      <c r="N67" s="18"/>
      <c r="O67" s="18">
        <v>0</v>
      </c>
      <c r="P67" s="18">
        <v>18.879000000000001</v>
      </c>
      <c r="Q67" s="18">
        <f t="shared" si="15"/>
        <v>17.8</v>
      </c>
      <c r="R67" s="4">
        <v>18</v>
      </c>
      <c r="S67" s="4"/>
      <c r="T67" s="4">
        <f t="shared" si="7"/>
        <v>18</v>
      </c>
      <c r="U67" s="4">
        <f t="shared" si="8"/>
        <v>18</v>
      </c>
      <c r="V67" s="4"/>
      <c r="W67" s="4"/>
      <c r="X67" s="18"/>
      <c r="Y67" s="18"/>
      <c r="Z67" s="18">
        <f t="shared" si="9"/>
        <v>2.191011235955056</v>
      </c>
      <c r="AA67" s="18">
        <f t="shared" si="16"/>
        <v>1.1797752808988764</v>
      </c>
      <c r="AB67" s="18">
        <v>3.8</v>
      </c>
      <c r="AC67" s="18">
        <v>0.97579999999999989</v>
      </c>
      <c r="AD67" s="18">
        <v>2.1758000000000002</v>
      </c>
      <c r="AE67" s="18">
        <v>1.2</v>
      </c>
      <c r="AF67" s="18">
        <v>0.2</v>
      </c>
      <c r="AG67" s="18">
        <v>0.6</v>
      </c>
      <c r="AH67" s="18">
        <v>1.4</v>
      </c>
      <c r="AI67" s="18">
        <v>1</v>
      </c>
      <c r="AJ67" s="18"/>
      <c r="AK67" s="18">
        <f t="shared" si="10"/>
        <v>11</v>
      </c>
      <c r="AL67" s="18">
        <f t="shared" si="11"/>
        <v>0</v>
      </c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</row>
    <row r="68" spans="1:55" x14ac:dyDescent="0.25">
      <c r="A68" s="18" t="s">
        <v>112</v>
      </c>
      <c r="B68" s="18" t="s">
        <v>43</v>
      </c>
      <c r="C68" s="18">
        <v>112</v>
      </c>
      <c r="D68" s="18">
        <v>101</v>
      </c>
      <c r="E68" s="18">
        <v>48</v>
      </c>
      <c r="F68" s="18">
        <v>131</v>
      </c>
      <c r="G68" s="7">
        <v>0.37</v>
      </c>
      <c r="H68" s="18">
        <v>50</v>
      </c>
      <c r="I68" s="10" t="s">
        <v>77</v>
      </c>
      <c r="J68" s="18"/>
      <c r="K68" s="18">
        <v>81</v>
      </c>
      <c r="L68" s="18">
        <f t="shared" si="14"/>
        <v>-33</v>
      </c>
      <c r="M68" s="18"/>
      <c r="N68" s="18"/>
      <c r="O68" s="18">
        <v>0</v>
      </c>
      <c r="P68" s="18">
        <v>29</v>
      </c>
      <c r="Q68" s="18">
        <f t="shared" si="15"/>
        <v>9.6</v>
      </c>
      <c r="R68" s="4"/>
      <c r="S68" s="4"/>
      <c r="T68" s="4">
        <f t="shared" si="7"/>
        <v>0</v>
      </c>
      <c r="U68" s="4">
        <f t="shared" si="8"/>
        <v>0</v>
      </c>
      <c r="V68" s="4"/>
      <c r="W68" s="4"/>
      <c r="X68" s="18"/>
      <c r="Y68" s="18"/>
      <c r="Z68" s="18">
        <f t="shared" si="9"/>
        <v>16.666666666666668</v>
      </c>
      <c r="AA68" s="18">
        <f t="shared" si="16"/>
        <v>16.666666666666668</v>
      </c>
      <c r="AB68" s="18">
        <v>12.4</v>
      </c>
      <c r="AC68" s="18">
        <v>9.6</v>
      </c>
      <c r="AD68" s="18">
        <v>9.1999999999999993</v>
      </c>
      <c r="AE68" s="18">
        <v>7.2</v>
      </c>
      <c r="AF68" s="18">
        <v>6.4</v>
      </c>
      <c r="AG68" s="18">
        <v>12.2</v>
      </c>
      <c r="AH68" s="18">
        <v>12.4</v>
      </c>
      <c r="AI68" s="18">
        <v>5.8</v>
      </c>
      <c r="AJ68" s="20" t="s">
        <v>113</v>
      </c>
      <c r="AK68" s="18">
        <f t="shared" si="10"/>
        <v>0</v>
      </c>
      <c r="AL68" s="18">
        <f t="shared" si="11"/>
        <v>0</v>
      </c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</row>
    <row r="69" spans="1:55" x14ac:dyDescent="0.25">
      <c r="A69" s="14" t="s">
        <v>114</v>
      </c>
      <c r="B69" s="14" t="s">
        <v>43</v>
      </c>
      <c r="C69" s="14"/>
      <c r="D69" s="14"/>
      <c r="E69" s="14"/>
      <c r="F69" s="14"/>
      <c r="G69" s="15">
        <v>0</v>
      </c>
      <c r="H69" s="14">
        <v>30</v>
      </c>
      <c r="I69" s="14" t="s">
        <v>38</v>
      </c>
      <c r="J69" s="14"/>
      <c r="K69" s="14"/>
      <c r="L69" s="14">
        <f t="shared" si="14"/>
        <v>0</v>
      </c>
      <c r="M69" s="14"/>
      <c r="N69" s="14"/>
      <c r="O69" s="14">
        <v>0</v>
      </c>
      <c r="P69" s="14">
        <v>0</v>
      </c>
      <c r="Q69" s="14">
        <f t="shared" si="15"/>
        <v>0</v>
      </c>
      <c r="R69" s="16"/>
      <c r="S69" s="16"/>
      <c r="T69" s="4">
        <f t="shared" si="7"/>
        <v>0</v>
      </c>
      <c r="U69" s="4">
        <f t="shared" si="8"/>
        <v>0</v>
      </c>
      <c r="V69" s="4"/>
      <c r="W69" s="16"/>
      <c r="X69" s="14"/>
      <c r="Y69" s="14"/>
      <c r="Z69" s="18" t="e">
        <f t="shared" si="9"/>
        <v>#DIV/0!</v>
      </c>
      <c r="AA69" s="14" t="e">
        <f t="shared" si="16"/>
        <v>#DIV/0!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 t="s">
        <v>65</v>
      </c>
      <c r="AK69" s="18">
        <f t="shared" si="10"/>
        <v>0</v>
      </c>
      <c r="AL69" s="18">
        <f t="shared" si="11"/>
        <v>0</v>
      </c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</row>
    <row r="70" spans="1:55" x14ac:dyDescent="0.25">
      <c r="A70" s="18" t="s">
        <v>115</v>
      </c>
      <c r="B70" s="18" t="s">
        <v>43</v>
      </c>
      <c r="C70" s="18">
        <v>3.1190000000000002</v>
      </c>
      <c r="D70" s="18">
        <v>92</v>
      </c>
      <c r="E70" s="18">
        <v>64.766000000000005</v>
      </c>
      <c r="F70" s="18">
        <v>22.353000000000002</v>
      </c>
      <c r="G70" s="7">
        <v>0.6</v>
      </c>
      <c r="H70" s="18">
        <v>55</v>
      </c>
      <c r="I70" s="10" t="s">
        <v>77</v>
      </c>
      <c r="J70" s="18"/>
      <c r="K70" s="18">
        <v>82.2</v>
      </c>
      <c r="L70" s="18">
        <f t="shared" ref="L70:L95" si="19">E70-K70</f>
        <v>-17.433999999999997</v>
      </c>
      <c r="M70" s="18"/>
      <c r="N70" s="18"/>
      <c r="O70" s="18">
        <v>0</v>
      </c>
      <c r="P70" s="18">
        <v>17.881</v>
      </c>
      <c r="Q70" s="18">
        <f t="shared" ref="Q70:Q95" si="20">E70/5</f>
        <v>12.953200000000001</v>
      </c>
      <c r="R70" s="4">
        <f>12*Q70-P70-O70-F70</f>
        <v>115.20439999999999</v>
      </c>
      <c r="S70" s="4"/>
      <c r="T70" s="4">
        <f t="shared" si="7"/>
        <v>115.20439999999999</v>
      </c>
      <c r="U70" s="4">
        <f t="shared" si="8"/>
        <v>115.20439999999999</v>
      </c>
      <c r="V70" s="4"/>
      <c r="W70" s="4"/>
      <c r="X70" s="18"/>
      <c r="Y70" s="18"/>
      <c r="Z70" s="18">
        <f t="shared" si="9"/>
        <v>12</v>
      </c>
      <c r="AA70" s="18">
        <f t="shared" ref="AA70:AA95" si="21">(F70+O70+P70)/Q70</f>
        <v>3.1061050551215144</v>
      </c>
      <c r="AB70" s="18">
        <v>3.6</v>
      </c>
      <c r="AC70" s="18">
        <v>0.7762</v>
      </c>
      <c r="AD70" s="18">
        <v>1.5762</v>
      </c>
      <c r="AE70" s="18">
        <v>1.2</v>
      </c>
      <c r="AF70" s="18">
        <v>0.6</v>
      </c>
      <c r="AG70" s="18">
        <v>1.6</v>
      </c>
      <c r="AH70" s="18">
        <v>2</v>
      </c>
      <c r="AI70" s="18">
        <v>1</v>
      </c>
      <c r="AJ70" s="18"/>
      <c r="AK70" s="18">
        <f t="shared" si="10"/>
        <v>69</v>
      </c>
      <c r="AL70" s="18">
        <f t="shared" si="11"/>
        <v>0</v>
      </c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</row>
    <row r="71" spans="1:55" x14ac:dyDescent="0.25">
      <c r="A71" s="14" t="s">
        <v>116</v>
      </c>
      <c r="B71" s="14" t="s">
        <v>43</v>
      </c>
      <c r="C71" s="14"/>
      <c r="D71" s="14"/>
      <c r="E71" s="14"/>
      <c r="F71" s="14"/>
      <c r="G71" s="15">
        <v>0</v>
      </c>
      <c r="H71" s="14">
        <v>40</v>
      </c>
      <c r="I71" s="14" t="s">
        <v>38</v>
      </c>
      <c r="J71" s="14"/>
      <c r="K71" s="14"/>
      <c r="L71" s="14">
        <f t="shared" si="19"/>
        <v>0</v>
      </c>
      <c r="M71" s="14"/>
      <c r="N71" s="14"/>
      <c r="O71" s="14">
        <v>0</v>
      </c>
      <c r="P71" s="14">
        <v>0</v>
      </c>
      <c r="Q71" s="14">
        <f t="shared" si="20"/>
        <v>0</v>
      </c>
      <c r="R71" s="16"/>
      <c r="S71" s="16"/>
      <c r="T71" s="4">
        <f t="shared" ref="T71:T95" si="22">S71+R71</f>
        <v>0</v>
      </c>
      <c r="U71" s="4">
        <f t="shared" ref="U71:U95" si="23">T71-V71</f>
        <v>0</v>
      </c>
      <c r="V71" s="4"/>
      <c r="W71" s="16"/>
      <c r="X71" s="14"/>
      <c r="Y71" s="14"/>
      <c r="Z71" s="18" t="e">
        <f t="shared" ref="Z71:Z95" si="24">(F71+O71+P71+T71)/Q71</f>
        <v>#DIV/0!</v>
      </c>
      <c r="AA71" s="14" t="e">
        <f t="shared" si="21"/>
        <v>#DIV/0!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 t="s">
        <v>117</v>
      </c>
      <c r="AK71" s="18">
        <f t="shared" ref="AK71:AK95" si="25">ROUND(G71*U71,0)</f>
        <v>0</v>
      </c>
      <c r="AL71" s="18">
        <f t="shared" ref="AL71:AL95" si="26">ROUND(G71*V71,0)</f>
        <v>0</v>
      </c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</row>
    <row r="72" spans="1:55" x14ac:dyDescent="0.25">
      <c r="A72" s="18" t="s">
        <v>118</v>
      </c>
      <c r="B72" s="18" t="s">
        <v>43</v>
      </c>
      <c r="C72" s="18">
        <v>85</v>
      </c>
      <c r="D72" s="18"/>
      <c r="E72" s="18">
        <v>50</v>
      </c>
      <c r="F72" s="18">
        <v>33</v>
      </c>
      <c r="G72" s="7">
        <v>0.4</v>
      </c>
      <c r="H72" s="18">
        <v>50</v>
      </c>
      <c r="I72" s="18" t="s">
        <v>38</v>
      </c>
      <c r="J72" s="18"/>
      <c r="K72" s="18">
        <v>52</v>
      </c>
      <c r="L72" s="18">
        <f t="shared" si="19"/>
        <v>-2</v>
      </c>
      <c r="M72" s="18"/>
      <c r="N72" s="18"/>
      <c r="O72" s="18">
        <v>0</v>
      </c>
      <c r="P72" s="18">
        <v>30</v>
      </c>
      <c r="Q72" s="18">
        <f t="shared" si="20"/>
        <v>10</v>
      </c>
      <c r="R72" s="4">
        <f>14*Q72-P72-O72-F72</f>
        <v>77</v>
      </c>
      <c r="S72" s="4"/>
      <c r="T72" s="4">
        <f t="shared" si="22"/>
        <v>77</v>
      </c>
      <c r="U72" s="4">
        <f t="shared" si="23"/>
        <v>77</v>
      </c>
      <c r="V72" s="4"/>
      <c r="W72" s="4"/>
      <c r="X72" s="18"/>
      <c r="Y72" s="18"/>
      <c r="Z72" s="18">
        <f t="shared" si="24"/>
        <v>14</v>
      </c>
      <c r="AA72" s="18">
        <f t="shared" si="21"/>
        <v>6.3</v>
      </c>
      <c r="AB72" s="18">
        <v>6.2</v>
      </c>
      <c r="AC72" s="18">
        <v>1.6</v>
      </c>
      <c r="AD72" s="18">
        <v>0.6</v>
      </c>
      <c r="AE72" s="18">
        <v>3.4</v>
      </c>
      <c r="AF72" s="18">
        <v>3</v>
      </c>
      <c r="AG72" s="18">
        <v>9.4</v>
      </c>
      <c r="AH72" s="18">
        <v>10</v>
      </c>
      <c r="AI72" s="18">
        <v>5</v>
      </c>
      <c r="AJ72" s="18"/>
      <c r="AK72" s="18">
        <f t="shared" si="25"/>
        <v>31</v>
      </c>
      <c r="AL72" s="18">
        <f t="shared" si="26"/>
        <v>0</v>
      </c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</row>
    <row r="73" spans="1:55" x14ac:dyDescent="0.25">
      <c r="A73" s="14" t="s">
        <v>119</v>
      </c>
      <c r="B73" s="14" t="s">
        <v>43</v>
      </c>
      <c r="C73" s="14"/>
      <c r="D73" s="14"/>
      <c r="E73" s="14"/>
      <c r="F73" s="14"/>
      <c r="G73" s="15">
        <v>0</v>
      </c>
      <c r="H73" s="14">
        <v>55</v>
      </c>
      <c r="I73" s="14" t="s">
        <v>38</v>
      </c>
      <c r="J73" s="14"/>
      <c r="K73" s="14"/>
      <c r="L73" s="14">
        <f t="shared" si="19"/>
        <v>0</v>
      </c>
      <c r="M73" s="14"/>
      <c r="N73" s="14"/>
      <c r="O73" s="14">
        <v>0</v>
      </c>
      <c r="P73" s="14">
        <v>0</v>
      </c>
      <c r="Q73" s="14">
        <f t="shared" si="20"/>
        <v>0</v>
      </c>
      <c r="R73" s="16"/>
      <c r="S73" s="16"/>
      <c r="T73" s="4">
        <f t="shared" si="22"/>
        <v>0</v>
      </c>
      <c r="U73" s="4">
        <f t="shared" si="23"/>
        <v>0</v>
      </c>
      <c r="V73" s="4"/>
      <c r="W73" s="16"/>
      <c r="X73" s="14"/>
      <c r="Y73" s="14"/>
      <c r="Z73" s="18" t="e">
        <f t="shared" si="24"/>
        <v>#DIV/0!</v>
      </c>
      <c r="AA73" s="14" t="e">
        <f t="shared" si="21"/>
        <v>#DIV/0!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 t="s">
        <v>65</v>
      </c>
      <c r="AK73" s="18">
        <f t="shared" si="25"/>
        <v>0</v>
      </c>
      <c r="AL73" s="18">
        <f t="shared" si="26"/>
        <v>0</v>
      </c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</row>
    <row r="74" spans="1:55" x14ac:dyDescent="0.25">
      <c r="A74" s="14" t="s">
        <v>120</v>
      </c>
      <c r="B74" s="14" t="s">
        <v>37</v>
      </c>
      <c r="C74" s="14"/>
      <c r="D74" s="14"/>
      <c r="E74" s="14"/>
      <c r="F74" s="14"/>
      <c r="G74" s="15">
        <v>0</v>
      </c>
      <c r="H74" s="14">
        <v>55</v>
      </c>
      <c r="I74" s="14" t="s">
        <v>38</v>
      </c>
      <c r="J74" s="14"/>
      <c r="K74" s="14"/>
      <c r="L74" s="14">
        <f t="shared" si="19"/>
        <v>0</v>
      </c>
      <c r="M74" s="14"/>
      <c r="N74" s="14"/>
      <c r="O74" s="14">
        <v>0</v>
      </c>
      <c r="P74" s="14">
        <v>0</v>
      </c>
      <c r="Q74" s="14">
        <f t="shared" si="20"/>
        <v>0</v>
      </c>
      <c r="R74" s="16"/>
      <c r="S74" s="16"/>
      <c r="T74" s="4">
        <f t="shared" si="22"/>
        <v>0</v>
      </c>
      <c r="U74" s="4">
        <f t="shared" si="23"/>
        <v>0</v>
      </c>
      <c r="V74" s="4"/>
      <c r="W74" s="16"/>
      <c r="X74" s="14"/>
      <c r="Y74" s="14"/>
      <c r="Z74" s="18" t="e">
        <f t="shared" si="24"/>
        <v>#DIV/0!</v>
      </c>
      <c r="AA74" s="14" t="e">
        <f t="shared" si="21"/>
        <v>#DIV/0!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 t="s">
        <v>121</v>
      </c>
      <c r="AK74" s="18">
        <f t="shared" si="25"/>
        <v>0</v>
      </c>
      <c r="AL74" s="18">
        <f t="shared" si="26"/>
        <v>0</v>
      </c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</row>
    <row r="75" spans="1:55" x14ac:dyDescent="0.25">
      <c r="A75" s="18" t="s">
        <v>122</v>
      </c>
      <c r="B75" s="18" t="s">
        <v>37</v>
      </c>
      <c r="C75" s="18">
        <v>88.293000000000006</v>
      </c>
      <c r="D75" s="18">
        <v>190.65</v>
      </c>
      <c r="E75" s="18">
        <v>126.753</v>
      </c>
      <c r="F75" s="18">
        <v>152.19</v>
      </c>
      <c r="G75" s="7">
        <v>1</v>
      </c>
      <c r="H75" s="18">
        <v>60</v>
      </c>
      <c r="I75" s="18" t="s">
        <v>38</v>
      </c>
      <c r="J75" s="18"/>
      <c r="K75" s="18">
        <v>121.2</v>
      </c>
      <c r="L75" s="18">
        <f t="shared" si="19"/>
        <v>5.5529999999999973</v>
      </c>
      <c r="M75" s="18"/>
      <c r="N75" s="18"/>
      <c r="O75" s="18">
        <v>0</v>
      </c>
      <c r="P75" s="18">
        <v>79.223560000000035</v>
      </c>
      <c r="Q75" s="18">
        <f t="shared" si="20"/>
        <v>25.3506</v>
      </c>
      <c r="R75" s="4">
        <f t="shared" ref="R75:R78" si="27">14*Q75-P75-O75-F75</f>
        <v>123.49484000000001</v>
      </c>
      <c r="S75" s="4"/>
      <c r="T75" s="4">
        <f t="shared" si="22"/>
        <v>123.49484000000001</v>
      </c>
      <c r="U75" s="4">
        <f t="shared" si="23"/>
        <v>123.49484000000001</v>
      </c>
      <c r="V75" s="4"/>
      <c r="W75" s="4"/>
      <c r="X75" s="18"/>
      <c r="Y75" s="18"/>
      <c r="Z75" s="18">
        <f t="shared" si="24"/>
        <v>14.000000000000002</v>
      </c>
      <c r="AA75" s="18">
        <f t="shared" si="21"/>
        <v>9.128523979708568</v>
      </c>
      <c r="AB75" s="18">
        <v>19.732399999999998</v>
      </c>
      <c r="AC75" s="18">
        <v>19.7456</v>
      </c>
      <c r="AD75" s="18">
        <v>22.788799999999998</v>
      </c>
      <c r="AE75" s="18">
        <v>24.499400000000001</v>
      </c>
      <c r="AF75" s="18">
        <v>21.687000000000001</v>
      </c>
      <c r="AG75" s="18">
        <v>12.8858</v>
      </c>
      <c r="AH75" s="18">
        <v>14.573600000000001</v>
      </c>
      <c r="AI75" s="18">
        <v>21.3994</v>
      </c>
      <c r="AJ75" s="18" t="s">
        <v>49</v>
      </c>
      <c r="AK75" s="18">
        <f t="shared" si="25"/>
        <v>123</v>
      </c>
      <c r="AL75" s="18">
        <f t="shared" si="26"/>
        <v>0</v>
      </c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</row>
    <row r="76" spans="1:55" x14ac:dyDescent="0.25">
      <c r="A76" s="18" t="s">
        <v>58</v>
      </c>
      <c r="B76" s="18" t="s">
        <v>37</v>
      </c>
      <c r="C76" s="18">
        <v>1210.1010000000001</v>
      </c>
      <c r="D76" s="18">
        <v>7.6059999999999999</v>
      </c>
      <c r="E76" s="19">
        <f>553.867+E21</f>
        <v>558.86699999999996</v>
      </c>
      <c r="F76" s="19">
        <f>651.606+F21</f>
        <v>646.60599999999999</v>
      </c>
      <c r="G76" s="7">
        <v>1</v>
      </c>
      <c r="H76" s="18">
        <v>60</v>
      </c>
      <c r="I76" s="18" t="s">
        <v>38</v>
      </c>
      <c r="J76" s="18"/>
      <c r="K76" s="18">
        <v>553.5</v>
      </c>
      <c r="L76" s="18">
        <f t="shared" si="19"/>
        <v>5.3669999999999618</v>
      </c>
      <c r="M76" s="18"/>
      <c r="N76" s="18"/>
      <c r="O76" s="18">
        <v>0</v>
      </c>
      <c r="P76" s="18">
        <v>619.21676000000002</v>
      </c>
      <c r="Q76" s="18">
        <f t="shared" si="20"/>
        <v>111.7734</v>
      </c>
      <c r="R76" s="4">
        <f t="shared" si="27"/>
        <v>299.00483999999983</v>
      </c>
      <c r="S76" s="4">
        <f t="shared" ref="S76:S78" si="28">$S$1*Q76</f>
        <v>55.886699999999998</v>
      </c>
      <c r="T76" s="4">
        <f t="shared" si="22"/>
        <v>354.89153999999985</v>
      </c>
      <c r="U76" s="4">
        <f t="shared" si="23"/>
        <v>154.89153999999985</v>
      </c>
      <c r="V76" s="4">
        <v>200</v>
      </c>
      <c r="W76" s="4"/>
      <c r="X76" s="18"/>
      <c r="Y76" s="18"/>
      <c r="Z76" s="18">
        <f t="shared" si="24"/>
        <v>14.5</v>
      </c>
      <c r="AA76" s="18">
        <f t="shared" si="21"/>
        <v>11.324901631336258</v>
      </c>
      <c r="AB76" s="18">
        <v>108.4014</v>
      </c>
      <c r="AC76" s="18">
        <v>93.259799999999998</v>
      </c>
      <c r="AD76" s="18">
        <v>95.246000000000009</v>
      </c>
      <c r="AE76" s="18">
        <v>97.384600000000006</v>
      </c>
      <c r="AF76" s="18">
        <v>126.3728</v>
      </c>
      <c r="AG76" s="18">
        <v>133.16720000000001</v>
      </c>
      <c r="AH76" s="18">
        <v>134.17259999999999</v>
      </c>
      <c r="AI76" s="18">
        <v>134.75720000000001</v>
      </c>
      <c r="AJ76" s="18"/>
      <c r="AK76" s="18">
        <f t="shared" si="25"/>
        <v>155</v>
      </c>
      <c r="AL76" s="18">
        <f t="shared" si="26"/>
        <v>200</v>
      </c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</row>
    <row r="77" spans="1:55" x14ac:dyDescent="0.25">
      <c r="A77" s="18" t="s">
        <v>123</v>
      </c>
      <c r="B77" s="18" t="s">
        <v>37</v>
      </c>
      <c r="C77" s="18">
        <v>1026.883</v>
      </c>
      <c r="D77" s="18">
        <v>10.023999999999999</v>
      </c>
      <c r="E77" s="18">
        <v>462.24</v>
      </c>
      <c r="F77" s="18">
        <v>563.49099999999999</v>
      </c>
      <c r="G77" s="7">
        <v>1</v>
      </c>
      <c r="H77" s="18">
        <v>60</v>
      </c>
      <c r="I77" s="18" t="s">
        <v>38</v>
      </c>
      <c r="J77" s="18"/>
      <c r="K77" s="18">
        <v>470.5</v>
      </c>
      <c r="L77" s="18">
        <f t="shared" si="19"/>
        <v>-8.2599999999999909</v>
      </c>
      <c r="M77" s="18"/>
      <c r="N77" s="18"/>
      <c r="O77" s="18">
        <v>91.262400000000071</v>
      </c>
      <c r="P77" s="18">
        <v>497.51575999999977</v>
      </c>
      <c r="Q77" s="18">
        <f t="shared" si="20"/>
        <v>92.448000000000008</v>
      </c>
      <c r="R77" s="4">
        <f t="shared" si="27"/>
        <v>142.00284000000033</v>
      </c>
      <c r="S77" s="4">
        <f t="shared" si="28"/>
        <v>46.224000000000004</v>
      </c>
      <c r="T77" s="4">
        <f t="shared" si="22"/>
        <v>188.22684000000032</v>
      </c>
      <c r="U77" s="4">
        <f t="shared" si="23"/>
        <v>88.226840000000323</v>
      </c>
      <c r="V77" s="4">
        <v>100</v>
      </c>
      <c r="W77" s="4"/>
      <c r="X77" s="18"/>
      <c r="Y77" s="18"/>
      <c r="Z77" s="18">
        <f t="shared" si="24"/>
        <v>14.5</v>
      </c>
      <c r="AA77" s="18">
        <f t="shared" si="21"/>
        <v>12.463970664589821</v>
      </c>
      <c r="AB77" s="18">
        <v>96.532399999999996</v>
      </c>
      <c r="AC77" s="18">
        <v>92.557199999999995</v>
      </c>
      <c r="AD77" s="18">
        <v>91.076599999999999</v>
      </c>
      <c r="AE77" s="18">
        <v>98.073999999999998</v>
      </c>
      <c r="AF77" s="18">
        <v>113.5658</v>
      </c>
      <c r="AG77" s="18">
        <v>99.108800000000002</v>
      </c>
      <c r="AH77" s="18">
        <v>90.947000000000003</v>
      </c>
      <c r="AI77" s="18">
        <v>121.664</v>
      </c>
      <c r="AJ77" s="18" t="s">
        <v>49</v>
      </c>
      <c r="AK77" s="18">
        <f t="shared" si="25"/>
        <v>88</v>
      </c>
      <c r="AL77" s="18">
        <f t="shared" si="26"/>
        <v>100</v>
      </c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</row>
    <row r="78" spans="1:55" x14ac:dyDescent="0.25">
      <c r="A78" s="18" t="s">
        <v>124</v>
      </c>
      <c r="B78" s="18" t="s">
        <v>37</v>
      </c>
      <c r="C78" s="18">
        <v>1549.452</v>
      </c>
      <c r="D78" s="18">
        <v>984.495</v>
      </c>
      <c r="E78" s="18">
        <v>1122.3589999999999</v>
      </c>
      <c r="F78" s="18">
        <v>1382.3389999999999</v>
      </c>
      <c r="G78" s="7">
        <v>1</v>
      </c>
      <c r="H78" s="18">
        <v>60</v>
      </c>
      <c r="I78" s="18" t="s">
        <v>38</v>
      </c>
      <c r="J78" s="18"/>
      <c r="K78" s="18">
        <v>1145.7</v>
      </c>
      <c r="L78" s="18">
        <f t="shared" si="19"/>
        <v>-23.341000000000122</v>
      </c>
      <c r="M78" s="18"/>
      <c r="N78" s="18"/>
      <c r="O78" s="18">
        <v>97.634099999999989</v>
      </c>
      <c r="P78" s="18">
        <v>1094.5168200000001</v>
      </c>
      <c r="Q78" s="18">
        <f t="shared" si="20"/>
        <v>224.47179999999997</v>
      </c>
      <c r="R78" s="4">
        <f t="shared" si="27"/>
        <v>568.1152799999993</v>
      </c>
      <c r="S78" s="4">
        <f t="shared" si="28"/>
        <v>112.23589999999999</v>
      </c>
      <c r="T78" s="4">
        <f t="shared" si="22"/>
        <v>680.35117999999932</v>
      </c>
      <c r="U78" s="4">
        <f t="shared" si="23"/>
        <v>280.35117999999932</v>
      </c>
      <c r="V78" s="4">
        <v>400</v>
      </c>
      <c r="W78" s="4"/>
      <c r="X78" s="18"/>
      <c r="Y78" s="18"/>
      <c r="Z78" s="18">
        <f t="shared" si="24"/>
        <v>14.499999999999998</v>
      </c>
      <c r="AA78" s="18">
        <f t="shared" si="21"/>
        <v>11.469101775813266</v>
      </c>
      <c r="AB78" s="18">
        <v>221.23580000000001</v>
      </c>
      <c r="AC78" s="18">
        <v>215.50120000000001</v>
      </c>
      <c r="AD78" s="18">
        <v>220.69839999999999</v>
      </c>
      <c r="AE78" s="18">
        <v>201.9682</v>
      </c>
      <c r="AF78" s="18">
        <v>213.62459999999999</v>
      </c>
      <c r="AG78" s="18">
        <v>207.92019999999999</v>
      </c>
      <c r="AH78" s="18">
        <v>203.87020000000001</v>
      </c>
      <c r="AI78" s="18">
        <v>220.21899999999999</v>
      </c>
      <c r="AJ78" s="18" t="s">
        <v>49</v>
      </c>
      <c r="AK78" s="18">
        <f t="shared" si="25"/>
        <v>280</v>
      </c>
      <c r="AL78" s="18">
        <f t="shared" si="26"/>
        <v>400</v>
      </c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</row>
    <row r="79" spans="1:55" x14ac:dyDescent="0.25">
      <c r="A79" s="14" t="s">
        <v>125</v>
      </c>
      <c r="B79" s="14" t="s">
        <v>37</v>
      </c>
      <c r="C79" s="14"/>
      <c r="D79" s="14"/>
      <c r="E79" s="14"/>
      <c r="F79" s="14"/>
      <c r="G79" s="15">
        <v>0</v>
      </c>
      <c r="H79" s="14">
        <v>60</v>
      </c>
      <c r="I79" s="14" t="s">
        <v>38</v>
      </c>
      <c r="J79" s="14"/>
      <c r="K79" s="14"/>
      <c r="L79" s="14">
        <f t="shared" si="19"/>
        <v>0</v>
      </c>
      <c r="M79" s="14"/>
      <c r="N79" s="14"/>
      <c r="O79" s="14">
        <v>0</v>
      </c>
      <c r="P79" s="14">
        <v>0</v>
      </c>
      <c r="Q79" s="14">
        <f t="shared" si="20"/>
        <v>0</v>
      </c>
      <c r="R79" s="16"/>
      <c r="S79" s="16"/>
      <c r="T79" s="4">
        <f t="shared" si="22"/>
        <v>0</v>
      </c>
      <c r="U79" s="4">
        <f t="shared" si="23"/>
        <v>0</v>
      </c>
      <c r="V79" s="4"/>
      <c r="W79" s="16"/>
      <c r="X79" s="14"/>
      <c r="Y79" s="14"/>
      <c r="Z79" s="18" t="e">
        <f t="shared" si="24"/>
        <v>#DIV/0!</v>
      </c>
      <c r="AA79" s="14" t="e">
        <f t="shared" si="21"/>
        <v>#DIV/0!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 t="s">
        <v>65</v>
      </c>
      <c r="AK79" s="18">
        <f t="shared" si="25"/>
        <v>0</v>
      </c>
      <c r="AL79" s="18">
        <f t="shared" si="26"/>
        <v>0</v>
      </c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</row>
    <row r="80" spans="1:55" x14ac:dyDescent="0.25">
      <c r="A80" s="18" t="s">
        <v>126</v>
      </c>
      <c r="B80" s="18" t="s">
        <v>43</v>
      </c>
      <c r="C80" s="18">
        <v>95</v>
      </c>
      <c r="D80" s="18">
        <v>61</v>
      </c>
      <c r="E80" s="18">
        <v>97</v>
      </c>
      <c r="F80" s="18">
        <v>58</v>
      </c>
      <c r="G80" s="7">
        <v>0.3</v>
      </c>
      <c r="H80" s="18">
        <v>40</v>
      </c>
      <c r="I80" s="18" t="s">
        <v>38</v>
      </c>
      <c r="J80" s="18"/>
      <c r="K80" s="18">
        <v>98</v>
      </c>
      <c r="L80" s="18">
        <f t="shared" si="19"/>
        <v>-1</v>
      </c>
      <c r="M80" s="18"/>
      <c r="N80" s="18"/>
      <c r="O80" s="18">
        <v>121.2</v>
      </c>
      <c r="P80" s="18">
        <v>63.399999999999991</v>
      </c>
      <c r="Q80" s="18">
        <f t="shared" si="20"/>
        <v>19.399999999999999</v>
      </c>
      <c r="R80" s="4"/>
      <c r="S80" s="4"/>
      <c r="T80" s="4">
        <f t="shared" si="22"/>
        <v>0</v>
      </c>
      <c r="U80" s="4">
        <f t="shared" si="23"/>
        <v>0</v>
      </c>
      <c r="V80" s="4"/>
      <c r="W80" s="4"/>
      <c r="X80" s="18"/>
      <c r="Y80" s="18"/>
      <c r="Z80" s="18">
        <f t="shared" si="24"/>
        <v>12.505154639175258</v>
      </c>
      <c r="AA80" s="18">
        <f t="shared" si="21"/>
        <v>12.505154639175258</v>
      </c>
      <c r="AB80" s="18">
        <v>22</v>
      </c>
      <c r="AC80" s="18">
        <v>22.2</v>
      </c>
      <c r="AD80" s="18">
        <v>18</v>
      </c>
      <c r="AE80" s="18">
        <v>20.399999999999999</v>
      </c>
      <c r="AF80" s="18">
        <v>21.8</v>
      </c>
      <c r="AG80" s="18">
        <v>13.2</v>
      </c>
      <c r="AH80" s="18">
        <v>11</v>
      </c>
      <c r="AI80" s="18">
        <v>18</v>
      </c>
      <c r="AJ80" s="18"/>
      <c r="AK80" s="18">
        <f t="shared" si="25"/>
        <v>0</v>
      </c>
      <c r="AL80" s="18">
        <f t="shared" si="26"/>
        <v>0</v>
      </c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</row>
    <row r="81" spans="1:55" x14ac:dyDescent="0.25">
      <c r="A81" s="18" t="s">
        <v>127</v>
      </c>
      <c r="B81" s="18" t="s">
        <v>43</v>
      </c>
      <c r="C81" s="18">
        <v>46</v>
      </c>
      <c r="D81" s="18">
        <v>2</v>
      </c>
      <c r="E81" s="18">
        <v>31</v>
      </c>
      <c r="F81" s="18">
        <v>17</v>
      </c>
      <c r="G81" s="7">
        <v>7.0000000000000007E-2</v>
      </c>
      <c r="H81" s="18">
        <v>90</v>
      </c>
      <c r="I81" s="18" t="s">
        <v>38</v>
      </c>
      <c r="J81" s="18"/>
      <c r="K81" s="18">
        <v>31</v>
      </c>
      <c r="L81" s="18">
        <f t="shared" si="19"/>
        <v>0</v>
      </c>
      <c r="M81" s="18"/>
      <c r="N81" s="18"/>
      <c r="O81" s="18">
        <v>17.400000000000009</v>
      </c>
      <c r="P81" s="18">
        <v>37.999999999999993</v>
      </c>
      <c r="Q81" s="18">
        <f t="shared" si="20"/>
        <v>6.2</v>
      </c>
      <c r="R81" s="4">
        <f t="shared" ref="R81:R85" si="29">14*Q81-P81-O81-F81</f>
        <v>14.399999999999995</v>
      </c>
      <c r="S81" s="4"/>
      <c r="T81" s="4">
        <f t="shared" si="22"/>
        <v>14.399999999999995</v>
      </c>
      <c r="U81" s="4">
        <f t="shared" si="23"/>
        <v>14.399999999999995</v>
      </c>
      <c r="V81" s="4"/>
      <c r="W81" s="4"/>
      <c r="X81" s="18"/>
      <c r="Y81" s="18"/>
      <c r="Z81" s="18">
        <f t="shared" si="24"/>
        <v>14</v>
      </c>
      <c r="AA81" s="18">
        <f t="shared" si="21"/>
        <v>11.67741935483871</v>
      </c>
      <c r="AB81" s="18">
        <v>6</v>
      </c>
      <c r="AC81" s="18">
        <v>5.2</v>
      </c>
      <c r="AD81" s="18">
        <v>4.5999999999999996</v>
      </c>
      <c r="AE81" s="18">
        <v>3.2</v>
      </c>
      <c r="AF81" s="18">
        <v>4.2</v>
      </c>
      <c r="AG81" s="18">
        <v>5</v>
      </c>
      <c r="AH81" s="18">
        <v>7.8</v>
      </c>
      <c r="AI81" s="18">
        <v>6.6</v>
      </c>
      <c r="AJ81" s="18"/>
      <c r="AK81" s="18">
        <f t="shared" si="25"/>
        <v>1</v>
      </c>
      <c r="AL81" s="18">
        <f t="shared" si="26"/>
        <v>0</v>
      </c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</row>
    <row r="82" spans="1:55" x14ac:dyDescent="0.25">
      <c r="A82" s="18" t="s">
        <v>128</v>
      </c>
      <c r="B82" s="18" t="s">
        <v>43</v>
      </c>
      <c r="C82" s="18">
        <v>14</v>
      </c>
      <c r="D82" s="18">
        <v>36</v>
      </c>
      <c r="E82" s="18">
        <v>33</v>
      </c>
      <c r="F82" s="18">
        <v>17</v>
      </c>
      <c r="G82" s="7">
        <v>7.0000000000000007E-2</v>
      </c>
      <c r="H82" s="18">
        <v>90</v>
      </c>
      <c r="I82" s="18" t="s">
        <v>38</v>
      </c>
      <c r="J82" s="18"/>
      <c r="K82" s="18">
        <v>38</v>
      </c>
      <c r="L82" s="18">
        <f t="shared" si="19"/>
        <v>-5</v>
      </c>
      <c r="M82" s="18"/>
      <c r="N82" s="18"/>
      <c r="O82" s="18">
        <v>59</v>
      </c>
      <c r="P82" s="18">
        <v>58.919999999999987</v>
      </c>
      <c r="Q82" s="18">
        <f t="shared" si="20"/>
        <v>6.6</v>
      </c>
      <c r="R82" s="4"/>
      <c r="S82" s="4"/>
      <c r="T82" s="4">
        <f t="shared" si="22"/>
        <v>0</v>
      </c>
      <c r="U82" s="4">
        <f t="shared" si="23"/>
        <v>0</v>
      </c>
      <c r="V82" s="4"/>
      <c r="W82" s="4"/>
      <c r="X82" s="18"/>
      <c r="Y82" s="18"/>
      <c r="Z82" s="18">
        <f t="shared" si="24"/>
        <v>20.442424242424241</v>
      </c>
      <c r="AA82" s="18">
        <f t="shared" si="21"/>
        <v>20.442424242424241</v>
      </c>
      <c r="AB82" s="18">
        <v>9.8000000000000007</v>
      </c>
      <c r="AC82" s="18">
        <v>8.6</v>
      </c>
      <c r="AD82" s="18">
        <v>5.6</v>
      </c>
      <c r="AE82" s="18">
        <v>5.6</v>
      </c>
      <c r="AF82" s="18">
        <v>5.6</v>
      </c>
      <c r="AG82" s="18">
        <v>5</v>
      </c>
      <c r="AH82" s="18">
        <v>8.1999999999999993</v>
      </c>
      <c r="AI82" s="18">
        <v>7.8</v>
      </c>
      <c r="AJ82" s="18"/>
      <c r="AK82" s="18">
        <f t="shared" si="25"/>
        <v>0</v>
      </c>
      <c r="AL82" s="18">
        <f t="shared" si="26"/>
        <v>0</v>
      </c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</row>
    <row r="83" spans="1:55" x14ac:dyDescent="0.25">
      <c r="A83" s="18" t="s">
        <v>129</v>
      </c>
      <c r="B83" s="18" t="s">
        <v>43</v>
      </c>
      <c r="C83" s="18">
        <v>17</v>
      </c>
      <c r="D83" s="18">
        <v>18</v>
      </c>
      <c r="E83" s="18">
        <v>17</v>
      </c>
      <c r="F83" s="18">
        <v>18</v>
      </c>
      <c r="G83" s="7">
        <v>7.0000000000000007E-2</v>
      </c>
      <c r="H83" s="18">
        <v>90</v>
      </c>
      <c r="I83" s="18" t="s">
        <v>38</v>
      </c>
      <c r="J83" s="18"/>
      <c r="K83" s="18">
        <v>28</v>
      </c>
      <c r="L83" s="18">
        <f t="shared" si="19"/>
        <v>-11</v>
      </c>
      <c r="M83" s="18"/>
      <c r="N83" s="18"/>
      <c r="O83" s="18">
        <v>37.199999999999989</v>
      </c>
      <c r="P83" s="18">
        <v>38.800000000000011</v>
      </c>
      <c r="Q83" s="18">
        <f t="shared" si="20"/>
        <v>3.4</v>
      </c>
      <c r="R83" s="4"/>
      <c r="S83" s="4"/>
      <c r="T83" s="4">
        <f t="shared" si="22"/>
        <v>0</v>
      </c>
      <c r="U83" s="4">
        <f t="shared" si="23"/>
        <v>0</v>
      </c>
      <c r="V83" s="4"/>
      <c r="W83" s="4"/>
      <c r="X83" s="18"/>
      <c r="Y83" s="18"/>
      <c r="Z83" s="18">
        <f t="shared" si="24"/>
        <v>27.647058823529413</v>
      </c>
      <c r="AA83" s="18">
        <f t="shared" si="21"/>
        <v>27.647058823529413</v>
      </c>
      <c r="AB83" s="18">
        <v>6</v>
      </c>
      <c r="AC83" s="18">
        <v>5.6</v>
      </c>
      <c r="AD83" s="18">
        <v>4</v>
      </c>
      <c r="AE83" s="18">
        <v>1.8</v>
      </c>
      <c r="AF83" s="18">
        <v>2.8</v>
      </c>
      <c r="AG83" s="18">
        <v>4.2</v>
      </c>
      <c r="AH83" s="18">
        <v>3.8</v>
      </c>
      <c r="AI83" s="18">
        <v>5.2</v>
      </c>
      <c r="AJ83" s="18"/>
      <c r="AK83" s="18">
        <f t="shared" si="25"/>
        <v>0</v>
      </c>
      <c r="AL83" s="18">
        <f t="shared" si="26"/>
        <v>0</v>
      </c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</row>
    <row r="84" spans="1:55" x14ac:dyDescent="0.25">
      <c r="A84" s="18" t="s">
        <v>130</v>
      </c>
      <c r="B84" s="18" t="s">
        <v>43</v>
      </c>
      <c r="C84" s="18">
        <v>28</v>
      </c>
      <c r="D84" s="18">
        <v>74</v>
      </c>
      <c r="E84" s="18">
        <v>32</v>
      </c>
      <c r="F84" s="18">
        <v>70</v>
      </c>
      <c r="G84" s="7">
        <v>0.05</v>
      </c>
      <c r="H84" s="18">
        <v>90</v>
      </c>
      <c r="I84" s="18" t="s">
        <v>38</v>
      </c>
      <c r="J84" s="18"/>
      <c r="K84" s="18">
        <v>32</v>
      </c>
      <c r="L84" s="18">
        <f t="shared" si="19"/>
        <v>0</v>
      </c>
      <c r="M84" s="18"/>
      <c r="N84" s="18"/>
      <c r="O84" s="18">
        <v>22.2</v>
      </c>
      <c r="P84" s="18">
        <v>15</v>
      </c>
      <c r="Q84" s="18">
        <f t="shared" si="20"/>
        <v>6.4</v>
      </c>
      <c r="R84" s="4"/>
      <c r="S84" s="4"/>
      <c r="T84" s="4">
        <f t="shared" si="22"/>
        <v>0</v>
      </c>
      <c r="U84" s="4">
        <f t="shared" si="23"/>
        <v>0</v>
      </c>
      <c r="V84" s="4"/>
      <c r="W84" s="4"/>
      <c r="X84" s="18"/>
      <c r="Y84" s="18"/>
      <c r="Z84" s="18">
        <f t="shared" si="24"/>
        <v>16.75</v>
      </c>
      <c r="AA84" s="18">
        <f t="shared" si="21"/>
        <v>16.75</v>
      </c>
      <c r="AB84" s="18">
        <v>7</v>
      </c>
      <c r="AC84" s="18">
        <v>7.2</v>
      </c>
      <c r="AD84" s="18">
        <v>7.2</v>
      </c>
      <c r="AE84" s="18">
        <v>6.2</v>
      </c>
      <c r="AF84" s="18">
        <v>3.6</v>
      </c>
      <c r="AG84" s="18">
        <v>3.2</v>
      </c>
      <c r="AH84" s="18">
        <v>5.6</v>
      </c>
      <c r="AI84" s="18">
        <v>6.6</v>
      </c>
      <c r="AJ84" s="18"/>
      <c r="AK84" s="18">
        <f t="shared" si="25"/>
        <v>0</v>
      </c>
      <c r="AL84" s="18">
        <f t="shared" si="26"/>
        <v>0</v>
      </c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</row>
    <row r="85" spans="1:55" x14ac:dyDescent="0.25">
      <c r="A85" s="18" t="s">
        <v>131</v>
      </c>
      <c r="B85" s="18" t="s">
        <v>43</v>
      </c>
      <c r="C85" s="18">
        <v>69</v>
      </c>
      <c r="D85" s="18">
        <v>2</v>
      </c>
      <c r="E85" s="18">
        <v>38</v>
      </c>
      <c r="F85" s="18">
        <v>33</v>
      </c>
      <c r="G85" s="7">
        <v>0.05</v>
      </c>
      <c r="H85" s="18">
        <v>90</v>
      </c>
      <c r="I85" s="18" t="s">
        <v>38</v>
      </c>
      <c r="J85" s="18"/>
      <c r="K85" s="18">
        <v>38</v>
      </c>
      <c r="L85" s="18">
        <f t="shared" si="19"/>
        <v>0</v>
      </c>
      <c r="M85" s="18"/>
      <c r="N85" s="18"/>
      <c r="O85" s="18">
        <v>0</v>
      </c>
      <c r="P85" s="18">
        <v>66.2</v>
      </c>
      <c r="Q85" s="18">
        <f t="shared" si="20"/>
        <v>7.6</v>
      </c>
      <c r="R85" s="4">
        <f t="shared" si="29"/>
        <v>7.1999999999999886</v>
      </c>
      <c r="S85" s="4"/>
      <c r="T85" s="4">
        <f t="shared" si="22"/>
        <v>7.1999999999999886</v>
      </c>
      <c r="U85" s="4">
        <f t="shared" si="23"/>
        <v>7.1999999999999886</v>
      </c>
      <c r="V85" s="4"/>
      <c r="W85" s="4"/>
      <c r="X85" s="18"/>
      <c r="Y85" s="18"/>
      <c r="Z85" s="18">
        <f t="shared" si="24"/>
        <v>14</v>
      </c>
      <c r="AA85" s="18">
        <f t="shared" si="21"/>
        <v>13.05263157894737</v>
      </c>
      <c r="AB85" s="18">
        <v>8</v>
      </c>
      <c r="AC85" s="18">
        <v>5.2</v>
      </c>
      <c r="AD85" s="18">
        <v>6</v>
      </c>
      <c r="AE85" s="18">
        <v>5.2</v>
      </c>
      <c r="AF85" s="18">
        <v>3.2</v>
      </c>
      <c r="AG85" s="18">
        <v>3.6</v>
      </c>
      <c r="AH85" s="18">
        <v>4</v>
      </c>
      <c r="AI85" s="18">
        <v>5.8</v>
      </c>
      <c r="AJ85" s="18"/>
      <c r="AK85" s="18">
        <f t="shared" si="25"/>
        <v>0</v>
      </c>
      <c r="AL85" s="18">
        <f t="shared" si="26"/>
        <v>0</v>
      </c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</row>
    <row r="86" spans="1:55" x14ac:dyDescent="0.25">
      <c r="A86" s="18" t="s">
        <v>132</v>
      </c>
      <c r="B86" s="18" t="s">
        <v>43</v>
      </c>
      <c r="C86" s="18">
        <v>83</v>
      </c>
      <c r="D86" s="18"/>
      <c r="E86" s="18">
        <v>27</v>
      </c>
      <c r="F86" s="18">
        <v>56</v>
      </c>
      <c r="G86" s="7">
        <v>5.5E-2</v>
      </c>
      <c r="H86" s="18">
        <v>90</v>
      </c>
      <c r="I86" s="18" t="s">
        <v>38</v>
      </c>
      <c r="J86" s="18"/>
      <c r="K86" s="18">
        <v>27</v>
      </c>
      <c r="L86" s="18">
        <f t="shared" si="19"/>
        <v>0</v>
      </c>
      <c r="M86" s="18"/>
      <c r="N86" s="18"/>
      <c r="O86" s="18">
        <v>0</v>
      </c>
      <c r="P86" s="18">
        <v>27</v>
      </c>
      <c r="Q86" s="18">
        <f t="shared" si="20"/>
        <v>5.4</v>
      </c>
      <c r="R86" s="4"/>
      <c r="S86" s="4"/>
      <c r="T86" s="4">
        <f t="shared" si="22"/>
        <v>0</v>
      </c>
      <c r="U86" s="4">
        <f t="shared" si="23"/>
        <v>0</v>
      </c>
      <c r="V86" s="4"/>
      <c r="W86" s="4"/>
      <c r="X86" s="18"/>
      <c r="Y86" s="18"/>
      <c r="Z86" s="18">
        <f t="shared" si="24"/>
        <v>15.37037037037037</v>
      </c>
      <c r="AA86" s="18">
        <f t="shared" si="21"/>
        <v>15.37037037037037</v>
      </c>
      <c r="AB86" s="18">
        <v>6</v>
      </c>
      <c r="AC86" s="18">
        <v>5.4</v>
      </c>
      <c r="AD86" s="18">
        <v>6.4</v>
      </c>
      <c r="AE86" s="18">
        <v>5.2</v>
      </c>
      <c r="AF86" s="18">
        <v>2.6</v>
      </c>
      <c r="AG86" s="18">
        <v>3.2</v>
      </c>
      <c r="AH86" s="18">
        <v>3.2</v>
      </c>
      <c r="AI86" s="18">
        <v>3.2</v>
      </c>
      <c r="AJ86" s="18"/>
      <c r="AK86" s="18">
        <f t="shared" si="25"/>
        <v>0</v>
      </c>
      <c r="AL86" s="18">
        <f t="shared" si="26"/>
        <v>0</v>
      </c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</row>
    <row r="87" spans="1:55" x14ac:dyDescent="0.25">
      <c r="A87" s="11" t="s">
        <v>133</v>
      </c>
      <c r="B87" s="11" t="s">
        <v>43</v>
      </c>
      <c r="C87" s="11">
        <v>13</v>
      </c>
      <c r="D87" s="11"/>
      <c r="E87" s="11"/>
      <c r="F87" s="11">
        <v>13</v>
      </c>
      <c r="G87" s="12">
        <v>0</v>
      </c>
      <c r="H87" s="11">
        <v>120</v>
      </c>
      <c r="I87" s="11" t="s">
        <v>134</v>
      </c>
      <c r="J87" s="11"/>
      <c r="K87" s="11"/>
      <c r="L87" s="11">
        <f t="shared" si="19"/>
        <v>0</v>
      </c>
      <c r="M87" s="11"/>
      <c r="N87" s="11"/>
      <c r="O87" s="11">
        <v>0</v>
      </c>
      <c r="P87" s="11">
        <v>0</v>
      </c>
      <c r="Q87" s="11">
        <f t="shared" si="20"/>
        <v>0</v>
      </c>
      <c r="R87" s="13"/>
      <c r="S87" s="13"/>
      <c r="T87" s="4">
        <f t="shared" si="22"/>
        <v>0</v>
      </c>
      <c r="U87" s="4">
        <f t="shared" si="23"/>
        <v>0</v>
      </c>
      <c r="V87" s="4"/>
      <c r="W87" s="13"/>
      <c r="X87" s="11"/>
      <c r="Y87" s="11"/>
      <c r="Z87" s="18" t="e">
        <f t="shared" si="24"/>
        <v>#DIV/0!</v>
      </c>
      <c r="AA87" s="11" t="e">
        <f t="shared" si="21"/>
        <v>#DIV/0!</v>
      </c>
      <c r="AB87" s="11">
        <v>0</v>
      </c>
      <c r="AC87" s="11">
        <v>1</v>
      </c>
      <c r="AD87" s="11">
        <v>2.6</v>
      </c>
      <c r="AE87" s="11">
        <v>2</v>
      </c>
      <c r="AF87" s="11">
        <v>0.4</v>
      </c>
      <c r="AG87" s="11">
        <v>0</v>
      </c>
      <c r="AH87" s="11">
        <v>0.6</v>
      </c>
      <c r="AI87" s="11">
        <v>0.6</v>
      </c>
      <c r="AJ87" s="11"/>
      <c r="AK87" s="18">
        <f t="shared" si="25"/>
        <v>0</v>
      </c>
      <c r="AL87" s="18">
        <f t="shared" si="26"/>
        <v>0</v>
      </c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</row>
    <row r="88" spans="1:55" x14ac:dyDescent="0.25">
      <c r="A88" s="18" t="s">
        <v>135</v>
      </c>
      <c r="B88" s="18" t="s">
        <v>37</v>
      </c>
      <c r="C88" s="18">
        <v>400.351</v>
      </c>
      <c r="D88" s="18">
        <v>484.38900000000001</v>
      </c>
      <c r="E88" s="18">
        <v>431.39600000000002</v>
      </c>
      <c r="F88" s="18">
        <v>447.88799999999998</v>
      </c>
      <c r="G88" s="7">
        <v>1</v>
      </c>
      <c r="H88" s="18">
        <v>40</v>
      </c>
      <c r="I88" s="18" t="s">
        <v>38</v>
      </c>
      <c r="J88" s="18"/>
      <c r="K88" s="18">
        <v>386.41</v>
      </c>
      <c r="L88" s="18">
        <f t="shared" si="19"/>
        <v>44.98599999999999</v>
      </c>
      <c r="M88" s="18"/>
      <c r="N88" s="18"/>
      <c r="O88" s="18">
        <v>136.93660000000031</v>
      </c>
      <c r="P88" s="18">
        <v>476.25835999999981</v>
      </c>
      <c r="Q88" s="18">
        <f t="shared" si="20"/>
        <v>86.279200000000003</v>
      </c>
      <c r="R88" s="4"/>
      <c r="S88" s="4"/>
      <c r="T88" s="4">
        <f t="shared" si="22"/>
        <v>0</v>
      </c>
      <c r="U88" s="4">
        <f t="shared" si="23"/>
        <v>0</v>
      </c>
      <c r="V88" s="4"/>
      <c r="W88" s="4"/>
      <c r="X88" s="18"/>
      <c r="Y88" s="18"/>
      <c r="Z88" s="18">
        <f t="shared" si="24"/>
        <v>12.29824754981502</v>
      </c>
      <c r="AA88" s="18">
        <f t="shared" si="21"/>
        <v>12.29824754981502</v>
      </c>
      <c r="AB88" s="18">
        <v>92.022400000000005</v>
      </c>
      <c r="AC88" s="18">
        <v>83.626400000000004</v>
      </c>
      <c r="AD88" s="18">
        <v>92.351199999999992</v>
      </c>
      <c r="AE88" s="18">
        <v>84.256200000000007</v>
      </c>
      <c r="AF88" s="18">
        <v>83.1494</v>
      </c>
      <c r="AG88" s="18">
        <v>92.073400000000007</v>
      </c>
      <c r="AH88" s="18">
        <v>78.230199999999996</v>
      </c>
      <c r="AI88" s="18">
        <v>77.002399999999994</v>
      </c>
      <c r="AJ88" s="18" t="s">
        <v>49</v>
      </c>
      <c r="AK88" s="18">
        <f t="shared" si="25"/>
        <v>0</v>
      </c>
      <c r="AL88" s="18">
        <f t="shared" si="26"/>
        <v>0</v>
      </c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</row>
    <row r="89" spans="1:55" x14ac:dyDescent="0.25">
      <c r="A89" s="10" t="s">
        <v>136</v>
      </c>
      <c r="B89" s="18" t="s">
        <v>37</v>
      </c>
      <c r="C89" s="18"/>
      <c r="D89" s="18"/>
      <c r="E89" s="18">
        <v>-3.5939999999999999</v>
      </c>
      <c r="F89" s="18"/>
      <c r="G89" s="7">
        <v>1</v>
      </c>
      <c r="H89" s="18">
        <v>60</v>
      </c>
      <c r="I89" s="18" t="s">
        <v>38</v>
      </c>
      <c r="J89" s="18"/>
      <c r="K89" s="18"/>
      <c r="L89" s="18">
        <f t="shared" si="19"/>
        <v>-3.5939999999999999</v>
      </c>
      <c r="M89" s="18"/>
      <c r="N89" s="18"/>
      <c r="O89" s="18"/>
      <c r="P89" s="10"/>
      <c r="Q89" s="18">
        <f t="shared" si="20"/>
        <v>-0.71879999999999999</v>
      </c>
      <c r="R89" s="17">
        <v>4</v>
      </c>
      <c r="S89" s="17"/>
      <c r="T89" s="4">
        <f t="shared" si="22"/>
        <v>4</v>
      </c>
      <c r="U89" s="4">
        <f t="shared" si="23"/>
        <v>4</v>
      </c>
      <c r="V89" s="4"/>
      <c r="W89" s="4"/>
      <c r="X89" s="18"/>
      <c r="Y89" s="18"/>
      <c r="Z89" s="18">
        <f t="shared" si="24"/>
        <v>-5.5648302726766836</v>
      </c>
      <c r="AA89" s="18">
        <f t="shared" si="21"/>
        <v>0</v>
      </c>
      <c r="AB89" s="18">
        <v>0</v>
      </c>
      <c r="AC89" s="18">
        <v>0</v>
      </c>
      <c r="AD89" s="18">
        <v>0</v>
      </c>
      <c r="AE89" s="18">
        <v>-0.83520000000000005</v>
      </c>
      <c r="AF89" s="18">
        <v>-0.83520000000000005</v>
      </c>
      <c r="AG89" s="18">
        <v>-0.68879999999999997</v>
      </c>
      <c r="AH89" s="18">
        <v>-0.47920000000000001</v>
      </c>
      <c r="AI89" s="18">
        <v>-0.3604</v>
      </c>
      <c r="AJ89" s="10" t="s">
        <v>137</v>
      </c>
      <c r="AK89" s="18">
        <f t="shared" si="25"/>
        <v>4</v>
      </c>
      <c r="AL89" s="18">
        <f t="shared" si="26"/>
        <v>0</v>
      </c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</row>
    <row r="90" spans="1:55" x14ac:dyDescent="0.25">
      <c r="A90" s="18" t="s">
        <v>138</v>
      </c>
      <c r="B90" s="18" t="s">
        <v>43</v>
      </c>
      <c r="C90" s="18"/>
      <c r="D90" s="18"/>
      <c r="E90" s="18"/>
      <c r="F90" s="18"/>
      <c r="G90" s="7">
        <v>0.6</v>
      </c>
      <c r="H90" s="18">
        <v>60</v>
      </c>
      <c r="I90" s="18" t="s">
        <v>38</v>
      </c>
      <c r="J90" s="18"/>
      <c r="K90" s="18"/>
      <c r="L90" s="18">
        <f t="shared" si="19"/>
        <v>0</v>
      </c>
      <c r="M90" s="18"/>
      <c r="N90" s="18"/>
      <c r="O90" s="18">
        <v>60</v>
      </c>
      <c r="P90" s="18">
        <v>0</v>
      </c>
      <c r="Q90" s="18">
        <f t="shared" si="20"/>
        <v>0</v>
      </c>
      <c r="R90" s="4"/>
      <c r="S90" s="4"/>
      <c r="T90" s="4">
        <f t="shared" si="22"/>
        <v>0</v>
      </c>
      <c r="U90" s="4">
        <f t="shared" si="23"/>
        <v>0</v>
      </c>
      <c r="V90" s="4"/>
      <c r="W90" s="4"/>
      <c r="X90" s="18"/>
      <c r="Y90" s="18"/>
      <c r="Z90" s="18" t="e">
        <f t="shared" si="24"/>
        <v>#DIV/0!</v>
      </c>
      <c r="AA90" s="18" t="e">
        <f t="shared" si="21"/>
        <v>#DIV/0!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 t="s">
        <v>139</v>
      </c>
      <c r="AK90" s="18">
        <f t="shared" si="25"/>
        <v>0</v>
      </c>
      <c r="AL90" s="18">
        <f t="shared" si="26"/>
        <v>0</v>
      </c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</row>
    <row r="91" spans="1:55" x14ac:dyDescent="0.25">
      <c r="A91" s="18" t="s">
        <v>140</v>
      </c>
      <c r="B91" s="18" t="s">
        <v>43</v>
      </c>
      <c r="C91" s="18">
        <v>125</v>
      </c>
      <c r="D91" s="18">
        <v>70</v>
      </c>
      <c r="E91" s="18">
        <v>124</v>
      </c>
      <c r="F91" s="18">
        <v>54</v>
      </c>
      <c r="G91" s="7">
        <v>0.3</v>
      </c>
      <c r="H91" s="18">
        <v>40</v>
      </c>
      <c r="I91" s="18" t="s">
        <v>38</v>
      </c>
      <c r="J91" s="18"/>
      <c r="K91" s="18">
        <v>141</v>
      </c>
      <c r="L91" s="18">
        <f t="shared" si="19"/>
        <v>-17</v>
      </c>
      <c r="M91" s="18"/>
      <c r="N91" s="18"/>
      <c r="O91" s="18">
        <v>56.800000000000011</v>
      </c>
      <c r="P91" s="18">
        <v>151.15999999999991</v>
      </c>
      <c r="Q91" s="18">
        <f t="shared" si="20"/>
        <v>24.8</v>
      </c>
      <c r="R91" s="4">
        <f>12*Q91-P91-O91-F91</f>
        <v>35.6400000000001</v>
      </c>
      <c r="S91" s="4"/>
      <c r="T91" s="4">
        <f t="shared" si="22"/>
        <v>35.6400000000001</v>
      </c>
      <c r="U91" s="4">
        <f t="shared" si="23"/>
        <v>35.6400000000001</v>
      </c>
      <c r="V91" s="4"/>
      <c r="W91" s="4"/>
      <c r="X91" s="18"/>
      <c r="Y91" s="18"/>
      <c r="Z91" s="18">
        <f t="shared" si="24"/>
        <v>12</v>
      </c>
      <c r="AA91" s="18">
        <f t="shared" si="21"/>
        <v>10.562903225806448</v>
      </c>
      <c r="AB91" s="18">
        <v>24.4</v>
      </c>
      <c r="AC91" s="18">
        <v>19.8</v>
      </c>
      <c r="AD91" s="18">
        <v>19.8</v>
      </c>
      <c r="AE91" s="18">
        <v>21.2</v>
      </c>
      <c r="AF91" s="18">
        <v>23</v>
      </c>
      <c r="AG91" s="18">
        <v>17</v>
      </c>
      <c r="AH91" s="18">
        <v>17.8</v>
      </c>
      <c r="AI91" s="18">
        <v>18.399999999999999</v>
      </c>
      <c r="AJ91" s="18"/>
      <c r="AK91" s="18">
        <f t="shared" si="25"/>
        <v>11</v>
      </c>
      <c r="AL91" s="18">
        <f t="shared" si="26"/>
        <v>0</v>
      </c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</row>
    <row r="92" spans="1:55" x14ac:dyDescent="0.25">
      <c r="A92" s="18" t="s">
        <v>141</v>
      </c>
      <c r="B92" s="18" t="s">
        <v>43</v>
      </c>
      <c r="C92" s="18">
        <v>58</v>
      </c>
      <c r="D92" s="18">
        <v>67</v>
      </c>
      <c r="E92" s="18">
        <v>79</v>
      </c>
      <c r="F92" s="18">
        <v>40</v>
      </c>
      <c r="G92" s="7">
        <v>0.3</v>
      </c>
      <c r="H92" s="18">
        <v>40</v>
      </c>
      <c r="I92" s="18" t="s">
        <v>38</v>
      </c>
      <c r="J92" s="18"/>
      <c r="K92" s="18">
        <v>88</v>
      </c>
      <c r="L92" s="18">
        <f t="shared" si="19"/>
        <v>-9</v>
      </c>
      <c r="M92" s="18"/>
      <c r="N92" s="18"/>
      <c r="O92" s="18">
        <v>163.4</v>
      </c>
      <c r="P92" s="18">
        <v>114.24</v>
      </c>
      <c r="Q92" s="18">
        <f t="shared" si="20"/>
        <v>15.8</v>
      </c>
      <c r="R92" s="4"/>
      <c r="S92" s="4"/>
      <c r="T92" s="4">
        <f t="shared" si="22"/>
        <v>0</v>
      </c>
      <c r="U92" s="4">
        <f t="shared" si="23"/>
        <v>0</v>
      </c>
      <c r="V92" s="4"/>
      <c r="W92" s="4"/>
      <c r="X92" s="18"/>
      <c r="Y92" s="18"/>
      <c r="Z92" s="18">
        <f t="shared" si="24"/>
        <v>20.103797468354429</v>
      </c>
      <c r="AA92" s="18">
        <f t="shared" si="21"/>
        <v>20.103797468354429</v>
      </c>
      <c r="AB92" s="18">
        <v>26.6</v>
      </c>
      <c r="AC92" s="18">
        <v>24.8</v>
      </c>
      <c r="AD92" s="18">
        <v>16.399999999999999</v>
      </c>
      <c r="AE92" s="18">
        <v>16.399999999999999</v>
      </c>
      <c r="AF92" s="18">
        <v>19.600000000000001</v>
      </c>
      <c r="AG92" s="18">
        <v>21.8</v>
      </c>
      <c r="AH92" s="18">
        <v>18.399999999999999</v>
      </c>
      <c r="AI92" s="18">
        <v>10.8</v>
      </c>
      <c r="AJ92" s="18"/>
      <c r="AK92" s="18">
        <f t="shared" si="25"/>
        <v>0</v>
      </c>
      <c r="AL92" s="18">
        <f t="shared" si="26"/>
        <v>0</v>
      </c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</row>
    <row r="93" spans="1:55" x14ac:dyDescent="0.25">
      <c r="A93" s="18" t="s">
        <v>142</v>
      </c>
      <c r="B93" s="18" t="s">
        <v>37</v>
      </c>
      <c r="C93" s="18">
        <v>42.531999999999996</v>
      </c>
      <c r="D93" s="18">
        <v>21.834</v>
      </c>
      <c r="E93" s="18">
        <v>12.307</v>
      </c>
      <c r="F93" s="18">
        <v>49.302999999999997</v>
      </c>
      <c r="G93" s="7">
        <v>1</v>
      </c>
      <c r="H93" s="18">
        <v>50</v>
      </c>
      <c r="I93" s="18" t="s">
        <v>38</v>
      </c>
      <c r="J93" s="18"/>
      <c r="K93" s="18">
        <v>13.1</v>
      </c>
      <c r="L93" s="18">
        <f t="shared" si="19"/>
        <v>-0.79299999999999926</v>
      </c>
      <c r="M93" s="18"/>
      <c r="N93" s="18"/>
      <c r="O93" s="18">
        <v>0</v>
      </c>
      <c r="P93" s="18">
        <v>0</v>
      </c>
      <c r="Q93" s="18">
        <f t="shared" si="20"/>
        <v>2.4614000000000003</v>
      </c>
      <c r="R93" s="4"/>
      <c r="S93" s="4"/>
      <c r="T93" s="4">
        <f t="shared" si="22"/>
        <v>0</v>
      </c>
      <c r="U93" s="4">
        <f t="shared" si="23"/>
        <v>0</v>
      </c>
      <c r="V93" s="4"/>
      <c r="W93" s="4"/>
      <c r="X93" s="18"/>
      <c r="Y93" s="18"/>
      <c r="Z93" s="18">
        <f t="shared" si="24"/>
        <v>20.030470463963596</v>
      </c>
      <c r="AA93" s="18">
        <f t="shared" si="21"/>
        <v>20.030470463963596</v>
      </c>
      <c r="AB93" s="18">
        <v>2.4756</v>
      </c>
      <c r="AC93" s="18">
        <v>2.7784</v>
      </c>
      <c r="AD93" s="18">
        <v>2.5097999999999998</v>
      </c>
      <c r="AE93" s="18">
        <v>5.2302</v>
      </c>
      <c r="AF93" s="18">
        <v>5.5101999999999993</v>
      </c>
      <c r="AG93" s="18">
        <v>2.7622</v>
      </c>
      <c r="AH93" s="18">
        <v>3.2997999999999998</v>
      </c>
      <c r="AI93" s="18">
        <v>3.7410000000000001</v>
      </c>
      <c r="AJ93" s="18"/>
      <c r="AK93" s="18">
        <f t="shared" si="25"/>
        <v>0</v>
      </c>
      <c r="AL93" s="18">
        <f t="shared" si="26"/>
        <v>0</v>
      </c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</row>
    <row r="94" spans="1:55" x14ac:dyDescent="0.25">
      <c r="A94" s="18" t="s">
        <v>143</v>
      </c>
      <c r="B94" s="18" t="s">
        <v>43</v>
      </c>
      <c r="C94" s="18">
        <v>54</v>
      </c>
      <c r="D94" s="18">
        <v>64</v>
      </c>
      <c r="E94" s="18">
        <v>66</v>
      </c>
      <c r="F94" s="18">
        <v>47</v>
      </c>
      <c r="G94" s="7">
        <v>0.3</v>
      </c>
      <c r="H94" s="18">
        <v>40</v>
      </c>
      <c r="I94" s="18" t="s">
        <v>38</v>
      </c>
      <c r="J94" s="18"/>
      <c r="K94" s="18">
        <v>71</v>
      </c>
      <c r="L94" s="18">
        <f t="shared" si="19"/>
        <v>-5</v>
      </c>
      <c r="M94" s="18"/>
      <c r="N94" s="18"/>
      <c r="O94" s="18">
        <v>29.800000000000011</v>
      </c>
      <c r="P94" s="18">
        <v>71.760000000000019</v>
      </c>
      <c r="Q94" s="18">
        <f t="shared" si="20"/>
        <v>13.2</v>
      </c>
      <c r="R94" s="4">
        <f>12*Q94-P94-O94-F94</f>
        <v>9.8399999999999466</v>
      </c>
      <c r="S94" s="4"/>
      <c r="T94" s="4">
        <f t="shared" si="22"/>
        <v>9.8399999999999466</v>
      </c>
      <c r="U94" s="4">
        <f t="shared" si="23"/>
        <v>9.8399999999999466</v>
      </c>
      <c r="V94" s="4"/>
      <c r="W94" s="4"/>
      <c r="X94" s="18"/>
      <c r="Y94" s="18"/>
      <c r="Z94" s="18">
        <f t="shared" si="24"/>
        <v>11.999999999999998</v>
      </c>
      <c r="AA94" s="18">
        <f t="shared" si="21"/>
        <v>11.254545454545458</v>
      </c>
      <c r="AB94" s="18">
        <v>13.4</v>
      </c>
      <c r="AC94" s="18">
        <v>11.6</v>
      </c>
      <c r="AD94" s="18">
        <v>12.2</v>
      </c>
      <c r="AE94" s="18">
        <v>11.8</v>
      </c>
      <c r="AF94" s="18">
        <v>12.8</v>
      </c>
      <c r="AG94" s="18">
        <v>10.199999999999999</v>
      </c>
      <c r="AH94" s="18">
        <v>11.4</v>
      </c>
      <c r="AI94" s="18">
        <v>15</v>
      </c>
      <c r="AJ94" s="18"/>
      <c r="AK94" s="18">
        <f t="shared" si="25"/>
        <v>3</v>
      </c>
      <c r="AL94" s="18">
        <f t="shared" si="26"/>
        <v>0</v>
      </c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</row>
    <row r="95" spans="1:55" x14ac:dyDescent="0.25">
      <c r="A95" s="18" t="s">
        <v>144</v>
      </c>
      <c r="B95" s="18" t="s">
        <v>43</v>
      </c>
      <c r="C95" s="18"/>
      <c r="D95" s="18">
        <v>105</v>
      </c>
      <c r="E95" s="18">
        <v>6</v>
      </c>
      <c r="F95" s="18">
        <v>94</v>
      </c>
      <c r="G95" s="7">
        <v>0.12</v>
      </c>
      <c r="H95" s="18">
        <v>45</v>
      </c>
      <c r="I95" s="18" t="s">
        <v>38</v>
      </c>
      <c r="J95" s="18"/>
      <c r="K95" s="18">
        <v>11</v>
      </c>
      <c r="L95" s="18">
        <f t="shared" si="19"/>
        <v>-5</v>
      </c>
      <c r="M95" s="18"/>
      <c r="N95" s="18"/>
      <c r="O95" s="18">
        <v>0</v>
      </c>
      <c r="P95" s="18">
        <v>0</v>
      </c>
      <c r="Q95" s="18">
        <f t="shared" si="20"/>
        <v>1.2</v>
      </c>
      <c r="R95" s="4"/>
      <c r="S95" s="4"/>
      <c r="T95" s="4">
        <f t="shared" si="22"/>
        <v>0</v>
      </c>
      <c r="U95" s="4">
        <f t="shared" si="23"/>
        <v>0</v>
      </c>
      <c r="V95" s="4"/>
      <c r="W95" s="4"/>
      <c r="X95" s="18"/>
      <c r="Y95" s="18"/>
      <c r="Z95" s="18">
        <f t="shared" si="24"/>
        <v>78.333333333333343</v>
      </c>
      <c r="AA95" s="18">
        <f t="shared" si="21"/>
        <v>78.333333333333343</v>
      </c>
      <c r="AB95" s="18">
        <v>0</v>
      </c>
      <c r="AC95" s="18">
        <v>0.4</v>
      </c>
      <c r="AD95" s="18">
        <v>7</v>
      </c>
      <c r="AE95" s="18">
        <v>8.4</v>
      </c>
      <c r="AF95" s="18">
        <v>2.4</v>
      </c>
      <c r="AG95" s="18">
        <v>2.6</v>
      </c>
      <c r="AH95" s="18">
        <v>4.2</v>
      </c>
      <c r="AI95" s="18">
        <v>4.5999999999999996</v>
      </c>
      <c r="AJ95" s="18"/>
      <c r="AK95" s="18">
        <f t="shared" si="25"/>
        <v>0</v>
      </c>
      <c r="AL95" s="18">
        <f t="shared" si="26"/>
        <v>0</v>
      </c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</row>
    <row r="96" spans="1:55" x14ac:dyDescent="0.25">
      <c r="A96" s="18"/>
      <c r="B96" s="18"/>
      <c r="C96" s="18"/>
      <c r="D96" s="18"/>
      <c r="E96" s="18"/>
      <c r="F96" s="18"/>
      <c r="G96" s="7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</row>
    <row r="97" spans="1:55" x14ac:dyDescent="0.25">
      <c r="A97" s="18"/>
      <c r="B97" s="18"/>
      <c r="C97" s="18"/>
      <c r="D97" s="18"/>
      <c r="E97" s="18"/>
      <c r="F97" s="18"/>
      <c r="G97" s="7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</row>
    <row r="98" spans="1:55" x14ac:dyDescent="0.25">
      <c r="A98" s="18"/>
      <c r="B98" s="18"/>
      <c r="C98" s="18"/>
      <c r="D98" s="18"/>
      <c r="E98" s="18"/>
      <c r="F98" s="18"/>
      <c r="G98" s="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</row>
    <row r="99" spans="1:55" x14ac:dyDescent="0.25">
      <c r="A99" s="18"/>
      <c r="B99" s="18"/>
      <c r="C99" s="18"/>
      <c r="D99" s="18"/>
      <c r="E99" s="18"/>
      <c r="F99" s="18"/>
      <c r="G99" s="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</row>
    <row r="100" spans="1:55" x14ac:dyDescent="0.25">
      <c r="A100" s="18"/>
      <c r="B100" s="18"/>
      <c r="C100" s="18"/>
      <c r="D100" s="18"/>
      <c r="E100" s="18"/>
      <c r="F100" s="18"/>
      <c r="G100" s="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</row>
    <row r="101" spans="1:55" x14ac:dyDescent="0.25">
      <c r="A101" s="18"/>
      <c r="B101" s="18"/>
      <c r="C101" s="18"/>
      <c r="D101" s="18"/>
      <c r="E101" s="18"/>
      <c r="F101" s="18"/>
      <c r="G101" s="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</row>
    <row r="102" spans="1:55" x14ac:dyDescent="0.25">
      <c r="A102" s="18"/>
      <c r="B102" s="18"/>
      <c r="C102" s="18"/>
      <c r="D102" s="18"/>
      <c r="E102" s="18"/>
      <c r="F102" s="18"/>
      <c r="G102" s="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</row>
    <row r="103" spans="1:55" x14ac:dyDescent="0.25">
      <c r="A103" s="18"/>
      <c r="B103" s="18"/>
      <c r="C103" s="18"/>
      <c r="D103" s="18"/>
      <c r="E103" s="18"/>
      <c r="F103" s="18"/>
      <c r="G103" s="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</row>
    <row r="104" spans="1:55" x14ac:dyDescent="0.25">
      <c r="A104" s="18"/>
      <c r="B104" s="18"/>
      <c r="C104" s="18"/>
      <c r="D104" s="18"/>
      <c r="E104" s="18"/>
      <c r="F104" s="18"/>
      <c r="G104" s="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</row>
    <row r="105" spans="1:55" x14ac:dyDescent="0.25">
      <c r="A105" s="18"/>
      <c r="B105" s="18"/>
      <c r="C105" s="18"/>
      <c r="D105" s="18"/>
      <c r="E105" s="18"/>
      <c r="F105" s="18"/>
      <c r="G105" s="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</row>
    <row r="106" spans="1:55" x14ac:dyDescent="0.25">
      <c r="A106" s="18"/>
      <c r="B106" s="18"/>
      <c r="C106" s="18"/>
      <c r="D106" s="18"/>
      <c r="E106" s="18"/>
      <c r="F106" s="18"/>
      <c r="G106" s="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</row>
    <row r="107" spans="1:55" x14ac:dyDescent="0.25">
      <c r="A107" s="18"/>
      <c r="B107" s="18"/>
      <c r="C107" s="18"/>
      <c r="D107" s="18"/>
      <c r="E107" s="18"/>
      <c r="F107" s="18"/>
      <c r="G107" s="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</row>
    <row r="108" spans="1:55" x14ac:dyDescent="0.25">
      <c r="A108" s="18"/>
      <c r="B108" s="18"/>
      <c r="C108" s="18"/>
      <c r="D108" s="18"/>
      <c r="E108" s="18"/>
      <c r="F108" s="18"/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</row>
    <row r="109" spans="1:55" x14ac:dyDescent="0.25">
      <c r="A109" s="18"/>
      <c r="B109" s="18"/>
      <c r="C109" s="18"/>
      <c r="D109" s="18"/>
      <c r="E109" s="18"/>
      <c r="F109" s="18"/>
      <c r="G109" s="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</row>
    <row r="110" spans="1:55" x14ac:dyDescent="0.25">
      <c r="A110" s="18"/>
      <c r="B110" s="18"/>
      <c r="C110" s="18"/>
      <c r="D110" s="18"/>
      <c r="E110" s="18"/>
      <c r="F110" s="18"/>
      <c r="G110" s="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</row>
    <row r="111" spans="1:55" x14ac:dyDescent="0.25">
      <c r="A111" s="18"/>
      <c r="B111" s="18"/>
      <c r="C111" s="18"/>
      <c r="D111" s="18"/>
      <c r="E111" s="18"/>
      <c r="F111" s="18"/>
      <c r="G111" s="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</row>
    <row r="112" spans="1:55" x14ac:dyDescent="0.25">
      <c r="A112" s="18"/>
      <c r="B112" s="18"/>
      <c r="C112" s="18"/>
      <c r="D112" s="18"/>
      <c r="E112" s="18"/>
      <c r="F112" s="18"/>
      <c r="G112" s="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</row>
    <row r="113" spans="1:55" x14ac:dyDescent="0.25">
      <c r="A113" s="18"/>
      <c r="B113" s="18"/>
      <c r="C113" s="18"/>
      <c r="D113" s="18"/>
      <c r="E113" s="18"/>
      <c r="F113" s="18"/>
      <c r="G113" s="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</row>
    <row r="114" spans="1:55" x14ac:dyDescent="0.25">
      <c r="A114" s="18"/>
      <c r="B114" s="18"/>
      <c r="C114" s="18"/>
      <c r="D114" s="18"/>
      <c r="E114" s="18"/>
      <c r="F114" s="18"/>
      <c r="G114" s="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</row>
    <row r="115" spans="1:55" x14ac:dyDescent="0.25">
      <c r="A115" s="18"/>
      <c r="B115" s="18"/>
      <c r="C115" s="18"/>
      <c r="D115" s="18"/>
      <c r="E115" s="18"/>
      <c r="F115" s="18"/>
      <c r="G115" s="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</row>
    <row r="116" spans="1:55" x14ac:dyDescent="0.25">
      <c r="A116" s="18"/>
      <c r="B116" s="18"/>
      <c r="C116" s="18"/>
      <c r="D116" s="18"/>
      <c r="E116" s="18"/>
      <c r="F116" s="18"/>
      <c r="G116" s="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</row>
    <row r="117" spans="1:55" x14ac:dyDescent="0.25">
      <c r="A117" s="18"/>
      <c r="B117" s="18"/>
      <c r="C117" s="18"/>
      <c r="D117" s="18"/>
      <c r="E117" s="18"/>
      <c r="F117" s="18"/>
      <c r="G117" s="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</row>
    <row r="118" spans="1:55" x14ac:dyDescent="0.25">
      <c r="A118" s="18"/>
      <c r="B118" s="18"/>
      <c r="C118" s="18"/>
      <c r="D118" s="18"/>
      <c r="E118" s="18"/>
      <c r="F118" s="18"/>
      <c r="G118" s="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</row>
    <row r="119" spans="1:55" x14ac:dyDescent="0.25">
      <c r="A119" s="18"/>
      <c r="B119" s="18"/>
      <c r="C119" s="18"/>
      <c r="D119" s="18"/>
      <c r="E119" s="18"/>
      <c r="F119" s="18"/>
      <c r="G119" s="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</row>
    <row r="120" spans="1:55" x14ac:dyDescent="0.25">
      <c r="A120" s="18"/>
      <c r="B120" s="18"/>
      <c r="C120" s="18"/>
      <c r="D120" s="18"/>
      <c r="E120" s="18"/>
      <c r="F120" s="18"/>
      <c r="G120" s="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</row>
    <row r="121" spans="1:55" x14ac:dyDescent="0.25">
      <c r="A121" s="18"/>
      <c r="B121" s="18"/>
      <c r="C121" s="18"/>
      <c r="D121" s="18"/>
      <c r="E121" s="18"/>
      <c r="F121" s="18"/>
      <c r="G121" s="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</row>
    <row r="122" spans="1:55" x14ac:dyDescent="0.25">
      <c r="A122" s="18"/>
      <c r="B122" s="18"/>
      <c r="C122" s="18"/>
      <c r="D122" s="18"/>
      <c r="E122" s="18"/>
      <c r="F122" s="18"/>
      <c r="G122" s="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</row>
    <row r="123" spans="1:55" x14ac:dyDescent="0.25">
      <c r="A123" s="18"/>
      <c r="B123" s="18"/>
      <c r="C123" s="18"/>
      <c r="D123" s="18"/>
      <c r="E123" s="18"/>
      <c r="F123" s="18"/>
      <c r="G123" s="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</row>
    <row r="124" spans="1:55" x14ac:dyDescent="0.25">
      <c r="A124" s="18"/>
      <c r="B124" s="18"/>
      <c r="C124" s="18"/>
      <c r="D124" s="18"/>
      <c r="E124" s="18"/>
      <c r="F124" s="18"/>
      <c r="G124" s="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</row>
    <row r="125" spans="1:55" x14ac:dyDescent="0.25">
      <c r="A125" s="18"/>
      <c r="B125" s="18"/>
      <c r="C125" s="18"/>
      <c r="D125" s="18"/>
      <c r="E125" s="18"/>
      <c r="F125" s="18"/>
      <c r="G125" s="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</row>
    <row r="126" spans="1:55" x14ac:dyDescent="0.25">
      <c r="A126" s="18"/>
      <c r="B126" s="18"/>
      <c r="C126" s="18"/>
      <c r="D126" s="18"/>
      <c r="E126" s="18"/>
      <c r="F126" s="18"/>
      <c r="G126" s="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</row>
    <row r="127" spans="1:55" x14ac:dyDescent="0.25">
      <c r="A127" s="18"/>
      <c r="B127" s="18"/>
      <c r="C127" s="18"/>
      <c r="D127" s="18"/>
      <c r="E127" s="18"/>
      <c r="F127" s="18"/>
      <c r="G127" s="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</row>
    <row r="128" spans="1:55" x14ac:dyDescent="0.25">
      <c r="A128" s="18"/>
      <c r="B128" s="18"/>
      <c r="C128" s="18"/>
      <c r="D128" s="18"/>
      <c r="E128" s="18"/>
      <c r="F128" s="18"/>
      <c r="G128" s="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</row>
    <row r="129" spans="1:55" x14ac:dyDescent="0.25">
      <c r="A129" s="18"/>
      <c r="B129" s="18"/>
      <c r="C129" s="18"/>
      <c r="D129" s="18"/>
      <c r="E129" s="18"/>
      <c r="F129" s="18"/>
      <c r="G129" s="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</row>
    <row r="130" spans="1:55" x14ac:dyDescent="0.25">
      <c r="A130" s="18"/>
      <c r="B130" s="18"/>
      <c r="C130" s="18"/>
      <c r="D130" s="18"/>
      <c r="E130" s="18"/>
      <c r="F130" s="18"/>
      <c r="G130" s="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</row>
    <row r="131" spans="1:55" x14ac:dyDescent="0.25">
      <c r="A131" s="18"/>
      <c r="B131" s="18"/>
      <c r="C131" s="18"/>
      <c r="D131" s="18"/>
      <c r="E131" s="18"/>
      <c r="F131" s="18"/>
      <c r="G131" s="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</row>
    <row r="132" spans="1:55" x14ac:dyDescent="0.25">
      <c r="A132" s="18"/>
      <c r="B132" s="18"/>
      <c r="C132" s="18"/>
      <c r="D132" s="18"/>
      <c r="E132" s="18"/>
      <c r="F132" s="18"/>
      <c r="G132" s="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</row>
    <row r="133" spans="1:55" x14ac:dyDescent="0.25">
      <c r="A133" s="18"/>
      <c r="B133" s="18"/>
      <c r="C133" s="18"/>
      <c r="D133" s="18"/>
      <c r="E133" s="18"/>
      <c r="F133" s="18"/>
      <c r="G133" s="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</row>
    <row r="134" spans="1:55" x14ac:dyDescent="0.25">
      <c r="A134" s="18"/>
      <c r="B134" s="18"/>
      <c r="C134" s="18"/>
      <c r="D134" s="18"/>
      <c r="E134" s="18"/>
      <c r="F134" s="18"/>
      <c r="G134" s="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</row>
    <row r="135" spans="1:55" x14ac:dyDescent="0.25">
      <c r="A135" s="18"/>
      <c r="B135" s="18"/>
      <c r="C135" s="18"/>
      <c r="D135" s="18"/>
      <c r="E135" s="18"/>
      <c r="F135" s="18"/>
      <c r="G135" s="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</row>
    <row r="136" spans="1:55" x14ac:dyDescent="0.25">
      <c r="A136" s="18"/>
      <c r="B136" s="18"/>
      <c r="C136" s="18"/>
      <c r="D136" s="18"/>
      <c r="E136" s="18"/>
      <c r="F136" s="18"/>
      <c r="G136" s="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</row>
    <row r="137" spans="1:55" x14ac:dyDescent="0.25">
      <c r="A137" s="18"/>
      <c r="B137" s="18"/>
      <c r="C137" s="18"/>
      <c r="D137" s="18"/>
      <c r="E137" s="18"/>
      <c r="F137" s="18"/>
      <c r="G137" s="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</row>
    <row r="138" spans="1:55" x14ac:dyDescent="0.25">
      <c r="A138" s="18"/>
      <c r="B138" s="18"/>
      <c r="C138" s="18"/>
      <c r="D138" s="18"/>
      <c r="E138" s="18"/>
      <c r="F138" s="18"/>
      <c r="G138" s="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</row>
    <row r="139" spans="1:55" x14ac:dyDescent="0.25">
      <c r="A139" s="18"/>
      <c r="B139" s="18"/>
      <c r="C139" s="18"/>
      <c r="D139" s="18"/>
      <c r="E139" s="18"/>
      <c r="F139" s="18"/>
      <c r="G139" s="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</row>
    <row r="140" spans="1:55" x14ac:dyDescent="0.25">
      <c r="A140" s="18"/>
      <c r="B140" s="18"/>
      <c r="C140" s="18"/>
      <c r="D140" s="18"/>
      <c r="E140" s="18"/>
      <c r="F140" s="18"/>
      <c r="G140" s="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</row>
    <row r="141" spans="1:55" x14ac:dyDescent="0.25">
      <c r="A141" s="18"/>
      <c r="B141" s="18"/>
      <c r="C141" s="18"/>
      <c r="D141" s="18"/>
      <c r="E141" s="18"/>
      <c r="F141" s="18"/>
      <c r="G141" s="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</row>
    <row r="142" spans="1:55" x14ac:dyDescent="0.25">
      <c r="A142" s="18"/>
      <c r="B142" s="18"/>
      <c r="C142" s="18"/>
      <c r="D142" s="18"/>
      <c r="E142" s="18"/>
      <c r="F142" s="18"/>
      <c r="G142" s="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</row>
    <row r="143" spans="1:55" x14ac:dyDescent="0.25">
      <c r="A143" s="18"/>
      <c r="B143" s="18"/>
      <c r="C143" s="18"/>
      <c r="D143" s="18"/>
      <c r="E143" s="18"/>
      <c r="F143" s="18"/>
      <c r="G143" s="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</row>
    <row r="144" spans="1:55" x14ac:dyDescent="0.25">
      <c r="A144" s="18"/>
      <c r="B144" s="18"/>
      <c r="C144" s="18"/>
      <c r="D144" s="18"/>
      <c r="E144" s="18"/>
      <c r="F144" s="18"/>
      <c r="G144" s="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</row>
    <row r="145" spans="1:55" x14ac:dyDescent="0.25">
      <c r="A145" s="18"/>
      <c r="B145" s="18"/>
      <c r="C145" s="18"/>
      <c r="D145" s="18"/>
      <c r="E145" s="18"/>
      <c r="F145" s="18"/>
      <c r="G145" s="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</row>
    <row r="146" spans="1:55" x14ac:dyDescent="0.25">
      <c r="A146" s="18"/>
      <c r="B146" s="18"/>
      <c r="C146" s="18"/>
      <c r="D146" s="18"/>
      <c r="E146" s="18"/>
      <c r="F146" s="18"/>
      <c r="G146" s="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</row>
    <row r="147" spans="1:55" x14ac:dyDescent="0.25">
      <c r="A147" s="18"/>
      <c r="B147" s="18"/>
      <c r="C147" s="18"/>
      <c r="D147" s="18"/>
      <c r="E147" s="18"/>
      <c r="F147" s="18"/>
      <c r="G147" s="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</row>
    <row r="148" spans="1:55" x14ac:dyDescent="0.25">
      <c r="A148" s="18"/>
      <c r="B148" s="18"/>
      <c r="C148" s="18"/>
      <c r="D148" s="18"/>
      <c r="E148" s="18"/>
      <c r="F148" s="18"/>
      <c r="G148" s="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</row>
    <row r="149" spans="1:55" x14ac:dyDescent="0.25">
      <c r="A149" s="18"/>
      <c r="B149" s="18"/>
      <c r="C149" s="18"/>
      <c r="D149" s="18"/>
      <c r="E149" s="18"/>
      <c r="F149" s="18"/>
      <c r="G149" s="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</row>
    <row r="150" spans="1:55" x14ac:dyDescent="0.25">
      <c r="A150" s="18"/>
      <c r="B150" s="18"/>
      <c r="C150" s="18"/>
      <c r="D150" s="18"/>
      <c r="E150" s="18"/>
      <c r="F150" s="18"/>
      <c r="G150" s="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</row>
    <row r="151" spans="1:55" x14ac:dyDescent="0.25">
      <c r="A151" s="18"/>
      <c r="B151" s="18"/>
      <c r="C151" s="18"/>
      <c r="D151" s="18"/>
      <c r="E151" s="18"/>
      <c r="F151" s="18"/>
      <c r="G151" s="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</row>
    <row r="152" spans="1:55" x14ac:dyDescent="0.25">
      <c r="A152" s="18"/>
      <c r="B152" s="18"/>
      <c r="C152" s="18"/>
      <c r="D152" s="18"/>
      <c r="E152" s="18"/>
      <c r="F152" s="18"/>
      <c r="G152" s="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</row>
    <row r="153" spans="1:55" x14ac:dyDescent="0.25">
      <c r="A153" s="18"/>
      <c r="B153" s="18"/>
      <c r="C153" s="18"/>
      <c r="D153" s="18"/>
      <c r="E153" s="18"/>
      <c r="F153" s="18"/>
      <c r="G153" s="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</row>
    <row r="154" spans="1:55" x14ac:dyDescent="0.25">
      <c r="A154" s="18"/>
      <c r="B154" s="18"/>
      <c r="C154" s="18"/>
      <c r="D154" s="18"/>
      <c r="E154" s="18"/>
      <c r="F154" s="18"/>
      <c r="G154" s="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</row>
    <row r="155" spans="1:55" x14ac:dyDescent="0.25">
      <c r="A155" s="18"/>
      <c r="B155" s="18"/>
      <c r="C155" s="18"/>
      <c r="D155" s="18"/>
      <c r="E155" s="18"/>
      <c r="F155" s="18"/>
      <c r="G155" s="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</row>
    <row r="156" spans="1:55" x14ac:dyDescent="0.25">
      <c r="A156" s="18"/>
      <c r="B156" s="18"/>
      <c r="C156" s="18"/>
      <c r="D156" s="18"/>
      <c r="E156" s="18"/>
      <c r="F156" s="18"/>
      <c r="G156" s="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</row>
    <row r="157" spans="1:55" x14ac:dyDescent="0.25">
      <c r="A157" s="18"/>
      <c r="B157" s="18"/>
      <c r="C157" s="18"/>
      <c r="D157" s="18"/>
      <c r="E157" s="18"/>
      <c r="F157" s="18"/>
      <c r="G157" s="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</row>
    <row r="158" spans="1:55" x14ac:dyDescent="0.25">
      <c r="A158" s="18"/>
      <c r="B158" s="18"/>
      <c r="C158" s="18"/>
      <c r="D158" s="18"/>
      <c r="E158" s="18"/>
      <c r="F158" s="18"/>
      <c r="G158" s="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</row>
    <row r="159" spans="1:55" x14ac:dyDescent="0.25">
      <c r="A159" s="18"/>
      <c r="B159" s="18"/>
      <c r="C159" s="18"/>
      <c r="D159" s="18"/>
      <c r="E159" s="18"/>
      <c r="F159" s="18"/>
      <c r="G159" s="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</row>
    <row r="160" spans="1:55" x14ac:dyDescent="0.25">
      <c r="A160" s="18"/>
      <c r="B160" s="18"/>
      <c r="C160" s="18"/>
      <c r="D160" s="18"/>
      <c r="E160" s="18"/>
      <c r="F160" s="18"/>
      <c r="G160" s="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</row>
    <row r="161" spans="1:55" x14ac:dyDescent="0.25">
      <c r="A161" s="18"/>
      <c r="B161" s="18"/>
      <c r="C161" s="18"/>
      <c r="D161" s="18"/>
      <c r="E161" s="18"/>
      <c r="F161" s="18"/>
      <c r="G161" s="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</row>
    <row r="162" spans="1:55" x14ac:dyDescent="0.25">
      <c r="A162" s="18"/>
      <c r="B162" s="18"/>
      <c r="C162" s="18"/>
      <c r="D162" s="18"/>
      <c r="E162" s="18"/>
      <c r="F162" s="18"/>
      <c r="G162" s="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</row>
    <row r="163" spans="1:55" x14ac:dyDescent="0.25">
      <c r="A163" s="18"/>
      <c r="B163" s="18"/>
      <c r="C163" s="18"/>
      <c r="D163" s="18"/>
      <c r="E163" s="18"/>
      <c r="F163" s="18"/>
      <c r="G163" s="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</row>
    <row r="164" spans="1:55" x14ac:dyDescent="0.25">
      <c r="A164" s="18"/>
      <c r="B164" s="18"/>
      <c r="C164" s="18"/>
      <c r="D164" s="18"/>
      <c r="E164" s="18"/>
      <c r="F164" s="18"/>
      <c r="G164" s="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</row>
    <row r="165" spans="1:55" x14ac:dyDescent="0.25">
      <c r="A165" s="18"/>
      <c r="B165" s="18"/>
      <c r="C165" s="18"/>
      <c r="D165" s="18"/>
      <c r="E165" s="18"/>
      <c r="F165" s="18"/>
      <c r="G165" s="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</row>
    <row r="166" spans="1:55" x14ac:dyDescent="0.25">
      <c r="A166" s="18"/>
      <c r="B166" s="18"/>
      <c r="C166" s="18"/>
      <c r="D166" s="18"/>
      <c r="E166" s="18"/>
      <c r="F166" s="18"/>
      <c r="G166" s="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</row>
    <row r="167" spans="1:55" x14ac:dyDescent="0.25">
      <c r="A167" s="18"/>
      <c r="B167" s="18"/>
      <c r="C167" s="18"/>
      <c r="D167" s="18"/>
      <c r="E167" s="18"/>
      <c r="F167" s="18"/>
      <c r="G167" s="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</row>
    <row r="168" spans="1:55" x14ac:dyDescent="0.25">
      <c r="A168" s="18"/>
      <c r="B168" s="18"/>
      <c r="C168" s="18"/>
      <c r="D168" s="18"/>
      <c r="E168" s="18"/>
      <c r="F168" s="18"/>
      <c r="G168" s="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</row>
    <row r="169" spans="1:55" x14ac:dyDescent="0.25">
      <c r="A169" s="18"/>
      <c r="B169" s="18"/>
      <c r="C169" s="18"/>
      <c r="D169" s="18"/>
      <c r="E169" s="18"/>
      <c r="F169" s="18"/>
      <c r="G169" s="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</row>
    <row r="170" spans="1:55" x14ac:dyDescent="0.25">
      <c r="A170" s="18"/>
      <c r="B170" s="18"/>
      <c r="C170" s="18"/>
      <c r="D170" s="18"/>
      <c r="E170" s="18"/>
      <c r="F170" s="18"/>
      <c r="G170" s="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</row>
    <row r="171" spans="1:55" x14ac:dyDescent="0.25">
      <c r="A171" s="18"/>
      <c r="B171" s="18"/>
      <c r="C171" s="18"/>
      <c r="D171" s="18"/>
      <c r="E171" s="18"/>
      <c r="F171" s="18"/>
      <c r="G171" s="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</row>
    <row r="172" spans="1:55" x14ac:dyDescent="0.25">
      <c r="A172" s="18"/>
      <c r="B172" s="18"/>
      <c r="C172" s="18"/>
      <c r="D172" s="18"/>
      <c r="E172" s="18"/>
      <c r="F172" s="18"/>
      <c r="G172" s="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</row>
    <row r="173" spans="1:55" x14ac:dyDescent="0.25">
      <c r="A173" s="18"/>
      <c r="B173" s="18"/>
      <c r="C173" s="18"/>
      <c r="D173" s="18"/>
      <c r="E173" s="18"/>
      <c r="F173" s="18"/>
      <c r="G173" s="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</row>
    <row r="174" spans="1:55" x14ac:dyDescent="0.25">
      <c r="A174" s="18"/>
      <c r="B174" s="18"/>
      <c r="C174" s="18"/>
      <c r="D174" s="18"/>
      <c r="E174" s="18"/>
      <c r="F174" s="18"/>
      <c r="G174" s="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</row>
    <row r="175" spans="1:55" x14ac:dyDescent="0.25">
      <c r="A175" s="18"/>
      <c r="B175" s="18"/>
      <c r="C175" s="18"/>
      <c r="D175" s="18"/>
      <c r="E175" s="18"/>
      <c r="F175" s="18"/>
      <c r="G175" s="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</row>
    <row r="176" spans="1:55" x14ac:dyDescent="0.25">
      <c r="A176" s="18"/>
      <c r="B176" s="18"/>
      <c r="C176" s="18"/>
      <c r="D176" s="18"/>
      <c r="E176" s="18"/>
      <c r="F176" s="18"/>
      <c r="G176" s="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</row>
    <row r="177" spans="1:55" x14ac:dyDescent="0.25">
      <c r="A177" s="18"/>
      <c r="B177" s="18"/>
      <c r="C177" s="18"/>
      <c r="D177" s="18"/>
      <c r="E177" s="18"/>
      <c r="F177" s="18"/>
      <c r="G177" s="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</row>
    <row r="178" spans="1:55" x14ac:dyDescent="0.25">
      <c r="A178" s="18"/>
      <c r="B178" s="18"/>
      <c r="C178" s="18"/>
      <c r="D178" s="18"/>
      <c r="E178" s="18"/>
      <c r="F178" s="18"/>
      <c r="G178" s="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</row>
    <row r="179" spans="1:55" x14ac:dyDescent="0.25">
      <c r="A179" s="18"/>
      <c r="B179" s="18"/>
      <c r="C179" s="18"/>
      <c r="D179" s="18"/>
      <c r="E179" s="18"/>
      <c r="F179" s="18"/>
      <c r="G179" s="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</row>
    <row r="180" spans="1:55" x14ac:dyDescent="0.25">
      <c r="A180" s="18"/>
      <c r="B180" s="18"/>
      <c r="C180" s="18"/>
      <c r="D180" s="18"/>
      <c r="E180" s="18"/>
      <c r="F180" s="18"/>
      <c r="G180" s="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</row>
    <row r="181" spans="1:55" x14ac:dyDescent="0.25">
      <c r="A181" s="18"/>
      <c r="B181" s="18"/>
      <c r="C181" s="18"/>
      <c r="D181" s="18"/>
      <c r="E181" s="18"/>
      <c r="F181" s="18"/>
      <c r="G181" s="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</row>
    <row r="182" spans="1:55" x14ac:dyDescent="0.25">
      <c r="A182" s="18"/>
      <c r="B182" s="18"/>
      <c r="C182" s="18"/>
      <c r="D182" s="18"/>
      <c r="E182" s="18"/>
      <c r="F182" s="18"/>
      <c r="G182" s="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</row>
    <row r="183" spans="1:55" x14ac:dyDescent="0.25">
      <c r="A183" s="18"/>
      <c r="B183" s="18"/>
      <c r="C183" s="18"/>
      <c r="D183" s="18"/>
      <c r="E183" s="18"/>
      <c r="F183" s="18"/>
      <c r="G183" s="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</row>
    <row r="184" spans="1:55" x14ac:dyDescent="0.25">
      <c r="A184" s="18"/>
      <c r="B184" s="18"/>
      <c r="C184" s="18"/>
      <c r="D184" s="18"/>
      <c r="E184" s="18"/>
      <c r="F184" s="18"/>
      <c r="G184" s="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</row>
    <row r="185" spans="1:55" x14ac:dyDescent="0.25">
      <c r="A185" s="18"/>
      <c r="B185" s="18"/>
      <c r="C185" s="18"/>
      <c r="D185" s="18"/>
      <c r="E185" s="18"/>
      <c r="F185" s="18"/>
      <c r="G185" s="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</row>
    <row r="186" spans="1:55" x14ac:dyDescent="0.25">
      <c r="A186" s="18"/>
      <c r="B186" s="18"/>
      <c r="C186" s="18"/>
      <c r="D186" s="18"/>
      <c r="E186" s="18"/>
      <c r="F186" s="18"/>
      <c r="G186" s="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</row>
    <row r="187" spans="1:55" x14ac:dyDescent="0.25">
      <c r="A187" s="18"/>
      <c r="B187" s="18"/>
      <c r="C187" s="18"/>
      <c r="D187" s="18"/>
      <c r="E187" s="18"/>
      <c r="F187" s="18"/>
      <c r="G187" s="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</row>
    <row r="188" spans="1:55" x14ac:dyDescent="0.25">
      <c r="A188" s="18"/>
      <c r="B188" s="18"/>
      <c r="C188" s="18"/>
      <c r="D188" s="18"/>
      <c r="E188" s="18"/>
      <c r="F188" s="18"/>
      <c r="G188" s="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</row>
    <row r="189" spans="1:55" x14ac:dyDescent="0.25">
      <c r="A189" s="18"/>
      <c r="B189" s="18"/>
      <c r="C189" s="18"/>
      <c r="D189" s="18"/>
      <c r="E189" s="18"/>
      <c r="F189" s="18"/>
      <c r="G189" s="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</row>
    <row r="190" spans="1:55" x14ac:dyDescent="0.25">
      <c r="A190" s="18"/>
      <c r="B190" s="18"/>
      <c r="C190" s="18"/>
      <c r="D190" s="18"/>
      <c r="E190" s="18"/>
      <c r="F190" s="18"/>
      <c r="G190" s="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</row>
    <row r="191" spans="1:55" x14ac:dyDescent="0.25">
      <c r="A191" s="18"/>
      <c r="B191" s="18"/>
      <c r="C191" s="18"/>
      <c r="D191" s="18"/>
      <c r="E191" s="18"/>
      <c r="F191" s="18"/>
      <c r="G191" s="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</row>
    <row r="192" spans="1:55" x14ac:dyDescent="0.25">
      <c r="A192" s="18"/>
      <c r="B192" s="18"/>
      <c r="C192" s="18"/>
      <c r="D192" s="18"/>
      <c r="E192" s="18"/>
      <c r="F192" s="18"/>
      <c r="G192" s="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</row>
    <row r="193" spans="1:55" x14ac:dyDescent="0.25">
      <c r="A193" s="18"/>
      <c r="B193" s="18"/>
      <c r="C193" s="18"/>
      <c r="D193" s="18"/>
      <c r="E193" s="18"/>
      <c r="F193" s="18"/>
      <c r="G193" s="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</row>
    <row r="194" spans="1:55" x14ac:dyDescent="0.25">
      <c r="A194" s="18"/>
      <c r="B194" s="18"/>
      <c r="C194" s="18"/>
      <c r="D194" s="18"/>
      <c r="E194" s="18"/>
      <c r="F194" s="18"/>
      <c r="G194" s="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</row>
    <row r="195" spans="1:55" x14ac:dyDescent="0.25">
      <c r="A195" s="18"/>
      <c r="B195" s="18"/>
      <c r="C195" s="18"/>
      <c r="D195" s="18"/>
      <c r="E195" s="18"/>
      <c r="F195" s="18"/>
      <c r="G195" s="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</row>
    <row r="196" spans="1:55" x14ac:dyDescent="0.25">
      <c r="A196" s="18"/>
      <c r="B196" s="18"/>
      <c r="C196" s="18"/>
      <c r="D196" s="18"/>
      <c r="E196" s="18"/>
      <c r="F196" s="18"/>
      <c r="G196" s="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</row>
    <row r="197" spans="1:55" x14ac:dyDescent="0.25">
      <c r="A197" s="18"/>
      <c r="B197" s="18"/>
      <c r="C197" s="18"/>
      <c r="D197" s="18"/>
      <c r="E197" s="18"/>
      <c r="F197" s="18"/>
      <c r="G197" s="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</row>
    <row r="198" spans="1:55" x14ac:dyDescent="0.25">
      <c r="A198" s="18"/>
      <c r="B198" s="18"/>
      <c r="C198" s="18"/>
      <c r="D198" s="18"/>
      <c r="E198" s="18"/>
      <c r="F198" s="18"/>
      <c r="G198" s="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</row>
    <row r="199" spans="1:55" x14ac:dyDescent="0.25">
      <c r="A199" s="18"/>
      <c r="B199" s="18"/>
      <c r="C199" s="18"/>
      <c r="D199" s="18"/>
      <c r="E199" s="18"/>
      <c r="F199" s="18"/>
      <c r="G199" s="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</row>
    <row r="200" spans="1:55" x14ac:dyDescent="0.25">
      <c r="A200" s="18"/>
      <c r="B200" s="18"/>
      <c r="C200" s="18"/>
      <c r="D200" s="18"/>
      <c r="E200" s="18"/>
      <c r="F200" s="18"/>
      <c r="G200" s="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</row>
    <row r="201" spans="1:55" x14ac:dyDescent="0.25">
      <c r="A201" s="18"/>
      <c r="B201" s="18"/>
      <c r="C201" s="18"/>
      <c r="D201" s="18"/>
      <c r="E201" s="18"/>
      <c r="F201" s="18"/>
      <c r="G201" s="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</row>
    <row r="202" spans="1:55" x14ac:dyDescent="0.25">
      <c r="A202" s="18"/>
      <c r="B202" s="18"/>
      <c r="C202" s="18"/>
      <c r="D202" s="18"/>
      <c r="E202" s="18"/>
      <c r="F202" s="18"/>
      <c r="G202" s="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</row>
    <row r="203" spans="1:55" x14ac:dyDescent="0.25">
      <c r="A203" s="18"/>
      <c r="B203" s="18"/>
      <c r="C203" s="18"/>
      <c r="D203" s="18"/>
      <c r="E203" s="18"/>
      <c r="F203" s="18"/>
      <c r="G203" s="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</row>
    <row r="204" spans="1:55" x14ac:dyDescent="0.25">
      <c r="A204" s="18"/>
      <c r="B204" s="18"/>
      <c r="C204" s="18"/>
      <c r="D204" s="18"/>
      <c r="E204" s="18"/>
      <c r="F204" s="18"/>
      <c r="G204" s="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</row>
    <row r="205" spans="1:55" x14ac:dyDescent="0.25">
      <c r="A205" s="18"/>
      <c r="B205" s="18"/>
      <c r="C205" s="18"/>
      <c r="D205" s="18"/>
      <c r="E205" s="18"/>
      <c r="F205" s="18"/>
      <c r="G205" s="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</row>
    <row r="206" spans="1:55" x14ac:dyDescent="0.25">
      <c r="A206" s="18"/>
      <c r="B206" s="18"/>
      <c r="C206" s="18"/>
      <c r="D206" s="18"/>
      <c r="E206" s="18"/>
      <c r="F206" s="18"/>
      <c r="G206" s="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</row>
    <row r="207" spans="1:55" x14ac:dyDescent="0.25">
      <c r="A207" s="18"/>
      <c r="B207" s="18"/>
      <c r="C207" s="18"/>
      <c r="D207" s="18"/>
      <c r="E207" s="18"/>
      <c r="F207" s="18"/>
      <c r="G207" s="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</row>
    <row r="208" spans="1:55" x14ac:dyDescent="0.25">
      <c r="A208" s="18"/>
      <c r="B208" s="18"/>
      <c r="C208" s="18"/>
      <c r="D208" s="18"/>
      <c r="E208" s="18"/>
      <c r="F208" s="18"/>
      <c r="G208" s="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</row>
    <row r="209" spans="1:55" x14ac:dyDescent="0.25">
      <c r="A209" s="18"/>
      <c r="B209" s="18"/>
      <c r="C209" s="18"/>
      <c r="D209" s="18"/>
      <c r="E209" s="18"/>
      <c r="F209" s="18"/>
      <c r="G209" s="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</row>
    <row r="210" spans="1:55" x14ac:dyDescent="0.25">
      <c r="A210" s="18"/>
      <c r="B210" s="18"/>
      <c r="C210" s="18"/>
      <c r="D210" s="18"/>
      <c r="E210" s="18"/>
      <c r="F210" s="18"/>
      <c r="G210" s="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</row>
    <row r="211" spans="1:55" x14ac:dyDescent="0.25">
      <c r="A211" s="18"/>
      <c r="B211" s="18"/>
      <c r="C211" s="18"/>
      <c r="D211" s="18"/>
      <c r="E211" s="18"/>
      <c r="F211" s="18"/>
      <c r="G211" s="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</row>
    <row r="212" spans="1:55" x14ac:dyDescent="0.25">
      <c r="A212" s="18"/>
      <c r="B212" s="18"/>
      <c r="C212" s="18"/>
      <c r="D212" s="18"/>
      <c r="E212" s="18"/>
      <c r="F212" s="18"/>
      <c r="G212" s="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</row>
    <row r="213" spans="1:55" x14ac:dyDescent="0.25">
      <c r="A213" s="18"/>
      <c r="B213" s="18"/>
      <c r="C213" s="18"/>
      <c r="D213" s="18"/>
      <c r="E213" s="18"/>
      <c r="F213" s="18"/>
      <c r="G213" s="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</row>
    <row r="214" spans="1:55" x14ac:dyDescent="0.25">
      <c r="A214" s="18"/>
      <c r="B214" s="18"/>
      <c r="C214" s="18"/>
      <c r="D214" s="18"/>
      <c r="E214" s="18"/>
      <c r="F214" s="18"/>
      <c r="G214" s="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</row>
    <row r="215" spans="1:55" x14ac:dyDescent="0.25">
      <c r="A215" s="18"/>
      <c r="B215" s="18"/>
      <c r="C215" s="18"/>
      <c r="D215" s="18"/>
      <c r="E215" s="18"/>
      <c r="F215" s="18"/>
      <c r="G215" s="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</row>
    <row r="216" spans="1:55" x14ac:dyDescent="0.25">
      <c r="A216" s="18"/>
      <c r="B216" s="18"/>
      <c r="C216" s="18"/>
      <c r="D216" s="18"/>
      <c r="E216" s="18"/>
      <c r="F216" s="18"/>
      <c r="G216" s="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</row>
    <row r="217" spans="1:55" x14ac:dyDescent="0.25">
      <c r="A217" s="18"/>
      <c r="B217" s="18"/>
      <c r="C217" s="18"/>
      <c r="D217" s="18"/>
      <c r="E217" s="18"/>
      <c r="F217" s="18"/>
      <c r="G217" s="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</row>
    <row r="218" spans="1:55" x14ac:dyDescent="0.25">
      <c r="A218" s="18"/>
      <c r="B218" s="18"/>
      <c r="C218" s="18"/>
      <c r="D218" s="18"/>
      <c r="E218" s="18"/>
      <c r="F218" s="18"/>
      <c r="G218" s="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</row>
    <row r="219" spans="1:55" x14ac:dyDescent="0.25">
      <c r="A219" s="18"/>
      <c r="B219" s="18"/>
      <c r="C219" s="18"/>
      <c r="D219" s="18"/>
      <c r="E219" s="18"/>
      <c r="F219" s="18"/>
      <c r="G219" s="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</row>
    <row r="220" spans="1:55" x14ac:dyDescent="0.25">
      <c r="A220" s="18"/>
      <c r="B220" s="18"/>
      <c r="C220" s="18"/>
      <c r="D220" s="18"/>
      <c r="E220" s="18"/>
      <c r="F220" s="18"/>
      <c r="G220" s="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</row>
    <row r="221" spans="1:55" x14ac:dyDescent="0.25">
      <c r="A221" s="18"/>
      <c r="B221" s="18"/>
      <c r="C221" s="18"/>
      <c r="D221" s="18"/>
      <c r="E221" s="18"/>
      <c r="F221" s="18"/>
      <c r="G221" s="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</row>
    <row r="222" spans="1:55" x14ac:dyDescent="0.25">
      <c r="A222" s="18"/>
      <c r="B222" s="18"/>
      <c r="C222" s="18"/>
      <c r="D222" s="18"/>
      <c r="E222" s="18"/>
      <c r="F222" s="18"/>
      <c r="G222" s="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</row>
    <row r="223" spans="1:55" x14ac:dyDescent="0.25">
      <c r="A223" s="18"/>
      <c r="B223" s="18"/>
      <c r="C223" s="18"/>
      <c r="D223" s="18"/>
      <c r="E223" s="18"/>
      <c r="F223" s="18"/>
      <c r="G223" s="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</row>
    <row r="224" spans="1:55" x14ac:dyDescent="0.25">
      <c r="A224" s="18"/>
      <c r="B224" s="18"/>
      <c r="C224" s="18"/>
      <c r="D224" s="18"/>
      <c r="E224" s="18"/>
      <c r="F224" s="18"/>
      <c r="G224" s="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</row>
    <row r="225" spans="1:55" x14ac:dyDescent="0.25">
      <c r="A225" s="18"/>
      <c r="B225" s="18"/>
      <c r="C225" s="18"/>
      <c r="D225" s="18"/>
      <c r="E225" s="18"/>
      <c r="F225" s="18"/>
      <c r="G225" s="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</row>
    <row r="226" spans="1:55" x14ac:dyDescent="0.25">
      <c r="A226" s="18"/>
      <c r="B226" s="18"/>
      <c r="C226" s="18"/>
      <c r="D226" s="18"/>
      <c r="E226" s="18"/>
      <c r="F226" s="18"/>
      <c r="G226" s="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</row>
    <row r="227" spans="1:55" x14ac:dyDescent="0.25">
      <c r="A227" s="18"/>
      <c r="B227" s="18"/>
      <c r="C227" s="18"/>
      <c r="D227" s="18"/>
      <c r="E227" s="18"/>
      <c r="F227" s="18"/>
      <c r="G227" s="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</row>
    <row r="228" spans="1:55" x14ac:dyDescent="0.25">
      <c r="A228" s="18"/>
      <c r="B228" s="18"/>
      <c r="C228" s="18"/>
      <c r="D228" s="18"/>
      <c r="E228" s="18"/>
      <c r="F228" s="18"/>
      <c r="G228" s="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</row>
    <row r="229" spans="1:55" x14ac:dyDescent="0.25">
      <c r="A229" s="18"/>
      <c r="B229" s="18"/>
      <c r="C229" s="18"/>
      <c r="D229" s="18"/>
      <c r="E229" s="18"/>
      <c r="F229" s="18"/>
      <c r="G229" s="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</row>
    <row r="230" spans="1:55" x14ac:dyDescent="0.25">
      <c r="A230" s="18"/>
      <c r="B230" s="18"/>
      <c r="C230" s="18"/>
      <c r="D230" s="18"/>
      <c r="E230" s="18"/>
      <c r="F230" s="18"/>
      <c r="G230" s="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</row>
    <row r="231" spans="1:55" x14ac:dyDescent="0.25">
      <c r="A231" s="18"/>
      <c r="B231" s="18"/>
      <c r="C231" s="18"/>
      <c r="D231" s="18"/>
      <c r="E231" s="18"/>
      <c r="F231" s="18"/>
      <c r="G231" s="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</row>
    <row r="232" spans="1:55" x14ac:dyDescent="0.25">
      <c r="A232" s="18"/>
      <c r="B232" s="18"/>
      <c r="C232" s="18"/>
      <c r="D232" s="18"/>
      <c r="E232" s="18"/>
      <c r="F232" s="18"/>
      <c r="G232" s="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</row>
    <row r="233" spans="1:55" x14ac:dyDescent="0.25">
      <c r="A233" s="18"/>
      <c r="B233" s="18"/>
      <c r="C233" s="18"/>
      <c r="D233" s="18"/>
      <c r="E233" s="18"/>
      <c r="F233" s="18"/>
      <c r="G233" s="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</row>
    <row r="234" spans="1:55" x14ac:dyDescent="0.25">
      <c r="A234" s="18"/>
      <c r="B234" s="18"/>
      <c r="C234" s="18"/>
      <c r="D234" s="18"/>
      <c r="E234" s="18"/>
      <c r="F234" s="18"/>
      <c r="G234" s="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</row>
    <row r="235" spans="1:55" x14ac:dyDescent="0.25">
      <c r="A235" s="18"/>
      <c r="B235" s="18"/>
      <c r="C235" s="18"/>
      <c r="D235" s="18"/>
      <c r="E235" s="18"/>
      <c r="F235" s="18"/>
      <c r="G235" s="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</row>
    <row r="236" spans="1:55" x14ac:dyDescent="0.25">
      <c r="A236" s="18"/>
      <c r="B236" s="18"/>
      <c r="C236" s="18"/>
      <c r="D236" s="18"/>
      <c r="E236" s="18"/>
      <c r="F236" s="18"/>
      <c r="G236" s="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</row>
    <row r="237" spans="1:55" x14ac:dyDescent="0.25">
      <c r="A237" s="18"/>
      <c r="B237" s="18"/>
      <c r="C237" s="18"/>
      <c r="D237" s="18"/>
      <c r="E237" s="18"/>
      <c r="F237" s="18"/>
      <c r="G237" s="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</row>
    <row r="238" spans="1:55" x14ac:dyDescent="0.25">
      <c r="A238" s="18"/>
      <c r="B238" s="18"/>
      <c r="C238" s="18"/>
      <c r="D238" s="18"/>
      <c r="E238" s="18"/>
      <c r="F238" s="18"/>
      <c r="G238" s="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</row>
    <row r="239" spans="1:55" x14ac:dyDescent="0.25">
      <c r="A239" s="18"/>
      <c r="B239" s="18"/>
      <c r="C239" s="18"/>
      <c r="D239" s="18"/>
      <c r="E239" s="18"/>
      <c r="F239" s="18"/>
      <c r="G239" s="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</row>
    <row r="240" spans="1:55" x14ac:dyDescent="0.25">
      <c r="A240" s="18"/>
      <c r="B240" s="18"/>
      <c r="C240" s="18"/>
      <c r="D240" s="18"/>
      <c r="E240" s="18"/>
      <c r="F240" s="18"/>
      <c r="G240" s="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</row>
    <row r="241" spans="1:55" x14ac:dyDescent="0.25">
      <c r="A241" s="18"/>
      <c r="B241" s="18"/>
      <c r="C241" s="18"/>
      <c r="D241" s="18"/>
      <c r="E241" s="18"/>
      <c r="F241" s="18"/>
      <c r="G241" s="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</row>
    <row r="242" spans="1:55" x14ac:dyDescent="0.25">
      <c r="A242" s="18"/>
      <c r="B242" s="18"/>
      <c r="C242" s="18"/>
      <c r="D242" s="18"/>
      <c r="E242" s="18"/>
      <c r="F242" s="18"/>
      <c r="G242" s="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</row>
    <row r="243" spans="1:55" x14ac:dyDescent="0.25">
      <c r="A243" s="18"/>
      <c r="B243" s="18"/>
      <c r="C243" s="18"/>
      <c r="D243" s="18"/>
      <c r="E243" s="18"/>
      <c r="F243" s="18"/>
      <c r="G243" s="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</row>
    <row r="244" spans="1:55" x14ac:dyDescent="0.25">
      <c r="A244" s="18"/>
      <c r="B244" s="18"/>
      <c r="C244" s="18"/>
      <c r="D244" s="18"/>
      <c r="E244" s="18"/>
      <c r="F244" s="18"/>
      <c r="G244" s="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</row>
    <row r="245" spans="1:55" x14ac:dyDescent="0.25">
      <c r="A245" s="18"/>
      <c r="B245" s="18"/>
      <c r="C245" s="18"/>
      <c r="D245" s="18"/>
      <c r="E245" s="18"/>
      <c r="F245" s="18"/>
      <c r="G245" s="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</row>
    <row r="246" spans="1:55" x14ac:dyDescent="0.25">
      <c r="A246" s="18"/>
      <c r="B246" s="18"/>
      <c r="C246" s="18"/>
      <c r="D246" s="18"/>
      <c r="E246" s="18"/>
      <c r="F246" s="18"/>
      <c r="G246" s="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</row>
    <row r="247" spans="1:55" x14ac:dyDescent="0.25">
      <c r="A247" s="18"/>
      <c r="B247" s="18"/>
      <c r="C247" s="18"/>
      <c r="D247" s="18"/>
      <c r="E247" s="18"/>
      <c r="F247" s="18"/>
      <c r="G247" s="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</row>
    <row r="248" spans="1:55" x14ac:dyDescent="0.25">
      <c r="A248" s="18"/>
      <c r="B248" s="18"/>
      <c r="C248" s="18"/>
      <c r="D248" s="18"/>
      <c r="E248" s="18"/>
      <c r="F248" s="18"/>
      <c r="G248" s="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</row>
    <row r="249" spans="1:55" x14ac:dyDescent="0.25">
      <c r="A249" s="18"/>
      <c r="B249" s="18"/>
      <c r="C249" s="18"/>
      <c r="D249" s="18"/>
      <c r="E249" s="18"/>
      <c r="F249" s="18"/>
      <c r="G249" s="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</row>
    <row r="250" spans="1:55" x14ac:dyDescent="0.25">
      <c r="A250" s="18"/>
      <c r="B250" s="18"/>
      <c r="C250" s="18"/>
      <c r="D250" s="18"/>
      <c r="E250" s="18"/>
      <c r="F250" s="18"/>
      <c r="G250" s="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</row>
    <row r="251" spans="1:55" x14ac:dyDescent="0.25">
      <c r="A251" s="18"/>
      <c r="B251" s="18"/>
      <c r="C251" s="18"/>
      <c r="D251" s="18"/>
      <c r="E251" s="18"/>
      <c r="F251" s="18"/>
      <c r="G251" s="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</row>
    <row r="252" spans="1:55" x14ac:dyDescent="0.25">
      <c r="A252" s="18"/>
      <c r="B252" s="18"/>
      <c r="C252" s="18"/>
      <c r="D252" s="18"/>
      <c r="E252" s="18"/>
      <c r="F252" s="18"/>
      <c r="G252" s="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</row>
    <row r="253" spans="1:55" x14ac:dyDescent="0.25">
      <c r="A253" s="18"/>
      <c r="B253" s="18"/>
      <c r="C253" s="18"/>
      <c r="D253" s="18"/>
      <c r="E253" s="18"/>
      <c r="F253" s="18"/>
      <c r="G253" s="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</row>
    <row r="254" spans="1:55" x14ac:dyDescent="0.25">
      <c r="A254" s="18"/>
      <c r="B254" s="18"/>
      <c r="C254" s="18"/>
      <c r="D254" s="18"/>
      <c r="E254" s="18"/>
      <c r="F254" s="18"/>
      <c r="G254" s="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</row>
    <row r="255" spans="1:55" x14ac:dyDescent="0.25">
      <c r="A255" s="18"/>
      <c r="B255" s="18"/>
      <c r="C255" s="18"/>
      <c r="D255" s="18"/>
      <c r="E255" s="18"/>
      <c r="F255" s="18"/>
      <c r="G255" s="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</row>
    <row r="256" spans="1:55" x14ac:dyDescent="0.25">
      <c r="A256" s="18"/>
      <c r="B256" s="18"/>
      <c r="C256" s="18"/>
      <c r="D256" s="18"/>
      <c r="E256" s="18"/>
      <c r="F256" s="18"/>
      <c r="G256" s="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</row>
    <row r="257" spans="1:55" x14ac:dyDescent="0.25">
      <c r="A257" s="18"/>
      <c r="B257" s="18"/>
      <c r="C257" s="18"/>
      <c r="D257" s="18"/>
      <c r="E257" s="18"/>
      <c r="F257" s="18"/>
      <c r="G257" s="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</row>
    <row r="258" spans="1:55" x14ac:dyDescent="0.25">
      <c r="A258" s="18"/>
      <c r="B258" s="18"/>
      <c r="C258" s="18"/>
      <c r="D258" s="18"/>
      <c r="E258" s="18"/>
      <c r="F258" s="18"/>
      <c r="G258" s="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</row>
    <row r="259" spans="1:55" x14ac:dyDescent="0.25">
      <c r="A259" s="18"/>
      <c r="B259" s="18"/>
      <c r="C259" s="18"/>
      <c r="D259" s="18"/>
      <c r="E259" s="18"/>
      <c r="F259" s="18"/>
      <c r="G259" s="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</row>
    <row r="260" spans="1:55" x14ac:dyDescent="0.25">
      <c r="A260" s="18"/>
      <c r="B260" s="18"/>
      <c r="C260" s="18"/>
      <c r="D260" s="18"/>
      <c r="E260" s="18"/>
      <c r="F260" s="18"/>
      <c r="G260" s="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</row>
    <row r="261" spans="1:55" x14ac:dyDescent="0.25">
      <c r="A261" s="18"/>
      <c r="B261" s="18"/>
      <c r="C261" s="18"/>
      <c r="D261" s="18"/>
      <c r="E261" s="18"/>
      <c r="F261" s="18"/>
      <c r="G261" s="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</row>
    <row r="262" spans="1:55" x14ac:dyDescent="0.25">
      <c r="A262" s="18"/>
      <c r="B262" s="18"/>
      <c r="C262" s="18"/>
      <c r="D262" s="18"/>
      <c r="E262" s="18"/>
      <c r="F262" s="18"/>
      <c r="G262" s="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</row>
    <row r="263" spans="1:55" x14ac:dyDescent="0.25">
      <c r="A263" s="18"/>
      <c r="B263" s="18"/>
      <c r="C263" s="18"/>
      <c r="D263" s="18"/>
      <c r="E263" s="18"/>
      <c r="F263" s="18"/>
      <c r="G263" s="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</row>
    <row r="264" spans="1:55" x14ac:dyDescent="0.25">
      <c r="A264" s="18"/>
      <c r="B264" s="18"/>
      <c r="C264" s="18"/>
      <c r="D264" s="18"/>
      <c r="E264" s="18"/>
      <c r="F264" s="18"/>
      <c r="G264" s="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</row>
    <row r="265" spans="1:55" x14ac:dyDescent="0.25">
      <c r="A265" s="18"/>
      <c r="B265" s="18"/>
      <c r="C265" s="18"/>
      <c r="D265" s="18"/>
      <c r="E265" s="18"/>
      <c r="F265" s="18"/>
      <c r="G265" s="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</row>
    <row r="266" spans="1:55" x14ac:dyDescent="0.25">
      <c r="A266" s="18"/>
      <c r="B266" s="18"/>
      <c r="C266" s="18"/>
      <c r="D266" s="18"/>
      <c r="E266" s="18"/>
      <c r="F266" s="18"/>
      <c r="G266" s="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</row>
    <row r="267" spans="1:55" x14ac:dyDescent="0.25">
      <c r="A267" s="18"/>
      <c r="B267" s="18"/>
      <c r="C267" s="18"/>
      <c r="D267" s="18"/>
      <c r="E267" s="18"/>
      <c r="F267" s="18"/>
      <c r="G267" s="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</row>
    <row r="268" spans="1:55" x14ac:dyDescent="0.25">
      <c r="A268" s="18"/>
      <c r="B268" s="18"/>
      <c r="C268" s="18"/>
      <c r="D268" s="18"/>
      <c r="E268" s="18"/>
      <c r="F268" s="18"/>
      <c r="G268" s="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</row>
    <row r="269" spans="1:55" x14ac:dyDescent="0.25">
      <c r="A269" s="18"/>
      <c r="B269" s="18"/>
      <c r="C269" s="18"/>
      <c r="D269" s="18"/>
      <c r="E269" s="18"/>
      <c r="F269" s="18"/>
      <c r="G269" s="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</row>
    <row r="270" spans="1:55" x14ac:dyDescent="0.25">
      <c r="A270" s="18"/>
      <c r="B270" s="18"/>
      <c r="C270" s="18"/>
      <c r="D270" s="18"/>
      <c r="E270" s="18"/>
      <c r="F270" s="18"/>
      <c r="G270" s="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</row>
    <row r="271" spans="1:55" x14ac:dyDescent="0.25">
      <c r="A271" s="18"/>
      <c r="B271" s="18"/>
      <c r="C271" s="18"/>
      <c r="D271" s="18"/>
      <c r="E271" s="18"/>
      <c r="F271" s="18"/>
      <c r="G271" s="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</row>
    <row r="272" spans="1:55" x14ac:dyDescent="0.25">
      <c r="A272" s="18"/>
      <c r="B272" s="18"/>
      <c r="C272" s="18"/>
      <c r="D272" s="18"/>
      <c r="E272" s="18"/>
      <c r="F272" s="18"/>
      <c r="G272" s="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</row>
    <row r="273" spans="1:55" x14ac:dyDescent="0.25">
      <c r="A273" s="18"/>
      <c r="B273" s="18"/>
      <c r="C273" s="18"/>
      <c r="D273" s="18"/>
      <c r="E273" s="18"/>
      <c r="F273" s="18"/>
      <c r="G273" s="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</row>
    <row r="274" spans="1:55" x14ac:dyDescent="0.25">
      <c r="A274" s="18"/>
      <c r="B274" s="18"/>
      <c r="C274" s="18"/>
      <c r="D274" s="18"/>
      <c r="E274" s="18"/>
      <c r="F274" s="18"/>
      <c r="G274" s="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</row>
    <row r="275" spans="1:55" x14ac:dyDescent="0.25">
      <c r="A275" s="18"/>
      <c r="B275" s="18"/>
      <c r="C275" s="18"/>
      <c r="D275" s="18"/>
      <c r="E275" s="18"/>
      <c r="F275" s="18"/>
      <c r="G275" s="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</row>
    <row r="276" spans="1:55" x14ac:dyDescent="0.25">
      <c r="A276" s="18"/>
      <c r="B276" s="18"/>
      <c r="C276" s="18"/>
      <c r="D276" s="18"/>
      <c r="E276" s="18"/>
      <c r="F276" s="18"/>
      <c r="G276" s="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</row>
    <row r="277" spans="1:55" x14ac:dyDescent="0.25">
      <c r="A277" s="18"/>
      <c r="B277" s="18"/>
      <c r="C277" s="18"/>
      <c r="D277" s="18"/>
      <c r="E277" s="18"/>
      <c r="F277" s="18"/>
      <c r="G277" s="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</row>
    <row r="278" spans="1:55" x14ac:dyDescent="0.25">
      <c r="A278" s="18"/>
      <c r="B278" s="18"/>
      <c r="C278" s="18"/>
      <c r="D278" s="18"/>
      <c r="E278" s="18"/>
      <c r="F278" s="18"/>
      <c r="G278" s="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</row>
    <row r="279" spans="1:55" x14ac:dyDescent="0.25">
      <c r="A279" s="18"/>
      <c r="B279" s="18"/>
      <c r="C279" s="18"/>
      <c r="D279" s="18"/>
      <c r="E279" s="18"/>
      <c r="F279" s="18"/>
      <c r="G279" s="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</row>
    <row r="280" spans="1:55" x14ac:dyDescent="0.25">
      <c r="A280" s="18"/>
      <c r="B280" s="18"/>
      <c r="C280" s="18"/>
      <c r="D280" s="18"/>
      <c r="E280" s="18"/>
      <c r="F280" s="18"/>
      <c r="G280" s="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</row>
    <row r="281" spans="1:55" x14ac:dyDescent="0.25">
      <c r="A281" s="18"/>
      <c r="B281" s="18"/>
      <c r="C281" s="18"/>
      <c r="D281" s="18"/>
      <c r="E281" s="18"/>
      <c r="F281" s="18"/>
      <c r="G281" s="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</row>
    <row r="282" spans="1:55" x14ac:dyDescent="0.25">
      <c r="A282" s="18"/>
      <c r="B282" s="18"/>
      <c r="C282" s="18"/>
      <c r="D282" s="18"/>
      <c r="E282" s="18"/>
      <c r="F282" s="18"/>
      <c r="G282" s="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</row>
    <row r="283" spans="1:55" x14ac:dyDescent="0.25">
      <c r="A283" s="18"/>
      <c r="B283" s="18"/>
      <c r="C283" s="18"/>
      <c r="D283" s="18"/>
      <c r="E283" s="18"/>
      <c r="F283" s="18"/>
      <c r="G283" s="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</row>
    <row r="284" spans="1:55" x14ac:dyDescent="0.25">
      <c r="A284" s="18"/>
      <c r="B284" s="18"/>
      <c r="C284" s="18"/>
      <c r="D284" s="18"/>
      <c r="E284" s="18"/>
      <c r="F284" s="18"/>
      <c r="G284" s="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</row>
    <row r="285" spans="1:55" x14ac:dyDescent="0.25">
      <c r="A285" s="18"/>
      <c r="B285" s="18"/>
      <c r="C285" s="18"/>
      <c r="D285" s="18"/>
      <c r="E285" s="18"/>
      <c r="F285" s="18"/>
      <c r="G285" s="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</row>
    <row r="286" spans="1:55" x14ac:dyDescent="0.25">
      <c r="A286" s="18"/>
      <c r="B286" s="18"/>
      <c r="C286" s="18"/>
      <c r="D286" s="18"/>
      <c r="E286" s="18"/>
      <c r="F286" s="18"/>
      <c r="G286" s="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</row>
    <row r="287" spans="1:55" x14ac:dyDescent="0.25">
      <c r="A287" s="18"/>
      <c r="B287" s="18"/>
      <c r="C287" s="18"/>
      <c r="D287" s="18"/>
      <c r="E287" s="18"/>
      <c r="F287" s="18"/>
      <c r="G287" s="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</row>
    <row r="288" spans="1:55" x14ac:dyDescent="0.25">
      <c r="A288" s="18"/>
      <c r="B288" s="18"/>
      <c r="C288" s="18"/>
      <c r="D288" s="18"/>
      <c r="E288" s="18"/>
      <c r="F288" s="18"/>
      <c r="G288" s="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</row>
    <row r="289" spans="1:55" x14ac:dyDescent="0.25">
      <c r="A289" s="18"/>
      <c r="B289" s="18"/>
      <c r="C289" s="18"/>
      <c r="D289" s="18"/>
      <c r="E289" s="18"/>
      <c r="F289" s="18"/>
      <c r="G289" s="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</row>
    <row r="290" spans="1:55" x14ac:dyDescent="0.25">
      <c r="A290" s="18"/>
      <c r="B290" s="18"/>
      <c r="C290" s="18"/>
      <c r="D290" s="18"/>
      <c r="E290" s="18"/>
      <c r="F290" s="18"/>
      <c r="G290" s="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</row>
    <row r="291" spans="1:55" x14ac:dyDescent="0.25">
      <c r="A291" s="18"/>
      <c r="B291" s="18"/>
      <c r="C291" s="18"/>
      <c r="D291" s="18"/>
      <c r="E291" s="18"/>
      <c r="F291" s="18"/>
      <c r="G291" s="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</row>
    <row r="292" spans="1:55" x14ac:dyDescent="0.25">
      <c r="A292" s="18"/>
      <c r="B292" s="18"/>
      <c r="C292" s="18"/>
      <c r="D292" s="18"/>
      <c r="E292" s="18"/>
      <c r="F292" s="18"/>
      <c r="G292" s="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</row>
    <row r="293" spans="1:55" x14ac:dyDescent="0.25">
      <c r="A293" s="18"/>
      <c r="B293" s="18"/>
      <c r="C293" s="18"/>
      <c r="D293" s="18"/>
      <c r="E293" s="18"/>
      <c r="F293" s="18"/>
      <c r="G293" s="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</row>
    <row r="294" spans="1:55" x14ac:dyDescent="0.25">
      <c r="A294" s="18"/>
      <c r="B294" s="18"/>
      <c r="C294" s="18"/>
      <c r="D294" s="18"/>
      <c r="E294" s="18"/>
      <c r="F294" s="18"/>
      <c r="G294" s="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</row>
    <row r="295" spans="1:55" x14ac:dyDescent="0.25">
      <c r="A295" s="18"/>
      <c r="B295" s="18"/>
      <c r="C295" s="18"/>
      <c r="D295" s="18"/>
      <c r="E295" s="18"/>
      <c r="F295" s="18"/>
      <c r="G295" s="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</row>
    <row r="296" spans="1:55" x14ac:dyDescent="0.25">
      <c r="A296" s="18"/>
      <c r="B296" s="18"/>
      <c r="C296" s="18"/>
      <c r="D296" s="18"/>
      <c r="E296" s="18"/>
      <c r="F296" s="18"/>
      <c r="G296" s="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</row>
    <row r="297" spans="1:55" x14ac:dyDescent="0.25">
      <c r="A297" s="18"/>
      <c r="B297" s="18"/>
      <c r="C297" s="18"/>
      <c r="D297" s="18"/>
      <c r="E297" s="18"/>
      <c r="F297" s="18"/>
      <c r="G297" s="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</row>
    <row r="298" spans="1:55" x14ac:dyDescent="0.25">
      <c r="A298" s="18"/>
      <c r="B298" s="18"/>
      <c r="C298" s="18"/>
      <c r="D298" s="18"/>
      <c r="E298" s="18"/>
      <c r="F298" s="18"/>
      <c r="G298" s="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</row>
    <row r="299" spans="1:55" x14ac:dyDescent="0.25">
      <c r="A299" s="18"/>
      <c r="B299" s="18"/>
      <c r="C299" s="18"/>
      <c r="D299" s="18"/>
      <c r="E299" s="18"/>
      <c r="F299" s="18"/>
      <c r="G299" s="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</row>
    <row r="300" spans="1:55" x14ac:dyDescent="0.25">
      <c r="A300" s="18"/>
      <c r="B300" s="18"/>
      <c r="C300" s="18"/>
      <c r="D300" s="18"/>
      <c r="E300" s="18"/>
      <c r="F300" s="18"/>
      <c r="G300" s="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</row>
    <row r="301" spans="1:55" x14ac:dyDescent="0.25">
      <c r="A301" s="18"/>
      <c r="B301" s="18"/>
      <c r="C301" s="18"/>
      <c r="D301" s="18"/>
      <c r="E301" s="18"/>
      <c r="F301" s="18"/>
      <c r="G301" s="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</row>
    <row r="302" spans="1:55" x14ac:dyDescent="0.25">
      <c r="A302" s="18"/>
      <c r="B302" s="18"/>
      <c r="C302" s="18"/>
      <c r="D302" s="18"/>
      <c r="E302" s="18"/>
      <c r="F302" s="18"/>
      <c r="G302" s="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</row>
    <row r="303" spans="1:55" x14ac:dyDescent="0.25">
      <c r="A303" s="18"/>
      <c r="B303" s="18"/>
      <c r="C303" s="18"/>
      <c r="D303" s="18"/>
      <c r="E303" s="18"/>
      <c r="F303" s="18"/>
      <c r="G303" s="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</row>
    <row r="304" spans="1:55" x14ac:dyDescent="0.25">
      <c r="A304" s="18"/>
      <c r="B304" s="18"/>
      <c r="C304" s="18"/>
      <c r="D304" s="18"/>
      <c r="E304" s="18"/>
      <c r="F304" s="18"/>
      <c r="G304" s="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</row>
    <row r="305" spans="1:55" x14ac:dyDescent="0.25">
      <c r="A305" s="18"/>
      <c r="B305" s="18"/>
      <c r="C305" s="18"/>
      <c r="D305" s="18"/>
      <c r="E305" s="18"/>
      <c r="F305" s="18"/>
      <c r="G305" s="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</row>
    <row r="306" spans="1:55" x14ac:dyDescent="0.25">
      <c r="A306" s="18"/>
      <c r="B306" s="18"/>
      <c r="C306" s="18"/>
      <c r="D306" s="18"/>
      <c r="E306" s="18"/>
      <c r="F306" s="18"/>
      <c r="G306" s="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</row>
    <row r="307" spans="1:55" x14ac:dyDescent="0.25">
      <c r="A307" s="18"/>
      <c r="B307" s="18"/>
      <c r="C307" s="18"/>
      <c r="D307" s="18"/>
      <c r="E307" s="18"/>
      <c r="F307" s="18"/>
      <c r="G307" s="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</row>
    <row r="308" spans="1:55" x14ac:dyDescent="0.25">
      <c r="A308" s="18"/>
      <c r="B308" s="18"/>
      <c r="C308" s="18"/>
      <c r="D308" s="18"/>
      <c r="E308" s="18"/>
      <c r="F308" s="18"/>
      <c r="G308" s="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</row>
    <row r="309" spans="1:55" x14ac:dyDescent="0.25">
      <c r="A309" s="18"/>
      <c r="B309" s="18"/>
      <c r="C309" s="18"/>
      <c r="D309" s="18"/>
      <c r="E309" s="18"/>
      <c r="F309" s="18"/>
      <c r="G309" s="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</row>
    <row r="310" spans="1:55" x14ac:dyDescent="0.25">
      <c r="A310" s="18"/>
      <c r="B310" s="18"/>
      <c r="C310" s="18"/>
      <c r="D310" s="18"/>
      <c r="E310" s="18"/>
      <c r="F310" s="18"/>
      <c r="G310" s="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</row>
    <row r="311" spans="1:55" x14ac:dyDescent="0.25">
      <c r="A311" s="18"/>
      <c r="B311" s="18"/>
      <c r="C311" s="18"/>
      <c r="D311" s="18"/>
      <c r="E311" s="18"/>
      <c r="F311" s="18"/>
      <c r="G311" s="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</row>
    <row r="312" spans="1:55" x14ac:dyDescent="0.25">
      <c r="A312" s="18"/>
      <c r="B312" s="18"/>
      <c r="C312" s="18"/>
      <c r="D312" s="18"/>
      <c r="E312" s="18"/>
      <c r="F312" s="18"/>
      <c r="G312" s="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</row>
    <row r="313" spans="1:55" x14ac:dyDescent="0.25">
      <c r="A313" s="18"/>
      <c r="B313" s="18"/>
      <c r="C313" s="18"/>
      <c r="D313" s="18"/>
      <c r="E313" s="18"/>
      <c r="F313" s="18"/>
      <c r="G313" s="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</row>
    <row r="314" spans="1:55" x14ac:dyDescent="0.25">
      <c r="A314" s="18"/>
      <c r="B314" s="18"/>
      <c r="C314" s="18"/>
      <c r="D314" s="18"/>
      <c r="E314" s="18"/>
      <c r="F314" s="18"/>
      <c r="G314" s="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</row>
    <row r="315" spans="1:55" x14ac:dyDescent="0.25">
      <c r="A315" s="18"/>
      <c r="B315" s="18"/>
      <c r="C315" s="18"/>
      <c r="D315" s="18"/>
      <c r="E315" s="18"/>
      <c r="F315" s="18"/>
      <c r="G315" s="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</row>
    <row r="316" spans="1:55" x14ac:dyDescent="0.25">
      <c r="A316" s="18"/>
      <c r="B316" s="18"/>
      <c r="C316" s="18"/>
      <c r="D316" s="18"/>
      <c r="E316" s="18"/>
      <c r="F316" s="18"/>
      <c r="G316" s="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</row>
    <row r="317" spans="1:55" x14ac:dyDescent="0.25">
      <c r="A317" s="18"/>
      <c r="B317" s="18"/>
      <c r="C317" s="18"/>
      <c r="D317" s="18"/>
      <c r="E317" s="18"/>
      <c r="F317" s="18"/>
      <c r="G317" s="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</row>
    <row r="318" spans="1:55" x14ac:dyDescent="0.25">
      <c r="A318" s="18"/>
      <c r="B318" s="18"/>
      <c r="C318" s="18"/>
      <c r="D318" s="18"/>
      <c r="E318" s="18"/>
      <c r="F318" s="18"/>
      <c r="G318" s="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</row>
    <row r="319" spans="1:55" x14ac:dyDescent="0.25">
      <c r="A319" s="18"/>
      <c r="B319" s="18"/>
      <c r="C319" s="18"/>
      <c r="D319" s="18"/>
      <c r="E319" s="18"/>
      <c r="F319" s="18"/>
      <c r="G319" s="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</row>
    <row r="320" spans="1:55" x14ac:dyDescent="0.25">
      <c r="A320" s="18"/>
      <c r="B320" s="18"/>
      <c r="C320" s="18"/>
      <c r="D320" s="18"/>
      <c r="E320" s="18"/>
      <c r="F320" s="18"/>
      <c r="G320" s="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</row>
    <row r="321" spans="1:55" x14ac:dyDescent="0.25">
      <c r="A321" s="18"/>
      <c r="B321" s="18"/>
      <c r="C321" s="18"/>
      <c r="D321" s="18"/>
      <c r="E321" s="18"/>
      <c r="F321" s="18"/>
      <c r="G321" s="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</row>
    <row r="322" spans="1:55" x14ac:dyDescent="0.25">
      <c r="A322" s="18"/>
      <c r="B322" s="18"/>
      <c r="C322" s="18"/>
      <c r="D322" s="18"/>
      <c r="E322" s="18"/>
      <c r="F322" s="18"/>
      <c r="G322" s="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</row>
    <row r="323" spans="1:55" x14ac:dyDescent="0.25">
      <c r="A323" s="18"/>
      <c r="B323" s="18"/>
      <c r="C323" s="18"/>
      <c r="D323" s="18"/>
      <c r="E323" s="18"/>
      <c r="F323" s="18"/>
      <c r="G323" s="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</row>
    <row r="324" spans="1:55" x14ac:dyDescent="0.25">
      <c r="A324" s="18"/>
      <c r="B324" s="18"/>
      <c r="C324" s="18"/>
      <c r="D324" s="18"/>
      <c r="E324" s="18"/>
      <c r="F324" s="18"/>
      <c r="G324" s="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</row>
    <row r="325" spans="1:55" x14ac:dyDescent="0.25">
      <c r="A325" s="18"/>
      <c r="B325" s="18"/>
      <c r="C325" s="18"/>
      <c r="D325" s="18"/>
      <c r="E325" s="18"/>
      <c r="F325" s="18"/>
      <c r="G325" s="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</row>
    <row r="326" spans="1:55" x14ac:dyDescent="0.25">
      <c r="A326" s="18"/>
      <c r="B326" s="18"/>
      <c r="C326" s="18"/>
      <c r="D326" s="18"/>
      <c r="E326" s="18"/>
      <c r="F326" s="18"/>
      <c r="G326" s="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</row>
    <row r="327" spans="1:55" x14ac:dyDescent="0.25">
      <c r="A327" s="18"/>
      <c r="B327" s="18"/>
      <c r="C327" s="18"/>
      <c r="D327" s="18"/>
      <c r="E327" s="18"/>
      <c r="F327" s="18"/>
      <c r="G327" s="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</row>
    <row r="328" spans="1:55" x14ac:dyDescent="0.25">
      <c r="A328" s="18"/>
      <c r="B328" s="18"/>
      <c r="C328" s="18"/>
      <c r="D328" s="18"/>
      <c r="E328" s="18"/>
      <c r="F328" s="18"/>
      <c r="G328" s="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</row>
    <row r="329" spans="1:55" x14ac:dyDescent="0.25">
      <c r="A329" s="18"/>
      <c r="B329" s="18"/>
      <c r="C329" s="18"/>
      <c r="D329" s="18"/>
      <c r="E329" s="18"/>
      <c r="F329" s="18"/>
      <c r="G329" s="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</row>
    <row r="330" spans="1:55" x14ac:dyDescent="0.25">
      <c r="A330" s="18"/>
      <c r="B330" s="18"/>
      <c r="C330" s="18"/>
      <c r="D330" s="18"/>
      <c r="E330" s="18"/>
      <c r="F330" s="18"/>
      <c r="G330" s="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</row>
    <row r="331" spans="1:55" x14ac:dyDescent="0.25">
      <c r="A331" s="18"/>
      <c r="B331" s="18"/>
      <c r="C331" s="18"/>
      <c r="D331" s="18"/>
      <c r="E331" s="18"/>
      <c r="F331" s="18"/>
      <c r="G331" s="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</row>
    <row r="332" spans="1:55" x14ac:dyDescent="0.25">
      <c r="A332" s="18"/>
      <c r="B332" s="18"/>
      <c r="C332" s="18"/>
      <c r="D332" s="18"/>
      <c r="E332" s="18"/>
      <c r="F332" s="18"/>
      <c r="G332" s="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</row>
    <row r="333" spans="1:55" x14ac:dyDescent="0.25">
      <c r="A333" s="18"/>
      <c r="B333" s="18"/>
      <c r="C333" s="18"/>
      <c r="D333" s="18"/>
      <c r="E333" s="18"/>
      <c r="F333" s="18"/>
      <c r="G333" s="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</row>
    <row r="334" spans="1:55" x14ac:dyDescent="0.25">
      <c r="A334" s="18"/>
      <c r="B334" s="18"/>
      <c r="C334" s="18"/>
      <c r="D334" s="18"/>
      <c r="E334" s="18"/>
      <c r="F334" s="18"/>
      <c r="G334" s="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</row>
    <row r="335" spans="1:55" x14ac:dyDescent="0.25">
      <c r="A335" s="18"/>
      <c r="B335" s="18"/>
      <c r="C335" s="18"/>
      <c r="D335" s="18"/>
      <c r="E335" s="18"/>
      <c r="F335" s="18"/>
      <c r="G335" s="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</row>
    <row r="336" spans="1:55" x14ac:dyDescent="0.25">
      <c r="A336" s="18"/>
      <c r="B336" s="18"/>
      <c r="C336" s="18"/>
      <c r="D336" s="18"/>
      <c r="E336" s="18"/>
      <c r="F336" s="18"/>
      <c r="G336" s="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</row>
    <row r="337" spans="1:55" x14ac:dyDescent="0.25">
      <c r="A337" s="18"/>
      <c r="B337" s="18"/>
      <c r="C337" s="18"/>
      <c r="D337" s="18"/>
      <c r="E337" s="18"/>
      <c r="F337" s="18"/>
      <c r="G337" s="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</row>
    <row r="338" spans="1:55" x14ac:dyDescent="0.25">
      <c r="A338" s="18"/>
      <c r="B338" s="18"/>
      <c r="C338" s="18"/>
      <c r="D338" s="18"/>
      <c r="E338" s="18"/>
      <c r="F338" s="18"/>
      <c r="G338" s="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</row>
    <row r="339" spans="1:55" x14ac:dyDescent="0.25">
      <c r="A339" s="18"/>
      <c r="B339" s="18"/>
      <c r="C339" s="18"/>
      <c r="D339" s="18"/>
      <c r="E339" s="18"/>
      <c r="F339" s="18"/>
      <c r="G339" s="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</row>
    <row r="340" spans="1:55" x14ac:dyDescent="0.25">
      <c r="A340" s="18"/>
      <c r="B340" s="18"/>
      <c r="C340" s="18"/>
      <c r="D340" s="18"/>
      <c r="E340" s="18"/>
      <c r="F340" s="18"/>
      <c r="G340" s="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</row>
    <row r="341" spans="1:55" x14ac:dyDescent="0.25">
      <c r="A341" s="18"/>
      <c r="B341" s="18"/>
      <c r="C341" s="18"/>
      <c r="D341" s="18"/>
      <c r="E341" s="18"/>
      <c r="F341" s="18"/>
      <c r="G341" s="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</row>
    <row r="342" spans="1:55" x14ac:dyDescent="0.25">
      <c r="A342" s="18"/>
      <c r="B342" s="18"/>
      <c r="C342" s="18"/>
      <c r="D342" s="18"/>
      <c r="E342" s="18"/>
      <c r="F342" s="18"/>
      <c r="G342" s="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</row>
    <row r="343" spans="1:55" x14ac:dyDescent="0.25">
      <c r="A343" s="18"/>
      <c r="B343" s="18"/>
      <c r="C343" s="18"/>
      <c r="D343" s="18"/>
      <c r="E343" s="18"/>
      <c r="F343" s="18"/>
      <c r="G343" s="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</row>
    <row r="344" spans="1:55" x14ac:dyDescent="0.25">
      <c r="A344" s="18"/>
      <c r="B344" s="18"/>
      <c r="C344" s="18"/>
      <c r="D344" s="18"/>
      <c r="E344" s="18"/>
      <c r="F344" s="18"/>
      <c r="G344" s="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</row>
    <row r="345" spans="1:55" x14ac:dyDescent="0.25">
      <c r="A345" s="18"/>
      <c r="B345" s="18"/>
      <c r="C345" s="18"/>
      <c r="D345" s="18"/>
      <c r="E345" s="18"/>
      <c r="F345" s="18"/>
      <c r="G345" s="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</row>
    <row r="346" spans="1:55" x14ac:dyDescent="0.25">
      <c r="A346" s="18"/>
      <c r="B346" s="18"/>
      <c r="C346" s="18"/>
      <c r="D346" s="18"/>
      <c r="E346" s="18"/>
      <c r="F346" s="18"/>
      <c r="G346" s="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</row>
    <row r="347" spans="1:55" x14ac:dyDescent="0.25">
      <c r="A347" s="18"/>
      <c r="B347" s="18"/>
      <c r="C347" s="18"/>
      <c r="D347" s="18"/>
      <c r="E347" s="18"/>
      <c r="F347" s="18"/>
      <c r="G347" s="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</row>
    <row r="348" spans="1:55" x14ac:dyDescent="0.25">
      <c r="A348" s="18"/>
      <c r="B348" s="18"/>
      <c r="C348" s="18"/>
      <c r="D348" s="18"/>
      <c r="E348" s="18"/>
      <c r="F348" s="18"/>
      <c r="G348" s="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</row>
    <row r="349" spans="1:55" x14ac:dyDescent="0.25">
      <c r="A349" s="18"/>
      <c r="B349" s="18"/>
      <c r="C349" s="18"/>
      <c r="D349" s="18"/>
      <c r="E349" s="18"/>
      <c r="F349" s="18"/>
      <c r="G349" s="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</row>
    <row r="350" spans="1:55" x14ac:dyDescent="0.25">
      <c r="A350" s="18"/>
      <c r="B350" s="18"/>
      <c r="C350" s="18"/>
      <c r="D350" s="18"/>
      <c r="E350" s="18"/>
      <c r="F350" s="18"/>
      <c r="G350" s="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</row>
    <row r="351" spans="1:55" x14ac:dyDescent="0.25">
      <c r="A351" s="18"/>
      <c r="B351" s="18"/>
      <c r="C351" s="18"/>
      <c r="D351" s="18"/>
      <c r="E351" s="18"/>
      <c r="F351" s="18"/>
      <c r="G351" s="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</row>
    <row r="352" spans="1:55" x14ac:dyDescent="0.25">
      <c r="A352" s="18"/>
      <c r="B352" s="18"/>
      <c r="C352" s="18"/>
      <c r="D352" s="18"/>
      <c r="E352" s="18"/>
      <c r="F352" s="18"/>
      <c r="G352" s="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</row>
    <row r="353" spans="1:55" x14ac:dyDescent="0.25">
      <c r="A353" s="18"/>
      <c r="B353" s="18"/>
      <c r="C353" s="18"/>
      <c r="D353" s="18"/>
      <c r="E353" s="18"/>
      <c r="F353" s="18"/>
      <c r="G353" s="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</row>
    <row r="354" spans="1:55" x14ac:dyDescent="0.25">
      <c r="A354" s="18"/>
      <c r="B354" s="18"/>
      <c r="C354" s="18"/>
      <c r="D354" s="18"/>
      <c r="E354" s="18"/>
      <c r="F354" s="18"/>
      <c r="G354" s="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</row>
    <row r="355" spans="1:55" x14ac:dyDescent="0.25">
      <c r="A355" s="18"/>
      <c r="B355" s="18"/>
      <c r="C355" s="18"/>
      <c r="D355" s="18"/>
      <c r="E355" s="18"/>
      <c r="F355" s="18"/>
      <c r="G355" s="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</row>
    <row r="356" spans="1:55" x14ac:dyDescent="0.25">
      <c r="A356" s="18"/>
      <c r="B356" s="18"/>
      <c r="C356" s="18"/>
      <c r="D356" s="18"/>
      <c r="E356" s="18"/>
      <c r="F356" s="18"/>
      <c r="G356" s="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</row>
    <row r="357" spans="1:55" x14ac:dyDescent="0.25">
      <c r="A357" s="18"/>
      <c r="B357" s="18"/>
      <c r="C357" s="18"/>
      <c r="D357" s="18"/>
      <c r="E357" s="18"/>
      <c r="F357" s="18"/>
      <c r="G357" s="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</row>
    <row r="358" spans="1:55" x14ac:dyDescent="0.25">
      <c r="A358" s="18"/>
      <c r="B358" s="18"/>
      <c r="C358" s="18"/>
      <c r="D358" s="18"/>
      <c r="E358" s="18"/>
      <c r="F358" s="18"/>
      <c r="G358" s="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</row>
    <row r="359" spans="1:55" x14ac:dyDescent="0.25">
      <c r="A359" s="18"/>
      <c r="B359" s="18"/>
      <c r="C359" s="18"/>
      <c r="D359" s="18"/>
      <c r="E359" s="18"/>
      <c r="F359" s="18"/>
      <c r="G359" s="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</row>
    <row r="360" spans="1:55" x14ac:dyDescent="0.25">
      <c r="A360" s="18"/>
      <c r="B360" s="18"/>
      <c r="C360" s="18"/>
      <c r="D360" s="18"/>
      <c r="E360" s="18"/>
      <c r="F360" s="18"/>
      <c r="G360" s="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</row>
    <row r="361" spans="1:55" x14ac:dyDescent="0.25">
      <c r="A361" s="18"/>
      <c r="B361" s="18"/>
      <c r="C361" s="18"/>
      <c r="D361" s="18"/>
      <c r="E361" s="18"/>
      <c r="F361" s="18"/>
      <c r="G361" s="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</row>
    <row r="362" spans="1:55" x14ac:dyDescent="0.25">
      <c r="A362" s="18"/>
      <c r="B362" s="18"/>
      <c r="C362" s="18"/>
      <c r="D362" s="18"/>
      <c r="E362" s="18"/>
      <c r="F362" s="18"/>
      <c r="G362" s="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</row>
    <row r="363" spans="1:55" x14ac:dyDescent="0.25">
      <c r="A363" s="18"/>
      <c r="B363" s="18"/>
      <c r="C363" s="18"/>
      <c r="D363" s="18"/>
      <c r="E363" s="18"/>
      <c r="F363" s="18"/>
      <c r="G363" s="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</row>
    <row r="364" spans="1:55" x14ac:dyDescent="0.25">
      <c r="A364" s="18"/>
      <c r="B364" s="18"/>
      <c r="C364" s="18"/>
      <c r="D364" s="18"/>
      <c r="E364" s="18"/>
      <c r="F364" s="18"/>
      <c r="G364" s="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</row>
    <row r="365" spans="1:55" x14ac:dyDescent="0.25">
      <c r="A365" s="18"/>
      <c r="B365" s="18"/>
      <c r="C365" s="18"/>
      <c r="D365" s="18"/>
      <c r="E365" s="18"/>
      <c r="F365" s="18"/>
      <c r="G365" s="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</row>
    <row r="366" spans="1:55" x14ac:dyDescent="0.25">
      <c r="A366" s="18"/>
      <c r="B366" s="18"/>
      <c r="C366" s="18"/>
      <c r="D366" s="18"/>
      <c r="E366" s="18"/>
      <c r="F366" s="18"/>
      <c r="G366" s="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</row>
    <row r="367" spans="1:55" x14ac:dyDescent="0.25">
      <c r="A367" s="18"/>
      <c r="B367" s="18"/>
      <c r="C367" s="18"/>
      <c r="D367" s="18"/>
      <c r="E367" s="18"/>
      <c r="F367" s="18"/>
      <c r="G367" s="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</row>
    <row r="368" spans="1:55" x14ac:dyDescent="0.25">
      <c r="A368" s="18"/>
      <c r="B368" s="18"/>
      <c r="C368" s="18"/>
      <c r="D368" s="18"/>
      <c r="E368" s="18"/>
      <c r="F368" s="18"/>
      <c r="G368" s="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</row>
    <row r="369" spans="1:55" x14ac:dyDescent="0.25">
      <c r="A369" s="18"/>
      <c r="B369" s="18"/>
      <c r="C369" s="18"/>
      <c r="D369" s="18"/>
      <c r="E369" s="18"/>
      <c r="F369" s="18"/>
      <c r="G369" s="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</row>
    <row r="370" spans="1:55" x14ac:dyDescent="0.25">
      <c r="A370" s="18"/>
      <c r="B370" s="18"/>
      <c r="C370" s="18"/>
      <c r="D370" s="18"/>
      <c r="E370" s="18"/>
      <c r="F370" s="18"/>
      <c r="G370" s="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</row>
    <row r="371" spans="1:55" x14ac:dyDescent="0.25">
      <c r="A371" s="18"/>
      <c r="B371" s="18"/>
      <c r="C371" s="18"/>
      <c r="D371" s="18"/>
      <c r="E371" s="18"/>
      <c r="F371" s="18"/>
      <c r="G371" s="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</row>
    <row r="372" spans="1:55" x14ac:dyDescent="0.25">
      <c r="A372" s="18"/>
      <c r="B372" s="18"/>
      <c r="C372" s="18"/>
      <c r="D372" s="18"/>
      <c r="E372" s="18"/>
      <c r="F372" s="18"/>
      <c r="G372" s="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</row>
    <row r="373" spans="1:55" x14ac:dyDescent="0.25">
      <c r="A373" s="18"/>
      <c r="B373" s="18"/>
      <c r="C373" s="18"/>
      <c r="D373" s="18"/>
      <c r="E373" s="18"/>
      <c r="F373" s="18"/>
      <c r="G373" s="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</row>
    <row r="374" spans="1:55" x14ac:dyDescent="0.25">
      <c r="A374" s="18"/>
      <c r="B374" s="18"/>
      <c r="C374" s="18"/>
      <c r="D374" s="18"/>
      <c r="E374" s="18"/>
      <c r="F374" s="18"/>
      <c r="G374" s="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</row>
    <row r="375" spans="1:55" x14ac:dyDescent="0.25">
      <c r="A375" s="18"/>
      <c r="B375" s="18"/>
      <c r="C375" s="18"/>
      <c r="D375" s="18"/>
      <c r="E375" s="18"/>
      <c r="F375" s="18"/>
      <c r="G375" s="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</row>
    <row r="376" spans="1:55" x14ac:dyDescent="0.25">
      <c r="A376" s="18"/>
      <c r="B376" s="18"/>
      <c r="C376" s="18"/>
      <c r="D376" s="18"/>
      <c r="E376" s="18"/>
      <c r="F376" s="18"/>
      <c r="G376" s="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</row>
    <row r="377" spans="1:55" x14ac:dyDescent="0.25">
      <c r="A377" s="18"/>
      <c r="B377" s="18"/>
      <c r="C377" s="18"/>
      <c r="D377" s="18"/>
      <c r="E377" s="18"/>
      <c r="F377" s="18"/>
      <c r="G377" s="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</row>
    <row r="378" spans="1:55" x14ac:dyDescent="0.25">
      <c r="A378" s="18"/>
      <c r="B378" s="18"/>
      <c r="C378" s="18"/>
      <c r="D378" s="18"/>
      <c r="E378" s="18"/>
      <c r="F378" s="18"/>
      <c r="G378" s="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</row>
    <row r="379" spans="1:55" x14ac:dyDescent="0.25">
      <c r="A379" s="18"/>
      <c r="B379" s="18"/>
      <c r="C379" s="18"/>
      <c r="D379" s="18"/>
      <c r="E379" s="18"/>
      <c r="F379" s="18"/>
      <c r="G379" s="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</row>
    <row r="380" spans="1:55" x14ac:dyDescent="0.25">
      <c r="A380" s="18"/>
      <c r="B380" s="18"/>
      <c r="C380" s="18"/>
      <c r="D380" s="18"/>
      <c r="E380" s="18"/>
      <c r="F380" s="18"/>
      <c r="G380" s="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</row>
    <row r="381" spans="1:55" x14ac:dyDescent="0.25">
      <c r="A381" s="18"/>
      <c r="B381" s="18"/>
      <c r="C381" s="18"/>
      <c r="D381" s="18"/>
      <c r="E381" s="18"/>
      <c r="F381" s="18"/>
      <c r="G381" s="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</row>
    <row r="382" spans="1:55" x14ac:dyDescent="0.25">
      <c r="A382" s="18"/>
      <c r="B382" s="18"/>
      <c r="C382" s="18"/>
      <c r="D382" s="18"/>
      <c r="E382" s="18"/>
      <c r="F382" s="18"/>
      <c r="G382" s="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</row>
    <row r="383" spans="1:55" x14ac:dyDescent="0.25">
      <c r="A383" s="18"/>
      <c r="B383" s="18"/>
      <c r="C383" s="18"/>
      <c r="D383" s="18"/>
      <c r="E383" s="18"/>
      <c r="F383" s="18"/>
      <c r="G383" s="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</row>
    <row r="384" spans="1:55" x14ac:dyDescent="0.25">
      <c r="A384" s="18"/>
      <c r="B384" s="18"/>
      <c r="C384" s="18"/>
      <c r="D384" s="18"/>
      <c r="E384" s="18"/>
      <c r="F384" s="18"/>
      <c r="G384" s="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</row>
    <row r="385" spans="1:55" x14ac:dyDescent="0.25">
      <c r="A385" s="18"/>
      <c r="B385" s="18"/>
      <c r="C385" s="18"/>
      <c r="D385" s="18"/>
      <c r="E385" s="18"/>
      <c r="F385" s="18"/>
      <c r="G385" s="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</row>
    <row r="386" spans="1:55" x14ac:dyDescent="0.25">
      <c r="A386" s="18"/>
      <c r="B386" s="18"/>
      <c r="C386" s="18"/>
      <c r="D386" s="18"/>
      <c r="E386" s="18"/>
      <c r="F386" s="18"/>
      <c r="G386" s="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</row>
    <row r="387" spans="1:55" x14ac:dyDescent="0.25">
      <c r="A387" s="18"/>
      <c r="B387" s="18"/>
      <c r="C387" s="18"/>
      <c r="D387" s="18"/>
      <c r="E387" s="18"/>
      <c r="F387" s="18"/>
      <c r="G387" s="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</row>
    <row r="388" spans="1:55" x14ac:dyDescent="0.25">
      <c r="A388" s="18"/>
      <c r="B388" s="18"/>
      <c r="C388" s="18"/>
      <c r="D388" s="18"/>
      <c r="E388" s="18"/>
      <c r="F388" s="18"/>
      <c r="G388" s="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</row>
    <row r="389" spans="1:55" x14ac:dyDescent="0.25">
      <c r="A389" s="18"/>
      <c r="B389" s="18"/>
      <c r="C389" s="18"/>
      <c r="D389" s="18"/>
      <c r="E389" s="18"/>
      <c r="F389" s="18"/>
      <c r="G389" s="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</row>
    <row r="390" spans="1:55" x14ac:dyDescent="0.25">
      <c r="A390" s="18"/>
      <c r="B390" s="18"/>
      <c r="C390" s="18"/>
      <c r="D390" s="18"/>
      <c r="E390" s="18"/>
      <c r="F390" s="18"/>
      <c r="G390" s="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</row>
    <row r="391" spans="1:55" x14ac:dyDescent="0.25">
      <c r="A391" s="18"/>
      <c r="B391" s="18"/>
      <c r="C391" s="18"/>
      <c r="D391" s="18"/>
      <c r="E391" s="18"/>
      <c r="F391" s="18"/>
      <c r="G391" s="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</row>
    <row r="392" spans="1:55" x14ac:dyDescent="0.25">
      <c r="A392" s="18"/>
      <c r="B392" s="18"/>
      <c r="C392" s="18"/>
      <c r="D392" s="18"/>
      <c r="E392" s="18"/>
      <c r="F392" s="18"/>
      <c r="G392" s="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</row>
    <row r="393" spans="1:55" x14ac:dyDescent="0.25">
      <c r="A393" s="18"/>
      <c r="B393" s="18"/>
      <c r="C393" s="18"/>
      <c r="D393" s="18"/>
      <c r="E393" s="18"/>
      <c r="F393" s="18"/>
      <c r="G393" s="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</row>
    <row r="394" spans="1:55" x14ac:dyDescent="0.25">
      <c r="A394" s="18"/>
      <c r="B394" s="18"/>
      <c r="C394" s="18"/>
      <c r="D394" s="18"/>
      <c r="E394" s="18"/>
      <c r="F394" s="18"/>
      <c r="G394" s="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</row>
    <row r="395" spans="1:55" x14ac:dyDescent="0.25">
      <c r="A395" s="18"/>
      <c r="B395" s="18"/>
      <c r="C395" s="18"/>
      <c r="D395" s="18"/>
      <c r="E395" s="18"/>
      <c r="F395" s="18"/>
      <c r="G395" s="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</row>
    <row r="396" spans="1:55" x14ac:dyDescent="0.25">
      <c r="A396" s="18"/>
      <c r="B396" s="18"/>
      <c r="C396" s="18"/>
      <c r="D396" s="18"/>
      <c r="E396" s="18"/>
      <c r="F396" s="18"/>
      <c r="G396" s="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</row>
    <row r="397" spans="1:55" x14ac:dyDescent="0.25">
      <c r="A397" s="18"/>
      <c r="B397" s="18"/>
      <c r="C397" s="18"/>
      <c r="D397" s="18"/>
      <c r="E397" s="18"/>
      <c r="F397" s="18"/>
      <c r="G397" s="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</row>
    <row r="398" spans="1:55" x14ac:dyDescent="0.25">
      <c r="A398" s="18"/>
      <c r="B398" s="18"/>
      <c r="C398" s="18"/>
      <c r="D398" s="18"/>
      <c r="E398" s="18"/>
      <c r="F398" s="18"/>
      <c r="G398" s="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</row>
    <row r="399" spans="1:55" x14ac:dyDescent="0.25">
      <c r="A399" s="18"/>
      <c r="B399" s="18"/>
      <c r="C399" s="18"/>
      <c r="D399" s="18"/>
      <c r="E399" s="18"/>
      <c r="F399" s="18"/>
      <c r="G399" s="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</row>
    <row r="400" spans="1:55" x14ac:dyDescent="0.25">
      <c r="A400" s="18"/>
      <c r="B400" s="18"/>
      <c r="C400" s="18"/>
      <c r="D400" s="18"/>
      <c r="E400" s="18"/>
      <c r="F400" s="18"/>
      <c r="G400" s="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</row>
    <row r="401" spans="1:55" x14ac:dyDescent="0.25">
      <c r="A401" s="18"/>
      <c r="B401" s="18"/>
      <c r="C401" s="18"/>
      <c r="D401" s="18"/>
      <c r="E401" s="18"/>
      <c r="F401" s="18"/>
      <c r="G401" s="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</row>
    <row r="402" spans="1:55" x14ac:dyDescent="0.25">
      <c r="A402" s="18"/>
      <c r="B402" s="18"/>
      <c r="C402" s="18"/>
      <c r="D402" s="18"/>
      <c r="E402" s="18"/>
      <c r="F402" s="18"/>
      <c r="G402" s="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</row>
    <row r="403" spans="1:55" x14ac:dyDescent="0.25">
      <c r="A403" s="18"/>
      <c r="B403" s="18"/>
      <c r="C403" s="18"/>
      <c r="D403" s="18"/>
      <c r="E403" s="18"/>
      <c r="F403" s="18"/>
      <c r="G403" s="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</row>
    <row r="404" spans="1:55" x14ac:dyDescent="0.25">
      <c r="A404" s="18"/>
      <c r="B404" s="18"/>
      <c r="C404" s="18"/>
      <c r="D404" s="18"/>
      <c r="E404" s="18"/>
      <c r="F404" s="18"/>
      <c r="G404" s="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</row>
    <row r="405" spans="1:55" x14ac:dyDescent="0.25">
      <c r="A405" s="18"/>
      <c r="B405" s="18"/>
      <c r="C405" s="18"/>
      <c r="D405" s="18"/>
      <c r="E405" s="18"/>
      <c r="F405" s="18"/>
      <c r="G405" s="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</row>
    <row r="406" spans="1:55" x14ac:dyDescent="0.25">
      <c r="A406" s="18"/>
      <c r="B406" s="18"/>
      <c r="C406" s="18"/>
      <c r="D406" s="18"/>
      <c r="E406" s="18"/>
      <c r="F406" s="18"/>
      <c r="G406" s="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</row>
    <row r="407" spans="1:55" x14ac:dyDescent="0.25">
      <c r="A407" s="18"/>
      <c r="B407" s="18"/>
      <c r="C407" s="18"/>
      <c r="D407" s="18"/>
      <c r="E407" s="18"/>
      <c r="F407" s="18"/>
      <c r="G407" s="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</row>
    <row r="408" spans="1:55" x14ac:dyDescent="0.25">
      <c r="A408" s="18"/>
      <c r="B408" s="18"/>
      <c r="C408" s="18"/>
      <c r="D408" s="18"/>
      <c r="E408" s="18"/>
      <c r="F408" s="18"/>
      <c r="G408" s="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</row>
    <row r="409" spans="1:55" x14ac:dyDescent="0.25">
      <c r="A409" s="18"/>
      <c r="B409" s="18"/>
      <c r="C409" s="18"/>
      <c r="D409" s="18"/>
      <c r="E409" s="18"/>
      <c r="F409" s="18"/>
      <c r="G409" s="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</row>
    <row r="410" spans="1:55" x14ac:dyDescent="0.25">
      <c r="A410" s="18"/>
      <c r="B410" s="18"/>
      <c r="C410" s="18"/>
      <c r="D410" s="18"/>
      <c r="E410" s="18"/>
      <c r="F410" s="18"/>
      <c r="G410" s="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</row>
    <row r="411" spans="1:55" x14ac:dyDescent="0.25">
      <c r="A411" s="18"/>
      <c r="B411" s="18"/>
      <c r="C411" s="18"/>
      <c r="D411" s="18"/>
      <c r="E411" s="18"/>
      <c r="F411" s="18"/>
      <c r="G411" s="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</row>
    <row r="412" spans="1:55" x14ac:dyDescent="0.25">
      <c r="A412" s="18"/>
      <c r="B412" s="18"/>
      <c r="C412" s="18"/>
      <c r="D412" s="18"/>
      <c r="E412" s="18"/>
      <c r="F412" s="18"/>
      <c r="G412" s="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</row>
    <row r="413" spans="1:55" x14ac:dyDescent="0.25">
      <c r="A413" s="18"/>
      <c r="B413" s="18"/>
      <c r="C413" s="18"/>
      <c r="D413" s="18"/>
      <c r="E413" s="18"/>
      <c r="F413" s="18"/>
      <c r="G413" s="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</row>
    <row r="414" spans="1:55" x14ac:dyDescent="0.25">
      <c r="A414" s="18"/>
      <c r="B414" s="18"/>
      <c r="C414" s="18"/>
      <c r="D414" s="18"/>
      <c r="E414" s="18"/>
      <c r="F414" s="18"/>
      <c r="G414" s="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</row>
    <row r="415" spans="1:55" x14ac:dyDescent="0.25">
      <c r="A415" s="18"/>
      <c r="B415" s="18"/>
      <c r="C415" s="18"/>
      <c r="D415" s="18"/>
      <c r="E415" s="18"/>
      <c r="F415" s="18"/>
      <c r="G415" s="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</row>
    <row r="416" spans="1:55" x14ac:dyDescent="0.25">
      <c r="A416" s="18"/>
      <c r="B416" s="18"/>
      <c r="C416" s="18"/>
      <c r="D416" s="18"/>
      <c r="E416" s="18"/>
      <c r="F416" s="18"/>
      <c r="G416" s="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</row>
    <row r="417" spans="1:55" x14ac:dyDescent="0.25">
      <c r="A417" s="18"/>
      <c r="B417" s="18"/>
      <c r="C417" s="18"/>
      <c r="D417" s="18"/>
      <c r="E417" s="18"/>
      <c r="F417" s="18"/>
      <c r="G417" s="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</row>
    <row r="418" spans="1:55" x14ac:dyDescent="0.25">
      <c r="A418" s="18"/>
      <c r="B418" s="18"/>
      <c r="C418" s="18"/>
      <c r="D418" s="18"/>
      <c r="E418" s="18"/>
      <c r="F418" s="18"/>
      <c r="G418" s="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</row>
    <row r="419" spans="1:55" x14ac:dyDescent="0.25">
      <c r="A419" s="18"/>
      <c r="B419" s="18"/>
      <c r="C419" s="18"/>
      <c r="D419" s="18"/>
      <c r="E419" s="18"/>
      <c r="F419" s="18"/>
      <c r="G419" s="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</row>
    <row r="420" spans="1:55" x14ac:dyDescent="0.25">
      <c r="A420" s="18"/>
      <c r="B420" s="18"/>
      <c r="C420" s="18"/>
      <c r="D420" s="18"/>
      <c r="E420" s="18"/>
      <c r="F420" s="18"/>
      <c r="G420" s="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</row>
    <row r="421" spans="1:55" x14ac:dyDescent="0.25">
      <c r="A421" s="18"/>
      <c r="B421" s="18"/>
      <c r="C421" s="18"/>
      <c r="D421" s="18"/>
      <c r="E421" s="18"/>
      <c r="F421" s="18"/>
      <c r="G421" s="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</row>
    <row r="422" spans="1:55" x14ac:dyDescent="0.25">
      <c r="A422" s="18"/>
      <c r="B422" s="18"/>
      <c r="C422" s="18"/>
      <c r="D422" s="18"/>
      <c r="E422" s="18"/>
      <c r="F422" s="18"/>
      <c r="G422" s="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</row>
    <row r="423" spans="1:55" x14ac:dyDescent="0.25">
      <c r="A423" s="18"/>
      <c r="B423" s="18"/>
      <c r="C423" s="18"/>
      <c r="D423" s="18"/>
      <c r="E423" s="18"/>
      <c r="F423" s="18"/>
      <c r="G423" s="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</row>
    <row r="424" spans="1:55" x14ac:dyDescent="0.25">
      <c r="A424" s="18"/>
      <c r="B424" s="18"/>
      <c r="C424" s="18"/>
      <c r="D424" s="18"/>
      <c r="E424" s="18"/>
      <c r="F424" s="18"/>
      <c r="G424" s="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</row>
    <row r="425" spans="1:55" x14ac:dyDescent="0.25">
      <c r="A425" s="18"/>
      <c r="B425" s="18"/>
      <c r="C425" s="18"/>
      <c r="D425" s="18"/>
      <c r="E425" s="18"/>
      <c r="F425" s="18"/>
      <c r="G425" s="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</row>
    <row r="426" spans="1:55" x14ac:dyDescent="0.25">
      <c r="A426" s="18"/>
      <c r="B426" s="18"/>
      <c r="C426" s="18"/>
      <c r="D426" s="18"/>
      <c r="E426" s="18"/>
      <c r="F426" s="18"/>
      <c r="G426" s="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</row>
    <row r="427" spans="1:55" x14ac:dyDescent="0.25">
      <c r="A427" s="18"/>
      <c r="B427" s="18"/>
      <c r="C427" s="18"/>
      <c r="D427" s="18"/>
      <c r="E427" s="18"/>
      <c r="F427" s="18"/>
      <c r="G427" s="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</row>
    <row r="428" spans="1:55" x14ac:dyDescent="0.25">
      <c r="A428" s="18"/>
      <c r="B428" s="18"/>
      <c r="C428" s="18"/>
      <c r="D428" s="18"/>
      <c r="E428" s="18"/>
      <c r="F428" s="18"/>
      <c r="G428" s="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</row>
    <row r="429" spans="1:55" x14ac:dyDescent="0.25">
      <c r="A429" s="18"/>
      <c r="B429" s="18"/>
      <c r="C429" s="18"/>
      <c r="D429" s="18"/>
      <c r="E429" s="18"/>
      <c r="F429" s="18"/>
      <c r="G429" s="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</row>
    <row r="430" spans="1:55" x14ac:dyDescent="0.25">
      <c r="A430" s="18"/>
      <c r="B430" s="18"/>
      <c r="C430" s="18"/>
      <c r="D430" s="18"/>
      <c r="E430" s="18"/>
      <c r="F430" s="18"/>
      <c r="G430" s="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</row>
    <row r="431" spans="1:55" x14ac:dyDescent="0.25">
      <c r="A431" s="18"/>
      <c r="B431" s="18"/>
      <c r="C431" s="18"/>
      <c r="D431" s="18"/>
      <c r="E431" s="18"/>
      <c r="F431" s="18"/>
      <c r="G431" s="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</row>
    <row r="432" spans="1:55" x14ac:dyDescent="0.25">
      <c r="A432" s="18"/>
      <c r="B432" s="18"/>
      <c r="C432" s="18"/>
      <c r="D432" s="18"/>
      <c r="E432" s="18"/>
      <c r="F432" s="18"/>
      <c r="G432" s="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</row>
    <row r="433" spans="1:55" x14ac:dyDescent="0.25">
      <c r="A433" s="18"/>
      <c r="B433" s="18"/>
      <c r="C433" s="18"/>
      <c r="D433" s="18"/>
      <c r="E433" s="18"/>
      <c r="F433" s="18"/>
      <c r="G433" s="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</row>
    <row r="434" spans="1:55" x14ac:dyDescent="0.25">
      <c r="A434" s="18"/>
      <c r="B434" s="18"/>
      <c r="C434" s="18"/>
      <c r="D434" s="18"/>
      <c r="E434" s="18"/>
      <c r="F434" s="18"/>
      <c r="G434" s="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</row>
    <row r="435" spans="1:55" x14ac:dyDescent="0.25">
      <c r="A435" s="18"/>
      <c r="B435" s="18"/>
      <c r="C435" s="18"/>
      <c r="D435" s="18"/>
      <c r="E435" s="18"/>
      <c r="F435" s="18"/>
      <c r="G435" s="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</row>
    <row r="436" spans="1:55" x14ac:dyDescent="0.25">
      <c r="A436" s="18"/>
      <c r="B436" s="18"/>
      <c r="C436" s="18"/>
      <c r="D436" s="18"/>
      <c r="E436" s="18"/>
      <c r="F436" s="18"/>
      <c r="G436" s="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</row>
    <row r="437" spans="1:55" x14ac:dyDescent="0.25">
      <c r="A437" s="18"/>
      <c r="B437" s="18"/>
      <c r="C437" s="18"/>
      <c r="D437" s="18"/>
      <c r="E437" s="18"/>
      <c r="F437" s="18"/>
      <c r="G437" s="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</row>
    <row r="438" spans="1:55" x14ac:dyDescent="0.25">
      <c r="A438" s="18"/>
      <c r="B438" s="18"/>
      <c r="C438" s="18"/>
      <c r="D438" s="18"/>
      <c r="E438" s="18"/>
      <c r="F438" s="18"/>
      <c r="G438" s="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</row>
    <row r="439" spans="1:55" x14ac:dyDescent="0.25">
      <c r="A439" s="18"/>
      <c r="B439" s="18"/>
      <c r="C439" s="18"/>
      <c r="D439" s="18"/>
      <c r="E439" s="18"/>
      <c r="F439" s="18"/>
      <c r="G439" s="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</row>
    <row r="440" spans="1:55" x14ac:dyDescent="0.25">
      <c r="A440" s="18"/>
      <c r="B440" s="18"/>
      <c r="C440" s="18"/>
      <c r="D440" s="18"/>
      <c r="E440" s="18"/>
      <c r="F440" s="18"/>
      <c r="G440" s="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</row>
    <row r="441" spans="1:55" x14ac:dyDescent="0.25">
      <c r="A441" s="18"/>
      <c r="B441" s="18"/>
      <c r="C441" s="18"/>
      <c r="D441" s="18"/>
      <c r="E441" s="18"/>
      <c r="F441" s="18"/>
      <c r="G441" s="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</row>
    <row r="442" spans="1:55" x14ac:dyDescent="0.25">
      <c r="A442" s="18"/>
      <c r="B442" s="18"/>
      <c r="C442" s="18"/>
      <c r="D442" s="18"/>
      <c r="E442" s="18"/>
      <c r="F442" s="18"/>
      <c r="G442" s="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</row>
    <row r="443" spans="1:55" x14ac:dyDescent="0.25">
      <c r="A443" s="18"/>
      <c r="B443" s="18"/>
      <c r="C443" s="18"/>
      <c r="D443" s="18"/>
      <c r="E443" s="18"/>
      <c r="F443" s="18"/>
      <c r="G443" s="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</row>
    <row r="444" spans="1:55" x14ac:dyDescent="0.25">
      <c r="A444" s="18"/>
      <c r="B444" s="18"/>
      <c r="C444" s="18"/>
      <c r="D444" s="18"/>
      <c r="E444" s="18"/>
      <c r="F444" s="18"/>
      <c r="G444" s="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</row>
    <row r="445" spans="1:55" x14ac:dyDescent="0.25">
      <c r="A445" s="18"/>
      <c r="B445" s="18"/>
      <c r="C445" s="18"/>
      <c r="D445" s="18"/>
      <c r="E445" s="18"/>
      <c r="F445" s="18"/>
      <c r="G445" s="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</row>
    <row r="446" spans="1:55" x14ac:dyDescent="0.25">
      <c r="A446" s="18"/>
      <c r="B446" s="18"/>
      <c r="C446" s="18"/>
      <c r="D446" s="18"/>
      <c r="E446" s="18"/>
      <c r="F446" s="18"/>
      <c r="G446" s="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</row>
    <row r="447" spans="1:55" x14ac:dyDescent="0.25">
      <c r="A447" s="18"/>
      <c r="B447" s="18"/>
      <c r="C447" s="18"/>
      <c r="D447" s="18"/>
      <c r="E447" s="18"/>
      <c r="F447" s="18"/>
      <c r="G447" s="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</row>
    <row r="448" spans="1:55" x14ac:dyDescent="0.25">
      <c r="A448" s="18"/>
      <c r="B448" s="18"/>
      <c r="C448" s="18"/>
      <c r="D448" s="18"/>
      <c r="E448" s="18"/>
      <c r="F448" s="18"/>
      <c r="G448" s="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</row>
    <row r="449" spans="1:55" x14ac:dyDescent="0.25">
      <c r="A449" s="18"/>
      <c r="B449" s="18"/>
      <c r="C449" s="18"/>
      <c r="D449" s="18"/>
      <c r="E449" s="18"/>
      <c r="F449" s="18"/>
      <c r="G449" s="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</row>
    <row r="450" spans="1:55" x14ac:dyDescent="0.25">
      <c r="A450" s="18"/>
      <c r="B450" s="18"/>
      <c r="C450" s="18"/>
      <c r="D450" s="18"/>
      <c r="E450" s="18"/>
      <c r="F450" s="18"/>
      <c r="G450" s="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</row>
    <row r="451" spans="1:55" x14ac:dyDescent="0.25">
      <c r="A451" s="18"/>
      <c r="B451" s="18"/>
      <c r="C451" s="18"/>
      <c r="D451" s="18"/>
      <c r="E451" s="18"/>
      <c r="F451" s="18"/>
      <c r="G451" s="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</row>
    <row r="452" spans="1:55" x14ac:dyDescent="0.25">
      <c r="A452" s="18"/>
      <c r="B452" s="18"/>
      <c r="C452" s="18"/>
      <c r="D452" s="18"/>
      <c r="E452" s="18"/>
      <c r="F452" s="18"/>
      <c r="G452" s="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</row>
    <row r="453" spans="1:55" x14ac:dyDescent="0.25">
      <c r="A453" s="18"/>
      <c r="B453" s="18"/>
      <c r="C453" s="18"/>
      <c r="D453" s="18"/>
      <c r="E453" s="18"/>
      <c r="F453" s="18"/>
      <c r="G453" s="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</row>
    <row r="454" spans="1:55" x14ac:dyDescent="0.25">
      <c r="A454" s="18"/>
      <c r="B454" s="18"/>
      <c r="C454" s="18"/>
      <c r="D454" s="18"/>
      <c r="E454" s="18"/>
      <c r="F454" s="18"/>
      <c r="G454" s="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</row>
    <row r="455" spans="1:55" x14ac:dyDescent="0.25">
      <c r="A455" s="18"/>
      <c r="B455" s="18"/>
      <c r="C455" s="18"/>
      <c r="D455" s="18"/>
      <c r="E455" s="18"/>
      <c r="F455" s="18"/>
      <c r="G455" s="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</row>
    <row r="456" spans="1:55" x14ac:dyDescent="0.25">
      <c r="A456" s="18"/>
      <c r="B456" s="18"/>
      <c r="C456" s="18"/>
      <c r="D456" s="18"/>
      <c r="E456" s="18"/>
      <c r="F456" s="18"/>
      <c r="G456" s="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</row>
    <row r="457" spans="1:55" x14ac:dyDescent="0.25">
      <c r="A457" s="18"/>
      <c r="B457" s="18"/>
      <c r="C457" s="18"/>
      <c r="D457" s="18"/>
      <c r="E457" s="18"/>
      <c r="F457" s="18"/>
      <c r="G457" s="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</row>
    <row r="458" spans="1:55" x14ac:dyDescent="0.25">
      <c r="A458" s="18"/>
      <c r="B458" s="18"/>
      <c r="C458" s="18"/>
      <c r="D458" s="18"/>
      <c r="E458" s="18"/>
      <c r="F458" s="18"/>
      <c r="G458" s="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</row>
    <row r="459" spans="1:55" x14ac:dyDescent="0.25">
      <c r="A459" s="18"/>
      <c r="B459" s="18"/>
      <c r="C459" s="18"/>
      <c r="D459" s="18"/>
      <c r="E459" s="18"/>
      <c r="F459" s="18"/>
      <c r="G459" s="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</row>
    <row r="460" spans="1:55" x14ac:dyDescent="0.25">
      <c r="A460" s="18"/>
      <c r="B460" s="18"/>
      <c r="C460" s="18"/>
      <c r="D460" s="18"/>
      <c r="E460" s="18"/>
      <c r="F460" s="18"/>
      <c r="G460" s="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</row>
    <row r="461" spans="1:55" x14ac:dyDescent="0.25">
      <c r="A461" s="18"/>
      <c r="B461" s="18"/>
      <c r="C461" s="18"/>
      <c r="D461" s="18"/>
      <c r="E461" s="18"/>
      <c r="F461" s="18"/>
      <c r="G461" s="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</row>
    <row r="462" spans="1:55" x14ac:dyDescent="0.25">
      <c r="A462" s="18"/>
      <c r="B462" s="18"/>
      <c r="C462" s="18"/>
      <c r="D462" s="18"/>
      <c r="E462" s="18"/>
      <c r="F462" s="18"/>
      <c r="G462" s="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</row>
    <row r="463" spans="1:55" x14ac:dyDescent="0.25">
      <c r="A463" s="18"/>
      <c r="B463" s="18"/>
      <c r="C463" s="18"/>
      <c r="D463" s="18"/>
      <c r="E463" s="18"/>
      <c r="F463" s="18"/>
      <c r="G463" s="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</row>
    <row r="464" spans="1:55" x14ac:dyDescent="0.25">
      <c r="A464" s="18"/>
      <c r="B464" s="18"/>
      <c r="C464" s="18"/>
      <c r="D464" s="18"/>
      <c r="E464" s="18"/>
      <c r="F464" s="18"/>
      <c r="G464" s="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</row>
    <row r="465" spans="1:55" x14ac:dyDescent="0.25">
      <c r="A465" s="18"/>
      <c r="B465" s="18"/>
      <c r="C465" s="18"/>
      <c r="D465" s="18"/>
      <c r="E465" s="18"/>
      <c r="F465" s="18"/>
      <c r="G465" s="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</row>
    <row r="466" spans="1:55" x14ac:dyDescent="0.25">
      <c r="A466" s="18"/>
      <c r="B466" s="18"/>
      <c r="C466" s="18"/>
      <c r="D466" s="18"/>
      <c r="E466" s="18"/>
      <c r="F466" s="18"/>
      <c r="G466" s="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</row>
    <row r="467" spans="1:55" x14ac:dyDescent="0.25">
      <c r="A467" s="18"/>
      <c r="B467" s="18"/>
      <c r="C467" s="18"/>
      <c r="D467" s="18"/>
      <c r="E467" s="18"/>
      <c r="F467" s="18"/>
      <c r="G467" s="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</row>
    <row r="468" spans="1:55" x14ac:dyDescent="0.25">
      <c r="A468" s="18"/>
      <c r="B468" s="18"/>
      <c r="C468" s="18"/>
      <c r="D468" s="18"/>
      <c r="E468" s="18"/>
      <c r="F468" s="18"/>
      <c r="G468" s="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</row>
    <row r="469" spans="1:55" x14ac:dyDescent="0.25">
      <c r="A469" s="18"/>
      <c r="B469" s="18"/>
      <c r="C469" s="18"/>
      <c r="D469" s="18"/>
      <c r="E469" s="18"/>
      <c r="F469" s="18"/>
      <c r="G469" s="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</row>
    <row r="470" spans="1:55" x14ac:dyDescent="0.25">
      <c r="A470" s="18"/>
      <c r="B470" s="18"/>
      <c r="C470" s="18"/>
      <c r="D470" s="18"/>
      <c r="E470" s="18"/>
      <c r="F470" s="18"/>
      <c r="G470" s="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</row>
    <row r="471" spans="1:55" x14ac:dyDescent="0.25">
      <c r="A471" s="18"/>
      <c r="B471" s="18"/>
      <c r="C471" s="18"/>
      <c r="D471" s="18"/>
      <c r="E471" s="18"/>
      <c r="F471" s="18"/>
      <c r="G471" s="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</row>
    <row r="472" spans="1:55" x14ac:dyDescent="0.25">
      <c r="A472" s="18"/>
      <c r="B472" s="18"/>
      <c r="C472" s="18"/>
      <c r="D472" s="18"/>
      <c r="E472" s="18"/>
      <c r="F472" s="18"/>
      <c r="G472" s="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</row>
    <row r="473" spans="1:55" x14ac:dyDescent="0.25">
      <c r="A473" s="18"/>
      <c r="B473" s="18"/>
      <c r="C473" s="18"/>
      <c r="D473" s="18"/>
      <c r="E473" s="18"/>
      <c r="F473" s="18"/>
      <c r="G473" s="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</row>
    <row r="474" spans="1:55" x14ac:dyDescent="0.25">
      <c r="A474" s="18"/>
      <c r="B474" s="18"/>
      <c r="C474" s="18"/>
      <c r="D474" s="18"/>
      <c r="E474" s="18"/>
      <c r="F474" s="18"/>
      <c r="G474" s="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</row>
    <row r="475" spans="1:55" x14ac:dyDescent="0.25">
      <c r="A475" s="18"/>
      <c r="B475" s="18"/>
      <c r="C475" s="18"/>
      <c r="D475" s="18"/>
      <c r="E475" s="18"/>
      <c r="F475" s="18"/>
      <c r="G475" s="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</row>
    <row r="476" spans="1:55" x14ac:dyDescent="0.25">
      <c r="A476" s="18"/>
      <c r="B476" s="18"/>
      <c r="C476" s="18"/>
      <c r="D476" s="18"/>
      <c r="E476" s="18"/>
      <c r="F476" s="18"/>
      <c r="G476" s="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</row>
    <row r="477" spans="1:55" x14ac:dyDescent="0.25">
      <c r="A477" s="18"/>
      <c r="B477" s="18"/>
      <c r="C477" s="18"/>
      <c r="D477" s="18"/>
      <c r="E477" s="18"/>
      <c r="F477" s="18"/>
      <c r="G477" s="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</row>
    <row r="478" spans="1:55" x14ac:dyDescent="0.25">
      <c r="A478" s="18"/>
      <c r="B478" s="18"/>
      <c r="C478" s="18"/>
      <c r="D478" s="18"/>
      <c r="E478" s="18"/>
      <c r="F478" s="18"/>
      <c r="G478" s="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</row>
    <row r="479" spans="1:55" x14ac:dyDescent="0.25">
      <c r="A479" s="18"/>
      <c r="B479" s="18"/>
      <c r="C479" s="18"/>
      <c r="D479" s="18"/>
      <c r="E479" s="18"/>
      <c r="F479" s="18"/>
      <c r="G479" s="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</row>
    <row r="480" spans="1:55" x14ac:dyDescent="0.25">
      <c r="A480" s="18"/>
      <c r="B480" s="18"/>
      <c r="C480" s="18"/>
      <c r="D480" s="18"/>
      <c r="E480" s="18"/>
      <c r="F480" s="18"/>
      <c r="G480" s="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</row>
    <row r="481" spans="1:55" x14ac:dyDescent="0.25">
      <c r="A481" s="18"/>
      <c r="B481" s="18"/>
      <c r="C481" s="18"/>
      <c r="D481" s="18"/>
      <c r="E481" s="18"/>
      <c r="F481" s="18"/>
      <c r="G481" s="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</row>
    <row r="482" spans="1:55" x14ac:dyDescent="0.25">
      <c r="A482" s="18"/>
      <c r="B482" s="18"/>
      <c r="C482" s="18"/>
      <c r="D482" s="18"/>
      <c r="E482" s="18"/>
      <c r="F482" s="18"/>
      <c r="G482" s="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</row>
    <row r="483" spans="1:55" x14ac:dyDescent="0.25">
      <c r="A483" s="18"/>
      <c r="B483" s="18"/>
      <c r="C483" s="18"/>
      <c r="D483" s="18"/>
      <c r="E483" s="18"/>
      <c r="F483" s="18"/>
      <c r="G483" s="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</row>
    <row r="484" spans="1:55" x14ac:dyDescent="0.25">
      <c r="A484" s="18"/>
      <c r="B484" s="18"/>
      <c r="C484" s="18"/>
      <c r="D484" s="18"/>
      <c r="E484" s="18"/>
      <c r="F484" s="18"/>
      <c r="G484" s="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</row>
    <row r="485" spans="1:55" x14ac:dyDescent="0.25">
      <c r="A485" s="18"/>
      <c r="B485" s="18"/>
      <c r="C485" s="18"/>
      <c r="D485" s="18"/>
      <c r="E485" s="18"/>
      <c r="F485" s="18"/>
      <c r="G485" s="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</row>
    <row r="486" spans="1:55" x14ac:dyDescent="0.25">
      <c r="A486" s="18"/>
      <c r="B486" s="18"/>
      <c r="C486" s="18"/>
      <c r="D486" s="18"/>
      <c r="E486" s="18"/>
      <c r="F486" s="18"/>
      <c r="G486" s="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</row>
    <row r="487" spans="1:55" x14ac:dyDescent="0.25">
      <c r="A487" s="18"/>
      <c r="B487" s="18"/>
      <c r="C487" s="18"/>
      <c r="D487" s="18"/>
      <c r="E487" s="18"/>
      <c r="F487" s="18"/>
      <c r="G487" s="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</row>
    <row r="488" spans="1:55" x14ac:dyDescent="0.25">
      <c r="A488" s="18"/>
      <c r="B488" s="18"/>
      <c r="C488" s="18"/>
      <c r="D488" s="18"/>
      <c r="E488" s="18"/>
      <c r="F488" s="18"/>
      <c r="G488" s="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</row>
    <row r="489" spans="1:55" x14ac:dyDescent="0.25">
      <c r="A489" s="18"/>
      <c r="B489" s="18"/>
      <c r="C489" s="18"/>
      <c r="D489" s="18"/>
      <c r="E489" s="18"/>
      <c r="F489" s="18"/>
      <c r="G489" s="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</row>
    <row r="490" spans="1:55" x14ac:dyDescent="0.25">
      <c r="A490" s="18"/>
      <c r="B490" s="18"/>
      <c r="C490" s="18"/>
      <c r="D490" s="18"/>
      <c r="E490" s="18"/>
      <c r="F490" s="18"/>
      <c r="G490" s="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</row>
    <row r="491" spans="1:55" x14ac:dyDescent="0.25">
      <c r="A491" s="18"/>
      <c r="B491" s="18"/>
      <c r="C491" s="18"/>
      <c r="D491" s="18"/>
      <c r="E491" s="18"/>
      <c r="F491" s="18"/>
      <c r="G491" s="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</row>
    <row r="492" spans="1:55" x14ac:dyDescent="0.25">
      <c r="A492" s="18"/>
      <c r="B492" s="18"/>
      <c r="C492" s="18"/>
      <c r="D492" s="18"/>
      <c r="E492" s="18"/>
      <c r="F492" s="18"/>
      <c r="G492" s="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</row>
    <row r="493" spans="1:55" x14ac:dyDescent="0.25">
      <c r="A493" s="18"/>
      <c r="B493" s="18"/>
      <c r="C493" s="18"/>
      <c r="D493" s="18"/>
      <c r="E493" s="18"/>
      <c r="F493" s="18"/>
      <c r="G493" s="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</row>
    <row r="494" spans="1:55" x14ac:dyDescent="0.25">
      <c r="A494" s="18"/>
      <c r="B494" s="18"/>
      <c r="C494" s="18"/>
      <c r="D494" s="18"/>
      <c r="E494" s="18"/>
      <c r="F494" s="18"/>
      <c r="G494" s="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</row>
    <row r="495" spans="1:55" x14ac:dyDescent="0.25">
      <c r="A495" s="18"/>
      <c r="B495" s="18"/>
      <c r="C495" s="18"/>
      <c r="D495" s="18"/>
      <c r="E495" s="18"/>
      <c r="F495" s="18"/>
      <c r="G495" s="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</row>
    <row r="496" spans="1:55" x14ac:dyDescent="0.25">
      <c r="A496" s="18"/>
      <c r="B496" s="18"/>
      <c r="C496" s="18"/>
      <c r="D496" s="18"/>
      <c r="E496" s="18"/>
      <c r="F496" s="18"/>
      <c r="G496" s="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</row>
    <row r="497" spans="1:55" x14ac:dyDescent="0.25">
      <c r="A497" s="18"/>
      <c r="B497" s="18"/>
      <c r="C497" s="18"/>
      <c r="D497" s="18"/>
      <c r="E497" s="18"/>
      <c r="F497" s="18"/>
      <c r="G497" s="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</row>
    <row r="498" spans="1:55" x14ac:dyDescent="0.25">
      <c r="A498" s="18"/>
      <c r="B498" s="18"/>
      <c r="C498" s="18"/>
      <c r="D498" s="18"/>
      <c r="E498" s="18"/>
      <c r="F498" s="18"/>
      <c r="G498" s="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</row>
    <row r="499" spans="1:55" x14ac:dyDescent="0.25">
      <c r="A499" s="18"/>
      <c r="B499" s="18"/>
      <c r="C499" s="18"/>
      <c r="D499" s="18"/>
      <c r="E499" s="18"/>
      <c r="F499" s="18"/>
      <c r="G499" s="7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</row>
    <row r="500" spans="1:55" x14ac:dyDescent="0.25">
      <c r="A500" s="18"/>
      <c r="B500" s="18"/>
      <c r="C500" s="18"/>
      <c r="D500" s="18"/>
      <c r="E500" s="18"/>
      <c r="F500" s="18"/>
      <c r="G500" s="7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</row>
  </sheetData>
  <autoFilter ref="A3:AK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2025-12-18T08:39:12Z</dcterms:created>
  <dcterms:modified xsi:type="dcterms:W3CDTF">2025-12-19T08:25:03Z</dcterms:modified>
</cp:coreProperties>
</file>