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647E97B3-C527-409F-9181-99D84455ED8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64" i="1" l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Y497" i="1" s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402" i="1"/>
  <c r="Z213" i="1"/>
  <c r="Z312" i="1"/>
  <c r="Z303" i="1"/>
  <c r="Z283" i="1"/>
  <c r="Z225" i="1"/>
  <c r="Z181" i="1"/>
  <c r="Z112" i="1"/>
  <c r="Z441" i="1"/>
  <c r="Z419" i="1"/>
  <c r="Z319" i="1"/>
  <c r="Z469" i="1"/>
  <c r="Z325" i="1"/>
  <c r="Z187" i="1"/>
  <c r="Z154" i="1"/>
  <c r="Z44" i="1"/>
  <c r="Z32" i="1"/>
  <c r="Z500" i="1" s="1"/>
  <c r="Y499" i="1"/>
  <c r="X498" i="1"/>
  <c r="Y495" i="1"/>
</calcChain>
</file>

<file path=xl/sharedStrings.xml><?xml version="1.0" encoding="utf-8"?>
<sst xmlns="http://schemas.openxmlformats.org/spreadsheetml/2006/main" count="2294" uniqueCount="781">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</sst>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6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500</v>
      </c>
      <c r="Y41" s="554">
        <f>IFERROR(IF(X41="",0,CEILING((X41/$H41),1)*$H41),"")</f>
        <v>507.6</v>
      </c>
      <c r="Z41" s="36">
        <f>IFERROR(IF(Y41=0,"",ROUNDUP(Y41/H41,0)*0.01898),"")</f>
        <v>0.89205999999999996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518.98148148148141</v>
      </c>
      <c r="BN41" s="64">
        <f>IFERROR(Y41*I41/H41,"0")</f>
        <v>526.87</v>
      </c>
      <c r="BO41" s="64">
        <f>IFERROR(1/J41*(X41/H41),"0")</f>
        <v>0.72337962962962954</v>
      </c>
      <c r="BP41" s="64">
        <f>IFERROR(1/J41*(Y41/H41),"0")</f>
        <v>0.734375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46.296296296296291</v>
      </c>
      <c r="Y44" s="555">
        <f>IFERROR(Y41/H41,"0")+IFERROR(Y42/H42,"0")+IFERROR(Y43/H43,"0")</f>
        <v>47</v>
      </c>
      <c r="Z44" s="555">
        <f>IFERROR(IF(Z41="",0,Z41),"0")+IFERROR(IF(Z42="",0,Z42),"0")+IFERROR(IF(Z43="",0,Z43),"0")</f>
        <v>0.89205999999999996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500</v>
      </c>
      <c r="Y45" s="555">
        <f>IFERROR(SUM(Y41:Y43),"0")</f>
        <v>507.6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customHeight="1" x14ac:dyDescent="0.25">
      <c r="A98" s="567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0</v>
      </c>
      <c r="Y225" s="555">
        <f>IFERROR(Y216/H216,"0")+IFERROR(Y217/H217,"0")+IFERROR(Y218/H218,"0")+IFERROR(Y219/H219,"0")+IFERROR(Y220/H220,"0")+IFERROR(Y221/H221,"0")+IFERROR(Y222/H222,"0")+IFERROR(Y223/H223,"0")+IFERROR(Y224/H224,"0")</f>
        <v>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0</v>
      </c>
      <c r="Y226" s="555">
        <f>IFERROR(SUM(Y216:Y224),"0")</f>
        <v>0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500</v>
      </c>
      <c r="Y350" s="554">
        <f t="shared" ref="Y350:Y356" si="36">IFERROR(IF(X350="",0,CEILING((X350/$H350),1)*$H350),"")</f>
        <v>510</v>
      </c>
      <c r="Z350" s="36">
        <f>IFERROR(IF(Y350=0,"",ROUNDUP(Y350/H350,0)*0.02175),"")</f>
        <v>0.73949999999999994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515.66666666666663</v>
      </c>
      <c r="BN350" s="64">
        <f t="shared" ref="BN350:BN356" si="38">IFERROR(Y350*I350/H350,"0")</f>
        <v>525.98</v>
      </c>
      <c r="BO350" s="64">
        <f t="shared" ref="BO350:BO356" si="39">IFERROR(1/J350*(X350/H350),"0")</f>
        <v>0.69444444444444442</v>
      </c>
      <c r="BP350" s="64">
        <f t="shared" ref="BP350:BP356" si="40">IFERROR(1/J350*(Y350/H350),"0")</f>
        <v>0.70833333333333326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500</v>
      </c>
      <c r="Y352" s="554">
        <f t="shared" si="36"/>
        <v>510</v>
      </c>
      <c r="Z352" s="36">
        <f>IFERROR(IF(Y352=0,"",ROUNDUP(Y352/H352,0)*0.02175),"")</f>
        <v>0.73949999999999994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515.66666666666663</v>
      </c>
      <c r="BN352" s="64">
        <f t="shared" si="38"/>
        <v>525.98</v>
      </c>
      <c r="BO352" s="64">
        <f t="shared" si="39"/>
        <v>0.69444444444444442</v>
      </c>
      <c r="BP352" s="64">
        <f t="shared" si="40"/>
        <v>0.70833333333333326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500</v>
      </c>
      <c r="Y353" s="554">
        <f t="shared" si="36"/>
        <v>510</v>
      </c>
      <c r="Z353" s="36">
        <f>IFERROR(IF(Y353=0,"",ROUNDUP(Y353/H353,0)*0.02175),"")</f>
        <v>0.73949999999999994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515.66666666666663</v>
      </c>
      <c r="BN353" s="64">
        <f t="shared" si="38"/>
        <v>525.98</v>
      </c>
      <c r="BO353" s="64">
        <f t="shared" si="39"/>
        <v>0.69444444444444442</v>
      </c>
      <c r="BP353" s="64">
        <f t="shared" si="40"/>
        <v>0.70833333333333326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100</v>
      </c>
      <c r="Y357" s="555">
        <f>IFERROR(Y350/H350,"0")+IFERROR(Y351/H351,"0")+IFERROR(Y352/H352,"0")+IFERROR(Y353/H353,"0")+IFERROR(Y354/H354,"0")+IFERROR(Y355/H355,"0")+IFERROR(Y356/H356,"0")</f>
        <v>102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2.2184999999999997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1500</v>
      </c>
      <c r="Y358" s="555">
        <f>IFERROR(SUM(Y350:Y356),"0")</f>
        <v>1530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1000</v>
      </c>
      <c r="Y360" s="554">
        <f>IFERROR(IF(X360="",0,CEILING((X360/$H360),1)*$H360),"")</f>
        <v>1005</v>
      </c>
      <c r="Z360" s="36">
        <f>IFERROR(IF(Y360=0,"",ROUNDUP(Y360/H360,0)*0.02175),"")</f>
        <v>1.4572499999999999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1031.3333333333333</v>
      </c>
      <c r="BN360" s="64">
        <f>IFERROR(Y360*I360/H360,"0")</f>
        <v>1036.49</v>
      </c>
      <c r="BO360" s="64">
        <f>IFERROR(1/J360*(X360/H360),"0")</f>
        <v>1.3888888888888888</v>
      </c>
      <c r="BP360" s="64">
        <f>IFERROR(1/J360*(Y360/H360),"0")</f>
        <v>1.3958333333333333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66.666666666666671</v>
      </c>
      <c r="Y362" s="555">
        <f>IFERROR(Y360/H360,"0")+IFERROR(Y361/H361,"0")</f>
        <v>67</v>
      </c>
      <c r="Z362" s="555">
        <f>IFERROR(IF(Z360="",0,Z360),"0")+IFERROR(IF(Z361="",0,Z361),"0")</f>
        <v>1.4572499999999999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1000</v>
      </c>
      <c r="Y363" s="555">
        <f>IFERROR(SUM(Y360:Y361),"0")</f>
        <v>1005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500</v>
      </c>
      <c r="Y385" s="554">
        <f>IFERROR(IF(X385="",0,CEILING((X385/$H385),1)*$H385),"")</f>
        <v>504</v>
      </c>
      <c r="Z385" s="36">
        <f>IFERROR(IF(Y385=0,"",ROUNDUP(Y385/H385,0)*0.01898),"")</f>
        <v>1.06288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527.44444444444446</v>
      </c>
      <c r="BN385" s="64">
        <f>IFERROR(Y385*I385/H385,"0")</f>
        <v>531.66399999999999</v>
      </c>
      <c r="BO385" s="64">
        <f>IFERROR(1/J385*(X385/H385),"0")</f>
        <v>0.86805555555555558</v>
      </c>
      <c r="BP385" s="64">
        <f>IFERROR(1/J385*(Y385/H385),"0")</f>
        <v>0.875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55.555555555555557</v>
      </c>
      <c r="Y388" s="555">
        <f>IFERROR(Y385/H385,"0")+IFERROR(Y386/H386,"0")+IFERROR(Y387/H387,"0")</f>
        <v>56</v>
      </c>
      <c r="Z388" s="555">
        <f>IFERROR(IF(Z385="",0,Z385),"0")+IFERROR(IF(Z386="",0,Z386),"0")+IFERROR(IF(Z387="",0,Z387),"0")</f>
        <v>1.06288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500</v>
      </c>
      <c r="Y389" s="555">
        <f>IFERROR(SUM(Y385:Y387),"0")</f>
        <v>504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500</v>
      </c>
      <c r="Y435" s="554">
        <f t="shared" si="47"/>
        <v>501.6</v>
      </c>
      <c r="Z435" s="36">
        <f t="shared" si="48"/>
        <v>1.1362000000000001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533.14393939393938</v>
      </c>
      <c r="BN435" s="64">
        <f t="shared" si="50"/>
        <v>534.85</v>
      </c>
      <c r="BO435" s="64">
        <f t="shared" si="51"/>
        <v>0.91054778554778548</v>
      </c>
      <c r="BP435" s="64">
        <f t="shared" si="52"/>
        <v>0.91346153846153855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94.696969696969688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95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1.1362000000000001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500</v>
      </c>
      <c r="Y442" s="555">
        <f>IFERROR(SUM(Y429:Y440),"0")</f>
        <v>501.6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4000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4048.2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4157.9031986531982</v>
      </c>
      <c r="Y496" s="555">
        <f>IFERROR(SUM(BN22:BN492),"0")</f>
        <v>4207.8140000000003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6</v>
      </c>
      <c r="Y497" s="38">
        <f>ROUNDUP(SUM(BP22:BP492),0)</f>
        <v>7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4307.9031986531982</v>
      </c>
      <c r="Y498" s="555">
        <f>GrossWeightTotalR+PalletQtyTotalR*25</f>
        <v>4382.8140000000003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363.21548821548822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367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6.7668900000000001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191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507.6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0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2535</v>
      </c>
      <c r="T505" s="46">
        <f>IFERROR(Y375*1,"0")+IFERROR(Y376*1,"0")+IFERROR(Y380*1,"0")+IFERROR(Y381*1,"0")+IFERROR(Y385*1,"0")+IFERROR(Y386*1,"0")+IFERROR(Y387*1,"0")</f>
        <v>504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501.6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2025-12-26T09:13:07Z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