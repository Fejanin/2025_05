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EA0801B-176C-4210-A7DC-9B5DCB8177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Y214" i="1" s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Y154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Y97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45" i="1"/>
  <c r="Y49" i="1"/>
  <c r="Y64" i="1"/>
  <c r="BP104" i="1"/>
  <c r="BN104" i="1"/>
  <c r="Z104" i="1"/>
  <c r="Y113" i="1"/>
  <c r="BP108" i="1"/>
  <c r="BN108" i="1"/>
  <c r="Z108" i="1"/>
  <c r="BP116" i="1"/>
  <c r="BN116" i="1"/>
  <c r="Z116" i="1"/>
  <c r="Z119" i="1" s="1"/>
  <c r="BP133" i="1"/>
  <c r="BN133" i="1"/>
  <c r="Z133" i="1"/>
  <c r="Z134" i="1" s="1"/>
  <c r="Y140" i="1"/>
  <c r="BP137" i="1"/>
  <c r="BN137" i="1"/>
  <c r="Z137" i="1"/>
  <c r="Z139" i="1" s="1"/>
  <c r="Y225" i="1"/>
  <c r="BP216" i="1"/>
  <c r="BN216" i="1"/>
  <c r="Z216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Y25" i="1"/>
  <c r="Y37" i="1"/>
  <c r="Y58" i="1"/>
  <c r="BP74" i="1"/>
  <c r="BN74" i="1"/>
  <c r="Z74" i="1"/>
  <c r="BP87" i="1"/>
  <c r="BN87" i="1"/>
  <c r="Z87" i="1"/>
  <c r="BP95" i="1"/>
  <c r="BN95" i="1"/>
  <c r="Z95" i="1"/>
  <c r="F505" i="1"/>
  <c r="Y105" i="1"/>
  <c r="BP100" i="1"/>
  <c r="BN100" i="1"/>
  <c r="Z100" i="1"/>
  <c r="Y106" i="1"/>
  <c r="Y112" i="1"/>
  <c r="Y135" i="1"/>
  <c r="BP150" i="1"/>
  <c r="BN150" i="1"/>
  <c r="Z150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91" i="1"/>
  <c r="BP190" i="1"/>
  <c r="BN190" i="1"/>
  <c r="Z190" i="1"/>
  <c r="Z191" i="1" s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BP220" i="1"/>
  <c r="BN220" i="1"/>
  <c r="Z220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325" i="1"/>
  <c r="Z154" i="1"/>
  <c r="Z44" i="1"/>
  <c r="Z32" i="1"/>
  <c r="Z500" i="1" s="1"/>
  <c r="Y499" i="1"/>
  <c r="X498" i="1"/>
  <c r="Z312" i="1"/>
  <c r="Z303" i="1"/>
  <c r="Z283" i="1"/>
  <c r="Z402" i="1"/>
  <c r="Z213" i="1"/>
  <c r="Z181" i="1"/>
  <c r="Z105" i="1"/>
  <c r="Y495" i="1"/>
  <c r="Z225" i="1"/>
  <c r="Z112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<sst xmlns="http://schemas.openxmlformats.org/spreadsheetml/2006/main" count="2320" uniqueCount="781">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</sst>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600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618.79999999999995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0.83333333333333326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40</v>
      </c>
      <c r="Y357" s="555">
        <f>IFERROR(Y350/H350,"0")+IFERROR(Y351/H351,"0")+IFERROR(Y352/H352,"0")+IFERROR(Y353/H353,"0")+IFERROR(Y354/H354,"0")+IFERROR(Y355/H355,"0")+IFERROR(Y356/H356,"0")</f>
        <v>40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0.86999999999999988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600</v>
      </c>
      <c r="Y358" s="555">
        <f>IFERROR(SUM(Y350:Y356),"0")</f>
        <v>600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600</v>
      </c>
      <c r="Y385" s="554">
        <f>IFERROR(IF(X385="",0,CEILING((X385/$H385),1)*$H385),"")</f>
        <v>603</v>
      </c>
      <c r="Z385" s="36">
        <f>IFERROR(IF(Y385=0,"",ROUNDUP(Y385/H385,0)*0.01898),"")</f>
        <v>1.27166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632.93333333333328</v>
      </c>
      <c r="BN385" s="64">
        <f>IFERROR(Y385*I385/H385,"0")</f>
        <v>636.09799999999996</v>
      </c>
      <c r="BO385" s="64">
        <f>IFERROR(1/J385*(X385/H385),"0")</f>
        <v>1.0416666666666667</v>
      </c>
      <c r="BP385" s="64">
        <f>IFERROR(1/J385*(Y385/H385),"0")</f>
        <v>1.046875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66.666666666666671</v>
      </c>
      <c r="Y388" s="555">
        <f>IFERROR(Y385/H385,"0")+IFERROR(Y386/H386,"0")+IFERROR(Y387/H387,"0")</f>
        <v>67</v>
      </c>
      <c r="Z388" s="555">
        <f>IFERROR(IF(Z385="",0,Z385),"0")+IFERROR(IF(Z386="",0,Z386),"0")+IFERROR(IF(Z387="",0,Z387),"0")</f>
        <v>1.27166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600</v>
      </c>
      <c r="Y389" s="555">
        <f>IFERROR(SUM(Y385:Y387),"0")</f>
        <v>603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1200</v>
      </c>
      <c r="Y435" s="554">
        <f t="shared" si="47"/>
        <v>1203.8400000000001</v>
      </c>
      <c r="Z435" s="36">
        <f t="shared" si="48"/>
        <v>2.72688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1279.5454545454545</v>
      </c>
      <c r="BN435" s="64">
        <f t="shared" si="50"/>
        <v>1283.6400000000001</v>
      </c>
      <c r="BO435" s="64">
        <f t="shared" si="51"/>
        <v>2.1853146853146854</v>
      </c>
      <c r="BP435" s="64">
        <f t="shared" si="52"/>
        <v>2.1923076923076925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227.27272727272725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228.00000000000003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2.72688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1200</v>
      </c>
      <c r="Y442" s="555">
        <f>IFERROR(SUM(Y429:Y440),"0")</f>
        <v>1203.8400000000001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2400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2406.84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2531.2787878787876</v>
      </c>
      <c r="Y496" s="555">
        <f>IFERROR(SUM(BN22:BN492),"0")</f>
        <v>2538.538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5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2656.2787878787876</v>
      </c>
      <c r="Y498" s="555">
        <f>GrossWeightTotalR+PalletQtyTotalR*25</f>
        <v>2663.538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333.93939393939394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335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4.8685399999999994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600</v>
      </c>
      <c r="T505" s="46">
        <f>IFERROR(Y375*1,"0")+IFERROR(Y376*1,"0")+IFERROR(Y380*1,"0")+IFERROR(Y381*1,"0")+IFERROR(Y385*1,"0")+IFERROR(Y386*1,"0")+IFERROR(Y387*1,"0")</f>
        <v>603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1203.8400000000001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