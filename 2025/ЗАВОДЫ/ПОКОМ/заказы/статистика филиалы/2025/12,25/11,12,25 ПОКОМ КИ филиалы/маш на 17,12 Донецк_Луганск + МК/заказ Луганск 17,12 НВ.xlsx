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9CC635A5-45FC-4591-8075-8EAA11F5115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заказа'!$B$224:$B$224</definedName>
    <definedName name="ProductId104">'Бланк заказа'!$B$225:$B$225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заказа'!$B$242:$B$242</definedName>
    <definedName name="ProductId115">'Бланк заказа'!$B$246:$B$246</definedName>
    <definedName name="ProductId116">'Бланк заказа'!$B$250:$B$250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заказа'!$B$259:$B$259</definedName>
    <definedName name="ProductId122">'Бланк заказа'!$B$260:$B$260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заказа'!$B$268:$B$268</definedName>
    <definedName name="ProductId127">'Бланк заказа'!$B$269:$B$269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заказа'!$B$276:$B$276</definedName>
    <definedName name="ProductId131">'Бланк заказа'!$B$277:$B$277</definedName>
    <definedName name="ProductId132">'Бланк заказа'!$B$278:$B$278</definedName>
    <definedName name="ProductId133">'Бланк заказа'!$B$283:$B$283</definedName>
    <definedName name="ProductId134">'Бланк заказа'!$B$284:$B$284</definedName>
    <definedName name="ProductId135">'Бланк заказа'!$B$288:$B$288</definedName>
    <definedName name="ProductId136">'Бланк заказа'!$B$289:$B$289</definedName>
    <definedName name="ProductId137">'Бланк заказа'!$B$294:$B$294</definedName>
    <definedName name="ProductId138">'Бланк заказа'!$B$295:$B$295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заказа'!$B$318:$B$318</definedName>
    <definedName name="ProductId153">'Бланк заказа'!$B$319:$B$319</definedName>
    <definedName name="ProductId154">'Бланк заказа'!$B$320:$B$320</definedName>
    <definedName name="ProductId155">'Бланк заказа'!$B$324:$B$324</definedName>
    <definedName name="ProductId156">'Бланк заказа'!$B$325:$B$325</definedName>
    <definedName name="ProductId157">'Бланк заказа'!$B$326:$B$326</definedName>
    <definedName name="ProductId158">'Бланк заказа'!$B$327:$B$327</definedName>
    <definedName name="ProductId159">'Бланк заказа'!$B$331:$B$331</definedName>
    <definedName name="ProductId16">'Бланк заказа'!$B$55:$B$55</definedName>
    <definedName name="ProductId160">'Бланк заказа'!$B$332:$B$332</definedName>
    <definedName name="ProductId161">'Бланк заказа'!$B$333:$B$333</definedName>
    <definedName name="ProductId162">'Бланк заказа'!$B$338:$B$338</definedName>
    <definedName name="ProductId163">'Бланк заказа'!$B$339:$B$339</definedName>
    <definedName name="ProductId164">'Бланк заказа'!$B$340:$B$340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заказа'!$B$356:$B$356</definedName>
    <definedName name="ProductId173">'Бланк заказа'!$B$357:$B$357</definedName>
    <definedName name="ProductId174">'Бланк заказа'!$B$361:$B$361</definedName>
    <definedName name="ProductId175">'Бланк заказа'!$B$362:$B$362</definedName>
    <definedName name="ProductId176">'Бланк заказа'!$B$366:$B$366</definedName>
    <definedName name="ProductId177">'Бланк заказа'!$B$371:$B$371</definedName>
    <definedName name="ProductId178">'Бланк заказа'!$B$372:$B$372</definedName>
    <definedName name="ProductId179">'Бланк заказа'!$B$376:$B$376</definedName>
    <definedName name="ProductId18">'Бланк заказа'!$B$57:$B$57</definedName>
    <definedName name="ProductId180">'Бланк заказа'!$B$377:$B$377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заказа'!$B$401:$B$401</definedName>
    <definedName name="ProductId194">'Бланк заказа'!$B$402:$B$402</definedName>
    <definedName name="ProductId195">'Бланк заказа'!$B$407:$B$407</definedName>
    <definedName name="ProductId196">'Бланк заказа'!$B$411:$B$411</definedName>
    <definedName name="ProductId197">'Бланк заказа'!$B$412:$B$412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заказа'!$B$419:$B$419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заказа'!$B$455:$B$455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заказа'!$B$464:$B$464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заказа'!$B$180:$B$180</definedName>
    <definedName name="ProductId79">'Бланк заказа'!$B$181:$B$181</definedName>
    <definedName name="ProductId8">'Бланк заказа'!$B$35:$B$35</definedName>
    <definedName name="ProductId80">'Бланк заказа'!$B$182:$B$182</definedName>
    <definedName name="ProductId81">'Бланк заказа'!$B$186:$B$186</definedName>
    <definedName name="ProductId82">'Бланк заказа'!$B$191:$B$191</definedName>
    <definedName name="ProductId83">'Бланк заказа'!$B$192:$B$192</definedName>
    <definedName name="ProductId84">'Бланк заказа'!$B$196:$B$196</definedName>
    <definedName name="ProductId85">'Бланк заказа'!$B$197:$B$197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заказа'!$X$224:$X$224</definedName>
    <definedName name="SalesQty104">'Бланк заказа'!$X$225:$X$225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заказа'!$X$242:$X$242</definedName>
    <definedName name="SalesQty115">'Бланк заказа'!$X$246:$X$246</definedName>
    <definedName name="SalesQty116">'Бланк заказа'!$X$250:$X$250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заказа'!$X$259:$X$259</definedName>
    <definedName name="SalesQty122">'Бланк заказа'!$X$260:$X$260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заказа'!$X$268:$X$268</definedName>
    <definedName name="SalesQty127">'Бланк заказа'!$X$269:$X$269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заказа'!$X$276:$X$276</definedName>
    <definedName name="SalesQty131">'Бланк заказа'!$X$277:$X$277</definedName>
    <definedName name="SalesQty132">'Бланк заказа'!$X$278:$X$278</definedName>
    <definedName name="SalesQty133">'Бланк заказа'!$X$283:$X$283</definedName>
    <definedName name="SalesQty134">'Бланк заказа'!$X$284:$X$284</definedName>
    <definedName name="SalesQty135">'Бланк заказа'!$X$288:$X$288</definedName>
    <definedName name="SalesQty136">'Бланк заказа'!$X$289:$X$289</definedName>
    <definedName name="SalesQty137">'Бланк заказа'!$X$294:$X$294</definedName>
    <definedName name="SalesQty138">'Бланк заказа'!$X$295:$X$295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заказа'!$X$318:$X$318</definedName>
    <definedName name="SalesQty153">'Бланк заказа'!$X$319:$X$319</definedName>
    <definedName name="SalesQty154">'Бланк заказа'!$X$320:$X$320</definedName>
    <definedName name="SalesQty155">'Бланк заказа'!$X$324:$X$324</definedName>
    <definedName name="SalesQty156">'Бланк заказа'!$X$325:$X$325</definedName>
    <definedName name="SalesQty157">'Бланк заказа'!$X$326:$X$326</definedName>
    <definedName name="SalesQty158">'Бланк заказа'!$X$327:$X$327</definedName>
    <definedName name="SalesQty159">'Бланк заказа'!$X$331:$X$331</definedName>
    <definedName name="SalesQty16">'Бланк заказа'!$X$55:$X$55</definedName>
    <definedName name="SalesQty160">'Бланк заказа'!$X$332:$X$332</definedName>
    <definedName name="SalesQty161">'Бланк заказа'!$X$333:$X$333</definedName>
    <definedName name="SalesQty162">'Бланк заказа'!$X$338:$X$338</definedName>
    <definedName name="SalesQty163">'Бланк заказа'!$X$339:$X$339</definedName>
    <definedName name="SalesQty164">'Бланк заказа'!$X$340:$X$340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заказа'!$X$356:$X$356</definedName>
    <definedName name="SalesQty173">'Бланк заказа'!$X$357:$X$357</definedName>
    <definedName name="SalesQty174">'Бланк заказа'!$X$361:$X$361</definedName>
    <definedName name="SalesQty175">'Бланк заказа'!$X$362:$X$362</definedName>
    <definedName name="SalesQty176">'Бланк заказа'!$X$366:$X$366</definedName>
    <definedName name="SalesQty177">'Бланк заказа'!$X$371:$X$371</definedName>
    <definedName name="SalesQty178">'Бланк заказа'!$X$372:$X$372</definedName>
    <definedName name="SalesQty179">'Бланк заказа'!$X$376:$X$376</definedName>
    <definedName name="SalesQty18">'Бланк заказа'!$X$57:$X$57</definedName>
    <definedName name="SalesQty180">'Бланк заказа'!$X$377:$X$377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заказа'!$X$401:$X$401</definedName>
    <definedName name="SalesQty194">'Бланк заказа'!$X$402:$X$402</definedName>
    <definedName name="SalesQty195">'Бланк заказа'!$X$407:$X$407</definedName>
    <definedName name="SalesQty196">'Бланк заказа'!$X$411:$X$411</definedName>
    <definedName name="SalesQty197">'Бланк заказа'!$X$412:$X$412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заказа'!$X$419:$X$419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заказа'!$X$455:$X$455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заказа'!$X$464:$X$464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заказа'!$X$180:$X$180</definedName>
    <definedName name="SalesQty79">'Бланк заказа'!$X$181:$X$181</definedName>
    <definedName name="SalesQty8">'Бланк заказа'!$X$35:$X$35</definedName>
    <definedName name="SalesQty80">'Бланк заказа'!$X$182:$X$182</definedName>
    <definedName name="SalesQty81">'Бланк заказа'!$X$186:$X$186</definedName>
    <definedName name="SalesQty82">'Бланк заказа'!$X$191:$X$191</definedName>
    <definedName name="SalesQty83">'Бланк заказа'!$X$192:$X$192</definedName>
    <definedName name="SalesQty84">'Бланк заказа'!$X$196:$X$196</definedName>
    <definedName name="SalesQty85">'Бланк заказа'!$X$197:$X$197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заказа'!$Y$224:$Y$224</definedName>
    <definedName name="SalesRoundBox104">'Бланк заказа'!$Y$225:$Y$225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заказа'!$Y$242:$Y$242</definedName>
    <definedName name="SalesRoundBox115">'Бланк заказа'!$Y$246:$Y$246</definedName>
    <definedName name="SalesRoundBox116">'Бланк заказа'!$Y$250:$Y$250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заказа'!$Y$259:$Y$259</definedName>
    <definedName name="SalesRoundBox122">'Бланк заказа'!$Y$260:$Y$260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заказа'!$Y$268:$Y$268</definedName>
    <definedName name="SalesRoundBox127">'Бланк заказа'!$Y$269:$Y$269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заказа'!$Y$276:$Y$276</definedName>
    <definedName name="SalesRoundBox131">'Бланк заказа'!$Y$277:$Y$277</definedName>
    <definedName name="SalesRoundBox132">'Бланк заказа'!$Y$278:$Y$278</definedName>
    <definedName name="SalesRoundBox133">'Бланк заказа'!$Y$283:$Y$283</definedName>
    <definedName name="SalesRoundBox134">'Бланк заказа'!$Y$284:$Y$284</definedName>
    <definedName name="SalesRoundBox135">'Бланк заказа'!$Y$288:$Y$288</definedName>
    <definedName name="SalesRoundBox136">'Бланк заказа'!$Y$289:$Y$289</definedName>
    <definedName name="SalesRoundBox137">'Бланк заказа'!$Y$294:$Y$294</definedName>
    <definedName name="SalesRoundBox138">'Бланк заказа'!$Y$295:$Y$295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заказа'!$Y$318:$Y$318</definedName>
    <definedName name="SalesRoundBox153">'Бланк заказа'!$Y$319:$Y$319</definedName>
    <definedName name="SalesRoundBox154">'Бланк заказа'!$Y$320:$Y$320</definedName>
    <definedName name="SalesRoundBox155">'Бланк заказа'!$Y$324:$Y$324</definedName>
    <definedName name="SalesRoundBox156">'Бланк заказа'!$Y$325:$Y$325</definedName>
    <definedName name="SalesRoundBox157">'Бланк заказа'!$Y$326:$Y$326</definedName>
    <definedName name="SalesRoundBox158">'Бланк заказа'!$Y$327:$Y$327</definedName>
    <definedName name="SalesRoundBox159">'Бланк заказа'!$Y$331:$Y$331</definedName>
    <definedName name="SalesRoundBox16">'Бланк заказа'!$Y$55:$Y$55</definedName>
    <definedName name="SalesRoundBox160">'Бланк заказа'!$Y$332:$Y$332</definedName>
    <definedName name="SalesRoundBox161">'Бланк заказа'!$Y$333:$Y$333</definedName>
    <definedName name="SalesRoundBox162">'Бланк заказа'!$Y$338:$Y$338</definedName>
    <definedName name="SalesRoundBox163">'Бланк заказа'!$Y$339:$Y$339</definedName>
    <definedName name="SalesRoundBox164">'Бланк заказа'!$Y$340:$Y$340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заказа'!$Y$356:$Y$356</definedName>
    <definedName name="SalesRoundBox173">'Бланк заказа'!$Y$357:$Y$357</definedName>
    <definedName name="SalesRoundBox174">'Бланк заказа'!$Y$361:$Y$361</definedName>
    <definedName name="SalesRoundBox175">'Бланк заказа'!$Y$362:$Y$362</definedName>
    <definedName name="SalesRoundBox176">'Бланк заказа'!$Y$366:$Y$366</definedName>
    <definedName name="SalesRoundBox177">'Бланк заказа'!$Y$371:$Y$371</definedName>
    <definedName name="SalesRoundBox178">'Бланк заказа'!$Y$372:$Y$372</definedName>
    <definedName name="SalesRoundBox179">'Бланк заказа'!$Y$376:$Y$376</definedName>
    <definedName name="SalesRoundBox18">'Бланк заказа'!$Y$57:$Y$57</definedName>
    <definedName name="SalesRoundBox180">'Бланк заказа'!$Y$377:$Y$377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заказа'!$Y$401:$Y$401</definedName>
    <definedName name="SalesRoundBox194">'Бланк заказа'!$Y$402:$Y$402</definedName>
    <definedName name="SalesRoundBox195">'Бланк заказа'!$Y$407:$Y$407</definedName>
    <definedName name="SalesRoundBox196">'Бланк заказа'!$Y$411:$Y$411</definedName>
    <definedName name="SalesRoundBox197">'Бланк заказа'!$Y$412:$Y$412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заказа'!$Y$419:$Y$419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заказа'!$Y$455:$Y$455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заказа'!$Y$464:$Y$464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заказа'!$Y$180:$Y$180</definedName>
    <definedName name="SalesRoundBox79">'Бланк заказа'!$Y$181:$Y$181</definedName>
    <definedName name="SalesRoundBox8">'Бланк заказа'!$Y$35:$Y$35</definedName>
    <definedName name="SalesRoundBox80">'Бланк заказа'!$Y$182:$Y$182</definedName>
    <definedName name="SalesRoundBox81">'Бланк заказа'!$Y$186:$Y$186</definedName>
    <definedName name="SalesRoundBox82">'Бланк заказа'!$Y$191:$Y$191</definedName>
    <definedName name="SalesRoundBox83">'Бланк заказа'!$Y$192:$Y$192</definedName>
    <definedName name="SalesRoundBox84">'Бланк заказа'!$Y$196:$Y$196</definedName>
    <definedName name="SalesRoundBox85">'Бланк заказа'!$Y$197:$Y$197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заказа'!$W$224:$W$224</definedName>
    <definedName name="UnitOfMeasure104">'Бланк заказа'!$W$225:$W$225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заказа'!$W$242:$W$242</definedName>
    <definedName name="UnitOfMeasure115">'Бланк заказа'!$W$246:$W$246</definedName>
    <definedName name="UnitOfMeasure116">'Бланк заказа'!$W$250:$W$250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заказа'!$W$259:$W$259</definedName>
    <definedName name="UnitOfMeasure122">'Бланк заказа'!$W$260:$W$260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заказа'!$W$268:$W$268</definedName>
    <definedName name="UnitOfMeasure127">'Бланк заказа'!$W$269:$W$269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заказа'!$W$276:$W$276</definedName>
    <definedName name="UnitOfMeasure131">'Бланк заказа'!$W$277:$W$277</definedName>
    <definedName name="UnitOfMeasure132">'Бланк заказа'!$W$278:$W$278</definedName>
    <definedName name="UnitOfMeasure133">'Бланк заказа'!$W$283:$W$283</definedName>
    <definedName name="UnitOfMeasure134">'Бланк заказа'!$W$284:$W$284</definedName>
    <definedName name="UnitOfMeasure135">'Бланк заказа'!$W$288:$W$288</definedName>
    <definedName name="UnitOfMeasure136">'Бланк заказа'!$W$289:$W$289</definedName>
    <definedName name="UnitOfMeasure137">'Бланк заказа'!$W$294:$W$294</definedName>
    <definedName name="UnitOfMeasure138">'Бланк заказа'!$W$295:$W$295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заказа'!$W$318:$W$318</definedName>
    <definedName name="UnitOfMeasure153">'Бланк заказа'!$W$319:$W$319</definedName>
    <definedName name="UnitOfMeasure154">'Бланк заказа'!$W$320:$W$320</definedName>
    <definedName name="UnitOfMeasure155">'Бланк заказа'!$W$324:$W$324</definedName>
    <definedName name="UnitOfMeasure156">'Бланк заказа'!$W$325:$W$325</definedName>
    <definedName name="UnitOfMeasure157">'Бланк заказа'!$W$326:$W$326</definedName>
    <definedName name="UnitOfMeasure158">'Бланк заказа'!$W$327:$W$327</definedName>
    <definedName name="UnitOfMeasure159">'Бланк заказа'!$W$331:$W$331</definedName>
    <definedName name="UnitOfMeasure16">'Бланк заказа'!$W$55:$W$55</definedName>
    <definedName name="UnitOfMeasure160">'Бланк заказа'!$W$332:$W$332</definedName>
    <definedName name="UnitOfMeasure161">'Бланк заказа'!$W$333:$W$333</definedName>
    <definedName name="UnitOfMeasure162">'Бланк заказа'!$W$338:$W$338</definedName>
    <definedName name="UnitOfMeasure163">'Бланк заказа'!$W$339:$W$339</definedName>
    <definedName name="UnitOfMeasure164">'Бланк заказа'!$W$340:$W$340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заказа'!$W$356:$W$356</definedName>
    <definedName name="UnitOfMeasure173">'Бланк заказа'!$W$357:$W$357</definedName>
    <definedName name="UnitOfMeasure174">'Бланк заказа'!$W$361:$W$361</definedName>
    <definedName name="UnitOfMeasure175">'Бланк заказа'!$W$362:$W$362</definedName>
    <definedName name="UnitOfMeasure176">'Бланк заказа'!$W$366:$W$366</definedName>
    <definedName name="UnitOfMeasure177">'Бланк заказа'!$W$371:$W$371</definedName>
    <definedName name="UnitOfMeasure178">'Бланк заказа'!$W$372:$W$372</definedName>
    <definedName name="UnitOfMeasure179">'Бланк заказа'!$W$376:$W$376</definedName>
    <definedName name="UnitOfMeasure18">'Бланк заказа'!$W$57:$W$57</definedName>
    <definedName name="UnitOfMeasure180">'Бланк заказа'!$W$377:$W$377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заказа'!$W$401:$W$401</definedName>
    <definedName name="UnitOfMeasure194">'Бланк заказа'!$W$402:$W$402</definedName>
    <definedName name="UnitOfMeasure195">'Бланк заказа'!$W$407:$W$407</definedName>
    <definedName name="UnitOfMeasure196">'Бланк заказа'!$W$411:$W$411</definedName>
    <definedName name="UnitOfMeasure197">'Бланк заказа'!$W$412:$W$412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заказа'!$W$419:$W$419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заказа'!$W$455:$W$455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заказа'!$W$464:$W$464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заказа'!$W$180:$W$180</definedName>
    <definedName name="UnitOfMeasure79">'Бланк заказа'!$W$181:$W$181</definedName>
    <definedName name="UnitOfMeasure8">'Бланк заказа'!$W$35:$W$35</definedName>
    <definedName name="UnitOfMeasure80">'Бланк заказа'!$W$182:$W$182</definedName>
    <definedName name="UnitOfMeasure81">'Бланк заказа'!$W$186:$W$186</definedName>
    <definedName name="UnitOfMeasure82">'Бланк заказа'!$W$191:$W$191</definedName>
    <definedName name="UnitOfMeasure83">'Бланк заказа'!$W$192:$W$192</definedName>
    <definedName name="UnitOfMeasure84">'Бланк заказа'!$W$196:$W$196</definedName>
    <definedName name="UnitOfMeasure85">'Бланк заказа'!$W$197:$W$197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P482" i="1"/>
  <c r="BO482" i="1"/>
  <c r="BN482" i="1"/>
  <c r="BM482" i="1"/>
  <c r="Z482" i="1"/>
  <c r="Y482" i="1"/>
  <c r="Y484" i="1" s="1"/>
  <c r="P482" i="1"/>
  <c r="X480" i="1"/>
  <c r="Y479" i="1"/>
  <c r="X479" i="1"/>
  <c r="BP478" i="1"/>
  <c r="BO478" i="1"/>
  <c r="BN478" i="1"/>
  <c r="BM478" i="1"/>
  <c r="Z478" i="1"/>
  <c r="Z479" i="1" s="1"/>
  <c r="Y478" i="1"/>
  <c r="Y480" i="1" s="1"/>
  <c r="P478" i="1"/>
  <c r="X476" i="1"/>
  <c r="X475" i="1"/>
  <c r="BP474" i="1"/>
  <c r="BO474" i="1"/>
  <c r="BN474" i="1"/>
  <c r="BM474" i="1"/>
  <c r="Z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X466" i="1"/>
  <c r="X465" i="1"/>
  <c r="BP464" i="1"/>
  <c r="BO464" i="1"/>
  <c r="BN464" i="1"/>
  <c r="BM464" i="1"/>
  <c r="Z464" i="1"/>
  <c r="Y464" i="1"/>
  <c r="P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X457" i="1"/>
  <c r="X456" i="1"/>
  <c r="BO455" i="1"/>
  <c r="BM455" i="1"/>
  <c r="Y455" i="1"/>
  <c r="P455" i="1"/>
  <c r="X453" i="1"/>
  <c r="X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BP446" i="1"/>
  <c r="BO446" i="1"/>
  <c r="BN446" i="1"/>
  <c r="BM446" i="1"/>
  <c r="Z446" i="1"/>
  <c r="Y446" i="1"/>
  <c r="P446" i="1"/>
  <c r="X444" i="1"/>
  <c r="Y443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P440" i="1"/>
  <c r="BO440" i="1"/>
  <c r="BN440" i="1"/>
  <c r="BM440" i="1"/>
  <c r="Z440" i="1"/>
  <c r="Y440" i="1"/>
  <c r="Y444" i="1" s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BO426" i="1"/>
  <c r="BM426" i="1"/>
  <c r="Y426" i="1"/>
  <c r="P426" i="1"/>
  <c r="BP425" i="1"/>
  <c r="BO425" i="1"/>
  <c r="BN425" i="1"/>
  <c r="BM425" i="1"/>
  <c r="Z425" i="1"/>
  <c r="Y425" i="1"/>
  <c r="P425" i="1"/>
  <c r="X421" i="1"/>
  <c r="Y420" i="1"/>
  <c r="X420" i="1"/>
  <c r="BP419" i="1"/>
  <c r="BO419" i="1"/>
  <c r="BN419" i="1"/>
  <c r="BM419" i="1"/>
  <c r="Z419" i="1"/>
  <c r="Z420" i="1" s="1"/>
  <c r="Y419" i="1"/>
  <c r="Y421" i="1" s="1"/>
  <c r="P419" i="1"/>
  <c r="X416" i="1"/>
  <c r="X415" i="1"/>
  <c r="BP414" i="1"/>
  <c r="BO414" i="1"/>
  <c r="BN414" i="1"/>
  <c r="BM414" i="1"/>
  <c r="Z414" i="1"/>
  <c r="Y414" i="1"/>
  <c r="P414" i="1"/>
  <c r="BO413" i="1"/>
  <c r="BM413" i="1"/>
  <c r="Y413" i="1"/>
  <c r="P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X399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X385" i="1"/>
  <c r="Y384" i="1"/>
  <c r="X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X374" i="1"/>
  <c r="X373" i="1"/>
  <c r="BO372" i="1"/>
  <c r="BM372" i="1"/>
  <c r="Y372" i="1"/>
  <c r="P372" i="1"/>
  <c r="BP371" i="1"/>
  <c r="BO371" i="1"/>
  <c r="BN371" i="1"/>
  <c r="BM371" i="1"/>
  <c r="Z371" i="1"/>
  <c r="Y371" i="1"/>
  <c r="P371" i="1"/>
  <c r="X368" i="1"/>
  <c r="Y367" i="1"/>
  <c r="X367" i="1"/>
  <c r="BP366" i="1"/>
  <c r="BO366" i="1"/>
  <c r="BN366" i="1"/>
  <c r="BM366" i="1"/>
  <c r="Z366" i="1"/>
  <c r="Z367" i="1" s="1"/>
  <c r="Y366" i="1"/>
  <c r="Y368" i="1" s="1"/>
  <c r="P366" i="1"/>
  <c r="X364" i="1"/>
  <c r="Y363" i="1"/>
  <c r="X363" i="1"/>
  <c r="BP362" i="1"/>
  <c r="BO362" i="1"/>
  <c r="BN362" i="1"/>
  <c r="BM362" i="1"/>
  <c r="Z362" i="1"/>
  <c r="Y362" i="1"/>
  <c r="P362" i="1"/>
  <c r="BO361" i="1"/>
  <c r="BM361" i="1"/>
  <c r="Y361" i="1"/>
  <c r="P361" i="1"/>
  <c r="X359" i="1"/>
  <c r="X358" i="1"/>
  <c r="BO357" i="1"/>
  <c r="BM357" i="1"/>
  <c r="Y357" i="1"/>
  <c r="P357" i="1"/>
  <c r="BP356" i="1"/>
  <c r="BO356" i="1"/>
  <c r="BN356" i="1"/>
  <c r="BM356" i="1"/>
  <c r="Z356" i="1"/>
  <c r="Y356" i="1"/>
  <c r="Y358" i="1" s="1"/>
  <c r="P356" i="1"/>
  <c r="X354" i="1"/>
  <c r="X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X342" i="1"/>
  <c r="Y341" i="1"/>
  <c r="X341" i="1"/>
  <c r="BP340" i="1"/>
  <c r="BO340" i="1"/>
  <c r="BN340" i="1"/>
  <c r="BM340" i="1"/>
  <c r="Z340" i="1"/>
  <c r="Y340" i="1"/>
  <c r="P340" i="1"/>
  <c r="BO339" i="1"/>
  <c r="BM339" i="1"/>
  <c r="Y339" i="1"/>
  <c r="P339" i="1"/>
  <c r="BP338" i="1"/>
  <c r="BO338" i="1"/>
  <c r="BN338" i="1"/>
  <c r="BM338" i="1"/>
  <c r="Z338" i="1"/>
  <c r="Y338" i="1"/>
  <c r="P338" i="1"/>
  <c r="X335" i="1"/>
  <c r="X334" i="1"/>
  <c r="BP333" i="1"/>
  <c r="BO333" i="1"/>
  <c r="BN333" i="1"/>
  <c r="BM333" i="1"/>
  <c r="Z333" i="1"/>
  <c r="Y333" i="1"/>
  <c r="P333" i="1"/>
  <c r="BO332" i="1"/>
  <c r="BM332" i="1"/>
  <c r="Y332" i="1"/>
  <c r="Y334" i="1" s="1"/>
  <c r="P332" i="1"/>
  <c r="BP331" i="1"/>
  <c r="BO331" i="1"/>
  <c r="BN331" i="1"/>
  <c r="BM331" i="1"/>
  <c r="Z331" i="1"/>
  <c r="Y331" i="1"/>
  <c r="P331" i="1"/>
  <c r="X329" i="1"/>
  <c r="X328" i="1"/>
  <c r="BP327" i="1"/>
  <c r="BO327" i="1"/>
  <c r="BN327" i="1"/>
  <c r="BM327" i="1"/>
  <c r="Z327" i="1"/>
  <c r="Y327" i="1"/>
  <c r="P327" i="1"/>
  <c r="BO326" i="1"/>
  <c r="BM326" i="1"/>
  <c r="Y326" i="1"/>
  <c r="P326" i="1"/>
  <c r="BP325" i="1"/>
  <c r="BO325" i="1"/>
  <c r="BN325" i="1"/>
  <c r="BM325" i="1"/>
  <c r="Z325" i="1"/>
  <c r="Y325" i="1"/>
  <c r="P325" i="1"/>
  <c r="BO324" i="1"/>
  <c r="BM324" i="1"/>
  <c r="Y324" i="1"/>
  <c r="P324" i="1"/>
  <c r="X322" i="1"/>
  <c r="X321" i="1"/>
  <c r="BO320" i="1"/>
  <c r="BM320" i="1"/>
  <c r="Y320" i="1"/>
  <c r="P320" i="1"/>
  <c r="BP319" i="1"/>
  <c r="BO319" i="1"/>
  <c r="BN319" i="1"/>
  <c r="BM319" i="1"/>
  <c r="Z319" i="1"/>
  <c r="Y319" i="1"/>
  <c r="P319" i="1"/>
  <c r="BO318" i="1"/>
  <c r="BM318" i="1"/>
  <c r="Y318" i="1"/>
  <c r="P318" i="1"/>
  <c r="X316" i="1"/>
  <c r="X315" i="1"/>
  <c r="BO314" i="1"/>
  <c r="BM314" i="1"/>
  <c r="Y314" i="1"/>
  <c r="P314" i="1"/>
  <c r="BP313" i="1"/>
  <c r="BO313" i="1"/>
  <c r="BN313" i="1"/>
  <c r="BM313" i="1"/>
  <c r="Z313" i="1"/>
  <c r="Y313" i="1"/>
  <c r="P313" i="1"/>
  <c r="BO312" i="1"/>
  <c r="BM312" i="1"/>
  <c r="Y312" i="1"/>
  <c r="Y316" i="1" s="1"/>
  <c r="P312" i="1"/>
  <c r="BP311" i="1"/>
  <c r="BO311" i="1"/>
  <c r="BN311" i="1"/>
  <c r="BM311" i="1"/>
  <c r="Z311" i="1"/>
  <c r="Y311" i="1"/>
  <c r="P311" i="1"/>
  <c r="X309" i="1"/>
  <c r="X308" i="1"/>
  <c r="BP307" i="1"/>
  <c r="BO307" i="1"/>
  <c r="BN307" i="1"/>
  <c r="BM307" i="1"/>
  <c r="Z307" i="1"/>
  <c r="Y307" i="1"/>
  <c r="P307" i="1"/>
  <c r="BO306" i="1"/>
  <c r="BM306" i="1"/>
  <c r="Y306" i="1"/>
  <c r="P306" i="1"/>
  <c r="BP305" i="1"/>
  <c r="BO305" i="1"/>
  <c r="BN305" i="1"/>
  <c r="BM305" i="1"/>
  <c r="Z305" i="1"/>
  <c r="Y305" i="1"/>
  <c r="P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X300" i="1"/>
  <c r="X299" i="1"/>
  <c r="BO298" i="1"/>
  <c r="BM298" i="1"/>
  <c r="Y298" i="1"/>
  <c r="P298" i="1"/>
  <c r="BP297" i="1"/>
  <c r="BO297" i="1"/>
  <c r="BN297" i="1"/>
  <c r="BM297" i="1"/>
  <c r="Z297" i="1"/>
  <c r="Y297" i="1"/>
  <c r="P297" i="1"/>
  <c r="BO296" i="1"/>
  <c r="BM296" i="1"/>
  <c r="Y296" i="1"/>
  <c r="P296" i="1"/>
  <c r="BP295" i="1"/>
  <c r="BO295" i="1"/>
  <c r="BN295" i="1"/>
  <c r="BM295" i="1"/>
  <c r="Z295" i="1"/>
  <c r="Y295" i="1"/>
  <c r="P295" i="1"/>
  <c r="BO294" i="1"/>
  <c r="BM294" i="1"/>
  <c r="Y294" i="1"/>
  <c r="P294" i="1"/>
  <c r="X291" i="1"/>
  <c r="X290" i="1"/>
  <c r="BO289" i="1"/>
  <c r="BM289" i="1"/>
  <c r="Y289" i="1"/>
  <c r="P289" i="1"/>
  <c r="BP288" i="1"/>
  <c r="BO288" i="1"/>
  <c r="BN288" i="1"/>
  <c r="BM288" i="1"/>
  <c r="Z288" i="1"/>
  <c r="Y288" i="1"/>
  <c r="Y290" i="1" s="1"/>
  <c r="P288" i="1"/>
  <c r="X286" i="1"/>
  <c r="X285" i="1"/>
  <c r="BP284" i="1"/>
  <c r="BO284" i="1"/>
  <c r="BN284" i="1"/>
  <c r="BM284" i="1"/>
  <c r="Z284" i="1"/>
  <c r="Y284" i="1"/>
  <c r="P284" i="1"/>
  <c r="BO283" i="1"/>
  <c r="BM283" i="1"/>
  <c r="Y283" i="1"/>
  <c r="Y285" i="1" s="1"/>
  <c r="P283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X273" i="1"/>
  <c r="X272" i="1"/>
  <c r="BO271" i="1"/>
  <c r="BM271" i="1"/>
  <c r="Y271" i="1"/>
  <c r="P271" i="1"/>
  <c r="BP270" i="1"/>
  <c r="BO270" i="1"/>
  <c r="BN270" i="1"/>
  <c r="BM270" i="1"/>
  <c r="Z270" i="1"/>
  <c r="Y270" i="1"/>
  <c r="P270" i="1"/>
  <c r="BO269" i="1"/>
  <c r="BM269" i="1"/>
  <c r="Y269" i="1"/>
  <c r="Y273" i="1" s="1"/>
  <c r="P269" i="1"/>
  <c r="BP268" i="1"/>
  <c r="BO268" i="1"/>
  <c r="BN268" i="1"/>
  <c r="BM268" i="1"/>
  <c r="Z268" i="1"/>
  <c r="Y268" i="1"/>
  <c r="P268" i="1"/>
  <c r="X265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BP261" i="1"/>
  <c r="BO261" i="1"/>
  <c r="BN261" i="1"/>
  <c r="BM261" i="1"/>
  <c r="Z261" i="1"/>
  <c r="Y261" i="1"/>
  <c r="P261" i="1"/>
  <c r="BO260" i="1"/>
  <c r="BM260" i="1"/>
  <c r="Y260" i="1"/>
  <c r="L501" i="1" s="1"/>
  <c r="P260" i="1"/>
  <c r="BP259" i="1"/>
  <c r="BO259" i="1"/>
  <c r="BN259" i="1"/>
  <c r="BM259" i="1"/>
  <c r="Z259" i="1"/>
  <c r="Y259" i="1"/>
  <c r="P259" i="1"/>
  <c r="X256" i="1"/>
  <c r="X255" i="1"/>
  <c r="BP254" i="1"/>
  <c r="BO254" i="1"/>
  <c r="BN254" i="1"/>
  <c r="BM254" i="1"/>
  <c r="Z254" i="1"/>
  <c r="Y254" i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Y210" i="1" s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N196" i="1"/>
  <c r="BM196" i="1"/>
  <c r="Z196" i="1"/>
  <c r="Z198" i="1" s="1"/>
  <c r="Y196" i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J501" i="1" s="1"/>
  <c r="P191" i="1"/>
  <c r="X188" i="1"/>
  <c r="X187" i="1"/>
  <c r="BO186" i="1"/>
  <c r="BM186" i="1"/>
  <c r="Y186" i="1"/>
  <c r="Y188" i="1" s="1"/>
  <c r="P186" i="1"/>
  <c r="X184" i="1"/>
  <c r="X183" i="1"/>
  <c r="BO182" i="1"/>
  <c r="BM182" i="1"/>
  <c r="Y182" i="1"/>
  <c r="BP182" i="1" s="1"/>
  <c r="P182" i="1"/>
  <c r="BP181" i="1"/>
  <c r="BO181" i="1"/>
  <c r="BN181" i="1"/>
  <c r="BM181" i="1"/>
  <c r="Z181" i="1"/>
  <c r="Y181" i="1"/>
  <c r="P181" i="1"/>
  <c r="BO180" i="1"/>
  <c r="BM180" i="1"/>
  <c r="Y180" i="1"/>
  <c r="Y184" i="1" s="1"/>
  <c r="P180" i="1"/>
  <c r="X178" i="1"/>
  <c r="X177" i="1"/>
  <c r="BO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Y174" i="1"/>
  <c r="BP174" i="1" s="1"/>
  <c r="P174" i="1"/>
  <c r="BP173" i="1"/>
  <c r="BO173" i="1"/>
  <c r="BN173" i="1"/>
  <c r="BM173" i="1"/>
  <c r="Z173" i="1"/>
  <c r="Y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Y178" i="1" s="1"/>
  <c r="X163" i="1"/>
  <c r="Y162" i="1"/>
  <c r="X162" i="1"/>
  <c r="BP161" i="1"/>
  <c r="BO161" i="1"/>
  <c r="BN161" i="1"/>
  <c r="BM161" i="1"/>
  <c r="Z161" i="1"/>
  <c r="Z162" i="1" s="1"/>
  <c r="Y161" i="1"/>
  <c r="P161" i="1"/>
  <c r="X157" i="1"/>
  <c r="Y156" i="1"/>
  <c r="X156" i="1"/>
  <c r="BP155" i="1"/>
  <c r="BO155" i="1"/>
  <c r="BN155" i="1"/>
  <c r="BM155" i="1"/>
  <c r="Z155" i="1"/>
  <c r="Z156" i="1" s="1"/>
  <c r="Y155" i="1"/>
  <c r="Y157" i="1" s="1"/>
  <c r="P155" i="1"/>
  <c r="X153" i="1"/>
  <c r="X152" i="1"/>
  <c r="BP151" i="1"/>
  <c r="BO151" i="1"/>
  <c r="BN151" i="1"/>
  <c r="BM151" i="1"/>
  <c r="Z151" i="1"/>
  <c r="Y151" i="1"/>
  <c r="P151" i="1"/>
  <c r="BO150" i="1"/>
  <c r="BM150" i="1"/>
  <c r="Y150" i="1"/>
  <c r="Y152" i="1" s="1"/>
  <c r="P150" i="1"/>
  <c r="BP149" i="1"/>
  <c r="BO149" i="1"/>
  <c r="BN149" i="1"/>
  <c r="BM149" i="1"/>
  <c r="Z149" i="1"/>
  <c r="Y149" i="1"/>
  <c r="Y153" i="1" s="1"/>
  <c r="P149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H501" i="1" s="1"/>
  <c r="P144" i="1"/>
  <c r="X141" i="1"/>
  <c r="X140" i="1"/>
  <c r="BO139" i="1"/>
  <c r="BM139" i="1"/>
  <c r="Y139" i="1"/>
  <c r="Y141" i="1" s="1"/>
  <c r="P139" i="1"/>
  <c r="BP138" i="1"/>
  <c r="BO138" i="1"/>
  <c r="BN138" i="1"/>
  <c r="BM138" i="1"/>
  <c r="Z138" i="1"/>
  <c r="Y138" i="1"/>
  <c r="Y140" i="1" s="1"/>
  <c r="P138" i="1"/>
  <c r="X136" i="1"/>
  <c r="X135" i="1"/>
  <c r="BP134" i="1"/>
  <c r="BO134" i="1"/>
  <c r="BN134" i="1"/>
  <c r="BM134" i="1"/>
  <c r="Z134" i="1"/>
  <c r="Y134" i="1"/>
  <c r="P134" i="1"/>
  <c r="BO133" i="1"/>
  <c r="BM133" i="1"/>
  <c r="Y133" i="1"/>
  <c r="Y135" i="1" s="1"/>
  <c r="P133" i="1"/>
  <c r="X131" i="1"/>
  <c r="X130" i="1"/>
  <c r="BO129" i="1"/>
  <c r="BM129" i="1"/>
  <c r="Y129" i="1"/>
  <c r="Y131" i="1" s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P119" i="1"/>
  <c r="BO119" i="1"/>
  <c r="BN119" i="1"/>
  <c r="BM119" i="1"/>
  <c r="Z119" i="1"/>
  <c r="Y119" i="1"/>
  <c r="P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P111" i="1"/>
  <c r="BO111" i="1"/>
  <c r="BN111" i="1"/>
  <c r="BM111" i="1"/>
  <c r="Z111" i="1"/>
  <c r="Y111" i="1"/>
  <c r="P111" i="1"/>
  <c r="BO110" i="1"/>
  <c r="BM110" i="1"/>
  <c r="Y110" i="1"/>
  <c r="BO109" i="1"/>
  <c r="BM109" i="1"/>
  <c r="Y109" i="1"/>
  <c r="P109" i="1"/>
  <c r="X107" i="1"/>
  <c r="X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BP102" i="1"/>
  <c r="BO102" i="1"/>
  <c r="BN102" i="1"/>
  <c r="BM102" i="1"/>
  <c r="Z102" i="1"/>
  <c r="Y102" i="1"/>
  <c r="BP101" i="1"/>
  <c r="BO101" i="1"/>
  <c r="BN101" i="1"/>
  <c r="BM101" i="1"/>
  <c r="Z101" i="1"/>
  <c r="Y101" i="1"/>
  <c r="P101" i="1"/>
  <c r="X98" i="1"/>
  <c r="X97" i="1"/>
  <c r="BP96" i="1"/>
  <c r="BO96" i="1"/>
  <c r="BN96" i="1"/>
  <c r="BM96" i="1"/>
  <c r="Z96" i="1"/>
  <c r="Y96" i="1"/>
  <c r="P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X91" i="1"/>
  <c r="X90" i="1"/>
  <c r="BO89" i="1"/>
  <c r="BM89" i="1"/>
  <c r="Y89" i="1"/>
  <c r="P89" i="1"/>
  <c r="BP88" i="1"/>
  <c r="BO88" i="1"/>
  <c r="BN88" i="1"/>
  <c r="BM88" i="1"/>
  <c r="Z88" i="1"/>
  <c r="Y88" i="1"/>
  <c r="P88" i="1"/>
  <c r="BO87" i="1"/>
  <c r="BM87" i="1"/>
  <c r="Y87" i="1"/>
  <c r="BO86" i="1"/>
  <c r="BM86" i="1"/>
  <c r="Y86" i="1"/>
  <c r="P86" i="1"/>
  <c r="X83" i="1"/>
  <c r="X82" i="1"/>
  <c r="BO81" i="1"/>
  <c r="BM81" i="1"/>
  <c r="Y81" i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X71" i="1"/>
  <c r="X70" i="1"/>
  <c r="BO69" i="1"/>
  <c r="BM69" i="1"/>
  <c r="Y69" i="1"/>
  <c r="P69" i="1"/>
  <c r="BP68" i="1"/>
  <c r="BO68" i="1"/>
  <c r="BN68" i="1"/>
  <c r="BM68" i="1"/>
  <c r="Z68" i="1"/>
  <c r="Y68" i="1"/>
  <c r="P68" i="1"/>
  <c r="BO67" i="1"/>
  <c r="BM67" i="1"/>
  <c r="Y67" i="1"/>
  <c r="Y71" i="1" s="1"/>
  <c r="P67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N57" i="1"/>
  <c r="BM57" i="1"/>
  <c r="Z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3" i="1" s="1"/>
  <c r="P27" i="1"/>
  <c r="X25" i="1"/>
  <c r="X491" i="1" s="1"/>
  <c r="X24" i="1"/>
  <c r="X495" i="1" s="1"/>
  <c r="BO23" i="1"/>
  <c r="BM23" i="1"/>
  <c r="Y23" i="1"/>
  <c r="Y25" i="1" s="1"/>
  <c r="P23" i="1"/>
  <c r="BP22" i="1"/>
  <c r="BO22" i="1"/>
  <c r="BN22" i="1"/>
  <c r="BM22" i="1"/>
  <c r="Z22" i="1"/>
  <c r="Y22" i="1"/>
  <c r="P22" i="1"/>
  <c r="H10" i="1"/>
  <c r="A9" i="1"/>
  <c r="F10" i="1" s="1"/>
  <c r="D7" i="1"/>
  <c r="Q6" i="1"/>
  <c r="P2" i="1"/>
  <c r="H9" i="1" l="1"/>
  <c r="A10" i="1"/>
  <c r="B501" i="1"/>
  <c r="X492" i="1"/>
  <c r="X493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64" i="1"/>
  <c r="BP61" i="1"/>
  <c r="BN61" i="1"/>
  <c r="Z61" i="1"/>
  <c r="BP69" i="1"/>
  <c r="BN69" i="1"/>
  <c r="Z69" i="1"/>
  <c r="Y78" i="1"/>
  <c r="BP73" i="1"/>
  <c r="BN73" i="1"/>
  <c r="Z73" i="1"/>
  <c r="Y77" i="1"/>
  <c r="BP81" i="1"/>
  <c r="BN81" i="1"/>
  <c r="Z81" i="1"/>
  <c r="Z82" i="1" s="1"/>
  <c r="Y83" i="1"/>
  <c r="E501" i="1"/>
  <c r="Y90" i="1"/>
  <c r="BP86" i="1"/>
  <c r="BN86" i="1"/>
  <c r="Z86" i="1"/>
  <c r="BP89" i="1"/>
  <c r="BN89" i="1"/>
  <c r="Z89" i="1"/>
  <c r="Y91" i="1"/>
  <c r="Y98" i="1"/>
  <c r="BP93" i="1"/>
  <c r="BN93" i="1"/>
  <c r="Z93" i="1"/>
  <c r="Y97" i="1"/>
  <c r="BP103" i="1"/>
  <c r="BN103" i="1"/>
  <c r="Z103" i="1"/>
  <c r="BP110" i="1"/>
  <c r="BN110" i="1"/>
  <c r="Z110" i="1"/>
  <c r="BP118" i="1"/>
  <c r="BN118" i="1"/>
  <c r="Z118" i="1"/>
  <c r="F9" i="1"/>
  <c r="J9" i="1"/>
  <c r="Y45" i="1"/>
  <c r="Y491" i="1" s="1"/>
  <c r="D501" i="1"/>
  <c r="Y58" i="1"/>
  <c r="BP63" i="1"/>
  <c r="Y493" i="1" s="1"/>
  <c r="BN63" i="1"/>
  <c r="Y492" i="1" s="1"/>
  <c r="Y494" i="1" s="1"/>
  <c r="Z63" i="1"/>
  <c r="Y65" i="1"/>
  <c r="Y70" i="1"/>
  <c r="BP67" i="1"/>
  <c r="BN67" i="1"/>
  <c r="Z67" i="1"/>
  <c r="Z70" i="1" s="1"/>
  <c r="BP75" i="1"/>
  <c r="BN75" i="1"/>
  <c r="Z75" i="1"/>
  <c r="BP87" i="1"/>
  <c r="BN87" i="1"/>
  <c r="Z87" i="1"/>
  <c r="BP95" i="1"/>
  <c r="BN95" i="1"/>
  <c r="Z95" i="1"/>
  <c r="BP105" i="1"/>
  <c r="BN105" i="1"/>
  <c r="Z105" i="1"/>
  <c r="Y107" i="1"/>
  <c r="Y113" i="1"/>
  <c r="BP109" i="1"/>
  <c r="BN109" i="1"/>
  <c r="Z109" i="1"/>
  <c r="Z113" i="1" s="1"/>
  <c r="BP112" i="1"/>
  <c r="BN112" i="1"/>
  <c r="Z112" i="1"/>
  <c r="Y114" i="1"/>
  <c r="Y121" i="1"/>
  <c r="BP116" i="1"/>
  <c r="BN116" i="1"/>
  <c r="Z116" i="1"/>
  <c r="Z120" i="1" s="1"/>
  <c r="Y120" i="1"/>
  <c r="F501" i="1"/>
  <c r="Y106" i="1"/>
  <c r="G501" i="1"/>
  <c r="Z129" i="1"/>
  <c r="Z130" i="1" s="1"/>
  <c r="BN129" i="1"/>
  <c r="BP129" i="1"/>
  <c r="Y130" i="1"/>
  <c r="Z133" i="1"/>
  <c r="Z135" i="1" s="1"/>
  <c r="BN133" i="1"/>
  <c r="BP133" i="1"/>
  <c r="Y136" i="1"/>
  <c r="Z139" i="1"/>
  <c r="Z140" i="1" s="1"/>
  <c r="BN139" i="1"/>
  <c r="BP139" i="1"/>
  <c r="Z144" i="1"/>
  <c r="Z146" i="1" s="1"/>
  <c r="BN144" i="1"/>
  <c r="BP144" i="1"/>
  <c r="Y147" i="1"/>
  <c r="Z150" i="1"/>
  <c r="Z152" i="1" s="1"/>
  <c r="BN150" i="1"/>
  <c r="BP150" i="1"/>
  <c r="I501" i="1"/>
  <c r="Y163" i="1"/>
  <c r="Z165" i="1"/>
  <c r="Z177" i="1" s="1"/>
  <c r="BN165" i="1"/>
  <c r="BP165" i="1"/>
  <c r="Z167" i="1"/>
  <c r="BN167" i="1"/>
  <c r="Z169" i="1"/>
  <c r="BN169" i="1"/>
  <c r="Z171" i="1"/>
  <c r="BN171" i="1"/>
  <c r="Z174" i="1"/>
  <c r="BN174" i="1"/>
  <c r="Z176" i="1"/>
  <c r="BN176" i="1"/>
  <c r="Y177" i="1"/>
  <c r="Z180" i="1"/>
  <c r="Z183" i="1" s="1"/>
  <c r="BN180" i="1"/>
  <c r="BP180" i="1"/>
  <c r="Z182" i="1"/>
  <c r="BN182" i="1"/>
  <c r="Y183" i="1"/>
  <c r="Z186" i="1"/>
  <c r="Z187" i="1" s="1"/>
  <c r="BN186" i="1"/>
  <c r="BP186" i="1"/>
  <c r="Y187" i="1"/>
  <c r="Z191" i="1"/>
  <c r="Z193" i="1" s="1"/>
  <c r="BN191" i="1"/>
  <c r="BP191" i="1"/>
  <c r="Y194" i="1"/>
  <c r="Y199" i="1"/>
  <c r="BP196" i="1"/>
  <c r="Y209" i="1"/>
  <c r="BP204" i="1"/>
  <c r="BN204" i="1"/>
  <c r="Z204" i="1"/>
  <c r="BP208" i="1"/>
  <c r="BN208" i="1"/>
  <c r="Z208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56" i="1"/>
  <c r="BP253" i="1"/>
  <c r="BN253" i="1"/>
  <c r="Z253" i="1"/>
  <c r="Y265" i="1"/>
  <c r="BP262" i="1"/>
  <c r="BN262" i="1"/>
  <c r="Z262" i="1"/>
  <c r="BP271" i="1"/>
  <c r="BN271" i="1"/>
  <c r="Z271" i="1"/>
  <c r="O501" i="1"/>
  <c r="Y279" i="1"/>
  <c r="BP276" i="1"/>
  <c r="BN276" i="1"/>
  <c r="Z276" i="1"/>
  <c r="BP289" i="1"/>
  <c r="BN289" i="1"/>
  <c r="Z289" i="1"/>
  <c r="Z290" i="1" s="1"/>
  <c r="Y291" i="1"/>
  <c r="Q501" i="1"/>
  <c r="Y299" i="1"/>
  <c r="BP294" i="1"/>
  <c r="BN294" i="1"/>
  <c r="Z294" i="1"/>
  <c r="BP298" i="1"/>
  <c r="BN298" i="1"/>
  <c r="Z298" i="1"/>
  <c r="Y300" i="1"/>
  <c r="Y309" i="1"/>
  <c r="BP302" i="1"/>
  <c r="BN302" i="1"/>
  <c r="Z302" i="1"/>
  <c r="BP306" i="1"/>
  <c r="BN306" i="1"/>
  <c r="Z306" i="1"/>
  <c r="Y315" i="1"/>
  <c r="BP314" i="1"/>
  <c r="BN314" i="1"/>
  <c r="Z314" i="1"/>
  <c r="Y321" i="1"/>
  <c r="BP318" i="1"/>
  <c r="BN318" i="1"/>
  <c r="Z318" i="1"/>
  <c r="BP326" i="1"/>
  <c r="BN326" i="1"/>
  <c r="Z326" i="1"/>
  <c r="Y335" i="1"/>
  <c r="Z341" i="1"/>
  <c r="BP339" i="1"/>
  <c r="BN339" i="1"/>
  <c r="Z339" i="1"/>
  <c r="BP349" i="1"/>
  <c r="BN349" i="1"/>
  <c r="Z349" i="1"/>
  <c r="BP372" i="1"/>
  <c r="BN372" i="1"/>
  <c r="Z372" i="1"/>
  <c r="Z373" i="1" s="1"/>
  <c r="Y374" i="1"/>
  <c r="Y379" i="1"/>
  <c r="BP376" i="1"/>
  <c r="BN376" i="1"/>
  <c r="Z376" i="1"/>
  <c r="Z378" i="1" s="1"/>
  <c r="Y378" i="1"/>
  <c r="Y146" i="1"/>
  <c r="Y193" i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Z239" i="1" s="1"/>
  <c r="Y239" i="1"/>
  <c r="Z255" i="1"/>
  <c r="BP251" i="1"/>
  <c r="BN251" i="1"/>
  <c r="Z251" i="1"/>
  <c r="Y255" i="1"/>
  <c r="BP260" i="1"/>
  <c r="BN260" i="1"/>
  <c r="Z260" i="1"/>
  <c r="Z264" i="1" s="1"/>
  <c r="Y264" i="1"/>
  <c r="BP269" i="1"/>
  <c r="BN269" i="1"/>
  <c r="Z269" i="1"/>
  <c r="Z272" i="1" s="1"/>
  <c r="BP278" i="1"/>
  <c r="BN278" i="1"/>
  <c r="Z278" i="1"/>
  <c r="Y280" i="1"/>
  <c r="P501" i="1"/>
  <c r="Y286" i="1"/>
  <c r="BP283" i="1"/>
  <c r="BN283" i="1"/>
  <c r="Z283" i="1"/>
  <c r="Z285" i="1" s="1"/>
  <c r="BP296" i="1"/>
  <c r="BN296" i="1"/>
  <c r="Z296" i="1"/>
  <c r="BP304" i="1"/>
  <c r="BN304" i="1"/>
  <c r="Z304" i="1"/>
  <c r="Y308" i="1"/>
  <c r="BP312" i="1"/>
  <c r="BN312" i="1"/>
  <c r="Z312" i="1"/>
  <c r="Z315" i="1" s="1"/>
  <c r="BP320" i="1"/>
  <c r="BN320" i="1"/>
  <c r="Z320" i="1"/>
  <c r="Y322" i="1"/>
  <c r="Y329" i="1"/>
  <c r="BP324" i="1"/>
  <c r="BN324" i="1"/>
  <c r="Z324" i="1"/>
  <c r="Z328" i="1" s="1"/>
  <c r="Y328" i="1"/>
  <c r="BP332" i="1"/>
  <c r="BN332" i="1"/>
  <c r="Z332" i="1"/>
  <c r="Z334" i="1" s="1"/>
  <c r="BP347" i="1"/>
  <c r="BN347" i="1"/>
  <c r="Z347" i="1"/>
  <c r="Z353" i="1" s="1"/>
  <c r="BP351" i="1"/>
  <c r="BN351" i="1"/>
  <c r="Z351" i="1"/>
  <c r="BP390" i="1"/>
  <c r="BN390" i="1"/>
  <c r="Z390" i="1"/>
  <c r="Z398" i="1" s="1"/>
  <c r="BP394" i="1"/>
  <c r="BN394" i="1"/>
  <c r="Z394" i="1"/>
  <c r="Y398" i="1"/>
  <c r="BP402" i="1"/>
  <c r="BN402" i="1"/>
  <c r="Z402" i="1"/>
  <c r="Z403" i="1" s="1"/>
  <c r="Y404" i="1"/>
  <c r="V501" i="1"/>
  <c r="Y408" i="1"/>
  <c r="BP407" i="1"/>
  <c r="BN407" i="1"/>
  <c r="Z407" i="1"/>
  <c r="Z408" i="1" s="1"/>
  <c r="Y409" i="1"/>
  <c r="Y416" i="1"/>
  <c r="BP411" i="1"/>
  <c r="BN411" i="1"/>
  <c r="Z411" i="1"/>
  <c r="Y415" i="1"/>
  <c r="BP447" i="1"/>
  <c r="BN447" i="1"/>
  <c r="Z447" i="1"/>
  <c r="Z452" i="1" s="1"/>
  <c r="BP451" i="1"/>
  <c r="BN451" i="1"/>
  <c r="Z451" i="1"/>
  <c r="Y453" i="1"/>
  <c r="Y456" i="1"/>
  <c r="BP455" i="1"/>
  <c r="BN455" i="1"/>
  <c r="Z455" i="1"/>
  <c r="Z456" i="1" s="1"/>
  <c r="Y457" i="1"/>
  <c r="Y466" i="1"/>
  <c r="BP461" i="1"/>
  <c r="BN461" i="1"/>
  <c r="Z461" i="1"/>
  <c r="Y501" i="1"/>
  <c r="Y465" i="1"/>
  <c r="BP469" i="1"/>
  <c r="BN469" i="1"/>
  <c r="Z469" i="1"/>
  <c r="Z470" i="1" s="1"/>
  <c r="Y471" i="1"/>
  <c r="Y476" i="1"/>
  <c r="BP473" i="1"/>
  <c r="BN473" i="1"/>
  <c r="Z473" i="1"/>
  <c r="Z475" i="1" s="1"/>
  <c r="Y475" i="1"/>
  <c r="U501" i="1"/>
  <c r="K501" i="1"/>
  <c r="Y240" i="1"/>
  <c r="M501" i="1"/>
  <c r="Y272" i="1"/>
  <c r="R501" i="1"/>
  <c r="Y342" i="1"/>
  <c r="S501" i="1"/>
  <c r="Y354" i="1"/>
  <c r="Y353" i="1"/>
  <c r="BP357" i="1"/>
  <c r="BN357" i="1"/>
  <c r="Z357" i="1"/>
  <c r="Z358" i="1" s="1"/>
  <c r="Y359" i="1"/>
  <c r="Y364" i="1"/>
  <c r="BP361" i="1"/>
  <c r="BN361" i="1"/>
  <c r="Z361" i="1"/>
  <c r="Z363" i="1" s="1"/>
  <c r="Z384" i="1"/>
  <c r="BP382" i="1"/>
  <c r="BN382" i="1"/>
  <c r="Z382" i="1"/>
  <c r="Y399" i="1"/>
  <c r="BP392" i="1"/>
  <c r="BN392" i="1"/>
  <c r="Z392" i="1"/>
  <c r="BP396" i="1"/>
  <c r="BN396" i="1"/>
  <c r="Z396" i="1"/>
  <c r="Y403" i="1"/>
  <c r="BP413" i="1"/>
  <c r="BN413" i="1"/>
  <c r="Z413" i="1"/>
  <c r="X501" i="1"/>
  <c r="BP427" i="1"/>
  <c r="BN427" i="1"/>
  <c r="Z427" i="1"/>
  <c r="BP431" i="1"/>
  <c r="BN431" i="1"/>
  <c r="Z431" i="1"/>
  <c r="BP435" i="1"/>
  <c r="BN435" i="1"/>
  <c r="Z435" i="1"/>
  <c r="T501" i="1"/>
  <c r="Y373" i="1"/>
  <c r="BP426" i="1"/>
  <c r="BN426" i="1"/>
  <c r="Z426" i="1"/>
  <c r="Z437" i="1" s="1"/>
  <c r="BP429" i="1"/>
  <c r="BN429" i="1"/>
  <c r="Z429" i="1"/>
  <c r="BP433" i="1"/>
  <c r="BN433" i="1"/>
  <c r="Z433" i="1"/>
  <c r="Y437" i="1"/>
  <c r="Z443" i="1"/>
  <c r="BP441" i="1"/>
  <c r="BN441" i="1"/>
  <c r="Z441" i="1"/>
  <c r="Y452" i="1"/>
  <c r="BP449" i="1"/>
  <c r="BN449" i="1"/>
  <c r="Z449" i="1"/>
  <c r="BP463" i="1"/>
  <c r="BN463" i="1"/>
  <c r="Z463" i="1"/>
  <c r="Y470" i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W501" i="1"/>
  <c r="Y438" i="1"/>
  <c r="Z415" i="1" l="1"/>
  <c r="Z308" i="1"/>
  <c r="Z299" i="1"/>
  <c r="Z221" i="1"/>
  <c r="Z106" i="1"/>
  <c r="Z97" i="1"/>
  <c r="Z90" i="1"/>
  <c r="Z77" i="1"/>
  <c r="Y495" i="1"/>
  <c r="Z465" i="1"/>
  <c r="Z321" i="1"/>
  <c r="Z279" i="1"/>
  <c r="Z64" i="1"/>
  <c r="Z58" i="1"/>
  <c r="Z44" i="1"/>
  <c r="Z32" i="1"/>
  <c r="Z496" i="1" s="1"/>
  <c r="X494" i="1"/>
</calcChain>
</file>

<file path=xl/sharedStrings.xml><?xml version="1.0" encoding="utf-8"?>
<sst xmlns="http://schemas.openxmlformats.org/spreadsheetml/2006/main" count="2271" uniqueCount="775">
  <si>
    <t xml:space="preserve">  БЛАНК ЗАКАЗА </t>
  </si>
  <si>
    <t>КИ</t>
  </si>
  <si>
    <t>на отгрузку продукции с ООО Трейд-Сервис с</t>
  </si>
  <si>
    <t>15.12.2025</t>
  </si>
  <si>
    <t>бланк создан</t>
  </si>
  <si>
    <t>09.12.2025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</si>
  <si>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</si>
  <si>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</si>
  <si>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</si>
  <si>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</si>
  <si>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</si>
  <si>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</si>
  <si>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</si>
  <si>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</si>
  <si>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</si>
  <si>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</si>
  <si>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</si>
  <si>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</si>
  <si>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</si>
  <si>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</si>
  <si>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</si>
  <si>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</si>
  <si>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</si>
  <si>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</si>
  <si>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</si>
  <si>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</si>
  <si>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</si>
  <si>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</si>
  <si>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</si>
  <si>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</si>
  <si>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</si>
  <si>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</si>
  <si>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</si>
  <si>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</si>
  <si>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</si>
  <si>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</si>
  <si>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</si>
  <si>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</si>
  <si>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</si>
  <si>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</si>
  <si>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</si>
  <si>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</si>
  <si>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</si>
  <si>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</si>
  <si>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</si>
  <si>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</si>
  <si>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</si>
  <si>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</si>
  <si>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</si>
  <si>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</si>
  <si>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</si>
  <si>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</si>
  <si>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</si>
  <si>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</si>
  <si>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</si>
  <si>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</si>
  <si>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</si>
  <si>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</si>
  <si>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</si>
  <si>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</si>
  <si>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</si>
  <si>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</si>
  <si>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</si>
  <si>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</si>
  <si>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</si>
  <si>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</si>
  <si>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</si>
  <si>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</si>
  <si>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</si>
  <si>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</si>
  <si>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</si>
  <si>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</si>
  <si>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</si>
  <si>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</si>
  <si>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</si>
  <si>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</si>
  <si>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</si>
  <si>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</si>
  <si>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</si>
  <si>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</si>
  <si>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</si>
  <si>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</si>
  <si>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</si>
  <si>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</si>
  <si>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</si>
  <si>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</si>
  <si>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</si>
  <si>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</si>
  <si>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</si>
  <si>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</si>
  <si>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</si>
  <si>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</si>
  <si>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</si>
  <si>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</si>
  <si>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</si>
  <si>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</si>
  <si>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</si>
  <si>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</si>
  <si>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</si>
  <si>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</si>
  <si>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</si>
  <si>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</si>
  <si>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</si>
  <si>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</si>
  <si>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</si>
  <si>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</si>
  <si>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</si>
  <si>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</si>
  <si>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</si>
  <si>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</si>
  <si>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</si>
  <si>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</si>
  <si>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</si>
  <si>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</si>
  <si>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</si>
  <si>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</si>
  <si>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</si>
  <si>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</si>
  <si>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</si>
  <si>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</si>
  <si>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</si>
  <si>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</si>
  <si>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</si>
  <si>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</si>
  <si>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</si>
  <si>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</si>
  <si>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</si>
  <si>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</si>
  <si>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</si>
  <si>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</si>
  <si>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</si>
  <si>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</si>
  <si>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</si>
  <si>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</si>
  <si>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</si>
  <si>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</si>
  <si>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</si>
  <si>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</si>
  <si>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</si>
  <si>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</si>
  <si>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</si>
  <si>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</si>
  <si>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</si>
  <si>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</si>
  <si>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</si>
  <si>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</si>
  <si>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</si>
  <si>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</si>
  <si>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</si>
  <si>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</si>
  <si>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</si>
  <si>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</si>
  <si>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</si>
  <si>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</si>
  <si>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</si>
  <si>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</si>
  <si>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</si>
  <si>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</si>
  <si>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</si>
  <si>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</si>
  <si>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</si>
  <si>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</si>
  <si>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</si>
  <si>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</si>
  <si>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</si>
  <si>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</si>
  <si>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</si>
  <si>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</si>
  <si>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</si>
  <si>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</si>
  <si>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</si>
  <si>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</si>
  <si>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</si>
  <si>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</si>
  <si>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</si>
  <si>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</si>
  <si>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</si>
  <si>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</si>
  <si>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</si>
  <si>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</si>
  <si>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</si>
  <si>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</si>
  <si>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</si>
  <si>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</si>
  <si>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</si>
  <si>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</si>
  <si>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</si>
  <si>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</si>
  <si>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</si>
  <si>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</si>
  <si>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</si>
  <si>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</si>
  <si>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</si>
  <si>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</si>
  <si>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</si>
  <si>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</si>
  <si>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</si>
  <si>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</si>
  <si>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</si>
  <si>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</si>
  <si>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</si>
  <si>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</si>
  <si>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</si>
  <si>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</si>
  <si>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</si>
  <si>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</si>
  <si>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</si>
  <si>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</si>
  <si>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</si>
  <si>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</si>
  <si>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</si>
  <si>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</si>
  <si>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</si>
  <si>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</si>
  <si>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</si>
  <si>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</si>
  <si>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</si>
  <si>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</si>
  <si>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</si>
  <si>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</si>
  <si>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</si>
  <si>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</si>
  <si>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</si>
  <si>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</si>
  <si>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</si>
  <si>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</si>
  <si>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</si>
  <si>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</si>
  <si>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</si>
  <si>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</si>
  <si>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</si>
  <si>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</si>
  <si>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</si>
  <si>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</si>
  <si>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</si>
  <si>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</si>
  <si>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</si>
  <si>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</si>
  <si>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</si>
  <si>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</si>
  <si>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</si>
  <si>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</si>
  <si>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</si>
  <si>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</si>
  <si>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</si>
  <si>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</si>
  <si>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</si>
  <si>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</si>
  <si>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</si>
  <si>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</si>
  <si>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</si>
  <si>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</si>
  <si>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</si>
  <si>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</si>
  <si>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</si>
  <si>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</si>
  <si>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</si>
  <si>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</si>
  <si>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</si>
  <si>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</si>
  <si>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</si>
  <si>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</si>
  <si>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</si>
  <si>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</si>
  <si>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</si>
  <si>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</si>
  <si>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</si>
  <si>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</si>
  <si>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</si>
  <si>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</si>
  <si>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</si>
  <si>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</si>
  <si>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SU004026</t>
  </si>
  <si>
    <t>P005155</t>
  </si>
  <si>
    <t>Копченые колбасы «Ассорти Мясорубская коллекция: Сервелат Делюкс, С балыком» Фикс.вес 0,8 нарезка ТМ «Стародворье»</t>
  </si>
  <si>
    <t>Новинка</t>
  </si>
  <si>
    <t>ЕАЭС N RU Д-RU.РА10.В.96915/25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</si>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</sst>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3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548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1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6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2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1"/>
  <sheetViews>
    <sheetView showGridLines="0" tabSelected="1" topLeftCell="A478" zoomScaleNormal="100" zoomScaleSheetLayoutView="100" workbookViewId="0">
      <selection activeCell="AA497" sqref="AA497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22" t="s">
        <v>0</v>
      </c>
      <c r="E1" s="578"/>
      <c r="F1" s="578"/>
      <c r="G1" s="12" t="s">
        <v>1</v>
      </c>
      <c r="H1" s="622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8"/>
      <c r="R2" s="558"/>
      <c r="S2" s="558"/>
      <c r="T2" s="558"/>
      <c r="U2" s="558"/>
      <c r="V2" s="558"/>
      <c r="W2" s="558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8"/>
      <c r="Q3" s="558"/>
      <c r="R3" s="558"/>
      <c r="S3" s="558"/>
      <c r="T3" s="558"/>
      <c r="U3" s="558"/>
      <c r="V3" s="558"/>
      <c r="W3" s="558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69" t="s">
        <v>8</v>
      </c>
      <c r="B5" s="670"/>
      <c r="C5" s="671"/>
      <c r="D5" s="627"/>
      <c r="E5" s="628"/>
      <c r="F5" s="834" t="s">
        <v>9</v>
      </c>
      <c r="G5" s="671"/>
      <c r="H5" s="627"/>
      <c r="I5" s="782"/>
      <c r="J5" s="782"/>
      <c r="K5" s="782"/>
      <c r="L5" s="782"/>
      <c r="M5" s="628"/>
      <c r="N5" s="58"/>
      <c r="P5" s="24" t="s">
        <v>10</v>
      </c>
      <c r="Q5" s="846">
        <v>46004</v>
      </c>
      <c r="R5" s="668"/>
      <c r="T5" s="715" t="s">
        <v>11</v>
      </c>
      <c r="U5" s="716"/>
      <c r="V5" s="718" t="s">
        <v>12</v>
      </c>
      <c r="W5" s="668"/>
      <c r="AB5" s="51"/>
      <c r="AC5" s="51"/>
      <c r="AD5" s="51"/>
      <c r="AE5" s="51"/>
    </row>
    <row r="6" spans="1:32" s="539" customFormat="1" ht="24" customHeight="1" x14ac:dyDescent="0.2">
      <c r="A6" s="669" t="s">
        <v>13</v>
      </c>
      <c r="B6" s="670"/>
      <c r="C6" s="671"/>
      <c r="D6" s="785" t="s">
        <v>14</v>
      </c>
      <c r="E6" s="786"/>
      <c r="F6" s="786"/>
      <c r="G6" s="786"/>
      <c r="H6" s="786"/>
      <c r="I6" s="786"/>
      <c r="J6" s="786"/>
      <c r="K6" s="786"/>
      <c r="L6" s="786"/>
      <c r="M6" s="668"/>
      <c r="N6" s="59"/>
      <c r="P6" s="24" t="s">
        <v>15</v>
      </c>
      <c r="Q6" s="855" t="str">
        <f>IF(Q5=0," ",CHOOSE(WEEKDAY(Q5,2),"Понедельник","Вторник","Среда","Четверг","Пятница","Суббота","Воскресенье"))</f>
        <v>Суббота</v>
      </c>
      <c r="R6" s="550"/>
      <c r="T6" s="724" t="s">
        <v>16</v>
      </c>
      <c r="U6" s="716"/>
      <c r="V6" s="770" t="s">
        <v>17</v>
      </c>
      <c r="W6" s="596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05" t="str">
        <f>IFERROR(VLOOKUP(DeliveryAddress,Table,3,0),1)</f>
        <v>1</v>
      </c>
      <c r="E7" s="606"/>
      <c r="F7" s="606"/>
      <c r="G7" s="606"/>
      <c r="H7" s="606"/>
      <c r="I7" s="606"/>
      <c r="J7" s="606"/>
      <c r="K7" s="606"/>
      <c r="L7" s="606"/>
      <c r="M7" s="607"/>
      <c r="N7" s="60"/>
      <c r="P7" s="24"/>
      <c r="Q7" s="42"/>
      <c r="R7" s="42"/>
      <c r="T7" s="558"/>
      <c r="U7" s="716"/>
      <c r="V7" s="771"/>
      <c r="W7" s="772"/>
      <c r="AB7" s="51"/>
      <c r="AC7" s="51"/>
      <c r="AD7" s="51"/>
      <c r="AE7" s="51"/>
    </row>
    <row r="8" spans="1:32" s="539" customFormat="1" ht="25.5" customHeight="1" x14ac:dyDescent="0.2">
      <c r="A8" s="867" t="s">
        <v>18</v>
      </c>
      <c r="B8" s="562"/>
      <c r="C8" s="563"/>
      <c r="D8" s="614" t="s">
        <v>19</v>
      </c>
      <c r="E8" s="615"/>
      <c r="F8" s="615"/>
      <c r="G8" s="615"/>
      <c r="H8" s="615"/>
      <c r="I8" s="615"/>
      <c r="J8" s="615"/>
      <c r="K8" s="615"/>
      <c r="L8" s="615"/>
      <c r="M8" s="616"/>
      <c r="N8" s="61"/>
      <c r="P8" s="24" t="s">
        <v>20</v>
      </c>
      <c r="Q8" s="678">
        <v>0.41666666666666669</v>
      </c>
      <c r="R8" s="607"/>
      <c r="T8" s="558"/>
      <c r="U8" s="716"/>
      <c r="V8" s="771"/>
      <c r="W8" s="772"/>
      <c r="AB8" s="51"/>
      <c r="AC8" s="51"/>
      <c r="AD8" s="51"/>
      <c r="AE8" s="51"/>
    </row>
    <row r="9" spans="1:32" s="539" customFormat="1" ht="39.950000000000003" customHeight="1" x14ac:dyDescent="0.2">
      <c r="A9" s="6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8"/>
      <c r="C9" s="558"/>
      <c r="D9" s="690"/>
      <c r="E9" s="560"/>
      <c r="F9" s="6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8"/>
      <c r="H9" s="559" t="str">
        <f>IF(AND($A$9="Тип доверенности/получателя при получении в адресе перегруза:",$D$9="Разовая доверенность"),"Введите ФИО","")</f>
        <v/>
      </c>
      <c r="I9" s="560"/>
      <c r="J9" s="55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0"/>
      <c r="L9" s="560"/>
      <c r="M9" s="560"/>
      <c r="N9" s="537"/>
      <c r="P9" s="26" t="s">
        <v>21</v>
      </c>
      <c r="Q9" s="662"/>
      <c r="R9" s="663"/>
      <c r="T9" s="558"/>
      <c r="U9" s="716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8"/>
      <c r="C10" s="558"/>
      <c r="D10" s="690"/>
      <c r="E10" s="560"/>
      <c r="F10" s="6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8"/>
      <c r="H10" s="766" t="str">
        <f>IFERROR(VLOOKUP($D$10,Proxy,2,FALSE),"")</f>
        <v/>
      </c>
      <c r="I10" s="558"/>
      <c r="J10" s="558"/>
      <c r="K10" s="558"/>
      <c r="L10" s="558"/>
      <c r="M10" s="558"/>
      <c r="N10" s="538"/>
      <c r="P10" s="26" t="s">
        <v>22</v>
      </c>
      <c r="Q10" s="725"/>
      <c r="R10" s="726"/>
      <c r="U10" s="24" t="s">
        <v>23</v>
      </c>
      <c r="V10" s="595" t="s">
        <v>24</v>
      </c>
      <c r="W10" s="596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7"/>
      <c r="R11" s="668"/>
      <c r="U11" s="24" t="s">
        <v>27</v>
      </c>
      <c r="V11" s="800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0"/>
      <c r="C12" s="670"/>
      <c r="D12" s="670"/>
      <c r="E12" s="670"/>
      <c r="F12" s="670"/>
      <c r="G12" s="670"/>
      <c r="H12" s="670"/>
      <c r="I12" s="670"/>
      <c r="J12" s="670"/>
      <c r="K12" s="670"/>
      <c r="L12" s="670"/>
      <c r="M12" s="671"/>
      <c r="N12" s="62"/>
      <c r="P12" s="24" t="s">
        <v>30</v>
      </c>
      <c r="Q12" s="678"/>
      <c r="R12" s="607"/>
      <c r="S12" s="23"/>
      <c r="U12" s="24"/>
      <c r="V12" s="578"/>
      <c r="W12" s="558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0"/>
      <c r="C13" s="670"/>
      <c r="D13" s="670"/>
      <c r="E13" s="670"/>
      <c r="F13" s="670"/>
      <c r="G13" s="670"/>
      <c r="H13" s="670"/>
      <c r="I13" s="670"/>
      <c r="J13" s="670"/>
      <c r="K13" s="670"/>
      <c r="L13" s="670"/>
      <c r="M13" s="671"/>
      <c r="N13" s="62"/>
      <c r="O13" s="26"/>
      <c r="P13" s="26" t="s">
        <v>32</v>
      </c>
      <c r="Q13" s="800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0"/>
      <c r="C14" s="670"/>
      <c r="D14" s="670"/>
      <c r="E14" s="670"/>
      <c r="F14" s="670"/>
      <c r="G14" s="670"/>
      <c r="H14" s="670"/>
      <c r="I14" s="670"/>
      <c r="J14" s="670"/>
      <c r="K14" s="670"/>
      <c r="L14" s="670"/>
      <c r="M14" s="6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7" t="s">
        <v>34</v>
      </c>
      <c r="B15" s="670"/>
      <c r="C15" s="670"/>
      <c r="D15" s="670"/>
      <c r="E15" s="670"/>
      <c r="F15" s="670"/>
      <c r="G15" s="670"/>
      <c r="H15" s="670"/>
      <c r="I15" s="670"/>
      <c r="J15" s="670"/>
      <c r="K15" s="670"/>
      <c r="L15" s="670"/>
      <c r="M15" s="671"/>
      <c r="N15" s="63"/>
      <c r="P15" s="701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2"/>
      <c r="Q16" s="702"/>
      <c r="R16" s="702"/>
      <c r="S16" s="702"/>
      <c r="T16" s="7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88" t="s">
        <v>38</v>
      </c>
      <c r="D17" s="589" t="s">
        <v>39</v>
      </c>
      <c r="E17" s="650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49"/>
      <c r="R17" s="649"/>
      <c r="S17" s="649"/>
      <c r="T17" s="650"/>
      <c r="U17" s="866" t="s">
        <v>51</v>
      </c>
      <c r="V17" s="671"/>
      <c r="W17" s="589" t="s">
        <v>52</v>
      </c>
      <c r="X17" s="589" t="s">
        <v>53</v>
      </c>
      <c r="Y17" s="864" t="s">
        <v>54</v>
      </c>
      <c r="Z17" s="780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51"/>
      <c r="E18" s="653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90"/>
      <c r="X18" s="590"/>
      <c r="Y18" s="865"/>
      <c r="Z18" s="781"/>
      <c r="AA18" s="765"/>
      <c r="AB18" s="765"/>
      <c r="AC18" s="765"/>
      <c r="AD18" s="831"/>
      <c r="AE18" s="832"/>
      <c r="AF18" s="833"/>
      <c r="AG18" s="66"/>
      <c r="BD18" s="65"/>
    </row>
    <row r="19" spans="1:68" ht="27.75" customHeight="1" x14ac:dyDescent="0.2">
      <c r="A19" s="597" t="s">
        <v>63</v>
      </c>
      <c r="B19" s="598"/>
      <c r="C19" s="598"/>
      <c r="D19" s="598"/>
      <c r="E19" s="598"/>
      <c r="F19" s="598"/>
      <c r="G19" s="598"/>
      <c r="H19" s="598"/>
      <c r="I19" s="598"/>
      <c r="J19" s="598"/>
      <c r="K19" s="598"/>
      <c r="L19" s="598"/>
      <c r="M19" s="598"/>
      <c r="N19" s="598"/>
      <c r="O19" s="598"/>
      <c r="P19" s="598"/>
      <c r="Q19" s="598"/>
      <c r="R19" s="598"/>
      <c r="S19" s="598"/>
      <c r="T19" s="598"/>
      <c r="U19" s="598"/>
      <c r="V19" s="598"/>
      <c r="W19" s="598"/>
      <c r="X19" s="598"/>
      <c r="Y19" s="598"/>
      <c r="Z19" s="598"/>
      <c r="AA19" s="48"/>
      <c r="AB19" s="48"/>
      <c r="AC19" s="48"/>
    </row>
    <row r="20" spans="1:68" ht="16.5" customHeight="1" x14ac:dyDescent="0.25">
      <c r="A20" s="591" t="s">
        <v>63</v>
      </c>
      <c r="B20" s="558"/>
      <c r="C20" s="558"/>
      <c r="D20" s="558"/>
      <c r="E20" s="558"/>
      <c r="F20" s="558"/>
      <c r="G20" s="558"/>
      <c r="H20" s="558"/>
      <c r="I20" s="558"/>
      <c r="J20" s="558"/>
      <c r="K20" s="558"/>
      <c r="L20" s="558"/>
      <c r="M20" s="558"/>
      <c r="N20" s="558"/>
      <c r="O20" s="558"/>
      <c r="P20" s="558"/>
      <c r="Q20" s="558"/>
      <c r="R20" s="558"/>
      <c r="S20" s="558"/>
      <c r="T20" s="558"/>
      <c r="U20" s="558"/>
      <c r="V20" s="558"/>
      <c r="W20" s="558"/>
      <c r="X20" s="558"/>
      <c r="Y20" s="558"/>
      <c r="Z20" s="558"/>
      <c r="AA20" s="540"/>
      <c r="AB20" s="540"/>
      <c r="AC20" s="540"/>
    </row>
    <row r="21" spans="1:68" ht="14.25" customHeight="1" x14ac:dyDescent="0.25">
      <c r="A21" s="557" t="s">
        <v>64</v>
      </c>
      <c r="B21" s="558"/>
      <c r="C21" s="558"/>
      <c r="D21" s="558"/>
      <c r="E21" s="558"/>
      <c r="F21" s="558"/>
      <c r="G21" s="558"/>
      <c r="H21" s="558"/>
      <c r="I21" s="558"/>
      <c r="J21" s="558"/>
      <c r="K21" s="558"/>
      <c r="L21" s="558"/>
      <c r="M21" s="558"/>
      <c r="N21" s="558"/>
      <c r="O21" s="558"/>
      <c r="P21" s="558"/>
      <c r="Q21" s="558"/>
      <c r="R21" s="558"/>
      <c r="S21" s="558"/>
      <c r="T21" s="558"/>
      <c r="U21" s="558"/>
      <c r="V21" s="558"/>
      <c r="W21" s="558"/>
      <c r="X21" s="558"/>
      <c r="Y21" s="558"/>
      <c r="Z21" s="558"/>
      <c r="AA21" s="541"/>
      <c r="AB21" s="541"/>
      <c r="AC21" s="541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8"/>
      <c r="B24" s="558"/>
      <c r="C24" s="558"/>
      <c r="D24" s="558"/>
      <c r="E24" s="558"/>
      <c r="F24" s="558"/>
      <c r="G24" s="558"/>
      <c r="H24" s="558"/>
      <c r="I24" s="558"/>
      <c r="J24" s="558"/>
      <c r="K24" s="558"/>
      <c r="L24" s="558"/>
      <c r="M24" s="558"/>
      <c r="N24" s="558"/>
      <c r="O24" s="569"/>
      <c r="P24" s="561" t="s">
        <v>75</v>
      </c>
      <c r="Q24" s="562"/>
      <c r="R24" s="562"/>
      <c r="S24" s="562"/>
      <c r="T24" s="562"/>
      <c r="U24" s="562"/>
      <c r="V24" s="563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x14ac:dyDescent="0.2">
      <c r="A25" s="558"/>
      <c r="B25" s="558"/>
      <c r="C25" s="558"/>
      <c r="D25" s="558"/>
      <c r="E25" s="558"/>
      <c r="F25" s="558"/>
      <c r="G25" s="558"/>
      <c r="H25" s="558"/>
      <c r="I25" s="558"/>
      <c r="J25" s="558"/>
      <c r="K25" s="558"/>
      <c r="L25" s="558"/>
      <c r="M25" s="558"/>
      <c r="N25" s="558"/>
      <c r="O25" s="569"/>
      <c r="P25" s="561" t="s">
        <v>75</v>
      </c>
      <c r="Q25" s="562"/>
      <c r="R25" s="562"/>
      <c r="S25" s="562"/>
      <c r="T25" s="562"/>
      <c r="U25" s="562"/>
      <c r="V25" s="563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customHeight="1" x14ac:dyDescent="0.25">
      <c r="A26" s="557" t="s">
        <v>77</v>
      </c>
      <c r="B26" s="558"/>
      <c r="C26" s="558"/>
      <c r="D26" s="558"/>
      <c r="E26" s="558"/>
      <c r="F26" s="558"/>
      <c r="G26" s="558"/>
      <c r="H26" s="558"/>
      <c r="I26" s="558"/>
      <c r="J26" s="558"/>
      <c r="K26" s="558"/>
      <c r="L26" s="558"/>
      <c r="M26" s="558"/>
      <c r="N26" s="558"/>
      <c r="O26" s="558"/>
      <c r="P26" s="558"/>
      <c r="Q26" s="558"/>
      <c r="R26" s="558"/>
      <c r="S26" s="558"/>
      <c r="T26" s="558"/>
      <c r="U26" s="558"/>
      <c r="V26" s="558"/>
      <c r="W26" s="558"/>
      <c r="X26" s="558"/>
      <c r="Y26" s="558"/>
      <c r="Z26" s="558"/>
      <c r="AA26" s="541"/>
      <c r="AB26" s="541"/>
      <c r="AC26" s="541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87</v>
      </c>
      <c r="N29" s="33"/>
      <c r="O29" s="32">
        <v>40</v>
      </c>
      <c r="P29" s="6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87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92</v>
      </c>
      <c r="B31" s="54" t="s">
        <v>93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/>
      <c r="M31" s="33" t="s">
        <v>87</v>
      </c>
      <c r="N31" s="33"/>
      <c r="O31" s="32">
        <v>40</v>
      </c>
      <c r="P31" s="61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8"/>
      <c r="B32" s="558"/>
      <c r="C32" s="558"/>
      <c r="D32" s="558"/>
      <c r="E32" s="558"/>
      <c r="F32" s="558"/>
      <c r="G32" s="558"/>
      <c r="H32" s="558"/>
      <c r="I32" s="558"/>
      <c r="J32" s="558"/>
      <c r="K32" s="558"/>
      <c r="L32" s="558"/>
      <c r="M32" s="558"/>
      <c r="N32" s="558"/>
      <c r="O32" s="569"/>
      <c r="P32" s="561" t="s">
        <v>75</v>
      </c>
      <c r="Q32" s="562"/>
      <c r="R32" s="562"/>
      <c r="S32" s="562"/>
      <c r="T32" s="562"/>
      <c r="U32" s="562"/>
      <c r="V32" s="563"/>
      <c r="W32" s="37" t="s">
        <v>76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x14ac:dyDescent="0.2">
      <c r="A33" s="558"/>
      <c r="B33" s="558"/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69"/>
      <c r="P33" s="561" t="s">
        <v>75</v>
      </c>
      <c r="Q33" s="562"/>
      <c r="R33" s="562"/>
      <c r="S33" s="562"/>
      <c r="T33" s="562"/>
      <c r="U33" s="562"/>
      <c r="V33" s="563"/>
      <c r="W33" s="37" t="s">
        <v>69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customHeight="1" x14ac:dyDescent="0.25">
      <c r="A34" s="557" t="s">
        <v>94</v>
      </c>
      <c r="B34" s="558"/>
      <c r="C34" s="558"/>
      <c r="D34" s="558"/>
      <c r="E34" s="558"/>
      <c r="F34" s="558"/>
      <c r="G34" s="558"/>
      <c r="H34" s="558"/>
      <c r="I34" s="558"/>
      <c r="J34" s="558"/>
      <c r="K34" s="558"/>
      <c r="L34" s="558"/>
      <c r="M34" s="558"/>
      <c r="N34" s="558"/>
      <c r="O34" s="558"/>
      <c r="P34" s="558"/>
      <c r="Q34" s="558"/>
      <c r="R34" s="558"/>
      <c r="S34" s="558"/>
      <c r="T34" s="558"/>
      <c r="U34" s="558"/>
      <c r="V34" s="558"/>
      <c r="W34" s="558"/>
      <c r="X34" s="558"/>
      <c r="Y34" s="558"/>
      <c r="Z34" s="558"/>
      <c r="AA34" s="541"/>
      <c r="AB34" s="541"/>
      <c r="AC34" s="541"/>
    </row>
    <row r="35" spans="1:68" ht="27" customHeight="1" x14ac:dyDescent="0.25">
      <c r="A35" s="54" t="s">
        <v>95</v>
      </c>
      <c r="B35" s="54" t="s">
        <v>96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97</v>
      </c>
      <c r="N35" s="33"/>
      <c r="O35" s="32">
        <v>120</v>
      </c>
      <c r="P35" s="79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98</v>
      </c>
      <c r="AG35" s="64"/>
      <c r="AJ35" s="68"/>
      <c r="AK35" s="68">
        <v>0</v>
      </c>
      <c r="BB35" s="84" t="s">
        <v>99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8"/>
      <c r="B36" s="558"/>
      <c r="C36" s="558"/>
      <c r="D36" s="558"/>
      <c r="E36" s="558"/>
      <c r="F36" s="558"/>
      <c r="G36" s="558"/>
      <c r="H36" s="558"/>
      <c r="I36" s="558"/>
      <c r="J36" s="558"/>
      <c r="K36" s="558"/>
      <c r="L36" s="558"/>
      <c r="M36" s="558"/>
      <c r="N36" s="558"/>
      <c r="O36" s="569"/>
      <c r="P36" s="561" t="s">
        <v>75</v>
      </c>
      <c r="Q36" s="562"/>
      <c r="R36" s="562"/>
      <c r="S36" s="562"/>
      <c r="T36" s="562"/>
      <c r="U36" s="562"/>
      <c r="V36" s="563"/>
      <c r="W36" s="37" t="s">
        <v>76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x14ac:dyDescent="0.2">
      <c r="A37" s="558"/>
      <c r="B37" s="558"/>
      <c r="C37" s="558"/>
      <c r="D37" s="558"/>
      <c r="E37" s="558"/>
      <c r="F37" s="558"/>
      <c r="G37" s="558"/>
      <c r="H37" s="558"/>
      <c r="I37" s="558"/>
      <c r="J37" s="558"/>
      <c r="K37" s="558"/>
      <c r="L37" s="558"/>
      <c r="M37" s="558"/>
      <c r="N37" s="558"/>
      <c r="O37" s="569"/>
      <c r="P37" s="561" t="s">
        <v>75</v>
      </c>
      <c r="Q37" s="562"/>
      <c r="R37" s="562"/>
      <c r="S37" s="562"/>
      <c r="T37" s="562"/>
      <c r="U37" s="562"/>
      <c r="V37" s="563"/>
      <c r="W37" s="37" t="s">
        <v>69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customHeight="1" x14ac:dyDescent="0.2">
      <c r="A38" s="597" t="s">
        <v>100</v>
      </c>
      <c r="B38" s="598"/>
      <c r="C38" s="598"/>
      <c r="D38" s="598"/>
      <c r="E38" s="598"/>
      <c r="F38" s="598"/>
      <c r="G38" s="598"/>
      <c r="H38" s="598"/>
      <c r="I38" s="598"/>
      <c r="J38" s="598"/>
      <c r="K38" s="598"/>
      <c r="L38" s="598"/>
      <c r="M38" s="598"/>
      <c r="N38" s="598"/>
      <c r="O38" s="598"/>
      <c r="P38" s="598"/>
      <c r="Q38" s="598"/>
      <c r="R38" s="598"/>
      <c r="S38" s="598"/>
      <c r="T38" s="598"/>
      <c r="U38" s="598"/>
      <c r="V38" s="598"/>
      <c r="W38" s="598"/>
      <c r="X38" s="598"/>
      <c r="Y38" s="598"/>
      <c r="Z38" s="598"/>
      <c r="AA38" s="48"/>
      <c r="AB38" s="48"/>
      <c r="AC38" s="48"/>
    </row>
    <row r="39" spans="1:68" ht="16.5" customHeight="1" x14ac:dyDescent="0.25">
      <c r="A39" s="591" t="s">
        <v>101</v>
      </c>
      <c r="B39" s="558"/>
      <c r="C39" s="558"/>
      <c r="D39" s="558"/>
      <c r="E39" s="558"/>
      <c r="F39" s="558"/>
      <c r="G39" s="558"/>
      <c r="H39" s="558"/>
      <c r="I39" s="558"/>
      <c r="J39" s="558"/>
      <c r="K39" s="558"/>
      <c r="L39" s="558"/>
      <c r="M39" s="558"/>
      <c r="N39" s="558"/>
      <c r="O39" s="558"/>
      <c r="P39" s="558"/>
      <c r="Q39" s="558"/>
      <c r="R39" s="558"/>
      <c r="S39" s="558"/>
      <c r="T39" s="558"/>
      <c r="U39" s="558"/>
      <c r="V39" s="558"/>
      <c r="W39" s="558"/>
      <c r="X39" s="558"/>
      <c r="Y39" s="558"/>
      <c r="Z39" s="558"/>
      <c r="AA39" s="540"/>
      <c r="AB39" s="540"/>
      <c r="AC39" s="540"/>
    </row>
    <row r="40" spans="1:68" ht="14.25" customHeight="1" x14ac:dyDescent="0.25">
      <c r="A40" s="557" t="s">
        <v>102</v>
      </c>
      <c r="B40" s="558"/>
      <c r="C40" s="558"/>
      <c r="D40" s="558"/>
      <c r="E40" s="558"/>
      <c r="F40" s="558"/>
      <c r="G40" s="558"/>
      <c r="H40" s="558"/>
      <c r="I40" s="558"/>
      <c r="J40" s="558"/>
      <c r="K40" s="558"/>
      <c r="L40" s="558"/>
      <c r="M40" s="558"/>
      <c r="N40" s="558"/>
      <c r="O40" s="558"/>
      <c r="P40" s="558"/>
      <c r="Q40" s="558"/>
      <c r="R40" s="558"/>
      <c r="S40" s="558"/>
      <c r="T40" s="558"/>
      <c r="U40" s="558"/>
      <c r="V40" s="558"/>
      <c r="W40" s="558"/>
      <c r="X40" s="558"/>
      <c r="Y40" s="558"/>
      <c r="Z40" s="558"/>
      <c r="AA40" s="541"/>
      <c r="AB40" s="541"/>
      <c r="AC40" s="541"/>
    </row>
    <row r="41" spans="1:68" ht="16.5" customHeight="1" x14ac:dyDescent="0.25">
      <c r="A41" s="54" t="s">
        <v>103</v>
      </c>
      <c r="B41" s="54" t="s">
        <v>104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105</v>
      </c>
      <c r="L41" s="32" t="s">
        <v>106</v>
      </c>
      <c r="M41" s="33" t="s">
        <v>107</v>
      </c>
      <c r="N41" s="33"/>
      <c r="O41" s="32">
        <v>50</v>
      </c>
      <c r="P41" s="80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5">
        <v>434</v>
      </c>
      <c r="Y41" s="546">
        <f>IFERROR(IF(X41="",0,CEILING((X41/$H41),1)*$H41),"")</f>
        <v>442.8</v>
      </c>
      <c r="Z41" s="36">
        <f>IFERROR(IF(Y41=0,"",ROUNDUP(Y41/H41,0)*0.01898),"")</f>
        <v>0.77817999999999998</v>
      </c>
      <c r="AA41" s="56"/>
      <c r="AB41" s="57"/>
      <c r="AC41" s="85" t="s">
        <v>108</v>
      </c>
      <c r="AG41" s="64"/>
      <c r="AJ41" s="68" t="s">
        <v>109</v>
      </c>
      <c r="AK41" s="68">
        <v>86.4</v>
      </c>
      <c r="BB41" s="86" t="s">
        <v>1</v>
      </c>
      <c r="BM41" s="64">
        <f>IFERROR(X41*I41/H41,"0")</f>
        <v>450.47592592592594</v>
      </c>
      <c r="BN41" s="64">
        <f>IFERROR(Y41*I41/H41,"0")</f>
        <v>459.61</v>
      </c>
      <c r="BO41" s="64">
        <f>IFERROR(1/J41*(X41/H41),"0")</f>
        <v>0.62789351851851849</v>
      </c>
      <c r="BP41" s="64">
        <f>IFERROR(1/J41*(Y41/H41),"0")</f>
        <v>0.640625</v>
      </c>
    </row>
    <row r="42" spans="1:68" ht="27" customHeight="1" x14ac:dyDescent="0.25">
      <c r="A42" s="54" t="s">
        <v>110</v>
      </c>
      <c r="B42" s="54" t="s">
        <v>111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108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0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69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108</v>
      </c>
      <c r="AG43" s="64"/>
      <c r="AJ43" s="68" t="s">
        <v>109</v>
      </c>
      <c r="AK43" s="68">
        <v>44.4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8"/>
      <c r="B44" s="558"/>
      <c r="C44" s="558"/>
      <c r="D44" s="558"/>
      <c r="E44" s="558"/>
      <c r="F44" s="558"/>
      <c r="G44" s="558"/>
      <c r="H44" s="558"/>
      <c r="I44" s="558"/>
      <c r="J44" s="558"/>
      <c r="K44" s="558"/>
      <c r="L44" s="558"/>
      <c r="M44" s="558"/>
      <c r="N44" s="558"/>
      <c r="O44" s="569"/>
      <c r="P44" s="561" t="s">
        <v>75</v>
      </c>
      <c r="Q44" s="562"/>
      <c r="R44" s="562"/>
      <c r="S44" s="562"/>
      <c r="T44" s="562"/>
      <c r="U44" s="562"/>
      <c r="V44" s="563"/>
      <c r="W44" s="37" t="s">
        <v>76</v>
      </c>
      <c r="X44" s="547">
        <f>IFERROR(X41/H41,"0")+IFERROR(X42/H42,"0")+IFERROR(X43/H43,"0")</f>
        <v>40.185185185185183</v>
      </c>
      <c r="Y44" s="547">
        <f>IFERROR(Y41/H41,"0")+IFERROR(Y42/H42,"0")+IFERROR(Y43/H43,"0")</f>
        <v>41</v>
      </c>
      <c r="Z44" s="547">
        <f>IFERROR(IF(Z41="",0,Z41),"0")+IFERROR(IF(Z42="",0,Z42),"0")+IFERROR(IF(Z43="",0,Z43),"0")</f>
        <v>0.77817999999999998</v>
      </c>
      <c r="AA44" s="548"/>
      <c r="AB44" s="548"/>
      <c r="AC44" s="548"/>
    </row>
    <row r="45" spans="1:68" x14ac:dyDescent="0.2">
      <c r="A45" s="558"/>
      <c r="B45" s="558"/>
      <c r="C45" s="558"/>
      <c r="D45" s="558"/>
      <c r="E45" s="558"/>
      <c r="F45" s="558"/>
      <c r="G45" s="558"/>
      <c r="H45" s="558"/>
      <c r="I45" s="558"/>
      <c r="J45" s="558"/>
      <c r="K45" s="558"/>
      <c r="L45" s="558"/>
      <c r="M45" s="558"/>
      <c r="N45" s="558"/>
      <c r="O45" s="569"/>
      <c r="P45" s="561" t="s">
        <v>75</v>
      </c>
      <c r="Q45" s="562"/>
      <c r="R45" s="562"/>
      <c r="S45" s="562"/>
      <c r="T45" s="562"/>
      <c r="U45" s="562"/>
      <c r="V45" s="563"/>
      <c r="W45" s="37" t="s">
        <v>69</v>
      </c>
      <c r="X45" s="547">
        <f>IFERROR(SUM(X41:X43),"0")</f>
        <v>434</v>
      </c>
      <c r="Y45" s="547">
        <f>IFERROR(SUM(Y41:Y43),"0")</f>
        <v>442.8</v>
      </c>
      <c r="Z45" s="37"/>
      <c r="AA45" s="548"/>
      <c r="AB45" s="548"/>
      <c r="AC45" s="548"/>
    </row>
    <row r="46" spans="1:68" ht="14.25" customHeight="1" x14ac:dyDescent="0.25">
      <c r="A46" s="557" t="s">
        <v>77</v>
      </c>
      <c r="B46" s="558"/>
      <c r="C46" s="558"/>
      <c r="D46" s="558"/>
      <c r="E46" s="558"/>
      <c r="F46" s="558"/>
      <c r="G46" s="558"/>
      <c r="H46" s="558"/>
      <c r="I46" s="558"/>
      <c r="J46" s="558"/>
      <c r="K46" s="558"/>
      <c r="L46" s="558"/>
      <c r="M46" s="558"/>
      <c r="N46" s="558"/>
      <c r="O46" s="558"/>
      <c r="P46" s="558"/>
      <c r="Q46" s="558"/>
      <c r="R46" s="558"/>
      <c r="S46" s="558"/>
      <c r="T46" s="558"/>
      <c r="U46" s="558"/>
      <c r="V46" s="558"/>
      <c r="W46" s="558"/>
      <c r="X46" s="558"/>
      <c r="Y46" s="558"/>
      <c r="Z46" s="558"/>
      <c r="AA46" s="541"/>
      <c r="AB46" s="541"/>
      <c r="AC46" s="541"/>
    </row>
    <row r="47" spans="1:68" ht="16.5" customHeight="1" x14ac:dyDescent="0.25">
      <c r="A47" s="54" t="s">
        <v>116</v>
      </c>
      <c r="B47" s="54" t="s">
        <v>117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8"/>
      <c r="B48" s="558"/>
      <c r="C48" s="558"/>
      <c r="D48" s="558"/>
      <c r="E48" s="558"/>
      <c r="F48" s="558"/>
      <c r="G48" s="558"/>
      <c r="H48" s="558"/>
      <c r="I48" s="558"/>
      <c r="J48" s="558"/>
      <c r="K48" s="558"/>
      <c r="L48" s="558"/>
      <c r="M48" s="558"/>
      <c r="N48" s="558"/>
      <c r="O48" s="569"/>
      <c r="P48" s="561" t="s">
        <v>75</v>
      </c>
      <c r="Q48" s="562"/>
      <c r="R48" s="562"/>
      <c r="S48" s="562"/>
      <c r="T48" s="562"/>
      <c r="U48" s="562"/>
      <c r="V48" s="563"/>
      <c r="W48" s="37" t="s">
        <v>76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x14ac:dyDescent="0.2">
      <c r="A49" s="558"/>
      <c r="B49" s="558"/>
      <c r="C49" s="558"/>
      <c r="D49" s="558"/>
      <c r="E49" s="558"/>
      <c r="F49" s="558"/>
      <c r="G49" s="558"/>
      <c r="H49" s="558"/>
      <c r="I49" s="558"/>
      <c r="J49" s="558"/>
      <c r="K49" s="558"/>
      <c r="L49" s="558"/>
      <c r="M49" s="558"/>
      <c r="N49" s="558"/>
      <c r="O49" s="569"/>
      <c r="P49" s="561" t="s">
        <v>75</v>
      </c>
      <c r="Q49" s="562"/>
      <c r="R49" s="562"/>
      <c r="S49" s="562"/>
      <c r="T49" s="562"/>
      <c r="U49" s="562"/>
      <c r="V49" s="563"/>
      <c r="W49" s="37" t="s">
        <v>69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customHeight="1" x14ac:dyDescent="0.25">
      <c r="A50" s="591" t="s">
        <v>119</v>
      </c>
      <c r="B50" s="558"/>
      <c r="C50" s="558"/>
      <c r="D50" s="558"/>
      <c r="E50" s="558"/>
      <c r="F50" s="558"/>
      <c r="G50" s="558"/>
      <c r="H50" s="558"/>
      <c r="I50" s="558"/>
      <c r="J50" s="558"/>
      <c r="K50" s="558"/>
      <c r="L50" s="558"/>
      <c r="M50" s="558"/>
      <c r="N50" s="558"/>
      <c r="O50" s="558"/>
      <c r="P50" s="558"/>
      <c r="Q50" s="558"/>
      <c r="R50" s="558"/>
      <c r="S50" s="558"/>
      <c r="T50" s="558"/>
      <c r="U50" s="558"/>
      <c r="V50" s="558"/>
      <c r="W50" s="558"/>
      <c r="X50" s="558"/>
      <c r="Y50" s="558"/>
      <c r="Z50" s="558"/>
      <c r="AA50" s="540"/>
      <c r="AB50" s="540"/>
      <c r="AC50" s="540"/>
    </row>
    <row r="51" spans="1:68" ht="14.25" customHeight="1" x14ac:dyDescent="0.25">
      <c r="A51" s="557" t="s">
        <v>102</v>
      </c>
      <c r="B51" s="558"/>
      <c r="C51" s="558"/>
      <c r="D51" s="558"/>
      <c r="E51" s="558"/>
      <c r="F51" s="558"/>
      <c r="G51" s="558"/>
      <c r="H51" s="558"/>
      <c r="I51" s="558"/>
      <c r="J51" s="558"/>
      <c r="K51" s="558"/>
      <c r="L51" s="558"/>
      <c r="M51" s="558"/>
      <c r="N51" s="558"/>
      <c r="O51" s="558"/>
      <c r="P51" s="558"/>
      <c r="Q51" s="558"/>
      <c r="R51" s="558"/>
      <c r="S51" s="558"/>
      <c r="T51" s="558"/>
      <c r="U51" s="558"/>
      <c r="V51" s="558"/>
      <c r="W51" s="558"/>
      <c r="X51" s="558"/>
      <c r="Y51" s="558"/>
      <c r="Z51" s="558"/>
      <c r="AA51" s="541"/>
      <c r="AB51" s="541"/>
      <c r="AC51" s="541"/>
    </row>
    <row r="52" spans="1:68" ht="27" customHeight="1" x14ac:dyDescent="0.25">
      <c r="A52" s="54" t="s">
        <v>120</v>
      </c>
      <c r="B52" s="54" t="s">
        <v>121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105</v>
      </c>
      <c r="L52" s="32" t="s">
        <v>106</v>
      </c>
      <c r="M52" s="33" t="s">
        <v>80</v>
      </c>
      <c r="N52" s="33"/>
      <c r="O52" s="32">
        <v>50</v>
      </c>
      <c r="P52" s="65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5">
        <v>105</v>
      </c>
      <c r="Y52" s="546">
        <f t="shared" ref="Y52:Y57" si="0">IFERROR(IF(X52="",0,CEILING((X52/$H52),1)*$H52),"")</f>
        <v>112</v>
      </c>
      <c r="Z52" s="36">
        <f>IFERROR(IF(Y52=0,"",ROUNDUP(Y52/H52,0)*0.01898),"")</f>
        <v>0.1898</v>
      </c>
      <c r="AA52" s="56"/>
      <c r="AB52" s="57"/>
      <c r="AC52" s="93" t="s">
        <v>122</v>
      </c>
      <c r="AG52" s="64"/>
      <c r="AJ52" s="68" t="s">
        <v>109</v>
      </c>
      <c r="AK52" s="68">
        <v>89.6</v>
      </c>
      <c r="BB52" s="94" t="s">
        <v>1</v>
      </c>
      <c r="BM52" s="64">
        <f t="shared" ref="BM52:BM57" si="1">IFERROR(X52*I52/H52,"0")</f>
        <v>108.84375</v>
      </c>
      <c r="BN52" s="64">
        <f t="shared" ref="BN52:BN57" si="2">IFERROR(Y52*I52/H52,"0")</f>
        <v>116.10000000000001</v>
      </c>
      <c r="BO52" s="64">
        <f t="shared" ref="BO52:BO57" si="3">IFERROR(1/J52*(X52/H52),"0")</f>
        <v>0.146484375</v>
      </c>
      <c r="BP52" s="64">
        <f t="shared" ref="BP52:BP57" si="4">IFERROR(1/J52*(Y52/H52),"0")</f>
        <v>0.15625</v>
      </c>
    </row>
    <row r="53" spans="1:68" ht="27" customHeight="1" x14ac:dyDescent="0.25">
      <c r="A53" s="54" t="s">
        <v>123</v>
      </c>
      <c r="B53" s="54" t="s">
        <v>124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105</v>
      </c>
      <c r="L53" s="32" t="s">
        <v>106</v>
      </c>
      <c r="M53" s="33" t="s">
        <v>107</v>
      </c>
      <c r="N53" s="33"/>
      <c r="O53" s="32">
        <v>50</v>
      </c>
      <c r="P53" s="69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5">
        <v>164</v>
      </c>
      <c r="Y53" s="546">
        <f t="shared" si="0"/>
        <v>172.8</v>
      </c>
      <c r="Z53" s="36">
        <f>IFERROR(IF(Y53=0,"",ROUNDUP(Y53/H53,0)*0.01898),"")</f>
        <v>0.30368000000000001</v>
      </c>
      <c r="AA53" s="56"/>
      <c r="AB53" s="57"/>
      <c r="AC53" s="95" t="s">
        <v>125</v>
      </c>
      <c r="AG53" s="64"/>
      <c r="AJ53" s="68" t="s">
        <v>109</v>
      </c>
      <c r="AK53" s="68">
        <v>86.4</v>
      </c>
      <c r="BB53" s="96" t="s">
        <v>1</v>
      </c>
      <c r="BM53" s="64">
        <f t="shared" si="1"/>
        <v>170.22592592592591</v>
      </c>
      <c r="BN53" s="64">
        <f t="shared" si="2"/>
        <v>179.36</v>
      </c>
      <c r="BO53" s="64">
        <f t="shared" si="3"/>
        <v>0.23726851851851849</v>
      </c>
      <c r="BP53" s="64">
        <f t="shared" si="4"/>
        <v>0.25</v>
      </c>
    </row>
    <row r="54" spans="1:68" ht="27" customHeight="1" x14ac:dyDescent="0.25">
      <c r="A54" s="54" t="s">
        <v>126</v>
      </c>
      <c r="B54" s="54" t="s">
        <v>127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112</v>
      </c>
      <c r="L54" s="32"/>
      <c r="M54" s="33" t="s">
        <v>107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129</v>
      </c>
      <c r="B55" s="54" t="s">
        <v>130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112</v>
      </c>
      <c r="L55" s="32" t="s">
        <v>115</v>
      </c>
      <c r="M55" s="33" t="s">
        <v>107</v>
      </c>
      <c r="N55" s="33"/>
      <c r="O55" s="32">
        <v>50</v>
      </c>
      <c r="P55" s="67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5">
        <v>78</v>
      </c>
      <c r="Y55" s="546">
        <f t="shared" si="0"/>
        <v>80</v>
      </c>
      <c r="Z55" s="36">
        <f>IFERROR(IF(Y55=0,"",ROUNDUP(Y55/H55,0)*0.00902),"")</f>
        <v>0.1804</v>
      </c>
      <c r="AA55" s="56"/>
      <c r="AB55" s="57"/>
      <c r="AC55" s="99" t="s">
        <v>131</v>
      </c>
      <c r="AG55" s="64"/>
      <c r="AJ55" s="68" t="s">
        <v>109</v>
      </c>
      <c r="AK55" s="68">
        <v>48</v>
      </c>
      <c r="BB55" s="100" t="s">
        <v>1</v>
      </c>
      <c r="BM55" s="64">
        <f t="shared" si="1"/>
        <v>81.705000000000013</v>
      </c>
      <c r="BN55" s="64">
        <f t="shared" si="2"/>
        <v>83.800000000000011</v>
      </c>
      <c r="BO55" s="64">
        <f t="shared" si="3"/>
        <v>0.14772727272727273</v>
      </c>
      <c r="BP55" s="64">
        <f t="shared" si="4"/>
        <v>0.15151515151515152</v>
      </c>
    </row>
    <row r="56" spans="1:68" ht="27" customHeight="1" x14ac:dyDescent="0.25">
      <c r="A56" s="54" t="s">
        <v>132</v>
      </c>
      <c r="B56" s="54" t="s">
        <v>133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/>
      <c r="M56" s="33" t="s">
        <v>87</v>
      </c>
      <c r="N56" s="33"/>
      <c r="O56" s="32">
        <v>50</v>
      </c>
      <c r="P56" s="59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112</v>
      </c>
      <c r="L57" s="32"/>
      <c r="M57" s="33" t="s">
        <v>107</v>
      </c>
      <c r="N57" s="33"/>
      <c r="O57" s="32">
        <v>50</v>
      </c>
      <c r="P57" s="83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8"/>
      <c r="B58" s="558"/>
      <c r="C58" s="558"/>
      <c r="D58" s="558"/>
      <c r="E58" s="558"/>
      <c r="F58" s="558"/>
      <c r="G58" s="558"/>
      <c r="H58" s="558"/>
      <c r="I58" s="558"/>
      <c r="J58" s="558"/>
      <c r="K58" s="558"/>
      <c r="L58" s="558"/>
      <c r="M58" s="558"/>
      <c r="N58" s="558"/>
      <c r="O58" s="569"/>
      <c r="P58" s="561" t="s">
        <v>75</v>
      </c>
      <c r="Q58" s="562"/>
      <c r="R58" s="562"/>
      <c r="S58" s="562"/>
      <c r="T58" s="562"/>
      <c r="U58" s="562"/>
      <c r="V58" s="563"/>
      <c r="W58" s="37" t="s">
        <v>76</v>
      </c>
      <c r="X58" s="547">
        <f>IFERROR(X52/H52,"0")+IFERROR(X53/H53,"0")+IFERROR(X54/H54,"0")+IFERROR(X55/H55,"0")+IFERROR(X56/H56,"0")+IFERROR(X57/H57,"0")</f>
        <v>44.060185185185183</v>
      </c>
      <c r="Y58" s="547">
        <f>IFERROR(Y52/H52,"0")+IFERROR(Y53/H53,"0")+IFERROR(Y54/H54,"0")+IFERROR(Y55/H55,"0")+IFERROR(Y56/H56,"0")+IFERROR(Y57/H57,"0")</f>
        <v>46</v>
      </c>
      <c r="Z58" s="547">
        <f>IFERROR(IF(Z52="",0,Z52),"0")+IFERROR(IF(Z53="",0,Z53),"0")+IFERROR(IF(Z54="",0,Z54),"0")+IFERROR(IF(Z55="",0,Z55),"0")+IFERROR(IF(Z56="",0,Z56),"0")+IFERROR(IF(Z57="",0,Z57),"0")</f>
        <v>0.67388000000000003</v>
      </c>
      <c r="AA58" s="548"/>
      <c r="AB58" s="548"/>
      <c r="AC58" s="548"/>
    </row>
    <row r="59" spans="1:68" x14ac:dyDescent="0.2">
      <c r="A59" s="558"/>
      <c r="B59" s="558"/>
      <c r="C59" s="558"/>
      <c r="D59" s="558"/>
      <c r="E59" s="558"/>
      <c r="F59" s="558"/>
      <c r="G59" s="558"/>
      <c r="H59" s="558"/>
      <c r="I59" s="558"/>
      <c r="J59" s="558"/>
      <c r="K59" s="558"/>
      <c r="L59" s="558"/>
      <c r="M59" s="558"/>
      <c r="N59" s="558"/>
      <c r="O59" s="569"/>
      <c r="P59" s="561" t="s">
        <v>75</v>
      </c>
      <c r="Q59" s="562"/>
      <c r="R59" s="562"/>
      <c r="S59" s="562"/>
      <c r="T59" s="562"/>
      <c r="U59" s="562"/>
      <c r="V59" s="563"/>
      <c r="W59" s="37" t="s">
        <v>69</v>
      </c>
      <c r="X59" s="547">
        <f>IFERROR(SUM(X52:X57),"0")</f>
        <v>347</v>
      </c>
      <c r="Y59" s="547">
        <f>IFERROR(SUM(Y52:Y57),"0")</f>
        <v>364.8</v>
      </c>
      <c r="Z59" s="37"/>
      <c r="AA59" s="548"/>
      <c r="AB59" s="548"/>
      <c r="AC59" s="548"/>
    </row>
    <row r="60" spans="1:68" ht="14.25" customHeight="1" x14ac:dyDescent="0.25">
      <c r="A60" s="557" t="s">
        <v>138</v>
      </c>
      <c r="B60" s="558"/>
      <c r="C60" s="558"/>
      <c r="D60" s="558"/>
      <c r="E60" s="558"/>
      <c r="F60" s="558"/>
      <c r="G60" s="558"/>
      <c r="H60" s="558"/>
      <c r="I60" s="558"/>
      <c r="J60" s="558"/>
      <c r="K60" s="558"/>
      <c r="L60" s="558"/>
      <c r="M60" s="558"/>
      <c r="N60" s="558"/>
      <c r="O60" s="558"/>
      <c r="P60" s="558"/>
      <c r="Q60" s="558"/>
      <c r="R60" s="558"/>
      <c r="S60" s="558"/>
      <c r="T60" s="558"/>
      <c r="U60" s="558"/>
      <c r="V60" s="558"/>
      <c r="W60" s="558"/>
      <c r="X60" s="558"/>
      <c r="Y60" s="558"/>
      <c r="Z60" s="558"/>
      <c r="AA60" s="541"/>
      <c r="AB60" s="541"/>
      <c r="AC60" s="541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105</v>
      </c>
      <c r="L61" s="32" t="s">
        <v>106</v>
      </c>
      <c r="M61" s="33" t="s">
        <v>107</v>
      </c>
      <c r="N61" s="33"/>
      <c r="O61" s="32">
        <v>50</v>
      </c>
      <c r="P61" s="79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5">
        <v>157</v>
      </c>
      <c r="Y61" s="546">
        <f>IFERROR(IF(X61="",0,CEILING((X61/$H61),1)*$H61),"")</f>
        <v>162</v>
      </c>
      <c r="Z61" s="36">
        <f>IFERROR(IF(Y61=0,"",ROUNDUP(Y61/H61,0)*0.01898),"")</f>
        <v>0.28470000000000001</v>
      </c>
      <c r="AA61" s="56"/>
      <c r="AB61" s="57"/>
      <c r="AC61" s="105" t="s">
        <v>141</v>
      </c>
      <c r="AG61" s="64"/>
      <c r="AJ61" s="68" t="s">
        <v>109</v>
      </c>
      <c r="AK61" s="68">
        <v>86.4</v>
      </c>
      <c r="BB61" s="106" t="s">
        <v>1</v>
      </c>
      <c r="BM61" s="64">
        <f>IFERROR(X61*I61/H61,"0")</f>
        <v>162.96018518518517</v>
      </c>
      <c r="BN61" s="64">
        <f>IFERROR(Y61*I61/H61,"0")</f>
        <v>168.15</v>
      </c>
      <c r="BO61" s="64">
        <f>IFERROR(1/J61*(X61/H61),"0")</f>
        <v>0.22714120370370369</v>
      </c>
      <c r="BP61" s="64">
        <f>IFERROR(1/J61*(Y61/H61),"0")</f>
        <v>0.23437499999999997</v>
      </c>
    </row>
    <row r="62" spans="1:68" ht="16.5" customHeight="1" x14ac:dyDescent="0.25">
      <c r="A62" s="54" t="s">
        <v>142</v>
      </c>
      <c r="B62" s="54" t="s">
        <v>143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107</v>
      </c>
      <c r="N63" s="33"/>
      <c r="O63" s="32">
        <v>50</v>
      </c>
      <c r="P63" s="6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8"/>
      <c r="B64" s="558"/>
      <c r="C64" s="558"/>
      <c r="D64" s="558"/>
      <c r="E64" s="558"/>
      <c r="F64" s="558"/>
      <c r="G64" s="558"/>
      <c r="H64" s="558"/>
      <c r="I64" s="558"/>
      <c r="J64" s="558"/>
      <c r="K64" s="558"/>
      <c r="L64" s="558"/>
      <c r="M64" s="558"/>
      <c r="N64" s="558"/>
      <c r="O64" s="569"/>
      <c r="P64" s="561" t="s">
        <v>75</v>
      </c>
      <c r="Q64" s="562"/>
      <c r="R64" s="562"/>
      <c r="S64" s="562"/>
      <c r="T64" s="562"/>
      <c r="U64" s="562"/>
      <c r="V64" s="563"/>
      <c r="W64" s="37" t="s">
        <v>76</v>
      </c>
      <c r="X64" s="547">
        <f>IFERROR(X61/H61,"0")+IFERROR(X62/H62,"0")+IFERROR(X63/H63,"0")</f>
        <v>14.537037037037036</v>
      </c>
      <c r="Y64" s="547">
        <f>IFERROR(Y61/H61,"0")+IFERROR(Y62/H62,"0")+IFERROR(Y63/H63,"0")</f>
        <v>14.999999999999998</v>
      </c>
      <c r="Z64" s="547">
        <f>IFERROR(IF(Z61="",0,Z61),"0")+IFERROR(IF(Z62="",0,Z62),"0")+IFERROR(IF(Z63="",0,Z63),"0")</f>
        <v>0.28470000000000001</v>
      </c>
      <c r="AA64" s="548"/>
      <c r="AB64" s="548"/>
      <c r="AC64" s="548"/>
    </row>
    <row r="65" spans="1:68" x14ac:dyDescent="0.2">
      <c r="A65" s="558"/>
      <c r="B65" s="558"/>
      <c r="C65" s="558"/>
      <c r="D65" s="558"/>
      <c r="E65" s="558"/>
      <c r="F65" s="558"/>
      <c r="G65" s="558"/>
      <c r="H65" s="558"/>
      <c r="I65" s="558"/>
      <c r="J65" s="558"/>
      <c r="K65" s="558"/>
      <c r="L65" s="558"/>
      <c r="M65" s="558"/>
      <c r="N65" s="558"/>
      <c r="O65" s="569"/>
      <c r="P65" s="561" t="s">
        <v>75</v>
      </c>
      <c r="Q65" s="562"/>
      <c r="R65" s="562"/>
      <c r="S65" s="562"/>
      <c r="T65" s="562"/>
      <c r="U65" s="562"/>
      <c r="V65" s="563"/>
      <c r="W65" s="37" t="s">
        <v>69</v>
      </c>
      <c r="X65" s="547">
        <f>IFERROR(SUM(X61:X63),"0")</f>
        <v>157</v>
      </c>
      <c r="Y65" s="547">
        <f>IFERROR(SUM(Y61:Y63),"0")</f>
        <v>162</v>
      </c>
      <c r="Z65" s="37"/>
      <c r="AA65" s="548"/>
      <c r="AB65" s="548"/>
      <c r="AC65" s="548"/>
    </row>
    <row r="66" spans="1:68" ht="14.25" customHeight="1" x14ac:dyDescent="0.25">
      <c r="A66" s="557" t="s">
        <v>64</v>
      </c>
      <c r="B66" s="558"/>
      <c r="C66" s="558"/>
      <c r="D66" s="558"/>
      <c r="E66" s="558"/>
      <c r="F66" s="558"/>
      <c r="G66" s="558"/>
      <c r="H66" s="558"/>
      <c r="I66" s="558"/>
      <c r="J66" s="558"/>
      <c r="K66" s="558"/>
      <c r="L66" s="558"/>
      <c r="M66" s="558"/>
      <c r="N66" s="558"/>
      <c r="O66" s="558"/>
      <c r="P66" s="558"/>
      <c r="Q66" s="558"/>
      <c r="R66" s="558"/>
      <c r="S66" s="558"/>
      <c r="T66" s="558"/>
      <c r="U66" s="558"/>
      <c r="V66" s="558"/>
      <c r="W66" s="558"/>
      <c r="X66" s="558"/>
      <c r="Y66" s="558"/>
      <c r="Z66" s="558"/>
      <c r="AA66" s="541"/>
      <c r="AB66" s="541"/>
      <c r="AC66" s="541"/>
    </row>
    <row r="67" spans="1:68" ht="27" customHeight="1" x14ac:dyDescent="0.25">
      <c r="A67" s="54" t="s">
        <v>146</v>
      </c>
      <c r="B67" s="54" t="s">
        <v>147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customHeight="1" x14ac:dyDescent="0.25">
      <c r="A69" s="54" t="s">
        <v>152</v>
      </c>
      <c r="B69" s="54" t="s">
        <v>153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73</v>
      </c>
      <c r="L69" s="32"/>
      <c r="M69" s="33" t="s">
        <v>68</v>
      </c>
      <c r="N69" s="33"/>
      <c r="O69" s="32">
        <v>40</v>
      </c>
      <c r="P69" s="72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69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154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568"/>
      <c r="B70" s="558"/>
      <c r="C70" s="558"/>
      <c r="D70" s="558"/>
      <c r="E70" s="558"/>
      <c r="F70" s="558"/>
      <c r="G70" s="558"/>
      <c r="H70" s="558"/>
      <c r="I70" s="558"/>
      <c r="J70" s="558"/>
      <c r="K70" s="558"/>
      <c r="L70" s="558"/>
      <c r="M70" s="558"/>
      <c r="N70" s="558"/>
      <c r="O70" s="569"/>
      <c r="P70" s="561" t="s">
        <v>75</v>
      </c>
      <c r="Q70" s="562"/>
      <c r="R70" s="562"/>
      <c r="S70" s="562"/>
      <c r="T70" s="562"/>
      <c r="U70" s="562"/>
      <c r="V70" s="563"/>
      <c r="W70" s="37" t="s">
        <v>76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x14ac:dyDescent="0.2">
      <c r="A71" s="558"/>
      <c r="B71" s="558"/>
      <c r="C71" s="558"/>
      <c r="D71" s="558"/>
      <c r="E71" s="558"/>
      <c r="F71" s="558"/>
      <c r="G71" s="558"/>
      <c r="H71" s="558"/>
      <c r="I71" s="558"/>
      <c r="J71" s="558"/>
      <c r="K71" s="558"/>
      <c r="L71" s="558"/>
      <c r="M71" s="558"/>
      <c r="N71" s="558"/>
      <c r="O71" s="569"/>
      <c r="P71" s="561" t="s">
        <v>75</v>
      </c>
      <c r="Q71" s="562"/>
      <c r="R71" s="562"/>
      <c r="S71" s="562"/>
      <c r="T71" s="562"/>
      <c r="U71" s="562"/>
      <c r="V71" s="563"/>
      <c r="W71" s="37" t="s">
        <v>69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customHeight="1" x14ac:dyDescent="0.25">
      <c r="A72" s="557" t="s">
        <v>77</v>
      </c>
      <c r="B72" s="558"/>
      <c r="C72" s="558"/>
      <c r="D72" s="558"/>
      <c r="E72" s="558"/>
      <c r="F72" s="558"/>
      <c r="G72" s="558"/>
      <c r="H72" s="558"/>
      <c r="I72" s="558"/>
      <c r="J72" s="558"/>
      <c r="K72" s="558"/>
      <c r="L72" s="558"/>
      <c r="M72" s="558"/>
      <c r="N72" s="558"/>
      <c r="O72" s="558"/>
      <c r="P72" s="558"/>
      <c r="Q72" s="558"/>
      <c r="R72" s="558"/>
      <c r="S72" s="558"/>
      <c r="T72" s="558"/>
      <c r="U72" s="558"/>
      <c r="V72" s="558"/>
      <c r="W72" s="558"/>
      <c r="X72" s="558"/>
      <c r="Y72" s="558"/>
      <c r="Z72" s="558"/>
      <c r="AA72" s="541"/>
      <c r="AB72" s="541"/>
      <c r="AC72" s="541"/>
    </row>
    <row r="73" spans="1:68" ht="27" customHeight="1" x14ac:dyDescent="0.25">
      <c r="A73" s="54" t="s">
        <v>155</v>
      </c>
      <c r="B73" s="54" t="s">
        <v>156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105</v>
      </c>
      <c r="L73" s="32" t="s">
        <v>106</v>
      </c>
      <c r="M73" s="33" t="s">
        <v>80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109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158</v>
      </c>
      <c r="B74" s="54" t="s">
        <v>159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45</v>
      </c>
      <c r="P75" s="8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/>
      <c r="M76" s="33" t="s">
        <v>80</v>
      </c>
      <c r="N76" s="33"/>
      <c r="O76" s="32">
        <v>40</v>
      </c>
      <c r="P76" s="7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69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68"/>
      <c r="B77" s="558"/>
      <c r="C77" s="558"/>
      <c r="D77" s="558"/>
      <c r="E77" s="558"/>
      <c r="F77" s="558"/>
      <c r="G77" s="558"/>
      <c r="H77" s="558"/>
      <c r="I77" s="558"/>
      <c r="J77" s="558"/>
      <c r="K77" s="558"/>
      <c r="L77" s="558"/>
      <c r="M77" s="558"/>
      <c r="N77" s="558"/>
      <c r="O77" s="569"/>
      <c r="P77" s="561" t="s">
        <v>75</v>
      </c>
      <c r="Q77" s="562"/>
      <c r="R77" s="562"/>
      <c r="S77" s="562"/>
      <c r="T77" s="562"/>
      <c r="U77" s="562"/>
      <c r="V77" s="563"/>
      <c r="W77" s="37" t="s">
        <v>76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x14ac:dyDescent="0.2">
      <c r="A78" s="558"/>
      <c r="B78" s="558"/>
      <c r="C78" s="558"/>
      <c r="D78" s="558"/>
      <c r="E78" s="558"/>
      <c r="F78" s="558"/>
      <c r="G78" s="558"/>
      <c r="H78" s="558"/>
      <c r="I78" s="558"/>
      <c r="J78" s="558"/>
      <c r="K78" s="558"/>
      <c r="L78" s="558"/>
      <c r="M78" s="558"/>
      <c r="N78" s="558"/>
      <c r="O78" s="569"/>
      <c r="P78" s="561" t="s">
        <v>75</v>
      </c>
      <c r="Q78" s="562"/>
      <c r="R78" s="562"/>
      <c r="S78" s="562"/>
      <c r="T78" s="562"/>
      <c r="U78" s="562"/>
      <c r="V78" s="563"/>
      <c r="W78" s="37" t="s">
        <v>69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customHeight="1" x14ac:dyDescent="0.25">
      <c r="A79" s="557" t="s">
        <v>166</v>
      </c>
      <c r="B79" s="558"/>
      <c r="C79" s="558"/>
      <c r="D79" s="558"/>
      <c r="E79" s="558"/>
      <c r="F79" s="558"/>
      <c r="G79" s="558"/>
      <c r="H79" s="558"/>
      <c r="I79" s="558"/>
      <c r="J79" s="558"/>
      <c r="K79" s="558"/>
      <c r="L79" s="558"/>
      <c r="M79" s="558"/>
      <c r="N79" s="558"/>
      <c r="O79" s="558"/>
      <c r="P79" s="558"/>
      <c r="Q79" s="558"/>
      <c r="R79" s="558"/>
      <c r="S79" s="558"/>
      <c r="T79" s="558"/>
      <c r="U79" s="558"/>
      <c r="V79" s="558"/>
      <c r="W79" s="558"/>
      <c r="X79" s="558"/>
      <c r="Y79" s="558"/>
      <c r="Z79" s="558"/>
      <c r="AA79" s="541"/>
      <c r="AB79" s="541"/>
      <c r="AC79" s="541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105</v>
      </c>
      <c r="L80" s="32" t="s">
        <v>106</v>
      </c>
      <c r="M80" s="33" t="s">
        <v>87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109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112</v>
      </c>
      <c r="L81" s="32"/>
      <c r="M81" s="33" t="s">
        <v>80</v>
      </c>
      <c r="N81" s="33"/>
      <c r="O81" s="32">
        <v>30</v>
      </c>
      <c r="P81" s="59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69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68"/>
      <c r="B82" s="558"/>
      <c r="C82" s="558"/>
      <c r="D82" s="558"/>
      <c r="E82" s="558"/>
      <c r="F82" s="558"/>
      <c r="G82" s="558"/>
      <c r="H82" s="558"/>
      <c r="I82" s="558"/>
      <c r="J82" s="558"/>
      <c r="K82" s="558"/>
      <c r="L82" s="558"/>
      <c r="M82" s="558"/>
      <c r="N82" s="558"/>
      <c r="O82" s="569"/>
      <c r="P82" s="561" t="s">
        <v>75</v>
      </c>
      <c r="Q82" s="562"/>
      <c r="R82" s="562"/>
      <c r="S82" s="562"/>
      <c r="T82" s="562"/>
      <c r="U82" s="562"/>
      <c r="V82" s="563"/>
      <c r="W82" s="37" t="s">
        <v>76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x14ac:dyDescent="0.2">
      <c r="A83" s="558"/>
      <c r="B83" s="558"/>
      <c r="C83" s="558"/>
      <c r="D83" s="558"/>
      <c r="E83" s="558"/>
      <c r="F83" s="558"/>
      <c r="G83" s="558"/>
      <c r="H83" s="558"/>
      <c r="I83" s="558"/>
      <c r="J83" s="558"/>
      <c r="K83" s="558"/>
      <c r="L83" s="558"/>
      <c r="M83" s="558"/>
      <c r="N83" s="558"/>
      <c r="O83" s="569"/>
      <c r="P83" s="561" t="s">
        <v>75</v>
      </c>
      <c r="Q83" s="562"/>
      <c r="R83" s="562"/>
      <c r="S83" s="562"/>
      <c r="T83" s="562"/>
      <c r="U83" s="562"/>
      <c r="V83" s="563"/>
      <c r="W83" s="37" t="s">
        <v>69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customHeight="1" x14ac:dyDescent="0.25">
      <c r="A84" s="591" t="s">
        <v>173</v>
      </c>
      <c r="B84" s="558"/>
      <c r="C84" s="558"/>
      <c r="D84" s="558"/>
      <c r="E84" s="558"/>
      <c r="F84" s="558"/>
      <c r="G84" s="558"/>
      <c r="H84" s="558"/>
      <c r="I84" s="558"/>
      <c r="J84" s="558"/>
      <c r="K84" s="558"/>
      <c r="L84" s="558"/>
      <c r="M84" s="558"/>
      <c r="N84" s="558"/>
      <c r="O84" s="558"/>
      <c r="P84" s="558"/>
      <c r="Q84" s="558"/>
      <c r="R84" s="558"/>
      <c r="S84" s="558"/>
      <c r="T84" s="558"/>
      <c r="U84" s="558"/>
      <c r="V84" s="558"/>
      <c r="W84" s="558"/>
      <c r="X84" s="558"/>
      <c r="Y84" s="558"/>
      <c r="Z84" s="558"/>
      <c r="AA84" s="540"/>
      <c r="AB84" s="540"/>
      <c r="AC84" s="540"/>
    </row>
    <row r="85" spans="1:68" ht="14.25" customHeight="1" x14ac:dyDescent="0.25">
      <c r="A85" s="557" t="s">
        <v>102</v>
      </c>
      <c r="B85" s="558"/>
      <c r="C85" s="558"/>
      <c r="D85" s="558"/>
      <c r="E85" s="558"/>
      <c r="F85" s="558"/>
      <c r="G85" s="558"/>
      <c r="H85" s="558"/>
      <c r="I85" s="558"/>
      <c r="J85" s="558"/>
      <c r="K85" s="558"/>
      <c r="L85" s="558"/>
      <c r="M85" s="558"/>
      <c r="N85" s="558"/>
      <c r="O85" s="558"/>
      <c r="P85" s="558"/>
      <c r="Q85" s="558"/>
      <c r="R85" s="558"/>
      <c r="S85" s="558"/>
      <c r="T85" s="558"/>
      <c r="U85" s="558"/>
      <c r="V85" s="558"/>
      <c r="W85" s="558"/>
      <c r="X85" s="558"/>
      <c r="Y85" s="558"/>
      <c r="Z85" s="558"/>
      <c r="AA85" s="541"/>
      <c r="AB85" s="541"/>
      <c r="AC85" s="541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105</v>
      </c>
      <c r="L86" s="32" t="s">
        <v>106</v>
      </c>
      <c r="M86" s="33" t="s">
        <v>87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69</v>
      </c>
      <c r="X86" s="545">
        <v>307</v>
      </c>
      <c r="Y86" s="546">
        <f>IFERROR(IF(X86="",0,CEILING((X86/$H86),1)*$H86),"")</f>
        <v>313.20000000000005</v>
      </c>
      <c r="Z86" s="36">
        <f>IFERROR(IF(Y86=0,"",ROUNDUP(Y86/H86,0)*0.01898),"")</f>
        <v>0.55042000000000002</v>
      </c>
      <c r="AA86" s="56"/>
      <c r="AB86" s="57"/>
      <c r="AC86" s="129" t="s">
        <v>176</v>
      </c>
      <c r="AG86" s="64"/>
      <c r="AJ86" s="68" t="s">
        <v>109</v>
      </c>
      <c r="AK86" s="68">
        <v>86.4</v>
      </c>
      <c r="BB86" s="130" t="s">
        <v>1</v>
      </c>
      <c r="BM86" s="64">
        <f>IFERROR(X86*I86/H86,"0")</f>
        <v>318.65462962962965</v>
      </c>
      <c r="BN86" s="64">
        <f>IFERROR(Y86*I86/H86,"0")</f>
        <v>325.09000000000003</v>
      </c>
      <c r="BO86" s="64">
        <f>IFERROR(1/J86*(X86/H86),"0")</f>
        <v>0.44415509259259256</v>
      </c>
      <c r="BP86" s="64">
        <f>IFERROR(1/J86*(Y86/H86),"0")</f>
        <v>0.45312500000000006</v>
      </c>
    </row>
    <row r="87" spans="1:68" ht="27" customHeight="1" x14ac:dyDescent="0.25">
      <c r="A87" s="54" t="s">
        <v>177</v>
      </c>
      <c r="B87" s="54" t="s">
        <v>178</v>
      </c>
      <c r="C87" s="31">
        <v>4301011261</v>
      </c>
      <c r="D87" s="549">
        <v>4680115887732</v>
      </c>
      <c r="E87" s="550"/>
      <c r="F87" s="544">
        <v>0.17</v>
      </c>
      <c r="G87" s="32">
        <v>10</v>
      </c>
      <c r="H87" s="544">
        <v>1.7</v>
      </c>
      <c r="I87" s="544">
        <v>1.8</v>
      </c>
      <c r="J87" s="32">
        <v>192</v>
      </c>
      <c r="K87" s="32" t="s">
        <v>179</v>
      </c>
      <c r="L87" s="32"/>
      <c r="M87" s="33" t="s">
        <v>68</v>
      </c>
      <c r="N87" s="33"/>
      <c r="O87" s="32">
        <v>30</v>
      </c>
      <c r="P87" s="730" t="s">
        <v>180</v>
      </c>
      <c r="Q87" s="552"/>
      <c r="R87" s="552"/>
      <c r="S87" s="552"/>
      <c r="T87" s="553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IFERROR(IF(Y87=0,"",ROUNDUP(Y87/H87,0)*0.00726),"")</f>
        <v/>
      </c>
      <c r="AA87" s="56"/>
      <c r="AB87" s="57"/>
      <c r="AC87" s="131" t="s">
        <v>181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4301011476</v>
      </c>
      <c r="D88" s="549">
        <v>4680115881518</v>
      </c>
      <c r="E88" s="550"/>
      <c r="F88" s="544">
        <v>0.4</v>
      </c>
      <c r="G88" s="32">
        <v>10</v>
      </c>
      <c r="H88" s="544">
        <v>4</v>
      </c>
      <c r="I88" s="544">
        <v>4.1900000000000004</v>
      </c>
      <c r="J88" s="32">
        <v>132</v>
      </c>
      <c r="K88" s="32" t="s">
        <v>112</v>
      </c>
      <c r="L88" s="32"/>
      <c r="M88" s="33" t="s">
        <v>80</v>
      </c>
      <c r="N88" s="33"/>
      <c r="O88" s="32">
        <v>50</v>
      </c>
      <c r="P88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2"/>
      <c r="R88" s="552"/>
      <c r="S88" s="552"/>
      <c r="T88" s="553"/>
      <c r="U88" s="34"/>
      <c r="V88" s="34"/>
      <c r="W88" s="35" t="s">
        <v>69</v>
      </c>
      <c r="X88" s="545">
        <v>0</v>
      </c>
      <c r="Y88" s="54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176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549">
        <v>4680115881303</v>
      </c>
      <c r="E89" s="550"/>
      <c r="F89" s="544">
        <v>0.45</v>
      </c>
      <c r="G89" s="32">
        <v>10</v>
      </c>
      <c r="H89" s="544">
        <v>4.5</v>
      </c>
      <c r="I89" s="544">
        <v>4.6900000000000004</v>
      </c>
      <c r="J89" s="32">
        <v>132</v>
      </c>
      <c r="K89" s="32" t="s">
        <v>112</v>
      </c>
      <c r="L89" s="32" t="s">
        <v>115</v>
      </c>
      <c r="M89" s="33" t="s">
        <v>87</v>
      </c>
      <c r="N89" s="33"/>
      <c r="O89" s="32">
        <v>50</v>
      </c>
      <c r="P89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2"/>
      <c r="R89" s="552"/>
      <c r="S89" s="552"/>
      <c r="T89" s="553"/>
      <c r="U89" s="34"/>
      <c r="V89" s="34"/>
      <c r="W89" s="35" t="s">
        <v>69</v>
      </c>
      <c r="X89" s="545">
        <v>0</v>
      </c>
      <c r="Y89" s="546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35" t="s">
        <v>176</v>
      </c>
      <c r="AG89" s="64"/>
      <c r="AJ89" s="68" t="s">
        <v>109</v>
      </c>
      <c r="AK89" s="68">
        <v>54</v>
      </c>
      <c r="BB89" s="136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568"/>
      <c r="B90" s="558"/>
      <c r="C90" s="558"/>
      <c r="D90" s="558"/>
      <c r="E90" s="558"/>
      <c r="F90" s="558"/>
      <c r="G90" s="558"/>
      <c r="H90" s="558"/>
      <c r="I90" s="558"/>
      <c r="J90" s="558"/>
      <c r="K90" s="558"/>
      <c r="L90" s="558"/>
      <c r="M90" s="558"/>
      <c r="N90" s="558"/>
      <c r="O90" s="569"/>
      <c r="P90" s="561" t="s">
        <v>75</v>
      </c>
      <c r="Q90" s="562"/>
      <c r="R90" s="562"/>
      <c r="S90" s="562"/>
      <c r="T90" s="562"/>
      <c r="U90" s="562"/>
      <c r="V90" s="563"/>
      <c r="W90" s="37" t="s">
        <v>76</v>
      </c>
      <c r="X90" s="547">
        <f>IFERROR(X86/H86,"0")+IFERROR(X87/H87,"0")+IFERROR(X88/H88,"0")+IFERROR(X89/H89,"0")</f>
        <v>28.425925925925924</v>
      </c>
      <c r="Y90" s="547">
        <f>IFERROR(Y86/H86,"0")+IFERROR(Y87/H87,"0")+IFERROR(Y88/H88,"0")+IFERROR(Y89/H89,"0")</f>
        <v>29.000000000000004</v>
      </c>
      <c r="Z90" s="547">
        <f>IFERROR(IF(Z86="",0,Z86),"0")+IFERROR(IF(Z87="",0,Z87),"0")+IFERROR(IF(Z88="",0,Z88),"0")+IFERROR(IF(Z89="",0,Z89),"0")</f>
        <v>0.55042000000000002</v>
      </c>
      <c r="AA90" s="548"/>
      <c r="AB90" s="548"/>
      <c r="AC90" s="548"/>
    </row>
    <row r="91" spans="1:68" x14ac:dyDescent="0.2">
      <c r="A91" s="558"/>
      <c r="B91" s="558"/>
      <c r="C91" s="558"/>
      <c r="D91" s="558"/>
      <c r="E91" s="558"/>
      <c r="F91" s="558"/>
      <c r="G91" s="558"/>
      <c r="H91" s="558"/>
      <c r="I91" s="558"/>
      <c r="J91" s="558"/>
      <c r="K91" s="558"/>
      <c r="L91" s="558"/>
      <c r="M91" s="558"/>
      <c r="N91" s="558"/>
      <c r="O91" s="569"/>
      <c r="P91" s="561" t="s">
        <v>75</v>
      </c>
      <c r="Q91" s="562"/>
      <c r="R91" s="562"/>
      <c r="S91" s="562"/>
      <c r="T91" s="562"/>
      <c r="U91" s="562"/>
      <c r="V91" s="563"/>
      <c r="W91" s="37" t="s">
        <v>69</v>
      </c>
      <c r="X91" s="547">
        <f>IFERROR(SUM(X86:X89),"0")</f>
        <v>307</v>
      </c>
      <c r="Y91" s="547">
        <f>IFERROR(SUM(Y86:Y89),"0")</f>
        <v>313.20000000000005</v>
      </c>
      <c r="Z91" s="37"/>
      <c r="AA91" s="548"/>
      <c r="AB91" s="548"/>
      <c r="AC91" s="548"/>
    </row>
    <row r="92" spans="1:68" ht="14.25" customHeight="1" x14ac:dyDescent="0.25">
      <c r="A92" s="557" t="s">
        <v>77</v>
      </c>
      <c r="B92" s="558"/>
      <c r="C92" s="558"/>
      <c r="D92" s="558"/>
      <c r="E92" s="558"/>
      <c r="F92" s="558"/>
      <c r="G92" s="558"/>
      <c r="H92" s="558"/>
      <c r="I92" s="558"/>
      <c r="J92" s="558"/>
      <c r="K92" s="558"/>
      <c r="L92" s="558"/>
      <c r="M92" s="558"/>
      <c r="N92" s="558"/>
      <c r="O92" s="558"/>
      <c r="P92" s="558"/>
      <c r="Q92" s="558"/>
      <c r="R92" s="558"/>
      <c r="S92" s="558"/>
      <c r="T92" s="558"/>
      <c r="U92" s="558"/>
      <c r="V92" s="558"/>
      <c r="W92" s="558"/>
      <c r="X92" s="558"/>
      <c r="Y92" s="558"/>
      <c r="Z92" s="558"/>
      <c r="AA92" s="541"/>
      <c r="AB92" s="541"/>
      <c r="AC92" s="541"/>
    </row>
    <row r="93" spans="1:68" ht="27" customHeight="1" x14ac:dyDescent="0.25">
      <c r="A93" s="54" t="s">
        <v>186</v>
      </c>
      <c r="B93" s="54" t="s">
        <v>187</v>
      </c>
      <c r="C93" s="31">
        <v>4301051712</v>
      </c>
      <c r="D93" s="549">
        <v>4607091386967</v>
      </c>
      <c r="E93" s="550"/>
      <c r="F93" s="544">
        <v>1.35</v>
      </c>
      <c r="G93" s="32">
        <v>6</v>
      </c>
      <c r="H93" s="544">
        <v>8.1</v>
      </c>
      <c r="I93" s="544">
        <v>8.5939999999999994</v>
      </c>
      <c r="J93" s="32">
        <v>64</v>
      </c>
      <c r="K93" s="32" t="s">
        <v>105</v>
      </c>
      <c r="L93" s="32" t="s">
        <v>106</v>
      </c>
      <c r="M93" s="33" t="s">
        <v>87</v>
      </c>
      <c r="N93" s="33"/>
      <c r="O93" s="32">
        <v>45</v>
      </c>
      <c r="P93" s="7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5">
        <v>0</v>
      </c>
      <c r="Y93" s="546">
        <f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37" t="s">
        <v>188</v>
      </c>
      <c r="AG93" s="64"/>
      <c r="AJ93" s="68" t="s">
        <v>109</v>
      </c>
      <c r="AK93" s="68">
        <v>64.8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4301051788</v>
      </c>
      <c r="D94" s="549">
        <v>4680115884953</v>
      </c>
      <c r="E94" s="550"/>
      <c r="F94" s="544">
        <v>0.37</v>
      </c>
      <c r="G94" s="32">
        <v>6</v>
      </c>
      <c r="H94" s="544">
        <v>2.2200000000000002</v>
      </c>
      <c r="I94" s="544">
        <v>2.472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27" customHeight="1" x14ac:dyDescent="0.25">
      <c r="A95" s="54" t="s">
        <v>192</v>
      </c>
      <c r="B95" s="54" t="s">
        <v>193</v>
      </c>
      <c r="C95" s="31">
        <v>4301051718</v>
      </c>
      <c r="D95" s="549">
        <v>4607091385731</v>
      </c>
      <c r="E95" s="550"/>
      <c r="F95" s="544">
        <v>0.45</v>
      </c>
      <c r="G95" s="32">
        <v>6</v>
      </c>
      <c r="H95" s="544">
        <v>2.7</v>
      </c>
      <c r="I95" s="544">
        <v>2.952</v>
      </c>
      <c r="J95" s="32">
        <v>182</v>
      </c>
      <c r="K95" s="32" t="s">
        <v>67</v>
      </c>
      <c r="L95" s="32"/>
      <c r="M95" s="33" t="s">
        <v>87</v>
      </c>
      <c r="N95" s="33"/>
      <c r="O95" s="32">
        <v>45</v>
      </c>
      <c r="P95" s="62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2"/>
      <c r="R95" s="552"/>
      <c r="S95" s="552"/>
      <c r="T95" s="553"/>
      <c r="U95" s="34"/>
      <c r="V95" s="34"/>
      <c r="W95" s="35" t="s">
        <v>69</v>
      </c>
      <c r="X95" s="545">
        <v>0</v>
      </c>
      <c r="Y95" s="54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188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16.5" customHeight="1" x14ac:dyDescent="0.25">
      <c r="A96" s="54" t="s">
        <v>194</v>
      </c>
      <c r="B96" s="54" t="s">
        <v>195</v>
      </c>
      <c r="C96" s="31">
        <v>4301051438</v>
      </c>
      <c r="D96" s="549">
        <v>4680115880894</v>
      </c>
      <c r="E96" s="550"/>
      <c r="F96" s="544">
        <v>0.33</v>
      </c>
      <c r="G96" s="32">
        <v>6</v>
      </c>
      <c r="H96" s="544">
        <v>1.98</v>
      </c>
      <c r="I96" s="544">
        <v>2.238</v>
      </c>
      <c r="J96" s="32">
        <v>182</v>
      </c>
      <c r="K96" s="32" t="s">
        <v>67</v>
      </c>
      <c r="L96" s="32"/>
      <c r="M96" s="33" t="s">
        <v>80</v>
      </c>
      <c r="N96" s="33"/>
      <c r="O96" s="32">
        <v>45</v>
      </c>
      <c r="P96" s="75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2"/>
      <c r="R96" s="552"/>
      <c r="S96" s="552"/>
      <c r="T96" s="553"/>
      <c r="U96" s="34"/>
      <c r="V96" s="34"/>
      <c r="W96" s="35" t="s">
        <v>69</v>
      </c>
      <c r="X96" s="545">
        <v>0</v>
      </c>
      <c r="Y96" s="546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3" t="s">
        <v>196</v>
      </c>
      <c r="AG96" s="64"/>
      <c r="AJ96" s="68"/>
      <c r="AK96" s="68">
        <v>0</v>
      </c>
      <c r="BB96" s="144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x14ac:dyDescent="0.2">
      <c r="A97" s="568"/>
      <c r="B97" s="558"/>
      <c r="C97" s="558"/>
      <c r="D97" s="558"/>
      <c r="E97" s="558"/>
      <c r="F97" s="558"/>
      <c r="G97" s="558"/>
      <c r="H97" s="558"/>
      <c r="I97" s="558"/>
      <c r="J97" s="558"/>
      <c r="K97" s="558"/>
      <c r="L97" s="558"/>
      <c r="M97" s="558"/>
      <c r="N97" s="558"/>
      <c r="O97" s="569"/>
      <c r="P97" s="561" t="s">
        <v>75</v>
      </c>
      <c r="Q97" s="562"/>
      <c r="R97" s="562"/>
      <c r="S97" s="562"/>
      <c r="T97" s="562"/>
      <c r="U97" s="562"/>
      <c r="V97" s="563"/>
      <c r="W97" s="37" t="s">
        <v>76</v>
      </c>
      <c r="X97" s="547">
        <f>IFERROR(X93/H93,"0")+IFERROR(X94/H94,"0")+IFERROR(X95/H95,"0")+IFERROR(X96/H96,"0")</f>
        <v>0</v>
      </c>
      <c r="Y97" s="547">
        <f>IFERROR(Y93/H93,"0")+IFERROR(Y94/H94,"0")+IFERROR(Y95/H95,"0")+IFERROR(Y96/H96,"0")</f>
        <v>0</v>
      </c>
      <c r="Z97" s="547">
        <f>IFERROR(IF(Z93="",0,Z93),"0")+IFERROR(IF(Z94="",0,Z94),"0")+IFERROR(IF(Z95="",0,Z95),"0")+IFERROR(IF(Z96="",0,Z96),"0")</f>
        <v>0</v>
      </c>
      <c r="AA97" s="548"/>
      <c r="AB97" s="548"/>
      <c r="AC97" s="548"/>
    </row>
    <row r="98" spans="1:68" x14ac:dyDescent="0.2">
      <c r="A98" s="558"/>
      <c r="B98" s="558"/>
      <c r="C98" s="558"/>
      <c r="D98" s="558"/>
      <c r="E98" s="558"/>
      <c r="F98" s="558"/>
      <c r="G98" s="558"/>
      <c r="H98" s="558"/>
      <c r="I98" s="558"/>
      <c r="J98" s="558"/>
      <c r="K98" s="558"/>
      <c r="L98" s="558"/>
      <c r="M98" s="558"/>
      <c r="N98" s="558"/>
      <c r="O98" s="569"/>
      <c r="P98" s="561" t="s">
        <v>75</v>
      </c>
      <c r="Q98" s="562"/>
      <c r="R98" s="562"/>
      <c r="S98" s="562"/>
      <c r="T98" s="562"/>
      <c r="U98" s="562"/>
      <c r="V98" s="563"/>
      <c r="W98" s="37" t="s">
        <v>69</v>
      </c>
      <c r="X98" s="547">
        <f>IFERROR(SUM(X93:X96),"0")</f>
        <v>0</v>
      </c>
      <c r="Y98" s="547">
        <f>IFERROR(SUM(Y93:Y96),"0")</f>
        <v>0</v>
      </c>
      <c r="Z98" s="37"/>
      <c r="AA98" s="548"/>
      <c r="AB98" s="548"/>
      <c r="AC98" s="548"/>
    </row>
    <row r="99" spans="1:68" ht="16.5" customHeight="1" x14ac:dyDescent="0.25">
      <c r="A99" s="591" t="s">
        <v>197</v>
      </c>
      <c r="B99" s="558"/>
      <c r="C99" s="558"/>
      <c r="D99" s="558"/>
      <c r="E99" s="558"/>
      <c r="F99" s="558"/>
      <c r="G99" s="558"/>
      <c r="H99" s="558"/>
      <c r="I99" s="558"/>
      <c r="J99" s="558"/>
      <c r="K99" s="558"/>
      <c r="L99" s="558"/>
      <c r="M99" s="558"/>
      <c r="N99" s="558"/>
      <c r="O99" s="558"/>
      <c r="P99" s="558"/>
      <c r="Q99" s="558"/>
      <c r="R99" s="558"/>
      <c r="S99" s="558"/>
      <c r="T99" s="558"/>
      <c r="U99" s="558"/>
      <c r="V99" s="558"/>
      <c r="W99" s="558"/>
      <c r="X99" s="558"/>
      <c r="Y99" s="558"/>
      <c r="Z99" s="558"/>
      <c r="AA99" s="540"/>
      <c r="AB99" s="540"/>
      <c r="AC99" s="540"/>
    </row>
    <row r="100" spans="1:68" ht="14.25" customHeight="1" x14ac:dyDescent="0.25">
      <c r="A100" s="557" t="s">
        <v>102</v>
      </c>
      <c r="B100" s="558"/>
      <c r="C100" s="558"/>
      <c r="D100" s="558"/>
      <c r="E100" s="558"/>
      <c r="F100" s="558"/>
      <c r="G100" s="558"/>
      <c r="H100" s="558"/>
      <c r="I100" s="558"/>
      <c r="J100" s="558"/>
      <c r="K100" s="558"/>
      <c r="L100" s="558"/>
      <c r="M100" s="558"/>
      <c r="N100" s="558"/>
      <c r="O100" s="558"/>
      <c r="P100" s="558"/>
      <c r="Q100" s="558"/>
      <c r="R100" s="558"/>
      <c r="S100" s="558"/>
      <c r="T100" s="558"/>
      <c r="U100" s="558"/>
      <c r="V100" s="558"/>
      <c r="W100" s="558"/>
      <c r="X100" s="558"/>
      <c r="Y100" s="558"/>
      <c r="Z100" s="558"/>
      <c r="AA100" s="541"/>
      <c r="AB100" s="541"/>
      <c r="AC100" s="541"/>
    </row>
    <row r="101" spans="1:68" ht="37.5" customHeight="1" x14ac:dyDescent="0.25">
      <c r="A101" s="54" t="s">
        <v>198</v>
      </c>
      <c r="B101" s="54" t="s">
        <v>199</v>
      </c>
      <c r="C101" s="31">
        <v>4301011514</v>
      </c>
      <c r="D101" s="549">
        <v>4680115882133</v>
      </c>
      <c r="E101" s="550"/>
      <c r="F101" s="544">
        <v>1.35</v>
      </c>
      <c r="G101" s="32">
        <v>8</v>
      </c>
      <c r="H101" s="544">
        <v>10.8</v>
      </c>
      <c r="I101" s="544">
        <v>11.21</v>
      </c>
      <c r="J101" s="32">
        <v>64</v>
      </c>
      <c r="K101" s="32" t="s">
        <v>105</v>
      </c>
      <c r="L101" s="32" t="s">
        <v>106</v>
      </c>
      <c r="M101" s="33" t="s">
        <v>107</v>
      </c>
      <c r="N101" s="33"/>
      <c r="O101" s="32">
        <v>50</v>
      </c>
      <c r="P101" s="8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5">
        <v>354</v>
      </c>
      <c r="Y101" s="546">
        <f>IFERROR(IF(X101="",0,CEILING((X101/$H101),1)*$H101),"")</f>
        <v>356.40000000000003</v>
      </c>
      <c r="Z101" s="36">
        <f>IFERROR(IF(Y101=0,"",ROUNDUP(Y101/H101,0)*0.01898),"")</f>
        <v>0.62634000000000001</v>
      </c>
      <c r="AA101" s="56"/>
      <c r="AB101" s="57"/>
      <c r="AC101" s="145" t="s">
        <v>200</v>
      </c>
      <c r="AG101" s="64"/>
      <c r="AJ101" s="68" t="s">
        <v>109</v>
      </c>
      <c r="AK101" s="68">
        <v>86.4</v>
      </c>
      <c r="BB101" s="146" t="s">
        <v>1</v>
      </c>
      <c r="BM101" s="64">
        <f>IFERROR(X101*I101/H101,"0")</f>
        <v>367.43888888888887</v>
      </c>
      <c r="BN101" s="64">
        <f>IFERROR(Y101*I101/H101,"0")</f>
        <v>369.93</v>
      </c>
      <c r="BO101" s="64">
        <f>IFERROR(1/J101*(X101/H101),"0")</f>
        <v>0.51215277777777779</v>
      </c>
      <c r="BP101" s="64">
        <f>IFERROR(1/J101*(Y101/H101),"0")</f>
        <v>0.515625</v>
      </c>
    </row>
    <row r="102" spans="1:68" ht="27" customHeight="1" x14ac:dyDescent="0.25">
      <c r="A102" s="54" t="s">
        <v>201</v>
      </c>
      <c r="B102" s="54" t="s">
        <v>202</v>
      </c>
      <c r="C102" s="31">
        <v>4301012051</v>
      </c>
      <c r="D102" s="549">
        <v>4680115887718</v>
      </c>
      <c r="E102" s="550"/>
      <c r="F102" s="544">
        <v>0.11</v>
      </c>
      <c r="G102" s="32">
        <v>10</v>
      </c>
      <c r="H102" s="544">
        <v>1.1000000000000001</v>
      </c>
      <c r="I102" s="544">
        <v>1.31</v>
      </c>
      <c r="J102" s="32">
        <v>192</v>
      </c>
      <c r="K102" s="32" t="s">
        <v>179</v>
      </c>
      <c r="L102" s="32"/>
      <c r="M102" s="33" t="s">
        <v>68</v>
      </c>
      <c r="N102" s="33"/>
      <c r="O102" s="32">
        <v>30</v>
      </c>
      <c r="P102" s="816" t="s">
        <v>203</v>
      </c>
      <c r="Q102" s="552"/>
      <c r="R102" s="552"/>
      <c r="S102" s="552"/>
      <c r="T102" s="553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IFERROR(IF(Y102=0,"",ROUNDUP(Y102/H102,0)*0.00726),"")</f>
        <v/>
      </c>
      <c r="AA102" s="56"/>
      <c r="AB102" s="57"/>
      <c r="AC102" s="147" t="s">
        <v>204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205</v>
      </c>
      <c r="B103" s="54" t="s">
        <v>206</v>
      </c>
      <c r="C103" s="31">
        <v>4301011417</v>
      </c>
      <c r="D103" s="549">
        <v>4680115880269</v>
      </c>
      <c r="E103" s="550"/>
      <c r="F103" s="544">
        <v>0.375</v>
      </c>
      <c r="G103" s="32">
        <v>10</v>
      </c>
      <c r="H103" s="544">
        <v>3.75</v>
      </c>
      <c r="I103" s="544">
        <v>3.94</v>
      </c>
      <c r="J103" s="32">
        <v>132</v>
      </c>
      <c r="K103" s="32" t="s">
        <v>112</v>
      </c>
      <c r="L103" s="32"/>
      <c r="M103" s="33" t="s">
        <v>80</v>
      </c>
      <c r="N103" s="33"/>
      <c r="O103" s="32">
        <v>50</v>
      </c>
      <c r="P103" s="63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200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207</v>
      </c>
      <c r="B104" s="54" t="s">
        <v>208</v>
      </c>
      <c r="C104" s="31">
        <v>4301011415</v>
      </c>
      <c r="D104" s="549">
        <v>4680115880429</v>
      </c>
      <c r="E104" s="550"/>
      <c r="F104" s="544">
        <v>0.45</v>
      </c>
      <c r="G104" s="32">
        <v>10</v>
      </c>
      <c r="H104" s="544">
        <v>4.5</v>
      </c>
      <c r="I104" s="544">
        <v>4.6900000000000004</v>
      </c>
      <c r="J104" s="32">
        <v>132</v>
      </c>
      <c r="K104" s="32" t="s">
        <v>112</v>
      </c>
      <c r="L104" s="32" t="s">
        <v>115</v>
      </c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5">
        <v>88</v>
      </c>
      <c r="Y104" s="546">
        <f>IFERROR(IF(X104="",0,CEILING((X104/$H104),1)*$H104),"")</f>
        <v>90</v>
      </c>
      <c r="Z104" s="36">
        <f>IFERROR(IF(Y104=0,"",ROUNDUP(Y104/H104,0)*0.00902),"")</f>
        <v>0.1804</v>
      </c>
      <c r="AA104" s="56"/>
      <c r="AB104" s="57"/>
      <c r="AC104" s="151" t="s">
        <v>200</v>
      </c>
      <c r="AG104" s="64"/>
      <c r="AJ104" s="68" t="s">
        <v>109</v>
      </c>
      <c r="AK104" s="68">
        <v>54</v>
      </c>
      <c r="BB104" s="152" t="s">
        <v>1</v>
      </c>
      <c r="BM104" s="64">
        <f>IFERROR(X104*I104/H104,"0")</f>
        <v>91.715555555555568</v>
      </c>
      <c r="BN104" s="64">
        <f>IFERROR(Y104*I104/H104,"0")</f>
        <v>93.800000000000011</v>
      </c>
      <c r="BO104" s="64">
        <f>IFERROR(1/J104*(X104/H104),"0")</f>
        <v>0.14814814814814817</v>
      </c>
      <c r="BP104" s="64">
        <f>IFERROR(1/J104*(Y104/H104),"0")</f>
        <v>0.15151515151515152</v>
      </c>
    </row>
    <row r="105" spans="1:68" ht="37.5" customHeight="1" x14ac:dyDescent="0.25">
      <c r="A105" s="54" t="s">
        <v>209</v>
      </c>
      <c r="B105" s="54" t="s">
        <v>210</v>
      </c>
      <c r="C105" s="31">
        <v>4301011462</v>
      </c>
      <c r="D105" s="549">
        <v>4680115881457</v>
      </c>
      <c r="E105" s="550"/>
      <c r="F105" s="544">
        <v>0.75</v>
      </c>
      <c r="G105" s="32">
        <v>6</v>
      </c>
      <c r="H105" s="544">
        <v>4.5</v>
      </c>
      <c r="I105" s="544">
        <v>4.6900000000000004</v>
      </c>
      <c r="J105" s="32">
        <v>132</v>
      </c>
      <c r="K105" s="32" t="s">
        <v>112</v>
      </c>
      <c r="L105" s="32"/>
      <c r="M105" s="33" t="s">
        <v>80</v>
      </c>
      <c r="N105" s="33"/>
      <c r="O105" s="32">
        <v>50</v>
      </c>
      <c r="P105" s="80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2"/>
      <c r="R105" s="552"/>
      <c r="S105" s="552"/>
      <c r="T105" s="553"/>
      <c r="U105" s="34"/>
      <c r="V105" s="34"/>
      <c r="W105" s="35" t="s">
        <v>69</v>
      </c>
      <c r="X105" s="545">
        <v>0</v>
      </c>
      <c r="Y105" s="546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3" t="s">
        <v>200</v>
      </c>
      <c r="AG105" s="64"/>
      <c r="AJ105" s="68"/>
      <c r="AK105" s="68">
        <v>0</v>
      </c>
      <c r="BB105" s="154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x14ac:dyDescent="0.2">
      <c r="A106" s="568"/>
      <c r="B106" s="558"/>
      <c r="C106" s="558"/>
      <c r="D106" s="558"/>
      <c r="E106" s="558"/>
      <c r="F106" s="558"/>
      <c r="G106" s="558"/>
      <c r="H106" s="558"/>
      <c r="I106" s="558"/>
      <c r="J106" s="558"/>
      <c r="K106" s="558"/>
      <c r="L106" s="558"/>
      <c r="M106" s="558"/>
      <c r="N106" s="558"/>
      <c r="O106" s="569"/>
      <c r="P106" s="561" t="s">
        <v>75</v>
      </c>
      <c r="Q106" s="562"/>
      <c r="R106" s="562"/>
      <c r="S106" s="562"/>
      <c r="T106" s="562"/>
      <c r="U106" s="562"/>
      <c r="V106" s="563"/>
      <c r="W106" s="37" t="s">
        <v>76</v>
      </c>
      <c r="X106" s="547">
        <f>IFERROR(X101/H101,"0")+IFERROR(X102/H102,"0")+IFERROR(X103/H103,"0")+IFERROR(X104/H104,"0")+IFERROR(X105/H105,"0")</f>
        <v>52.333333333333336</v>
      </c>
      <c r="Y106" s="547">
        <f>IFERROR(Y101/H101,"0")+IFERROR(Y102/H102,"0")+IFERROR(Y103/H103,"0")+IFERROR(Y104/H104,"0")+IFERROR(Y105/H105,"0")</f>
        <v>53</v>
      </c>
      <c r="Z106" s="547">
        <f>IFERROR(IF(Z101="",0,Z101),"0")+IFERROR(IF(Z102="",0,Z102),"0")+IFERROR(IF(Z103="",0,Z103),"0")+IFERROR(IF(Z104="",0,Z104),"0")+IFERROR(IF(Z105="",0,Z105),"0")</f>
        <v>0.80674000000000001</v>
      </c>
      <c r="AA106" s="548"/>
      <c r="AB106" s="548"/>
      <c r="AC106" s="548"/>
    </row>
    <row r="107" spans="1:68" x14ac:dyDescent="0.2">
      <c r="A107" s="558"/>
      <c r="B107" s="558"/>
      <c r="C107" s="558"/>
      <c r="D107" s="558"/>
      <c r="E107" s="558"/>
      <c r="F107" s="558"/>
      <c r="G107" s="558"/>
      <c r="H107" s="558"/>
      <c r="I107" s="558"/>
      <c r="J107" s="558"/>
      <c r="K107" s="558"/>
      <c r="L107" s="558"/>
      <c r="M107" s="558"/>
      <c r="N107" s="558"/>
      <c r="O107" s="569"/>
      <c r="P107" s="561" t="s">
        <v>75</v>
      </c>
      <c r="Q107" s="562"/>
      <c r="R107" s="562"/>
      <c r="S107" s="562"/>
      <c r="T107" s="562"/>
      <c r="U107" s="562"/>
      <c r="V107" s="563"/>
      <c r="W107" s="37" t="s">
        <v>69</v>
      </c>
      <c r="X107" s="547">
        <f>IFERROR(SUM(X101:X105),"0")</f>
        <v>442</v>
      </c>
      <c r="Y107" s="547">
        <f>IFERROR(SUM(Y101:Y105),"0")</f>
        <v>446.40000000000003</v>
      </c>
      <c r="Z107" s="37"/>
      <c r="AA107" s="548"/>
      <c r="AB107" s="548"/>
      <c r="AC107" s="548"/>
    </row>
    <row r="108" spans="1:68" ht="14.25" customHeight="1" x14ac:dyDescent="0.25">
      <c r="A108" s="557" t="s">
        <v>138</v>
      </c>
      <c r="B108" s="558"/>
      <c r="C108" s="558"/>
      <c r="D108" s="558"/>
      <c r="E108" s="558"/>
      <c r="F108" s="558"/>
      <c r="G108" s="558"/>
      <c r="H108" s="558"/>
      <c r="I108" s="558"/>
      <c r="J108" s="558"/>
      <c r="K108" s="558"/>
      <c r="L108" s="558"/>
      <c r="M108" s="558"/>
      <c r="N108" s="558"/>
      <c r="O108" s="558"/>
      <c r="P108" s="558"/>
      <c r="Q108" s="558"/>
      <c r="R108" s="558"/>
      <c r="S108" s="558"/>
      <c r="T108" s="558"/>
      <c r="U108" s="558"/>
      <c r="V108" s="558"/>
      <c r="W108" s="558"/>
      <c r="X108" s="558"/>
      <c r="Y108" s="558"/>
      <c r="Z108" s="558"/>
      <c r="AA108" s="541"/>
      <c r="AB108" s="541"/>
      <c r="AC108" s="541"/>
    </row>
    <row r="109" spans="1:68" ht="16.5" customHeight="1" x14ac:dyDescent="0.25">
      <c r="A109" s="54" t="s">
        <v>211</v>
      </c>
      <c r="B109" s="54" t="s">
        <v>212</v>
      </c>
      <c r="C109" s="31">
        <v>4301020345</v>
      </c>
      <c r="D109" s="549">
        <v>4680115881488</v>
      </c>
      <c r="E109" s="550"/>
      <c r="F109" s="544">
        <v>1.35</v>
      </c>
      <c r="G109" s="32">
        <v>8</v>
      </c>
      <c r="H109" s="544">
        <v>10.8</v>
      </c>
      <c r="I109" s="544">
        <v>11.21</v>
      </c>
      <c r="J109" s="32">
        <v>64</v>
      </c>
      <c r="K109" s="32" t="s">
        <v>105</v>
      </c>
      <c r="L109" s="32" t="s">
        <v>106</v>
      </c>
      <c r="M109" s="33" t="s">
        <v>107</v>
      </c>
      <c r="N109" s="33"/>
      <c r="O109" s="32">
        <v>55</v>
      </c>
      <c r="P109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55" t="s">
        <v>213</v>
      </c>
      <c r="AG109" s="64"/>
      <c r="AJ109" s="68" t="s">
        <v>109</v>
      </c>
      <c r="AK109" s="68">
        <v>86.4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customHeight="1" x14ac:dyDescent="0.25">
      <c r="A110" s="54" t="s">
        <v>214</v>
      </c>
      <c r="B110" s="54" t="s">
        <v>215</v>
      </c>
      <c r="C110" s="31">
        <v>4301020186</v>
      </c>
      <c r="D110" s="549">
        <v>4680115887664</v>
      </c>
      <c r="E110" s="550"/>
      <c r="F110" s="544">
        <v>0.1</v>
      </c>
      <c r="G110" s="32">
        <v>10</v>
      </c>
      <c r="H110" s="544">
        <v>1</v>
      </c>
      <c r="I110" s="544">
        <v>1.21</v>
      </c>
      <c r="J110" s="32">
        <v>392</v>
      </c>
      <c r="K110" s="32" t="s">
        <v>216</v>
      </c>
      <c r="L110" s="32"/>
      <c r="M110" s="33" t="s">
        <v>68</v>
      </c>
      <c r="N110" s="33"/>
      <c r="O110" s="32">
        <v>30</v>
      </c>
      <c r="P110" s="843" t="s">
        <v>217</v>
      </c>
      <c r="Q110" s="552"/>
      <c r="R110" s="552"/>
      <c r="S110" s="552"/>
      <c r="T110" s="553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57" t="s">
        <v>218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219</v>
      </c>
      <c r="B111" s="54" t="s">
        <v>220</v>
      </c>
      <c r="C111" s="31">
        <v>4301020346</v>
      </c>
      <c r="D111" s="549">
        <v>4680115882775</v>
      </c>
      <c r="E111" s="550"/>
      <c r="F111" s="544">
        <v>0.3</v>
      </c>
      <c r="G111" s="32">
        <v>8</v>
      </c>
      <c r="H111" s="544">
        <v>2.4</v>
      </c>
      <c r="I111" s="544">
        <v>2.5</v>
      </c>
      <c r="J111" s="32">
        <v>234</v>
      </c>
      <c r="K111" s="32" t="s">
        <v>73</v>
      </c>
      <c r="L111" s="32"/>
      <c r="M111" s="33" t="s">
        <v>107</v>
      </c>
      <c r="N111" s="33"/>
      <c r="O111" s="32">
        <v>55</v>
      </c>
      <c r="P111" s="79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5">
        <v>0</v>
      </c>
      <c r="Y111" s="546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59" t="s">
        <v>213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221</v>
      </c>
      <c r="B112" s="54" t="s">
        <v>222</v>
      </c>
      <c r="C112" s="31">
        <v>4301020344</v>
      </c>
      <c r="D112" s="549">
        <v>4680115880658</v>
      </c>
      <c r="E112" s="550"/>
      <c r="F112" s="544">
        <v>0.4</v>
      </c>
      <c r="G112" s="32">
        <v>6</v>
      </c>
      <c r="H112" s="544">
        <v>2.4</v>
      </c>
      <c r="I112" s="544">
        <v>2.58</v>
      </c>
      <c r="J112" s="32">
        <v>182</v>
      </c>
      <c r="K112" s="32" t="s">
        <v>67</v>
      </c>
      <c r="L112" s="32" t="s">
        <v>223</v>
      </c>
      <c r="M112" s="33" t="s">
        <v>107</v>
      </c>
      <c r="N112" s="33"/>
      <c r="O112" s="32">
        <v>55</v>
      </c>
      <c r="P112" s="79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2"/>
      <c r="R112" s="552"/>
      <c r="S112" s="552"/>
      <c r="T112" s="553"/>
      <c r="U112" s="34"/>
      <c r="V112" s="34"/>
      <c r="W112" s="35" t="s">
        <v>69</v>
      </c>
      <c r="X112" s="545">
        <v>71</v>
      </c>
      <c r="Y112" s="546">
        <f>IFERROR(IF(X112="",0,CEILING((X112/$H112),1)*$H112),"")</f>
        <v>72</v>
      </c>
      <c r="Z112" s="36">
        <f>IFERROR(IF(Y112=0,"",ROUNDUP(Y112/H112,0)*0.00651),"")</f>
        <v>0.1953</v>
      </c>
      <c r="AA112" s="56"/>
      <c r="AB112" s="57"/>
      <c r="AC112" s="161" t="s">
        <v>213</v>
      </c>
      <c r="AG112" s="64"/>
      <c r="AJ112" s="68" t="s">
        <v>109</v>
      </c>
      <c r="AK112" s="68">
        <v>33.6</v>
      </c>
      <c r="BB112" s="162" t="s">
        <v>1</v>
      </c>
      <c r="BM112" s="64">
        <f>IFERROR(X112*I112/H112,"0")</f>
        <v>76.325000000000003</v>
      </c>
      <c r="BN112" s="64">
        <f>IFERROR(Y112*I112/H112,"0")</f>
        <v>77.400000000000006</v>
      </c>
      <c r="BO112" s="64">
        <f>IFERROR(1/J112*(X112/H112),"0")</f>
        <v>0.16254578754578758</v>
      </c>
      <c r="BP112" s="64">
        <f>IFERROR(1/J112*(Y112/H112),"0")</f>
        <v>0.16483516483516486</v>
      </c>
    </row>
    <row r="113" spans="1:68" x14ac:dyDescent="0.2">
      <c r="A113" s="568"/>
      <c r="B113" s="558"/>
      <c r="C113" s="558"/>
      <c r="D113" s="558"/>
      <c r="E113" s="558"/>
      <c r="F113" s="558"/>
      <c r="G113" s="558"/>
      <c r="H113" s="558"/>
      <c r="I113" s="558"/>
      <c r="J113" s="558"/>
      <c r="K113" s="558"/>
      <c r="L113" s="558"/>
      <c r="M113" s="558"/>
      <c r="N113" s="558"/>
      <c r="O113" s="569"/>
      <c r="P113" s="561" t="s">
        <v>75</v>
      </c>
      <c r="Q113" s="562"/>
      <c r="R113" s="562"/>
      <c r="S113" s="562"/>
      <c r="T113" s="562"/>
      <c r="U113" s="562"/>
      <c r="V113" s="563"/>
      <c r="W113" s="37" t="s">
        <v>76</v>
      </c>
      <c r="X113" s="547">
        <f>IFERROR(X109/H109,"0")+IFERROR(X110/H110,"0")+IFERROR(X111/H111,"0")+IFERROR(X112/H112,"0")</f>
        <v>29.583333333333336</v>
      </c>
      <c r="Y113" s="547">
        <f>IFERROR(Y109/H109,"0")+IFERROR(Y110/H110,"0")+IFERROR(Y111/H111,"0")+IFERROR(Y112/H112,"0")</f>
        <v>30</v>
      </c>
      <c r="Z113" s="547">
        <f>IFERROR(IF(Z109="",0,Z109),"0")+IFERROR(IF(Z110="",0,Z110),"0")+IFERROR(IF(Z111="",0,Z111),"0")+IFERROR(IF(Z112="",0,Z112),"0")</f>
        <v>0.1953</v>
      </c>
      <c r="AA113" s="548"/>
      <c r="AB113" s="548"/>
      <c r="AC113" s="548"/>
    </row>
    <row r="114" spans="1:68" x14ac:dyDescent="0.2">
      <c r="A114" s="558"/>
      <c r="B114" s="558"/>
      <c r="C114" s="558"/>
      <c r="D114" s="558"/>
      <c r="E114" s="558"/>
      <c r="F114" s="558"/>
      <c r="G114" s="558"/>
      <c r="H114" s="558"/>
      <c r="I114" s="558"/>
      <c r="J114" s="558"/>
      <c r="K114" s="558"/>
      <c r="L114" s="558"/>
      <c r="M114" s="558"/>
      <c r="N114" s="558"/>
      <c r="O114" s="569"/>
      <c r="P114" s="561" t="s">
        <v>75</v>
      </c>
      <c r="Q114" s="562"/>
      <c r="R114" s="562"/>
      <c r="S114" s="562"/>
      <c r="T114" s="562"/>
      <c r="U114" s="562"/>
      <c r="V114" s="563"/>
      <c r="W114" s="37" t="s">
        <v>69</v>
      </c>
      <c r="X114" s="547">
        <f>IFERROR(SUM(X109:X112),"0")</f>
        <v>71</v>
      </c>
      <c r="Y114" s="547">
        <f>IFERROR(SUM(Y109:Y112),"0")</f>
        <v>72</v>
      </c>
      <c r="Z114" s="37"/>
      <c r="AA114" s="548"/>
      <c r="AB114" s="548"/>
      <c r="AC114" s="548"/>
    </row>
    <row r="115" spans="1:68" ht="14.25" customHeight="1" x14ac:dyDescent="0.25">
      <c r="A115" s="557" t="s">
        <v>77</v>
      </c>
      <c r="B115" s="558"/>
      <c r="C115" s="558"/>
      <c r="D115" s="558"/>
      <c r="E115" s="558"/>
      <c r="F115" s="558"/>
      <c r="G115" s="558"/>
      <c r="H115" s="558"/>
      <c r="I115" s="558"/>
      <c r="J115" s="558"/>
      <c r="K115" s="558"/>
      <c r="L115" s="558"/>
      <c r="M115" s="558"/>
      <c r="N115" s="558"/>
      <c r="O115" s="558"/>
      <c r="P115" s="558"/>
      <c r="Q115" s="558"/>
      <c r="R115" s="558"/>
      <c r="S115" s="558"/>
      <c r="T115" s="558"/>
      <c r="U115" s="558"/>
      <c r="V115" s="558"/>
      <c r="W115" s="558"/>
      <c r="X115" s="558"/>
      <c r="Y115" s="558"/>
      <c r="Z115" s="558"/>
      <c r="AA115" s="541"/>
      <c r="AB115" s="541"/>
      <c r="AC115" s="541"/>
    </row>
    <row r="116" spans="1:68" ht="27" customHeight="1" x14ac:dyDescent="0.25">
      <c r="A116" s="54" t="s">
        <v>224</v>
      </c>
      <c r="B116" s="54" t="s">
        <v>225</v>
      </c>
      <c r="C116" s="31">
        <v>4301051724</v>
      </c>
      <c r="D116" s="549">
        <v>4607091385168</v>
      </c>
      <c r="E116" s="550"/>
      <c r="F116" s="544">
        <v>1.35</v>
      </c>
      <c r="G116" s="32">
        <v>6</v>
      </c>
      <c r="H116" s="544">
        <v>8.1</v>
      </c>
      <c r="I116" s="544">
        <v>8.5879999999999992</v>
      </c>
      <c r="J116" s="32">
        <v>64</v>
      </c>
      <c r="K116" s="32" t="s">
        <v>105</v>
      </c>
      <c r="L116" s="32" t="s">
        <v>106</v>
      </c>
      <c r="M116" s="33" t="s">
        <v>87</v>
      </c>
      <c r="N116" s="33"/>
      <c r="O116" s="32">
        <v>45</v>
      </c>
      <c r="P116" s="63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63" t="s">
        <v>226</v>
      </c>
      <c r="AG116" s="64"/>
      <c r="AJ116" s="68" t="s">
        <v>109</v>
      </c>
      <c r="AK116" s="68">
        <v>64.8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227</v>
      </c>
      <c r="B117" s="54" t="s">
        <v>228</v>
      </c>
      <c r="C117" s="31">
        <v>4301051730</v>
      </c>
      <c r="D117" s="549">
        <v>4607091383256</v>
      </c>
      <c r="E117" s="550"/>
      <c r="F117" s="544">
        <v>0.33</v>
      </c>
      <c r="G117" s="32">
        <v>6</v>
      </c>
      <c r="H117" s="544">
        <v>1.98</v>
      </c>
      <c r="I117" s="544">
        <v>2.226</v>
      </c>
      <c r="J117" s="32">
        <v>182</v>
      </c>
      <c r="K117" s="32" t="s">
        <v>67</v>
      </c>
      <c r="L117" s="32"/>
      <c r="M117" s="33" t="s">
        <v>87</v>
      </c>
      <c r="N117" s="33"/>
      <c r="O117" s="32">
        <v>45</v>
      </c>
      <c r="P117" s="6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226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229</v>
      </c>
      <c r="B118" s="54" t="s">
        <v>230</v>
      </c>
      <c r="C118" s="31">
        <v>4301051721</v>
      </c>
      <c r="D118" s="549">
        <v>4607091385748</v>
      </c>
      <c r="E118" s="550"/>
      <c r="F118" s="544">
        <v>0.45</v>
      </c>
      <c r="G118" s="32">
        <v>6</v>
      </c>
      <c r="H118" s="544">
        <v>2.7</v>
      </c>
      <c r="I118" s="544">
        <v>2.952</v>
      </c>
      <c r="J118" s="32">
        <v>182</v>
      </c>
      <c r="K118" s="32" t="s">
        <v>67</v>
      </c>
      <c r="L118" s="32" t="s">
        <v>223</v>
      </c>
      <c r="M118" s="33" t="s">
        <v>87</v>
      </c>
      <c r="N118" s="33"/>
      <c r="O118" s="32">
        <v>45</v>
      </c>
      <c r="P118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5">
        <v>0</v>
      </c>
      <c r="Y118" s="54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109</v>
      </c>
      <c r="AK118" s="68">
        <v>37.799999999999997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16.5" customHeight="1" x14ac:dyDescent="0.25">
      <c r="A119" s="54" t="s">
        <v>231</v>
      </c>
      <c r="B119" s="54" t="s">
        <v>232</v>
      </c>
      <c r="C119" s="31">
        <v>4301051740</v>
      </c>
      <c r="D119" s="549">
        <v>4680115884533</v>
      </c>
      <c r="E119" s="550"/>
      <c r="F119" s="544">
        <v>0.3</v>
      </c>
      <c r="G119" s="32">
        <v>6</v>
      </c>
      <c r="H119" s="544">
        <v>1.8</v>
      </c>
      <c r="I119" s="544">
        <v>1.98</v>
      </c>
      <c r="J119" s="32">
        <v>182</v>
      </c>
      <c r="K119" s="32" t="s">
        <v>67</v>
      </c>
      <c r="L119" s="32"/>
      <c r="M119" s="33" t="s">
        <v>80</v>
      </c>
      <c r="N119" s="33"/>
      <c r="O119" s="32">
        <v>45</v>
      </c>
      <c r="P119" s="6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2"/>
      <c r="R119" s="552"/>
      <c r="S119" s="552"/>
      <c r="T119" s="553"/>
      <c r="U119" s="34"/>
      <c r="V119" s="34"/>
      <c r="W119" s="35" t="s">
        <v>69</v>
      </c>
      <c r="X119" s="545">
        <v>0</v>
      </c>
      <c r="Y119" s="546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9" t="s">
        <v>233</v>
      </c>
      <c r="AG119" s="64"/>
      <c r="AJ119" s="68"/>
      <c r="AK119" s="68">
        <v>0</v>
      </c>
      <c r="BB119" s="170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8"/>
      <c r="B120" s="558"/>
      <c r="C120" s="558"/>
      <c r="D120" s="558"/>
      <c r="E120" s="558"/>
      <c r="F120" s="558"/>
      <c r="G120" s="558"/>
      <c r="H120" s="558"/>
      <c r="I120" s="558"/>
      <c r="J120" s="558"/>
      <c r="K120" s="558"/>
      <c r="L120" s="558"/>
      <c r="M120" s="558"/>
      <c r="N120" s="558"/>
      <c r="O120" s="569"/>
      <c r="P120" s="561" t="s">
        <v>75</v>
      </c>
      <c r="Q120" s="562"/>
      <c r="R120" s="562"/>
      <c r="S120" s="562"/>
      <c r="T120" s="562"/>
      <c r="U120" s="562"/>
      <c r="V120" s="563"/>
      <c r="W120" s="37" t="s">
        <v>76</v>
      </c>
      <c r="X120" s="547">
        <f>IFERROR(X116/H116,"0")+IFERROR(X117/H117,"0")+IFERROR(X118/H118,"0")+IFERROR(X119/H119,"0")</f>
        <v>0</v>
      </c>
      <c r="Y120" s="547">
        <f>IFERROR(Y116/H116,"0")+IFERROR(Y117/H117,"0")+IFERROR(Y118/H118,"0")+IFERROR(Y119/H119,"0")</f>
        <v>0</v>
      </c>
      <c r="Z120" s="547">
        <f>IFERROR(IF(Z116="",0,Z116),"0")+IFERROR(IF(Z117="",0,Z117),"0")+IFERROR(IF(Z118="",0,Z118),"0")+IFERROR(IF(Z119="",0,Z119),"0")</f>
        <v>0</v>
      </c>
      <c r="AA120" s="548"/>
      <c r="AB120" s="548"/>
      <c r="AC120" s="548"/>
    </row>
    <row r="121" spans="1:68" x14ac:dyDescent="0.2">
      <c r="A121" s="558"/>
      <c r="B121" s="558"/>
      <c r="C121" s="558"/>
      <c r="D121" s="558"/>
      <c r="E121" s="558"/>
      <c r="F121" s="558"/>
      <c r="G121" s="558"/>
      <c r="H121" s="558"/>
      <c r="I121" s="558"/>
      <c r="J121" s="558"/>
      <c r="K121" s="558"/>
      <c r="L121" s="558"/>
      <c r="M121" s="558"/>
      <c r="N121" s="558"/>
      <c r="O121" s="569"/>
      <c r="P121" s="561" t="s">
        <v>75</v>
      </c>
      <c r="Q121" s="562"/>
      <c r="R121" s="562"/>
      <c r="S121" s="562"/>
      <c r="T121" s="562"/>
      <c r="U121" s="562"/>
      <c r="V121" s="563"/>
      <c r="W121" s="37" t="s">
        <v>69</v>
      </c>
      <c r="X121" s="547">
        <f>IFERROR(SUM(X116:X119),"0")</f>
        <v>0</v>
      </c>
      <c r="Y121" s="547">
        <f>IFERROR(SUM(Y116:Y119),"0")</f>
        <v>0</v>
      </c>
      <c r="Z121" s="37"/>
      <c r="AA121" s="548"/>
      <c r="AB121" s="548"/>
      <c r="AC121" s="548"/>
    </row>
    <row r="122" spans="1:68" ht="14.25" customHeight="1" x14ac:dyDescent="0.25">
      <c r="A122" s="557" t="s">
        <v>166</v>
      </c>
      <c r="B122" s="558"/>
      <c r="C122" s="558"/>
      <c r="D122" s="558"/>
      <c r="E122" s="558"/>
      <c r="F122" s="558"/>
      <c r="G122" s="558"/>
      <c r="H122" s="558"/>
      <c r="I122" s="558"/>
      <c r="J122" s="558"/>
      <c r="K122" s="558"/>
      <c r="L122" s="558"/>
      <c r="M122" s="558"/>
      <c r="N122" s="558"/>
      <c r="O122" s="558"/>
      <c r="P122" s="558"/>
      <c r="Q122" s="558"/>
      <c r="R122" s="558"/>
      <c r="S122" s="558"/>
      <c r="T122" s="558"/>
      <c r="U122" s="558"/>
      <c r="V122" s="558"/>
      <c r="W122" s="558"/>
      <c r="X122" s="558"/>
      <c r="Y122" s="558"/>
      <c r="Z122" s="558"/>
      <c r="AA122" s="541"/>
      <c r="AB122" s="541"/>
      <c r="AC122" s="541"/>
    </row>
    <row r="123" spans="1:68" ht="16.5" customHeight="1" x14ac:dyDescent="0.25">
      <c r="A123" s="54" t="s">
        <v>234</v>
      </c>
      <c r="B123" s="54" t="s">
        <v>235</v>
      </c>
      <c r="C123" s="31">
        <v>4301060317</v>
      </c>
      <c r="D123" s="549">
        <v>4680115880238</v>
      </c>
      <c r="E123" s="550"/>
      <c r="F123" s="544">
        <v>0.33</v>
      </c>
      <c r="G123" s="32">
        <v>6</v>
      </c>
      <c r="H123" s="544">
        <v>1.98</v>
      </c>
      <c r="I123" s="544">
        <v>2.238</v>
      </c>
      <c r="J123" s="32">
        <v>182</v>
      </c>
      <c r="K123" s="32" t="s">
        <v>67</v>
      </c>
      <c r="L123" s="32"/>
      <c r="M123" s="33" t="s">
        <v>80</v>
      </c>
      <c r="N123" s="33"/>
      <c r="O123" s="32">
        <v>40</v>
      </c>
      <c r="P123" s="8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2"/>
      <c r="R123" s="552"/>
      <c r="S123" s="552"/>
      <c r="T123" s="553"/>
      <c r="U123" s="34"/>
      <c r="V123" s="34"/>
      <c r="W123" s="35" t="s">
        <v>69</v>
      </c>
      <c r="X123" s="545">
        <v>0</v>
      </c>
      <c r="Y123" s="546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1" t="s">
        <v>236</v>
      </c>
      <c r="AG123" s="64"/>
      <c r="AJ123" s="68"/>
      <c r="AK123" s="68">
        <v>0</v>
      </c>
      <c r="BB123" s="172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568"/>
      <c r="B124" s="558"/>
      <c r="C124" s="558"/>
      <c r="D124" s="558"/>
      <c r="E124" s="558"/>
      <c r="F124" s="558"/>
      <c r="G124" s="558"/>
      <c r="H124" s="558"/>
      <c r="I124" s="558"/>
      <c r="J124" s="558"/>
      <c r="K124" s="558"/>
      <c r="L124" s="558"/>
      <c r="M124" s="558"/>
      <c r="N124" s="558"/>
      <c r="O124" s="569"/>
      <c r="P124" s="561" t="s">
        <v>75</v>
      </c>
      <c r="Q124" s="562"/>
      <c r="R124" s="562"/>
      <c r="S124" s="562"/>
      <c r="T124" s="562"/>
      <c r="U124" s="562"/>
      <c r="V124" s="563"/>
      <c r="W124" s="37" t="s">
        <v>76</v>
      </c>
      <c r="X124" s="547">
        <f>IFERROR(X123/H123,"0")</f>
        <v>0</v>
      </c>
      <c r="Y124" s="547">
        <f>IFERROR(Y123/H123,"0")</f>
        <v>0</v>
      </c>
      <c r="Z124" s="547">
        <f>IFERROR(IF(Z123="",0,Z123),"0")</f>
        <v>0</v>
      </c>
      <c r="AA124" s="548"/>
      <c r="AB124" s="548"/>
      <c r="AC124" s="548"/>
    </row>
    <row r="125" spans="1:68" x14ac:dyDescent="0.2">
      <c r="A125" s="558"/>
      <c r="B125" s="558"/>
      <c r="C125" s="558"/>
      <c r="D125" s="558"/>
      <c r="E125" s="558"/>
      <c r="F125" s="558"/>
      <c r="G125" s="558"/>
      <c r="H125" s="558"/>
      <c r="I125" s="558"/>
      <c r="J125" s="558"/>
      <c r="K125" s="558"/>
      <c r="L125" s="558"/>
      <c r="M125" s="558"/>
      <c r="N125" s="558"/>
      <c r="O125" s="569"/>
      <c r="P125" s="561" t="s">
        <v>75</v>
      </c>
      <c r="Q125" s="562"/>
      <c r="R125" s="562"/>
      <c r="S125" s="562"/>
      <c r="T125" s="562"/>
      <c r="U125" s="562"/>
      <c r="V125" s="563"/>
      <c r="W125" s="37" t="s">
        <v>69</v>
      </c>
      <c r="X125" s="547">
        <f>IFERROR(SUM(X123:X123),"0")</f>
        <v>0</v>
      </c>
      <c r="Y125" s="547">
        <f>IFERROR(SUM(Y123:Y123),"0")</f>
        <v>0</v>
      </c>
      <c r="Z125" s="37"/>
      <c r="AA125" s="548"/>
      <c r="AB125" s="548"/>
      <c r="AC125" s="548"/>
    </row>
    <row r="126" spans="1:68" ht="16.5" customHeight="1" x14ac:dyDescent="0.25">
      <c r="A126" s="591" t="s">
        <v>237</v>
      </c>
      <c r="B126" s="558"/>
      <c r="C126" s="558"/>
      <c r="D126" s="558"/>
      <c r="E126" s="558"/>
      <c r="F126" s="558"/>
      <c r="G126" s="558"/>
      <c r="H126" s="558"/>
      <c r="I126" s="558"/>
      <c r="J126" s="558"/>
      <c r="K126" s="558"/>
      <c r="L126" s="558"/>
      <c r="M126" s="558"/>
      <c r="N126" s="558"/>
      <c r="O126" s="558"/>
      <c r="P126" s="558"/>
      <c r="Q126" s="558"/>
      <c r="R126" s="558"/>
      <c r="S126" s="558"/>
      <c r="T126" s="558"/>
      <c r="U126" s="558"/>
      <c r="V126" s="558"/>
      <c r="W126" s="558"/>
      <c r="X126" s="558"/>
      <c r="Y126" s="558"/>
      <c r="Z126" s="558"/>
      <c r="AA126" s="540"/>
      <c r="AB126" s="540"/>
      <c r="AC126" s="540"/>
    </row>
    <row r="127" spans="1:68" ht="14.25" customHeight="1" x14ac:dyDescent="0.25">
      <c r="A127" s="557" t="s">
        <v>102</v>
      </c>
      <c r="B127" s="558"/>
      <c r="C127" s="558"/>
      <c r="D127" s="558"/>
      <c r="E127" s="558"/>
      <c r="F127" s="558"/>
      <c r="G127" s="558"/>
      <c r="H127" s="558"/>
      <c r="I127" s="558"/>
      <c r="J127" s="558"/>
      <c r="K127" s="558"/>
      <c r="L127" s="558"/>
      <c r="M127" s="558"/>
      <c r="N127" s="558"/>
      <c r="O127" s="558"/>
      <c r="P127" s="558"/>
      <c r="Q127" s="558"/>
      <c r="R127" s="558"/>
      <c r="S127" s="558"/>
      <c r="T127" s="558"/>
      <c r="U127" s="558"/>
      <c r="V127" s="558"/>
      <c r="W127" s="558"/>
      <c r="X127" s="558"/>
      <c r="Y127" s="558"/>
      <c r="Z127" s="558"/>
      <c r="AA127" s="541"/>
      <c r="AB127" s="541"/>
      <c r="AC127" s="541"/>
    </row>
    <row r="128" spans="1:68" ht="27" customHeight="1" x14ac:dyDescent="0.25">
      <c r="A128" s="54" t="s">
        <v>238</v>
      </c>
      <c r="B128" s="54" t="s">
        <v>239</v>
      </c>
      <c r="C128" s="31">
        <v>4301011562</v>
      </c>
      <c r="D128" s="549">
        <v>4680115882577</v>
      </c>
      <c r="E128" s="550"/>
      <c r="F128" s="544">
        <v>0.4</v>
      </c>
      <c r="G128" s="32">
        <v>8</v>
      </c>
      <c r="H128" s="544">
        <v>3.2</v>
      </c>
      <c r="I128" s="544">
        <v>3.38</v>
      </c>
      <c r="J128" s="32">
        <v>182</v>
      </c>
      <c r="K128" s="32" t="s">
        <v>67</v>
      </c>
      <c r="L128" s="32"/>
      <c r="M128" s="33" t="s">
        <v>97</v>
      </c>
      <c r="N128" s="33"/>
      <c r="O128" s="32">
        <v>90</v>
      </c>
      <c r="P128" s="82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8" s="552"/>
      <c r="R128" s="552"/>
      <c r="S128" s="552"/>
      <c r="T128" s="553"/>
      <c r="U128" s="34"/>
      <c r="V128" s="34"/>
      <c r="W128" s="35" t="s">
        <v>69</v>
      </c>
      <c r="X128" s="545">
        <v>0</v>
      </c>
      <c r="Y128" s="54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240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238</v>
      </c>
      <c r="B129" s="54" t="s">
        <v>241</v>
      </c>
      <c r="C129" s="31">
        <v>4301011564</v>
      </c>
      <c r="D129" s="549">
        <v>4680115882577</v>
      </c>
      <c r="E129" s="550"/>
      <c r="F129" s="544">
        <v>0.4</v>
      </c>
      <c r="G129" s="32">
        <v>8</v>
      </c>
      <c r="H129" s="544">
        <v>3.2</v>
      </c>
      <c r="I129" s="544">
        <v>3.38</v>
      </c>
      <c r="J129" s="32">
        <v>182</v>
      </c>
      <c r="K129" s="32" t="s">
        <v>67</v>
      </c>
      <c r="L129" s="32"/>
      <c r="M129" s="33" t="s">
        <v>97</v>
      </c>
      <c r="N129" s="33"/>
      <c r="O129" s="32">
        <v>90</v>
      </c>
      <c r="P129" s="6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9" s="552"/>
      <c r="R129" s="552"/>
      <c r="S129" s="552"/>
      <c r="T129" s="553"/>
      <c r="U129" s="34"/>
      <c r="V129" s="34"/>
      <c r="W129" s="35" t="s">
        <v>69</v>
      </c>
      <c r="X129" s="545">
        <v>0</v>
      </c>
      <c r="Y129" s="546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75" t="s">
        <v>240</v>
      </c>
      <c r="AG129" s="64"/>
      <c r="AJ129" s="68"/>
      <c r="AK129" s="68">
        <v>0</v>
      </c>
      <c r="BB129" s="176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x14ac:dyDescent="0.2">
      <c r="A130" s="568"/>
      <c r="B130" s="558"/>
      <c r="C130" s="558"/>
      <c r="D130" s="558"/>
      <c r="E130" s="558"/>
      <c r="F130" s="558"/>
      <c r="G130" s="558"/>
      <c r="H130" s="558"/>
      <c r="I130" s="558"/>
      <c r="J130" s="558"/>
      <c r="K130" s="558"/>
      <c r="L130" s="558"/>
      <c r="M130" s="558"/>
      <c r="N130" s="558"/>
      <c r="O130" s="569"/>
      <c r="P130" s="561" t="s">
        <v>75</v>
      </c>
      <c r="Q130" s="562"/>
      <c r="R130" s="562"/>
      <c r="S130" s="562"/>
      <c r="T130" s="562"/>
      <c r="U130" s="562"/>
      <c r="V130" s="563"/>
      <c r="W130" s="37" t="s">
        <v>76</v>
      </c>
      <c r="X130" s="547">
        <f>IFERROR(X128/H128,"0")+IFERROR(X129/H129,"0")</f>
        <v>0</v>
      </c>
      <c r="Y130" s="547">
        <f>IFERROR(Y128/H128,"0")+IFERROR(Y129/H129,"0")</f>
        <v>0</v>
      </c>
      <c r="Z130" s="547">
        <f>IFERROR(IF(Z128="",0,Z128),"0")+IFERROR(IF(Z129="",0,Z129),"0")</f>
        <v>0</v>
      </c>
      <c r="AA130" s="548"/>
      <c r="AB130" s="548"/>
      <c r="AC130" s="548"/>
    </row>
    <row r="131" spans="1:68" x14ac:dyDescent="0.2">
      <c r="A131" s="558"/>
      <c r="B131" s="558"/>
      <c r="C131" s="558"/>
      <c r="D131" s="558"/>
      <c r="E131" s="558"/>
      <c r="F131" s="558"/>
      <c r="G131" s="558"/>
      <c r="H131" s="558"/>
      <c r="I131" s="558"/>
      <c r="J131" s="558"/>
      <c r="K131" s="558"/>
      <c r="L131" s="558"/>
      <c r="M131" s="558"/>
      <c r="N131" s="558"/>
      <c r="O131" s="569"/>
      <c r="P131" s="561" t="s">
        <v>75</v>
      </c>
      <c r="Q131" s="562"/>
      <c r="R131" s="562"/>
      <c r="S131" s="562"/>
      <c r="T131" s="562"/>
      <c r="U131" s="562"/>
      <c r="V131" s="563"/>
      <c r="W131" s="37" t="s">
        <v>69</v>
      </c>
      <c r="X131" s="547">
        <f>IFERROR(SUM(X128:X129),"0")</f>
        <v>0</v>
      </c>
      <c r="Y131" s="547">
        <f>IFERROR(SUM(Y128:Y129),"0")</f>
        <v>0</v>
      </c>
      <c r="Z131" s="37"/>
      <c r="AA131" s="548"/>
      <c r="AB131" s="548"/>
      <c r="AC131" s="548"/>
    </row>
    <row r="132" spans="1:68" ht="14.25" customHeight="1" x14ac:dyDescent="0.25">
      <c r="A132" s="557" t="s">
        <v>64</v>
      </c>
      <c r="B132" s="558"/>
      <c r="C132" s="558"/>
      <c r="D132" s="558"/>
      <c r="E132" s="558"/>
      <c r="F132" s="558"/>
      <c r="G132" s="558"/>
      <c r="H132" s="558"/>
      <c r="I132" s="558"/>
      <c r="J132" s="558"/>
      <c r="K132" s="558"/>
      <c r="L132" s="558"/>
      <c r="M132" s="558"/>
      <c r="N132" s="558"/>
      <c r="O132" s="558"/>
      <c r="P132" s="558"/>
      <c r="Q132" s="558"/>
      <c r="R132" s="558"/>
      <c r="S132" s="558"/>
      <c r="T132" s="558"/>
      <c r="U132" s="558"/>
      <c r="V132" s="558"/>
      <c r="W132" s="558"/>
      <c r="X132" s="558"/>
      <c r="Y132" s="558"/>
      <c r="Z132" s="558"/>
      <c r="AA132" s="541"/>
      <c r="AB132" s="541"/>
      <c r="AC132" s="541"/>
    </row>
    <row r="133" spans="1:68" ht="27" customHeight="1" x14ac:dyDescent="0.25">
      <c r="A133" s="54" t="s">
        <v>242</v>
      </c>
      <c r="B133" s="54" t="s">
        <v>243</v>
      </c>
      <c r="C133" s="31">
        <v>4301031235</v>
      </c>
      <c r="D133" s="549">
        <v>4680115883444</v>
      </c>
      <c r="E133" s="550"/>
      <c r="F133" s="544">
        <v>0.35</v>
      </c>
      <c r="G133" s="32">
        <v>8</v>
      </c>
      <c r="H133" s="544">
        <v>2.8</v>
      </c>
      <c r="I133" s="544">
        <v>3.0680000000000001</v>
      </c>
      <c r="J133" s="32">
        <v>182</v>
      </c>
      <c r="K133" s="32" t="s">
        <v>67</v>
      </c>
      <c r="L133" s="32"/>
      <c r="M133" s="33" t="s">
        <v>97</v>
      </c>
      <c r="N133" s="33"/>
      <c r="O133" s="32">
        <v>90</v>
      </c>
      <c r="P133" s="82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5">
        <v>0</v>
      </c>
      <c r="Y133" s="54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244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242</v>
      </c>
      <c r="B134" s="54" t="s">
        <v>245</v>
      </c>
      <c r="C134" s="31">
        <v>4301031234</v>
      </c>
      <c r="D134" s="549">
        <v>4680115883444</v>
      </c>
      <c r="E134" s="550"/>
      <c r="F134" s="544">
        <v>0.35</v>
      </c>
      <c r="G134" s="32">
        <v>8</v>
      </c>
      <c r="H134" s="544">
        <v>2.8</v>
      </c>
      <c r="I134" s="544">
        <v>3.0680000000000001</v>
      </c>
      <c r="J134" s="32">
        <v>182</v>
      </c>
      <c r="K134" s="32" t="s">
        <v>67</v>
      </c>
      <c r="L134" s="32"/>
      <c r="M134" s="33" t="s">
        <v>97</v>
      </c>
      <c r="N134" s="33"/>
      <c r="O134" s="32">
        <v>90</v>
      </c>
      <c r="P134" s="85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4" s="552"/>
      <c r="R134" s="552"/>
      <c r="S134" s="552"/>
      <c r="T134" s="553"/>
      <c r="U134" s="34"/>
      <c r="V134" s="34"/>
      <c r="W134" s="35" t="s">
        <v>69</v>
      </c>
      <c r="X134" s="545">
        <v>0</v>
      </c>
      <c r="Y134" s="546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9" t="s">
        <v>244</v>
      </c>
      <c r="AG134" s="64"/>
      <c r="AJ134" s="68"/>
      <c r="AK134" s="68">
        <v>0</v>
      </c>
      <c r="BB134" s="180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568"/>
      <c r="B135" s="558"/>
      <c r="C135" s="558"/>
      <c r="D135" s="558"/>
      <c r="E135" s="558"/>
      <c r="F135" s="558"/>
      <c r="G135" s="558"/>
      <c r="H135" s="558"/>
      <c r="I135" s="558"/>
      <c r="J135" s="558"/>
      <c r="K135" s="558"/>
      <c r="L135" s="558"/>
      <c r="M135" s="558"/>
      <c r="N135" s="558"/>
      <c r="O135" s="569"/>
      <c r="P135" s="561" t="s">
        <v>75</v>
      </c>
      <c r="Q135" s="562"/>
      <c r="R135" s="562"/>
      <c r="S135" s="562"/>
      <c r="T135" s="562"/>
      <c r="U135" s="562"/>
      <c r="V135" s="563"/>
      <c r="W135" s="37" t="s">
        <v>76</v>
      </c>
      <c r="X135" s="547">
        <f>IFERROR(X133/H133,"0")+IFERROR(X134/H134,"0")</f>
        <v>0</v>
      </c>
      <c r="Y135" s="547">
        <f>IFERROR(Y133/H133,"0")+IFERROR(Y134/H134,"0")</f>
        <v>0</v>
      </c>
      <c r="Z135" s="547">
        <f>IFERROR(IF(Z133="",0,Z133),"0")+IFERROR(IF(Z134="",0,Z134),"0")</f>
        <v>0</v>
      </c>
      <c r="AA135" s="548"/>
      <c r="AB135" s="548"/>
      <c r="AC135" s="548"/>
    </row>
    <row r="136" spans="1:68" x14ac:dyDescent="0.2">
      <c r="A136" s="558"/>
      <c r="B136" s="558"/>
      <c r="C136" s="558"/>
      <c r="D136" s="558"/>
      <c r="E136" s="558"/>
      <c r="F136" s="558"/>
      <c r="G136" s="558"/>
      <c r="H136" s="558"/>
      <c r="I136" s="558"/>
      <c r="J136" s="558"/>
      <c r="K136" s="558"/>
      <c r="L136" s="558"/>
      <c r="M136" s="558"/>
      <c r="N136" s="558"/>
      <c r="O136" s="569"/>
      <c r="P136" s="561" t="s">
        <v>75</v>
      </c>
      <c r="Q136" s="562"/>
      <c r="R136" s="562"/>
      <c r="S136" s="562"/>
      <c r="T136" s="562"/>
      <c r="U136" s="562"/>
      <c r="V136" s="563"/>
      <c r="W136" s="37" t="s">
        <v>69</v>
      </c>
      <c r="X136" s="547">
        <f>IFERROR(SUM(X133:X134),"0")</f>
        <v>0</v>
      </c>
      <c r="Y136" s="547">
        <f>IFERROR(SUM(Y133:Y134),"0")</f>
        <v>0</v>
      </c>
      <c r="Z136" s="37"/>
      <c r="AA136" s="548"/>
      <c r="AB136" s="548"/>
      <c r="AC136" s="548"/>
    </row>
    <row r="137" spans="1:68" ht="14.25" customHeight="1" x14ac:dyDescent="0.25">
      <c r="A137" s="557" t="s">
        <v>77</v>
      </c>
      <c r="B137" s="558"/>
      <c r="C137" s="558"/>
      <c r="D137" s="558"/>
      <c r="E137" s="558"/>
      <c r="F137" s="558"/>
      <c r="G137" s="558"/>
      <c r="H137" s="558"/>
      <c r="I137" s="558"/>
      <c r="J137" s="558"/>
      <c r="K137" s="558"/>
      <c r="L137" s="558"/>
      <c r="M137" s="558"/>
      <c r="N137" s="558"/>
      <c r="O137" s="558"/>
      <c r="P137" s="558"/>
      <c r="Q137" s="558"/>
      <c r="R137" s="558"/>
      <c r="S137" s="558"/>
      <c r="T137" s="558"/>
      <c r="U137" s="558"/>
      <c r="V137" s="558"/>
      <c r="W137" s="558"/>
      <c r="X137" s="558"/>
      <c r="Y137" s="558"/>
      <c r="Z137" s="558"/>
      <c r="AA137" s="541"/>
      <c r="AB137" s="541"/>
      <c r="AC137" s="541"/>
    </row>
    <row r="138" spans="1:68" ht="16.5" customHeight="1" x14ac:dyDescent="0.25">
      <c r="A138" s="54" t="s">
        <v>246</v>
      </c>
      <c r="B138" s="54" t="s">
        <v>247</v>
      </c>
      <c r="C138" s="31">
        <v>4301051477</v>
      </c>
      <c r="D138" s="549">
        <v>4680115882584</v>
      </c>
      <c r="E138" s="550"/>
      <c r="F138" s="544">
        <v>0.33</v>
      </c>
      <c r="G138" s="32">
        <v>8</v>
      </c>
      <c r="H138" s="544">
        <v>2.64</v>
      </c>
      <c r="I138" s="544">
        <v>2.9079999999999999</v>
      </c>
      <c r="J138" s="32">
        <v>182</v>
      </c>
      <c r="K138" s="32" t="s">
        <v>67</v>
      </c>
      <c r="L138" s="32"/>
      <c r="M138" s="33" t="s">
        <v>97</v>
      </c>
      <c r="N138" s="33"/>
      <c r="O138" s="32">
        <v>60</v>
      </c>
      <c r="P138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2"/>
      <c r="R138" s="552"/>
      <c r="S138" s="552"/>
      <c r="T138" s="553"/>
      <c r="U138" s="34"/>
      <c r="V138" s="34"/>
      <c r="W138" s="35" t="s">
        <v>69</v>
      </c>
      <c r="X138" s="545">
        <v>0</v>
      </c>
      <c r="Y138" s="54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240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16.5" customHeight="1" x14ac:dyDescent="0.25">
      <c r="A139" s="54" t="s">
        <v>246</v>
      </c>
      <c r="B139" s="54" t="s">
        <v>248</v>
      </c>
      <c r="C139" s="31">
        <v>4301051476</v>
      </c>
      <c r="D139" s="549">
        <v>4680115882584</v>
      </c>
      <c r="E139" s="550"/>
      <c r="F139" s="544">
        <v>0.33</v>
      </c>
      <c r="G139" s="32">
        <v>8</v>
      </c>
      <c r="H139" s="544">
        <v>2.64</v>
      </c>
      <c r="I139" s="544">
        <v>2.9079999999999999</v>
      </c>
      <c r="J139" s="32">
        <v>182</v>
      </c>
      <c r="K139" s="32" t="s">
        <v>67</v>
      </c>
      <c r="L139" s="32"/>
      <c r="M139" s="33" t="s">
        <v>97</v>
      </c>
      <c r="N139" s="33"/>
      <c r="O139" s="32">
        <v>60</v>
      </c>
      <c r="P139" s="80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2"/>
      <c r="R139" s="552"/>
      <c r="S139" s="552"/>
      <c r="T139" s="553"/>
      <c r="U139" s="34"/>
      <c r="V139" s="34"/>
      <c r="W139" s="35" t="s">
        <v>69</v>
      </c>
      <c r="X139" s="545">
        <v>0</v>
      </c>
      <c r="Y139" s="546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83" t="s">
        <v>240</v>
      </c>
      <c r="AG139" s="64"/>
      <c r="AJ139" s="68"/>
      <c r="AK139" s="68">
        <v>0</v>
      </c>
      <c r="BB139" s="184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568"/>
      <c r="B140" s="558"/>
      <c r="C140" s="558"/>
      <c r="D140" s="558"/>
      <c r="E140" s="558"/>
      <c r="F140" s="558"/>
      <c r="G140" s="558"/>
      <c r="H140" s="558"/>
      <c r="I140" s="558"/>
      <c r="J140" s="558"/>
      <c r="K140" s="558"/>
      <c r="L140" s="558"/>
      <c r="M140" s="558"/>
      <c r="N140" s="558"/>
      <c r="O140" s="569"/>
      <c r="P140" s="561" t="s">
        <v>75</v>
      </c>
      <c r="Q140" s="562"/>
      <c r="R140" s="562"/>
      <c r="S140" s="562"/>
      <c r="T140" s="562"/>
      <c r="U140" s="562"/>
      <c r="V140" s="563"/>
      <c r="W140" s="37" t="s">
        <v>76</v>
      </c>
      <c r="X140" s="547">
        <f>IFERROR(X138/H138,"0")+IFERROR(X139/H139,"0")</f>
        <v>0</v>
      </c>
      <c r="Y140" s="547">
        <f>IFERROR(Y138/H138,"0")+IFERROR(Y139/H139,"0")</f>
        <v>0</v>
      </c>
      <c r="Z140" s="547">
        <f>IFERROR(IF(Z138="",0,Z138),"0")+IFERROR(IF(Z139="",0,Z139),"0")</f>
        <v>0</v>
      </c>
      <c r="AA140" s="548"/>
      <c r="AB140" s="548"/>
      <c r="AC140" s="548"/>
    </row>
    <row r="141" spans="1:68" x14ac:dyDescent="0.2">
      <c r="A141" s="558"/>
      <c r="B141" s="558"/>
      <c r="C141" s="558"/>
      <c r="D141" s="558"/>
      <c r="E141" s="558"/>
      <c r="F141" s="558"/>
      <c r="G141" s="558"/>
      <c r="H141" s="558"/>
      <c r="I141" s="558"/>
      <c r="J141" s="558"/>
      <c r="K141" s="558"/>
      <c r="L141" s="558"/>
      <c r="M141" s="558"/>
      <c r="N141" s="558"/>
      <c r="O141" s="569"/>
      <c r="P141" s="561" t="s">
        <v>75</v>
      </c>
      <c r="Q141" s="562"/>
      <c r="R141" s="562"/>
      <c r="S141" s="562"/>
      <c r="T141" s="562"/>
      <c r="U141" s="562"/>
      <c r="V141" s="563"/>
      <c r="W141" s="37" t="s">
        <v>69</v>
      </c>
      <c r="X141" s="547">
        <f>IFERROR(SUM(X138:X139),"0")</f>
        <v>0</v>
      </c>
      <c r="Y141" s="547">
        <f>IFERROR(SUM(Y138:Y139),"0")</f>
        <v>0</v>
      </c>
      <c r="Z141" s="37"/>
      <c r="AA141" s="548"/>
      <c r="AB141" s="548"/>
      <c r="AC141" s="548"/>
    </row>
    <row r="142" spans="1:68" ht="16.5" customHeight="1" x14ac:dyDescent="0.25">
      <c r="A142" s="591" t="s">
        <v>100</v>
      </c>
      <c r="B142" s="558"/>
      <c r="C142" s="558"/>
      <c r="D142" s="558"/>
      <c r="E142" s="558"/>
      <c r="F142" s="558"/>
      <c r="G142" s="558"/>
      <c r="H142" s="558"/>
      <c r="I142" s="558"/>
      <c r="J142" s="558"/>
      <c r="K142" s="558"/>
      <c r="L142" s="558"/>
      <c r="M142" s="558"/>
      <c r="N142" s="558"/>
      <c r="O142" s="558"/>
      <c r="P142" s="558"/>
      <c r="Q142" s="558"/>
      <c r="R142" s="558"/>
      <c r="S142" s="558"/>
      <c r="T142" s="558"/>
      <c r="U142" s="558"/>
      <c r="V142" s="558"/>
      <c r="W142" s="558"/>
      <c r="X142" s="558"/>
      <c r="Y142" s="558"/>
      <c r="Z142" s="558"/>
      <c r="AA142" s="540"/>
      <c r="AB142" s="540"/>
      <c r="AC142" s="540"/>
    </row>
    <row r="143" spans="1:68" ht="14.25" customHeight="1" x14ac:dyDescent="0.25">
      <c r="A143" s="557" t="s">
        <v>102</v>
      </c>
      <c r="B143" s="558"/>
      <c r="C143" s="558"/>
      <c r="D143" s="558"/>
      <c r="E143" s="558"/>
      <c r="F143" s="558"/>
      <c r="G143" s="558"/>
      <c r="H143" s="558"/>
      <c r="I143" s="558"/>
      <c r="J143" s="558"/>
      <c r="K143" s="558"/>
      <c r="L143" s="558"/>
      <c r="M143" s="558"/>
      <c r="N143" s="558"/>
      <c r="O143" s="558"/>
      <c r="P143" s="558"/>
      <c r="Q143" s="558"/>
      <c r="R143" s="558"/>
      <c r="S143" s="558"/>
      <c r="T143" s="558"/>
      <c r="U143" s="558"/>
      <c r="V143" s="558"/>
      <c r="W143" s="558"/>
      <c r="X143" s="558"/>
      <c r="Y143" s="558"/>
      <c r="Z143" s="558"/>
      <c r="AA143" s="541"/>
      <c r="AB143" s="541"/>
      <c r="AC143" s="541"/>
    </row>
    <row r="144" spans="1:68" ht="27" customHeight="1" x14ac:dyDescent="0.25">
      <c r="A144" s="54" t="s">
        <v>249</v>
      </c>
      <c r="B144" s="54" t="s">
        <v>250</v>
      </c>
      <c r="C144" s="31">
        <v>4301012244</v>
      </c>
      <c r="D144" s="549">
        <v>4680115887374</v>
      </c>
      <c r="E144" s="550"/>
      <c r="F144" s="544">
        <v>1.6</v>
      </c>
      <c r="G144" s="32">
        <v>8</v>
      </c>
      <c r="H144" s="544">
        <v>12.8</v>
      </c>
      <c r="I144" s="544">
        <v>13.21</v>
      </c>
      <c r="J144" s="32">
        <v>64</v>
      </c>
      <c r="K144" s="32" t="s">
        <v>105</v>
      </c>
      <c r="L144" s="32"/>
      <c r="M144" s="33" t="s">
        <v>107</v>
      </c>
      <c r="N144" s="33"/>
      <c r="O144" s="32">
        <v>55</v>
      </c>
      <c r="P144" s="5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5">
        <v>0</v>
      </c>
      <c r="Y144" s="546">
        <f>IFERROR(IF(X144="",0,CEILING((X144/$H144),1)*$H144),"")</f>
        <v>0</v>
      </c>
      <c r="Z144" s="36" t="str">
        <f>IFERROR(IF(Y144=0,"",ROUNDUP(Y144/H144,0)*0.01898),"")</f>
        <v/>
      </c>
      <c r="AA144" s="56"/>
      <c r="AB144" s="57"/>
      <c r="AC144" s="185" t="s">
        <v>251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27" customHeight="1" x14ac:dyDescent="0.25">
      <c r="A145" s="54" t="s">
        <v>252</v>
      </c>
      <c r="B145" s="54" t="s">
        <v>253</v>
      </c>
      <c r="C145" s="31">
        <v>4301011705</v>
      </c>
      <c r="D145" s="549">
        <v>4607091384604</v>
      </c>
      <c r="E145" s="550"/>
      <c r="F145" s="544">
        <v>0.4</v>
      </c>
      <c r="G145" s="32">
        <v>10</v>
      </c>
      <c r="H145" s="544">
        <v>4</v>
      </c>
      <c r="I145" s="544">
        <v>4.1900000000000004</v>
      </c>
      <c r="J145" s="32">
        <v>132</v>
      </c>
      <c r="K145" s="32" t="s">
        <v>112</v>
      </c>
      <c r="L145" s="32"/>
      <c r="M145" s="33" t="s">
        <v>107</v>
      </c>
      <c r="N145" s="33"/>
      <c r="O145" s="32">
        <v>50</v>
      </c>
      <c r="P145" s="60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2"/>
      <c r="R145" s="552"/>
      <c r="S145" s="552"/>
      <c r="T145" s="553"/>
      <c r="U145" s="34"/>
      <c r="V145" s="34"/>
      <c r="W145" s="35" t="s">
        <v>69</v>
      </c>
      <c r="X145" s="545">
        <v>0</v>
      </c>
      <c r="Y145" s="546">
        <f>IFERROR(IF(X145="",0,CEILING((X145/$H145),1)*$H145),"")</f>
        <v>0</v>
      </c>
      <c r="Z145" s="36" t="str">
        <f>IFERROR(IF(Y145=0,"",ROUNDUP(Y145/H145,0)*0.00902),"")</f>
        <v/>
      </c>
      <c r="AA145" s="56"/>
      <c r="AB145" s="57"/>
      <c r="AC145" s="187" t="s">
        <v>254</v>
      </c>
      <c r="AG145" s="64"/>
      <c r="AJ145" s="68"/>
      <c r="AK145" s="68">
        <v>0</v>
      </c>
      <c r="BB145" s="188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x14ac:dyDescent="0.2">
      <c r="A146" s="568"/>
      <c r="B146" s="558"/>
      <c r="C146" s="558"/>
      <c r="D146" s="558"/>
      <c r="E146" s="558"/>
      <c r="F146" s="558"/>
      <c r="G146" s="558"/>
      <c r="H146" s="558"/>
      <c r="I146" s="558"/>
      <c r="J146" s="558"/>
      <c r="K146" s="558"/>
      <c r="L146" s="558"/>
      <c r="M146" s="558"/>
      <c r="N146" s="558"/>
      <c r="O146" s="569"/>
      <c r="P146" s="561" t="s">
        <v>75</v>
      </c>
      <c r="Q146" s="562"/>
      <c r="R146" s="562"/>
      <c r="S146" s="562"/>
      <c r="T146" s="562"/>
      <c r="U146" s="562"/>
      <c r="V146" s="563"/>
      <c r="W146" s="37" t="s">
        <v>76</v>
      </c>
      <c r="X146" s="547">
        <f>IFERROR(X144/H144,"0")+IFERROR(X145/H145,"0")</f>
        <v>0</v>
      </c>
      <c r="Y146" s="547">
        <f>IFERROR(Y144/H144,"0")+IFERROR(Y145/H145,"0")</f>
        <v>0</v>
      </c>
      <c r="Z146" s="547">
        <f>IFERROR(IF(Z144="",0,Z144),"0")+IFERROR(IF(Z145="",0,Z145),"0")</f>
        <v>0</v>
      </c>
      <c r="AA146" s="548"/>
      <c r="AB146" s="548"/>
      <c r="AC146" s="548"/>
    </row>
    <row r="147" spans="1:68" x14ac:dyDescent="0.2">
      <c r="A147" s="558"/>
      <c r="B147" s="558"/>
      <c r="C147" s="558"/>
      <c r="D147" s="558"/>
      <c r="E147" s="558"/>
      <c r="F147" s="558"/>
      <c r="G147" s="558"/>
      <c r="H147" s="558"/>
      <c r="I147" s="558"/>
      <c r="J147" s="558"/>
      <c r="K147" s="558"/>
      <c r="L147" s="558"/>
      <c r="M147" s="558"/>
      <c r="N147" s="558"/>
      <c r="O147" s="569"/>
      <c r="P147" s="561" t="s">
        <v>75</v>
      </c>
      <c r="Q147" s="562"/>
      <c r="R147" s="562"/>
      <c r="S147" s="562"/>
      <c r="T147" s="562"/>
      <c r="U147" s="562"/>
      <c r="V147" s="563"/>
      <c r="W147" s="37" t="s">
        <v>69</v>
      </c>
      <c r="X147" s="547">
        <f>IFERROR(SUM(X144:X145),"0")</f>
        <v>0</v>
      </c>
      <c r="Y147" s="547">
        <f>IFERROR(SUM(Y144:Y145),"0")</f>
        <v>0</v>
      </c>
      <c r="Z147" s="37"/>
      <c r="AA147" s="548"/>
      <c r="AB147" s="548"/>
      <c r="AC147" s="548"/>
    </row>
    <row r="148" spans="1:68" ht="14.25" customHeight="1" x14ac:dyDescent="0.25">
      <c r="A148" s="557" t="s">
        <v>64</v>
      </c>
      <c r="B148" s="558"/>
      <c r="C148" s="558"/>
      <c r="D148" s="558"/>
      <c r="E148" s="558"/>
      <c r="F148" s="558"/>
      <c r="G148" s="558"/>
      <c r="H148" s="558"/>
      <c r="I148" s="558"/>
      <c r="J148" s="558"/>
      <c r="K148" s="558"/>
      <c r="L148" s="558"/>
      <c r="M148" s="558"/>
      <c r="N148" s="558"/>
      <c r="O148" s="558"/>
      <c r="P148" s="558"/>
      <c r="Q148" s="558"/>
      <c r="R148" s="558"/>
      <c r="S148" s="558"/>
      <c r="T148" s="558"/>
      <c r="U148" s="558"/>
      <c r="V148" s="558"/>
      <c r="W148" s="558"/>
      <c r="X148" s="558"/>
      <c r="Y148" s="558"/>
      <c r="Z148" s="558"/>
      <c r="AA148" s="541"/>
      <c r="AB148" s="541"/>
      <c r="AC148" s="541"/>
    </row>
    <row r="149" spans="1:68" ht="16.5" customHeight="1" x14ac:dyDescent="0.25">
      <c r="A149" s="54" t="s">
        <v>255</v>
      </c>
      <c r="B149" s="54" t="s">
        <v>256</v>
      </c>
      <c r="C149" s="31">
        <v>4301030895</v>
      </c>
      <c r="D149" s="549">
        <v>4607091387667</v>
      </c>
      <c r="E149" s="550"/>
      <c r="F149" s="544">
        <v>0.9</v>
      </c>
      <c r="G149" s="32">
        <v>10</v>
      </c>
      <c r="H149" s="544">
        <v>9</v>
      </c>
      <c r="I149" s="544">
        <v>9.56</v>
      </c>
      <c r="J149" s="32">
        <v>64</v>
      </c>
      <c r="K149" s="32" t="s">
        <v>105</v>
      </c>
      <c r="L149" s="32"/>
      <c r="M149" s="33" t="s">
        <v>107</v>
      </c>
      <c r="N149" s="33"/>
      <c r="O149" s="32">
        <v>40</v>
      </c>
      <c r="P149" s="86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2"/>
      <c r="R149" s="552"/>
      <c r="S149" s="552"/>
      <c r="T149" s="553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257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16.5" customHeight="1" x14ac:dyDescent="0.25">
      <c r="A150" s="54" t="s">
        <v>258</v>
      </c>
      <c r="B150" s="54" t="s">
        <v>259</v>
      </c>
      <c r="C150" s="31">
        <v>4301030961</v>
      </c>
      <c r="D150" s="549">
        <v>4607091387636</v>
      </c>
      <c r="E150" s="550"/>
      <c r="F150" s="544">
        <v>0.7</v>
      </c>
      <c r="G150" s="32">
        <v>6</v>
      </c>
      <c r="H150" s="544">
        <v>4.2</v>
      </c>
      <c r="I150" s="54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IFERROR(IF(Y150=0,"",ROUNDUP(Y150/H150,0)*0.00651),"")</f>
        <v/>
      </c>
      <c r="AA150" s="56"/>
      <c r="AB150" s="57"/>
      <c r="AC150" s="191" t="s">
        <v>260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261</v>
      </c>
      <c r="B151" s="54" t="s">
        <v>262</v>
      </c>
      <c r="C151" s="31">
        <v>4301030963</v>
      </c>
      <c r="D151" s="549">
        <v>4607091382426</v>
      </c>
      <c r="E151" s="550"/>
      <c r="F151" s="544">
        <v>0.9</v>
      </c>
      <c r="G151" s="32">
        <v>10</v>
      </c>
      <c r="H151" s="544">
        <v>9</v>
      </c>
      <c r="I151" s="544">
        <v>9.56</v>
      </c>
      <c r="J151" s="32">
        <v>64</v>
      </c>
      <c r="K151" s="32" t="s">
        <v>105</v>
      </c>
      <c r="L151" s="32"/>
      <c r="M151" s="33" t="s">
        <v>68</v>
      </c>
      <c r="N151" s="33"/>
      <c r="O151" s="32">
        <v>40</v>
      </c>
      <c r="P151" s="8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8"/>
      <c r="B152" s="558"/>
      <c r="C152" s="558"/>
      <c r="D152" s="558"/>
      <c r="E152" s="558"/>
      <c r="F152" s="558"/>
      <c r="G152" s="558"/>
      <c r="H152" s="558"/>
      <c r="I152" s="558"/>
      <c r="J152" s="558"/>
      <c r="K152" s="558"/>
      <c r="L152" s="558"/>
      <c r="M152" s="558"/>
      <c r="N152" s="558"/>
      <c r="O152" s="569"/>
      <c r="P152" s="561" t="s">
        <v>75</v>
      </c>
      <c r="Q152" s="562"/>
      <c r="R152" s="562"/>
      <c r="S152" s="562"/>
      <c r="T152" s="562"/>
      <c r="U152" s="562"/>
      <c r="V152" s="563"/>
      <c r="W152" s="37" t="s">
        <v>76</v>
      </c>
      <c r="X152" s="547">
        <f>IFERROR(X149/H149,"0")+IFERROR(X150/H150,"0")+IFERROR(X151/H151,"0")</f>
        <v>0</v>
      </c>
      <c r="Y152" s="547">
        <f>IFERROR(Y149/H149,"0")+IFERROR(Y150/H150,"0")+IFERROR(Y151/H151,"0")</f>
        <v>0</v>
      </c>
      <c r="Z152" s="547">
        <f>IFERROR(IF(Z149="",0,Z149),"0")+IFERROR(IF(Z150="",0,Z150),"0")+IFERROR(IF(Z151="",0,Z151),"0")</f>
        <v>0</v>
      </c>
      <c r="AA152" s="548"/>
      <c r="AB152" s="548"/>
      <c r="AC152" s="548"/>
    </row>
    <row r="153" spans="1:68" x14ac:dyDescent="0.2">
      <c r="A153" s="558"/>
      <c r="B153" s="558"/>
      <c r="C153" s="558"/>
      <c r="D153" s="558"/>
      <c r="E153" s="558"/>
      <c r="F153" s="558"/>
      <c r="G153" s="558"/>
      <c r="H153" s="558"/>
      <c r="I153" s="558"/>
      <c r="J153" s="558"/>
      <c r="K153" s="558"/>
      <c r="L153" s="558"/>
      <c r="M153" s="558"/>
      <c r="N153" s="558"/>
      <c r="O153" s="569"/>
      <c r="P153" s="561" t="s">
        <v>75</v>
      </c>
      <c r="Q153" s="562"/>
      <c r="R153" s="562"/>
      <c r="S153" s="562"/>
      <c r="T153" s="562"/>
      <c r="U153" s="562"/>
      <c r="V153" s="563"/>
      <c r="W153" s="37" t="s">
        <v>69</v>
      </c>
      <c r="X153" s="547">
        <f>IFERROR(SUM(X149:X151),"0")</f>
        <v>0</v>
      </c>
      <c r="Y153" s="547">
        <f>IFERROR(SUM(Y149:Y151),"0")</f>
        <v>0</v>
      </c>
      <c r="Z153" s="37"/>
      <c r="AA153" s="548"/>
      <c r="AB153" s="548"/>
      <c r="AC153" s="548"/>
    </row>
    <row r="154" spans="1:68" ht="14.25" customHeight="1" x14ac:dyDescent="0.25">
      <c r="A154" s="557" t="s">
        <v>77</v>
      </c>
      <c r="B154" s="558"/>
      <c r="C154" s="558"/>
      <c r="D154" s="558"/>
      <c r="E154" s="558"/>
      <c r="F154" s="558"/>
      <c r="G154" s="558"/>
      <c r="H154" s="558"/>
      <c r="I154" s="558"/>
      <c r="J154" s="558"/>
      <c r="K154" s="558"/>
      <c r="L154" s="558"/>
      <c r="M154" s="558"/>
      <c r="N154" s="558"/>
      <c r="O154" s="558"/>
      <c r="P154" s="558"/>
      <c r="Q154" s="558"/>
      <c r="R154" s="558"/>
      <c r="S154" s="558"/>
      <c r="T154" s="558"/>
      <c r="U154" s="558"/>
      <c r="V154" s="558"/>
      <c r="W154" s="558"/>
      <c r="X154" s="558"/>
      <c r="Y154" s="558"/>
      <c r="Z154" s="558"/>
      <c r="AA154" s="541"/>
      <c r="AB154" s="541"/>
      <c r="AC154" s="541"/>
    </row>
    <row r="155" spans="1:68" ht="27" customHeight="1" x14ac:dyDescent="0.25">
      <c r="A155" s="54" t="s">
        <v>264</v>
      </c>
      <c r="B155" s="54" t="s">
        <v>265</v>
      </c>
      <c r="C155" s="31">
        <v>4301052064</v>
      </c>
      <c r="D155" s="549">
        <v>4680115887459</v>
      </c>
      <c r="E155" s="550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6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266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8"/>
      <c r="B156" s="558"/>
      <c r="C156" s="558"/>
      <c r="D156" s="558"/>
      <c r="E156" s="558"/>
      <c r="F156" s="558"/>
      <c r="G156" s="558"/>
      <c r="H156" s="558"/>
      <c r="I156" s="558"/>
      <c r="J156" s="558"/>
      <c r="K156" s="558"/>
      <c r="L156" s="558"/>
      <c r="M156" s="558"/>
      <c r="N156" s="558"/>
      <c r="O156" s="569"/>
      <c r="P156" s="561" t="s">
        <v>75</v>
      </c>
      <c r="Q156" s="562"/>
      <c r="R156" s="562"/>
      <c r="S156" s="562"/>
      <c r="T156" s="562"/>
      <c r="U156" s="562"/>
      <c r="V156" s="563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x14ac:dyDescent="0.2">
      <c r="A157" s="558"/>
      <c r="B157" s="558"/>
      <c r="C157" s="558"/>
      <c r="D157" s="558"/>
      <c r="E157" s="558"/>
      <c r="F157" s="558"/>
      <c r="G157" s="558"/>
      <c r="H157" s="558"/>
      <c r="I157" s="558"/>
      <c r="J157" s="558"/>
      <c r="K157" s="558"/>
      <c r="L157" s="558"/>
      <c r="M157" s="558"/>
      <c r="N157" s="558"/>
      <c r="O157" s="569"/>
      <c r="P157" s="561" t="s">
        <v>75</v>
      </c>
      <c r="Q157" s="562"/>
      <c r="R157" s="562"/>
      <c r="S157" s="562"/>
      <c r="T157" s="562"/>
      <c r="U157" s="562"/>
      <c r="V157" s="563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customHeight="1" x14ac:dyDescent="0.2">
      <c r="A158" s="597" t="s">
        <v>267</v>
      </c>
      <c r="B158" s="598"/>
      <c r="C158" s="598"/>
      <c r="D158" s="598"/>
      <c r="E158" s="598"/>
      <c r="F158" s="598"/>
      <c r="G158" s="598"/>
      <c r="H158" s="598"/>
      <c r="I158" s="598"/>
      <c r="J158" s="598"/>
      <c r="K158" s="598"/>
      <c r="L158" s="598"/>
      <c r="M158" s="598"/>
      <c r="N158" s="598"/>
      <c r="O158" s="598"/>
      <c r="P158" s="598"/>
      <c r="Q158" s="598"/>
      <c r="R158" s="598"/>
      <c r="S158" s="598"/>
      <c r="T158" s="598"/>
      <c r="U158" s="598"/>
      <c r="V158" s="598"/>
      <c r="W158" s="598"/>
      <c r="X158" s="598"/>
      <c r="Y158" s="598"/>
      <c r="Z158" s="598"/>
      <c r="AA158" s="48"/>
      <c r="AB158" s="48"/>
      <c r="AC158" s="48"/>
    </row>
    <row r="159" spans="1:68" ht="16.5" customHeight="1" x14ac:dyDescent="0.25">
      <c r="A159" s="591" t="s">
        <v>268</v>
      </c>
      <c r="B159" s="558"/>
      <c r="C159" s="558"/>
      <c r="D159" s="558"/>
      <c r="E159" s="558"/>
      <c r="F159" s="558"/>
      <c r="G159" s="558"/>
      <c r="H159" s="558"/>
      <c r="I159" s="558"/>
      <c r="J159" s="558"/>
      <c r="K159" s="558"/>
      <c r="L159" s="558"/>
      <c r="M159" s="558"/>
      <c r="N159" s="558"/>
      <c r="O159" s="558"/>
      <c r="P159" s="558"/>
      <c r="Q159" s="558"/>
      <c r="R159" s="558"/>
      <c r="S159" s="558"/>
      <c r="T159" s="558"/>
      <c r="U159" s="558"/>
      <c r="V159" s="558"/>
      <c r="W159" s="558"/>
      <c r="X159" s="558"/>
      <c r="Y159" s="558"/>
      <c r="Z159" s="558"/>
      <c r="AA159" s="540"/>
      <c r="AB159" s="540"/>
      <c r="AC159" s="540"/>
    </row>
    <row r="160" spans="1:68" ht="14.25" customHeight="1" x14ac:dyDescent="0.25">
      <c r="A160" s="557" t="s">
        <v>138</v>
      </c>
      <c r="B160" s="558"/>
      <c r="C160" s="558"/>
      <c r="D160" s="558"/>
      <c r="E160" s="558"/>
      <c r="F160" s="558"/>
      <c r="G160" s="558"/>
      <c r="H160" s="558"/>
      <c r="I160" s="558"/>
      <c r="J160" s="558"/>
      <c r="K160" s="558"/>
      <c r="L160" s="558"/>
      <c r="M160" s="558"/>
      <c r="N160" s="558"/>
      <c r="O160" s="558"/>
      <c r="P160" s="558"/>
      <c r="Q160" s="558"/>
      <c r="R160" s="558"/>
      <c r="S160" s="558"/>
      <c r="T160" s="558"/>
      <c r="U160" s="558"/>
      <c r="V160" s="558"/>
      <c r="W160" s="558"/>
      <c r="X160" s="558"/>
      <c r="Y160" s="558"/>
      <c r="Z160" s="558"/>
      <c r="AA160" s="541"/>
      <c r="AB160" s="541"/>
      <c r="AC160" s="541"/>
    </row>
    <row r="161" spans="1:68" ht="27" customHeight="1" x14ac:dyDescent="0.25">
      <c r="A161" s="54" t="s">
        <v>269</v>
      </c>
      <c r="B161" s="54" t="s">
        <v>270</v>
      </c>
      <c r="C161" s="31">
        <v>4301020323</v>
      </c>
      <c r="D161" s="549">
        <v>4680115886223</v>
      </c>
      <c r="E161" s="550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271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8"/>
      <c r="B162" s="558"/>
      <c r="C162" s="558"/>
      <c r="D162" s="558"/>
      <c r="E162" s="558"/>
      <c r="F162" s="558"/>
      <c r="G162" s="558"/>
      <c r="H162" s="558"/>
      <c r="I162" s="558"/>
      <c r="J162" s="558"/>
      <c r="K162" s="558"/>
      <c r="L162" s="558"/>
      <c r="M162" s="558"/>
      <c r="N162" s="558"/>
      <c r="O162" s="569"/>
      <c r="P162" s="561" t="s">
        <v>75</v>
      </c>
      <c r="Q162" s="562"/>
      <c r="R162" s="562"/>
      <c r="S162" s="562"/>
      <c r="T162" s="562"/>
      <c r="U162" s="562"/>
      <c r="V162" s="563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x14ac:dyDescent="0.2">
      <c r="A163" s="558"/>
      <c r="B163" s="558"/>
      <c r="C163" s="558"/>
      <c r="D163" s="558"/>
      <c r="E163" s="558"/>
      <c r="F163" s="558"/>
      <c r="G163" s="558"/>
      <c r="H163" s="558"/>
      <c r="I163" s="558"/>
      <c r="J163" s="558"/>
      <c r="K163" s="558"/>
      <c r="L163" s="558"/>
      <c r="M163" s="558"/>
      <c r="N163" s="558"/>
      <c r="O163" s="569"/>
      <c r="P163" s="561" t="s">
        <v>75</v>
      </c>
      <c r="Q163" s="562"/>
      <c r="R163" s="562"/>
      <c r="S163" s="562"/>
      <c r="T163" s="562"/>
      <c r="U163" s="562"/>
      <c r="V163" s="563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customHeight="1" x14ac:dyDescent="0.25">
      <c r="A164" s="557" t="s">
        <v>64</v>
      </c>
      <c r="B164" s="558"/>
      <c r="C164" s="558"/>
      <c r="D164" s="558"/>
      <c r="E164" s="558"/>
      <c r="F164" s="558"/>
      <c r="G164" s="558"/>
      <c r="H164" s="558"/>
      <c r="I164" s="558"/>
      <c r="J164" s="558"/>
      <c r="K164" s="558"/>
      <c r="L164" s="558"/>
      <c r="M164" s="558"/>
      <c r="N164" s="558"/>
      <c r="O164" s="558"/>
      <c r="P164" s="558"/>
      <c r="Q164" s="558"/>
      <c r="R164" s="558"/>
      <c r="S164" s="558"/>
      <c r="T164" s="558"/>
      <c r="U164" s="558"/>
      <c r="V164" s="558"/>
      <c r="W164" s="558"/>
      <c r="X164" s="558"/>
      <c r="Y164" s="558"/>
      <c r="Z164" s="558"/>
      <c r="AA164" s="541"/>
      <c r="AB164" s="541"/>
      <c r="AC164" s="541"/>
    </row>
    <row r="165" spans="1:68" ht="37.5" customHeight="1" x14ac:dyDescent="0.25">
      <c r="A165" s="54" t="s">
        <v>272</v>
      </c>
      <c r="B165" s="54" t="s">
        <v>273</v>
      </c>
      <c r="C165" s="31">
        <v>4301031447</v>
      </c>
      <c r="D165" s="549">
        <v>4680115887565</v>
      </c>
      <c r="E165" s="550"/>
      <c r="F165" s="544">
        <v>0.08</v>
      </c>
      <c r="G165" s="32">
        <v>10</v>
      </c>
      <c r="H165" s="544">
        <v>0.8</v>
      </c>
      <c r="I165" s="544">
        <v>0.93</v>
      </c>
      <c r="J165" s="32">
        <v>216</v>
      </c>
      <c r="K165" s="32" t="s">
        <v>73</v>
      </c>
      <c r="L165" s="32"/>
      <c r="M165" s="33" t="s">
        <v>68</v>
      </c>
      <c r="N165" s="33"/>
      <c r="O165" s="32">
        <v>45</v>
      </c>
      <c r="P165" s="584" t="s">
        <v>274</v>
      </c>
      <c r="Q165" s="552"/>
      <c r="R165" s="552"/>
      <c r="S165" s="552"/>
      <c r="T165" s="553"/>
      <c r="U165" s="34"/>
      <c r="V165" s="34"/>
      <c r="W165" s="35" t="s">
        <v>69</v>
      </c>
      <c r="X165" s="545">
        <v>0</v>
      </c>
      <c r="Y165" s="546">
        <f t="shared" ref="Y165:Y176" si="5">IFERROR(IF(X165="",0,CEILING((X165/$H165),1)*$H165),"")</f>
        <v>0</v>
      </c>
      <c r="Z165" s="36" t="str">
        <f>IFERROR(IF(Y165=0,"",ROUNDUP(Y165/H165,0)*0.00556),"")</f>
        <v/>
      </c>
      <c r="AA165" s="56"/>
      <c r="AB165" s="57" t="s">
        <v>275</v>
      </c>
      <c r="AC165" s="199" t="s">
        <v>276</v>
      </c>
      <c r="AG165" s="64"/>
      <c r="AJ165" s="68"/>
      <c r="AK165" s="68">
        <v>0</v>
      </c>
      <c r="BB165" s="200" t="s">
        <v>1</v>
      </c>
      <c r="BM165" s="64">
        <f t="shared" ref="BM165:BM176" si="6">IFERROR(X165*I165/H165,"0")</f>
        <v>0</v>
      </c>
      <c r="BN165" s="64">
        <f t="shared" ref="BN165:BN176" si="7">IFERROR(Y165*I165/H165,"0")</f>
        <v>0</v>
      </c>
      <c r="BO165" s="64">
        <f t="shared" ref="BO165:BO176" si="8">IFERROR(1/J165*(X165/H165),"0")</f>
        <v>0</v>
      </c>
      <c r="BP165" s="64">
        <f t="shared" ref="BP165:BP176" si="9">IFERROR(1/J165*(Y165/H165),"0")</f>
        <v>0</v>
      </c>
    </row>
    <row r="166" spans="1:68" ht="27" customHeight="1" x14ac:dyDescent="0.25">
      <c r="A166" s="54" t="s">
        <v>277</v>
      </c>
      <c r="B166" s="54" t="s">
        <v>278</v>
      </c>
      <c r="C166" s="31">
        <v>4301031191</v>
      </c>
      <c r="D166" s="549">
        <v>4680115880993</v>
      </c>
      <c r="E166" s="550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112</v>
      </c>
      <c r="L166" s="32" t="s">
        <v>115</v>
      </c>
      <c r="M166" s="33" t="s">
        <v>68</v>
      </c>
      <c r="N166" s="33"/>
      <c r="O166" s="32">
        <v>40</v>
      </c>
      <c r="P166" s="6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52"/>
      <c r="R166" s="552"/>
      <c r="S166" s="552"/>
      <c r="T166" s="553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279</v>
      </c>
      <c r="AG166" s="64"/>
      <c r="AJ166" s="68" t="s">
        <v>109</v>
      </c>
      <c r="AK166" s="68">
        <v>50.4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280</v>
      </c>
      <c r="B167" s="54" t="s">
        <v>281</v>
      </c>
      <c r="C167" s="31">
        <v>4301031204</v>
      </c>
      <c r="D167" s="549">
        <v>4680115881761</v>
      </c>
      <c r="E167" s="550"/>
      <c r="F167" s="544">
        <v>0.7</v>
      </c>
      <c r="G167" s="32">
        <v>6</v>
      </c>
      <c r="H167" s="544">
        <v>4.2</v>
      </c>
      <c r="I167" s="544">
        <v>4.45</v>
      </c>
      <c r="J167" s="32">
        <v>132</v>
      </c>
      <c r="K167" s="32" t="s">
        <v>112</v>
      </c>
      <c r="L167" s="32"/>
      <c r="M167" s="33" t="s">
        <v>68</v>
      </c>
      <c r="N167" s="33"/>
      <c r="O167" s="32">
        <v>40</v>
      </c>
      <c r="P167" s="67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5">
        <v>0</v>
      </c>
      <c r="Y167" s="546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282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283</v>
      </c>
      <c r="B168" s="54" t="s">
        <v>284</v>
      </c>
      <c r="C168" s="31">
        <v>4301031201</v>
      </c>
      <c r="D168" s="549">
        <v>4680115881563</v>
      </c>
      <c r="E168" s="550"/>
      <c r="F168" s="544">
        <v>0.7</v>
      </c>
      <c r="G168" s="32">
        <v>6</v>
      </c>
      <c r="H168" s="544">
        <v>4.2</v>
      </c>
      <c r="I168" s="544">
        <v>4.3899999999999997</v>
      </c>
      <c r="J168" s="32">
        <v>132</v>
      </c>
      <c r="K168" s="32" t="s">
        <v>112</v>
      </c>
      <c r="L168" s="32" t="s">
        <v>115</v>
      </c>
      <c r="M168" s="33" t="s">
        <v>68</v>
      </c>
      <c r="N168" s="33"/>
      <c r="O168" s="32">
        <v>40</v>
      </c>
      <c r="P168" s="64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IFERROR(IF(Y168=0,"",ROUNDUP(Y168/H168,0)*0.00902),"")</f>
        <v/>
      </c>
      <c r="AA168" s="56"/>
      <c r="AB168" s="57"/>
      <c r="AC168" s="205" t="s">
        <v>285</v>
      </c>
      <c r="AG168" s="64"/>
      <c r="AJ168" s="68" t="s">
        <v>109</v>
      </c>
      <c r="AK168" s="68">
        <v>50.4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286</v>
      </c>
      <c r="B169" s="54" t="s">
        <v>287</v>
      </c>
      <c r="C169" s="31">
        <v>4301031199</v>
      </c>
      <c r="D169" s="549">
        <v>4680115880986</v>
      </c>
      <c r="E169" s="550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288</v>
      </c>
      <c r="M169" s="33" t="s">
        <v>68</v>
      </c>
      <c r="N169" s="33"/>
      <c r="O169" s="32">
        <v>40</v>
      </c>
      <c r="P169" s="67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279</v>
      </c>
      <c r="AG169" s="64"/>
      <c r="AJ169" s="68" t="s">
        <v>109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289</v>
      </c>
      <c r="B170" s="54" t="s">
        <v>290</v>
      </c>
      <c r="C170" s="31">
        <v>4301031443</v>
      </c>
      <c r="D170" s="549">
        <v>4680115887213</v>
      </c>
      <c r="E170" s="550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291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292</v>
      </c>
      <c r="B171" s="54" t="s">
        <v>293</v>
      </c>
      <c r="C171" s="31">
        <v>4301031205</v>
      </c>
      <c r="D171" s="549">
        <v>4680115881785</v>
      </c>
      <c r="E171" s="550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282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294</v>
      </c>
      <c r="B172" s="54" t="s">
        <v>295</v>
      </c>
      <c r="C172" s="31">
        <v>4301031399</v>
      </c>
      <c r="D172" s="549">
        <v>4680115886537</v>
      </c>
      <c r="E172" s="550"/>
      <c r="F172" s="544">
        <v>0.3</v>
      </c>
      <c r="G172" s="32">
        <v>6</v>
      </c>
      <c r="H172" s="544">
        <v>1.8</v>
      </c>
      <c r="I172" s="544">
        <v>1.93</v>
      </c>
      <c r="J172" s="32">
        <v>234</v>
      </c>
      <c r="K172" s="32" t="s">
        <v>73</v>
      </c>
      <c r="L172" s="32" t="s">
        <v>288</v>
      </c>
      <c r="M172" s="33" t="s">
        <v>68</v>
      </c>
      <c r="N172" s="33"/>
      <c r="O172" s="32">
        <v>40</v>
      </c>
      <c r="P172" s="57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IFERROR(IF(Y172=0,"",ROUNDUP(Y172/H172,0)*0.00502),"")</f>
        <v/>
      </c>
      <c r="AA172" s="56"/>
      <c r="AB172" s="57"/>
      <c r="AC172" s="213" t="s">
        <v>296</v>
      </c>
      <c r="AG172" s="64"/>
      <c r="AJ172" s="68" t="s">
        <v>109</v>
      </c>
      <c r="AK172" s="68">
        <v>32.4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297</v>
      </c>
      <c r="B173" s="54" t="s">
        <v>298</v>
      </c>
      <c r="C173" s="31">
        <v>4301031279</v>
      </c>
      <c r="D173" s="549">
        <v>4680115887596</v>
      </c>
      <c r="E173" s="550"/>
      <c r="F173" s="544">
        <v>0.08</v>
      </c>
      <c r="G173" s="32">
        <v>10</v>
      </c>
      <c r="H173" s="544">
        <v>0.8</v>
      </c>
      <c r="I173" s="544">
        <v>1.01</v>
      </c>
      <c r="J173" s="32">
        <v>336</v>
      </c>
      <c r="K173" s="32" t="s">
        <v>179</v>
      </c>
      <c r="L173" s="32"/>
      <c r="M173" s="33" t="s">
        <v>68</v>
      </c>
      <c r="N173" s="33"/>
      <c r="O173" s="32">
        <v>45</v>
      </c>
      <c r="P173" s="610" t="s">
        <v>299</v>
      </c>
      <c r="Q173" s="552"/>
      <c r="R173" s="552"/>
      <c r="S173" s="552"/>
      <c r="T173" s="553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IFERROR(IF(Y173=0,"",ROUNDUP(Y173/H173,0)*0.00417),"")</f>
        <v/>
      </c>
      <c r="AA173" s="56"/>
      <c r="AB173" s="57"/>
      <c r="AC173" s="215" t="s">
        <v>300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37.5" customHeight="1" x14ac:dyDescent="0.25">
      <c r="A174" s="54" t="s">
        <v>301</v>
      </c>
      <c r="B174" s="54" t="s">
        <v>302</v>
      </c>
      <c r="C174" s="31">
        <v>4301031202</v>
      </c>
      <c r="D174" s="549">
        <v>4680115881679</v>
      </c>
      <c r="E174" s="550"/>
      <c r="F174" s="544">
        <v>0.35</v>
      </c>
      <c r="G174" s="32">
        <v>6</v>
      </c>
      <c r="H174" s="544">
        <v>2.1</v>
      </c>
      <c r="I174" s="544">
        <v>2.2000000000000002</v>
      </c>
      <c r="J174" s="32">
        <v>234</v>
      </c>
      <c r="K174" s="32" t="s">
        <v>73</v>
      </c>
      <c r="L174" s="32" t="s">
        <v>288</v>
      </c>
      <c r="M174" s="33" t="s">
        <v>68</v>
      </c>
      <c r="N174" s="33"/>
      <c r="O174" s="32">
        <v>40</v>
      </c>
      <c r="P174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4" s="552"/>
      <c r="R174" s="552"/>
      <c r="S174" s="552"/>
      <c r="T174" s="553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285</v>
      </c>
      <c r="AG174" s="64"/>
      <c r="AJ174" s="68" t="s">
        <v>109</v>
      </c>
      <c r="AK174" s="68">
        <v>37.799999999999997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303</v>
      </c>
      <c r="B175" s="54" t="s">
        <v>304</v>
      </c>
      <c r="C175" s="31">
        <v>4301031158</v>
      </c>
      <c r="D175" s="549">
        <v>4680115880191</v>
      </c>
      <c r="E175" s="550"/>
      <c r="F175" s="544">
        <v>0.4</v>
      </c>
      <c r="G175" s="32">
        <v>6</v>
      </c>
      <c r="H175" s="544">
        <v>2.4</v>
      </c>
      <c r="I175" s="544">
        <v>2.58</v>
      </c>
      <c r="J175" s="32">
        <v>182</v>
      </c>
      <c r="K175" s="32" t="s">
        <v>67</v>
      </c>
      <c r="L175" s="32"/>
      <c r="M175" s="33" t="s">
        <v>68</v>
      </c>
      <c r="N175" s="33"/>
      <c r="O175" s="32">
        <v>40</v>
      </c>
      <c r="P175" s="78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5" s="552"/>
      <c r="R175" s="552"/>
      <c r="S175" s="552"/>
      <c r="T175" s="553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IFERROR(IF(Y175=0,"",ROUNDUP(Y175/H175,0)*0.00651),"")</f>
        <v/>
      </c>
      <c r="AA175" s="56"/>
      <c r="AB175" s="57"/>
      <c r="AC175" s="219" t="s">
        <v>285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27" customHeight="1" x14ac:dyDescent="0.25">
      <c r="A176" s="54" t="s">
        <v>305</v>
      </c>
      <c r="B176" s="54" t="s">
        <v>306</v>
      </c>
      <c r="C176" s="31">
        <v>4301031245</v>
      </c>
      <c r="D176" s="549">
        <v>4680115883963</v>
      </c>
      <c r="E176" s="550"/>
      <c r="F176" s="544">
        <v>0.28000000000000003</v>
      </c>
      <c r="G176" s="32">
        <v>6</v>
      </c>
      <c r="H176" s="544">
        <v>1.68</v>
      </c>
      <c r="I176" s="544">
        <v>1.78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6" s="552"/>
      <c r="R176" s="552"/>
      <c r="S176" s="552"/>
      <c r="T176" s="553"/>
      <c r="U176" s="34"/>
      <c r="V176" s="34"/>
      <c r="W176" s="35" t="s">
        <v>69</v>
      </c>
      <c r="X176" s="545">
        <v>0</v>
      </c>
      <c r="Y176" s="546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307</v>
      </c>
      <c r="AG176" s="64"/>
      <c r="AJ176" s="68"/>
      <c r="AK176" s="68">
        <v>0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x14ac:dyDescent="0.2">
      <c r="A177" s="568"/>
      <c r="B177" s="558"/>
      <c r="C177" s="558"/>
      <c r="D177" s="558"/>
      <c r="E177" s="558"/>
      <c r="F177" s="558"/>
      <c r="G177" s="558"/>
      <c r="H177" s="558"/>
      <c r="I177" s="558"/>
      <c r="J177" s="558"/>
      <c r="K177" s="558"/>
      <c r="L177" s="558"/>
      <c r="M177" s="558"/>
      <c r="N177" s="558"/>
      <c r="O177" s="569"/>
      <c r="P177" s="561" t="s">
        <v>75</v>
      </c>
      <c r="Q177" s="562"/>
      <c r="R177" s="562"/>
      <c r="S177" s="562"/>
      <c r="T177" s="562"/>
      <c r="U177" s="562"/>
      <c r="V177" s="563"/>
      <c r="W177" s="37" t="s">
        <v>76</v>
      </c>
      <c r="X177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</f>
        <v>0</v>
      </c>
      <c r="Y177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</f>
        <v>0</v>
      </c>
      <c r="Z177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</f>
        <v>0</v>
      </c>
      <c r="AA177" s="548"/>
      <c r="AB177" s="548"/>
      <c r="AC177" s="548"/>
    </row>
    <row r="178" spans="1:68" x14ac:dyDescent="0.2">
      <c r="A178" s="558"/>
      <c r="B178" s="558"/>
      <c r="C178" s="558"/>
      <c r="D178" s="558"/>
      <c r="E178" s="558"/>
      <c r="F178" s="558"/>
      <c r="G178" s="558"/>
      <c r="H178" s="558"/>
      <c r="I178" s="558"/>
      <c r="J178" s="558"/>
      <c r="K178" s="558"/>
      <c r="L178" s="558"/>
      <c r="M178" s="558"/>
      <c r="N178" s="558"/>
      <c r="O178" s="569"/>
      <c r="P178" s="561" t="s">
        <v>75</v>
      </c>
      <c r="Q178" s="562"/>
      <c r="R178" s="562"/>
      <c r="S178" s="562"/>
      <c r="T178" s="562"/>
      <c r="U178" s="562"/>
      <c r="V178" s="563"/>
      <c r="W178" s="37" t="s">
        <v>69</v>
      </c>
      <c r="X178" s="547">
        <f>IFERROR(SUM(X165:X176),"0")</f>
        <v>0</v>
      </c>
      <c r="Y178" s="547">
        <f>IFERROR(SUM(Y165:Y176),"0")</f>
        <v>0</v>
      </c>
      <c r="Z178" s="37"/>
      <c r="AA178" s="548"/>
      <c r="AB178" s="548"/>
      <c r="AC178" s="548"/>
    </row>
    <row r="179" spans="1:68" ht="14.25" customHeight="1" x14ac:dyDescent="0.25">
      <c r="A179" s="557" t="s">
        <v>94</v>
      </c>
      <c r="B179" s="558"/>
      <c r="C179" s="558"/>
      <c r="D179" s="558"/>
      <c r="E179" s="558"/>
      <c r="F179" s="558"/>
      <c r="G179" s="558"/>
      <c r="H179" s="558"/>
      <c r="I179" s="558"/>
      <c r="J179" s="558"/>
      <c r="K179" s="558"/>
      <c r="L179" s="558"/>
      <c r="M179" s="558"/>
      <c r="N179" s="558"/>
      <c r="O179" s="558"/>
      <c r="P179" s="558"/>
      <c r="Q179" s="558"/>
      <c r="R179" s="558"/>
      <c r="S179" s="558"/>
      <c r="T179" s="558"/>
      <c r="U179" s="558"/>
      <c r="V179" s="558"/>
      <c r="W179" s="558"/>
      <c r="X179" s="558"/>
      <c r="Y179" s="558"/>
      <c r="Z179" s="558"/>
      <c r="AA179" s="541"/>
      <c r="AB179" s="541"/>
      <c r="AC179" s="541"/>
    </row>
    <row r="180" spans="1:68" ht="27" customHeight="1" x14ac:dyDescent="0.25">
      <c r="A180" s="54" t="s">
        <v>308</v>
      </c>
      <c r="B180" s="54" t="s">
        <v>309</v>
      </c>
      <c r="C180" s="31">
        <v>4301032053</v>
      </c>
      <c r="D180" s="549">
        <v>4680115886780</v>
      </c>
      <c r="E180" s="550"/>
      <c r="F180" s="544">
        <v>7.0000000000000007E-2</v>
      </c>
      <c r="G180" s="32">
        <v>18</v>
      </c>
      <c r="H180" s="544">
        <v>1.26</v>
      </c>
      <c r="I180" s="544">
        <v>1.45</v>
      </c>
      <c r="J180" s="32">
        <v>216</v>
      </c>
      <c r="K180" s="32" t="s">
        <v>310</v>
      </c>
      <c r="L180" s="32"/>
      <c r="M180" s="33" t="s">
        <v>311</v>
      </c>
      <c r="N180" s="33"/>
      <c r="O180" s="32">
        <v>60</v>
      </c>
      <c r="P180" s="67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0" s="552"/>
      <c r="R180" s="552"/>
      <c r="S180" s="552"/>
      <c r="T180" s="553"/>
      <c r="U180" s="34"/>
      <c r="V180" s="34"/>
      <c r="W180" s="35" t="s">
        <v>69</v>
      </c>
      <c r="X180" s="545">
        <v>0</v>
      </c>
      <c r="Y180" s="546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23" t="s">
        <v>312</v>
      </c>
      <c r="AG180" s="64"/>
      <c r="AJ180" s="68"/>
      <c r="AK180" s="68">
        <v>0</v>
      </c>
      <c r="BB180" s="224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t="27" customHeight="1" x14ac:dyDescent="0.25">
      <c r="A181" s="54" t="s">
        <v>313</v>
      </c>
      <c r="B181" s="54" t="s">
        <v>314</v>
      </c>
      <c r="C181" s="31">
        <v>4301032051</v>
      </c>
      <c r="D181" s="549">
        <v>4680115886742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310</v>
      </c>
      <c r="L181" s="32"/>
      <c r="M181" s="33" t="s">
        <v>311</v>
      </c>
      <c r="N181" s="33"/>
      <c r="O181" s="32">
        <v>90</v>
      </c>
      <c r="P181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69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25" t="s">
        <v>315</v>
      </c>
      <c r="AG181" s="64"/>
      <c r="AJ181" s="68"/>
      <c r="AK181" s="68">
        <v>0</v>
      </c>
      <c r="BB181" s="226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316</v>
      </c>
      <c r="B182" s="54" t="s">
        <v>317</v>
      </c>
      <c r="C182" s="31">
        <v>4301032052</v>
      </c>
      <c r="D182" s="549">
        <v>4680115886766</v>
      </c>
      <c r="E182" s="550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310</v>
      </c>
      <c r="L182" s="32"/>
      <c r="M182" s="33" t="s">
        <v>311</v>
      </c>
      <c r="N182" s="33"/>
      <c r="O182" s="32">
        <v>90</v>
      </c>
      <c r="P182" s="6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x14ac:dyDescent="0.2">
      <c r="A183" s="568"/>
      <c r="B183" s="558"/>
      <c r="C183" s="558"/>
      <c r="D183" s="558"/>
      <c r="E183" s="558"/>
      <c r="F183" s="558"/>
      <c r="G183" s="558"/>
      <c r="H183" s="558"/>
      <c r="I183" s="558"/>
      <c r="J183" s="558"/>
      <c r="K183" s="558"/>
      <c r="L183" s="558"/>
      <c r="M183" s="558"/>
      <c r="N183" s="558"/>
      <c r="O183" s="569"/>
      <c r="P183" s="561" t="s">
        <v>75</v>
      </c>
      <c r="Q183" s="562"/>
      <c r="R183" s="562"/>
      <c r="S183" s="562"/>
      <c r="T183" s="562"/>
      <c r="U183" s="562"/>
      <c r="V183" s="563"/>
      <c r="W183" s="37" t="s">
        <v>76</v>
      </c>
      <c r="X183" s="547">
        <f>IFERROR(X180/H180,"0")+IFERROR(X181/H181,"0")+IFERROR(X182/H182,"0")</f>
        <v>0</v>
      </c>
      <c r="Y183" s="547">
        <f>IFERROR(Y180/H180,"0")+IFERROR(Y181/H181,"0")+IFERROR(Y182/H182,"0")</f>
        <v>0</v>
      </c>
      <c r="Z183" s="547">
        <f>IFERROR(IF(Z180="",0,Z180),"0")+IFERROR(IF(Z181="",0,Z181),"0")+IFERROR(IF(Z182="",0,Z182),"0")</f>
        <v>0</v>
      </c>
      <c r="AA183" s="548"/>
      <c r="AB183" s="548"/>
      <c r="AC183" s="548"/>
    </row>
    <row r="184" spans="1:68" x14ac:dyDescent="0.2">
      <c r="A184" s="558"/>
      <c r="B184" s="558"/>
      <c r="C184" s="558"/>
      <c r="D184" s="558"/>
      <c r="E184" s="558"/>
      <c r="F184" s="558"/>
      <c r="G184" s="558"/>
      <c r="H184" s="558"/>
      <c r="I184" s="558"/>
      <c r="J184" s="558"/>
      <c r="K184" s="558"/>
      <c r="L184" s="558"/>
      <c r="M184" s="558"/>
      <c r="N184" s="558"/>
      <c r="O184" s="569"/>
      <c r="P184" s="561" t="s">
        <v>75</v>
      </c>
      <c r="Q184" s="562"/>
      <c r="R184" s="562"/>
      <c r="S184" s="562"/>
      <c r="T184" s="562"/>
      <c r="U184" s="562"/>
      <c r="V184" s="563"/>
      <c r="W184" s="37" t="s">
        <v>69</v>
      </c>
      <c r="X184" s="547">
        <f>IFERROR(SUM(X180:X182),"0")</f>
        <v>0</v>
      </c>
      <c r="Y184" s="547">
        <f>IFERROR(SUM(Y180:Y182),"0")</f>
        <v>0</v>
      </c>
      <c r="Z184" s="37"/>
      <c r="AA184" s="548"/>
      <c r="AB184" s="548"/>
      <c r="AC184" s="548"/>
    </row>
    <row r="185" spans="1:68" ht="14.25" customHeight="1" x14ac:dyDescent="0.25">
      <c r="A185" s="557" t="s">
        <v>318</v>
      </c>
      <c r="B185" s="558"/>
      <c r="C185" s="558"/>
      <c r="D185" s="558"/>
      <c r="E185" s="558"/>
      <c r="F185" s="558"/>
      <c r="G185" s="558"/>
      <c r="H185" s="558"/>
      <c r="I185" s="558"/>
      <c r="J185" s="558"/>
      <c r="K185" s="558"/>
      <c r="L185" s="558"/>
      <c r="M185" s="558"/>
      <c r="N185" s="558"/>
      <c r="O185" s="558"/>
      <c r="P185" s="558"/>
      <c r="Q185" s="558"/>
      <c r="R185" s="558"/>
      <c r="S185" s="558"/>
      <c r="T185" s="558"/>
      <c r="U185" s="558"/>
      <c r="V185" s="558"/>
      <c r="W185" s="558"/>
      <c r="X185" s="558"/>
      <c r="Y185" s="558"/>
      <c r="Z185" s="558"/>
      <c r="AA185" s="541"/>
      <c r="AB185" s="541"/>
      <c r="AC185" s="541"/>
    </row>
    <row r="186" spans="1:68" ht="27" customHeight="1" x14ac:dyDescent="0.25">
      <c r="A186" s="54" t="s">
        <v>319</v>
      </c>
      <c r="B186" s="54" t="s">
        <v>320</v>
      </c>
      <c r="C186" s="31">
        <v>4301170013</v>
      </c>
      <c r="D186" s="549">
        <v>4680115886797</v>
      </c>
      <c r="E186" s="550"/>
      <c r="F186" s="544">
        <v>7.0000000000000007E-2</v>
      </c>
      <c r="G186" s="32">
        <v>18</v>
      </c>
      <c r="H186" s="544">
        <v>1.26</v>
      </c>
      <c r="I186" s="544">
        <v>1.45</v>
      </c>
      <c r="J186" s="32">
        <v>216</v>
      </c>
      <c r="K186" s="32" t="s">
        <v>310</v>
      </c>
      <c r="L186" s="32"/>
      <c r="M186" s="33" t="s">
        <v>311</v>
      </c>
      <c r="N186" s="33"/>
      <c r="O186" s="32">
        <v>90</v>
      </c>
      <c r="P186" s="83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6" s="552"/>
      <c r="R186" s="552"/>
      <c r="S186" s="552"/>
      <c r="T186" s="553"/>
      <c r="U186" s="34"/>
      <c r="V186" s="34"/>
      <c r="W186" s="35" t="s">
        <v>69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29" t="s">
        <v>315</v>
      </c>
      <c r="AG186" s="64"/>
      <c r="AJ186" s="68"/>
      <c r="AK186" s="68">
        <v>0</v>
      </c>
      <c r="BB186" s="230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8"/>
      <c r="B187" s="558"/>
      <c r="C187" s="558"/>
      <c r="D187" s="558"/>
      <c r="E187" s="558"/>
      <c r="F187" s="558"/>
      <c r="G187" s="558"/>
      <c r="H187" s="558"/>
      <c r="I187" s="558"/>
      <c r="J187" s="558"/>
      <c r="K187" s="558"/>
      <c r="L187" s="558"/>
      <c r="M187" s="558"/>
      <c r="N187" s="558"/>
      <c r="O187" s="569"/>
      <c r="P187" s="561" t="s">
        <v>75</v>
      </c>
      <c r="Q187" s="562"/>
      <c r="R187" s="562"/>
      <c r="S187" s="562"/>
      <c r="T187" s="562"/>
      <c r="U187" s="562"/>
      <c r="V187" s="563"/>
      <c r="W187" s="37" t="s">
        <v>76</v>
      </c>
      <c r="X187" s="547">
        <f>IFERROR(X186/H186,"0")</f>
        <v>0</v>
      </c>
      <c r="Y187" s="547">
        <f>IFERROR(Y186/H186,"0")</f>
        <v>0</v>
      </c>
      <c r="Z187" s="547">
        <f>IFERROR(IF(Z186="",0,Z186),"0")</f>
        <v>0</v>
      </c>
      <c r="AA187" s="548"/>
      <c r="AB187" s="548"/>
      <c r="AC187" s="548"/>
    </row>
    <row r="188" spans="1:68" x14ac:dyDescent="0.2">
      <c r="A188" s="558"/>
      <c r="B188" s="558"/>
      <c r="C188" s="558"/>
      <c r="D188" s="558"/>
      <c r="E188" s="558"/>
      <c r="F188" s="558"/>
      <c r="G188" s="558"/>
      <c r="H188" s="558"/>
      <c r="I188" s="558"/>
      <c r="J188" s="558"/>
      <c r="K188" s="558"/>
      <c r="L188" s="558"/>
      <c r="M188" s="558"/>
      <c r="N188" s="558"/>
      <c r="O188" s="569"/>
      <c r="P188" s="561" t="s">
        <v>75</v>
      </c>
      <c r="Q188" s="562"/>
      <c r="R188" s="562"/>
      <c r="S188" s="562"/>
      <c r="T188" s="562"/>
      <c r="U188" s="562"/>
      <c r="V188" s="563"/>
      <c r="W188" s="37" t="s">
        <v>69</v>
      </c>
      <c r="X188" s="547">
        <f>IFERROR(SUM(X186:X186),"0")</f>
        <v>0</v>
      </c>
      <c r="Y188" s="547">
        <f>IFERROR(SUM(Y186:Y186),"0")</f>
        <v>0</v>
      </c>
      <c r="Z188" s="37"/>
      <c r="AA188" s="548"/>
      <c r="AB188" s="548"/>
      <c r="AC188" s="548"/>
    </row>
    <row r="189" spans="1:68" ht="16.5" customHeight="1" x14ac:dyDescent="0.25">
      <c r="A189" s="591" t="s">
        <v>321</v>
      </c>
      <c r="B189" s="558"/>
      <c r="C189" s="558"/>
      <c r="D189" s="558"/>
      <c r="E189" s="558"/>
      <c r="F189" s="558"/>
      <c r="G189" s="558"/>
      <c r="H189" s="558"/>
      <c r="I189" s="558"/>
      <c r="J189" s="558"/>
      <c r="K189" s="558"/>
      <c r="L189" s="558"/>
      <c r="M189" s="558"/>
      <c r="N189" s="558"/>
      <c r="O189" s="558"/>
      <c r="P189" s="558"/>
      <c r="Q189" s="558"/>
      <c r="R189" s="558"/>
      <c r="S189" s="558"/>
      <c r="T189" s="558"/>
      <c r="U189" s="558"/>
      <c r="V189" s="558"/>
      <c r="W189" s="558"/>
      <c r="X189" s="558"/>
      <c r="Y189" s="558"/>
      <c r="Z189" s="558"/>
      <c r="AA189" s="540"/>
      <c r="AB189" s="540"/>
      <c r="AC189" s="540"/>
    </row>
    <row r="190" spans="1:68" ht="14.25" customHeight="1" x14ac:dyDescent="0.25">
      <c r="A190" s="557" t="s">
        <v>102</v>
      </c>
      <c r="B190" s="558"/>
      <c r="C190" s="558"/>
      <c r="D190" s="558"/>
      <c r="E190" s="558"/>
      <c r="F190" s="558"/>
      <c r="G190" s="558"/>
      <c r="H190" s="558"/>
      <c r="I190" s="558"/>
      <c r="J190" s="558"/>
      <c r="K190" s="558"/>
      <c r="L190" s="558"/>
      <c r="M190" s="558"/>
      <c r="N190" s="558"/>
      <c r="O190" s="558"/>
      <c r="P190" s="558"/>
      <c r="Q190" s="558"/>
      <c r="R190" s="558"/>
      <c r="S190" s="558"/>
      <c r="T190" s="558"/>
      <c r="U190" s="558"/>
      <c r="V190" s="558"/>
      <c r="W190" s="558"/>
      <c r="X190" s="558"/>
      <c r="Y190" s="558"/>
      <c r="Z190" s="558"/>
      <c r="AA190" s="541"/>
      <c r="AB190" s="541"/>
      <c r="AC190" s="541"/>
    </row>
    <row r="191" spans="1:68" ht="27" customHeight="1" x14ac:dyDescent="0.25">
      <c r="A191" s="54" t="s">
        <v>322</v>
      </c>
      <c r="B191" s="54" t="s">
        <v>323</v>
      </c>
      <c r="C191" s="31">
        <v>4301011450</v>
      </c>
      <c r="D191" s="549">
        <v>4680115881402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105</v>
      </c>
      <c r="L191" s="32"/>
      <c r="M191" s="33" t="s">
        <v>107</v>
      </c>
      <c r="N191" s="33"/>
      <c r="O191" s="32">
        <v>55</v>
      </c>
      <c r="P191" s="82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69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31" t="s">
        <v>324</v>
      </c>
      <c r="AG191" s="64"/>
      <c r="AJ191" s="68"/>
      <c r="AK191" s="68">
        <v>0</v>
      </c>
      <c r="BB191" s="232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325</v>
      </c>
      <c r="B192" s="54" t="s">
        <v>326</v>
      </c>
      <c r="C192" s="31">
        <v>4301011768</v>
      </c>
      <c r="D192" s="549">
        <v>4680115881396</v>
      </c>
      <c r="E192" s="550"/>
      <c r="F192" s="544">
        <v>0.45</v>
      </c>
      <c r="G192" s="32">
        <v>6</v>
      </c>
      <c r="H192" s="544">
        <v>2.7</v>
      </c>
      <c r="I192" s="544">
        <v>2.88</v>
      </c>
      <c r="J192" s="32">
        <v>182</v>
      </c>
      <c r="K192" s="32" t="s">
        <v>67</v>
      </c>
      <c r="L192" s="32"/>
      <c r="M192" s="33" t="s">
        <v>107</v>
      </c>
      <c r="N192" s="33"/>
      <c r="O192" s="32">
        <v>55</v>
      </c>
      <c r="P192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552"/>
      <c r="R192" s="552"/>
      <c r="S192" s="552"/>
      <c r="T192" s="553"/>
      <c r="U192" s="34"/>
      <c r="V192" s="34"/>
      <c r="W192" s="35" t="s">
        <v>69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33" t="s">
        <v>324</v>
      </c>
      <c r="AG192" s="64"/>
      <c r="AJ192" s="68"/>
      <c r="AK192" s="68">
        <v>0</v>
      </c>
      <c r="BB192" s="234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68"/>
      <c r="B193" s="558"/>
      <c r="C193" s="558"/>
      <c r="D193" s="558"/>
      <c r="E193" s="558"/>
      <c r="F193" s="558"/>
      <c r="G193" s="558"/>
      <c r="H193" s="558"/>
      <c r="I193" s="558"/>
      <c r="J193" s="558"/>
      <c r="K193" s="558"/>
      <c r="L193" s="558"/>
      <c r="M193" s="558"/>
      <c r="N193" s="558"/>
      <c r="O193" s="569"/>
      <c r="P193" s="561" t="s">
        <v>75</v>
      </c>
      <c r="Q193" s="562"/>
      <c r="R193" s="562"/>
      <c r="S193" s="562"/>
      <c r="T193" s="562"/>
      <c r="U193" s="562"/>
      <c r="V193" s="563"/>
      <c r="W193" s="37" t="s">
        <v>76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x14ac:dyDescent="0.2">
      <c r="A194" s="558"/>
      <c r="B194" s="558"/>
      <c r="C194" s="558"/>
      <c r="D194" s="558"/>
      <c r="E194" s="558"/>
      <c r="F194" s="558"/>
      <c r="G194" s="558"/>
      <c r="H194" s="558"/>
      <c r="I194" s="558"/>
      <c r="J194" s="558"/>
      <c r="K194" s="558"/>
      <c r="L194" s="558"/>
      <c r="M194" s="558"/>
      <c r="N194" s="558"/>
      <c r="O194" s="569"/>
      <c r="P194" s="561" t="s">
        <v>75</v>
      </c>
      <c r="Q194" s="562"/>
      <c r="R194" s="562"/>
      <c r="S194" s="562"/>
      <c r="T194" s="562"/>
      <c r="U194" s="562"/>
      <c r="V194" s="563"/>
      <c r="W194" s="37" t="s">
        <v>69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customHeight="1" x14ac:dyDescent="0.25">
      <c r="A195" s="557" t="s">
        <v>138</v>
      </c>
      <c r="B195" s="558"/>
      <c r="C195" s="558"/>
      <c r="D195" s="558"/>
      <c r="E195" s="558"/>
      <c r="F195" s="558"/>
      <c r="G195" s="558"/>
      <c r="H195" s="558"/>
      <c r="I195" s="558"/>
      <c r="J195" s="558"/>
      <c r="K195" s="558"/>
      <c r="L195" s="558"/>
      <c r="M195" s="558"/>
      <c r="N195" s="558"/>
      <c r="O195" s="558"/>
      <c r="P195" s="558"/>
      <c r="Q195" s="558"/>
      <c r="R195" s="558"/>
      <c r="S195" s="558"/>
      <c r="T195" s="558"/>
      <c r="U195" s="558"/>
      <c r="V195" s="558"/>
      <c r="W195" s="558"/>
      <c r="X195" s="558"/>
      <c r="Y195" s="558"/>
      <c r="Z195" s="558"/>
      <c r="AA195" s="541"/>
      <c r="AB195" s="541"/>
      <c r="AC195" s="541"/>
    </row>
    <row r="196" spans="1:68" ht="16.5" customHeight="1" x14ac:dyDescent="0.25">
      <c r="A196" s="54" t="s">
        <v>327</v>
      </c>
      <c r="B196" s="54" t="s">
        <v>328</v>
      </c>
      <c r="C196" s="31">
        <v>4301020261</v>
      </c>
      <c r="D196" s="549">
        <v>4680115882935</v>
      </c>
      <c r="E196" s="550"/>
      <c r="F196" s="544">
        <v>1.35</v>
      </c>
      <c r="G196" s="32">
        <v>8</v>
      </c>
      <c r="H196" s="544">
        <v>10.8</v>
      </c>
      <c r="I196" s="544">
        <v>11.21</v>
      </c>
      <c r="J196" s="32">
        <v>64</v>
      </c>
      <c r="K196" s="32" t="s">
        <v>105</v>
      </c>
      <c r="L196" s="32"/>
      <c r="M196" s="33" t="s">
        <v>107</v>
      </c>
      <c r="N196" s="33"/>
      <c r="O196" s="32">
        <v>50</v>
      </c>
      <c r="P196" s="81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552"/>
      <c r="R196" s="552"/>
      <c r="S196" s="552"/>
      <c r="T196" s="553"/>
      <c r="U196" s="34"/>
      <c r="V196" s="34"/>
      <c r="W196" s="35" t="s">
        <v>69</v>
      </c>
      <c r="X196" s="545">
        <v>0</v>
      </c>
      <c r="Y196" s="54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35" t="s">
        <v>329</v>
      </c>
      <c r="AG196" s="64"/>
      <c r="AJ196" s="68"/>
      <c r="AK196" s="68">
        <v>0</v>
      </c>
      <c r="BB196" s="236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330</v>
      </c>
      <c r="B197" s="54" t="s">
        <v>331</v>
      </c>
      <c r="C197" s="31">
        <v>4301020220</v>
      </c>
      <c r="D197" s="549">
        <v>4680115880764</v>
      </c>
      <c r="E197" s="550"/>
      <c r="F197" s="544">
        <v>0.35</v>
      </c>
      <c r="G197" s="32">
        <v>6</v>
      </c>
      <c r="H197" s="544">
        <v>2.1</v>
      </c>
      <c r="I197" s="544">
        <v>2.2799999999999998</v>
      </c>
      <c r="J197" s="32">
        <v>182</v>
      </c>
      <c r="K197" s="32" t="s">
        <v>67</v>
      </c>
      <c r="L197" s="32" t="s">
        <v>223</v>
      </c>
      <c r="M197" s="33" t="s">
        <v>107</v>
      </c>
      <c r="N197" s="33"/>
      <c r="O197" s="32">
        <v>50</v>
      </c>
      <c r="P197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552"/>
      <c r="R197" s="552"/>
      <c r="S197" s="552"/>
      <c r="T197" s="553"/>
      <c r="U197" s="34"/>
      <c r="V197" s="34"/>
      <c r="W197" s="35" t="s">
        <v>69</v>
      </c>
      <c r="X197" s="545">
        <v>0</v>
      </c>
      <c r="Y197" s="54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37" t="s">
        <v>329</v>
      </c>
      <c r="AG197" s="64"/>
      <c r="AJ197" s="68" t="s">
        <v>109</v>
      </c>
      <c r="AK197" s="68">
        <v>29.4</v>
      </c>
      <c r="BB197" s="238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568"/>
      <c r="B198" s="558"/>
      <c r="C198" s="558"/>
      <c r="D198" s="558"/>
      <c r="E198" s="558"/>
      <c r="F198" s="558"/>
      <c r="G198" s="558"/>
      <c r="H198" s="558"/>
      <c r="I198" s="558"/>
      <c r="J198" s="558"/>
      <c r="K198" s="558"/>
      <c r="L198" s="558"/>
      <c r="M198" s="558"/>
      <c r="N198" s="558"/>
      <c r="O198" s="569"/>
      <c r="P198" s="561" t="s">
        <v>75</v>
      </c>
      <c r="Q198" s="562"/>
      <c r="R198" s="562"/>
      <c r="S198" s="562"/>
      <c r="T198" s="562"/>
      <c r="U198" s="562"/>
      <c r="V198" s="563"/>
      <c r="W198" s="37" t="s">
        <v>76</v>
      </c>
      <c r="X198" s="547">
        <f>IFERROR(X196/H196,"0")+IFERROR(X197/H197,"0")</f>
        <v>0</v>
      </c>
      <c r="Y198" s="547">
        <f>IFERROR(Y196/H196,"0")+IFERROR(Y197/H197,"0")</f>
        <v>0</v>
      </c>
      <c r="Z198" s="547">
        <f>IFERROR(IF(Z196="",0,Z196),"0")+IFERROR(IF(Z197="",0,Z197),"0")</f>
        <v>0</v>
      </c>
      <c r="AA198" s="548"/>
      <c r="AB198" s="548"/>
      <c r="AC198" s="548"/>
    </row>
    <row r="199" spans="1:68" x14ac:dyDescent="0.2">
      <c r="A199" s="558"/>
      <c r="B199" s="558"/>
      <c r="C199" s="558"/>
      <c r="D199" s="558"/>
      <c r="E199" s="558"/>
      <c r="F199" s="558"/>
      <c r="G199" s="558"/>
      <c r="H199" s="558"/>
      <c r="I199" s="558"/>
      <c r="J199" s="558"/>
      <c r="K199" s="558"/>
      <c r="L199" s="558"/>
      <c r="M199" s="558"/>
      <c r="N199" s="558"/>
      <c r="O199" s="569"/>
      <c r="P199" s="561" t="s">
        <v>75</v>
      </c>
      <c r="Q199" s="562"/>
      <c r="R199" s="562"/>
      <c r="S199" s="562"/>
      <c r="T199" s="562"/>
      <c r="U199" s="562"/>
      <c r="V199" s="563"/>
      <c r="W199" s="37" t="s">
        <v>69</v>
      </c>
      <c r="X199" s="547">
        <f>IFERROR(SUM(X196:X197),"0")</f>
        <v>0</v>
      </c>
      <c r="Y199" s="547">
        <f>IFERROR(SUM(Y196:Y197),"0")</f>
        <v>0</v>
      </c>
      <c r="Z199" s="37"/>
      <c r="AA199" s="548"/>
      <c r="AB199" s="548"/>
      <c r="AC199" s="548"/>
    </row>
    <row r="200" spans="1:68" ht="14.25" customHeight="1" x14ac:dyDescent="0.25">
      <c r="A200" s="557" t="s">
        <v>64</v>
      </c>
      <c r="B200" s="558"/>
      <c r="C200" s="558"/>
      <c r="D200" s="558"/>
      <c r="E200" s="558"/>
      <c r="F200" s="558"/>
      <c r="G200" s="558"/>
      <c r="H200" s="558"/>
      <c r="I200" s="558"/>
      <c r="J200" s="558"/>
      <c r="K200" s="558"/>
      <c r="L200" s="558"/>
      <c r="M200" s="558"/>
      <c r="N200" s="558"/>
      <c r="O200" s="558"/>
      <c r="P200" s="558"/>
      <c r="Q200" s="558"/>
      <c r="R200" s="558"/>
      <c r="S200" s="558"/>
      <c r="T200" s="558"/>
      <c r="U200" s="558"/>
      <c r="V200" s="558"/>
      <c r="W200" s="558"/>
      <c r="X200" s="558"/>
      <c r="Y200" s="558"/>
      <c r="Z200" s="558"/>
      <c r="AA200" s="541"/>
      <c r="AB200" s="541"/>
      <c r="AC200" s="541"/>
    </row>
    <row r="201" spans="1:68" ht="27" customHeight="1" x14ac:dyDescent="0.25">
      <c r="A201" s="54" t="s">
        <v>332</v>
      </c>
      <c r="B201" s="54" t="s">
        <v>333</v>
      </c>
      <c r="C201" s="31">
        <v>4301031224</v>
      </c>
      <c r="D201" s="549">
        <v>4680115882683</v>
      </c>
      <c r="E201" s="550"/>
      <c r="F201" s="544">
        <v>0.9</v>
      </c>
      <c r="G201" s="32">
        <v>6</v>
      </c>
      <c r="H201" s="544">
        <v>5.4</v>
      </c>
      <c r="I201" s="544">
        <v>5.59</v>
      </c>
      <c r="J201" s="32">
        <v>132</v>
      </c>
      <c r="K201" s="32" t="s">
        <v>112</v>
      </c>
      <c r="L201" s="32" t="s">
        <v>115</v>
      </c>
      <c r="M201" s="33" t="s">
        <v>68</v>
      </c>
      <c r="N201" s="33"/>
      <c r="O201" s="32">
        <v>40</v>
      </c>
      <c r="P201" s="80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552"/>
      <c r="R201" s="552"/>
      <c r="S201" s="552"/>
      <c r="T201" s="553"/>
      <c r="U201" s="34"/>
      <c r="V201" s="34"/>
      <c r="W201" s="35" t="s">
        <v>69</v>
      </c>
      <c r="X201" s="545">
        <v>0</v>
      </c>
      <c r="Y201" s="546">
        <f t="shared" ref="Y201:Y208" si="10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39" t="s">
        <v>334</v>
      </c>
      <c r="AG201" s="64"/>
      <c r="AJ201" s="68" t="s">
        <v>109</v>
      </c>
      <c r="AK201" s="68">
        <v>64.8</v>
      </c>
      <c r="BB201" s="240" t="s">
        <v>1</v>
      </c>
      <c r="BM201" s="64">
        <f t="shared" ref="BM201:BM208" si="11">IFERROR(X201*I201/H201,"0")</f>
        <v>0</v>
      </c>
      <c r="BN201" s="64">
        <f t="shared" ref="BN201:BN208" si="12">IFERROR(Y201*I201/H201,"0")</f>
        <v>0</v>
      </c>
      <c r="BO201" s="64">
        <f t="shared" ref="BO201:BO208" si="13">IFERROR(1/J201*(X201/H201),"0")</f>
        <v>0</v>
      </c>
      <c r="BP201" s="64">
        <f t="shared" ref="BP201:BP208" si="14">IFERROR(1/J201*(Y201/H201),"0")</f>
        <v>0</v>
      </c>
    </row>
    <row r="202" spans="1:68" ht="27" customHeight="1" x14ac:dyDescent="0.25">
      <c r="A202" s="54" t="s">
        <v>335</v>
      </c>
      <c r="B202" s="54" t="s">
        <v>336</v>
      </c>
      <c r="C202" s="31">
        <v>4301031230</v>
      </c>
      <c r="D202" s="549">
        <v>4680115882690</v>
      </c>
      <c r="E202" s="550"/>
      <c r="F202" s="544">
        <v>0.9</v>
      </c>
      <c r="G202" s="32">
        <v>6</v>
      </c>
      <c r="H202" s="544">
        <v>5.4</v>
      </c>
      <c r="I202" s="544">
        <v>5.59</v>
      </c>
      <c r="J202" s="32">
        <v>132</v>
      </c>
      <c r="K202" s="32" t="s">
        <v>112</v>
      </c>
      <c r="L202" s="32" t="s">
        <v>115</v>
      </c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552"/>
      <c r="R202" s="552"/>
      <c r="S202" s="552"/>
      <c r="T202" s="553"/>
      <c r="U202" s="34"/>
      <c r="V202" s="34"/>
      <c r="W202" s="35" t="s">
        <v>69</v>
      </c>
      <c r="X202" s="545">
        <v>0</v>
      </c>
      <c r="Y202" s="546">
        <f t="shared" si="10"/>
        <v>0</v>
      </c>
      <c r="Z202" s="36" t="str">
        <f>IFERROR(IF(Y202=0,"",ROUNDUP(Y202/H202,0)*0.00902),"")</f>
        <v/>
      </c>
      <c r="AA202" s="56"/>
      <c r="AB202" s="57"/>
      <c r="AC202" s="241" t="s">
        <v>337</v>
      </c>
      <c r="AG202" s="64"/>
      <c r="AJ202" s="68" t="s">
        <v>109</v>
      </c>
      <c r="AK202" s="68">
        <v>64.8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338</v>
      </c>
      <c r="B203" s="54" t="s">
        <v>339</v>
      </c>
      <c r="C203" s="31">
        <v>4301031220</v>
      </c>
      <c r="D203" s="549">
        <v>4680115882669</v>
      </c>
      <c r="E203" s="550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112</v>
      </c>
      <c r="L203" s="32"/>
      <c r="M203" s="33" t="s">
        <v>68</v>
      </c>
      <c r="N203" s="33"/>
      <c r="O203" s="32">
        <v>40</v>
      </c>
      <c r="P203" s="7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5">
        <v>0</v>
      </c>
      <c r="Y203" s="546">
        <f t="shared" si="10"/>
        <v>0</v>
      </c>
      <c r="Z203" s="36" t="str">
        <f>IFERROR(IF(Y203=0,"",ROUNDUP(Y203/H203,0)*0.00902),"")</f>
        <v/>
      </c>
      <c r="AA203" s="56"/>
      <c r="AB203" s="57"/>
      <c r="AC203" s="243" t="s">
        <v>340</v>
      </c>
      <c r="AG203" s="64"/>
      <c r="AJ203" s="68"/>
      <c r="AK203" s="68">
        <v>0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t="27" customHeight="1" x14ac:dyDescent="0.25">
      <c r="A204" s="54" t="s">
        <v>341</v>
      </c>
      <c r="B204" s="54" t="s">
        <v>342</v>
      </c>
      <c r="C204" s="31">
        <v>4301031221</v>
      </c>
      <c r="D204" s="549">
        <v>4680115882676</v>
      </c>
      <c r="E204" s="550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3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5">
        <v>0</v>
      </c>
      <c r="Y204" s="546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343</v>
      </c>
      <c r="AG204" s="64"/>
      <c r="AJ204" s="68" t="s">
        <v>109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344</v>
      </c>
      <c r="B205" s="54" t="s">
        <v>345</v>
      </c>
      <c r="C205" s="31">
        <v>4301031223</v>
      </c>
      <c r="D205" s="549">
        <v>4680115884014</v>
      </c>
      <c r="E205" s="550"/>
      <c r="F205" s="544">
        <v>0.3</v>
      </c>
      <c r="G205" s="32">
        <v>6</v>
      </c>
      <c r="H205" s="544">
        <v>1.8</v>
      </c>
      <c r="I205" s="544">
        <v>1.93</v>
      </c>
      <c r="J205" s="32">
        <v>234</v>
      </c>
      <c r="K205" s="32" t="s">
        <v>73</v>
      </c>
      <c r="L205" s="32" t="s">
        <v>288</v>
      </c>
      <c r="M205" s="33" t="s">
        <v>68</v>
      </c>
      <c r="N205" s="33"/>
      <c r="O205" s="32">
        <v>40</v>
      </c>
      <c r="P205" s="6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IFERROR(IF(Y205=0,"",ROUNDUP(Y205/H205,0)*0.00502),"")</f>
        <v/>
      </c>
      <c r="AA205" s="56"/>
      <c r="AB205" s="57"/>
      <c r="AC205" s="247" t="s">
        <v>334</v>
      </c>
      <c r="AG205" s="64"/>
      <c r="AJ205" s="68" t="s">
        <v>109</v>
      </c>
      <c r="AK205" s="68">
        <v>32.4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346</v>
      </c>
      <c r="B206" s="54" t="s">
        <v>347</v>
      </c>
      <c r="C206" s="31">
        <v>4301031222</v>
      </c>
      <c r="D206" s="549">
        <v>4680115884007</v>
      </c>
      <c r="E206" s="550"/>
      <c r="F206" s="544">
        <v>0.3</v>
      </c>
      <c r="G206" s="32">
        <v>6</v>
      </c>
      <c r="H206" s="544">
        <v>1.8</v>
      </c>
      <c r="I206" s="544">
        <v>1.9</v>
      </c>
      <c r="J206" s="32">
        <v>234</v>
      </c>
      <c r="K206" s="32" t="s">
        <v>73</v>
      </c>
      <c r="L206" s="32" t="s">
        <v>288</v>
      </c>
      <c r="M206" s="33" t="s">
        <v>68</v>
      </c>
      <c r="N206" s="33"/>
      <c r="O206" s="32">
        <v>40</v>
      </c>
      <c r="P206" s="7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IFERROR(IF(Y206=0,"",ROUNDUP(Y206/H206,0)*0.00502),"")</f>
        <v/>
      </c>
      <c r="AA206" s="56"/>
      <c r="AB206" s="57"/>
      <c r="AC206" s="249" t="s">
        <v>337</v>
      </c>
      <c r="AG206" s="64"/>
      <c r="AJ206" s="68" t="s">
        <v>109</v>
      </c>
      <c r="AK206" s="68">
        <v>32.4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348</v>
      </c>
      <c r="B207" s="54" t="s">
        <v>349</v>
      </c>
      <c r="C207" s="31">
        <v>4301031229</v>
      </c>
      <c r="D207" s="549">
        <v>4680115884038</v>
      </c>
      <c r="E207" s="550"/>
      <c r="F207" s="544">
        <v>0.3</v>
      </c>
      <c r="G207" s="32">
        <v>6</v>
      </c>
      <c r="H207" s="544">
        <v>1.8</v>
      </c>
      <c r="I207" s="544">
        <v>1.9</v>
      </c>
      <c r="J207" s="32">
        <v>234</v>
      </c>
      <c r="K207" s="32" t="s">
        <v>73</v>
      </c>
      <c r="L207" s="32"/>
      <c r="M207" s="33" t="s">
        <v>68</v>
      </c>
      <c r="N207" s="33"/>
      <c r="O207" s="32">
        <v>40</v>
      </c>
      <c r="P207" s="75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340</v>
      </c>
      <c r="AG207" s="64"/>
      <c r="AJ207" s="68"/>
      <c r="AK207" s="68">
        <v>0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350</v>
      </c>
      <c r="B208" s="54" t="s">
        <v>351</v>
      </c>
      <c r="C208" s="31">
        <v>4301031225</v>
      </c>
      <c r="D208" s="549">
        <v>4680115884021</v>
      </c>
      <c r="E208" s="550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288</v>
      </c>
      <c r="M208" s="33" t="s">
        <v>68</v>
      </c>
      <c r="N208" s="33"/>
      <c r="O208" s="32">
        <v>40</v>
      </c>
      <c r="P208" s="69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343</v>
      </c>
      <c r="AG208" s="64"/>
      <c r="AJ208" s="68" t="s">
        <v>109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x14ac:dyDescent="0.2">
      <c r="A209" s="568"/>
      <c r="B209" s="558"/>
      <c r="C209" s="558"/>
      <c r="D209" s="558"/>
      <c r="E209" s="558"/>
      <c r="F209" s="558"/>
      <c r="G209" s="558"/>
      <c r="H209" s="558"/>
      <c r="I209" s="558"/>
      <c r="J209" s="558"/>
      <c r="K209" s="558"/>
      <c r="L209" s="558"/>
      <c r="M209" s="558"/>
      <c r="N209" s="558"/>
      <c r="O209" s="569"/>
      <c r="P209" s="561" t="s">
        <v>75</v>
      </c>
      <c r="Q209" s="562"/>
      <c r="R209" s="562"/>
      <c r="S209" s="562"/>
      <c r="T209" s="562"/>
      <c r="U209" s="562"/>
      <c r="V209" s="563"/>
      <c r="W209" s="37" t="s">
        <v>76</v>
      </c>
      <c r="X209" s="547">
        <f>IFERROR(X201/H201,"0")+IFERROR(X202/H202,"0")+IFERROR(X203/H203,"0")+IFERROR(X204/H204,"0")+IFERROR(X205/H205,"0")+IFERROR(X206/H206,"0")+IFERROR(X207/H207,"0")+IFERROR(X208/H208,"0")</f>
        <v>0</v>
      </c>
      <c r="Y209" s="547">
        <f>IFERROR(Y201/H201,"0")+IFERROR(Y202/H202,"0")+IFERROR(Y203/H203,"0")+IFERROR(Y204/H204,"0")+IFERROR(Y205/H205,"0")+IFERROR(Y206/H206,"0")+IFERROR(Y207/H207,"0")+IFERROR(Y208/H208,"0")</f>
        <v>0</v>
      </c>
      <c r="Z209" s="54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</v>
      </c>
      <c r="AA209" s="548"/>
      <c r="AB209" s="548"/>
      <c r="AC209" s="548"/>
    </row>
    <row r="210" spans="1:68" x14ac:dyDescent="0.2">
      <c r="A210" s="558"/>
      <c r="B210" s="558"/>
      <c r="C210" s="558"/>
      <c r="D210" s="558"/>
      <c r="E210" s="558"/>
      <c r="F210" s="558"/>
      <c r="G210" s="558"/>
      <c r="H210" s="558"/>
      <c r="I210" s="558"/>
      <c r="J210" s="558"/>
      <c r="K210" s="558"/>
      <c r="L210" s="558"/>
      <c r="M210" s="558"/>
      <c r="N210" s="558"/>
      <c r="O210" s="569"/>
      <c r="P210" s="561" t="s">
        <v>75</v>
      </c>
      <c r="Q210" s="562"/>
      <c r="R210" s="562"/>
      <c r="S210" s="562"/>
      <c r="T210" s="562"/>
      <c r="U210" s="562"/>
      <c r="V210" s="563"/>
      <c r="W210" s="37" t="s">
        <v>69</v>
      </c>
      <c r="X210" s="547">
        <f>IFERROR(SUM(X201:X208),"0")</f>
        <v>0</v>
      </c>
      <c r="Y210" s="547">
        <f>IFERROR(SUM(Y201:Y208),"0")</f>
        <v>0</v>
      </c>
      <c r="Z210" s="37"/>
      <c r="AA210" s="548"/>
      <c r="AB210" s="548"/>
      <c r="AC210" s="548"/>
    </row>
    <row r="211" spans="1:68" ht="14.25" customHeight="1" x14ac:dyDescent="0.25">
      <c r="A211" s="557" t="s">
        <v>77</v>
      </c>
      <c r="B211" s="558"/>
      <c r="C211" s="558"/>
      <c r="D211" s="558"/>
      <c r="E211" s="558"/>
      <c r="F211" s="558"/>
      <c r="G211" s="558"/>
      <c r="H211" s="558"/>
      <c r="I211" s="558"/>
      <c r="J211" s="558"/>
      <c r="K211" s="558"/>
      <c r="L211" s="558"/>
      <c r="M211" s="558"/>
      <c r="N211" s="558"/>
      <c r="O211" s="558"/>
      <c r="P211" s="558"/>
      <c r="Q211" s="558"/>
      <c r="R211" s="558"/>
      <c r="S211" s="558"/>
      <c r="T211" s="558"/>
      <c r="U211" s="558"/>
      <c r="V211" s="558"/>
      <c r="W211" s="558"/>
      <c r="X211" s="558"/>
      <c r="Y211" s="558"/>
      <c r="Z211" s="558"/>
      <c r="AA211" s="541"/>
      <c r="AB211" s="541"/>
      <c r="AC211" s="541"/>
    </row>
    <row r="212" spans="1:68" ht="27" customHeight="1" x14ac:dyDescent="0.25">
      <c r="A212" s="54" t="s">
        <v>352</v>
      </c>
      <c r="B212" s="54" t="s">
        <v>353</v>
      </c>
      <c r="C212" s="31">
        <v>4301051408</v>
      </c>
      <c r="D212" s="549">
        <v>4680115881594</v>
      </c>
      <c r="E212" s="550"/>
      <c r="F212" s="544">
        <v>1.35</v>
      </c>
      <c r="G212" s="32">
        <v>6</v>
      </c>
      <c r="H212" s="544">
        <v>8.1</v>
      </c>
      <c r="I212" s="544">
        <v>8.5939999999999994</v>
      </c>
      <c r="J212" s="32">
        <v>64</v>
      </c>
      <c r="K212" s="32" t="s">
        <v>105</v>
      </c>
      <c r="L212" s="32"/>
      <c r="M212" s="33" t="s">
        <v>80</v>
      </c>
      <c r="N212" s="33"/>
      <c r="O212" s="32">
        <v>40</v>
      </c>
      <c r="P212" s="7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552"/>
      <c r="R212" s="552"/>
      <c r="S212" s="552"/>
      <c r="T212" s="553"/>
      <c r="U212" s="34"/>
      <c r="V212" s="34"/>
      <c r="W212" s="35" t="s">
        <v>69</v>
      </c>
      <c r="X212" s="545">
        <v>0</v>
      </c>
      <c r="Y212" s="546">
        <f t="shared" ref="Y212:Y220" si="15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55" t="s">
        <v>354</v>
      </c>
      <c r="AG212" s="64"/>
      <c r="AJ212" s="68"/>
      <c r="AK212" s="68">
        <v>0</v>
      </c>
      <c r="BB212" s="256" t="s">
        <v>1</v>
      </c>
      <c r="BM212" s="64">
        <f t="shared" ref="BM212:BM220" si="16">IFERROR(X212*I212/H212,"0")</f>
        <v>0</v>
      </c>
      <c r="BN212" s="64">
        <f t="shared" ref="BN212:BN220" si="17">IFERROR(Y212*I212/H212,"0")</f>
        <v>0</v>
      </c>
      <c r="BO212" s="64">
        <f t="shared" ref="BO212:BO220" si="18">IFERROR(1/J212*(X212/H212),"0")</f>
        <v>0</v>
      </c>
      <c r="BP212" s="64">
        <f t="shared" ref="BP212:BP220" si="19">IFERROR(1/J212*(Y212/H212),"0")</f>
        <v>0</v>
      </c>
    </row>
    <row r="213" spans="1:68" ht="27" customHeight="1" x14ac:dyDescent="0.25">
      <c r="A213" s="54" t="s">
        <v>355</v>
      </c>
      <c r="B213" s="54" t="s">
        <v>356</v>
      </c>
      <c r="C213" s="31">
        <v>4301051411</v>
      </c>
      <c r="D213" s="549">
        <v>4680115881617</v>
      </c>
      <c r="E213" s="550"/>
      <c r="F213" s="544">
        <v>1.35</v>
      </c>
      <c r="G213" s="32">
        <v>6</v>
      </c>
      <c r="H213" s="544">
        <v>8.1</v>
      </c>
      <c r="I213" s="544">
        <v>8.5760000000000005</v>
      </c>
      <c r="J213" s="32">
        <v>64</v>
      </c>
      <c r="K213" s="32" t="s">
        <v>105</v>
      </c>
      <c r="L213" s="32"/>
      <c r="M213" s="33" t="s">
        <v>80</v>
      </c>
      <c r="N213" s="33"/>
      <c r="O213" s="32">
        <v>40</v>
      </c>
      <c r="P213" s="5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552"/>
      <c r="R213" s="552"/>
      <c r="S213" s="552"/>
      <c r="T213" s="553"/>
      <c r="U213" s="34"/>
      <c r="V213" s="34"/>
      <c r="W213" s="35" t="s">
        <v>69</v>
      </c>
      <c r="X213" s="545">
        <v>0</v>
      </c>
      <c r="Y213" s="546">
        <f t="shared" si="15"/>
        <v>0</v>
      </c>
      <c r="Z213" s="36" t="str">
        <f>IFERROR(IF(Y213=0,"",ROUNDUP(Y213/H213,0)*0.01898),"")</f>
        <v/>
      </c>
      <c r="AA213" s="56"/>
      <c r="AB213" s="57"/>
      <c r="AC213" s="257" t="s">
        <v>357</v>
      </c>
      <c r="AG213" s="64"/>
      <c r="AJ213" s="68"/>
      <c r="AK213" s="68">
        <v>0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358</v>
      </c>
      <c r="B214" s="54" t="s">
        <v>359</v>
      </c>
      <c r="C214" s="31">
        <v>4301051656</v>
      </c>
      <c r="D214" s="549">
        <v>4680115880573</v>
      </c>
      <c r="E214" s="550"/>
      <c r="F214" s="544">
        <v>1.45</v>
      </c>
      <c r="G214" s="32">
        <v>6</v>
      </c>
      <c r="H214" s="544">
        <v>8.6999999999999993</v>
      </c>
      <c r="I214" s="544">
        <v>9.1940000000000008</v>
      </c>
      <c r="J214" s="32">
        <v>64</v>
      </c>
      <c r="K214" s="32" t="s">
        <v>105</v>
      </c>
      <c r="L214" s="32" t="s">
        <v>106</v>
      </c>
      <c r="M214" s="33" t="s">
        <v>80</v>
      </c>
      <c r="N214" s="33"/>
      <c r="O214" s="32">
        <v>45</v>
      </c>
      <c r="P214" s="80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5">
        <v>0</v>
      </c>
      <c r="Y214" s="546">
        <f t="shared" si="15"/>
        <v>0</v>
      </c>
      <c r="Z214" s="36" t="str">
        <f>IFERROR(IF(Y214=0,"",ROUNDUP(Y214/H214,0)*0.01898),"")</f>
        <v/>
      </c>
      <c r="AA214" s="56"/>
      <c r="AB214" s="57"/>
      <c r="AC214" s="259" t="s">
        <v>360</v>
      </c>
      <c r="AG214" s="64"/>
      <c r="AJ214" s="68" t="s">
        <v>109</v>
      </c>
      <c r="AK214" s="68">
        <v>69.599999999999994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361</v>
      </c>
      <c r="B215" s="54" t="s">
        <v>362</v>
      </c>
      <c r="C215" s="31">
        <v>4301051407</v>
      </c>
      <c r="D215" s="549">
        <v>4680115882195</v>
      </c>
      <c r="E215" s="550"/>
      <c r="F215" s="544">
        <v>0.4</v>
      </c>
      <c r="G215" s="32">
        <v>6</v>
      </c>
      <c r="H215" s="544">
        <v>2.4</v>
      </c>
      <c r="I215" s="544">
        <v>2.67</v>
      </c>
      <c r="J215" s="32">
        <v>182</v>
      </c>
      <c r="K215" s="32" t="s">
        <v>67</v>
      </c>
      <c r="L215" s="32" t="s">
        <v>223</v>
      </c>
      <c r="M215" s="33" t="s">
        <v>80</v>
      </c>
      <c r="N215" s="33"/>
      <c r="O215" s="32">
        <v>40</v>
      </c>
      <c r="P215" s="5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 t="shared" ref="Z215:Z220" si="20">IFERROR(IF(Y215=0,"",ROUNDUP(Y215/H215,0)*0.00651),"")</f>
        <v/>
      </c>
      <c r="AA215" s="56"/>
      <c r="AB215" s="57"/>
      <c r="AC215" s="261" t="s">
        <v>354</v>
      </c>
      <c r="AG215" s="64"/>
      <c r="AJ215" s="68" t="s">
        <v>109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363</v>
      </c>
      <c r="B216" s="54" t="s">
        <v>364</v>
      </c>
      <c r="C216" s="31">
        <v>4301051752</v>
      </c>
      <c r="D216" s="549">
        <v>4680115882607</v>
      </c>
      <c r="E216" s="550"/>
      <c r="F216" s="544">
        <v>0.3</v>
      </c>
      <c r="G216" s="32">
        <v>6</v>
      </c>
      <c r="H216" s="544">
        <v>1.8</v>
      </c>
      <c r="I216" s="544">
        <v>2.052</v>
      </c>
      <c r="J216" s="32">
        <v>182</v>
      </c>
      <c r="K216" s="32" t="s">
        <v>67</v>
      </c>
      <c r="L216" s="32"/>
      <c r="M216" s="33" t="s">
        <v>87</v>
      </c>
      <c r="N216" s="33"/>
      <c r="O216" s="32">
        <v>45</v>
      </c>
      <c r="P216" s="72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5">
        <v>0</v>
      </c>
      <c r="Y216" s="546">
        <f t="shared" si="15"/>
        <v>0</v>
      </c>
      <c r="Z216" s="36" t="str">
        <f t="shared" si="20"/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549">
        <v>4680115880092</v>
      </c>
      <c r="E217" s="550"/>
      <c r="F217" s="544">
        <v>0.4</v>
      </c>
      <c r="G217" s="32">
        <v>6</v>
      </c>
      <c r="H217" s="544">
        <v>2.4</v>
      </c>
      <c r="I217" s="544">
        <v>2.6520000000000001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45</v>
      </c>
      <c r="P217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si="20"/>
        <v/>
      </c>
      <c r="AA217" s="56"/>
      <c r="AB217" s="57"/>
      <c r="AC217" s="265" t="s">
        <v>360</v>
      </c>
      <c r="AG217" s="64"/>
      <c r="AJ217" s="68" t="s">
        <v>109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367</v>
      </c>
      <c r="B218" s="54" t="s">
        <v>368</v>
      </c>
      <c r="C218" s="31">
        <v>4301051668</v>
      </c>
      <c r="D218" s="549">
        <v>4680115880221</v>
      </c>
      <c r="E218" s="550"/>
      <c r="F218" s="544">
        <v>0.4</v>
      </c>
      <c r="G218" s="32">
        <v>6</v>
      </c>
      <c r="H218" s="544">
        <v>2.4</v>
      </c>
      <c r="I218" s="544">
        <v>2.6520000000000001</v>
      </c>
      <c r="J218" s="32">
        <v>182</v>
      </c>
      <c r="K218" s="32" t="s">
        <v>67</v>
      </c>
      <c r="L218" s="32" t="s">
        <v>223</v>
      </c>
      <c r="M218" s="33" t="s">
        <v>80</v>
      </c>
      <c r="N218" s="33"/>
      <c r="O218" s="32">
        <v>45</v>
      </c>
      <c r="P218" s="8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360</v>
      </c>
      <c r="AG218" s="64"/>
      <c r="AJ218" s="68" t="s">
        <v>109</v>
      </c>
      <c r="AK218" s="68">
        <v>33.6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549">
        <v>4680115880504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223</v>
      </c>
      <c r="M219" s="33" t="s">
        <v>87</v>
      </c>
      <c r="N219" s="33"/>
      <c r="O219" s="32">
        <v>40</v>
      </c>
      <c r="P219" s="7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552"/>
      <c r="R219" s="552"/>
      <c r="S219" s="552"/>
      <c r="T219" s="553"/>
      <c r="U219" s="34"/>
      <c r="V219" s="34"/>
      <c r="W219" s="35" t="s">
        <v>69</v>
      </c>
      <c r="X219" s="545">
        <v>0</v>
      </c>
      <c r="Y219" s="546">
        <f t="shared" si="15"/>
        <v>0</v>
      </c>
      <c r="Z219" s="36" t="str">
        <f t="shared" si="20"/>
        <v/>
      </c>
      <c r="AA219" s="56"/>
      <c r="AB219" s="57"/>
      <c r="AC219" s="269" t="s">
        <v>371</v>
      </c>
      <c r="AG219" s="64"/>
      <c r="AJ219" s="68" t="s">
        <v>109</v>
      </c>
      <c r="AK219" s="68">
        <v>33.6</v>
      </c>
      <c r="BB219" s="270" t="s">
        <v>1</v>
      </c>
      <c r="BM219" s="64">
        <f t="shared" si="16"/>
        <v>0</v>
      </c>
      <c r="BN219" s="64">
        <f t="shared" si="17"/>
        <v>0</v>
      </c>
      <c r="BO219" s="64">
        <f t="shared" si="18"/>
        <v>0</v>
      </c>
      <c r="BP219" s="64">
        <f t="shared" si="19"/>
        <v>0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549">
        <v>4680115882164</v>
      </c>
      <c r="E220" s="550"/>
      <c r="F220" s="544">
        <v>0.4</v>
      </c>
      <c r="G220" s="32">
        <v>6</v>
      </c>
      <c r="H220" s="544">
        <v>2.4</v>
      </c>
      <c r="I220" s="544">
        <v>2.6579999999999999</v>
      </c>
      <c r="J220" s="32">
        <v>182</v>
      </c>
      <c r="K220" s="32" t="s">
        <v>67</v>
      </c>
      <c r="L220" s="32" t="s">
        <v>223</v>
      </c>
      <c r="M220" s="33" t="s">
        <v>80</v>
      </c>
      <c r="N220" s="33"/>
      <c r="O220" s="32">
        <v>40</v>
      </c>
      <c r="P220" s="5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5">
        <v>0</v>
      </c>
      <c r="Y220" s="546">
        <f t="shared" si="15"/>
        <v>0</v>
      </c>
      <c r="Z220" s="36" t="str">
        <f t="shared" si="20"/>
        <v/>
      </c>
      <c r="AA220" s="56"/>
      <c r="AB220" s="57"/>
      <c r="AC220" s="271" t="s">
        <v>357</v>
      </c>
      <c r="AG220" s="64"/>
      <c r="AJ220" s="68" t="s">
        <v>109</v>
      </c>
      <c r="AK220" s="68">
        <v>33.6</v>
      </c>
      <c r="BB220" s="272" t="s">
        <v>1</v>
      </c>
      <c r="BM220" s="64">
        <f t="shared" si="16"/>
        <v>0</v>
      </c>
      <c r="BN220" s="64">
        <f t="shared" si="17"/>
        <v>0</v>
      </c>
      <c r="BO220" s="64">
        <f t="shared" si="18"/>
        <v>0</v>
      </c>
      <c r="BP220" s="64">
        <f t="shared" si="19"/>
        <v>0</v>
      </c>
    </row>
    <row r="221" spans="1:68" x14ac:dyDescent="0.2">
      <c r="A221" s="568"/>
      <c r="B221" s="558"/>
      <c r="C221" s="558"/>
      <c r="D221" s="558"/>
      <c r="E221" s="558"/>
      <c r="F221" s="558"/>
      <c r="G221" s="558"/>
      <c r="H221" s="558"/>
      <c r="I221" s="558"/>
      <c r="J221" s="558"/>
      <c r="K221" s="558"/>
      <c r="L221" s="558"/>
      <c r="M221" s="558"/>
      <c r="N221" s="558"/>
      <c r="O221" s="569"/>
      <c r="P221" s="561" t="s">
        <v>75</v>
      </c>
      <c r="Q221" s="562"/>
      <c r="R221" s="562"/>
      <c r="S221" s="562"/>
      <c r="T221" s="562"/>
      <c r="U221" s="562"/>
      <c r="V221" s="563"/>
      <c r="W221" s="37" t="s">
        <v>76</v>
      </c>
      <c r="X221" s="547">
        <f>IFERROR(X212/H212,"0")+IFERROR(X213/H213,"0")+IFERROR(X214/H214,"0")+IFERROR(X215/H215,"0")+IFERROR(X216/H216,"0")+IFERROR(X217/H217,"0")+IFERROR(X218/H218,"0")+IFERROR(X219/H219,"0")+IFERROR(X220/H220,"0")</f>
        <v>0</v>
      </c>
      <c r="Y221" s="547">
        <f>IFERROR(Y212/H212,"0")+IFERROR(Y213/H213,"0")+IFERROR(Y214/H214,"0")+IFERROR(Y215/H215,"0")+IFERROR(Y216/H216,"0")+IFERROR(Y217/H217,"0")+IFERROR(Y218/H218,"0")+IFERROR(Y219/H219,"0")+IFERROR(Y220/H220,"0")</f>
        <v>0</v>
      </c>
      <c r="Z221" s="54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</v>
      </c>
      <c r="AA221" s="548"/>
      <c r="AB221" s="548"/>
      <c r="AC221" s="548"/>
    </row>
    <row r="222" spans="1:68" x14ac:dyDescent="0.2">
      <c r="A222" s="558"/>
      <c r="B222" s="558"/>
      <c r="C222" s="558"/>
      <c r="D222" s="558"/>
      <c r="E222" s="558"/>
      <c r="F222" s="558"/>
      <c r="G222" s="558"/>
      <c r="H222" s="558"/>
      <c r="I222" s="558"/>
      <c r="J222" s="558"/>
      <c r="K222" s="558"/>
      <c r="L222" s="558"/>
      <c r="M222" s="558"/>
      <c r="N222" s="558"/>
      <c r="O222" s="569"/>
      <c r="P222" s="561" t="s">
        <v>75</v>
      </c>
      <c r="Q222" s="562"/>
      <c r="R222" s="562"/>
      <c r="S222" s="562"/>
      <c r="T222" s="562"/>
      <c r="U222" s="562"/>
      <c r="V222" s="563"/>
      <c r="W222" s="37" t="s">
        <v>69</v>
      </c>
      <c r="X222" s="547">
        <f>IFERROR(SUM(X212:X220),"0")</f>
        <v>0</v>
      </c>
      <c r="Y222" s="547">
        <f>IFERROR(SUM(Y212:Y220),"0")</f>
        <v>0</v>
      </c>
      <c r="Z222" s="37"/>
      <c r="AA222" s="548"/>
      <c r="AB222" s="548"/>
      <c r="AC222" s="548"/>
    </row>
    <row r="223" spans="1:68" ht="14.25" customHeight="1" x14ac:dyDescent="0.25">
      <c r="A223" s="557" t="s">
        <v>166</v>
      </c>
      <c r="B223" s="558"/>
      <c r="C223" s="558"/>
      <c r="D223" s="558"/>
      <c r="E223" s="558"/>
      <c r="F223" s="558"/>
      <c r="G223" s="558"/>
      <c r="H223" s="558"/>
      <c r="I223" s="558"/>
      <c r="J223" s="558"/>
      <c r="K223" s="558"/>
      <c r="L223" s="558"/>
      <c r="M223" s="558"/>
      <c r="N223" s="558"/>
      <c r="O223" s="558"/>
      <c r="P223" s="558"/>
      <c r="Q223" s="558"/>
      <c r="R223" s="558"/>
      <c r="S223" s="558"/>
      <c r="T223" s="558"/>
      <c r="U223" s="558"/>
      <c r="V223" s="558"/>
      <c r="W223" s="558"/>
      <c r="X223" s="558"/>
      <c r="Y223" s="558"/>
      <c r="Z223" s="558"/>
      <c r="AA223" s="541"/>
      <c r="AB223" s="541"/>
      <c r="AC223" s="541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549">
        <v>4680115880818</v>
      </c>
      <c r="E224" s="550"/>
      <c r="F224" s="544">
        <v>0.4</v>
      </c>
      <c r="G224" s="32">
        <v>6</v>
      </c>
      <c r="H224" s="544">
        <v>2.4</v>
      </c>
      <c r="I224" s="544">
        <v>2.6520000000000001</v>
      </c>
      <c r="J224" s="32">
        <v>182</v>
      </c>
      <c r="K224" s="32" t="s">
        <v>67</v>
      </c>
      <c r="L224" s="32"/>
      <c r="M224" s="33" t="s">
        <v>87</v>
      </c>
      <c r="N224" s="33"/>
      <c r="O224" s="32">
        <v>40</v>
      </c>
      <c r="P224" s="73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552"/>
      <c r="R224" s="552"/>
      <c r="S224" s="552"/>
      <c r="T224" s="553"/>
      <c r="U224" s="34"/>
      <c r="V224" s="34"/>
      <c r="W224" s="35" t="s">
        <v>69</v>
      </c>
      <c r="X224" s="545">
        <v>0</v>
      </c>
      <c r="Y224" s="546">
        <f>IFERROR(IF(X224="",0,CEILING((X224/$H224),1)*$H224),"")</f>
        <v>0</v>
      </c>
      <c r="Z224" s="36" t="str">
        <f>IFERROR(IF(Y224=0,"",ROUNDUP(Y224/H224,0)*0.00651),"")</f>
        <v/>
      </c>
      <c r="AA224" s="56"/>
      <c r="AB224" s="57"/>
      <c r="AC224" s="273" t="s">
        <v>376</v>
      </c>
      <c r="AG224" s="64"/>
      <c r="AJ224" s="68"/>
      <c r="AK224" s="68">
        <v>0</v>
      </c>
      <c r="BB224" s="274" t="s">
        <v>1</v>
      </c>
      <c r="BM224" s="64">
        <f>IFERROR(X224*I224/H224,"0")</f>
        <v>0</v>
      </c>
      <c r="BN224" s="64">
        <f>IFERROR(Y224*I224/H224,"0")</f>
        <v>0</v>
      </c>
      <c r="BO224" s="64">
        <f>IFERROR(1/J224*(X224/H224),"0")</f>
        <v>0</v>
      </c>
      <c r="BP224" s="64">
        <f>IFERROR(1/J224*(Y224/H224),"0")</f>
        <v>0</v>
      </c>
    </row>
    <row r="225" spans="1:68" ht="37.5" customHeight="1" x14ac:dyDescent="0.25">
      <c r="A225" s="54" t="s">
        <v>377</v>
      </c>
      <c r="B225" s="54" t="s">
        <v>378</v>
      </c>
      <c r="C225" s="31">
        <v>4301060389</v>
      </c>
      <c r="D225" s="549">
        <v>4680115880801</v>
      </c>
      <c r="E225" s="550"/>
      <c r="F225" s="544">
        <v>0.4</v>
      </c>
      <c r="G225" s="32">
        <v>6</v>
      </c>
      <c r="H225" s="544">
        <v>2.4</v>
      </c>
      <c r="I225" s="544">
        <v>2.6520000000000001</v>
      </c>
      <c r="J225" s="32">
        <v>182</v>
      </c>
      <c r="K225" s="32" t="s">
        <v>67</v>
      </c>
      <c r="L225" s="32" t="s">
        <v>223</v>
      </c>
      <c r="M225" s="33" t="s">
        <v>80</v>
      </c>
      <c r="N225" s="33"/>
      <c r="O225" s="32">
        <v>40</v>
      </c>
      <c r="P225" s="7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552"/>
      <c r="R225" s="552"/>
      <c r="S225" s="552"/>
      <c r="T225" s="553"/>
      <c r="U225" s="34"/>
      <c r="V225" s="34"/>
      <c r="W225" s="35" t="s">
        <v>69</v>
      </c>
      <c r="X225" s="545">
        <v>0</v>
      </c>
      <c r="Y225" s="546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75" t="s">
        <v>379</v>
      </c>
      <c r="AG225" s="64"/>
      <c r="AJ225" s="68" t="s">
        <v>109</v>
      </c>
      <c r="AK225" s="68">
        <v>33.6</v>
      </c>
      <c r="BB225" s="276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568"/>
      <c r="B226" s="558"/>
      <c r="C226" s="558"/>
      <c r="D226" s="558"/>
      <c r="E226" s="558"/>
      <c r="F226" s="558"/>
      <c r="G226" s="558"/>
      <c r="H226" s="558"/>
      <c r="I226" s="558"/>
      <c r="J226" s="558"/>
      <c r="K226" s="558"/>
      <c r="L226" s="558"/>
      <c r="M226" s="558"/>
      <c r="N226" s="558"/>
      <c r="O226" s="569"/>
      <c r="P226" s="561" t="s">
        <v>75</v>
      </c>
      <c r="Q226" s="562"/>
      <c r="R226" s="562"/>
      <c r="S226" s="562"/>
      <c r="T226" s="562"/>
      <c r="U226" s="562"/>
      <c r="V226" s="563"/>
      <c r="W226" s="37" t="s">
        <v>76</v>
      </c>
      <c r="X226" s="547">
        <f>IFERROR(X224/H224,"0")+IFERROR(X225/H225,"0")</f>
        <v>0</v>
      </c>
      <c r="Y226" s="547">
        <f>IFERROR(Y224/H224,"0")+IFERROR(Y225/H225,"0")</f>
        <v>0</v>
      </c>
      <c r="Z226" s="547">
        <f>IFERROR(IF(Z224="",0,Z224),"0")+IFERROR(IF(Z225="",0,Z225),"0")</f>
        <v>0</v>
      </c>
      <c r="AA226" s="548"/>
      <c r="AB226" s="548"/>
      <c r="AC226" s="548"/>
    </row>
    <row r="227" spans="1:68" x14ac:dyDescent="0.2">
      <c r="A227" s="558"/>
      <c r="B227" s="558"/>
      <c r="C227" s="558"/>
      <c r="D227" s="558"/>
      <c r="E227" s="558"/>
      <c r="F227" s="558"/>
      <c r="G227" s="558"/>
      <c r="H227" s="558"/>
      <c r="I227" s="558"/>
      <c r="J227" s="558"/>
      <c r="K227" s="558"/>
      <c r="L227" s="558"/>
      <c r="M227" s="558"/>
      <c r="N227" s="558"/>
      <c r="O227" s="569"/>
      <c r="P227" s="561" t="s">
        <v>75</v>
      </c>
      <c r="Q227" s="562"/>
      <c r="R227" s="562"/>
      <c r="S227" s="562"/>
      <c r="T227" s="562"/>
      <c r="U227" s="562"/>
      <c r="V227" s="563"/>
      <c r="W227" s="37" t="s">
        <v>69</v>
      </c>
      <c r="X227" s="547">
        <f>IFERROR(SUM(X224:X225),"0")</f>
        <v>0</v>
      </c>
      <c r="Y227" s="547">
        <f>IFERROR(SUM(Y224:Y225),"0")</f>
        <v>0</v>
      </c>
      <c r="Z227" s="37"/>
      <c r="AA227" s="548"/>
      <c r="AB227" s="548"/>
      <c r="AC227" s="548"/>
    </row>
    <row r="228" spans="1:68" ht="16.5" customHeight="1" x14ac:dyDescent="0.25">
      <c r="A228" s="591" t="s">
        <v>380</v>
      </c>
      <c r="B228" s="558"/>
      <c r="C228" s="558"/>
      <c r="D228" s="558"/>
      <c r="E228" s="558"/>
      <c r="F228" s="558"/>
      <c r="G228" s="558"/>
      <c r="H228" s="558"/>
      <c r="I228" s="558"/>
      <c r="J228" s="558"/>
      <c r="K228" s="558"/>
      <c r="L228" s="558"/>
      <c r="M228" s="558"/>
      <c r="N228" s="558"/>
      <c r="O228" s="558"/>
      <c r="P228" s="558"/>
      <c r="Q228" s="558"/>
      <c r="R228" s="558"/>
      <c r="S228" s="558"/>
      <c r="T228" s="558"/>
      <c r="U228" s="558"/>
      <c r="V228" s="558"/>
      <c r="W228" s="558"/>
      <c r="X228" s="558"/>
      <c r="Y228" s="558"/>
      <c r="Z228" s="558"/>
      <c r="AA228" s="540"/>
      <c r="AB228" s="540"/>
      <c r="AC228" s="540"/>
    </row>
    <row r="229" spans="1:68" ht="14.25" customHeight="1" x14ac:dyDescent="0.25">
      <c r="A229" s="557" t="s">
        <v>102</v>
      </c>
      <c r="B229" s="558"/>
      <c r="C229" s="558"/>
      <c r="D229" s="558"/>
      <c r="E229" s="558"/>
      <c r="F229" s="558"/>
      <c r="G229" s="558"/>
      <c r="H229" s="558"/>
      <c r="I229" s="558"/>
      <c r="J229" s="558"/>
      <c r="K229" s="558"/>
      <c r="L229" s="558"/>
      <c r="M229" s="558"/>
      <c r="N229" s="558"/>
      <c r="O229" s="558"/>
      <c r="P229" s="558"/>
      <c r="Q229" s="558"/>
      <c r="R229" s="558"/>
      <c r="S229" s="558"/>
      <c r="T229" s="558"/>
      <c r="U229" s="558"/>
      <c r="V229" s="558"/>
      <c r="W229" s="558"/>
      <c r="X229" s="558"/>
      <c r="Y229" s="558"/>
      <c r="Z229" s="558"/>
      <c r="AA229" s="541"/>
      <c r="AB229" s="541"/>
      <c r="AC229" s="541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549">
        <v>4680115884137</v>
      </c>
      <c r="E230" s="550"/>
      <c r="F230" s="544">
        <v>1.45</v>
      </c>
      <c r="G230" s="32">
        <v>8</v>
      </c>
      <c r="H230" s="544">
        <v>11.6</v>
      </c>
      <c r="I230" s="544">
        <v>12.01</v>
      </c>
      <c r="J230" s="32">
        <v>64</v>
      </c>
      <c r="K230" s="32" t="s">
        <v>105</v>
      </c>
      <c r="L230" s="32" t="s">
        <v>106</v>
      </c>
      <c r="M230" s="33" t="s">
        <v>107</v>
      </c>
      <c r="N230" s="33"/>
      <c r="O230" s="32">
        <v>55</v>
      </c>
      <c r="P230" s="64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552"/>
      <c r="R230" s="552"/>
      <c r="S230" s="552"/>
      <c r="T230" s="553"/>
      <c r="U230" s="34"/>
      <c r="V230" s="34"/>
      <c r="W230" s="35" t="s">
        <v>69</v>
      </c>
      <c r="X230" s="545">
        <v>111</v>
      </c>
      <c r="Y230" s="546">
        <f t="shared" ref="Y230:Y238" si="21">IFERROR(IF(X230="",0,CEILING((X230/$H230),1)*$H230),"")</f>
        <v>116</v>
      </c>
      <c r="Z230" s="36">
        <f>IFERROR(IF(Y230=0,"",ROUNDUP(Y230/H230,0)*0.01898),"")</f>
        <v>0.1898</v>
      </c>
      <c r="AA230" s="56"/>
      <c r="AB230" s="57"/>
      <c r="AC230" s="277" t="s">
        <v>383</v>
      </c>
      <c r="AG230" s="64"/>
      <c r="AJ230" s="68" t="s">
        <v>109</v>
      </c>
      <c r="AK230" s="68">
        <v>92.8</v>
      </c>
      <c r="BB230" s="278" t="s">
        <v>1</v>
      </c>
      <c r="BM230" s="64">
        <f t="shared" ref="BM230:BM238" si="22">IFERROR(X230*I230/H230,"0")</f>
        <v>114.92327586206896</v>
      </c>
      <c r="BN230" s="64">
        <f t="shared" ref="BN230:BN238" si="23">IFERROR(Y230*I230/H230,"0")</f>
        <v>120.10000000000001</v>
      </c>
      <c r="BO230" s="64">
        <f t="shared" ref="BO230:BO238" si="24">IFERROR(1/J230*(X230/H230),"0")</f>
        <v>0.14951508620689655</v>
      </c>
      <c r="BP230" s="64">
        <f t="shared" ref="BP230:BP238" si="25">IFERROR(1/J230*(Y230/H230),"0")</f>
        <v>0.15625</v>
      </c>
    </row>
    <row r="231" spans="1:68" ht="27" customHeight="1" x14ac:dyDescent="0.25">
      <c r="A231" s="54" t="s">
        <v>384</v>
      </c>
      <c r="B231" s="54" t="s">
        <v>385</v>
      </c>
      <c r="C231" s="31">
        <v>4301011724</v>
      </c>
      <c r="D231" s="549">
        <v>4680115884236</v>
      </c>
      <c r="E231" s="550"/>
      <c r="F231" s="544">
        <v>1.45</v>
      </c>
      <c r="G231" s="32">
        <v>8</v>
      </c>
      <c r="H231" s="544">
        <v>11.6</v>
      </c>
      <c r="I231" s="544">
        <v>12.01</v>
      </c>
      <c r="J231" s="32">
        <v>64</v>
      </c>
      <c r="K231" s="32" t="s">
        <v>105</v>
      </c>
      <c r="L231" s="32"/>
      <c r="M231" s="33" t="s">
        <v>107</v>
      </c>
      <c r="N231" s="33"/>
      <c r="O231" s="32">
        <v>55</v>
      </c>
      <c r="P231" s="55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1" s="552"/>
      <c r="R231" s="552"/>
      <c r="S231" s="552"/>
      <c r="T231" s="553"/>
      <c r="U231" s="34"/>
      <c r="V231" s="34"/>
      <c r="W231" s="35" t="s">
        <v>69</v>
      </c>
      <c r="X231" s="545">
        <v>0</v>
      </c>
      <c r="Y231" s="546">
        <f t="shared" si="21"/>
        <v>0</v>
      </c>
      <c r="Z231" s="36" t="str">
        <f>IFERROR(IF(Y231=0,"",ROUNDUP(Y231/H231,0)*0.01898),"")</f>
        <v/>
      </c>
      <c r="AA231" s="56"/>
      <c r="AB231" s="57"/>
      <c r="AC231" s="279" t="s">
        <v>386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4301011721</v>
      </c>
      <c r="D232" s="549">
        <v>4680115884175</v>
      </c>
      <c r="E232" s="550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105</v>
      </c>
      <c r="L232" s="32"/>
      <c r="M232" s="33" t="s">
        <v>107</v>
      </c>
      <c r="N232" s="33"/>
      <c r="O232" s="32">
        <v>55</v>
      </c>
      <c r="P232" s="75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5">
        <v>0</v>
      </c>
      <c r="Y232" s="546">
        <f t="shared" si="21"/>
        <v>0</v>
      </c>
      <c r="Z232" s="36" t="str">
        <f>IFERROR(IF(Y232=0,"",ROUNDUP(Y232/H232,0)*0.01898),"")</f>
        <v/>
      </c>
      <c r="AA232" s="56"/>
      <c r="AB232" s="57"/>
      <c r="AC232" s="281" t="s">
        <v>389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4301011824</v>
      </c>
      <c r="D233" s="549">
        <v>4680115884144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112</v>
      </c>
      <c r="L233" s="32"/>
      <c r="M233" s="33" t="s">
        <v>107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383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390</v>
      </c>
      <c r="B234" s="54" t="s">
        <v>392</v>
      </c>
      <c r="C234" s="31">
        <v>4301012196</v>
      </c>
      <c r="D234" s="549">
        <v>4680115884144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112</v>
      </c>
      <c r="L234" s="32"/>
      <c r="M234" s="33" t="s">
        <v>107</v>
      </c>
      <c r="N234" s="33"/>
      <c r="O234" s="32">
        <v>55</v>
      </c>
      <c r="P234" s="60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383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4301012149</v>
      </c>
      <c r="D235" s="549">
        <v>4680115886551</v>
      </c>
      <c r="E235" s="550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112</v>
      </c>
      <c r="L235" s="32"/>
      <c r="M235" s="33" t="s">
        <v>107</v>
      </c>
      <c r="N235" s="33"/>
      <c r="O235" s="32">
        <v>55</v>
      </c>
      <c r="P235" s="74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395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4301012228</v>
      </c>
      <c r="D236" s="549">
        <v>4680115887282</v>
      </c>
      <c r="E236" s="550"/>
      <c r="F236" s="544">
        <v>0.4</v>
      </c>
      <c r="G236" s="32">
        <v>6</v>
      </c>
      <c r="H236" s="544">
        <v>2.4</v>
      </c>
      <c r="I236" s="544">
        <v>2.58</v>
      </c>
      <c r="J236" s="32">
        <v>182</v>
      </c>
      <c r="K236" s="32" t="s">
        <v>67</v>
      </c>
      <c r="L236" s="32"/>
      <c r="M236" s="33" t="s">
        <v>107</v>
      </c>
      <c r="N236" s="33"/>
      <c r="O236" s="32">
        <v>55</v>
      </c>
      <c r="P236" s="6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IFERROR(IF(Y236=0,"",ROUNDUP(Y236/H236,0)*0.00651),"")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549">
        <v>4680115884205</v>
      </c>
      <c r="E237" s="550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112</v>
      </c>
      <c r="L237" s="32"/>
      <c r="M237" s="33" t="s">
        <v>107</v>
      </c>
      <c r="N237" s="33"/>
      <c r="O237" s="32">
        <v>55</v>
      </c>
      <c r="P237" s="6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398</v>
      </c>
      <c r="B238" s="54" t="s">
        <v>400</v>
      </c>
      <c r="C238" s="31">
        <v>4301012195</v>
      </c>
      <c r="D238" s="549">
        <v>4680115884205</v>
      </c>
      <c r="E238" s="550"/>
      <c r="F238" s="544">
        <v>0.4</v>
      </c>
      <c r="G238" s="32">
        <v>10</v>
      </c>
      <c r="H238" s="544">
        <v>4</v>
      </c>
      <c r="I238" s="544">
        <v>4.1900000000000004</v>
      </c>
      <c r="J238" s="32">
        <v>132</v>
      </c>
      <c r="K238" s="32" t="s">
        <v>112</v>
      </c>
      <c r="L238" s="32"/>
      <c r="M238" s="33" t="s">
        <v>107</v>
      </c>
      <c r="N238" s="33"/>
      <c r="O238" s="32">
        <v>55</v>
      </c>
      <c r="P238" s="7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x14ac:dyDescent="0.2">
      <c r="A239" s="568"/>
      <c r="B239" s="558"/>
      <c r="C239" s="558"/>
      <c r="D239" s="558"/>
      <c r="E239" s="558"/>
      <c r="F239" s="558"/>
      <c r="G239" s="558"/>
      <c r="H239" s="558"/>
      <c r="I239" s="558"/>
      <c r="J239" s="558"/>
      <c r="K239" s="558"/>
      <c r="L239" s="558"/>
      <c r="M239" s="558"/>
      <c r="N239" s="558"/>
      <c r="O239" s="569"/>
      <c r="P239" s="561" t="s">
        <v>75</v>
      </c>
      <c r="Q239" s="562"/>
      <c r="R239" s="562"/>
      <c r="S239" s="562"/>
      <c r="T239" s="562"/>
      <c r="U239" s="562"/>
      <c r="V239" s="563"/>
      <c r="W239" s="37" t="s">
        <v>76</v>
      </c>
      <c r="X239" s="547">
        <f>IFERROR(X230/H230,"0")+IFERROR(X231/H231,"0")+IFERROR(X232/H232,"0")+IFERROR(X233/H233,"0")+IFERROR(X234/H234,"0")+IFERROR(X235/H235,"0")+IFERROR(X236/H236,"0")+IFERROR(X237/H237,"0")+IFERROR(X238/H238,"0")</f>
        <v>9.568965517241379</v>
      </c>
      <c r="Y239" s="547">
        <f>IFERROR(Y230/H230,"0")+IFERROR(Y231/H231,"0")+IFERROR(Y232/H232,"0")+IFERROR(Y233/H233,"0")+IFERROR(Y234/H234,"0")+IFERROR(Y235/H235,"0")+IFERROR(Y236/H236,"0")+IFERROR(Y237/H237,"0")+IFERROR(Y238/H238,"0")</f>
        <v>10</v>
      </c>
      <c r="Z239" s="547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</f>
        <v>0.1898</v>
      </c>
      <c r="AA239" s="548"/>
      <c r="AB239" s="548"/>
      <c r="AC239" s="548"/>
    </row>
    <row r="240" spans="1:68" x14ac:dyDescent="0.2">
      <c r="A240" s="558"/>
      <c r="B240" s="558"/>
      <c r="C240" s="558"/>
      <c r="D240" s="558"/>
      <c r="E240" s="558"/>
      <c r="F240" s="558"/>
      <c r="G240" s="558"/>
      <c r="H240" s="558"/>
      <c r="I240" s="558"/>
      <c r="J240" s="558"/>
      <c r="K240" s="558"/>
      <c r="L240" s="558"/>
      <c r="M240" s="558"/>
      <c r="N240" s="558"/>
      <c r="O240" s="569"/>
      <c r="P240" s="561" t="s">
        <v>75</v>
      </c>
      <c r="Q240" s="562"/>
      <c r="R240" s="562"/>
      <c r="S240" s="562"/>
      <c r="T240" s="562"/>
      <c r="U240" s="562"/>
      <c r="V240" s="563"/>
      <c r="W240" s="37" t="s">
        <v>69</v>
      </c>
      <c r="X240" s="547">
        <f>IFERROR(SUM(X230:X238),"0")</f>
        <v>111</v>
      </c>
      <c r="Y240" s="547">
        <f>IFERROR(SUM(Y230:Y238),"0")</f>
        <v>116</v>
      </c>
      <c r="Z240" s="37"/>
      <c r="AA240" s="548"/>
      <c r="AB240" s="548"/>
      <c r="AC240" s="548"/>
    </row>
    <row r="241" spans="1:68" ht="14.25" customHeight="1" x14ac:dyDescent="0.25">
      <c r="A241" s="557" t="s">
        <v>138</v>
      </c>
      <c r="B241" s="558"/>
      <c r="C241" s="558"/>
      <c r="D241" s="558"/>
      <c r="E241" s="558"/>
      <c r="F241" s="558"/>
      <c r="G241" s="558"/>
      <c r="H241" s="558"/>
      <c r="I241" s="558"/>
      <c r="J241" s="558"/>
      <c r="K241" s="558"/>
      <c r="L241" s="558"/>
      <c r="M241" s="558"/>
      <c r="N241" s="558"/>
      <c r="O241" s="558"/>
      <c r="P241" s="558"/>
      <c r="Q241" s="558"/>
      <c r="R241" s="558"/>
      <c r="S241" s="558"/>
      <c r="T241" s="558"/>
      <c r="U241" s="558"/>
      <c r="V241" s="558"/>
      <c r="W241" s="558"/>
      <c r="X241" s="558"/>
      <c r="Y241" s="558"/>
      <c r="Z241" s="558"/>
      <c r="AA241" s="541"/>
      <c r="AB241" s="541"/>
      <c r="AC241" s="541"/>
    </row>
    <row r="242" spans="1:68" ht="27" customHeight="1" x14ac:dyDescent="0.25">
      <c r="A242" s="54" t="s">
        <v>401</v>
      </c>
      <c r="B242" s="54" t="s">
        <v>402</v>
      </c>
      <c r="C242" s="31">
        <v>4301020377</v>
      </c>
      <c r="D242" s="549">
        <v>4680115885981</v>
      </c>
      <c r="E242" s="550"/>
      <c r="F242" s="544">
        <v>0.33</v>
      </c>
      <c r="G242" s="32">
        <v>6</v>
      </c>
      <c r="H242" s="544">
        <v>1.98</v>
      </c>
      <c r="I242" s="544">
        <v>2.08</v>
      </c>
      <c r="J242" s="32">
        <v>234</v>
      </c>
      <c r="K242" s="32" t="s">
        <v>73</v>
      </c>
      <c r="L242" s="32"/>
      <c r="M242" s="33" t="s">
        <v>80</v>
      </c>
      <c r="N242" s="33"/>
      <c r="O242" s="32">
        <v>50</v>
      </c>
      <c r="P242" s="62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552"/>
      <c r="R242" s="552"/>
      <c r="S242" s="552"/>
      <c r="T242" s="553"/>
      <c r="U242" s="34"/>
      <c r="V242" s="34"/>
      <c r="W242" s="35" t="s">
        <v>69</v>
      </c>
      <c r="X242" s="545">
        <v>0</v>
      </c>
      <c r="Y242" s="54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295" t="s">
        <v>403</v>
      </c>
      <c r="AG242" s="64"/>
      <c r="AJ242" s="68"/>
      <c r="AK242" s="68">
        <v>0</v>
      </c>
      <c r="BB242" s="29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68"/>
      <c r="B243" s="558"/>
      <c r="C243" s="558"/>
      <c r="D243" s="558"/>
      <c r="E243" s="558"/>
      <c r="F243" s="558"/>
      <c r="G243" s="558"/>
      <c r="H243" s="558"/>
      <c r="I243" s="558"/>
      <c r="J243" s="558"/>
      <c r="K243" s="558"/>
      <c r="L243" s="558"/>
      <c r="M243" s="558"/>
      <c r="N243" s="558"/>
      <c r="O243" s="569"/>
      <c r="P243" s="561" t="s">
        <v>75</v>
      </c>
      <c r="Q243" s="562"/>
      <c r="R243" s="562"/>
      <c r="S243" s="562"/>
      <c r="T243" s="562"/>
      <c r="U243" s="562"/>
      <c r="V243" s="563"/>
      <c r="W243" s="37" t="s">
        <v>76</v>
      </c>
      <c r="X243" s="547">
        <f>IFERROR(X242/H242,"0")</f>
        <v>0</v>
      </c>
      <c r="Y243" s="547">
        <f>IFERROR(Y242/H242,"0")</f>
        <v>0</v>
      </c>
      <c r="Z243" s="547">
        <f>IFERROR(IF(Z242="",0,Z242),"0")</f>
        <v>0</v>
      </c>
      <c r="AA243" s="548"/>
      <c r="AB243" s="548"/>
      <c r="AC243" s="548"/>
    </row>
    <row r="244" spans="1:68" x14ac:dyDescent="0.2">
      <c r="A244" s="558"/>
      <c r="B244" s="558"/>
      <c r="C244" s="558"/>
      <c r="D244" s="558"/>
      <c r="E244" s="558"/>
      <c r="F244" s="558"/>
      <c r="G244" s="558"/>
      <c r="H244" s="558"/>
      <c r="I244" s="558"/>
      <c r="J244" s="558"/>
      <c r="K244" s="558"/>
      <c r="L244" s="558"/>
      <c r="M244" s="558"/>
      <c r="N244" s="558"/>
      <c r="O244" s="569"/>
      <c r="P244" s="561" t="s">
        <v>75</v>
      </c>
      <c r="Q244" s="562"/>
      <c r="R244" s="562"/>
      <c r="S244" s="562"/>
      <c r="T244" s="562"/>
      <c r="U244" s="562"/>
      <c r="V244" s="563"/>
      <c r="W244" s="37" t="s">
        <v>69</v>
      </c>
      <c r="X244" s="547">
        <f>IFERROR(SUM(X242:X242),"0")</f>
        <v>0</v>
      </c>
      <c r="Y244" s="547">
        <f>IFERROR(SUM(Y242:Y242),"0")</f>
        <v>0</v>
      </c>
      <c r="Z244" s="37"/>
      <c r="AA244" s="548"/>
      <c r="AB244" s="548"/>
      <c r="AC244" s="548"/>
    </row>
    <row r="245" spans="1:68" ht="14.25" customHeight="1" x14ac:dyDescent="0.25">
      <c r="A245" s="557" t="s">
        <v>404</v>
      </c>
      <c r="B245" s="558"/>
      <c r="C245" s="558"/>
      <c r="D245" s="558"/>
      <c r="E245" s="558"/>
      <c r="F245" s="558"/>
      <c r="G245" s="558"/>
      <c r="H245" s="558"/>
      <c r="I245" s="558"/>
      <c r="J245" s="558"/>
      <c r="K245" s="558"/>
      <c r="L245" s="558"/>
      <c r="M245" s="558"/>
      <c r="N245" s="558"/>
      <c r="O245" s="558"/>
      <c r="P245" s="558"/>
      <c r="Q245" s="558"/>
      <c r="R245" s="558"/>
      <c r="S245" s="558"/>
      <c r="T245" s="558"/>
      <c r="U245" s="558"/>
      <c r="V245" s="558"/>
      <c r="W245" s="558"/>
      <c r="X245" s="558"/>
      <c r="Y245" s="558"/>
      <c r="Z245" s="558"/>
      <c r="AA245" s="541"/>
      <c r="AB245" s="541"/>
      <c r="AC245" s="541"/>
    </row>
    <row r="246" spans="1:68" ht="27" customHeight="1" x14ac:dyDescent="0.25">
      <c r="A246" s="54" t="s">
        <v>405</v>
      </c>
      <c r="B246" s="54" t="s">
        <v>406</v>
      </c>
      <c r="C246" s="31">
        <v>4301040362</v>
      </c>
      <c r="D246" s="549">
        <v>4680115886803</v>
      </c>
      <c r="E246" s="550"/>
      <c r="F246" s="544">
        <v>0.12</v>
      </c>
      <c r="G246" s="32">
        <v>15</v>
      </c>
      <c r="H246" s="544">
        <v>1.8</v>
      </c>
      <c r="I246" s="544">
        <v>1.9750000000000001</v>
      </c>
      <c r="J246" s="32">
        <v>216</v>
      </c>
      <c r="K246" s="32" t="s">
        <v>310</v>
      </c>
      <c r="L246" s="32"/>
      <c r="M246" s="33" t="s">
        <v>311</v>
      </c>
      <c r="N246" s="33"/>
      <c r="O246" s="32">
        <v>45</v>
      </c>
      <c r="P246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6" s="552"/>
      <c r="R246" s="552"/>
      <c r="S246" s="552"/>
      <c r="T246" s="553"/>
      <c r="U246" s="34"/>
      <c r="V246" s="34"/>
      <c r="W246" s="35" t="s">
        <v>69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7" t="s">
        <v>407</v>
      </c>
      <c r="AG246" s="64"/>
      <c r="AJ246" s="68"/>
      <c r="AK246" s="68">
        <v>0</v>
      </c>
      <c r="BB246" s="29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68"/>
      <c r="B247" s="558"/>
      <c r="C247" s="558"/>
      <c r="D247" s="558"/>
      <c r="E247" s="558"/>
      <c r="F247" s="558"/>
      <c r="G247" s="558"/>
      <c r="H247" s="558"/>
      <c r="I247" s="558"/>
      <c r="J247" s="558"/>
      <c r="K247" s="558"/>
      <c r="L247" s="558"/>
      <c r="M247" s="558"/>
      <c r="N247" s="558"/>
      <c r="O247" s="569"/>
      <c r="P247" s="561" t="s">
        <v>75</v>
      </c>
      <c r="Q247" s="562"/>
      <c r="R247" s="562"/>
      <c r="S247" s="562"/>
      <c r="T247" s="562"/>
      <c r="U247" s="562"/>
      <c r="V247" s="563"/>
      <c r="W247" s="37" t="s">
        <v>76</v>
      </c>
      <c r="X247" s="547">
        <f>IFERROR(X246/H246,"0")</f>
        <v>0</v>
      </c>
      <c r="Y247" s="547">
        <f>IFERROR(Y246/H246,"0")</f>
        <v>0</v>
      </c>
      <c r="Z247" s="547">
        <f>IFERROR(IF(Z246="",0,Z246),"0")</f>
        <v>0</v>
      </c>
      <c r="AA247" s="548"/>
      <c r="AB247" s="548"/>
      <c r="AC247" s="548"/>
    </row>
    <row r="248" spans="1:68" x14ac:dyDescent="0.2">
      <c r="A248" s="558"/>
      <c r="B248" s="558"/>
      <c r="C248" s="558"/>
      <c r="D248" s="558"/>
      <c r="E248" s="558"/>
      <c r="F248" s="558"/>
      <c r="G248" s="558"/>
      <c r="H248" s="558"/>
      <c r="I248" s="558"/>
      <c r="J248" s="558"/>
      <c r="K248" s="558"/>
      <c r="L248" s="558"/>
      <c r="M248" s="558"/>
      <c r="N248" s="558"/>
      <c r="O248" s="569"/>
      <c r="P248" s="561" t="s">
        <v>75</v>
      </c>
      <c r="Q248" s="562"/>
      <c r="R248" s="562"/>
      <c r="S248" s="562"/>
      <c r="T248" s="562"/>
      <c r="U248" s="562"/>
      <c r="V248" s="563"/>
      <c r="W248" s="37" t="s">
        <v>69</v>
      </c>
      <c r="X248" s="547">
        <f>IFERROR(SUM(X246:X246),"0")</f>
        <v>0</v>
      </c>
      <c r="Y248" s="547">
        <f>IFERROR(SUM(Y246:Y246),"0")</f>
        <v>0</v>
      </c>
      <c r="Z248" s="37"/>
      <c r="AA248" s="548"/>
      <c r="AB248" s="548"/>
      <c r="AC248" s="548"/>
    </row>
    <row r="249" spans="1:68" ht="14.25" customHeight="1" x14ac:dyDescent="0.25">
      <c r="A249" s="557" t="s">
        <v>408</v>
      </c>
      <c r="B249" s="558"/>
      <c r="C249" s="558"/>
      <c r="D249" s="558"/>
      <c r="E249" s="558"/>
      <c r="F249" s="558"/>
      <c r="G249" s="558"/>
      <c r="H249" s="558"/>
      <c r="I249" s="558"/>
      <c r="J249" s="558"/>
      <c r="K249" s="558"/>
      <c r="L249" s="558"/>
      <c r="M249" s="558"/>
      <c r="N249" s="558"/>
      <c r="O249" s="558"/>
      <c r="P249" s="558"/>
      <c r="Q249" s="558"/>
      <c r="R249" s="558"/>
      <c r="S249" s="558"/>
      <c r="T249" s="558"/>
      <c r="U249" s="558"/>
      <c r="V249" s="558"/>
      <c r="W249" s="558"/>
      <c r="X249" s="558"/>
      <c r="Y249" s="558"/>
      <c r="Z249" s="558"/>
      <c r="AA249" s="541"/>
      <c r="AB249" s="541"/>
      <c r="AC249" s="541"/>
    </row>
    <row r="250" spans="1:68" ht="27" customHeight="1" x14ac:dyDescent="0.25">
      <c r="A250" s="54" t="s">
        <v>409</v>
      </c>
      <c r="B250" s="54" t="s">
        <v>410</v>
      </c>
      <c r="C250" s="31">
        <v>4301041004</v>
      </c>
      <c r="D250" s="549">
        <v>4680115886704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310</v>
      </c>
      <c r="L250" s="32"/>
      <c r="M250" s="33" t="s">
        <v>311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69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411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customHeight="1" x14ac:dyDescent="0.25">
      <c r="A251" s="54" t="s">
        <v>412</v>
      </c>
      <c r="B251" s="54" t="s">
        <v>413</v>
      </c>
      <c r="C251" s="31">
        <v>4301041008</v>
      </c>
      <c r="D251" s="549">
        <v>4680115886681</v>
      </c>
      <c r="E251" s="550"/>
      <c r="F251" s="544">
        <v>0.12</v>
      </c>
      <c r="G251" s="32">
        <v>15</v>
      </c>
      <c r="H251" s="544">
        <v>1.8</v>
      </c>
      <c r="I251" s="544">
        <v>1.9750000000000001</v>
      </c>
      <c r="J251" s="32">
        <v>216</v>
      </c>
      <c r="K251" s="32" t="s">
        <v>310</v>
      </c>
      <c r="L251" s="32"/>
      <c r="M251" s="33" t="s">
        <v>311</v>
      </c>
      <c r="N251" s="33"/>
      <c r="O251" s="32">
        <v>90</v>
      </c>
      <c r="P251" s="76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1" s="552"/>
      <c r="R251" s="552"/>
      <c r="S251" s="552"/>
      <c r="T251" s="553"/>
      <c r="U251" s="34"/>
      <c r="V251" s="34"/>
      <c r="W251" s="35" t="s">
        <v>69</v>
      </c>
      <c r="X251" s="545">
        <v>0</v>
      </c>
      <c r="Y251" s="546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01" t="s">
        <v>411</v>
      </c>
      <c r="AG251" s="64"/>
      <c r="AJ251" s="68"/>
      <c r="AK251" s="68">
        <v>0</v>
      </c>
      <c r="BB251" s="302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414</v>
      </c>
      <c r="B252" s="54" t="s">
        <v>415</v>
      </c>
      <c r="C252" s="31">
        <v>4301041007</v>
      </c>
      <c r="D252" s="549">
        <v>4680115886735</v>
      </c>
      <c r="E252" s="550"/>
      <c r="F252" s="544">
        <v>0.05</v>
      </c>
      <c r="G252" s="32">
        <v>18</v>
      </c>
      <c r="H252" s="544">
        <v>0.9</v>
      </c>
      <c r="I252" s="544">
        <v>1.0900000000000001</v>
      </c>
      <c r="J252" s="32">
        <v>216</v>
      </c>
      <c r="K252" s="32" t="s">
        <v>310</v>
      </c>
      <c r="L252" s="32"/>
      <c r="M252" s="33" t="s">
        <v>311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416</v>
      </c>
      <c r="B253" s="54" t="s">
        <v>417</v>
      </c>
      <c r="C253" s="31">
        <v>4301041006</v>
      </c>
      <c r="D253" s="549">
        <v>4680115886728</v>
      </c>
      <c r="E253" s="550"/>
      <c r="F253" s="544">
        <v>5.5E-2</v>
      </c>
      <c r="G253" s="32">
        <v>18</v>
      </c>
      <c r="H253" s="544">
        <v>0.99</v>
      </c>
      <c r="I253" s="544">
        <v>1.18</v>
      </c>
      <c r="J253" s="32">
        <v>216</v>
      </c>
      <c r="K253" s="32" t="s">
        <v>310</v>
      </c>
      <c r="L253" s="32"/>
      <c r="M253" s="33" t="s">
        <v>311</v>
      </c>
      <c r="N253" s="33"/>
      <c r="O253" s="32">
        <v>90</v>
      </c>
      <c r="P253" s="83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418</v>
      </c>
      <c r="B254" s="54" t="s">
        <v>419</v>
      </c>
      <c r="C254" s="31">
        <v>4301041005</v>
      </c>
      <c r="D254" s="549">
        <v>4680115886711</v>
      </c>
      <c r="E254" s="550"/>
      <c r="F254" s="544">
        <v>5.5E-2</v>
      </c>
      <c r="G254" s="32">
        <v>18</v>
      </c>
      <c r="H254" s="544">
        <v>0.99</v>
      </c>
      <c r="I254" s="544">
        <v>1.18</v>
      </c>
      <c r="J254" s="32">
        <v>216</v>
      </c>
      <c r="K254" s="32" t="s">
        <v>310</v>
      </c>
      <c r="L254" s="32"/>
      <c r="M254" s="33" t="s">
        <v>311</v>
      </c>
      <c r="N254" s="33"/>
      <c r="O254" s="32">
        <v>90</v>
      </c>
      <c r="P254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568"/>
      <c r="B255" s="558"/>
      <c r="C255" s="558"/>
      <c r="D255" s="558"/>
      <c r="E255" s="558"/>
      <c r="F255" s="558"/>
      <c r="G255" s="558"/>
      <c r="H255" s="558"/>
      <c r="I255" s="558"/>
      <c r="J255" s="558"/>
      <c r="K255" s="558"/>
      <c r="L255" s="558"/>
      <c r="M255" s="558"/>
      <c r="N255" s="558"/>
      <c r="O255" s="569"/>
      <c r="P255" s="561" t="s">
        <v>75</v>
      </c>
      <c r="Q255" s="562"/>
      <c r="R255" s="562"/>
      <c r="S255" s="562"/>
      <c r="T255" s="562"/>
      <c r="U255" s="562"/>
      <c r="V255" s="563"/>
      <c r="W255" s="37" t="s">
        <v>76</v>
      </c>
      <c r="X255" s="547">
        <f>IFERROR(X250/H250,"0")+IFERROR(X251/H251,"0")+IFERROR(X252/H252,"0")+IFERROR(X253/H253,"0")+IFERROR(X254/H254,"0")</f>
        <v>0</v>
      </c>
      <c r="Y255" s="547">
        <f>IFERROR(Y250/H250,"0")+IFERROR(Y251/H251,"0")+IFERROR(Y252/H252,"0")+IFERROR(Y253/H253,"0")+IFERROR(Y254/H254,"0")</f>
        <v>0</v>
      </c>
      <c r="Z255" s="547">
        <f>IFERROR(IF(Z250="",0,Z250),"0")+IFERROR(IF(Z251="",0,Z251),"0")+IFERROR(IF(Z252="",0,Z252),"0")+IFERROR(IF(Z253="",0,Z253),"0")+IFERROR(IF(Z254="",0,Z254),"0")</f>
        <v>0</v>
      </c>
      <c r="AA255" s="548"/>
      <c r="AB255" s="548"/>
      <c r="AC255" s="548"/>
    </row>
    <row r="256" spans="1:68" x14ac:dyDescent="0.2">
      <c r="A256" s="558"/>
      <c r="B256" s="558"/>
      <c r="C256" s="558"/>
      <c r="D256" s="558"/>
      <c r="E256" s="558"/>
      <c r="F256" s="558"/>
      <c r="G256" s="558"/>
      <c r="H256" s="558"/>
      <c r="I256" s="558"/>
      <c r="J256" s="558"/>
      <c r="K256" s="558"/>
      <c r="L256" s="558"/>
      <c r="M256" s="558"/>
      <c r="N256" s="558"/>
      <c r="O256" s="569"/>
      <c r="P256" s="561" t="s">
        <v>75</v>
      </c>
      <c r="Q256" s="562"/>
      <c r="R256" s="562"/>
      <c r="S256" s="562"/>
      <c r="T256" s="562"/>
      <c r="U256" s="562"/>
      <c r="V256" s="563"/>
      <c r="W256" s="37" t="s">
        <v>69</v>
      </c>
      <c r="X256" s="547">
        <f>IFERROR(SUM(X250:X254),"0")</f>
        <v>0</v>
      </c>
      <c r="Y256" s="547">
        <f>IFERROR(SUM(Y250:Y254),"0")</f>
        <v>0</v>
      </c>
      <c r="Z256" s="37"/>
      <c r="AA256" s="548"/>
      <c r="AB256" s="548"/>
      <c r="AC256" s="548"/>
    </row>
    <row r="257" spans="1:68" ht="16.5" customHeight="1" x14ac:dyDescent="0.25">
      <c r="A257" s="591" t="s">
        <v>420</v>
      </c>
      <c r="B257" s="558"/>
      <c r="C257" s="558"/>
      <c r="D257" s="558"/>
      <c r="E257" s="558"/>
      <c r="F257" s="558"/>
      <c r="G257" s="558"/>
      <c r="H257" s="558"/>
      <c r="I257" s="558"/>
      <c r="J257" s="558"/>
      <c r="K257" s="558"/>
      <c r="L257" s="558"/>
      <c r="M257" s="558"/>
      <c r="N257" s="558"/>
      <c r="O257" s="558"/>
      <c r="P257" s="558"/>
      <c r="Q257" s="558"/>
      <c r="R257" s="558"/>
      <c r="S257" s="558"/>
      <c r="T257" s="558"/>
      <c r="U257" s="558"/>
      <c r="V257" s="558"/>
      <c r="W257" s="558"/>
      <c r="X257" s="558"/>
      <c r="Y257" s="558"/>
      <c r="Z257" s="558"/>
      <c r="AA257" s="540"/>
      <c r="AB257" s="540"/>
      <c r="AC257" s="540"/>
    </row>
    <row r="258" spans="1:68" ht="14.25" customHeight="1" x14ac:dyDescent="0.25">
      <c r="A258" s="557" t="s">
        <v>102</v>
      </c>
      <c r="B258" s="558"/>
      <c r="C258" s="558"/>
      <c r="D258" s="558"/>
      <c r="E258" s="558"/>
      <c r="F258" s="558"/>
      <c r="G258" s="558"/>
      <c r="H258" s="558"/>
      <c r="I258" s="558"/>
      <c r="J258" s="558"/>
      <c r="K258" s="558"/>
      <c r="L258" s="558"/>
      <c r="M258" s="558"/>
      <c r="N258" s="558"/>
      <c r="O258" s="558"/>
      <c r="P258" s="558"/>
      <c r="Q258" s="558"/>
      <c r="R258" s="558"/>
      <c r="S258" s="558"/>
      <c r="T258" s="558"/>
      <c r="U258" s="558"/>
      <c r="V258" s="558"/>
      <c r="W258" s="558"/>
      <c r="X258" s="558"/>
      <c r="Y258" s="558"/>
      <c r="Z258" s="558"/>
      <c r="AA258" s="541"/>
      <c r="AB258" s="541"/>
      <c r="AC258" s="541"/>
    </row>
    <row r="259" spans="1:68" ht="27" customHeight="1" x14ac:dyDescent="0.25">
      <c r="A259" s="54" t="s">
        <v>421</v>
      </c>
      <c r="B259" s="54" t="s">
        <v>422</v>
      </c>
      <c r="C259" s="31">
        <v>4301011855</v>
      </c>
      <c r="D259" s="549">
        <v>4680115885837</v>
      </c>
      <c r="E259" s="550"/>
      <c r="F259" s="544">
        <v>1.35</v>
      </c>
      <c r="G259" s="32">
        <v>8</v>
      </c>
      <c r="H259" s="544">
        <v>10.8</v>
      </c>
      <c r="I259" s="544">
        <v>11.21</v>
      </c>
      <c r="J259" s="32">
        <v>64</v>
      </c>
      <c r="K259" s="32" t="s">
        <v>105</v>
      </c>
      <c r="L259" s="32"/>
      <c r="M259" s="33" t="s">
        <v>107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9" s="552"/>
      <c r="R259" s="552"/>
      <c r="S259" s="552"/>
      <c r="T259" s="553"/>
      <c r="U259" s="34"/>
      <c r="V259" s="34"/>
      <c r="W259" s="35" t="s">
        <v>69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09" t="s">
        <v>423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37.5" customHeight="1" x14ac:dyDescent="0.25">
      <c r="A260" s="54" t="s">
        <v>424</v>
      </c>
      <c r="B260" s="54" t="s">
        <v>425</v>
      </c>
      <c r="C260" s="31">
        <v>4301011853</v>
      </c>
      <c r="D260" s="549">
        <v>4680115885851</v>
      </c>
      <c r="E260" s="550"/>
      <c r="F260" s="544">
        <v>1.35</v>
      </c>
      <c r="G260" s="32">
        <v>8</v>
      </c>
      <c r="H260" s="544">
        <v>10.8</v>
      </c>
      <c r="I260" s="544">
        <v>11.21</v>
      </c>
      <c r="J260" s="32">
        <v>64</v>
      </c>
      <c r="K260" s="32" t="s">
        <v>105</v>
      </c>
      <c r="L260" s="32"/>
      <c r="M260" s="33" t="s">
        <v>107</v>
      </c>
      <c r="N260" s="33"/>
      <c r="O260" s="32">
        <v>55</v>
      </c>
      <c r="P260" s="73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0" s="552"/>
      <c r="R260" s="552"/>
      <c r="S260" s="552"/>
      <c r="T260" s="553"/>
      <c r="U260" s="34"/>
      <c r="V260" s="34"/>
      <c r="W260" s="35" t="s">
        <v>69</v>
      </c>
      <c r="X260" s="545">
        <v>0</v>
      </c>
      <c r="Y260" s="54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1" t="s">
        <v>426</v>
      </c>
      <c r="AG260" s="64"/>
      <c r="AJ260" s="68"/>
      <c r="AK260" s="68">
        <v>0</v>
      </c>
      <c r="BB260" s="31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27" customHeight="1" x14ac:dyDescent="0.25">
      <c r="A261" s="54" t="s">
        <v>427</v>
      </c>
      <c r="B261" s="54" t="s">
        <v>428</v>
      </c>
      <c r="C261" s="31">
        <v>4301011850</v>
      </c>
      <c r="D261" s="549">
        <v>4680115885806</v>
      </c>
      <c r="E261" s="550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105</v>
      </c>
      <c r="L261" s="32"/>
      <c r="M261" s="33" t="s">
        <v>107</v>
      </c>
      <c r="N261" s="33"/>
      <c r="O261" s="32">
        <v>55</v>
      </c>
      <c r="P261" s="7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429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customHeight="1" x14ac:dyDescent="0.25">
      <c r="A262" s="54" t="s">
        <v>430</v>
      </c>
      <c r="B262" s="54" t="s">
        <v>431</v>
      </c>
      <c r="C262" s="31">
        <v>4301011852</v>
      </c>
      <c r="D262" s="549">
        <v>4680115885844</v>
      </c>
      <c r="E262" s="550"/>
      <c r="F262" s="544">
        <v>0.4</v>
      </c>
      <c r="G262" s="32">
        <v>10</v>
      </c>
      <c r="H262" s="544">
        <v>4</v>
      </c>
      <c r="I262" s="544">
        <v>4.1900000000000004</v>
      </c>
      <c r="J262" s="32">
        <v>132</v>
      </c>
      <c r="K262" s="32" t="s">
        <v>112</v>
      </c>
      <c r="L262" s="32"/>
      <c r="M262" s="33" t="s">
        <v>107</v>
      </c>
      <c r="N262" s="33"/>
      <c r="O262" s="32">
        <v>55</v>
      </c>
      <c r="P262" s="84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IFERROR(IF(Y262=0,"",ROUNDUP(Y262/H262,0)*0.00902),"")</f>
        <v/>
      </c>
      <c r="AA262" s="56"/>
      <c r="AB262" s="57"/>
      <c r="AC262" s="315" t="s">
        <v>432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customHeight="1" x14ac:dyDescent="0.25">
      <c r="A263" s="54" t="s">
        <v>433</v>
      </c>
      <c r="B263" s="54" t="s">
        <v>434</v>
      </c>
      <c r="C263" s="31">
        <v>4301011851</v>
      </c>
      <c r="D263" s="549">
        <v>4680115885820</v>
      </c>
      <c r="E263" s="550"/>
      <c r="F263" s="544">
        <v>0.4</v>
      </c>
      <c r="G263" s="32">
        <v>10</v>
      </c>
      <c r="H263" s="544">
        <v>4</v>
      </c>
      <c r="I263" s="544">
        <v>4.1900000000000004</v>
      </c>
      <c r="J263" s="32">
        <v>132</v>
      </c>
      <c r="K263" s="32" t="s">
        <v>112</v>
      </c>
      <c r="L263" s="32"/>
      <c r="M263" s="33" t="s">
        <v>107</v>
      </c>
      <c r="N263" s="33"/>
      <c r="O263" s="32">
        <v>55</v>
      </c>
      <c r="P263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IFERROR(IF(Y263=0,"",ROUNDUP(Y263/H263,0)*0.00902),"")</f>
        <v/>
      </c>
      <c r="AA263" s="56"/>
      <c r="AB263" s="57"/>
      <c r="AC263" s="317" t="s">
        <v>435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x14ac:dyDescent="0.2">
      <c r="A264" s="568"/>
      <c r="B264" s="558"/>
      <c r="C264" s="558"/>
      <c r="D264" s="558"/>
      <c r="E264" s="558"/>
      <c r="F264" s="558"/>
      <c r="G264" s="558"/>
      <c r="H264" s="558"/>
      <c r="I264" s="558"/>
      <c r="J264" s="558"/>
      <c r="K264" s="558"/>
      <c r="L264" s="558"/>
      <c r="M264" s="558"/>
      <c r="N264" s="558"/>
      <c r="O264" s="569"/>
      <c r="P264" s="561" t="s">
        <v>75</v>
      </c>
      <c r="Q264" s="562"/>
      <c r="R264" s="562"/>
      <c r="S264" s="562"/>
      <c r="T264" s="562"/>
      <c r="U264" s="562"/>
      <c r="V264" s="563"/>
      <c r="W264" s="37" t="s">
        <v>76</v>
      </c>
      <c r="X264" s="547">
        <f>IFERROR(X259/H259,"0")+IFERROR(X260/H260,"0")+IFERROR(X261/H261,"0")+IFERROR(X262/H262,"0")+IFERROR(X263/H263,"0")</f>
        <v>0</v>
      </c>
      <c r="Y264" s="547">
        <f>IFERROR(Y259/H259,"0")+IFERROR(Y260/H260,"0")+IFERROR(Y261/H261,"0")+IFERROR(Y262/H262,"0")+IFERROR(Y263/H263,"0")</f>
        <v>0</v>
      </c>
      <c r="Z264" s="547">
        <f>IFERROR(IF(Z259="",0,Z259),"0")+IFERROR(IF(Z260="",0,Z260),"0")+IFERROR(IF(Z261="",0,Z261),"0")+IFERROR(IF(Z262="",0,Z262),"0")+IFERROR(IF(Z263="",0,Z263),"0")</f>
        <v>0</v>
      </c>
      <c r="AA264" s="548"/>
      <c r="AB264" s="548"/>
      <c r="AC264" s="548"/>
    </row>
    <row r="265" spans="1:68" x14ac:dyDescent="0.2">
      <c r="A265" s="558"/>
      <c r="B265" s="558"/>
      <c r="C265" s="558"/>
      <c r="D265" s="558"/>
      <c r="E265" s="558"/>
      <c r="F265" s="558"/>
      <c r="G265" s="558"/>
      <c r="H265" s="558"/>
      <c r="I265" s="558"/>
      <c r="J265" s="558"/>
      <c r="K265" s="558"/>
      <c r="L265" s="558"/>
      <c r="M265" s="558"/>
      <c r="N265" s="558"/>
      <c r="O265" s="569"/>
      <c r="P265" s="561" t="s">
        <v>75</v>
      </c>
      <c r="Q265" s="562"/>
      <c r="R265" s="562"/>
      <c r="S265" s="562"/>
      <c r="T265" s="562"/>
      <c r="U265" s="562"/>
      <c r="V265" s="563"/>
      <c r="W265" s="37" t="s">
        <v>69</v>
      </c>
      <c r="X265" s="547">
        <f>IFERROR(SUM(X259:X263),"0")</f>
        <v>0</v>
      </c>
      <c r="Y265" s="547">
        <f>IFERROR(SUM(Y259:Y263),"0")</f>
        <v>0</v>
      </c>
      <c r="Z265" s="37"/>
      <c r="AA265" s="548"/>
      <c r="AB265" s="548"/>
      <c r="AC265" s="548"/>
    </row>
    <row r="266" spans="1:68" ht="16.5" customHeight="1" x14ac:dyDescent="0.25">
      <c r="A266" s="591" t="s">
        <v>436</v>
      </c>
      <c r="B266" s="558"/>
      <c r="C266" s="558"/>
      <c r="D266" s="558"/>
      <c r="E266" s="558"/>
      <c r="F266" s="558"/>
      <c r="G266" s="558"/>
      <c r="H266" s="558"/>
      <c r="I266" s="558"/>
      <c r="J266" s="558"/>
      <c r="K266" s="558"/>
      <c r="L266" s="558"/>
      <c r="M266" s="558"/>
      <c r="N266" s="558"/>
      <c r="O266" s="558"/>
      <c r="P266" s="558"/>
      <c r="Q266" s="558"/>
      <c r="R266" s="558"/>
      <c r="S266" s="558"/>
      <c r="T266" s="558"/>
      <c r="U266" s="558"/>
      <c r="V266" s="558"/>
      <c r="W266" s="558"/>
      <c r="X266" s="558"/>
      <c r="Y266" s="558"/>
      <c r="Z266" s="558"/>
      <c r="AA266" s="540"/>
      <c r="AB266" s="540"/>
      <c r="AC266" s="540"/>
    </row>
    <row r="267" spans="1:68" ht="14.25" customHeight="1" x14ac:dyDescent="0.25">
      <c r="A267" s="557" t="s">
        <v>102</v>
      </c>
      <c r="B267" s="558"/>
      <c r="C267" s="558"/>
      <c r="D267" s="558"/>
      <c r="E267" s="558"/>
      <c r="F267" s="558"/>
      <c r="G267" s="558"/>
      <c r="H267" s="558"/>
      <c r="I267" s="558"/>
      <c r="J267" s="558"/>
      <c r="K267" s="558"/>
      <c r="L267" s="558"/>
      <c r="M267" s="558"/>
      <c r="N267" s="558"/>
      <c r="O267" s="558"/>
      <c r="P267" s="558"/>
      <c r="Q267" s="558"/>
      <c r="R267" s="558"/>
      <c r="S267" s="558"/>
      <c r="T267" s="558"/>
      <c r="U267" s="558"/>
      <c r="V267" s="558"/>
      <c r="W267" s="558"/>
      <c r="X267" s="558"/>
      <c r="Y267" s="558"/>
      <c r="Z267" s="558"/>
      <c r="AA267" s="541"/>
      <c r="AB267" s="541"/>
      <c r="AC267" s="541"/>
    </row>
    <row r="268" spans="1:68" ht="27" customHeight="1" x14ac:dyDescent="0.25">
      <c r="A268" s="54" t="s">
        <v>437</v>
      </c>
      <c r="B268" s="54" t="s">
        <v>438</v>
      </c>
      <c r="C268" s="31">
        <v>4301011223</v>
      </c>
      <c r="D268" s="549">
        <v>4607091383423</v>
      </c>
      <c r="E268" s="550"/>
      <c r="F268" s="544">
        <v>1.35</v>
      </c>
      <c r="G268" s="32">
        <v>8</v>
      </c>
      <c r="H268" s="544">
        <v>10.8</v>
      </c>
      <c r="I268" s="544">
        <v>11.305999999999999</v>
      </c>
      <c r="J268" s="32">
        <v>64</v>
      </c>
      <c r="K268" s="32" t="s">
        <v>105</v>
      </c>
      <c r="L268" s="32"/>
      <c r="M268" s="33" t="s">
        <v>80</v>
      </c>
      <c r="N268" s="33"/>
      <c r="O268" s="32">
        <v>35</v>
      </c>
      <c r="P268" s="6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8" s="552"/>
      <c r="R268" s="552"/>
      <c r="S268" s="552"/>
      <c r="T268" s="553"/>
      <c r="U268" s="34"/>
      <c r="V268" s="34"/>
      <c r="W268" s="35" t="s">
        <v>69</v>
      </c>
      <c r="X268" s="545">
        <v>0</v>
      </c>
      <c r="Y268" s="546">
        <f>IFERROR(IF(X268="",0,CEILING((X268/$H268),1)*$H268),"")</f>
        <v>0</v>
      </c>
      <c r="Z268" s="36" t="str">
        <f>IFERROR(IF(Y268=0,"",ROUNDUP(Y268/H268,0)*0.01898),"")</f>
        <v/>
      </c>
      <c r="AA268" s="56"/>
      <c r="AB268" s="57"/>
      <c r="AC268" s="319" t="s">
        <v>108</v>
      </c>
      <c r="AG268" s="64"/>
      <c r="AJ268" s="68"/>
      <c r="AK268" s="68">
        <v>0</v>
      </c>
      <c r="BB268" s="320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t="37.5" customHeight="1" x14ac:dyDescent="0.25">
      <c r="A269" s="54" t="s">
        <v>439</v>
      </c>
      <c r="B269" s="54" t="s">
        <v>440</v>
      </c>
      <c r="C269" s="31">
        <v>4301012199</v>
      </c>
      <c r="D269" s="549">
        <v>4680115886957</v>
      </c>
      <c r="E269" s="550"/>
      <c r="F269" s="544">
        <v>1.35</v>
      </c>
      <c r="G269" s="32">
        <v>8</v>
      </c>
      <c r="H269" s="544">
        <v>10.8</v>
      </c>
      <c r="I269" s="544">
        <v>11.21</v>
      </c>
      <c r="J269" s="32">
        <v>64</v>
      </c>
      <c r="K269" s="32" t="s">
        <v>105</v>
      </c>
      <c r="L269" s="32"/>
      <c r="M269" s="33" t="s">
        <v>80</v>
      </c>
      <c r="N269" s="33"/>
      <c r="O269" s="32">
        <v>30</v>
      </c>
      <c r="P269" s="79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9" s="552"/>
      <c r="R269" s="552"/>
      <c r="S269" s="552"/>
      <c r="T269" s="553"/>
      <c r="U269" s="34"/>
      <c r="V269" s="34"/>
      <c r="W269" s="35" t="s">
        <v>69</v>
      </c>
      <c r="X269" s="545">
        <v>0</v>
      </c>
      <c r="Y269" s="546">
        <f>IFERROR(IF(X269="",0,CEILING((X269/$H269),1)*$H269),"")</f>
        <v>0</v>
      </c>
      <c r="Z269" s="36" t="str">
        <f>IFERROR(IF(Y269=0,"",ROUNDUP(Y269/H269,0)*0.01898),"")</f>
        <v/>
      </c>
      <c r="AA269" s="56"/>
      <c r="AB269" s="57"/>
      <c r="AC269" s="321" t="s">
        <v>441</v>
      </c>
      <c r="AG269" s="64"/>
      <c r="AJ269" s="68"/>
      <c r="AK269" s="68">
        <v>0</v>
      </c>
      <c r="BB269" s="322" t="s">
        <v>1</v>
      </c>
      <c r="BM269" s="64">
        <f>IFERROR(X269*I269/H269,"0")</f>
        <v>0</v>
      </c>
      <c r="BN269" s="64">
        <f>IFERROR(Y269*I269/H269,"0")</f>
        <v>0</v>
      </c>
      <c r="BO269" s="64">
        <f>IFERROR(1/J269*(X269/H269),"0")</f>
        <v>0</v>
      </c>
      <c r="BP269" s="64">
        <f>IFERROR(1/J269*(Y269/H269),"0")</f>
        <v>0</v>
      </c>
    </row>
    <row r="270" spans="1:68" ht="27" customHeight="1" x14ac:dyDescent="0.25">
      <c r="A270" s="54" t="s">
        <v>442</v>
      </c>
      <c r="B270" s="54" t="s">
        <v>443</v>
      </c>
      <c r="C270" s="31">
        <v>4301012098</v>
      </c>
      <c r="D270" s="549">
        <v>4680115885660</v>
      </c>
      <c r="E270" s="550"/>
      <c r="F270" s="544">
        <v>1.35</v>
      </c>
      <c r="G270" s="32">
        <v>8</v>
      </c>
      <c r="H270" s="544">
        <v>10.8</v>
      </c>
      <c r="I270" s="544">
        <v>11.21</v>
      </c>
      <c r="J270" s="32">
        <v>64</v>
      </c>
      <c r="K270" s="32" t="s">
        <v>105</v>
      </c>
      <c r="L270" s="32"/>
      <c r="M270" s="33" t="s">
        <v>80</v>
      </c>
      <c r="N270" s="33"/>
      <c r="O270" s="32">
        <v>35</v>
      </c>
      <c r="P270" s="81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0" s="552"/>
      <c r="R270" s="552"/>
      <c r="S270" s="552"/>
      <c r="T270" s="553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389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444</v>
      </c>
      <c r="B271" s="54" t="s">
        <v>445</v>
      </c>
      <c r="C271" s="31">
        <v>4301012176</v>
      </c>
      <c r="D271" s="549">
        <v>4680115886773</v>
      </c>
      <c r="E271" s="550"/>
      <c r="F271" s="544">
        <v>0.9</v>
      </c>
      <c r="G271" s="32">
        <v>10</v>
      </c>
      <c r="H271" s="544">
        <v>9</v>
      </c>
      <c r="I271" s="544">
        <v>9.41</v>
      </c>
      <c r="J271" s="32">
        <v>64</v>
      </c>
      <c r="K271" s="32" t="s">
        <v>105</v>
      </c>
      <c r="L271" s="32"/>
      <c r="M271" s="33" t="s">
        <v>107</v>
      </c>
      <c r="N271" s="33"/>
      <c r="O271" s="32">
        <v>31</v>
      </c>
      <c r="P271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446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x14ac:dyDescent="0.2">
      <c r="A272" s="568"/>
      <c r="B272" s="558"/>
      <c r="C272" s="558"/>
      <c r="D272" s="558"/>
      <c r="E272" s="558"/>
      <c r="F272" s="558"/>
      <c r="G272" s="558"/>
      <c r="H272" s="558"/>
      <c r="I272" s="558"/>
      <c r="J272" s="558"/>
      <c r="K272" s="558"/>
      <c r="L272" s="558"/>
      <c r="M272" s="558"/>
      <c r="N272" s="558"/>
      <c r="O272" s="569"/>
      <c r="P272" s="561" t="s">
        <v>75</v>
      </c>
      <c r="Q272" s="562"/>
      <c r="R272" s="562"/>
      <c r="S272" s="562"/>
      <c r="T272" s="562"/>
      <c r="U272" s="562"/>
      <c r="V272" s="563"/>
      <c r="W272" s="37" t="s">
        <v>76</v>
      </c>
      <c r="X272" s="547">
        <f>IFERROR(X268/H268,"0")+IFERROR(X269/H269,"0")+IFERROR(X270/H270,"0")+IFERROR(X271/H271,"0")</f>
        <v>0</v>
      </c>
      <c r="Y272" s="547">
        <f>IFERROR(Y268/H268,"0")+IFERROR(Y269/H269,"0")+IFERROR(Y270/H270,"0")+IFERROR(Y271/H271,"0")</f>
        <v>0</v>
      </c>
      <c r="Z272" s="547">
        <f>IFERROR(IF(Z268="",0,Z268),"0")+IFERROR(IF(Z269="",0,Z269),"0")+IFERROR(IF(Z270="",0,Z270),"0")+IFERROR(IF(Z271="",0,Z271),"0")</f>
        <v>0</v>
      </c>
      <c r="AA272" s="548"/>
      <c r="AB272" s="548"/>
      <c r="AC272" s="548"/>
    </row>
    <row r="273" spans="1:68" x14ac:dyDescent="0.2">
      <c r="A273" s="558"/>
      <c r="B273" s="558"/>
      <c r="C273" s="558"/>
      <c r="D273" s="558"/>
      <c r="E273" s="558"/>
      <c r="F273" s="558"/>
      <c r="G273" s="558"/>
      <c r="H273" s="558"/>
      <c r="I273" s="558"/>
      <c r="J273" s="558"/>
      <c r="K273" s="558"/>
      <c r="L273" s="558"/>
      <c r="M273" s="558"/>
      <c r="N273" s="558"/>
      <c r="O273" s="569"/>
      <c r="P273" s="561" t="s">
        <v>75</v>
      </c>
      <c r="Q273" s="562"/>
      <c r="R273" s="562"/>
      <c r="S273" s="562"/>
      <c r="T273" s="562"/>
      <c r="U273" s="562"/>
      <c r="V273" s="563"/>
      <c r="W273" s="37" t="s">
        <v>69</v>
      </c>
      <c r="X273" s="547">
        <f>IFERROR(SUM(X268:X271),"0")</f>
        <v>0</v>
      </c>
      <c r="Y273" s="547">
        <f>IFERROR(SUM(Y268:Y271),"0")</f>
        <v>0</v>
      </c>
      <c r="Z273" s="37"/>
      <c r="AA273" s="548"/>
      <c r="AB273" s="548"/>
      <c r="AC273" s="548"/>
    </row>
    <row r="274" spans="1:68" ht="16.5" customHeight="1" x14ac:dyDescent="0.25">
      <c r="A274" s="591" t="s">
        <v>447</v>
      </c>
      <c r="B274" s="558"/>
      <c r="C274" s="558"/>
      <c r="D274" s="558"/>
      <c r="E274" s="558"/>
      <c r="F274" s="558"/>
      <c r="G274" s="558"/>
      <c r="H274" s="558"/>
      <c r="I274" s="558"/>
      <c r="J274" s="558"/>
      <c r="K274" s="558"/>
      <c r="L274" s="558"/>
      <c r="M274" s="558"/>
      <c r="N274" s="558"/>
      <c r="O274" s="558"/>
      <c r="P274" s="558"/>
      <c r="Q274" s="558"/>
      <c r="R274" s="558"/>
      <c r="S274" s="558"/>
      <c r="T274" s="558"/>
      <c r="U274" s="558"/>
      <c r="V274" s="558"/>
      <c r="W274" s="558"/>
      <c r="X274" s="558"/>
      <c r="Y274" s="558"/>
      <c r="Z274" s="558"/>
      <c r="AA274" s="540"/>
      <c r="AB274" s="540"/>
      <c r="AC274" s="540"/>
    </row>
    <row r="275" spans="1:68" ht="14.25" customHeight="1" x14ac:dyDescent="0.25">
      <c r="A275" s="557" t="s">
        <v>77</v>
      </c>
      <c r="B275" s="558"/>
      <c r="C275" s="558"/>
      <c r="D275" s="558"/>
      <c r="E275" s="558"/>
      <c r="F275" s="558"/>
      <c r="G275" s="558"/>
      <c r="H275" s="558"/>
      <c r="I275" s="558"/>
      <c r="J275" s="558"/>
      <c r="K275" s="558"/>
      <c r="L275" s="558"/>
      <c r="M275" s="558"/>
      <c r="N275" s="558"/>
      <c r="O275" s="558"/>
      <c r="P275" s="558"/>
      <c r="Q275" s="558"/>
      <c r="R275" s="558"/>
      <c r="S275" s="558"/>
      <c r="T275" s="558"/>
      <c r="U275" s="558"/>
      <c r="V275" s="558"/>
      <c r="W275" s="558"/>
      <c r="X275" s="558"/>
      <c r="Y275" s="558"/>
      <c r="Z275" s="558"/>
      <c r="AA275" s="541"/>
      <c r="AB275" s="541"/>
      <c r="AC275" s="541"/>
    </row>
    <row r="276" spans="1:68" ht="27" customHeight="1" x14ac:dyDescent="0.25">
      <c r="A276" s="54" t="s">
        <v>448</v>
      </c>
      <c r="B276" s="54" t="s">
        <v>449</v>
      </c>
      <c r="C276" s="31">
        <v>4301051893</v>
      </c>
      <c r="D276" s="549">
        <v>4680115886186</v>
      </c>
      <c r="E276" s="550"/>
      <c r="F276" s="544">
        <v>0.3</v>
      </c>
      <c r="G276" s="32">
        <v>6</v>
      </c>
      <c r="H276" s="544">
        <v>1.8</v>
      </c>
      <c r="I276" s="544">
        <v>1.98</v>
      </c>
      <c r="J276" s="32">
        <v>182</v>
      </c>
      <c r="K276" s="32" t="s">
        <v>67</v>
      </c>
      <c r="L276" s="32"/>
      <c r="M276" s="33" t="s">
        <v>80</v>
      </c>
      <c r="N276" s="33"/>
      <c r="O276" s="32">
        <v>45</v>
      </c>
      <c r="P276" s="8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6" s="552"/>
      <c r="R276" s="552"/>
      <c r="S276" s="552"/>
      <c r="T276" s="553"/>
      <c r="U276" s="34"/>
      <c r="V276" s="34"/>
      <c r="W276" s="35" t="s">
        <v>69</v>
      </c>
      <c r="X276" s="545">
        <v>0</v>
      </c>
      <c r="Y276" s="546">
        <f>IFERROR(IF(X276="",0,CEILING((X276/$H276),1)*$H276),"")</f>
        <v>0</v>
      </c>
      <c r="Z276" s="36" t="str">
        <f>IFERROR(IF(Y276=0,"",ROUNDUP(Y276/H276,0)*0.00651),"")</f>
        <v/>
      </c>
      <c r="AA276" s="56"/>
      <c r="AB276" s="57"/>
      <c r="AC276" s="327" t="s">
        <v>450</v>
      </c>
      <c r="AG276" s="64"/>
      <c r="AJ276" s="68"/>
      <c r="AK276" s="68">
        <v>0</v>
      </c>
      <c r="BB276" s="328" t="s">
        <v>1</v>
      </c>
      <c r="BM276" s="64">
        <f>IFERROR(X276*I276/H276,"0")</f>
        <v>0</v>
      </c>
      <c r="BN276" s="64">
        <f>IFERROR(Y276*I276/H276,"0")</f>
        <v>0</v>
      </c>
      <c r="BO276" s="64">
        <f>IFERROR(1/J276*(X276/H276),"0")</f>
        <v>0</v>
      </c>
      <c r="BP276" s="64">
        <f>IFERROR(1/J276*(Y276/H276),"0")</f>
        <v>0</v>
      </c>
    </row>
    <row r="277" spans="1:68" ht="27" customHeight="1" x14ac:dyDescent="0.25">
      <c r="A277" s="54" t="s">
        <v>451</v>
      </c>
      <c r="B277" s="54" t="s">
        <v>452</v>
      </c>
      <c r="C277" s="31">
        <v>4301051795</v>
      </c>
      <c r="D277" s="549">
        <v>4680115881228</v>
      </c>
      <c r="E277" s="550"/>
      <c r="F277" s="544">
        <v>0.4</v>
      </c>
      <c r="G277" s="32">
        <v>6</v>
      </c>
      <c r="H277" s="544">
        <v>2.4</v>
      </c>
      <c r="I277" s="544">
        <v>2.6520000000000001</v>
      </c>
      <c r="J277" s="32">
        <v>182</v>
      </c>
      <c r="K277" s="32" t="s">
        <v>67</v>
      </c>
      <c r="L277" s="32" t="s">
        <v>223</v>
      </c>
      <c r="M277" s="33" t="s">
        <v>87</v>
      </c>
      <c r="N277" s="33"/>
      <c r="O277" s="32">
        <v>40</v>
      </c>
      <c r="P277" s="70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7" s="552"/>
      <c r="R277" s="552"/>
      <c r="S277" s="552"/>
      <c r="T277" s="553"/>
      <c r="U277" s="34"/>
      <c r="V277" s="34"/>
      <c r="W277" s="35" t="s">
        <v>69</v>
      </c>
      <c r="X277" s="545">
        <v>0</v>
      </c>
      <c r="Y277" s="546">
        <f>IFERROR(IF(X277="",0,CEILING((X277/$H277),1)*$H277),"")</f>
        <v>0</v>
      </c>
      <c r="Z277" s="36" t="str">
        <f>IFERROR(IF(Y277=0,"",ROUNDUP(Y277/H277,0)*0.00651),"")</f>
        <v/>
      </c>
      <c r="AA277" s="56"/>
      <c r="AB277" s="57"/>
      <c r="AC277" s="329" t="s">
        <v>453</v>
      </c>
      <c r="AG277" s="64"/>
      <c r="AJ277" s="68" t="s">
        <v>109</v>
      </c>
      <c r="AK277" s="68">
        <v>33.6</v>
      </c>
      <c r="BB277" s="330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454</v>
      </c>
      <c r="B278" s="54" t="s">
        <v>455</v>
      </c>
      <c r="C278" s="31">
        <v>4301051388</v>
      </c>
      <c r="D278" s="549">
        <v>4680115881211</v>
      </c>
      <c r="E278" s="550"/>
      <c r="F278" s="544">
        <v>0.4</v>
      </c>
      <c r="G278" s="32">
        <v>6</v>
      </c>
      <c r="H278" s="544">
        <v>2.4</v>
      </c>
      <c r="I278" s="544">
        <v>2.58</v>
      </c>
      <c r="J278" s="32">
        <v>182</v>
      </c>
      <c r="K278" s="32" t="s">
        <v>67</v>
      </c>
      <c r="L278" s="32" t="s">
        <v>223</v>
      </c>
      <c r="M278" s="33" t="s">
        <v>80</v>
      </c>
      <c r="N278" s="33"/>
      <c r="O278" s="32">
        <v>45</v>
      </c>
      <c r="P278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8" s="552"/>
      <c r="R278" s="552"/>
      <c r="S278" s="552"/>
      <c r="T278" s="553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 t="s">
        <v>109</v>
      </c>
      <c r="AK278" s="68">
        <v>33.6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x14ac:dyDescent="0.2">
      <c r="A279" s="568"/>
      <c r="B279" s="558"/>
      <c r="C279" s="558"/>
      <c r="D279" s="558"/>
      <c r="E279" s="558"/>
      <c r="F279" s="558"/>
      <c r="G279" s="558"/>
      <c r="H279" s="558"/>
      <c r="I279" s="558"/>
      <c r="J279" s="558"/>
      <c r="K279" s="558"/>
      <c r="L279" s="558"/>
      <c r="M279" s="558"/>
      <c r="N279" s="558"/>
      <c r="O279" s="569"/>
      <c r="P279" s="561" t="s">
        <v>75</v>
      </c>
      <c r="Q279" s="562"/>
      <c r="R279" s="562"/>
      <c r="S279" s="562"/>
      <c r="T279" s="562"/>
      <c r="U279" s="562"/>
      <c r="V279" s="563"/>
      <c r="W279" s="37" t="s">
        <v>76</v>
      </c>
      <c r="X279" s="547">
        <f>IFERROR(X276/H276,"0")+IFERROR(X277/H277,"0")+IFERROR(X278/H278,"0")</f>
        <v>0</v>
      </c>
      <c r="Y279" s="547">
        <f>IFERROR(Y276/H276,"0")+IFERROR(Y277/H277,"0")+IFERROR(Y278/H278,"0")</f>
        <v>0</v>
      </c>
      <c r="Z279" s="547">
        <f>IFERROR(IF(Z276="",0,Z276),"0")+IFERROR(IF(Z277="",0,Z277),"0")+IFERROR(IF(Z278="",0,Z278),"0")</f>
        <v>0</v>
      </c>
      <c r="AA279" s="548"/>
      <c r="AB279" s="548"/>
      <c r="AC279" s="548"/>
    </row>
    <row r="280" spans="1:68" x14ac:dyDescent="0.2">
      <c r="A280" s="558"/>
      <c r="B280" s="558"/>
      <c r="C280" s="558"/>
      <c r="D280" s="558"/>
      <c r="E280" s="558"/>
      <c r="F280" s="558"/>
      <c r="G280" s="558"/>
      <c r="H280" s="558"/>
      <c r="I280" s="558"/>
      <c r="J280" s="558"/>
      <c r="K280" s="558"/>
      <c r="L280" s="558"/>
      <c r="M280" s="558"/>
      <c r="N280" s="558"/>
      <c r="O280" s="569"/>
      <c r="P280" s="561" t="s">
        <v>75</v>
      </c>
      <c r="Q280" s="562"/>
      <c r="R280" s="562"/>
      <c r="S280" s="562"/>
      <c r="T280" s="562"/>
      <c r="U280" s="562"/>
      <c r="V280" s="563"/>
      <c r="W280" s="37" t="s">
        <v>69</v>
      </c>
      <c r="X280" s="547">
        <f>IFERROR(SUM(X276:X278),"0")</f>
        <v>0</v>
      </c>
      <c r="Y280" s="547">
        <f>IFERROR(SUM(Y276:Y278),"0")</f>
        <v>0</v>
      </c>
      <c r="Z280" s="37"/>
      <c r="AA280" s="548"/>
      <c r="AB280" s="548"/>
      <c r="AC280" s="548"/>
    </row>
    <row r="281" spans="1:68" ht="16.5" customHeight="1" x14ac:dyDescent="0.25">
      <c r="A281" s="591" t="s">
        <v>456</v>
      </c>
      <c r="B281" s="558"/>
      <c r="C281" s="558"/>
      <c r="D281" s="558"/>
      <c r="E281" s="558"/>
      <c r="F281" s="558"/>
      <c r="G281" s="558"/>
      <c r="H281" s="558"/>
      <c r="I281" s="558"/>
      <c r="J281" s="558"/>
      <c r="K281" s="558"/>
      <c r="L281" s="558"/>
      <c r="M281" s="558"/>
      <c r="N281" s="558"/>
      <c r="O281" s="558"/>
      <c r="P281" s="558"/>
      <c r="Q281" s="558"/>
      <c r="R281" s="558"/>
      <c r="S281" s="558"/>
      <c r="T281" s="558"/>
      <c r="U281" s="558"/>
      <c r="V281" s="558"/>
      <c r="W281" s="558"/>
      <c r="X281" s="558"/>
      <c r="Y281" s="558"/>
      <c r="Z281" s="558"/>
      <c r="AA281" s="540"/>
      <c r="AB281" s="540"/>
      <c r="AC281" s="540"/>
    </row>
    <row r="282" spans="1:68" ht="14.25" customHeight="1" x14ac:dyDescent="0.25">
      <c r="A282" s="557" t="s">
        <v>64</v>
      </c>
      <c r="B282" s="558"/>
      <c r="C282" s="558"/>
      <c r="D282" s="558"/>
      <c r="E282" s="558"/>
      <c r="F282" s="558"/>
      <c r="G282" s="558"/>
      <c r="H282" s="558"/>
      <c r="I282" s="558"/>
      <c r="J282" s="558"/>
      <c r="K282" s="558"/>
      <c r="L282" s="558"/>
      <c r="M282" s="558"/>
      <c r="N282" s="558"/>
      <c r="O282" s="558"/>
      <c r="P282" s="558"/>
      <c r="Q282" s="558"/>
      <c r="R282" s="558"/>
      <c r="S282" s="558"/>
      <c r="T282" s="558"/>
      <c r="U282" s="558"/>
      <c r="V282" s="558"/>
      <c r="W282" s="558"/>
      <c r="X282" s="558"/>
      <c r="Y282" s="558"/>
      <c r="Z282" s="558"/>
      <c r="AA282" s="541"/>
      <c r="AB282" s="541"/>
      <c r="AC282" s="541"/>
    </row>
    <row r="283" spans="1:68" ht="27" customHeight="1" x14ac:dyDescent="0.25">
      <c r="A283" s="54" t="s">
        <v>457</v>
      </c>
      <c r="B283" s="54" t="s">
        <v>458</v>
      </c>
      <c r="C283" s="31">
        <v>4301031307</v>
      </c>
      <c r="D283" s="549">
        <v>4680115880344</v>
      </c>
      <c r="E283" s="550"/>
      <c r="F283" s="544">
        <v>0.28000000000000003</v>
      </c>
      <c r="G283" s="32">
        <v>6</v>
      </c>
      <c r="H283" s="544">
        <v>1.68</v>
      </c>
      <c r="I283" s="544">
        <v>1.78</v>
      </c>
      <c r="J283" s="32">
        <v>234</v>
      </c>
      <c r="K283" s="32" t="s">
        <v>73</v>
      </c>
      <c r="L283" s="32"/>
      <c r="M283" s="33" t="s">
        <v>68</v>
      </c>
      <c r="N283" s="33"/>
      <c r="O283" s="32">
        <v>40</v>
      </c>
      <c r="P283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3" s="552"/>
      <c r="R283" s="552"/>
      <c r="S283" s="552"/>
      <c r="T283" s="553"/>
      <c r="U283" s="34"/>
      <c r="V283" s="34"/>
      <c r="W283" s="35" t="s">
        <v>69</v>
      </c>
      <c r="X283" s="545">
        <v>0</v>
      </c>
      <c r="Y283" s="546">
        <f>IFERROR(IF(X283="",0,CEILING((X283/$H283),1)*$H283),"")</f>
        <v>0</v>
      </c>
      <c r="Z283" s="36" t="str">
        <f>IFERROR(IF(Y283=0,"",ROUNDUP(Y283/H283,0)*0.00502),"")</f>
        <v/>
      </c>
      <c r="AA283" s="56"/>
      <c r="AB283" s="57"/>
      <c r="AC283" s="333" t="s">
        <v>459</v>
      </c>
      <c r="AG283" s="64"/>
      <c r="AJ283" s="68"/>
      <c r="AK283" s="68">
        <v>0</v>
      </c>
      <c r="BB283" s="334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460</v>
      </c>
      <c r="B284" s="54" t="s">
        <v>461</v>
      </c>
      <c r="C284" s="31">
        <v>4301031429</v>
      </c>
      <c r="D284" s="549">
        <v>4680115886919</v>
      </c>
      <c r="E284" s="550"/>
      <c r="F284" s="544">
        <v>0.4</v>
      </c>
      <c r="G284" s="32">
        <v>6</v>
      </c>
      <c r="H284" s="544">
        <v>2.4</v>
      </c>
      <c r="I284" s="544">
        <v>2.58</v>
      </c>
      <c r="J284" s="32">
        <v>182</v>
      </c>
      <c r="K284" s="32" t="s">
        <v>67</v>
      </c>
      <c r="L284" s="32"/>
      <c r="M284" s="33" t="s">
        <v>68</v>
      </c>
      <c r="N284" s="33"/>
      <c r="O284" s="32">
        <v>40</v>
      </c>
      <c r="P284" s="64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4" s="552"/>
      <c r="R284" s="552"/>
      <c r="S284" s="552"/>
      <c r="T284" s="553"/>
      <c r="U284" s="34"/>
      <c r="V284" s="34"/>
      <c r="W284" s="35" t="s">
        <v>69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IFERROR(IF(Y284=0,"",ROUNDUP(Y284/H284,0)*0.00651),"")</f>
        <v/>
      </c>
      <c r="AA284" s="56"/>
      <c r="AB284" s="57"/>
      <c r="AC284" s="335" t="s">
        <v>462</v>
      </c>
      <c r="AG284" s="64"/>
      <c r="AJ284" s="68"/>
      <c r="AK284" s="68">
        <v>0</v>
      </c>
      <c r="BB284" s="336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8"/>
      <c r="B285" s="558"/>
      <c r="C285" s="558"/>
      <c r="D285" s="558"/>
      <c r="E285" s="558"/>
      <c r="F285" s="558"/>
      <c r="G285" s="558"/>
      <c r="H285" s="558"/>
      <c r="I285" s="558"/>
      <c r="J285" s="558"/>
      <c r="K285" s="558"/>
      <c r="L285" s="558"/>
      <c r="M285" s="558"/>
      <c r="N285" s="558"/>
      <c r="O285" s="569"/>
      <c r="P285" s="561" t="s">
        <v>75</v>
      </c>
      <c r="Q285" s="562"/>
      <c r="R285" s="562"/>
      <c r="S285" s="562"/>
      <c r="T285" s="562"/>
      <c r="U285" s="562"/>
      <c r="V285" s="563"/>
      <c r="W285" s="37" t="s">
        <v>76</v>
      </c>
      <c r="X285" s="547">
        <f>IFERROR(X283/H283,"0")+IFERROR(X284/H284,"0")</f>
        <v>0</v>
      </c>
      <c r="Y285" s="547">
        <f>IFERROR(Y283/H283,"0")+IFERROR(Y284/H284,"0")</f>
        <v>0</v>
      </c>
      <c r="Z285" s="547">
        <f>IFERROR(IF(Z283="",0,Z283),"0")+IFERROR(IF(Z284="",0,Z284),"0")</f>
        <v>0</v>
      </c>
      <c r="AA285" s="548"/>
      <c r="AB285" s="548"/>
      <c r="AC285" s="548"/>
    </row>
    <row r="286" spans="1:68" x14ac:dyDescent="0.2">
      <c r="A286" s="558"/>
      <c r="B286" s="558"/>
      <c r="C286" s="558"/>
      <c r="D286" s="558"/>
      <c r="E286" s="558"/>
      <c r="F286" s="558"/>
      <c r="G286" s="558"/>
      <c r="H286" s="558"/>
      <c r="I286" s="558"/>
      <c r="J286" s="558"/>
      <c r="K286" s="558"/>
      <c r="L286" s="558"/>
      <c r="M286" s="558"/>
      <c r="N286" s="558"/>
      <c r="O286" s="569"/>
      <c r="P286" s="561" t="s">
        <v>75</v>
      </c>
      <c r="Q286" s="562"/>
      <c r="R286" s="562"/>
      <c r="S286" s="562"/>
      <c r="T286" s="562"/>
      <c r="U286" s="562"/>
      <c r="V286" s="563"/>
      <c r="W286" s="37" t="s">
        <v>69</v>
      </c>
      <c r="X286" s="547">
        <f>IFERROR(SUM(X283:X284),"0")</f>
        <v>0</v>
      </c>
      <c r="Y286" s="547">
        <f>IFERROR(SUM(Y283:Y284),"0")</f>
        <v>0</v>
      </c>
      <c r="Z286" s="37"/>
      <c r="AA286" s="548"/>
      <c r="AB286" s="548"/>
      <c r="AC286" s="548"/>
    </row>
    <row r="287" spans="1:68" ht="14.25" customHeight="1" x14ac:dyDescent="0.25">
      <c r="A287" s="557" t="s">
        <v>77</v>
      </c>
      <c r="B287" s="558"/>
      <c r="C287" s="558"/>
      <c r="D287" s="558"/>
      <c r="E287" s="558"/>
      <c r="F287" s="558"/>
      <c r="G287" s="558"/>
      <c r="H287" s="558"/>
      <c r="I287" s="558"/>
      <c r="J287" s="558"/>
      <c r="K287" s="558"/>
      <c r="L287" s="558"/>
      <c r="M287" s="558"/>
      <c r="N287" s="558"/>
      <c r="O287" s="558"/>
      <c r="P287" s="558"/>
      <c r="Q287" s="558"/>
      <c r="R287" s="558"/>
      <c r="S287" s="558"/>
      <c r="T287" s="558"/>
      <c r="U287" s="558"/>
      <c r="V287" s="558"/>
      <c r="W287" s="558"/>
      <c r="X287" s="558"/>
      <c r="Y287" s="558"/>
      <c r="Z287" s="558"/>
      <c r="AA287" s="541"/>
      <c r="AB287" s="541"/>
      <c r="AC287" s="541"/>
    </row>
    <row r="288" spans="1:68" ht="37.5" customHeight="1" x14ac:dyDescent="0.25">
      <c r="A288" s="54" t="s">
        <v>463</v>
      </c>
      <c r="B288" s="54" t="s">
        <v>464</v>
      </c>
      <c r="C288" s="31">
        <v>4301051782</v>
      </c>
      <c r="D288" s="549">
        <v>4680115884618</v>
      </c>
      <c r="E288" s="550"/>
      <c r="F288" s="544">
        <v>0.6</v>
      </c>
      <c r="G288" s="32">
        <v>6</v>
      </c>
      <c r="H288" s="544">
        <v>3.6</v>
      </c>
      <c r="I288" s="544">
        <v>3.79</v>
      </c>
      <c r="J288" s="32">
        <v>132</v>
      </c>
      <c r="K288" s="32" t="s">
        <v>112</v>
      </c>
      <c r="L288" s="32"/>
      <c r="M288" s="33" t="s">
        <v>80</v>
      </c>
      <c r="N288" s="33"/>
      <c r="O288" s="32">
        <v>45</v>
      </c>
      <c r="P288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8" s="552"/>
      <c r="R288" s="552"/>
      <c r="S288" s="552"/>
      <c r="T288" s="553"/>
      <c r="U288" s="34"/>
      <c r="V288" s="34"/>
      <c r="W288" s="35" t="s">
        <v>69</v>
      </c>
      <c r="X288" s="545">
        <v>0</v>
      </c>
      <c r="Y288" s="546">
        <f>IFERROR(IF(X288="",0,CEILING((X288/$H288),1)*$H288),"")</f>
        <v>0</v>
      </c>
      <c r="Z288" s="36" t="str">
        <f>IFERROR(IF(Y288=0,"",ROUNDUP(Y288/H288,0)*0.00902),"")</f>
        <v/>
      </c>
      <c r="AA288" s="56"/>
      <c r="AB288" s="57"/>
      <c r="AC288" s="337" t="s">
        <v>465</v>
      </c>
      <c r="AG288" s="64"/>
      <c r="AJ288" s="68"/>
      <c r="AK288" s="68">
        <v>0</v>
      </c>
      <c r="BB288" s="338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27" customHeight="1" x14ac:dyDescent="0.25">
      <c r="A289" s="54" t="s">
        <v>466</v>
      </c>
      <c r="B289" s="54" t="s">
        <v>467</v>
      </c>
      <c r="C289" s="31">
        <v>4301052057</v>
      </c>
      <c r="D289" s="549">
        <v>4680115887114</v>
      </c>
      <c r="E289" s="550"/>
      <c r="F289" s="544">
        <v>0.55000000000000004</v>
      </c>
      <c r="G289" s="32">
        <v>6</v>
      </c>
      <c r="H289" s="544">
        <v>3.3</v>
      </c>
      <c r="I289" s="544">
        <v>3.49</v>
      </c>
      <c r="J289" s="32">
        <v>132</v>
      </c>
      <c r="K289" s="32" t="s">
        <v>112</v>
      </c>
      <c r="L289" s="32"/>
      <c r="M289" s="33" t="s">
        <v>80</v>
      </c>
      <c r="N289" s="33"/>
      <c r="O289" s="32">
        <v>45</v>
      </c>
      <c r="P289" s="6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9" s="552"/>
      <c r="R289" s="552"/>
      <c r="S289" s="552"/>
      <c r="T289" s="553"/>
      <c r="U289" s="34"/>
      <c r="V289" s="34"/>
      <c r="W289" s="35" t="s">
        <v>69</v>
      </c>
      <c r="X289" s="545">
        <v>0</v>
      </c>
      <c r="Y289" s="546">
        <f>IFERROR(IF(X289="",0,CEILING((X289/$H289),1)*$H289),"")</f>
        <v>0</v>
      </c>
      <c r="Z289" s="36" t="str">
        <f>IFERROR(IF(Y289=0,"",ROUNDUP(Y289/H289,0)*0.00902),"")</f>
        <v/>
      </c>
      <c r="AA289" s="56"/>
      <c r="AB289" s="57"/>
      <c r="AC289" s="339" t="s">
        <v>468</v>
      </c>
      <c r="AG289" s="64"/>
      <c r="AJ289" s="68"/>
      <c r="AK289" s="68">
        <v>0</v>
      </c>
      <c r="BB289" s="340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x14ac:dyDescent="0.2">
      <c r="A290" s="568"/>
      <c r="B290" s="558"/>
      <c r="C290" s="558"/>
      <c r="D290" s="558"/>
      <c r="E290" s="558"/>
      <c r="F290" s="558"/>
      <c r="G290" s="558"/>
      <c r="H290" s="558"/>
      <c r="I290" s="558"/>
      <c r="J290" s="558"/>
      <c r="K290" s="558"/>
      <c r="L290" s="558"/>
      <c r="M290" s="558"/>
      <c r="N290" s="558"/>
      <c r="O290" s="569"/>
      <c r="P290" s="561" t="s">
        <v>75</v>
      </c>
      <c r="Q290" s="562"/>
      <c r="R290" s="562"/>
      <c r="S290" s="562"/>
      <c r="T290" s="562"/>
      <c r="U290" s="562"/>
      <c r="V290" s="563"/>
      <c r="W290" s="37" t="s">
        <v>76</v>
      </c>
      <c r="X290" s="547">
        <f>IFERROR(X288/H288,"0")+IFERROR(X289/H289,"0")</f>
        <v>0</v>
      </c>
      <c r="Y290" s="547">
        <f>IFERROR(Y288/H288,"0")+IFERROR(Y289/H289,"0")</f>
        <v>0</v>
      </c>
      <c r="Z290" s="547">
        <f>IFERROR(IF(Z288="",0,Z288),"0")+IFERROR(IF(Z289="",0,Z289),"0")</f>
        <v>0</v>
      </c>
      <c r="AA290" s="548"/>
      <c r="AB290" s="548"/>
      <c r="AC290" s="548"/>
    </row>
    <row r="291" spans="1:68" x14ac:dyDescent="0.2">
      <c r="A291" s="558"/>
      <c r="B291" s="558"/>
      <c r="C291" s="558"/>
      <c r="D291" s="558"/>
      <c r="E291" s="558"/>
      <c r="F291" s="558"/>
      <c r="G291" s="558"/>
      <c r="H291" s="558"/>
      <c r="I291" s="558"/>
      <c r="J291" s="558"/>
      <c r="K291" s="558"/>
      <c r="L291" s="558"/>
      <c r="M291" s="558"/>
      <c r="N291" s="558"/>
      <c r="O291" s="569"/>
      <c r="P291" s="561" t="s">
        <v>75</v>
      </c>
      <c r="Q291" s="562"/>
      <c r="R291" s="562"/>
      <c r="S291" s="562"/>
      <c r="T291" s="562"/>
      <c r="U291" s="562"/>
      <c r="V291" s="563"/>
      <c r="W291" s="37" t="s">
        <v>69</v>
      </c>
      <c r="X291" s="547">
        <f>IFERROR(SUM(X288:X289),"0")</f>
        <v>0</v>
      </c>
      <c r="Y291" s="547">
        <f>IFERROR(SUM(Y288:Y289),"0")</f>
        <v>0</v>
      </c>
      <c r="Z291" s="37"/>
      <c r="AA291" s="548"/>
      <c r="AB291" s="548"/>
      <c r="AC291" s="548"/>
    </row>
    <row r="292" spans="1:68" ht="16.5" customHeight="1" x14ac:dyDescent="0.25">
      <c r="A292" s="591" t="s">
        <v>469</v>
      </c>
      <c r="B292" s="558"/>
      <c r="C292" s="558"/>
      <c r="D292" s="558"/>
      <c r="E292" s="558"/>
      <c r="F292" s="558"/>
      <c r="G292" s="558"/>
      <c r="H292" s="558"/>
      <c r="I292" s="558"/>
      <c r="J292" s="558"/>
      <c r="K292" s="558"/>
      <c r="L292" s="558"/>
      <c r="M292" s="558"/>
      <c r="N292" s="558"/>
      <c r="O292" s="558"/>
      <c r="P292" s="558"/>
      <c r="Q292" s="558"/>
      <c r="R292" s="558"/>
      <c r="S292" s="558"/>
      <c r="T292" s="558"/>
      <c r="U292" s="558"/>
      <c r="V292" s="558"/>
      <c r="W292" s="558"/>
      <c r="X292" s="558"/>
      <c r="Y292" s="558"/>
      <c r="Z292" s="558"/>
      <c r="AA292" s="540"/>
      <c r="AB292" s="540"/>
      <c r="AC292" s="540"/>
    </row>
    <row r="293" spans="1:68" ht="14.25" customHeight="1" x14ac:dyDescent="0.25">
      <c r="A293" s="557" t="s">
        <v>102</v>
      </c>
      <c r="B293" s="558"/>
      <c r="C293" s="558"/>
      <c r="D293" s="558"/>
      <c r="E293" s="558"/>
      <c r="F293" s="558"/>
      <c r="G293" s="558"/>
      <c r="H293" s="558"/>
      <c r="I293" s="558"/>
      <c r="J293" s="558"/>
      <c r="K293" s="558"/>
      <c r="L293" s="558"/>
      <c r="M293" s="558"/>
      <c r="N293" s="558"/>
      <c r="O293" s="558"/>
      <c r="P293" s="558"/>
      <c r="Q293" s="558"/>
      <c r="R293" s="558"/>
      <c r="S293" s="558"/>
      <c r="T293" s="558"/>
      <c r="U293" s="558"/>
      <c r="V293" s="558"/>
      <c r="W293" s="558"/>
      <c r="X293" s="558"/>
      <c r="Y293" s="558"/>
      <c r="Z293" s="558"/>
      <c r="AA293" s="541"/>
      <c r="AB293" s="541"/>
      <c r="AC293" s="541"/>
    </row>
    <row r="294" spans="1:68" ht="27" customHeight="1" x14ac:dyDescent="0.25">
      <c r="A294" s="54" t="s">
        <v>470</v>
      </c>
      <c r="B294" s="54" t="s">
        <v>471</v>
      </c>
      <c r="C294" s="31">
        <v>4301012024</v>
      </c>
      <c r="D294" s="549">
        <v>4680115885615</v>
      </c>
      <c r="E294" s="550"/>
      <c r="F294" s="544">
        <v>1.35</v>
      </c>
      <c r="G294" s="32">
        <v>8</v>
      </c>
      <c r="H294" s="544">
        <v>10.8</v>
      </c>
      <c r="I294" s="544">
        <v>11.21</v>
      </c>
      <c r="J294" s="32">
        <v>64</v>
      </c>
      <c r="K294" s="32" t="s">
        <v>105</v>
      </c>
      <c r="L294" s="32"/>
      <c r="M294" s="33" t="s">
        <v>80</v>
      </c>
      <c r="N294" s="33"/>
      <c r="O294" s="32">
        <v>55</v>
      </c>
      <c r="P294" s="8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4" s="552"/>
      <c r="R294" s="552"/>
      <c r="S294" s="552"/>
      <c r="T294" s="553"/>
      <c r="U294" s="34"/>
      <c r="V294" s="34"/>
      <c r="W294" s="35" t="s">
        <v>69</v>
      </c>
      <c r="X294" s="545">
        <v>0</v>
      </c>
      <c r="Y294" s="546">
        <f>IFERROR(IF(X294="",0,CEILING((X294/$H294),1)*$H294),"")</f>
        <v>0</v>
      </c>
      <c r="Z294" s="36" t="str">
        <f>IFERROR(IF(Y294=0,"",ROUNDUP(Y294/H294,0)*0.01898),"")</f>
        <v/>
      </c>
      <c r="AA294" s="56"/>
      <c r="AB294" s="57"/>
      <c r="AC294" s="341" t="s">
        <v>472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t="37.5" customHeight="1" x14ac:dyDescent="0.25">
      <c r="A295" s="54" t="s">
        <v>473</v>
      </c>
      <c r="B295" s="54" t="s">
        <v>474</v>
      </c>
      <c r="C295" s="31">
        <v>4301011858</v>
      </c>
      <c r="D295" s="549">
        <v>4680115885646</v>
      </c>
      <c r="E295" s="550"/>
      <c r="F295" s="544">
        <v>1.35</v>
      </c>
      <c r="G295" s="32">
        <v>8</v>
      </c>
      <c r="H295" s="544">
        <v>10.8</v>
      </c>
      <c r="I295" s="544">
        <v>11.21</v>
      </c>
      <c r="J295" s="32">
        <v>64</v>
      </c>
      <c r="K295" s="32" t="s">
        <v>105</v>
      </c>
      <c r="L295" s="32"/>
      <c r="M295" s="33" t="s">
        <v>107</v>
      </c>
      <c r="N295" s="33"/>
      <c r="O295" s="32">
        <v>55</v>
      </c>
      <c r="P295" s="806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5" s="552"/>
      <c r="R295" s="552"/>
      <c r="S295" s="552"/>
      <c r="T295" s="553"/>
      <c r="U295" s="34"/>
      <c r="V295" s="34"/>
      <c r="W295" s="35" t="s">
        <v>69</v>
      </c>
      <c r="X295" s="545">
        <v>0</v>
      </c>
      <c r="Y295" s="546">
        <f>IFERROR(IF(X295="",0,CEILING((X295/$H295),1)*$H295),"")</f>
        <v>0</v>
      </c>
      <c r="Z295" s="36" t="str">
        <f>IFERROR(IF(Y295=0,"",ROUNDUP(Y295/H295,0)*0.01898),"")</f>
        <v/>
      </c>
      <c r="AA295" s="56"/>
      <c r="AB295" s="57"/>
      <c r="AC295" s="343" t="s">
        <v>475</v>
      </c>
      <c r="AG295" s="64"/>
      <c r="AJ295" s="68"/>
      <c r="AK295" s="68">
        <v>0</v>
      </c>
      <c r="BB295" s="344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476</v>
      </c>
      <c r="B296" s="54" t="s">
        <v>477</v>
      </c>
      <c r="C296" s="31">
        <v>4301012016</v>
      </c>
      <c r="D296" s="549">
        <v>4680115885554</v>
      </c>
      <c r="E296" s="550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105</v>
      </c>
      <c r="L296" s="32"/>
      <c r="M296" s="33" t="s">
        <v>80</v>
      </c>
      <c r="N296" s="33"/>
      <c r="O296" s="32">
        <v>55</v>
      </c>
      <c r="P296" s="72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478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27" customHeight="1" x14ac:dyDescent="0.25">
      <c r="A297" s="54" t="s">
        <v>479</v>
      </c>
      <c r="B297" s="54" t="s">
        <v>480</v>
      </c>
      <c r="C297" s="31">
        <v>4301011857</v>
      </c>
      <c r="D297" s="549">
        <v>4680115885622</v>
      </c>
      <c r="E297" s="550"/>
      <c r="F297" s="544">
        <v>0.4</v>
      </c>
      <c r="G297" s="32">
        <v>10</v>
      </c>
      <c r="H297" s="544">
        <v>4</v>
      </c>
      <c r="I297" s="544">
        <v>4.1900000000000004</v>
      </c>
      <c r="J297" s="32">
        <v>132</v>
      </c>
      <c r="K297" s="32" t="s">
        <v>112</v>
      </c>
      <c r="L297" s="32"/>
      <c r="M297" s="33" t="s">
        <v>107</v>
      </c>
      <c r="N297" s="33"/>
      <c r="O297" s="32">
        <v>55</v>
      </c>
      <c r="P297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7" t="s">
        <v>472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481</v>
      </c>
      <c r="B298" s="54" t="s">
        <v>482</v>
      </c>
      <c r="C298" s="31">
        <v>4301011859</v>
      </c>
      <c r="D298" s="549">
        <v>4680115885608</v>
      </c>
      <c r="E298" s="550"/>
      <c r="F298" s="544">
        <v>0.4</v>
      </c>
      <c r="G298" s="32">
        <v>10</v>
      </c>
      <c r="H298" s="544">
        <v>4</v>
      </c>
      <c r="I298" s="544">
        <v>4.1900000000000004</v>
      </c>
      <c r="J298" s="32">
        <v>132</v>
      </c>
      <c r="K298" s="32" t="s">
        <v>112</v>
      </c>
      <c r="L298" s="32"/>
      <c r="M298" s="33" t="s">
        <v>107</v>
      </c>
      <c r="N298" s="33"/>
      <c r="O298" s="32">
        <v>55</v>
      </c>
      <c r="P298" s="82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9" t="s">
        <v>483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x14ac:dyDescent="0.2">
      <c r="A299" s="568"/>
      <c r="B299" s="558"/>
      <c r="C299" s="558"/>
      <c r="D299" s="558"/>
      <c r="E299" s="558"/>
      <c r="F299" s="558"/>
      <c r="G299" s="558"/>
      <c r="H299" s="558"/>
      <c r="I299" s="558"/>
      <c r="J299" s="558"/>
      <c r="K299" s="558"/>
      <c r="L299" s="558"/>
      <c r="M299" s="558"/>
      <c r="N299" s="558"/>
      <c r="O299" s="569"/>
      <c r="P299" s="561" t="s">
        <v>75</v>
      </c>
      <c r="Q299" s="562"/>
      <c r="R299" s="562"/>
      <c r="S299" s="562"/>
      <c r="T299" s="562"/>
      <c r="U299" s="562"/>
      <c r="V299" s="563"/>
      <c r="W299" s="37" t="s">
        <v>76</v>
      </c>
      <c r="X299" s="547">
        <f>IFERROR(X294/H294,"0")+IFERROR(X295/H295,"0")+IFERROR(X296/H296,"0")+IFERROR(X297/H297,"0")+IFERROR(X298/H298,"0")</f>
        <v>0</v>
      </c>
      <c r="Y299" s="547">
        <f>IFERROR(Y294/H294,"0")+IFERROR(Y295/H295,"0")+IFERROR(Y296/H296,"0")+IFERROR(Y297/H297,"0")+IFERROR(Y298/H298,"0")</f>
        <v>0</v>
      </c>
      <c r="Z299" s="547">
        <f>IFERROR(IF(Z294="",0,Z294),"0")+IFERROR(IF(Z295="",0,Z295),"0")+IFERROR(IF(Z296="",0,Z296),"0")+IFERROR(IF(Z297="",0,Z297),"0")+IFERROR(IF(Z298="",0,Z298),"0")</f>
        <v>0</v>
      </c>
      <c r="AA299" s="548"/>
      <c r="AB299" s="548"/>
      <c r="AC299" s="548"/>
    </row>
    <row r="300" spans="1:68" x14ac:dyDescent="0.2">
      <c r="A300" s="558"/>
      <c r="B300" s="558"/>
      <c r="C300" s="558"/>
      <c r="D300" s="558"/>
      <c r="E300" s="558"/>
      <c r="F300" s="558"/>
      <c r="G300" s="558"/>
      <c r="H300" s="558"/>
      <c r="I300" s="558"/>
      <c r="J300" s="558"/>
      <c r="K300" s="558"/>
      <c r="L300" s="558"/>
      <c r="M300" s="558"/>
      <c r="N300" s="558"/>
      <c r="O300" s="569"/>
      <c r="P300" s="561" t="s">
        <v>75</v>
      </c>
      <c r="Q300" s="562"/>
      <c r="R300" s="562"/>
      <c r="S300" s="562"/>
      <c r="T300" s="562"/>
      <c r="U300" s="562"/>
      <c r="V300" s="563"/>
      <c r="W300" s="37" t="s">
        <v>69</v>
      </c>
      <c r="X300" s="547">
        <f>IFERROR(SUM(X294:X298),"0")</f>
        <v>0</v>
      </c>
      <c r="Y300" s="547">
        <f>IFERROR(SUM(Y294:Y298),"0")</f>
        <v>0</v>
      </c>
      <c r="Z300" s="37"/>
      <c r="AA300" s="548"/>
      <c r="AB300" s="548"/>
      <c r="AC300" s="548"/>
    </row>
    <row r="301" spans="1:68" ht="14.25" customHeight="1" x14ac:dyDescent="0.25">
      <c r="A301" s="557" t="s">
        <v>64</v>
      </c>
      <c r="B301" s="558"/>
      <c r="C301" s="558"/>
      <c r="D301" s="558"/>
      <c r="E301" s="558"/>
      <c r="F301" s="558"/>
      <c r="G301" s="558"/>
      <c r="H301" s="558"/>
      <c r="I301" s="558"/>
      <c r="J301" s="558"/>
      <c r="K301" s="558"/>
      <c r="L301" s="558"/>
      <c r="M301" s="558"/>
      <c r="N301" s="558"/>
      <c r="O301" s="558"/>
      <c r="P301" s="558"/>
      <c r="Q301" s="558"/>
      <c r="R301" s="558"/>
      <c r="S301" s="558"/>
      <c r="T301" s="558"/>
      <c r="U301" s="558"/>
      <c r="V301" s="558"/>
      <c r="W301" s="558"/>
      <c r="X301" s="558"/>
      <c r="Y301" s="558"/>
      <c r="Z301" s="558"/>
      <c r="AA301" s="541"/>
      <c r="AB301" s="541"/>
      <c r="AC301" s="541"/>
    </row>
    <row r="302" spans="1:68" ht="27" customHeight="1" x14ac:dyDescent="0.25">
      <c r="A302" s="54" t="s">
        <v>484</v>
      </c>
      <c r="B302" s="54" t="s">
        <v>485</v>
      </c>
      <c r="C302" s="31">
        <v>4301030878</v>
      </c>
      <c r="D302" s="549">
        <v>4607091387193</v>
      </c>
      <c r="E302" s="550"/>
      <c r="F302" s="544">
        <v>0.7</v>
      </c>
      <c r="G302" s="32">
        <v>6</v>
      </c>
      <c r="H302" s="544">
        <v>4.2</v>
      </c>
      <c r="I302" s="544">
        <v>4.45</v>
      </c>
      <c r="J302" s="32">
        <v>132</v>
      </c>
      <c r="K302" s="32" t="s">
        <v>112</v>
      </c>
      <c r="L302" s="32"/>
      <c r="M302" s="33" t="s">
        <v>68</v>
      </c>
      <c r="N302" s="33"/>
      <c r="O302" s="32">
        <v>35</v>
      </c>
      <c r="P302" s="5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2" s="552"/>
      <c r="R302" s="552"/>
      <c r="S302" s="552"/>
      <c r="T302" s="553"/>
      <c r="U302" s="34"/>
      <c r="V302" s="34"/>
      <c r="W302" s="35" t="s">
        <v>69</v>
      </c>
      <c r="X302" s="545">
        <v>0</v>
      </c>
      <c r="Y302" s="546">
        <f t="shared" ref="Y302:Y307" si="26"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1" t="s">
        <v>486</v>
      </c>
      <c r="AG302" s="64"/>
      <c r="AJ302" s="68"/>
      <c r="AK302" s="68">
        <v>0</v>
      </c>
      <c r="BB302" s="352" t="s">
        <v>1</v>
      </c>
      <c r="BM302" s="64">
        <f t="shared" ref="BM302:BM307" si="27">IFERROR(X302*I302/H302,"0")</f>
        <v>0</v>
      </c>
      <c r="BN302" s="64">
        <f t="shared" ref="BN302:BN307" si="28">IFERROR(Y302*I302/H302,"0")</f>
        <v>0</v>
      </c>
      <c r="BO302" s="64">
        <f t="shared" ref="BO302:BO307" si="29">IFERROR(1/J302*(X302/H302),"0")</f>
        <v>0</v>
      </c>
      <c r="BP302" s="64">
        <f t="shared" ref="BP302:BP307" si="30">IFERROR(1/J302*(Y302/H302),"0")</f>
        <v>0</v>
      </c>
    </row>
    <row r="303" spans="1:68" ht="27" customHeight="1" x14ac:dyDescent="0.25">
      <c r="A303" s="54" t="s">
        <v>487</v>
      </c>
      <c r="B303" s="54" t="s">
        <v>488</v>
      </c>
      <c r="C303" s="31">
        <v>4301031153</v>
      </c>
      <c r="D303" s="549">
        <v>4607091387230</v>
      </c>
      <c r="E303" s="550"/>
      <c r="F303" s="544">
        <v>0.7</v>
      </c>
      <c r="G303" s="32">
        <v>6</v>
      </c>
      <c r="H303" s="544">
        <v>4.2</v>
      </c>
      <c r="I303" s="544">
        <v>4.45</v>
      </c>
      <c r="J303" s="32">
        <v>132</v>
      </c>
      <c r="K303" s="32" t="s">
        <v>112</v>
      </c>
      <c r="L303" s="32"/>
      <c r="M303" s="33" t="s">
        <v>68</v>
      </c>
      <c r="N303" s="33"/>
      <c r="O303" s="32">
        <v>40</v>
      </c>
      <c r="P303" s="69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3" s="552"/>
      <c r="R303" s="552"/>
      <c r="S303" s="552"/>
      <c r="T303" s="553"/>
      <c r="U303" s="34"/>
      <c r="V303" s="34"/>
      <c r="W303" s="35" t="s">
        <v>69</v>
      </c>
      <c r="X303" s="545">
        <v>0</v>
      </c>
      <c r="Y303" s="546">
        <f t="shared" si="26"/>
        <v>0</v>
      </c>
      <c r="Z303" s="36" t="str">
        <f>IFERROR(IF(Y303=0,"",ROUNDUP(Y303/H303,0)*0.00902),"")</f>
        <v/>
      </c>
      <c r="AA303" s="56"/>
      <c r="AB303" s="57"/>
      <c r="AC303" s="353" t="s">
        <v>489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490</v>
      </c>
      <c r="B304" s="54" t="s">
        <v>491</v>
      </c>
      <c r="C304" s="31">
        <v>4301031154</v>
      </c>
      <c r="D304" s="549">
        <v>4607091387292</v>
      </c>
      <c r="E304" s="550"/>
      <c r="F304" s="544">
        <v>0.73</v>
      </c>
      <c r="G304" s="32">
        <v>6</v>
      </c>
      <c r="H304" s="544">
        <v>4.38</v>
      </c>
      <c r="I304" s="544">
        <v>4.63</v>
      </c>
      <c r="J304" s="32">
        <v>132</v>
      </c>
      <c r="K304" s="32" t="s">
        <v>112</v>
      </c>
      <c r="L304" s="32"/>
      <c r="M304" s="33" t="s">
        <v>68</v>
      </c>
      <c r="N304" s="33"/>
      <c r="O304" s="32">
        <v>45</v>
      </c>
      <c r="P304" s="74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5">
        <v>0</v>
      </c>
      <c r="Y304" s="546">
        <f t="shared" si="26"/>
        <v>0</v>
      </c>
      <c r="Z304" s="36" t="str">
        <f>IFERROR(IF(Y304=0,"",ROUNDUP(Y304/H304,0)*0.00902),"")</f>
        <v/>
      </c>
      <c r="AA304" s="56"/>
      <c r="AB304" s="57"/>
      <c r="AC304" s="355" t="s">
        <v>492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ht="27" customHeight="1" x14ac:dyDescent="0.25">
      <c r="A305" s="54" t="s">
        <v>493</v>
      </c>
      <c r="B305" s="54" t="s">
        <v>494</v>
      </c>
      <c r="C305" s="31">
        <v>4301031152</v>
      </c>
      <c r="D305" s="549">
        <v>4607091387285</v>
      </c>
      <c r="E305" s="550"/>
      <c r="F305" s="544">
        <v>0.35</v>
      </c>
      <c r="G305" s="32">
        <v>6</v>
      </c>
      <c r="H305" s="544">
        <v>2.1</v>
      </c>
      <c r="I305" s="544">
        <v>2.23</v>
      </c>
      <c r="J305" s="32">
        <v>234</v>
      </c>
      <c r="K305" s="32" t="s">
        <v>73</v>
      </c>
      <c r="L305" s="32"/>
      <c r="M305" s="33" t="s">
        <v>68</v>
      </c>
      <c r="N305" s="33"/>
      <c r="O305" s="32">
        <v>40</v>
      </c>
      <c r="P305" s="69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IFERROR(IF(Y305=0,"",ROUNDUP(Y305/H305,0)*0.00502),"")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customHeight="1" x14ac:dyDescent="0.25">
      <c r="A306" s="54" t="s">
        <v>495</v>
      </c>
      <c r="B306" s="54" t="s">
        <v>496</v>
      </c>
      <c r="C306" s="31">
        <v>4301031305</v>
      </c>
      <c r="D306" s="549">
        <v>4607091389845</v>
      </c>
      <c r="E306" s="550"/>
      <c r="F306" s="544">
        <v>0.35</v>
      </c>
      <c r="G306" s="32">
        <v>6</v>
      </c>
      <c r="H306" s="544">
        <v>2.1</v>
      </c>
      <c r="I306" s="544">
        <v>2.2000000000000002</v>
      </c>
      <c r="J306" s="32">
        <v>234</v>
      </c>
      <c r="K306" s="32" t="s">
        <v>73</v>
      </c>
      <c r="L306" s="32"/>
      <c r="M306" s="33" t="s">
        <v>68</v>
      </c>
      <c r="N306" s="33"/>
      <c r="O306" s="32">
        <v>40</v>
      </c>
      <c r="P306" s="74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IFERROR(IF(Y306=0,"",ROUNDUP(Y306/H306,0)*0.00502),"")</f>
        <v/>
      </c>
      <c r="AA306" s="56"/>
      <c r="AB306" s="57"/>
      <c r="AC306" s="359" t="s">
        <v>497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customHeight="1" x14ac:dyDescent="0.25">
      <c r="A307" s="54" t="s">
        <v>498</v>
      </c>
      <c r="B307" s="54" t="s">
        <v>499</v>
      </c>
      <c r="C307" s="31">
        <v>4301031066</v>
      </c>
      <c r="D307" s="549">
        <v>4607091383836</v>
      </c>
      <c r="E307" s="550"/>
      <c r="F307" s="544">
        <v>0.3</v>
      </c>
      <c r="G307" s="32">
        <v>6</v>
      </c>
      <c r="H307" s="544">
        <v>1.8</v>
      </c>
      <c r="I307" s="544">
        <v>2.028</v>
      </c>
      <c r="J307" s="32">
        <v>182</v>
      </c>
      <c r="K307" s="32" t="s">
        <v>67</v>
      </c>
      <c r="L307" s="32"/>
      <c r="M307" s="33" t="s">
        <v>68</v>
      </c>
      <c r="N307" s="33"/>
      <c r="O307" s="32">
        <v>40</v>
      </c>
      <c r="P307" s="87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IFERROR(IF(Y307=0,"",ROUNDUP(Y307/H307,0)*0.00651),"")</f>
        <v/>
      </c>
      <c r="AA307" s="56"/>
      <c r="AB307" s="57"/>
      <c r="AC307" s="361" t="s">
        <v>500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x14ac:dyDescent="0.2">
      <c r="A308" s="568"/>
      <c r="B308" s="558"/>
      <c r="C308" s="558"/>
      <c r="D308" s="558"/>
      <c r="E308" s="558"/>
      <c r="F308" s="558"/>
      <c r="G308" s="558"/>
      <c r="H308" s="558"/>
      <c r="I308" s="558"/>
      <c r="J308" s="558"/>
      <c r="K308" s="558"/>
      <c r="L308" s="558"/>
      <c r="M308" s="558"/>
      <c r="N308" s="558"/>
      <c r="O308" s="569"/>
      <c r="P308" s="561" t="s">
        <v>75</v>
      </c>
      <c r="Q308" s="562"/>
      <c r="R308" s="562"/>
      <c r="S308" s="562"/>
      <c r="T308" s="562"/>
      <c r="U308" s="562"/>
      <c r="V308" s="563"/>
      <c r="W308" s="37" t="s">
        <v>76</v>
      </c>
      <c r="X308" s="547">
        <f>IFERROR(X302/H302,"0")+IFERROR(X303/H303,"0")+IFERROR(X304/H304,"0")+IFERROR(X305/H305,"0")+IFERROR(X306/H306,"0")+IFERROR(X307/H307,"0")</f>
        <v>0</v>
      </c>
      <c r="Y308" s="547">
        <f>IFERROR(Y302/H302,"0")+IFERROR(Y303/H303,"0")+IFERROR(Y304/H304,"0")+IFERROR(Y305/H305,"0")+IFERROR(Y306/H306,"0")+IFERROR(Y307/H307,"0")</f>
        <v>0</v>
      </c>
      <c r="Z308" s="547">
        <f>IFERROR(IF(Z302="",0,Z302),"0")+IFERROR(IF(Z303="",0,Z303),"0")+IFERROR(IF(Z304="",0,Z304),"0")+IFERROR(IF(Z305="",0,Z305),"0")+IFERROR(IF(Z306="",0,Z306),"0")+IFERROR(IF(Z307="",0,Z307),"0")</f>
        <v>0</v>
      </c>
      <c r="AA308" s="548"/>
      <c r="AB308" s="548"/>
      <c r="AC308" s="548"/>
    </row>
    <row r="309" spans="1:68" x14ac:dyDescent="0.2">
      <c r="A309" s="558"/>
      <c r="B309" s="558"/>
      <c r="C309" s="558"/>
      <c r="D309" s="558"/>
      <c r="E309" s="558"/>
      <c r="F309" s="558"/>
      <c r="G309" s="558"/>
      <c r="H309" s="558"/>
      <c r="I309" s="558"/>
      <c r="J309" s="558"/>
      <c r="K309" s="558"/>
      <c r="L309" s="558"/>
      <c r="M309" s="558"/>
      <c r="N309" s="558"/>
      <c r="O309" s="569"/>
      <c r="P309" s="561" t="s">
        <v>75</v>
      </c>
      <c r="Q309" s="562"/>
      <c r="R309" s="562"/>
      <c r="S309" s="562"/>
      <c r="T309" s="562"/>
      <c r="U309" s="562"/>
      <c r="V309" s="563"/>
      <c r="W309" s="37" t="s">
        <v>69</v>
      </c>
      <c r="X309" s="547">
        <f>IFERROR(SUM(X302:X307),"0")</f>
        <v>0</v>
      </c>
      <c r="Y309" s="547">
        <f>IFERROR(SUM(Y302:Y307),"0")</f>
        <v>0</v>
      </c>
      <c r="Z309" s="37"/>
      <c r="AA309" s="548"/>
      <c r="AB309" s="548"/>
      <c r="AC309" s="548"/>
    </row>
    <row r="310" spans="1:68" ht="14.25" customHeight="1" x14ac:dyDescent="0.25">
      <c r="A310" s="557" t="s">
        <v>77</v>
      </c>
      <c r="B310" s="558"/>
      <c r="C310" s="558"/>
      <c r="D310" s="558"/>
      <c r="E310" s="558"/>
      <c r="F310" s="558"/>
      <c r="G310" s="558"/>
      <c r="H310" s="558"/>
      <c r="I310" s="558"/>
      <c r="J310" s="558"/>
      <c r="K310" s="558"/>
      <c r="L310" s="558"/>
      <c r="M310" s="558"/>
      <c r="N310" s="558"/>
      <c r="O310" s="558"/>
      <c r="P310" s="558"/>
      <c r="Q310" s="558"/>
      <c r="R310" s="558"/>
      <c r="S310" s="558"/>
      <c r="T310" s="558"/>
      <c r="U310" s="558"/>
      <c r="V310" s="558"/>
      <c r="W310" s="558"/>
      <c r="X310" s="558"/>
      <c r="Y310" s="558"/>
      <c r="Z310" s="558"/>
      <c r="AA310" s="541"/>
      <c r="AB310" s="541"/>
      <c r="AC310" s="541"/>
    </row>
    <row r="311" spans="1:68" ht="27" customHeight="1" x14ac:dyDescent="0.25">
      <c r="A311" s="54" t="s">
        <v>501</v>
      </c>
      <c r="B311" s="54" t="s">
        <v>502</v>
      </c>
      <c r="C311" s="31">
        <v>4301051100</v>
      </c>
      <c r="D311" s="549">
        <v>4607091387766</v>
      </c>
      <c r="E311" s="550"/>
      <c r="F311" s="544">
        <v>1.3</v>
      </c>
      <c r="G311" s="32">
        <v>6</v>
      </c>
      <c r="H311" s="544">
        <v>7.8</v>
      </c>
      <c r="I311" s="544">
        <v>8.2880000000000003</v>
      </c>
      <c r="J311" s="32">
        <v>64</v>
      </c>
      <c r="K311" s="32" t="s">
        <v>105</v>
      </c>
      <c r="L311" s="32"/>
      <c r="M311" s="33" t="s">
        <v>80</v>
      </c>
      <c r="N311" s="33"/>
      <c r="O311" s="32">
        <v>40</v>
      </c>
      <c r="P311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1" s="552"/>
      <c r="R311" s="552"/>
      <c r="S311" s="552"/>
      <c r="T311" s="553"/>
      <c r="U311" s="34"/>
      <c r="V311" s="34"/>
      <c r="W311" s="35" t="s">
        <v>69</v>
      </c>
      <c r="X311" s="545">
        <v>0</v>
      </c>
      <c r="Y311" s="546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503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customHeight="1" x14ac:dyDescent="0.25">
      <c r="A312" s="54" t="s">
        <v>504</v>
      </c>
      <c r="B312" s="54" t="s">
        <v>505</v>
      </c>
      <c r="C312" s="31">
        <v>4301051818</v>
      </c>
      <c r="D312" s="549">
        <v>4607091387957</v>
      </c>
      <c r="E312" s="550"/>
      <c r="F312" s="544">
        <v>1.3</v>
      </c>
      <c r="G312" s="32">
        <v>6</v>
      </c>
      <c r="H312" s="544">
        <v>7.8</v>
      </c>
      <c r="I312" s="544">
        <v>8.2940000000000005</v>
      </c>
      <c r="J312" s="32">
        <v>64</v>
      </c>
      <c r="K312" s="32" t="s">
        <v>105</v>
      </c>
      <c r="L312" s="32"/>
      <c r="M312" s="33" t="s">
        <v>80</v>
      </c>
      <c r="N312" s="33"/>
      <c r="O312" s="32">
        <v>40</v>
      </c>
      <c r="P312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2" s="552"/>
      <c r="R312" s="552"/>
      <c r="S312" s="552"/>
      <c r="T312" s="553"/>
      <c r="U312" s="34"/>
      <c r="V312" s="34"/>
      <c r="W312" s="35" t="s">
        <v>69</v>
      </c>
      <c r="X312" s="545">
        <v>0</v>
      </c>
      <c r="Y312" s="546">
        <f>IFERROR(IF(X312="",0,CEILING((X312/$H312),1)*$H312),"")</f>
        <v>0</v>
      </c>
      <c r="Z312" s="36" t="str">
        <f>IFERROR(IF(Y312=0,"",ROUNDUP(Y312/H312,0)*0.01898),"")</f>
        <v/>
      </c>
      <c r="AA312" s="56"/>
      <c r="AB312" s="57"/>
      <c r="AC312" s="365" t="s">
        <v>506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t="27" customHeight="1" x14ac:dyDescent="0.25">
      <c r="A313" s="54" t="s">
        <v>507</v>
      </c>
      <c r="B313" s="54" t="s">
        <v>508</v>
      </c>
      <c r="C313" s="31">
        <v>4301051819</v>
      </c>
      <c r="D313" s="549">
        <v>4607091387964</v>
      </c>
      <c r="E313" s="550"/>
      <c r="F313" s="544">
        <v>1.35</v>
      </c>
      <c r="G313" s="32">
        <v>6</v>
      </c>
      <c r="H313" s="544">
        <v>8.1</v>
      </c>
      <c r="I313" s="544">
        <v>8.5760000000000005</v>
      </c>
      <c r="J313" s="32">
        <v>64</v>
      </c>
      <c r="K313" s="32" t="s">
        <v>105</v>
      </c>
      <c r="L313" s="32"/>
      <c r="M313" s="33" t="s">
        <v>80</v>
      </c>
      <c r="N313" s="33"/>
      <c r="O313" s="32">
        <v>40</v>
      </c>
      <c r="P313" s="87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3" s="552"/>
      <c r="R313" s="552"/>
      <c r="S313" s="552"/>
      <c r="T313" s="553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509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510</v>
      </c>
      <c r="B314" s="54" t="s">
        <v>511</v>
      </c>
      <c r="C314" s="31">
        <v>4301051734</v>
      </c>
      <c r="D314" s="549">
        <v>4680115884588</v>
      </c>
      <c r="E314" s="550"/>
      <c r="F314" s="544">
        <v>0.5</v>
      </c>
      <c r="G314" s="32">
        <v>6</v>
      </c>
      <c r="H314" s="544">
        <v>3</v>
      </c>
      <c r="I314" s="544">
        <v>3.246</v>
      </c>
      <c r="J314" s="32">
        <v>182</v>
      </c>
      <c r="K314" s="32" t="s">
        <v>67</v>
      </c>
      <c r="L314" s="32"/>
      <c r="M314" s="33" t="s">
        <v>80</v>
      </c>
      <c r="N314" s="33"/>
      <c r="O314" s="32">
        <v>40</v>
      </c>
      <c r="P314" s="77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4" s="552"/>
      <c r="R314" s="552"/>
      <c r="S314" s="552"/>
      <c r="T314" s="553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IFERROR(IF(Y314=0,"",ROUNDUP(Y314/H314,0)*0.00651),"")</f>
        <v/>
      </c>
      <c r="AA314" s="56"/>
      <c r="AB314" s="57"/>
      <c r="AC314" s="369" t="s">
        <v>512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568"/>
      <c r="B315" s="558"/>
      <c r="C315" s="558"/>
      <c r="D315" s="558"/>
      <c r="E315" s="558"/>
      <c r="F315" s="558"/>
      <c r="G315" s="558"/>
      <c r="H315" s="558"/>
      <c r="I315" s="558"/>
      <c r="J315" s="558"/>
      <c r="K315" s="558"/>
      <c r="L315" s="558"/>
      <c r="M315" s="558"/>
      <c r="N315" s="558"/>
      <c r="O315" s="569"/>
      <c r="P315" s="561" t="s">
        <v>75</v>
      </c>
      <c r="Q315" s="562"/>
      <c r="R315" s="562"/>
      <c r="S315" s="562"/>
      <c r="T315" s="562"/>
      <c r="U315" s="562"/>
      <c r="V315" s="563"/>
      <c r="W315" s="37" t="s">
        <v>76</v>
      </c>
      <c r="X315" s="547">
        <f>IFERROR(X311/H311,"0")+IFERROR(X312/H312,"0")+IFERROR(X313/H313,"0")+IFERROR(X314/H314,"0")</f>
        <v>0</v>
      </c>
      <c r="Y315" s="547">
        <f>IFERROR(Y311/H311,"0")+IFERROR(Y312/H312,"0")+IFERROR(Y313/H313,"0")+IFERROR(Y314/H314,"0")</f>
        <v>0</v>
      </c>
      <c r="Z315" s="547">
        <f>IFERROR(IF(Z311="",0,Z311),"0")+IFERROR(IF(Z312="",0,Z312),"0")+IFERROR(IF(Z313="",0,Z313),"0")+IFERROR(IF(Z314="",0,Z314),"0")</f>
        <v>0</v>
      </c>
      <c r="AA315" s="548"/>
      <c r="AB315" s="548"/>
      <c r="AC315" s="548"/>
    </row>
    <row r="316" spans="1:68" x14ac:dyDescent="0.2">
      <c r="A316" s="558"/>
      <c r="B316" s="558"/>
      <c r="C316" s="558"/>
      <c r="D316" s="558"/>
      <c r="E316" s="558"/>
      <c r="F316" s="558"/>
      <c r="G316" s="558"/>
      <c r="H316" s="558"/>
      <c r="I316" s="558"/>
      <c r="J316" s="558"/>
      <c r="K316" s="558"/>
      <c r="L316" s="558"/>
      <c r="M316" s="558"/>
      <c r="N316" s="558"/>
      <c r="O316" s="569"/>
      <c r="P316" s="561" t="s">
        <v>75</v>
      </c>
      <c r="Q316" s="562"/>
      <c r="R316" s="562"/>
      <c r="S316" s="562"/>
      <c r="T316" s="562"/>
      <c r="U316" s="562"/>
      <c r="V316" s="563"/>
      <c r="W316" s="37" t="s">
        <v>69</v>
      </c>
      <c r="X316" s="547">
        <f>IFERROR(SUM(X311:X314),"0")</f>
        <v>0</v>
      </c>
      <c r="Y316" s="547">
        <f>IFERROR(SUM(Y311:Y314),"0")</f>
        <v>0</v>
      </c>
      <c r="Z316" s="37"/>
      <c r="AA316" s="548"/>
      <c r="AB316" s="548"/>
      <c r="AC316" s="548"/>
    </row>
    <row r="317" spans="1:68" ht="14.25" customHeight="1" x14ac:dyDescent="0.25">
      <c r="A317" s="557" t="s">
        <v>166</v>
      </c>
      <c r="B317" s="558"/>
      <c r="C317" s="558"/>
      <c r="D317" s="558"/>
      <c r="E317" s="558"/>
      <c r="F317" s="558"/>
      <c r="G317" s="558"/>
      <c r="H317" s="558"/>
      <c r="I317" s="558"/>
      <c r="J317" s="558"/>
      <c r="K317" s="558"/>
      <c r="L317" s="558"/>
      <c r="M317" s="558"/>
      <c r="N317" s="558"/>
      <c r="O317" s="558"/>
      <c r="P317" s="558"/>
      <c r="Q317" s="558"/>
      <c r="R317" s="558"/>
      <c r="S317" s="558"/>
      <c r="T317" s="558"/>
      <c r="U317" s="558"/>
      <c r="V317" s="558"/>
      <c r="W317" s="558"/>
      <c r="X317" s="558"/>
      <c r="Y317" s="558"/>
      <c r="Z317" s="558"/>
      <c r="AA317" s="541"/>
      <c r="AB317" s="541"/>
      <c r="AC317" s="541"/>
    </row>
    <row r="318" spans="1:68" ht="27" customHeight="1" x14ac:dyDescent="0.25">
      <c r="A318" s="54" t="s">
        <v>513</v>
      </c>
      <c r="B318" s="54" t="s">
        <v>514</v>
      </c>
      <c r="C318" s="31">
        <v>4301060387</v>
      </c>
      <c r="D318" s="549">
        <v>4607091380880</v>
      </c>
      <c r="E318" s="550"/>
      <c r="F318" s="544">
        <v>1.4</v>
      </c>
      <c r="G318" s="32">
        <v>6</v>
      </c>
      <c r="H318" s="544">
        <v>8.4</v>
      </c>
      <c r="I318" s="544">
        <v>8.8940000000000001</v>
      </c>
      <c r="J318" s="32">
        <v>64</v>
      </c>
      <c r="K318" s="32" t="s">
        <v>105</v>
      </c>
      <c r="L318" s="32" t="s">
        <v>106</v>
      </c>
      <c r="M318" s="33" t="s">
        <v>80</v>
      </c>
      <c r="N318" s="33"/>
      <c r="O318" s="32">
        <v>30</v>
      </c>
      <c r="P318" s="76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8" s="552"/>
      <c r="R318" s="552"/>
      <c r="S318" s="552"/>
      <c r="T318" s="553"/>
      <c r="U318" s="34"/>
      <c r="V318" s="34"/>
      <c r="W318" s="35" t="s">
        <v>69</v>
      </c>
      <c r="X318" s="545">
        <v>0</v>
      </c>
      <c r="Y318" s="54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515</v>
      </c>
      <c r="AG318" s="64"/>
      <c r="AJ318" s="68" t="s">
        <v>109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customHeight="1" x14ac:dyDescent="0.25">
      <c r="A319" s="54" t="s">
        <v>516</v>
      </c>
      <c r="B319" s="54" t="s">
        <v>517</v>
      </c>
      <c r="C319" s="31">
        <v>4301060406</v>
      </c>
      <c r="D319" s="549">
        <v>4607091384482</v>
      </c>
      <c r="E319" s="550"/>
      <c r="F319" s="544">
        <v>1.3</v>
      </c>
      <c r="G319" s="32">
        <v>6</v>
      </c>
      <c r="H319" s="544">
        <v>7.8</v>
      </c>
      <c r="I319" s="544">
        <v>8.2940000000000005</v>
      </c>
      <c r="J319" s="32">
        <v>64</v>
      </c>
      <c r="K319" s="32" t="s">
        <v>105</v>
      </c>
      <c r="L319" s="32" t="s">
        <v>106</v>
      </c>
      <c r="M319" s="33" t="s">
        <v>80</v>
      </c>
      <c r="N319" s="33"/>
      <c r="O319" s="32">
        <v>30</v>
      </c>
      <c r="P319" s="85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9" s="552"/>
      <c r="R319" s="552"/>
      <c r="S319" s="552"/>
      <c r="T319" s="553"/>
      <c r="U319" s="34"/>
      <c r="V319" s="34"/>
      <c r="W319" s="35" t="s">
        <v>69</v>
      </c>
      <c r="X319" s="545">
        <v>0</v>
      </c>
      <c r="Y319" s="546">
        <f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73" t="s">
        <v>518</v>
      </c>
      <c r="AG319" s="64"/>
      <c r="AJ319" s="68" t="s">
        <v>109</v>
      </c>
      <c r="AK319" s="68">
        <v>62.4</v>
      </c>
      <c r="BB319" s="37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16.5" customHeight="1" x14ac:dyDescent="0.25">
      <c r="A320" s="54" t="s">
        <v>519</v>
      </c>
      <c r="B320" s="54" t="s">
        <v>520</v>
      </c>
      <c r="C320" s="31">
        <v>4301060484</v>
      </c>
      <c r="D320" s="549">
        <v>4607091380897</v>
      </c>
      <c r="E320" s="550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105</v>
      </c>
      <c r="L320" s="32" t="s">
        <v>106</v>
      </c>
      <c r="M320" s="33" t="s">
        <v>87</v>
      </c>
      <c r="N320" s="33"/>
      <c r="O320" s="32">
        <v>30</v>
      </c>
      <c r="P320" s="77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521</v>
      </c>
      <c r="AG320" s="64"/>
      <c r="AJ320" s="68" t="s">
        <v>109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x14ac:dyDescent="0.2">
      <c r="A321" s="568"/>
      <c r="B321" s="558"/>
      <c r="C321" s="558"/>
      <c r="D321" s="558"/>
      <c r="E321" s="558"/>
      <c r="F321" s="558"/>
      <c r="G321" s="558"/>
      <c r="H321" s="558"/>
      <c r="I321" s="558"/>
      <c r="J321" s="558"/>
      <c r="K321" s="558"/>
      <c r="L321" s="558"/>
      <c r="M321" s="558"/>
      <c r="N321" s="558"/>
      <c r="O321" s="569"/>
      <c r="P321" s="561" t="s">
        <v>75</v>
      </c>
      <c r="Q321" s="562"/>
      <c r="R321" s="562"/>
      <c r="S321" s="562"/>
      <c r="T321" s="562"/>
      <c r="U321" s="562"/>
      <c r="V321" s="563"/>
      <c r="W321" s="37" t="s">
        <v>76</v>
      </c>
      <c r="X321" s="547">
        <f>IFERROR(X318/H318,"0")+IFERROR(X319/H319,"0")+IFERROR(X320/H320,"0")</f>
        <v>0</v>
      </c>
      <c r="Y321" s="547">
        <f>IFERROR(Y318/H318,"0")+IFERROR(Y319/H319,"0")+IFERROR(Y320/H320,"0")</f>
        <v>0</v>
      </c>
      <c r="Z321" s="547">
        <f>IFERROR(IF(Z318="",0,Z318),"0")+IFERROR(IF(Z319="",0,Z319),"0")+IFERROR(IF(Z320="",0,Z320),"0")</f>
        <v>0</v>
      </c>
      <c r="AA321" s="548"/>
      <c r="AB321" s="548"/>
      <c r="AC321" s="548"/>
    </row>
    <row r="322" spans="1:68" x14ac:dyDescent="0.2">
      <c r="A322" s="558"/>
      <c r="B322" s="558"/>
      <c r="C322" s="558"/>
      <c r="D322" s="558"/>
      <c r="E322" s="558"/>
      <c r="F322" s="558"/>
      <c r="G322" s="558"/>
      <c r="H322" s="558"/>
      <c r="I322" s="558"/>
      <c r="J322" s="558"/>
      <c r="K322" s="558"/>
      <c r="L322" s="558"/>
      <c r="M322" s="558"/>
      <c r="N322" s="558"/>
      <c r="O322" s="569"/>
      <c r="P322" s="561" t="s">
        <v>75</v>
      </c>
      <c r="Q322" s="562"/>
      <c r="R322" s="562"/>
      <c r="S322" s="562"/>
      <c r="T322" s="562"/>
      <c r="U322" s="562"/>
      <c r="V322" s="563"/>
      <c r="W322" s="37" t="s">
        <v>69</v>
      </c>
      <c r="X322" s="547">
        <f>IFERROR(SUM(X318:X320),"0")</f>
        <v>0</v>
      </c>
      <c r="Y322" s="547">
        <f>IFERROR(SUM(Y318:Y320),"0")</f>
        <v>0</v>
      </c>
      <c r="Z322" s="37"/>
      <c r="AA322" s="548"/>
      <c r="AB322" s="548"/>
      <c r="AC322" s="548"/>
    </row>
    <row r="323" spans="1:68" ht="14.25" customHeight="1" x14ac:dyDescent="0.25">
      <c r="A323" s="557" t="s">
        <v>94</v>
      </c>
      <c r="B323" s="558"/>
      <c r="C323" s="558"/>
      <c r="D323" s="558"/>
      <c r="E323" s="558"/>
      <c r="F323" s="558"/>
      <c r="G323" s="558"/>
      <c r="H323" s="558"/>
      <c r="I323" s="558"/>
      <c r="J323" s="558"/>
      <c r="K323" s="558"/>
      <c r="L323" s="558"/>
      <c r="M323" s="558"/>
      <c r="N323" s="558"/>
      <c r="O323" s="558"/>
      <c r="P323" s="558"/>
      <c r="Q323" s="558"/>
      <c r="R323" s="558"/>
      <c r="S323" s="558"/>
      <c r="T323" s="558"/>
      <c r="U323" s="558"/>
      <c r="V323" s="558"/>
      <c r="W323" s="558"/>
      <c r="X323" s="558"/>
      <c r="Y323" s="558"/>
      <c r="Z323" s="558"/>
      <c r="AA323" s="541"/>
      <c r="AB323" s="541"/>
      <c r="AC323" s="541"/>
    </row>
    <row r="324" spans="1:68" ht="27" customHeight="1" x14ac:dyDescent="0.25">
      <c r="A324" s="54" t="s">
        <v>522</v>
      </c>
      <c r="B324" s="54" t="s">
        <v>523</v>
      </c>
      <c r="C324" s="31">
        <v>4301030235</v>
      </c>
      <c r="D324" s="549">
        <v>4607091388381</v>
      </c>
      <c r="E324" s="550"/>
      <c r="F324" s="544">
        <v>0.38</v>
      </c>
      <c r="G324" s="32">
        <v>8</v>
      </c>
      <c r="H324" s="544">
        <v>3.04</v>
      </c>
      <c r="I324" s="544">
        <v>3.31</v>
      </c>
      <c r="J324" s="32">
        <v>132</v>
      </c>
      <c r="K324" s="32" t="s">
        <v>112</v>
      </c>
      <c r="L324" s="32"/>
      <c r="M324" s="33" t="s">
        <v>97</v>
      </c>
      <c r="N324" s="33"/>
      <c r="O324" s="32">
        <v>180</v>
      </c>
      <c r="P324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4" s="552"/>
      <c r="R324" s="552"/>
      <c r="S324" s="552"/>
      <c r="T324" s="553"/>
      <c r="U324" s="34"/>
      <c r="V324" s="34"/>
      <c r="W324" s="35" t="s">
        <v>69</v>
      </c>
      <c r="X324" s="545">
        <v>0</v>
      </c>
      <c r="Y324" s="546">
        <f>IFERROR(IF(X324="",0,CEILING((X324/$H324),1)*$H324),"")</f>
        <v>0</v>
      </c>
      <c r="Z324" s="36" t="str">
        <f>IFERROR(IF(Y324=0,"",ROUNDUP(Y324/H324,0)*0.00902),"")</f>
        <v/>
      </c>
      <c r="AA324" s="56"/>
      <c r="AB324" s="57"/>
      <c r="AC324" s="377" t="s">
        <v>524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525</v>
      </c>
      <c r="B325" s="54" t="s">
        <v>526</v>
      </c>
      <c r="C325" s="31">
        <v>4301030232</v>
      </c>
      <c r="D325" s="549">
        <v>4607091388374</v>
      </c>
      <c r="E325" s="550"/>
      <c r="F325" s="544">
        <v>0.38</v>
      </c>
      <c r="G325" s="32">
        <v>8</v>
      </c>
      <c r="H325" s="544">
        <v>3.04</v>
      </c>
      <c r="I325" s="544">
        <v>3.27</v>
      </c>
      <c r="J325" s="32">
        <v>132</v>
      </c>
      <c r="K325" s="32" t="s">
        <v>112</v>
      </c>
      <c r="L325" s="32"/>
      <c r="M325" s="33" t="s">
        <v>97</v>
      </c>
      <c r="N325" s="33"/>
      <c r="O325" s="32">
        <v>180</v>
      </c>
      <c r="P325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5" s="552"/>
      <c r="R325" s="552"/>
      <c r="S325" s="552"/>
      <c r="T325" s="553"/>
      <c r="U325" s="34"/>
      <c r="V325" s="34"/>
      <c r="W325" s="35" t="s">
        <v>69</v>
      </c>
      <c r="X325" s="545">
        <v>0</v>
      </c>
      <c r="Y325" s="546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379" t="s">
        <v>524</v>
      </c>
      <c r="AG325" s="64"/>
      <c r="AJ325" s="68"/>
      <c r="AK325" s="68">
        <v>0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customHeight="1" x14ac:dyDescent="0.25">
      <c r="A326" s="54" t="s">
        <v>527</v>
      </c>
      <c r="B326" s="54" t="s">
        <v>528</v>
      </c>
      <c r="C326" s="31">
        <v>4301032015</v>
      </c>
      <c r="D326" s="549">
        <v>4607091383102</v>
      </c>
      <c r="E326" s="550"/>
      <c r="F326" s="544">
        <v>0.17</v>
      </c>
      <c r="G326" s="32">
        <v>15</v>
      </c>
      <c r="H326" s="544">
        <v>2.5499999999999998</v>
      </c>
      <c r="I326" s="544">
        <v>2.9550000000000001</v>
      </c>
      <c r="J326" s="32">
        <v>182</v>
      </c>
      <c r="K326" s="32" t="s">
        <v>67</v>
      </c>
      <c r="L326" s="32"/>
      <c r="M326" s="33" t="s">
        <v>97</v>
      </c>
      <c r="N326" s="33"/>
      <c r="O326" s="32">
        <v>180</v>
      </c>
      <c r="P326" s="58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IFERROR(IF(Y326=0,"",ROUNDUP(Y326/H326,0)*0.00651),"")</f>
        <v/>
      </c>
      <c r="AA326" s="56"/>
      <c r="AB326" s="57"/>
      <c r="AC326" s="381" t="s">
        <v>529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530</v>
      </c>
      <c r="B327" s="54" t="s">
        <v>531</v>
      </c>
      <c r="C327" s="31">
        <v>4301030233</v>
      </c>
      <c r="D327" s="549">
        <v>4607091388404</v>
      </c>
      <c r="E327" s="550"/>
      <c r="F327" s="544">
        <v>0.17</v>
      </c>
      <c r="G327" s="32">
        <v>15</v>
      </c>
      <c r="H327" s="544">
        <v>2.5499999999999998</v>
      </c>
      <c r="I327" s="544">
        <v>2.88</v>
      </c>
      <c r="J327" s="32">
        <v>182</v>
      </c>
      <c r="K327" s="32" t="s">
        <v>67</v>
      </c>
      <c r="L327" s="32" t="s">
        <v>223</v>
      </c>
      <c r="M327" s="33" t="s">
        <v>97</v>
      </c>
      <c r="N327" s="33"/>
      <c r="O327" s="32">
        <v>180</v>
      </c>
      <c r="P327" s="76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5">
        <v>18</v>
      </c>
      <c r="Y327" s="546">
        <f>IFERROR(IF(X327="",0,CEILING((X327/$H327),1)*$H327),"")</f>
        <v>20.399999999999999</v>
      </c>
      <c r="Z327" s="36">
        <f>IFERROR(IF(Y327=0,"",ROUNDUP(Y327/H327,0)*0.00651),"")</f>
        <v>5.2080000000000001E-2</v>
      </c>
      <c r="AA327" s="56"/>
      <c r="AB327" s="57"/>
      <c r="AC327" s="383" t="s">
        <v>524</v>
      </c>
      <c r="AG327" s="64"/>
      <c r="AJ327" s="68" t="s">
        <v>109</v>
      </c>
      <c r="AK327" s="68">
        <v>35.700000000000003</v>
      </c>
      <c r="BB327" s="384" t="s">
        <v>1</v>
      </c>
      <c r="BM327" s="64">
        <f>IFERROR(X327*I327/H327,"0")</f>
        <v>20.329411764705881</v>
      </c>
      <c r="BN327" s="64">
        <f>IFERROR(Y327*I327/H327,"0")</f>
        <v>23.04</v>
      </c>
      <c r="BO327" s="64">
        <f>IFERROR(1/J327*(X327/H327),"0")</f>
        <v>3.8784744667097616E-2</v>
      </c>
      <c r="BP327" s="64">
        <f>IFERROR(1/J327*(Y327/H327),"0")</f>
        <v>4.3956043956043959E-2</v>
      </c>
    </row>
    <row r="328" spans="1:68" x14ac:dyDescent="0.2">
      <c r="A328" s="568"/>
      <c r="B328" s="558"/>
      <c r="C328" s="558"/>
      <c r="D328" s="558"/>
      <c r="E328" s="558"/>
      <c r="F328" s="558"/>
      <c r="G328" s="558"/>
      <c r="H328" s="558"/>
      <c r="I328" s="558"/>
      <c r="J328" s="558"/>
      <c r="K328" s="558"/>
      <c r="L328" s="558"/>
      <c r="M328" s="558"/>
      <c r="N328" s="558"/>
      <c r="O328" s="569"/>
      <c r="P328" s="561" t="s">
        <v>75</v>
      </c>
      <c r="Q328" s="562"/>
      <c r="R328" s="562"/>
      <c r="S328" s="562"/>
      <c r="T328" s="562"/>
      <c r="U328" s="562"/>
      <c r="V328" s="563"/>
      <c r="W328" s="37" t="s">
        <v>76</v>
      </c>
      <c r="X328" s="547">
        <f>IFERROR(X324/H324,"0")+IFERROR(X325/H325,"0")+IFERROR(X326/H326,"0")+IFERROR(X327/H327,"0")</f>
        <v>7.0588235294117654</v>
      </c>
      <c r="Y328" s="547">
        <f>IFERROR(Y324/H324,"0")+IFERROR(Y325/H325,"0")+IFERROR(Y326/H326,"0")+IFERROR(Y327/H327,"0")</f>
        <v>8</v>
      </c>
      <c r="Z328" s="547">
        <f>IFERROR(IF(Z324="",0,Z324),"0")+IFERROR(IF(Z325="",0,Z325),"0")+IFERROR(IF(Z326="",0,Z326),"0")+IFERROR(IF(Z327="",0,Z327),"0")</f>
        <v>5.2080000000000001E-2</v>
      </c>
      <c r="AA328" s="548"/>
      <c r="AB328" s="548"/>
      <c r="AC328" s="548"/>
    </row>
    <row r="329" spans="1:68" x14ac:dyDescent="0.2">
      <c r="A329" s="558"/>
      <c r="B329" s="558"/>
      <c r="C329" s="558"/>
      <c r="D329" s="558"/>
      <c r="E329" s="558"/>
      <c r="F329" s="558"/>
      <c r="G329" s="558"/>
      <c r="H329" s="558"/>
      <c r="I329" s="558"/>
      <c r="J329" s="558"/>
      <c r="K329" s="558"/>
      <c r="L329" s="558"/>
      <c r="M329" s="558"/>
      <c r="N329" s="558"/>
      <c r="O329" s="569"/>
      <c r="P329" s="561" t="s">
        <v>75</v>
      </c>
      <c r="Q329" s="562"/>
      <c r="R329" s="562"/>
      <c r="S329" s="562"/>
      <c r="T329" s="562"/>
      <c r="U329" s="562"/>
      <c r="V329" s="563"/>
      <c r="W329" s="37" t="s">
        <v>69</v>
      </c>
      <c r="X329" s="547">
        <f>IFERROR(SUM(X324:X327),"0")</f>
        <v>18</v>
      </c>
      <c r="Y329" s="547">
        <f>IFERROR(SUM(Y324:Y327),"0")</f>
        <v>20.399999999999999</v>
      </c>
      <c r="Z329" s="37"/>
      <c r="AA329" s="548"/>
      <c r="AB329" s="548"/>
      <c r="AC329" s="548"/>
    </row>
    <row r="330" spans="1:68" ht="14.25" customHeight="1" x14ac:dyDescent="0.25">
      <c r="A330" s="557" t="s">
        <v>532</v>
      </c>
      <c r="B330" s="558"/>
      <c r="C330" s="558"/>
      <c r="D330" s="558"/>
      <c r="E330" s="558"/>
      <c r="F330" s="558"/>
      <c r="G330" s="558"/>
      <c r="H330" s="558"/>
      <c r="I330" s="558"/>
      <c r="J330" s="558"/>
      <c r="K330" s="558"/>
      <c r="L330" s="558"/>
      <c r="M330" s="558"/>
      <c r="N330" s="558"/>
      <c r="O330" s="558"/>
      <c r="P330" s="558"/>
      <c r="Q330" s="558"/>
      <c r="R330" s="558"/>
      <c r="S330" s="558"/>
      <c r="T330" s="558"/>
      <c r="U330" s="558"/>
      <c r="V330" s="558"/>
      <c r="W330" s="558"/>
      <c r="X330" s="558"/>
      <c r="Y330" s="558"/>
      <c r="Z330" s="558"/>
      <c r="AA330" s="541"/>
      <c r="AB330" s="541"/>
      <c r="AC330" s="541"/>
    </row>
    <row r="331" spans="1:68" ht="16.5" customHeight="1" x14ac:dyDescent="0.25">
      <c r="A331" s="54" t="s">
        <v>533</v>
      </c>
      <c r="B331" s="54" t="s">
        <v>534</v>
      </c>
      <c r="C331" s="31">
        <v>4301180007</v>
      </c>
      <c r="D331" s="549">
        <v>4680115881808</v>
      </c>
      <c r="E331" s="550"/>
      <c r="F331" s="544">
        <v>0.1</v>
      </c>
      <c r="G331" s="32">
        <v>20</v>
      </c>
      <c r="H331" s="544">
        <v>2</v>
      </c>
      <c r="I331" s="544">
        <v>2.2400000000000002</v>
      </c>
      <c r="J331" s="32">
        <v>238</v>
      </c>
      <c r="K331" s="32" t="s">
        <v>67</v>
      </c>
      <c r="L331" s="32"/>
      <c r="M331" s="33" t="s">
        <v>535</v>
      </c>
      <c r="N331" s="33"/>
      <c r="O331" s="32">
        <v>730</v>
      </c>
      <c r="P331" s="62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1" s="552"/>
      <c r="R331" s="552"/>
      <c r="S331" s="552"/>
      <c r="T331" s="553"/>
      <c r="U331" s="34"/>
      <c r="V331" s="34"/>
      <c r="W331" s="35" t="s">
        <v>69</v>
      </c>
      <c r="X331" s="545">
        <v>0</v>
      </c>
      <c r="Y331" s="546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536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537</v>
      </c>
      <c r="B332" s="54" t="s">
        <v>538</v>
      </c>
      <c r="C332" s="31">
        <v>4301180006</v>
      </c>
      <c r="D332" s="549">
        <v>4680115881822</v>
      </c>
      <c r="E332" s="550"/>
      <c r="F332" s="544">
        <v>0.1</v>
      </c>
      <c r="G332" s="32">
        <v>20</v>
      </c>
      <c r="H332" s="544">
        <v>2</v>
      </c>
      <c r="I332" s="544">
        <v>2.2400000000000002</v>
      </c>
      <c r="J332" s="32">
        <v>238</v>
      </c>
      <c r="K332" s="32" t="s">
        <v>67</v>
      </c>
      <c r="L332" s="32"/>
      <c r="M332" s="33" t="s">
        <v>535</v>
      </c>
      <c r="N332" s="33"/>
      <c r="O332" s="32">
        <v>730</v>
      </c>
      <c r="P332" s="75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2" s="552"/>
      <c r="R332" s="552"/>
      <c r="S332" s="552"/>
      <c r="T332" s="553"/>
      <c r="U332" s="34"/>
      <c r="V332" s="34"/>
      <c r="W332" s="35" t="s">
        <v>69</v>
      </c>
      <c r="X332" s="545">
        <v>0</v>
      </c>
      <c r="Y332" s="546">
        <f>IFERROR(IF(X332="",0,CEILING((X332/$H332),1)*$H332),"")</f>
        <v>0</v>
      </c>
      <c r="Z332" s="36" t="str">
        <f>IFERROR(IF(Y332=0,"",ROUNDUP(Y332/H332,0)*0.00474),"")</f>
        <v/>
      </c>
      <c r="AA332" s="56"/>
      <c r="AB332" s="57"/>
      <c r="AC332" s="387" t="s">
        <v>536</v>
      </c>
      <c r="AG332" s="64"/>
      <c r="AJ332" s="68"/>
      <c r="AK332" s="68">
        <v>0</v>
      </c>
      <c r="BB332" s="388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t="27" customHeight="1" x14ac:dyDescent="0.25">
      <c r="A333" s="54" t="s">
        <v>539</v>
      </c>
      <c r="B333" s="54" t="s">
        <v>540</v>
      </c>
      <c r="C333" s="31">
        <v>4301180001</v>
      </c>
      <c r="D333" s="549">
        <v>4680115880016</v>
      </c>
      <c r="E333" s="550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535</v>
      </c>
      <c r="N333" s="33"/>
      <c r="O333" s="32">
        <v>730</v>
      </c>
      <c r="P333" s="79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3" s="552"/>
      <c r="R333" s="552"/>
      <c r="S333" s="552"/>
      <c r="T333" s="553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536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x14ac:dyDescent="0.2">
      <c r="A334" s="568"/>
      <c r="B334" s="558"/>
      <c r="C334" s="558"/>
      <c r="D334" s="558"/>
      <c r="E334" s="558"/>
      <c r="F334" s="558"/>
      <c r="G334" s="558"/>
      <c r="H334" s="558"/>
      <c r="I334" s="558"/>
      <c r="J334" s="558"/>
      <c r="K334" s="558"/>
      <c r="L334" s="558"/>
      <c r="M334" s="558"/>
      <c r="N334" s="558"/>
      <c r="O334" s="569"/>
      <c r="P334" s="561" t="s">
        <v>75</v>
      </c>
      <c r="Q334" s="562"/>
      <c r="R334" s="562"/>
      <c r="S334" s="562"/>
      <c r="T334" s="562"/>
      <c r="U334" s="562"/>
      <c r="V334" s="563"/>
      <c r="W334" s="37" t="s">
        <v>76</v>
      </c>
      <c r="X334" s="547">
        <f>IFERROR(X331/H331,"0")+IFERROR(X332/H332,"0")+IFERROR(X333/H333,"0")</f>
        <v>0</v>
      </c>
      <c r="Y334" s="547">
        <f>IFERROR(Y331/H331,"0")+IFERROR(Y332/H332,"0")+IFERROR(Y333/H333,"0")</f>
        <v>0</v>
      </c>
      <c r="Z334" s="547">
        <f>IFERROR(IF(Z331="",0,Z331),"0")+IFERROR(IF(Z332="",0,Z332),"0")+IFERROR(IF(Z333="",0,Z333),"0")</f>
        <v>0</v>
      </c>
      <c r="AA334" s="548"/>
      <c r="AB334" s="548"/>
      <c r="AC334" s="548"/>
    </row>
    <row r="335" spans="1:68" x14ac:dyDescent="0.2">
      <c r="A335" s="558"/>
      <c r="B335" s="558"/>
      <c r="C335" s="558"/>
      <c r="D335" s="558"/>
      <c r="E335" s="558"/>
      <c r="F335" s="558"/>
      <c r="G335" s="558"/>
      <c r="H335" s="558"/>
      <c r="I335" s="558"/>
      <c r="J335" s="558"/>
      <c r="K335" s="558"/>
      <c r="L335" s="558"/>
      <c r="M335" s="558"/>
      <c r="N335" s="558"/>
      <c r="O335" s="569"/>
      <c r="P335" s="561" t="s">
        <v>75</v>
      </c>
      <c r="Q335" s="562"/>
      <c r="R335" s="562"/>
      <c r="S335" s="562"/>
      <c r="T335" s="562"/>
      <c r="U335" s="562"/>
      <c r="V335" s="563"/>
      <c r="W335" s="37" t="s">
        <v>69</v>
      </c>
      <c r="X335" s="547">
        <f>IFERROR(SUM(X331:X333),"0")</f>
        <v>0</v>
      </c>
      <c r="Y335" s="547">
        <f>IFERROR(SUM(Y331:Y333),"0")</f>
        <v>0</v>
      </c>
      <c r="Z335" s="37"/>
      <c r="AA335" s="548"/>
      <c r="AB335" s="548"/>
      <c r="AC335" s="548"/>
    </row>
    <row r="336" spans="1:68" ht="16.5" customHeight="1" x14ac:dyDescent="0.25">
      <c r="A336" s="591" t="s">
        <v>541</v>
      </c>
      <c r="B336" s="558"/>
      <c r="C336" s="558"/>
      <c r="D336" s="558"/>
      <c r="E336" s="558"/>
      <c r="F336" s="558"/>
      <c r="G336" s="558"/>
      <c r="H336" s="558"/>
      <c r="I336" s="558"/>
      <c r="J336" s="558"/>
      <c r="K336" s="558"/>
      <c r="L336" s="558"/>
      <c r="M336" s="558"/>
      <c r="N336" s="558"/>
      <c r="O336" s="558"/>
      <c r="P336" s="558"/>
      <c r="Q336" s="558"/>
      <c r="R336" s="558"/>
      <c r="S336" s="558"/>
      <c r="T336" s="558"/>
      <c r="U336" s="558"/>
      <c r="V336" s="558"/>
      <c r="W336" s="558"/>
      <c r="X336" s="558"/>
      <c r="Y336" s="558"/>
      <c r="Z336" s="558"/>
      <c r="AA336" s="540"/>
      <c r="AB336" s="540"/>
      <c r="AC336" s="540"/>
    </row>
    <row r="337" spans="1:68" ht="14.25" customHeight="1" x14ac:dyDescent="0.25">
      <c r="A337" s="557" t="s">
        <v>77</v>
      </c>
      <c r="B337" s="558"/>
      <c r="C337" s="558"/>
      <c r="D337" s="558"/>
      <c r="E337" s="558"/>
      <c r="F337" s="558"/>
      <c r="G337" s="558"/>
      <c r="H337" s="558"/>
      <c r="I337" s="558"/>
      <c r="J337" s="558"/>
      <c r="K337" s="558"/>
      <c r="L337" s="558"/>
      <c r="M337" s="558"/>
      <c r="N337" s="558"/>
      <c r="O337" s="558"/>
      <c r="P337" s="558"/>
      <c r="Q337" s="558"/>
      <c r="R337" s="558"/>
      <c r="S337" s="558"/>
      <c r="T337" s="558"/>
      <c r="U337" s="558"/>
      <c r="V337" s="558"/>
      <c r="W337" s="558"/>
      <c r="X337" s="558"/>
      <c r="Y337" s="558"/>
      <c r="Z337" s="558"/>
      <c r="AA337" s="541"/>
      <c r="AB337" s="541"/>
      <c r="AC337" s="541"/>
    </row>
    <row r="338" spans="1:68" ht="27" customHeight="1" x14ac:dyDescent="0.25">
      <c r="A338" s="54" t="s">
        <v>542</v>
      </c>
      <c r="B338" s="54" t="s">
        <v>543</v>
      </c>
      <c r="C338" s="31">
        <v>4301051489</v>
      </c>
      <c r="D338" s="549">
        <v>4607091387919</v>
      </c>
      <c r="E338" s="550"/>
      <c r="F338" s="544">
        <v>1.35</v>
      </c>
      <c r="G338" s="32">
        <v>6</v>
      </c>
      <c r="H338" s="544">
        <v>8.1</v>
      </c>
      <c r="I338" s="544">
        <v>8.5939999999999994</v>
      </c>
      <c r="J338" s="32">
        <v>64</v>
      </c>
      <c r="K338" s="32" t="s">
        <v>105</v>
      </c>
      <c r="L338" s="32" t="s">
        <v>106</v>
      </c>
      <c r="M338" s="33" t="s">
        <v>87</v>
      </c>
      <c r="N338" s="33"/>
      <c r="O338" s="32">
        <v>45</v>
      </c>
      <c r="P338" s="87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8" s="552"/>
      <c r="R338" s="552"/>
      <c r="S338" s="552"/>
      <c r="T338" s="553"/>
      <c r="U338" s="34"/>
      <c r="V338" s="34"/>
      <c r="W338" s="35" t="s">
        <v>69</v>
      </c>
      <c r="X338" s="545">
        <v>0</v>
      </c>
      <c r="Y338" s="546">
        <f>IFERROR(IF(X338="",0,CEILING((X338/$H338),1)*$H338),"")</f>
        <v>0</v>
      </c>
      <c r="Z338" s="36" t="str">
        <f>IFERROR(IF(Y338=0,"",ROUNDUP(Y338/H338,0)*0.01898),"")</f>
        <v/>
      </c>
      <c r="AA338" s="56"/>
      <c r="AB338" s="57"/>
      <c r="AC338" s="391" t="s">
        <v>544</v>
      </c>
      <c r="AG338" s="64"/>
      <c r="AJ338" s="68" t="s">
        <v>109</v>
      </c>
      <c r="AK338" s="68">
        <v>64.8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545</v>
      </c>
      <c r="B339" s="54" t="s">
        <v>546</v>
      </c>
      <c r="C339" s="31">
        <v>4301051461</v>
      </c>
      <c r="D339" s="549">
        <v>4680115883604</v>
      </c>
      <c r="E339" s="550"/>
      <c r="F339" s="544">
        <v>0.35</v>
      </c>
      <c r="G339" s="32">
        <v>6</v>
      </c>
      <c r="H339" s="544">
        <v>2.1</v>
      </c>
      <c r="I339" s="544">
        <v>2.3519999999999999</v>
      </c>
      <c r="J339" s="32">
        <v>182</v>
      </c>
      <c r="K339" s="32" t="s">
        <v>67</v>
      </c>
      <c r="L339" s="32"/>
      <c r="M339" s="33" t="s">
        <v>80</v>
      </c>
      <c r="N339" s="33"/>
      <c r="O339" s="32">
        <v>45</v>
      </c>
      <c r="P339" s="64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9" s="552"/>
      <c r="R339" s="552"/>
      <c r="S339" s="552"/>
      <c r="T339" s="553"/>
      <c r="U339" s="34"/>
      <c r="V339" s="34"/>
      <c r="W339" s="35" t="s">
        <v>69</v>
      </c>
      <c r="X339" s="545">
        <v>0</v>
      </c>
      <c r="Y339" s="54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93" t="s">
        <v>547</v>
      </c>
      <c r="AG339" s="64"/>
      <c r="AJ339" s="68"/>
      <c r="AK339" s="68">
        <v>0</v>
      </c>
      <c r="BB339" s="394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customHeight="1" x14ac:dyDescent="0.25">
      <c r="A340" s="54" t="s">
        <v>548</v>
      </c>
      <c r="B340" s="54" t="s">
        <v>549</v>
      </c>
      <c r="C340" s="31">
        <v>4301051864</v>
      </c>
      <c r="D340" s="549">
        <v>4680115883567</v>
      </c>
      <c r="E340" s="550"/>
      <c r="F340" s="544">
        <v>0.35</v>
      </c>
      <c r="G340" s="32">
        <v>6</v>
      </c>
      <c r="H340" s="544">
        <v>2.1</v>
      </c>
      <c r="I340" s="544">
        <v>2.34</v>
      </c>
      <c r="J340" s="32">
        <v>182</v>
      </c>
      <c r="K340" s="32" t="s">
        <v>67</v>
      </c>
      <c r="L340" s="32"/>
      <c r="M340" s="33" t="s">
        <v>87</v>
      </c>
      <c r="N340" s="33"/>
      <c r="O340" s="32">
        <v>40</v>
      </c>
      <c r="P340" s="68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0" s="552"/>
      <c r="R340" s="552"/>
      <c r="S340" s="552"/>
      <c r="T340" s="553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IFERROR(IF(Y340=0,"",ROUNDUP(Y340/H340,0)*0.00651),"")</f>
        <v/>
      </c>
      <c r="AA340" s="56"/>
      <c r="AB340" s="57"/>
      <c r="AC340" s="395" t="s">
        <v>550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x14ac:dyDescent="0.2">
      <c r="A341" s="568"/>
      <c r="B341" s="558"/>
      <c r="C341" s="558"/>
      <c r="D341" s="558"/>
      <c r="E341" s="558"/>
      <c r="F341" s="558"/>
      <c r="G341" s="558"/>
      <c r="H341" s="558"/>
      <c r="I341" s="558"/>
      <c r="J341" s="558"/>
      <c r="K341" s="558"/>
      <c r="L341" s="558"/>
      <c r="M341" s="558"/>
      <c r="N341" s="558"/>
      <c r="O341" s="569"/>
      <c r="P341" s="561" t="s">
        <v>75</v>
      </c>
      <c r="Q341" s="562"/>
      <c r="R341" s="562"/>
      <c r="S341" s="562"/>
      <c r="T341" s="562"/>
      <c r="U341" s="562"/>
      <c r="V341" s="563"/>
      <c r="W341" s="37" t="s">
        <v>76</v>
      </c>
      <c r="X341" s="547">
        <f>IFERROR(X338/H338,"0")+IFERROR(X339/H339,"0")+IFERROR(X340/H340,"0")</f>
        <v>0</v>
      </c>
      <c r="Y341" s="547">
        <f>IFERROR(Y338/H338,"0")+IFERROR(Y339/H339,"0")+IFERROR(Y340/H340,"0")</f>
        <v>0</v>
      </c>
      <c r="Z341" s="547">
        <f>IFERROR(IF(Z338="",0,Z338),"0")+IFERROR(IF(Z339="",0,Z339),"0")+IFERROR(IF(Z340="",0,Z340),"0")</f>
        <v>0</v>
      </c>
      <c r="AA341" s="548"/>
      <c r="AB341" s="548"/>
      <c r="AC341" s="548"/>
    </row>
    <row r="342" spans="1:68" x14ac:dyDescent="0.2">
      <c r="A342" s="558"/>
      <c r="B342" s="558"/>
      <c r="C342" s="558"/>
      <c r="D342" s="558"/>
      <c r="E342" s="558"/>
      <c r="F342" s="558"/>
      <c r="G342" s="558"/>
      <c r="H342" s="558"/>
      <c r="I342" s="558"/>
      <c r="J342" s="558"/>
      <c r="K342" s="558"/>
      <c r="L342" s="558"/>
      <c r="M342" s="558"/>
      <c r="N342" s="558"/>
      <c r="O342" s="569"/>
      <c r="P342" s="561" t="s">
        <v>75</v>
      </c>
      <c r="Q342" s="562"/>
      <c r="R342" s="562"/>
      <c r="S342" s="562"/>
      <c r="T342" s="562"/>
      <c r="U342" s="562"/>
      <c r="V342" s="563"/>
      <c r="W342" s="37" t="s">
        <v>69</v>
      </c>
      <c r="X342" s="547">
        <f>IFERROR(SUM(X338:X340),"0")</f>
        <v>0</v>
      </c>
      <c r="Y342" s="547">
        <f>IFERROR(SUM(Y338:Y340),"0")</f>
        <v>0</v>
      </c>
      <c r="Z342" s="37"/>
      <c r="AA342" s="548"/>
      <c r="AB342" s="548"/>
      <c r="AC342" s="548"/>
    </row>
    <row r="343" spans="1:68" ht="27.75" customHeight="1" x14ac:dyDescent="0.2">
      <c r="A343" s="597" t="s">
        <v>551</v>
      </c>
      <c r="B343" s="598"/>
      <c r="C343" s="598"/>
      <c r="D343" s="598"/>
      <c r="E343" s="598"/>
      <c r="F343" s="598"/>
      <c r="G343" s="598"/>
      <c r="H343" s="598"/>
      <c r="I343" s="598"/>
      <c r="J343" s="598"/>
      <c r="K343" s="598"/>
      <c r="L343" s="598"/>
      <c r="M343" s="598"/>
      <c r="N343" s="598"/>
      <c r="O343" s="598"/>
      <c r="P343" s="598"/>
      <c r="Q343" s="598"/>
      <c r="R343" s="598"/>
      <c r="S343" s="598"/>
      <c r="T343" s="598"/>
      <c r="U343" s="598"/>
      <c r="V343" s="598"/>
      <c r="W343" s="598"/>
      <c r="X343" s="598"/>
      <c r="Y343" s="598"/>
      <c r="Z343" s="598"/>
      <c r="AA343" s="48"/>
      <c r="AB343" s="48"/>
      <c r="AC343" s="48"/>
    </row>
    <row r="344" spans="1:68" ht="16.5" customHeight="1" x14ac:dyDescent="0.25">
      <c r="A344" s="591" t="s">
        <v>552</v>
      </c>
      <c r="B344" s="558"/>
      <c r="C344" s="558"/>
      <c r="D344" s="558"/>
      <c r="E344" s="558"/>
      <c r="F344" s="558"/>
      <c r="G344" s="558"/>
      <c r="H344" s="558"/>
      <c r="I344" s="558"/>
      <c r="J344" s="558"/>
      <c r="K344" s="558"/>
      <c r="L344" s="558"/>
      <c r="M344" s="558"/>
      <c r="N344" s="558"/>
      <c r="O344" s="558"/>
      <c r="P344" s="558"/>
      <c r="Q344" s="558"/>
      <c r="R344" s="558"/>
      <c r="S344" s="558"/>
      <c r="T344" s="558"/>
      <c r="U344" s="558"/>
      <c r="V344" s="558"/>
      <c r="W344" s="558"/>
      <c r="X344" s="558"/>
      <c r="Y344" s="558"/>
      <c r="Z344" s="558"/>
      <c r="AA344" s="540"/>
      <c r="AB344" s="540"/>
      <c r="AC344" s="540"/>
    </row>
    <row r="345" spans="1:68" ht="14.25" customHeight="1" x14ac:dyDescent="0.25">
      <c r="A345" s="557" t="s">
        <v>102</v>
      </c>
      <c r="B345" s="558"/>
      <c r="C345" s="558"/>
      <c r="D345" s="558"/>
      <c r="E345" s="558"/>
      <c r="F345" s="558"/>
      <c r="G345" s="558"/>
      <c r="H345" s="558"/>
      <c r="I345" s="558"/>
      <c r="J345" s="558"/>
      <c r="K345" s="558"/>
      <c r="L345" s="558"/>
      <c r="M345" s="558"/>
      <c r="N345" s="558"/>
      <c r="O345" s="558"/>
      <c r="P345" s="558"/>
      <c r="Q345" s="558"/>
      <c r="R345" s="558"/>
      <c r="S345" s="558"/>
      <c r="T345" s="558"/>
      <c r="U345" s="558"/>
      <c r="V345" s="558"/>
      <c r="W345" s="558"/>
      <c r="X345" s="558"/>
      <c r="Y345" s="558"/>
      <c r="Z345" s="558"/>
      <c r="AA345" s="541"/>
      <c r="AB345" s="541"/>
      <c r="AC345" s="541"/>
    </row>
    <row r="346" spans="1:68" ht="37.5" customHeight="1" x14ac:dyDescent="0.25">
      <c r="A346" s="54" t="s">
        <v>553</v>
      </c>
      <c r="B346" s="54" t="s">
        <v>554</v>
      </c>
      <c r="C346" s="31">
        <v>4301011869</v>
      </c>
      <c r="D346" s="549">
        <v>4680115884847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105</v>
      </c>
      <c r="L346" s="32" t="s">
        <v>106</v>
      </c>
      <c r="M346" s="33" t="s">
        <v>68</v>
      </c>
      <c r="N346" s="33"/>
      <c r="O346" s="32">
        <v>60</v>
      </c>
      <c r="P346" s="79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69</v>
      </c>
      <c r="X346" s="545">
        <v>676</v>
      </c>
      <c r="Y346" s="546">
        <f t="shared" ref="Y346:Y352" si="31">IFERROR(IF(X346="",0,CEILING((X346/$H346),1)*$H346),"")</f>
        <v>690</v>
      </c>
      <c r="Z346" s="36">
        <f>IFERROR(IF(Y346=0,"",ROUNDUP(Y346/H346,0)*0.02175),"")</f>
        <v>1.0004999999999999</v>
      </c>
      <c r="AA346" s="56"/>
      <c r="AB346" s="57"/>
      <c r="AC346" s="397" t="s">
        <v>555</v>
      </c>
      <c r="AG346" s="64"/>
      <c r="AJ346" s="68" t="s">
        <v>109</v>
      </c>
      <c r="AK346" s="68">
        <v>120</v>
      </c>
      <c r="BB346" s="398" t="s">
        <v>1</v>
      </c>
      <c r="BM346" s="64">
        <f t="shared" ref="BM346:BM352" si="32">IFERROR(X346*I346/H346,"0")</f>
        <v>697.18133333333344</v>
      </c>
      <c r="BN346" s="64">
        <f t="shared" ref="BN346:BN352" si="33">IFERROR(Y346*I346/H346,"0")</f>
        <v>711.62000000000012</v>
      </c>
      <c r="BO346" s="64">
        <f t="shared" ref="BO346:BO352" si="34">IFERROR(1/J346*(X346/H346),"0")</f>
        <v>0.93888888888888888</v>
      </c>
      <c r="BP346" s="64">
        <f t="shared" ref="BP346:BP352" si="35">IFERROR(1/J346*(Y346/H346),"0")</f>
        <v>0.95833333333333326</v>
      </c>
    </row>
    <row r="347" spans="1:68" ht="27" customHeight="1" x14ac:dyDescent="0.25">
      <c r="A347" s="54" t="s">
        <v>556</v>
      </c>
      <c r="B347" s="54" t="s">
        <v>557</v>
      </c>
      <c r="C347" s="31">
        <v>4301011870</v>
      </c>
      <c r="D347" s="549">
        <v>4680115884854</v>
      </c>
      <c r="E347" s="550"/>
      <c r="F347" s="544">
        <v>2.5</v>
      </c>
      <c r="G347" s="32">
        <v>6</v>
      </c>
      <c r="H347" s="544">
        <v>15</v>
      </c>
      <c r="I347" s="544">
        <v>15.47</v>
      </c>
      <c r="J347" s="32">
        <v>48</v>
      </c>
      <c r="K347" s="32" t="s">
        <v>105</v>
      </c>
      <c r="L347" s="32" t="s">
        <v>106</v>
      </c>
      <c r="M347" s="33" t="s">
        <v>68</v>
      </c>
      <c r="N347" s="33"/>
      <c r="O347" s="32">
        <v>60</v>
      </c>
      <c r="P347" s="82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7" s="552"/>
      <c r="R347" s="552"/>
      <c r="S347" s="552"/>
      <c r="T347" s="553"/>
      <c r="U347" s="34"/>
      <c r="V347" s="34"/>
      <c r="W347" s="35" t="s">
        <v>69</v>
      </c>
      <c r="X347" s="545">
        <v>415</v>
      </c>
      <c r="Y347" s="546">
        <f t="shared" si="31"/>
        <v>420</v>
      </c>
      <c r="Z347" s="36">
        <f>IFERROR(IF(Y347=0,"",ROUNDUP(Y347/H347,0)*0.02175),"")</f>
        <v>0.60899999999999999</v>
      </c>
      <c r="AA347" s="56"/>
      <c r="AB347" s="57"/>
      <c r="AC347" s="399" t="s">
        <v>558</v>
      </c>
      <c r="AG347" s="64"/>
      <c r="AJ347" s="68" t="s">
        <v>109</v>
      </c>
      <c r="AK347" s="68">
        <v>120</v>
      </c>
      <c r="BB347" s="400" t="s">
        <v>1</v>
      </c>
      <c r="BM347" s="64">
        <f t="shared" si="32"/>
        <v>428.00333333333333</v>
      </c>
      <c r="BN347" s="64">
        <f t="shared" si="33"/>
        <v>433.16</v>
      </c>
      <c r="BO347" s="64">
        <f t="shared" si="34"/>
        <v>0.57638888888888884</v>
      </c>
      <c r="BP347" s="64">
        <f t="shared" si="35"/>
        <v>0.58333333333333326</v>
      </c>
    </row>
    <row r="348" spans="1:68" ht="37.5" customHeight="1" x14ac:dyDescent="0.25">
      <c r="A348" s="54" t="s">
        <v>559</v>
      </c>
      <c r="B348" s="54" t="s">
        <v>560</v>
      </c>
      <c r="C348" s="31">
        <v>4301011867</v>
      </c>
      <c r="D348" s="549">
        <v>4680115884830</v>
      </c>
      <c r="E348" s="550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105</v>
      </c>
      <c r="L348" s="32" t="s">
        <v>106</v>
      </c>
      <c r="M348" s="33" t="s">
        <v>68</v>
      </c>
      <c r="N348" s="33"/>
      <c r="O348" s="32">
        <v>60</v>
      </c>
      <c r="P348" s="79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8" s="552"/>
      <c r="R348" s="552"/>
      <c r="S348" s="552"/>
      <c r="T348" s="553"/>
      <c r="U348" s="34"/>
      <c r="V348" s="34"/>
      <c r="W348" s="35" t="s">
        <v>69</v>
      </c>
      <c r="X348" s="545">
        <v>502</v>
      </c>
      <c r="Y348" s="546">
        <f t="shared" si="31"/>
        <v>510</v>
      </c>
      <c r="Z348" s="36">
        <f>IFERROR(IF(Y348=0,"",ROUNDUP(Y348/H348,0)*0.02175),"")</f>
        <v>0.73949999999999994</v>
      </c>
      <c r="AA348" s="56"/>
      <c r="AB348" s="57"/>
      <c r="AC348" s="401" t="s">
        <v>561</v>
      </c>
      <c r="AG348" s="64"/>
      <c r="AJ348" s="68" t="s">
        <v>109</v>
      </c>
      <c r="AK348" s="68">
        <v>120</v>
      </c>
      <c r="BB348" s="402" t="s">
        <v>1</v>
      </c>
      <c r="BM348" s="64">
        <f t="shared" si="32"/>
        <v>517.72933333333333</v>
      </c>
      <c r="BN348" s="64">
        <f t="shared" si="33"/>
        <v>525.98</v>
      </c>
      <c r="BO348" s="64">
        <f t="shared" si="34"/>
        <v>0.69722222222222219</v>
      </c>
      <c r="BP348" s="64">
        <f t="shared" si="35"/>
        <v>0.70833333333333326</v>
      </c>
    </row>
    <row r="349" spans="1:68" ht="27" customHeight="1" x14ac:dyDescent="0.25">
      <c r="A349" s="54" t="s">
        <v>562</v>
      </c>
      <c r="B349" s="54" t="s">
        <v>563</v>
      </c>
      <c r="C349" s="31">
        <v>4301012215</v>
      </c>
      <c r="D349" s="549">
        <v>4680115887046</v>
      </c>
      <c r="E349" s="550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105</v>
      </c>
      <c r="L349" s="32"/>
      <c r="M349" s="33" t="s">
        <v>87</v>
      </c>
      <c r="N349" s="33"/>
      <c r="O349" s="32">
        <v>60</v>
      </c>
      <c r="P349" s="8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5">
        <v>632</v>
      </c>
      <c r="Y349" s="546">
        <f t="shared" si="31"/>
        <v>645</v>
      </c>
      <c r="Z349" s="36">
        <f>IFERROR(IF(Y349=0,"",ROUNDUP(Y349/H349,0)*0.02175),"")</f>
        <v>0.93524999999999991</v>
      </c>
      <c r="AA349" s="56"/>
      <c r="AB349" s="57"/>
      <c r="AC349" s="403" t="s">
        <v>564</v>
      </c>
      <c r="AG349" s="64"/>
      <c r="AJ349" s="68"/>
      <c r="AK349" s="68">
        <v>0</v>
      </c>
      <c r="BB349" s="404" t="s">
        <v>1</v>
      </c>
      <c r="BM349" s="64">
        <f t="shared" si="32"/>
        <v>651.80266666666671</v>
      </c>
      <c r="BN349" s="64">
        <f t="shared" si="33"/>
        <v>665.20999999999992</v>
      </c>
      <c r="BO349" s="64">
        <f t="shared" si="34"/>
        <v>0.87777777777777777</v>
      </c>
      <c r="BP349" s="64">
        <f t="shared" si="35"/>
        <v>0.89583333333333326</v>
      </c>
    </row>
    <row r="350" spans="1:68" ht="27" customHeight="1" x14ac:dyDescent="0.25">
      <c r="A350" s="54" t="s">
        <v>565</v>
      </c>
      <c r="B350" s="54" t="s">
        <v>566</v>
      </c>
      <c r="C350" s="31">
        <v>4301011433</v>
      </c>
      <c r="D350" s="549">
        <v>4680115882638</v>
      </c>
      <c r="E350" s="550"/>
      <c r="F350" s="544">
        <v>0.4</v>
      </c>
      <c r="G350" s="32">
        <v>10</v>
      </c>
      <c r="H350" s="544">
        <v>4</v>
      </c>
      <c r="I350" s="544">
        <v>4.1900000000000004</v>
      </c>
      <c r="J350" s="32">
        <v>132</v>
      </c>
      <c r="K350" s="32" t="s">
        <v>112</v>
      </c>
      <c r="L350" s="32"/>
      <c r="M350" s="33" t="s">
        <v>107</v>
      </c>
      <c r="N350" s="33"/>
      <c r="O350" s="32">
        <v>90</v>
      </c>
      <c r="P350" s="6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0" s="552"/>
      <c r="R350" s="552"/>
      <c r="S350" s="552"/>
      <c r="T350" s="553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IFERROR(IF(Y350=0,"",ROUNDUP(Y350/H350,0)*0.00902),"")</f>
        <v/>
      </c>
      <c r="AA350" s="56"/>
      <c r="AB350" s="57"/>
      <c r="AC350" s="405" t="s">
        <v>567</v>
      </c>
      <c r="AG350" s="64"/>
      <c r="AJ350" s="68"/>
      <c r="AK350" s="68">
        <v>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customHeight="1" x14ac:dyDescent="0.25">
      <c r="A351" s="54" t="s">
        <v>568</v>
      </c>
      <c r="B351" s="54" t="s">
        <v>569</v>
      </c>
      <c r="C351" s="31">
        <v>4301011952</v>
      </c>
      <c r="D351" s="549">
        <v>4680115884922</v>
      </c>
      <c r="E351" s="550"/>
      <c r="F351" s="544">
        <v>0.5</v>
      </c>
      <c r="G351" s="32">
        <v>10</v>
      </c>
      <c r="H351" s="544">
        <v>5</v>
      </c>
      <c r="I351" s="544">
        <v>5.19</v>
      </c>
      <c r="J351" s="32">
        <v>132</v>
      </c>
      <c r="K351" s="32" t="s">
        <v>112</v>
      </c>
      <c r="L351" s="32"/>
      <c r="M351" s="33" t="s">
        <v>68</v>
      </c>
      <c r="N351" s="33"/>
      <c r="O351" s="32">
        <v>60</v>
      </c>
      <c r="P351" s="6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IFERROR(IF(Y351=0,"",ROUNDUP(Y351/H351,0)*0.00902),"")</f>
        <v/>
      </c>
      <c r="AA351" s="56"/>
      <c r="AB351" s="57"/>
      <c r="AC351" s="407" t="s">
        <v>558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37.5" customHeight="1" x14ac:dyDescent="0.25">
      <c r="A352" s="54" t="s">
        <v>570</v>
      </c>
      <c r="B352" s="54" t="s">
        <v>571</v>
      </c>
      <c r="C352" s="31">
        <v>4301011868</v>
      </c>
      <c r="D352" s="549">
        <v>4680115884861</v>
      </c>
      <c r="E352" s="550"/>
      <c r="F352" s="544">
        <v>0.5</v>
      </c>
      <c r="G352" s="32">
        <v>10</v>
      </c>
      <c r="H352" s="544">
        <v>5</v>
      </c>
      <c r="I352" s="544">
        <v>5.19</v>
      </c>
      <c r="J352" s="32">
        <v>132</v>
      </c>
      <c r="K352" s="32" t="s">
        <v>112</v>
      </c>
      <c r="L352" s="32"/>
      <c r="M352" s="33" t="s">
        <v>68</v>
      </c>
      <c r="N352" s="33"/>
      <c r="O352" s="32">
        <v>60</v>
      </c>
      <c r="P352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561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x14ac:dyDescent="0.2">
      <c r="A353" s="568"/>
      <c r="B353" s="558"/>
      <c r="C353" s="558"/>
      <c r="D353" s="558"/>
      <c r="E353" s="558"/>
      <c r="F353" s="558"/>
      <c r="G353" s="558"/>
      <c r="H353" s="558"/>
      <c r="I353" s="558"/>
      <c r="J353" s="558"/>
      <c r="K353" s="558"/>
      <c r="L353" s="558"/>
      <c r="M353" s="558"/>
      <c r="N353" s="558"/>
      <c r="O353" s="569"/>
      <c r="P353" s="561" t="s">
        <v>75</v>
      </c>
      <c r="Q353" s="562"/>
      <c r="R353" s="562"/>
      <c r="S353" s="562"/>
      <c r="T353" s="562"/>
      <c r="U353" s="562"/>
      <c r="V353" s="563"/>
      <c r="W353" s="37" t="s">
        <v>76</v>
      </c>
      <c r="X353" s="547">
        <f>IFERROR(X346/H346,"0")+IFERROR(X347/H347,"0")+IFERROR(X348/H348,"0")+IFERROR(X349/H349,"0")+IFERROR(X350/H350,"0")+IFERROR(X351/H351,"0")+IFERROR(X352/H352,"0")</f>
        <v>148.33333333333334</v>
      </c>
      <c r="Y353" s="547">
        <f>IFERROR(Y346/H346,"0")+IFERROR(Y347/H347,"0")+IFERROR(Y348/H348,"0")+IFERROR(Y349/H349,"0")+IFERROR(Y350/H350,"0")+IFERROR(Y351/H351,"0")+IFERROR(Y352/H352,"0")</f>
        <v>151</v>
      </c>
      <c r="Z353" s="547">
        <f>IFERROR(IF(Z346="",0,Z346),"0")+IFERROR(IF(Z347="",0,Z347),"0")+IFERROR(IF(Z348="",0,Z348),"0")+IFERROR(IF(Z349="",0,Z349),"0")+IFERROR(IF(Z350="",0,Z350),"0")+IFERROR(IF(Z351="",0,Z351),"0")+IFERROR(IF(Z352="",0,Z352),"0")</f>
        <v>3.2842499999999997</v>
      </c>
      <c r="AA353" s="548"/>
      <c r="AB353" s="548"/>
      <c r="AC353" s="548"/>
    </row>
    <row r="354" spans="1:68" x14ac:dyDescent="0.2">
      <c r="A354" s="558"/>
      <c r="B354" s="558"/>
      <c r="C354" s="558"/>
      <c r="D354" s="558"/>
      <c r="E354" s="558"/>
      <c r="F354" s="558"/>
      <c r="G354" s="558"/>
      <c r="H354" s="558"/>
      <c r="I354" s="558"/>
      <c r="J354" s="558"/>
      <c r="K354" s="558"/>
      <c r="L354" s="558"/>
      <c r="M354" s="558"/>
      <c r="N354" s="558"/>
      <c r="O354" s="569"/>
      <c r="P354" s="561" t="s">
        <v>75</v>
      </c>
      <c r="Q354" s="562"/>
      <c r="R354" s="562"/>
      <c r="S354" s="562"/>
      <c r="T354" s="562"/>
      <c r="U354" s="562"/>
      <c r="V354" s="563"/>
      <c r="W354" s="37" t="s">
        <v>69</v>
      </c>
      <c r="X354" s="547">
        <f>IFERROR(SUM(X346:X352),"0")</f>
        <v>2225</v>
      </c>
      <c r="Y354" s="547">
        <f>IFERROR(SUM(Y346:Y352),"0")</f>
        <v>2265</v>
      </c>
      <c r="Z354" s="37"/>
      <c r="AA354" s="548"/>
      <c r="AB354" s="548"/>
      <c r="AC354" s="548"/>
    </row>
    <row r="355" spans="1:68" ht="14.25" customHeight="1" x14ac:dyDescent="0.25">
      <c r="A355" s="557" t="s">
        <v>138</v>
      </c>
      <c r="B355" s="558"/>
      <c r="C355" s="558"/>
      <c r="D355" s="558"/>
      <c r="E355" s="558"/>
      <c r="F355" s="558"/>
      <c r="G355" s="558"/>
      <c r="H355" s="558"/>
      <c r="I355" s="558"/>
      <c r="J355" s="558"/>
      <c r="K355" s="558"/>
      <c r="L355" s="558"/>
      <c r="M355" s="558"/>
      <c r="N355" s="558"/>
      <c r="O355" s="558"/>
      <c r="P355" s="558"/>
      <c r="Q355" s="558"/>
      <c r="R355" s="558"/>
      <c r="S355" s="558"/>
      <c r="T355" s="558"/>
      <c r="U355" s="558"/>
      <c r="V355" s="558"/>
      <c r="W355" s="558"/>
      <c r="X355" s="558"/>
      <c r="Y355" s="558"/>
      <c r="Z355" s="558"/>
      <c r="AA355" s="541"/>
      <c r="AB355" s="541"/>
      <c r="AC355" s="541"/>
    </row>
    <row r="356" spans="1:68" ht="27" customHeight="1" x14ac:dyDescent="0.25">
      <c r="A356" s="54" t="s">
        <v>572</v>
      </c>
      <c r="B356" s="54" t="s">
        <v>573</v>
      </c>
      <c r="C356" s="31">
        <v>4301020178</v>
      </c>
      <c r="D356" s="549">
        <v>4607091383980</v>
      </c>
      <c r="E356" s="550"/>
      <c r="F356" s="544">
        <v>2.5</v>
      </c>
      <c r="G356" s="32">
        <v>6</v>
      </c>
      <c r="H356" s="544">
        <v>15</v>
      </c>
      <c r="I356" s="544">
        <v>15.47</v>
      </c>
      <c r="J356" s="32">
        <v>48</v>
      </c>
      <c r="K356" s="32" t="s">
        <v>105</v>
      </c>
      <c r="L356" s="32" t="s">
        <v>106</v>
      </c>
      <c r="M356" s="33" t="s">
        <v>107</v>
      </c>
      <c r="N356" s="33"/>
      <c r="O356" s="32">
        <v>50</v>
      </c>
      <c r="P356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6" s="552"/>
      <c r="R356" s="552"/>
      <c r="S356" s="552"/>
      <c r="T356" s="553"/>
      <c r="U356" s="34"/>
      <c r="V356" s="34"/>
      <c r="W356" s="35" t="s">
        <v>69</v>
      </c>
      <c r="X356" s="545">
        <v>982</v>
      </c>
      <c r="Y356" s="546">
        <f>IFERROR(IF(X356="",0,CEILING((X356/$H356),1)*$H356),"")</f>
        <v>990</v>
      </c>
      <c r="Z356" s="36">
        <f>IFERROR(IF(Y356=0,"",ROUNDUP(Y356/H356,0)*0.02175),"")</f>
        <v>1.4355</v>
      </c>
      <c r="AA356" s="56"/>
      <c r="AB356" s="57"/>
      <c r="AC356" s="411" t="s">
        <v>574</v>
      </c>
      <c r="AG356" s="64"/>
      <c r="AJ356" s="68" t="s">
        <v>109</v>
      </c>
      <c r="AK356" s="68">
        <v>120</v>
      </c>
      <c r="BB356" s="412" t="s">
        <v>1</v>
      </c>
      <c r="BM356" s="64">
        <f>IFERROR(X356*I356/H356,"0")</f>
        <v>1012.7693333333334</v>
      </c>
      <c r="BN356" s="64">
        <f>IFERROR(Y356*I356/H356,"0")</f>
        <v>1021.0200000000001</v>
      </c>
      <c r="BO356" s="64">
        <f>IFERROR(1/J356*(X356/H356),"0")</f>
        <v>1.3638888888888889</v>
      </c>
      <c r="BP356" s="64">
        <f>IFERROR(1/J356*(Y356/H356),"0")</f>
        <v>1.375</v>
      </c>
    </row>
    <row r="357" spans="1:68" ht="27" customHeight="1" x14ac:dyDescent="0.25">
      <c r="A357" s="54" t="s">
        <v>575</v>
      </c>
      <c r="B357" s="54" t="s">
        <v>576</v>
      </c>
      <c r="C357" s="31">
        <v>4301020179</v>
      </c>
      <c r="D357" s="549">
        <v>4607091384178</v>
      </c>
      <c r="E357" s="550"/>
      <c r="F357" s="544">
        <v>0.4</v>
      </c>
      <c r="G357" s="32">
        <v>10</v>
      </c>
      <c r="H357" s="544">
        <v>4</v>
      </c>
      <c r="I357" s="544">
        <v>4.1900000000000004</v>
      </c>
      <c r="J357" s="32">
        <v>132</v>
      </c>
      <c r="K357" s="32" t="s">
        <v>112</v>
      </c>
      <c r="L357" s="32"/>
      <c r="M357" s="33" t="s">
        <v>107</v>
      </c>
      <c r="N357" s="33"/>
      <c r="O357" s="32">
        <v>50</v>
      </c>
      <c r="P357" s="84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7" s="552"/>
      <c r="R357" s="552"/>
      <c r="S357" s="552"/>
      <c r="T357" s="553"/>
      <c r="U357" s="34"/>
      <c r="V357" s="34"/>
      <c r="W357" s="35" t="s">
        <v>69</v>
      </c>
      <c r="X357" s="545">
        <v>0</v>
      </c>
      <c r="Y357" s="546">
        <f>IFERROR(IF(X357="",0,CEILING((X357/$H357),1)*$H357),"")</f>
        <v>0</v>
      </c>
      <c r="Z357" s="36" t="str">
        <f>IFERROR(IF(Y357=0,"",ROUNDUP(Y357/H357,0)*0.00902),"")</f>
        <v/>
      </c>
      <c r="AA357" s="56"/>
      <c r="AB357" s="57"/>
      <c r="AC357" s="413" t="s">
        <v>577</v>
      </c>
      <c r="AG357" s="64"/>
      <c r="AJ357" s="68"/>
      <c r="AK357" s="68">
        <v>0</v>
      </c>
      <c r="BB357" s="414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x14ac:dyDescent="0.2">
      <c r="A358" s="568"/>
      <c r="B358" s="558"/>
      <c r="C358" s="558"/>
      <c r="D358" s="558"/>
      <c r="E358" s="558"/>
      <c r="F358" s="558"/>
      <c r="G358" s="558"/>
      <c r="H358" s="558"/>
      <c r="I358" s="558"/>
      <c r="J358" s="558"/>
      <c r="K358" s="558"/>
      <c r="L358" s="558"/>
      <c r="M358" s="558"/>
      <c r="N358" s="558"/>
      <c r="O358" s="569"/>
      <c r="P358" s="561" t="s">
        <v>75</v>
      </c>
      <c r="Q358" s="562"/>
      <c r="R358" s="562"/>
      <c r="S358" s="562"/>
      <c r="T358" s="562"/>
      <c r="U358" s="562"/>
      <c r="V358" s="563"/>
      <c r="W358" s="37" t="s">
        <v>76</v>
      </c>
      <c r="X358" s="547">
        <f>IFERROR(X356/H356,"0")+IFERROR(X357/H357,"0")</f>
        <v>65.466666666666669</v>
      </c>
      <c r="Y358" s="547">
        <f>IFERROR(Y356/H356,"0")+IFERROR(Y357/H357,"0")</f>
        <v>66</v>
      </c>
      <c r="Z358" s="547">
        <f>IFERROR(IF(Z356="",0,Z356),"0")+IFERROR(IF(Z357="",0,Z357),"0")</f>
        <v>1.4355</v>
      </c>
      <c r="AA358" s="548"/>
      <c r="AB358" s="548"/>
      <c r="AC358" s="548"/>
    </row>
    <row r="359" spans="1:68" x14ac:dyDescent="0.2">
      <c r="A359" s="558"/>
      <c r="B359" s="558"/>
      <c r="C359" s="558"/>
      <c r="D359" s="558"/>
      <c r="E359" s="558"/>
      <c r="F359" s="558"/>
      <c r="G359" s="558"/>
      <c r="H359" s="558"/>
      <c r="I359" s="558"/>
      <c r="J359" s="558"/>
      <c r="K359" s="558"/>
      <c r="L359" s="558"/>
      <c r="M359" s="558"/>
      <c r="N359" s="558"/>
      <c r="O359" s="569"/>
      <c r="P359" s="561" t="s">
        <v>75</v>
      </c>
      <c r="Q359" s="562"/>
      <c r="R359" s="562"/>
      <c r="S359" s="562"/>
      <c r="T359" s="562"/>
      <c r="U359" s="562"/>
      <c r="V359" s="563"/>
      <c r="W359" s="37" t="s">
        <v>69</v>
      </c>
      <c r="X359" s="547">
        <f>IFERROR(SUM(X356:X357),"0")</f>
        <v>982</v>
      </c>
      <c r="Y359" s="547">
        <f>IFERROR(SUM(Y356:Y357),"0")</f>
        <v>990</v>
      </c>
      <c r="Z359" s="37"/>
      <c r="AA359" s="548"/>
      <c r="AB359" s="548"/>
      <c r="AC359" s="548"/>
    </row>
    <row r="360" spans="1:68" ht="14.25" customHeight="1" x14ac:dyDescent="0.25">
      <c r="A360" s="557" t="s">
        <v>77</v>
      </c>
      <c r="B360" s="558"/>
      <c r="C360" s="558"/>
      <c r="D360" s="558"/>
      <c r="E360" s="558"/>
      <c r="F360" s="558"/>
      <c r="G360" s="558"/>
      <c r="H360" s="558"/>
      <c r="I360" s="558"/>
      <c r="J360" s="558"/>
      <c r="K360" s="558"/>
      <c r="L360" s="558"/>
      <c r="M360" s="558"/>
      <c r="N360" s="558"/>
      <c r="O360" s="558"/>
      <c r="P360" s="558"/>
      <c r="Q360" s="558"/>
      <c r="R360" s="558"/>
      <c r="S360" s="558"/>
      <c r="T360" s="558"/>
      <c r="U360" s="558"/>
      <c r="V360" s="558"/>
      <c r="W360" s="558"/>
      <c r="X360" s="558"/>
      <c r="Y360" s="558"/>
      <c r="Z360" s="558"/>
      <c r="AA360" s="541"/>
      <c r="AB360" s="541"/>
      <c r="AC360" s="541"/>
    </row>
    <row r="361" spans="1:68" ht="27" customHeight="1" x14ac:dyDescent="0.25">
      <c r="A361" s="54" t="s">
        <v>578</v>
      </c>
      <c r="B361" s="54" t="s">
        <v>579</v>
      </c>
      <c r="C361" s="31">
        <v>4301051903</v>
      </c>
      <c r="D361" s="549">
        <v>4607091383928</v>
      </c>
      <c r="E361" s="550"/>
      <c r="F361" s="544">
        <v>1.5</v>
      </c>
      <c r="G361" s="32">
        <v>6</v>
      </c>
      <c r="H361" s="544">
        <v>9</v>
      </c>
      <c r="I361" s="544">
        <v>9.5</v>
      </c>
      <c r="J361" s="32">
        <v>64</v>
      </c>
      <c r="K361" s="32" t="s">
        <v>105</v>
      </c>
      <c r="L361" s="32"/>
      <c r="M361" s="33" t="s">
        <v>80</v>
      </c>
      <c r="N361" s="33"/>
      <c r="O361" s="32">
        <v>40</v>
      </c>
      <c r="P361" s="72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1" s="552"/>
      <c r="R361" s="552"/>
      <c r="S361" s="552"/>
      <c r="T361" s="553"/>
      <c r="U361" s="34"/>
      <c r="V361" s="34"/>
      <c r="W361" s="35" t="s">
        <v>69</v>
      </c>
      <c r="X361" s="545">
        <v>0</v>
      </c>
      <c r="Y361" s="546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15" t="s">
        <v>580</v>
      </c>
      <c r="AG361" s="64"/>
      <c r="AJ361" s="68"/>
      <c r="AK361" s="68">
        <v>0</v>
      </c>
      <c r="BB361" s="416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customHeight="1" x14ac:dyDescent="0.25">
      <c r="A362" s="54" t="s">
        <v>581</v>
      </c>
      <c r="B362" s="54" t="s">
        <v>582</v>
      </c>
      <c r="C362" s="31">
        <v>4301051897</v>
      </c>
      <c r="D362" s="549">
        <v>4607091384260</v>
      </c>
      <c r="E362" s="550"/>
      <c r="F362" s="544">
        <v>1.5</v>
      </c>
      <c r="G362" s="32">
        <v>6</v>
      </c>
      <c r="H362" s="544">
        <v>9</v>
      </c>
      <c r="I362" s="544">
        <v>9.4939999999999998</v>
      </c>
      <c r="J362" s="32">
        <v>64</v>
      </c>
      <c r="K362" s="32" t="s">
        <v>105</v>
      </c>
      <c r="L362" s="32"/>
      <c r="M362" s="33" t="s">
        <v>80</v>
      </c>
      <c r="N362" s="33"/>
      <c r="O362" s="32">
        <v>40</v>
      </c>
      <c r="P362" s="82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2" s="552"/>
      <c r="R362" s="552"/>
      <c r="S362" s="552"/>
      <c r="T362" s="553"/>
      <c r="U362" s="34"/>
      <c r="V362" s="34"/>
      <c r="W362" s="35" t="s">
        <v>69</v>
      </c>
      <c r="X362" s="545">
        <v>0</v>
      </c>
      <c r="Y362" s="546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7" t="s">
        <v>583</v>
      </c>
      <c r="AG362" s="64"/>
      <c r="AJ362" s="68"/>
      <c r="AK362" s="68">
        <v>0</v>
      </c>
      <c r="BB362" s="418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8"/>
      <c r="B363" s="558"/>
      <c r="C363" s="558"/>
      <c r="D363" s="558"/>
      <c r="E363" s="558"/>
      <c r="F363" s="558"/>
      <c r="G363" s="558"/>
      <c r="H363" s="558"/>
      <c r="I363" s="558"/>
      <c r="J363" s="558"/>
      <c r="K363" s="558"/>
      <c r="L363" s="558"/>
      <c r="M363" s="558"/>
      <c r="N363" s="558"/>
      <c r="O363" s="569"/>
      <c r="P363" s="561" t="s">
        <v>75</v>
      </c>
      <c r="Q363" s="562"/>
      <c r="R363" s="562"/>
      <c r="S363" s="562"/>
      <c r="T363" s="562"/>
      <c r="U363" s="562"/>
      <c r="V363" s="563"/>
      <c r="W363" s="37" t="s">
        <v>76</v>
      </c>
      <c r="X363" s="547">
        <f>IFERROR(X361/H361,"0")+IFERROR(X362/H362,"0")</f>
        <v>0</v>
      </c>
      <c r="Y363" s="547">
        <f>IFERROR(Y361/H361,"0")+IFERROR(Y362/H362,"0")</f>
        <v>0</v>
      </c>
      <c r="Z363" s="547">
        <f>IFERROR(IF(Z361="",0,Z361),"0")+IFERROR(IF(Z362="",0,Z362),"0")</f>
        <v>0</v>
      </c>
      <c r="AA363" s="548"/>
      <c r="AB363" s="548"/>
      <c r="AC363" s="548"/>
    </row>
    <row r="364" spans="1:68" x14ac:dyDescent="0.2">
      <c r="A364" s="558"/>
      <c r="B364" s="558"/>
      <c r="C364" s="558"/>
      <c r="D364" s="558"/>
      <c r="E364" s="558"/>
      <c r="F364" s="558"/>
      <c r="G364" s="558"/>
      <c r="H364" s="558"/>
      <c r="I364" s="558"/>
      <c r="J364" s="558"/>
      <c r="K364" s="558"/>
      <c r="L364" s="558"/>
      <c r="M364" s="558"/>
      <c r="N364" s="558"/>
      <c r="O364" s="569"/>
      <c r="P364" s="561" t="s">
        <v>75</v>
      </c>
      <c r="Q364" s="562"/>
      <c r="R364" s="562"/>
      <c r="S364" s="562"/>
      <c r="T364" s="562"/>
      <c r="U364" s="562"/>
      <c r="V364" s="563"/>
      <c r="W364" s="37" t="s">
        <v>69</v>
      </c>
      <c r="X364" s="547">
        <f>IFERROR(SUM(X361:X362),"0")</f>
        <v>0</v>
      </c>
      <c r="Y364" s="547">
        <f>IFERROR(SUM(Y361:Y362),"0")</f>
        <v>0</v>
      </c>
      <c r="Z364" s="37"/>
      <c r="AA364" s="548"/>
      <c r="AB364" s="548"/>
      <c r="AC364" s="548"/>
    </row>
    <row r="365" spans="1:68" ht="14.25" customHeight="1" x14ac:dyDescent="0.25">
      <c r="A365" s="557" t="s">
        <v>166</v>
      </c>
      <c r="B365" s="558"/>
      <c r="C365" s="558"/>
      <c r="D365" s="558"/>
      <c r="E365" s="558"/>
      <c r="F365" s="558"/>
      <c r="G365" s="558"/>
      <c r="H365" s="558"/>
      <c r="I365" s="558"/>
      <c r="J365" s="558"/>
      <c r="K365" s="558"/>
      <c r="L365" s="558"/>
      <c r="M365" s="558"/>
      <c r="N365" s="558"/>
      <c r="O365" s="558"/>
      <c r="P365" s="558"/>
      <c r="Q365" s="558"/>
      <c r="R365" s="558"/>
      <c r="S365" s="558"/>
      <c r="T365" s="558"/>
      <c r="U365" s="558"/>
      <c r="V365" s="558"/>
      <c r="W365" s="558"/>
      <c r="X365" s="558"/>
      <c r="Y365" s="558"/>
      <c r="Z365" s="558"/>
      <c r="AA365" s="541"/>
      <c r="AB365" s="541"/>
      <c r="AC365" s="541"/>
    </row>
    <row r="366" spans="1:68" ht="16.5" customHeight="1" x14ac:dyDescent="0.25">
      <c r="A366" s="54" t="s">
        <v>584</v>
      </c>
      <c r="B366" s="54" t="s">
        <v>585</v>
      </c>
      <c r="C366" s="31">
        <v>4301060524</v>
      </c>
      <c r="D366" s="549">
        <v>4607091384673</v>
      </c>
      <c r="E366" s="550"/>
      <c r="F366" s="544">
        <v>1.5</v>
      </c>
      <c r="G366" s="32">
        <v>6</v>
      </c>
      <c r="H366" s="544">
        <v>9</v>
      </c>
      <c r="I366" s="544">
        <v>9.4939999999999998</v>
      </c>
      <c r="J366" s="32">
        <v>64</v>
      </c>
      <c r="K366" s="32" t="s">
        <v>105</v>
      </c>
      <c r="L366" s="32"/>
      <c r="M366" s="33" t="s">
        <v>80</v>
      </c>
      <c r="N366" s="33"/>
      <c r="O366" s="32">
        <v>40</v>
      </c>
      <c r="P366" s="5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6" s="552"/>
      <c r="R366" s="552"/>
      <c r="S366" s="552"/>
      <c r="T366" s="553"/>
      <c r="U366" s="34"/>
      <c r="V366" s="34"/>
      <c r="W366" s="35" t="s">
        <v>69</v>
      </c>
      <c r="X366" s="545">
        <v>0</v>
      </c>
      <c r="Y366" s="54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19" t="s">
        <v>586</v>
      </c>
      <c r="AG366" s="64"/>
      <c r="AJ366" s="68"/>
      <c r="AK366" s="68">
        <v>0</v>
      </c>
      <c r="BB366" s="420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68"/>
      <c r="B367" s="558"/>
      <c r="C367" s="558"/>
      <c r="D367" s="558"/>
      <c r="E367" s="558"/>
      <c r="F367" s="558"/>
      <c r="G367" s="558"/>
      <c r="H367" s="558"/>
      <c r="I367" s="558"/>
      <c r="J367" s="558"/>
      <c r="K367" s="558"/>
      <c r="L367" s="558"/>
      <c r="M367" s="558"/>
      <c r="N367" s="558"/>
      <c r="O367" s="569"/>
      <c r="P367" s="561" t="s">
        <v>75</v>
      </c>
      <c r="Q367" s="562"/>
      <c r="R367" s="562"/>
      <c r="S367" s="562"/>
      <c r="T367" s="562"/>
      <c r="U367" s="562"/>
      <c r="V367" s="563"/>
      <c r="W367" s="37" t="s">
        <v>76</v>
      </c>
      <c r="X367" s="547">
        <f>IFERROR(X366/H366,"0")</f>
        <v>0</v>
      </c>
      <c r="Y367" s="547">
        <f>IFERROR(Y366/H366,"0")</f>
        <v>0</v>
      </c>
      <c r="Z367" s="547">
        <f>IFERROR(IF(Z366="",0,Z366),"0")</f>
        <v>0</v>
      </c>
      <c r="AA367" s="548"/>
      <c r="AB367" s="548"/>
      <c r="AC367" s="548"/>
    </row>
    <row r="368" spans="1:68" x14ac:dyDescent="0.2">
      <c r="A368" s="558"/>
      <c r="B368" s="558"/>
      <c r="C368" s="558"/>
      <c r="D368" s="558"/>
      <c r="E368" s="558"/>
      <c r="F368" s="558"/>
      <c r="G368" s="558"/>
      <c r="H368" s="558"/>
      <c r="I368" s="558"/>
      <c r="J368" s="558"/>
      <c r="K368" s="558"/>
      <c r="L368" s="558"/>
      <c r="M368" s="558"/>
      <c r="N368" s="558"/>
      <c r="O368" s="569"/>
      <c r="P368" s="561" t="s">
        <v>75</v>
      </c>
      <c r="Q368" s="562"/>
      <c r="R368" s="562"/>
      <c r="S368" s="562"/>
      <c r="T368" s="562"/>
      <c r="U368" s="562"/>
      <c r="V368" s="563"/>
      <c r="W368" s="37" t="s">
        <v>69</v>
      </c>
      <c r="X368" s="547">
        <f>IFERROR(SUM(X366:X366),"0")</f>
        <v>0</v>
      </c>
      <c r="Y368" s="547">
        <f>IFERROR(SUM(Y366:Y366),"0")</f>
        <v>0</v>
      </c>
      <c r="Z368" s="37"/>
      <c r="AA368" s="548"/>
      <c r="AB368" s="548"/>
      <c r="AC368" s="548"/>
    </row>
    <row r="369" spans="1:68" ht="16.5" customHeight="1" x14ac:dyDescent="0.25">
      <c r="A369" s="591" t="s">
        <v>587</v>
      </c>
      <c r="B369" s="558"/>
      <c r="C369" s="558"/>
      <c r="D369" s="558"/>
      <c r="E369" s="558"/>
      <c r="F369" s="558"/>
      <c r="G369" s="558"/>
      <c r="H369" s="558"/>
      <c r="I369" s="558"/>
      <c r="J369" s="558"/>
      <c r="K369" s="558"/>
      <c r="L369" s="558"/>
      <c r="M369" s="558"/>
      <c r="N369" s="558"/>
      <c r="O369" s="558"/>
      <c r="P369" s="558"/>
      <c r="Q369" s="558"/>
      <c r="R369" s="558"/>
      <c r="S369" s="558"/>
      <c r="T369" s="558"/>
      <c r="U369" s="558"/>
      <c r="V369" s="558"/>
      <c r="W369" s="558"/>
      <c r="X369" s="558"/>
      <c r="Y369" s="558"/>
      <c r="Z369" s="558"/>
      <c r="AA369" s="540"/>
      <c r="AB369" s="540"/>
      <c r="AC369" s="540"/>
    </row>
    <row r="370" spans="1:68" ht="14.25" customHeight="1" x14ac:dyDescent="0.25">
      <c r="A370" s="557" t="s">
        <v>102</v>
      </c>
      <c r="B370" s="558"/>
      <c r="C370" s="558"/>
      <c r="D370" s="558"/>
      <c r="E370" s="558"/>
      <c r="F370" s="558"/>
      <c r="G370" s="558"/>
      <c r="H370" s="558"/>
      <c r="I370" s="558"/>
      <c r="J370" s="558"/>
      <c r="K370" s="558"/>
      <c r="L370" s="558"/>
      <c r="M370" s="558"/>
      <c r="N370" s="558"/>
      <c r="O370" s="558"/>
      <c r="P370" s="558"/>
      <c r="Q370" s="558"/>
      <c r="R370" s="558"/>
      <c r="S370" s="558"/>
      <c r="T370" s="558"/>
      <c r="U370" s="558"/>
      <c r="V370" s="558"/>
      <c r="W370" s="558"/>
      <c r="X370" s="558"/>
      <c r="Y370" s="558"/>
      <c r="Z370" s="558"/>
      <c r="AA370" s="541"/>
      <c r="AB370" s="541"/>
      <c r="AC370" s="541"/>
    </row>
    <row r="371" spans="1:68" ht="37.5" customHeight="1" x14ac:dyDescent="0.25">
      <c r="A371" s="54" t="s">
        <v>588</v>
      </c>
      <c r="B371" s="54" t="s">
        <v>589</v>
      </c>
      <c r="C371" s="31">
        <v>4301011875</v>
      </c>
      <c r="D371" s="549">
        <v>4680115884885</v>
      </c>
      <c r="E371" s="550"/>
      <c r="F371" s="544">
        <v>0.8</v>
      </c>
      <c r="G371" s="32">
        <v>15</v>
      </c>
      <c r="H371" s="544">
        <v>12</v>
      </c>
      <c r="I371" s="544">
        <v>12.41</v>
      </c>
      <c r="J371" s="32">
        <v>64</v>
      </c>
      <c r="K371" s="32" t="s">
        <v>105</v>
      </c>
      <c r="L371" s="32"/>
      <c r="M371" s="33" t="s">
        <v>68</v>
      </c>
      <c r="N371" s="33"/>
      <c r="O371" s="32">
        <v>60</v>
      </c>
      <c r="P371" s="68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1" s="552"/>
      <c r="R371" s="552"/>
      <c r="S371" s="552"/>
      <c r="T371" s="553"/>
      <c r="U371" s="34"/>
      <c r="V371" s="34"/>
      <c r="W371" s="35" t="s">
        <v>69</v>
      </c>
      <c r="X371" s="545">
        <v>0</v>
      </c>
      <c r="Y371" s="54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1" t="s">
        <v>590</v>
      </c>
      <c r="AG371" s="64"/>
      <c r="AJ371" s="68"/>
      <c r="AK371" s="68">
        <v>0</v>
      </c>
      <c r="BB371" s="422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t="37.5" customHeight="1" x14ac:dyDescent="0.25">
      <c r="A372" s="54" t="s">
        <v>591</v>
      </c>
      <c r="B372" s="54" t="s">
        <v>592</v>
      </c>
      <c r="C372" s="31">
        <v>4301011871</v>
      </c>
      <c r="D372" s="549">
        <v>4680115884908</v>
      </c>
      <c r="E372" s="550"/>
      <c r="F372" s="544">
        <v>0.4</v>
      </c>
      <c r="G372" s="32">
        <v>10</v>
      </c>
      <c r="H372" s="544">
        <v>4</v>
      </c>
      <c r="I372" s="544">
        <v>4.1900000000000004</v>
      </c>
      <c r="J372" s="32">
        <v>132</v>
      </c>
      <c r="K372" s="32" t="s">
        <v>112</v>
      </c>
      <c r="L372" s="32"/>
      <c r="M372" s="33" t="s">
        <v>68</v>
      </c>
      <c r="N372" s="33"/>
      <c r="O372" s="32">
        <v>60</v>
      </c>
      <c r="P372" s="7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2" s="552"/>
      <c r="R372" s="552"/>
      <c r="S372" s="552"/>
      <c r="T372" s="553"/>
      <c r="U372" s="34"/>
      <c r="V372" s="34"/>
      <c r="W372" s="35" t="s">
        <v>69</v>
      </c>
      <c r="X372" s="545">
        <v>0</v>
      </c>
      <c r="Y372" s="546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23" t="s">
        <v>590</v>
      </c>
      <c r="AG372" s="64"/>
      <c r="AJ372" s="68"/>
      <c r="AK372" s="68">
        <v>0</v>
      </c>
      <c r="BB372" s="424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x14ac:dyDescent="0.2">
      <c r="A373" s="568"/>
      <c r="B373" s="558"/>
      <c r="C373" s="558"/>
      <c r="D373" s="558"/>
      <c r="E373" s="558"/>
      <c r="F373" s="558"/>
      <c r="G373" s="558"/>
      <c r="H373" s="558"/>
      <c r="I373" s="558"/>
      <c r="J373" s="558"/>
      <c r="K373" s="558"/>
      <c r="L373" s="558"/>
      <c r="M373" s="558"/>
      <c r="N373" s="558"/>
      <c r="O373" s="569"/>
      <c r="P373" s="561" t="s">
        <v>75</v>
      </c>
      <c r="Q373" s="562"/>
      <c r="R373" s="562"/>
      <c r="S373" s="562"/>
      <c r="T373" s="562"/>
      <c r="U373" s="562"/>
      <c r="V373" s="563"/>
      <c r="W373" s="37" t="s">
        <v>76</v>
      </c>
      <c r="X373" s="547">
        <f>IFERROR(X371/H371,"0")+IFERROR(X372/H372,"0")</f>
        <v>0</v>
      </c>
      <c r="Y373" s="547">
        <f>IFERROR(Y371/H371,"0")+IFERROR(Y372/H372,"0")</f>
        <v>0</v>
      </c>
      <c r="Z373" s="547">
        <f>IFERROR(IF(Z371="",0,Z371),"0")+IFERROR(IF(Z372="",0,Z372),"0")</f>
        <v>0</v>
      </c>
      <c r="AA373" s="548"/>
      <c r="AB373" s="548"/>
      <c r="AC373" s="548"/>
    </row>
    <row r="374" spans="1:68" x14ac:dyDescent="0.2">
      <c r="A374" s="558"/>
      <c r="B374" s="558"/>
      <c r="C374" s="558"/>
      <c r="D374" s="558"/>
      <c r="E374" s="558"/>
      <c r="F374" s="558"/>
      <c r="G374" s="558"/>
      <c r="H374" s="558"/>
      <c r="I374" s="558"/>
      <c r="J374" s="558"/>
      <c r="K374" s="558"/>
      <c r="L374" s="558"/>
      <c r="M374" s="558"/>
      <c r="N374" s="558"/>
      <c r="O374" s="569"/>
      <c r="P374" s="561" t="s">
        <v>75</v>
      </c>
      <c r="Q374" s="562"/>
      <c r="R374" s="562"/>
      <c r="S374" s="562"/>
      <c r="T374" s="562"/>
      <c r="U374" s="562"/>
      <c r="V374" s="563"/>
      <c r="W374" s="37" t="s">
        <v>69</v>
      </c>
      <c r="X374" s="547">
        <f>IFERROR(SUM(X371:X372),"0")</f>
        <v>0</v>
      </c>
      <c r="Y374" s="547">
        <f>IFERROR(SUM(Y371:Y372),"0")</f>
        <v>0</v>
      </c>
      <c r="Z374" s="37"/>
      <c r="AA374" s="548"/>
      <c r="AB374" s="548"/>
      <c r="AC374" s="548"/>
    </row>
    <row r="375" spans="1:68" ht="14.25" customHeight="1" x14ac:dyDescent="0.25">
      <c r="A375" s="557" t="s">
        <v>64</v>
      </c>
      <c r="B375" s="558"/>
      <c r="C375" s="558"/>
      <c r="D375" s="558"/>
      <c r="E375" s="558"/>
      <c r="F375" s="558"/>
      <c r="G375" s="558"/>
      <c r="H375" s="558"/>
      <c r="I375" s="558"/>
      <c r="J375" s="558"/>
      <c r="K375" s="558"/>
      <c r="L375" s="558"/>
      <c r="M375" s="558"/>
      <c r="N375" s="558"/>
      <c r="O375" s="558"/>
      <c r="P375" s="558"/>
      <c r="Q375" s="558"/>
      <c r="R375" s="558"/>
      <c r="S375" s="558"/>
      <c r="T375" s="558"/>
      <c r="U375" s="558"/>
      <c r="V375" s="558"/>
      <c r="W375" s="558"/>
      <c r="X375" s="558"/>
      <c r="Y375" s="558"/>
      <c r="Z375" s="558"/>
      <c r="AA375" s="541"/>
      <c r="AB375" s="541"/>
      <c r="AC375" s="541"/>
    </row>
    <row r="376" spans="1:68" ht="27" customHeight="1" x14ac:dyDescent="0.25">
      <c r="A376" s="54" t="s">
        <v>593</v>
      </c>
      <c r="B376" s="54" t="s">
        <v>594</v>
      </c>
      <c r="C376" s="31">
        <v>4301031303</v>
      </c>
      <c r="D376" s="549">
        <v>4607091384802</v>
      </c>
      <c r="E376" s="550"/>
      <c r="F376" s="544">
        <v>0.73</v>
      </c>
      <c r="G376" s="32">
        <v>6</v>
      </c>
      <c r="H376" s="544">
        <v>4.38</v>
      </c>
      <c r="I376" s="544">
        <v>4.63</v>
      </c>
      <c r="J376" s="32">
        <v>132</v>
      </c>
      <c r="K376" s="32" t="s">
        <v>112</v>
      </c>
      <c r="L376" s="32"/>
      <c r="M376" s="33" t="s">
        <v>68</v>
      </c>
      <c r="N376" s="33"/>
      <c r="O376" s="32">
        <v>35</v>
      </c>
      <c r="P376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6" s="552"/>
      <c r="R376" s="552"/>
      <c r="S376" s="552"/>
      <c r="T376" s="553"/>
      <c r="U376" s="34"/>
      <c r="V376" s="34"/>
      <c r="W376" s="35" t="s">
        <v>69</v>
      </c>
      <c r="X376" s="545">
        <v>0</v>
      </c>
      <c r="Y376" s="546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25" t="s">
        <v>595</v>
      </c>
      <c r="AG376" s="64"/>
      <c r="AJ376" s="68"/>
      <c r="AK376" s="68">
        <v>0</v>
      </c>
      <c r="BB376" s="426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27" customHeight="1" x14ac:dyDescent="0.25">
      <c r="A377" s="54" t="s">
        <v>593</v>
      </c>
      <c r="B377" s="54" t="s">
        <v>596</v>
      </c>
      <c r="C377" s="31">
        <v>4301031457</v>
      </c>
      <c r="D377" s="549">
        <v>4607091384802</v>
      </c>
      <c r="E377" s="550"/>
      <c r="F377" s="544">
        <v>0.7</v>
      </c>
      <c r="G377" s="32">
        <v>6</v>
      </c>
      <c r="H377" s="544">
        <v>4.2</v>
      </c>
      <c r="I377" s="544">
        <v>4.45</v>
      </c>
      <c r="J377" s="32">
        <v>132</v>
      </c>
      <c r="K377" s="32" t="s">
        <v>112</v>
      </c>
      <c r="L377" s="32"/>
      <c r="M377" s="33" t="s">
        <v>68</v>
      </c>
      <c r="N377" s="33"/>
      <c r="O377" s="32">
        <v>50</v>
      </c>
      <c r="P377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7" s="552"/>
      <c r="R377" s="552"/>
      <c r="S377" s="552"/>
      <c r="T377" s="553"/>
      <c r="U377" s="34"/>
      <c r="V377" s="34"/>
      <c r="W377" s="35" t="s">
        <v>69</v>
      </c>
      <c r="X377" s="545">
        <v>0</v>
      </c>
      <c r="Y377" s="54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27" t="s">
        <v>597</v>
      </c>
      <c r="AG377" s="64"/>
      <c r="AJ377" s="68"/>
      <c r="AK377" s="68">
        <v>0</v>
      </c>
      <c r="BB377" s="42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x14ac:dyDescent="0.2">
      <c r="A378" s="568"/>
      <c r="B378" s="558"/>
      <c r="C378" s="558"/>
      <c r="D378" s="558"/>
      <c r="E378" s="558"/>
      <c r="F378" s="558"/>
      <c r="G378" s="558"/>
      <c r="H378" s="558"/>
      <c r="I378" s="558"/>
      <c r="J378" s="558"/>
      <c r="K378" s="558"/>
      <c r="L378" s="558"/>
      <c r="M378" s="558"/>
      <c r="N378" s="558"/>
      <c r="O378" s="569"/>
      <c r="P378" s="561" t="s">
        <v>75</v>
      </c>
      <c r="Q378" s="562"/>
      <c r="R378" s="562"/>
      <c r="S378" s="562"/>
      <c r="T378" s="562"/>
      <c r="U378" s="562"/>
      <c r="V378" s="563"/>
      <c r="W378" s="37" t="s">
        <v>76</v>
      </c>
      <c r="X378" s="547">
        <f>IFERROR(X376/H376,"0")+IFERROR(X377/H377,"0")</f>
        <v>0</v>
      </c>
      <c r="Y378" s="547">
        <f>IFERROR(Y376/H376,"0")+IFERROR(Y377/H377,"0")</f>
        <v>0</v>
      </c>
      <c r="Z378" s="547">
        <f>IFERROR(IF(Z376="",0,Z376),"0")+IFERROR(IF(Z377="",0,Z377),"0")</f>
        <v>0</v>
      </c>
      <c r="AA378" s="548"/>
      <c r="AB378" s="548"/>
      <c r="AC378" s="548"/>
    </row>
    <row r="379" spans="1:68" x14ac:dyDescent="0.2">
      <c r="A379" s="558"/>
      <c r="B379" s="558"/>
      <c r="C379" s="558"/>
      <c r="D379" s="558"/>
      <c r="E379" s="558"/>
      <c r="F379" s="558"/>
      <c r="G379" s="558"/>
      <c r="H379" s="558"/>
      <c r="I379" s="558"/>
      <c r="J379" s="558"/>
      <c r="K379" s="558"/>
      <c r="L379" s="558"/>
      <c r="M379" s="558"/>
      <c r="N379" s="558"/>
      <c r="O379" s="569"/>
      <c r="P379" s="561" t="s">
        <v>75</v>
      </c>
      <c r="Q379" s="562"/>
      <c r="R379" s="562"/>
      <c r="S379" s="562"/>
      <c r="T379" s="562"/>
      <c r="U379" s="562"/>
      <c r="V379" s="563"/>
      <c r="W379" s="37" t="s">
        <v>69</v>
      </c>
      <c r="X379" s="547">
        <f>IFERROR(SUM(X376:X377),"0")</f>
        <v>0</v>
      </c>
      <c r="Y379" s="547">
        <f>IFERROR(SUM(Y376:Y377),"0")</f>
        <v>0</v>
      </c>
      <c r="Z379" s="37"/>
      <c r="AA379" s="548"/>
      <c r="AB379" s="548"/>
      <c r="AC379" s="548"/>
    </row>
    <row r="380" spans="1:68" ht="14.25" customHeight="1" x14ac:dyDescent="0.25">
      <c r="A380" s="557" t="s">
        <v>77</v>
      </c>
      <c r="B380" s="558"/>
      <c r="C380" s="558"/>
      <c r="D380" s="558"/>
      <c r="E380" s="558"/>
      <c r="F380" s="558"/>
      <c r="G380" s="558"/>
      <c r="H380" s="558"/>
      <c r="I380" s="558"/>
      <c r="J380" s="558"/>
      <c r="K380" s="558"/>
      <c r="L380" s="558"/>
      <c r="M380" s="558"/>
      <c r="N380" s="558"/>
      <c r="O380" s="558"/>
      <c r="P380" s="558"/>
      <c r="Q380" s="558"/>
      <c r="R380" s="558"/>
      <c r="S380" s="558"/>
      <c r="T380" s="558"/>
      <c r="U380" s="558"/>
      <c r="V380" s="558"/>
      <c r="W380" s="558"/>
      <c r="X380" s="558"/>
      <c r="Y380" s="558"/>
      <c r="Z380" s="558"/>
      <c r="AA380" s="541"/>
      <c r="AB380" s="541"/>
      <c r="AC380" s="541"/>
    </row>
    <row r="381" spans="1:68" ht="27" customHeight="1" x14ac:dyDescent="0.25">
      <c r="A381" s="54" t="s">
        <v>598</v>
      </c>
      <c r="B381" s="54" t="s">
        <v>599</v>
      </c>
      <c r="C381" s="31">
        <v>4301051899</v>
      </c>
      <c r="D381" s="549">
        <v>4607091384246</v>
      </c>
      <c r="E381" s="550"/>
      <c r="F381" s="544">
        <v>1.5</v>
      </c>
      <c r="G381" s="32">
        <v>6</v>
      </c>
      <c r="H381" s="544">
        <v>9</v>
      </c>
      <c r="I381" s="544">
        <v>9.4939999999999998</v>
      </c>
      <c r="J381" s="32">
        <v>64</v>
      </c>
      <c r="K381" s="32" t="s">
        <v>105</v>
      </c>
      <c r="L381" s="32" t="s">
        <v>106</v>
      </c>
      <c r="M381" s="33" t="s">
        <v>80</v>
      </c>
      <c r="N381" s="33"/>
      <c r="O381" s="32">
        <v>40</v>
      </c>
      <c r="P381" s="6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1" s="552"/>
      <c r="R381" s="552"/>
      <c r="S381" s="552"/>
      <c r="T381" s="553"/>
      <c r="U381" s="34"/>
      <c r="V381" s="34"/>
      <c r="W381" s="35" t="s">
        <v>69</v>
      </c>
      <c r="X381" s="545">
        <v>0</v>
      </c>
      <c r="Y381" s="546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29" t="s">
        <v>600</v>
      </c>
      <c r="AG381" s="64"/>
      <c r="AJ381" s="68" t="s">
        <v>109</v>
      </c>
      <c r="AK381" s="68">
        <v>72</v>
      </c>
      <c r="BB381" s="43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601</v>
      </c>
      <c r="B382" s="54" t="s">
        <v>602</v>
      </c>
      <c r="C382" s="31">
        <v>4301051660</v>
      </c>
      <c r="D382" s="549">
        <v>4607091384253</v>
      </c>
      <c r="E382" s="550"/>
      <c r="F382" s="544">
        <v>0.4</v>
      </c>
      <c r="G382" s="32">
        <v>6</v>
      </c>
      <c r="H382" s="544">
        <v>2.4</v>
      </c>
      <c r="I382" s="544">
        <v>2.6640000000000001</v>
      </c>
      <c r="J382" s="32">
        <v>182</v>
      </c>
      <c r="K382" s="32" t="s">
        <v>67</v>
      </c>
      <c r="L382" s="32" t="s">
        <v>223</v>
      </c>
      <c r="M382" s="33" t="s">
        <v>80</v>
      </c>
      <c r="N382" s="33"/>
      <c r="O382" s="32">
        <v>40</v>
      </c>
      <c r="P382" s="6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2" s="552"/>
      <c r="R382" s="552"/>
      <c r="S382" s="552"/>
      <c r="T382" s="553"/>
      <c r="U382" s="34"/>
      <c r="V382" s="34"/>
      <c r="W382" s="35" t="s">
        <v>69</v>
      </c>
      <c r="X382" s="545">
        <v>0</v>
      </c>
      <c r="Y382" s="546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31" t="s">
        <v>600</v>
      </c>
      <c r="AG382" s="64"/>
      <c r="AJ382" s="68" t="s">
        <v>109</v>
      </c>
      <c r="AK382" s="68">
        <v>33.6</v>
      </c>
      <c r="BB382" s="43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601</v>
      </c>
      <c r="B383" s="54" t="s">
        <v>603</v>
      </c>
      <c r="C383" s="31">
        <v>4301052069</v>
      </c>
      <c r="D383" s="549">
        <v>4607091384253</v>
      </c>
      <c r="E383" s="550"/>
      <c r="F383" s="544">
        <v>0.4</v>
      </c>
      <c r="G383" s="32">
        <v>6</v>
      </c>
      <c r="H383" s="544">
        <v>2.4</v>
      </c>
      <c r="I383" s="544">
        <v>2.6640000000000001</v>
      </c>
      <c r="J383" s="32">
        <v>182</v>
      </c>
      <c r="K383" s="32" t="s">
        <v>67</v>
      </c>
      <c r="L383" s="32"/>
      <c r="M383" s="33" t="s">
        <v>80</v>
      </c>
      <c r="N383" s="33"/>
      <c r="O383" s="32">
        <v>40</v>
      </c>
      <c r="P383" s="86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5">
        <v>0</v>
      </c>
      <c r="Y383" s="546">
        <f>IFERROR(IF(X383="",0,CEILING((X383/$H383),1)*$H383),"")</f>
        <v>0</v>
      </c>
      <c r="Z383" s="36" t="str">
        <f>IFERROR(IF(Y383=0,"",ROUNDUP(Y383/H383,0)*0.00651),"")</f>
        <v/>
      </c>
      <c r="AA383" s="56"/>
      <c r="AB383" s="57"/>
      <c r="AC383" s="433" t="s">
        <v>604</v>
      </c>
      <c r="AG383" s="64"/>
      <c r="AJ383" s="68"/>
      <c r="AK383" s="68">
        <v>0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568"/>
      <c r="B384" s="558"/>
      <c r="C384" s="558"/>
      <c r="D384" s="558"/>
      <c r="E384" s="558"/>
      <c r="F384" s="558"/>
      <c r="G384" s="558"/>
      <c r="H384" s="558"/>
      <c r="I384" s="558"/>
      <c r="J384" s="558"/>
      <c r="K384" s="558"/>
      <c r="L384" s="558"/>
      <c r="M384" s="558"/>
      <c r="N384" s="558"/>
      <c r="O384" s="569"/>
      <c r="P384" s="561" t="s">
        <v>75</v>
      </c>
      <c r="Q384" s="562"/>
      <c r="R384" s="562"/>
      <c r="S384" s="562"/>
      <c r="T384" s="562"/>
      <c r="U384" s="562"/>
      <c r="V384" s="563"/>
      <c r="W384" s="37" t="s">
        <v>76</v>
      </c>
      <c r="X384" s="547">
        <f>IFERROR(X381/H381,"0")+IFERROR(X382/H382,"0")+IFERROR(X383/H383,"0")</f>
        <v>0</v>
      </c>
      <c r="Y384" s="547">
        <f>IFERROR(Y381/H381,"0")+IFERROR(Y382/H382,"0")+IFERROR(Y383/H383,"0")</f>
        <v>0</v>
      </c>
      <c r="Z384" s="547">
        <f>IFERROR(IF(Z381="",0,Z381),"0")+IFERROR(IF(Z382="",0,Z382),"0")+IFERROR(IF(Z383="",0,Z383),"0")</f>
        <v>0</v>
      </c>
      <c r="AA384" s="548"/>
      <c r="AB384" s="548"/>
      <c r="AC384" s="548"/>
    </row>
    <row r="385" spans="1:68" x14ac:dyDescent="0.2">
      <c r="A385" s="558"/>
      <c r="B385" s="558"/>
      <c r="C385" s="558"/>
      <c r="D385" s="558"/>
      <c r="E385" s="558"/>
      <c r="F385" s="558"/>
      <c r="G385" s="558"/>
      <c r="H385" s="558"/>
      <c r="I385" s="558"/>
      <c r="J385" s="558"/>
      <c r="K385" s="558"/>
      <c r="L385" s="558"/>
      <c r="M385" s="558"/>
      <c r="N385" s="558"/>
      <c r="O385" s="569"/>
      <c r="P385" s="561" t="s">
        <v>75</v>
      </c>
      <c r="Q385" s="562"/>
      <c r="R385" s="562"/>
      <c r="S385" s="562"/>
      <c r="T385" s="562"/>
      <c r="U385" s="562"/>
      <c r="V385" s="563"/>
      <c r="W385" s="37" t="s">
        <v>69</v>
      </c>
      <c r="X385" s="547">
        <f>IFERROR(SUM(X381:X383),"0")</f>
        <v>0</v>
      </c>
      <c r="Y385" s="547">
        <f>IFERROR(SUM(Y381:Y383),"0")</f>
        <v>0</v>
      </c>
      <c r="Z385" s="37"/>
      <c r="AA385" s="548"/>
      <c r="AB385" s="548"/>
      <c r="AC385" s="548"/>
    </row>
    <row r="386" spans="1:68" ht="27.75" customHeight="1" x14ac:dyDescent="0.2">
      <c r="A386" s="597" t="s">
        <v>605</v>
      </c>
      <c r="B386" s="598"/>
      <c r="C386" s="598"/>
      <c r="D386" s="598"/>
      <c r="E386" s="598"/>
      <c r="F386" s="598"/>
      <c r="G386" s="598"/>
      <c r="H386" s="598"/>
      <c r="I386" s="598"/>
      <c r="J386" s="598"/>
      <c r="K386" s="598"/>
      <c r="L386" s="598"/>
      <c r="M386" s="598"/>
      <c r="N386" s="598"/>
      <c r="O386" s="598"/>
      <c r="P386" s="598"/>
      <c r="Q386" s="598"/>
      <c r="R386" s="598"/>
      <c r="S386" s="598"/>
      <c r="T386" s="598"/>
      <c r="U386" s="598"/>
      <c r="V386" s="598"/>
      <c r="W386" s="598"/>
      <c r="X386" s="598"/>
      <c r="Y386" s="598"/>
      <c r="Z386" s="598"/>
      <c r="AA386" s="48"/>
      <c r="AB386" s="48"/>
      <c r="AC386" s="48"/>
    </row>
    <row r="387" spans="1:68" ht="16.5" customHeight="1" x14ac:dyDescent="0.25">
      <c r="A387" s="591" t="s">
        <v>606</v>
      </c>
      <c r="B387" s="558"/>
      <c r="C387" s="558"/>
      <c r="D387" s="558"/>
      <c r="E387" s="558"/>
      <c r="F387" s="558"/>
      <c r="G387" s="558"/>
      <c r="H387" s="558"/>
      <c r="I387" s="558"/>
      <c r="J387" s="558"/>
      <c r="K387" s="558"/>
      <c r="L387" s="558"/>
      <c r="M387" s="558"/>
      <c r="N387" s="558"/>
      <c r="O387" s="558"/>
      <c r="P387" s="558"/>
      <c r="Q387" s="558"/>
      <c r="R387" s="558"/>
      <c r="S387" s="558"/>
      <c r="T387" s="558"/>
      <c r="U387" s="558"/>
      <c r="V387" s="558"/>
      <c r="W387" s="558"/>
      <c r="X387" s="558"/>
      <c r="Y387" s="558"/>
      <c r="Z387" s="558"/>
      <c r="AA387" s="540"/>
      <c r="AB387" s="540"/>
      <c r="AC387" s="540"/>
    </row>
    <row r="388" spans="1:68" ht="14.25" customHeight="1" x14ac:dyDescent="0.25">
      <c r="A388" s="557" t="s">
        <v>64</v>
      </c>
      <c r="B388" s="558"/>
      <c r="C388" s="558"/>
      <c r="D388" s="558"/>
      <c r="E388" s="558"/>
      <c r="F388" s="558"/>
      <c r="G388" s="558"/>
      <c r="H388" s="558"/>
      <c r="I388" s="558"/>
      <c r="J388" s="558"/>
      <c r="K388" s="558"/>
      <c r="L388" s="558"/>
      <c r="M388" s="558"/>
      <c r="N388" s="558"/>
      <c r="O388" s="558"/>
      <c r="P388" s="558"/>
      <c r="Q388" s="558"/>
      <c r="R388" s="558"/>
      <c r="S388" s="558"/>
      <c r="T388" s="558"/>
      <c r="U388" s="558"/>
      <c r="V388" s="558"/>
      <c r="W388" s="558"/>
      <c r="X388" s="558"/>
      <c r="Y388" s="558"/>
      <c r="Z388" s="558"/>
      <c r="AA388" s="541"/>
      <c r="AB388" s="541"/>
      <c r="AC388" s="541"/>
    </row>
    <row r="389" spans="1:68" ht="27" customHeight="1" x14ac:dyDescent="0.25">
      <c r="A389" s="54" t="s">
        <v>607</v>
      </c>
      <c r="B389" s="54" t="s">
        <v>608</v>
      </c>
      <c r="C389" s="31">
        <v>4301031405</v>
      </c>
      <c r="D389" s="549">
        <v>4680115886100</v>
      </c>
      <c r="E389" s="550"/>
      <c r="F389" s="544">
        <v>0.9</v>
      </c>
      <c r="G389" s="32">
        <v>6</v>
      </c>
      <c r="H389" s="544">
        <v>5.4</v>
      </c>
      <c r="I389" s="544">
        <v>5.59</v>
      </c>
      <c r="J389" s="32">
        <v>132</v>
      </c>
      <c r="K389" s="32" t="s">
        <v>112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9" s="552"/>
      <c r="R389" s="552"/>
      <c r="S389" s="552"/>
      <c r="T389" s="553"/>
      <c r="U389" s="34"/>
      <c r="V389" s="34"/>
      <c r="W389" s="35" t="s">
        <v>69</v>
      </c>
      <c r="X389" s="545">
        <v>0</v>
      </c>
      <c r="Y389" s="546">
        <f t="shared" ref="Y389:Y397" si="36"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5" t="s">
        <v>609</v>
      </c>
      <c r="AG389" s="64"/>
      <c r="AJ389" s="68"/>
      <c r="AK389" s="68">
        <v>0</v>
      </c>
      <c r="BB389" s="436" t="s">
        <v>1</v>
      </c>
      <c r="BM389" s="64">
        <f t="shared" ref="BM389:BM397" si="37">IFERROR(X389*I389/H389,"0")</f>
        <v>0</v>
      </c>
      <c r="BN389" s="64">
        <f t="shared" ref="BN389:BN397" si="38">IFERROR(Y389*I389/H389,"0")</f>
        <v>0</v>
      </c>
      <c r="BO389" s="64">
        <f t="shared" ref="BO389:BO397" si="39">IFERROR(1/J389*(X389/H389),"0")</f>
        <v>0</v>
      </c>
      <c r="BP389" s="64">
        <f t="shared" ref="BP389:BP397" si="40">IFERROR(1/J389*(Y389/H389),"0")</f>
        <v>0</v>
      </c>
    </row>
    <row r="390" spans="1:68" ht="27" customHeight="1" x14ac:dyDescent="0.25">
      <c r="A390" s="54" t="s">
        <v>610</v>
      </c>
      <c r="B390" s="54" t="s">
        <v>611</v>
      </c>
      <c r="C390" s="31">
        <v>4301031406</v>
      </c>
      <c r="D390" s="549">
        <v>4680115886117</v>
      </c>
      <c r="E390" s="550"/>
      <c r="F390" s="544">
        <v>0.9</v>
      </c>
      <c r="G390" s="32">
        <v>6</v>
      </c>
      <c r="H390" s="544">
        <v>5.4</v>
      </c>
      <c r="I390" s="544">
        <v>5.59</v>
      </c>
      <c r="J390" s="32">
        <v>132</v>
      </c>
      <c r="K390" s="32" t="s">
        <v>112</v>
      </c>
      <c r="L390" s="32"/>
      <c r="M390" s="33" t="s">
        <v>68</v>
      </c>
      <c r="N390" s="33"/>
      <c r="O390" s="32">
        <v>50</v>
      </c>
      <c r="P390" s="76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0" s="552"/>
      <c r="R390" s="552"/>
      <c r="S390" s="552"/>
      <c r="T390" s="553"/>
      <c r="U390" s="34"/>
      <c r="V390" s="34"/>
      <c r="W390" s="35" t="s">
        <v>69</v>
      </c>
      <c r="X390" s="545">
        <v>0</v>
      </c>
      <c r="Y390" s="546">
        <f t="shared" si="36"/>
        <v>0</v>
      </c>
      <c r="Z390" s="36" t="str">
        <f>IFERROR(IF(Y390=0,"",ROUNDUP(Y390/H390,0)*0.00902),"")</f>
        <v/>
      </c>
      <c r="AA390" s="56"/>
      <c r="AB390" s="57"/>
      <c r="AC390" s="437" t="s">
        <v>612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613</v>
      </c>
      <c r="B391" s="54" t="s">
        <v>614</v>
      </c>
      <c r="C391" s="31">
        <v>4301031402</v>
      </c>
      <c r="D391" s="549">
        <v>4680115886124</v>
      </c>
      <c r="E391" s="550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112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5">
        <v>0</v>
      </c>
      <c r="Y391" s="546">
        <f t="shared" si="36"/>
        <v>0</v>
      </c>
      <c r="Z391" s="36" t="str">
        <f>IFERROR(IF(Y391=0,"",ROUNDUP(Y391/H391,0)*0.00902),"")</f>
        <v/>
      </c>
      <c r="AA391" s="56"/>
      <c r="AB391" s="57"/>
      <c r="AC391" s="439" t="s">
        <v>615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616</v>
      </c>
      <c r="B392" s="54" t="s">
        <v>617</v>
      </c>
      <c r="C392" s="31">
        <v>4301031366</v>
      </c>
      <c r="D392" s="549">
        <v>4680115883147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73</v>
      </c>
      <c r="L392" s="32"/>
      <c r="M392" s="33" t="s">
        <v>68</v>
      </c>
      <c r="N392" s="33"/>
      <c r="O392" s="32">
        <v>50</v>
      </c>
      <c r="P392" s="58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 t="shared" ref="Z392:Z397" si="41">IFERROR(IF(Y392=0,"",ROUNDUP(Y392/H392,0)*0.00502),"")</f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customHeight="1" x14ac:dyDescent="0.25">
      <c r="A393" s="54" t="s">
        <v>618</v>
      </c>
      <c r="B393" s="54" t="s">
        <v>619</v>
      </c>
      <c r="C393" s="31">
        <v>4301031362</v>
      </c>
      <c r="D393" s="549">
        <v>4607091384338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73</v>
      </c>
      <c r="L393" s="32"/>
      <c r="M393" s="33" t="s">
        <v>68</v>
      </c>
      <c r="N393" s="33"/>
      <c r="O393" s="32">
        <v>50</v>
      </c>
      <c r="P393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3" s="552"/>
      <c r="R393" s="552"/>
      <c r="S393" s="552"/>
      <c r="T393" s="553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 t="shared" si="41"/>
        <v/>
      </c>
      <c r="AA393" s="56"/>
      <c r="AB393" s="57"/>
      <c r="AC393" s="443" t="s">
        <v>609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37.5" customHeight="1" x14ac:dyDescent="0.25">
      <c r="A394" s="54" t="s">
        <v>620</v>
      </c>
      <c r="B394" s="54" t="s">
        <v>621</v>
      </c>
      <c r="C394" s="31">
        <v>4301031361</v>
      </c>
      <c r="D394" s="549">
        <v>4607091389524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si="41"/>
        <v/>
      </c>
      <c r="AA394" s="56"/>
      <c r="AB394" s="57"/>
      <c r="AC394" s="445" t="s">
        <v>622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customHeight="1" x14ac:dyDescent="0.25">
      <c r="A395" s="54" t="s">
        <v>623</v>
      </c>
      <c r="B395" s="54" t="s">
        <v>624</v>
      </c>
      <c r="C395" s="31">
        <v>4301031364</v>
      </c>
      <c r="D395" s="549">
        <v>4680115883161</v>
      </c>
      <c r="E395" s="550"/>
      <c r="F395" s="544">
        <v>0.28000000000000003</v>
      </c>
      <c r="G395" s="32">
        <v>6</v>
      </c>
      <c r="H395" s="544">
        <v>1.68</v>
      </c>
      <c r="I395" s="544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5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625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27" customHeight="1" x14ac:dyDescent="0.25">
      <c r="A396" s="54" t="s">
        <v>626</v>
      </c>
      <c r="B396" s="54" t="s">
        <v>627</v>
      </c>
      <c r="C396" s="31">
        <v>4301031358</v>
      </c>
      <c r="D396" s="549">
        <v>4607091389531</v>
      </c>
      <c r="E396" s="550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628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37.5" customHeight="1" x14ac:dyDescent="0.25">
      <c r="A397" s="54" t="s">
        <v>629</v>
      </c>
      <c r="B397" s="54" t="s">
        <v>630</v>
      </c>
      <c r="C397" s="31">
        <v>4301031360</v>
      </c>
      <c r="D397" s="549">
        <v>4607091384345</v>
      </c>
      <c r="E397" s="550"/>
      <c r="F397" s="544">
        <v>0.35</v>
      </c>
      <c r="G397" s="32">
        <v>6</v>
      </c>
      <c r="H397" s="544">
        <v>2.1</v>
      </c>
      <c r="I397" s="544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625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x14ac:dyDescent="0.2">
      <c r="A398" s="568"/>
      <c r="B398" s="558"/>
      <c r="C398" s="558"/>
      <c r="D398" s="558"/>
      <c r="E398" s="558"/>
      <c r="F398" s="558"/>
      <c r="G398" s="558"/>
      <c r="H398" s="558"/>
      <c r="I398" s="558"/>
      <c r="J398" s="558"/>
      <c r="K398" s="558"/>
      <c r="L398" s="558"/>
      <c r="M398" s="558"/>
      <c r="N398" s="558"/>
      <c r="O398" s="569"/>
      <c r="P398" s="561" t="s">
        <v>75</v>
      </c>
      <c r="Q398" s="562"/>
      <c r="R398" s="562"/>
      <c r="S398" s="562"/>
      <c r="T398" s="562"/>
      <c r="U398" s="562"/>
      <c r="V398" s="563"/>
      <c r="W398" s="37" t="s">
        <v>76</v>
      </c>
      <c r="X398" s="547">
        <f>IFERROR(X389/H389,"0")+IFERROR(X390/H390,"0")+IFERROR(X391/H391,"0")+IFERROR(X392/H392,"0")+IFERROR(X393/H393,"0")+IFERROR(X394/H394,"0")+IFERROR(X395/H395,"0")+IFERROR(X396/H396,"0")+IFERROR(X397/H397,"0")</f>
        <v>0</v>
      </c>
      <c r="Y398" s="547">
        <f>IFERROR(Y389/H389,"0")+IFERROR(Y390/H390,"0")+IFERROR(Y391/H391,"0")+IFERROR(Y392/H392,"0")+IFERROR(Y393/H393,"0")+IFERROR(Y394/H394,"0")+IFERROR(Y395/H395,"0")+IFERROR(Y396/H396,"0")+IFERROR(Y397/H397,"0")</f>
        <v>0</v>
      </c>
      <c r="Z398" s="547">
        <f>IFERROR(IF(Z389="",0,Z389),"0")+IFERROR(IF(Z390="",0,Z390),"0")+IFERROR(IF(Z391="",0,Z391),"0")+IFERROR(IF(Z392="",0,Z392),"0")+IFERROR(IF(Z393="",0,Z393),"0")+IFERROR(IF(Z394="",0,Z394),"0")+IFERROR(IF(Z395="",0,Z395),"0")+IFERROR(IF(Z396="",0,Z396),"0")+IFERROR(IF(Z397="",0,Z397),"0")</f>
        <v>0</v>
      </c>
      <c r="AA398" s="548"/>
      <c r="AB398" s="548"/>
      <c r="AC398" s="548"/>
    </row>
    <row r="399" spans="1:68" x14ac:dyDescent="0.2">
      <c r="A399" s="558"/>
      <c r="B399" s="558"/>
      <c r="C399" s="558"/>
      <c r="D399" s="558"/>
      <c r="E399" s="558"/>
      <c r="F399" s="558"/>
      <c r="G399" s="558"/>
      <c r="H399" s="558"/>
      <c r="I399" s="558"/>
      <c r="J399" s="558"/>
      <c r="K399" s="558"/>
      <c r="L399" s="558"/>
      <c r="M399" s="558"/>
      <c r="N399" s="558"/>
      <c r="O399" s="569"/>
      <c r="P399" s="561" t="s">
        <v>75</v>
      </c>
      <c r="Q399" s="562"/>
      <c r="R399" s="562"/>
      <c r="S399" s="562"/>
      <c r="T399" s="562"/>
      <c r="U399" s="562"/>
      <c r="V399" s="563"/>
      <c r="W399" s="37" t="s">
        <v>69</v>
      </c>
      <c r="X399" s="547">
        <f>IFERROR(SUM(X389:X397),"0")</f>
        <v>0</v>
      </c>
      <c r="Y399" s="547">
        <f>IFERROR(SUM(Y389:Y397),"0")</f>
        <v>0</v>
      </c>
      <c r="Z399" s="37"/>
      <c r="AA399" s="548"/>
      <c r="AB399" s="548"/>
      <c r="AC399" s="548"/>
    </row>
    <row r="400" spans="1:68" ht="14.25" customHeight="1" x14ac:dyDescent="0.25">
      <c r="A400" s="557" t="s">
        <v>77</v>
      </c>
      <c r="B400" s="558"/>
      <c r="C400" s="558"/>
      <c r="D400" s="558"/>
      <c r="E400" s="558"/>
      <c r="F400" s="558"/>
      <c r="G400" s="558"/>
      <c r="H400" s="558"/>
      <c r="I400" s="558"/>
      <c r="J400" s="558"/>
      <c r="K400" s="558"/>
      <c r="L400" s="558"/>
      <c r="M400" s="558"/>
      <c r="N400" s="558"/>
      <c r="O400" s="558"/>
      <c r="P400" s="558"/>
      <c r="Q400" s="558"/>
      <c r="R400" s="558"/>
      <c r="S400" s="558"/>
      <c r="T400" s="558"/>
      <c r="U400" s="558"/>
      <c r="V400" s="558"/>
      <c r="W400" s="558"/>
      <c r="X400" s="558"/>
      <c r="Y400" s="558"/>
      <c r="Z400" s="558"/>
      <c r="AA400" s="541"/>
      <c r="AB400" s="541"/>
      <c r="AC400" s="541"/>
    </row>
    <row r="401" spans="1:68" ht="27" customHeight="1" x14ac:dyDescent="0.25">
      <c r="A401" s="54" t="s">
        <v>631</v>
      </c>
      <c r="B401" s="54" t="s">
        <v>632</v>
      </c>
      <c r="C401" s="31">
        <v>4301051284</v>
      </c>
      <c r="D401" s="549">
        <v>4607091384352</v>
      </c>
      <c r="E401" s="550"/>
      <c r="F401" s="544">
        <v>0.6</v>
      </c>
      <c r="G401" s="32">
        <v>4</v>
      </c>
      <c r="H401" s="544">
        <v>2.4</v>
      </c>
      <c r="I401" s="544">
        <v>2.6259999999999999</v>
      </c>
      <c r="J401" s="32">
        <v>132</v>
      </c>
      <c r="K401" s="32" t="s">
        <v>112</v>
      </c>
      <c r="L401" s="32"/>
      <c r="M401" s="33" t="s">
        <v>80</v>
      </c>
      <c r="N401" s="33"/>
      <c r="O401" s="32">
        <v>45</v>
      </c>
      <c r="P401" s="63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1" s="552"/>
      <c r="R401" s="552"/>
      <c r="S401" s="552"/>
      <c r="T401" s="553"/>
      <c r="U401" s="34"/>
      <c r="V401" s="34"/>
      <c r="W401" s="35" t="s">
        <v>69</v>
      </c>
      <c r="X401" s="545">
        <v>0</v>
      </c>
      <c r="Y401" s="546">
        <f>IFERROR(IF(X401="",0,CEILING((X401/$H401),1)*$H401),"")</f>
        <v>0</v>
      </c>
      <c r="Z401" s="36" t="str">
        <f>IFERROR(IF(Y401=0,"",ROUNDUP(Y401/H401,0)*0.00902),"")</f>
        <v/>
      </c>
      <c r="AA401" s="56"/>
      <c r="AB401" s="57"/>
      <c r="AC401" s="453" t="s">
        <v>633</v>
      </c>
      <c r="AG401" s="64"/>
      <c r="AJ401" s="68"/>
      <c r="AK401" s="68">
        <v>0</v>
      </c>
      <c r="BB401" s="454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634</v>
      </c>
      <c r="B402" s="54" t="s">
        <v>635</v>
      </c>
      <c r="C402" s="31">
        <v>4301051431</v>
      </c>
      <c r="D402" s="549">
        <v>4607091389654</v>
      </c>
      <c r="E402" s="550"/>
      <c r="F402" s="544">
        <v>0.33</v>
      </c>
      <c r="G402" s="32">
        <v>6</v>
      </c>
      <c r="H402" s="544">
        <v>1.98</v>
      </c>
      <c r="I402" s="544">
        <v>2.238</v>
      </c>
      <c r="J402" s="32">
        <v>182</v>
      </c>
      <c r="K402" s="32" t="s">
        <v>67</v>
      </c>
      <c r="L402" s="32"/>
      <c r="M402" s="33" t="s">
        <v>80</v>
      </c>
      <c r="N402" s="33"/>
      <c r="O402" s="32">
        <v>45</v>
      </c>
      <c r="P402" s="63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2" s="552"/>
      <c r="R402" s="552"/>
      <c r="S402" s="552"/>
      <c r="T402" s="553"/>
      <c r="U402" s="34"/>
      <c r="V402" s="34"/>
      <c r="W402" s="35" t="s">
        <v>69</v>
      </c>
      <c r="X402" s="545">
        <v>0</v>
      </c>
      <c r="Y402" s="546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55" t="s">
        <v>636</v>
      </c>
      <c r="AG402" s="64"/>
      <c r="AJ402" s="68"/>
      <c r="AK402" s="68">
        <v>0</v>
      </c>
      <c r="BB402" s="456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8"/>
      <c r="B403" s="558"/>
      <c r="C403" s="558"/>
      <c r="D403" s="558"/>
      <c r="E403" s="558"/>
      <c r="F403" s="558"/>
      <c r="G403" s="558"/>
      <c r="H403" s="558"/>
      <c r="I403" s="558"/>
      <c r="J403" s="558"/>
      <c r="K403" s="558"/>
      <c r="L403" s="558"/>
      <c r="M403" s="558"/>
      <c r="N403" s="558"/>
      <c r="O403" s="569"/>
      <c r="P403" s="561" t="s">
        <v>75</v>
      </c>
      <c r="Q403" s="562"/>
      <c r="R403" s="562"/>
      <c r="S403" s="562"/>
      <c r="T403" s="562"/>
      <c r="U403" s="562"/>
      <c r="V403" s="563"/>
      <c r="W403" s="37" t="s">
        <v>76</v>
      </c>
      <c r="X403" s="547">
        <f>IFERROR(X401/H401,"0")+IFERROR(X402/H402,"0")</f>
        <v>0</v>
      </c>
      <c r="Y403" s="547">
        <f>IFERROR(Y401/H401,"0")+IFERROR(Y402/H402,"0")</f>
        <v>0</v>
      </c>
      <c r="Z403" s="547">
        <f>IFERROR(IF(Z401="",0,Z401),"0")+IFERROR(IF(Z402="",0,Z402),"0")</f>
        <v>0</v>
      </c>
      <c r="AA403" s="548"/>
      <c r="AB403" s="548"/>
      <c r="AC403" s="548"/>
    </row>
    <row r="404" spans="1:68" x14ac:dyDescent="0.2">
      <c r="A404" s="558"/>
      <c r="B404" s="558"/>
      <c r="C404" s="558"/>
      <c r="D404" s="558"/>
      <c r="E404" s="558"/>
      <c r="F404" s="558"/>
      <c r="G404" s="558"/>
      <c r="H404" s="558"/>
      <c r="I404" s="558"/>
      <c r="J404" s="558"/>
      <c r="K404" s="558"/>
      <c r="L404" s="558"/>
      <c r="M404" s="558"/>
      <c r="N404" s="558"/>
      <c r="O404" s="569"/>
      <c r="P404" s="561" t="s">
        <v>75</v>
      </c>
      <c r="Q404" s="562"/>
      <c r="R404" s="562"/>
      <c r="S404" s="562"/>
      <c r="T404" s="562"/>
      <c r="U404" s="562"/>
      <c r="V404" s="563"/>
      <c r="W404" s="37" t="s">
        <v>69</v>
      </c>
      <c r="X404" s="547">
        <f>IFERROR(SUM(X401:X402),"0")</f>
        <v>0</v>
      </c>
      <c r="Y404" s="547">
        <f>IFERROR(SUM(Y401:Y402),"0")</f>
        <v>0</v>
      </c>
      <c r="Z404" s="37"/>
      <c r="AA404" s="548"/>
      <c r="AB404" s="548"/>
      <c r="AC404" s="548"/>
    </row>
    <row r="405" spans="1:68" ht="16.5" customHeight="1" x14ac:dyDescent="0.25">
      <c r="A405" s="591" t="s">
        <v>637</v>
      </c>
      <c r="B405" s="558"/>
      <c r="C405" s="558"/>
      <c r="D405" s="558"/>
      <c r="E405" s="558"/>
      <c r="F405" s="558"/>
      <c r="G405" s="558"/>
      <c r="H405" s="558"/>
      <c r="I405" s="558"/>
      <c r="J405" s="558"/>
      <c r="K405" s="558"/>
      <c r="L405" s="558"/>
      <c r="M405" s="558"/>
      <c r="N405" s="558"/>
      <c r="O405" s="558"/>
      <c r="P405" s="558"/>
      <c r="Q405" s="558"/>
      <c r="R405" s="558"/>
      <c r="S405" s="558"/>
      <c r="T405" s="558"/>
      <c r="U405" s="558"/>
      <c r="V405" s="558"/>
      <c r="W405" s="558"/>
      <c r="X405" s="558"/>
      <c r="Y405" s="558"/>
      <c r="Z405" s="558"/>
      <c r="AA405" s="540"/>
      <c r="AB405" s="540"/>
      <c r="AC405" s="540"/>
    </row>
    <row r="406" spans="1:68" ht="14.25" customHeight="1" x14ac:dyDescent="0.25">
      <c r="A406" s="557" t="s">
        <v>138</v>
      </c>
      <c r="B406" s="558"/>
      <c r="C406" s="558"/>
      <c r="D406" s="558"/>
      <c r="E406" s="558"/>
      <c r="F406" s="558"/>
      <c r="G406" s="558"/>
      <c r="H406" s="558"/>
      <c r="I406" s="558"/>
      <c r="J406" s="558"/>
      <c r="K406" s="558"/>
      <c r="L406" s="558"/>
      <c r="M406" s="558"/>
      <c r="N406" s="558"/>
      <c r="O406" s="558"/>
      <c r="P406" s="558"/>
      <c r="Q406" s="558"/>
      <c r="R406" s="558"/>
      <c r="S406" s="558"/>
      <c r="T406" s="558"/>
      <c r="U406" s="558"/>
      <c r="V406" s="558"/>
      <c r="W406" s="558"/>
      <c r="X406" s="558"/>
      <c r="Y406" s="558"/>
      <c r="Z406" s="558"/>
      <c r="AA406" s="541"/>
      <c r="AB406" s="541"/>
      <c r="AC406" s="541"/>
    </row>
    <row r="407" spans="1:68" ht="27" customHeight="1" x14ac:dyDescent="0.25">
      <c r="A407" s="54" t="s">
        <v>638</v>
      </c>
      <c r="B407" s="54" t="s">
        <v>639</v>
      </c>
      <c r="C407" s="31">
        <v>4301020319</v>
      </c>
      <c r="D407" s="549">
        <v>4680115885240</v>
      </c>
      <c r="E407" s="550"/>
      <c r="F407" s="544">
        <v>0.35</v>
      </c>
      <c r="G407" s="32">
        <v>6</v>
      </c>
      <c r="H407" s="544">
        <v>2.1</v>
      </c>
      <c r="I407" s="544">
        <v>2.31</v>
      </c>
      <c r="J407" s="32">
        <v>182</v>
      </c>
      <c r="K407" s="32" t="s">
        <v>67</v>
      </c>
      <c r="L407" s="32"/>
      <c r="M407" s="33" t="s">
        <v>68</v>
      </c>
      <c r="N407" s="33"/>
      <c r="O407" s="32">
        <v>40</v>
      </c>
      <c r="P407" s="62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7" s="552"/>
      <c r="R407" s="552"/>
      <c r="S407" s="552"/>
      <c r="T407" s="553"/>
      <c r="U407" s="34"/>
      <c r="V407" s="34"/>
      <c r="W407" s="35" t="s">
        <v>69</v>
      </c>
      <c r="X407" s="545">
        <v>0</v>
      </c>
      <c r="Y407" s="54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640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568"/>
      <c r="B408" s="558"/>
      <c r="C408" s="558"/>
      <c r="D408" s="558"/>
      <c r="E408" s="558"/>
      <c r="F408" s="558"/>
      <c r="G408" s="558"/>
      <c r="H408" s="558"/>
      <c r="I408" s="558"/>
      <c r="J408" s="558"/>
      <c r="K408" s="558"/>
      <c r="L408" s="558"/>
      <c r="M408" s="558"/>
      <c r="N408" s="558"/>
      <c r="O408" s="569"/>
      <c r="P408" s="561" t="s">
        <v>75</v>
      </c>
      <c r="Q408" s="562"/>
      <c r="R408" s="562"/>
      <c r="S408" s="562"/>
      <c r="T408" s="562"/>
      <c r="U408" s="562"/>
      <c r="V408" s="563"/>
      <c r="W408" s="37" t="s">
        <v>76</v>
      </c>
      <c r="X408" s="547">
        <f>IFERROR(X407/H407,"0")</f>
        <v>0</v>
      </c>
      <c r="Y408" s="547">
        <f>IFERROR(Y407/H407,"0")</f>
        <v>0</v>
      </c>
      <c r="Z408" s="547">
        <f>IFERROR(IF(Z407="",0,Z407),"0")</f>
        <v>0</v>
      </c>
      <c r="AA408" s="548"/>
      <c r="AB408" s="548"/>
      <c r="AC408" s="548"/>
    </row>
    <row r="409" spans="1:68" x14ac:dyDescent="0.2">
      <c r="A409" s="558"/>
      <c r="B409" s="558"/>
      <c r="C409" s="558"/>
      <c r="D409" s="558"/>
      <c r="E409" s="558"/>
      <c r="F409" s="558"/>
      <c r="G409" s="558"/>
      <c r="H409" s="558"/>
      <c r="I409" s="558"/>
      <c r="J409" s="558"/>
      <c r="K409" s="558"/>
      <c r="L409" s="558"/>
      <c r="M409" s="558"/>
      <c r="N409" s="558"/>
      <c r="O409" s="569"/>
      <c r="P409" s="561" t="s">
        <v>75</v>
      </c>
      <c r="Q409" s="562"/>
      <c r="R409" s="562"/>
      <c r="S409" s="562"/>
      <c r="T409" s="562"/>
      <c r="U409" s="562"/>
      <c r="V409" s="563"/>
      <c r="W409" s="37" t="s">
        <v>69</v>
      </c>
      <c r="X409" s="547">
        <f>IFERROR(SUM(X407:X407),"0")</f>
        <v>0</v>
      </c>
      <c r="Y409" s="547">
        <f>IFERROR(SUM(Y407:Y407),"0")</f>
        <v>0</v>
      </c>
      <c r="Z409" s="37"/>
      <c r="AA409" s="548"/>
      <c r="AB409" s="548"/>
      <c r="AC409" s="548"/>
    </row>
    <row r="410" spans="1:68" ht="14.25" customHeight="1" x14ac:dyDescent="0.25">
      <c r="A410" s="557" t="s">
        <v>64</v>
      </c>
      <c r="B410" s="558"/>
      <c r="C410" s="558"/>
      <c r="D410" s="558"/>
      <c r="E410" s="558"/>
      <c r="F410" s="558"/>
      <c r="G410" s="558"/>
      <c r="H410" s="558"/>
      <c r="I410" s="558"/>
      <c r="J410" s="558"/>
      <c r="K410" s="558"/>
      <c r="L410" s="558"/>
      <c r="M410" s="558"/>
      <c r="N410" s="558"/>
      <c r="O410" s="558"/>
      <c r="P410" s="558"/>
      <c r="Q410" s="558"/>
      <c r="R410" s="558"/>
      <c r="S410" s="558"/>
      <c r="T410" s="558"/>
      <c r="U410" s="558"/>
      <c r="V410" s="558"/>
      <c r="W410" s="558"/>
      <c r="X410" s="558"/>
      <c r="Y410" s="558"/>
      <c r="Z410" s="558"/>
      <c r="AA410" s="541"/>
      <c r="AB410" s="541"/>
      <c r="AC410" s="541"/>
    </row>
    <row r="411" spans="1:68" ht="27" customHeight="1" x14ac:dyDescent="0.25">
      <c r="A411" s="54" t="s">
        <v>641</v>
      </c>
      <c r="B411" s="54" t="s">
        <v>642</v>
      </c>
      <c r="C411" s="31">
        <v>4301031403</v>
      </c>
      <c r="D411" s="549">
        <v>4680115886094</v>
      </c>
      <c r="E411" s="550"/>
      <c r="F411" s="544">
        <v>0.9</v>
      </c>
      <c r="G411" s="32">
        <v>6</v>
      </c>
      <c r="H411" s="544">
        <v>5.4</v>
      </c>
      <c r="I411" s="544">
        <v>5.59</v>
      </c>
      <c r="J411" s="32">
        <v>132</v>
      </c>
      <c r="K411" s="32" t="s">
        <v>112</v>
      </c>
      <c r="L411" s="32"/>
      <c r="M411" s="33" t="s">
        <v>107</v>
      </c>
      <c r="N411" s="33"/>
      <c r="O411" s="32">
        <v>50</v>
      </c>
      <c r="P411" s="6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1" s="552"/>
      <c r="R411" s="552"/>
      <c r="S411" s="552"/>
      <c r="T411" s="553"/>
      <c r="U411" s="34"/>
      <c r="V411" s="34"/>
      <c r="W411" s="35" t="s">
        <v>69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9" t="s">
        <v>643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644</v>
      </c>
      <c r="B412" s="54" t="s">
        <v>645</v>
      </c>
      <c r="C412" s="31">
        <v>4301031363</v>
      </c>
      <c r="D412" s="549">
        <v>4607091389425</v>
      </c>
      <c r="E412" s="550"/>
      <c r="F412" s="544">
        <v>0.35</v>
      </c>
      <c r="G412" s="32">
        <v>6</v>
      </c>
      <c r="H412" s="544">
        <v>2.1</v>
      </c>
      <c r="I412" s="544">
        <v>2.23</v>
      </c>
      <c r="J412" s="32">
        <v>234</v>
      </c>
      <c r="K412" s="32" t="s">
        <v>73</v>
      </c>
      <c r="L412" s="32"/>
      <c r="M412" s="33" t="s">
        <v>68</v>
      </c>
      <c r="N412" s="33"/>
      <c r="O412" s="32">
        <v>50</v>
      </c>
      <c r="P412" s="82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2" s="552"/>
      <c r="R412" s="552"/>
      <c r="S412" s="552"/>
      <c r="T412" s="553"/>
      <c r="U412" s="34"/>
      <c r="V412" s="34"/>
      <c r="W412" s="35" t="s">
        <v>69</v>
      </c>
      <c r="X412" s="545">
        <v>0</v>
      </c>
      <c r="Y412" s="54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61" t="s">
        <v>646</v>
      </c>
      <c r="AG412" s="64"/>
      <c r="AJ412" s="68"/>
      <c r="AK412" s="68">
        <v>0</v>
      </c>
      <c r="BB412" s="462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customHeight="1" x14ac:dyDescent="0.25">
      <c r="A413" s="54" t="s">
        <v>647</v>
      </c>
      <c r="B413" s="54" t="s">
        <v>648</v>
      </c>
      <c r="C413" s="31">
        <v>4301031373</v>
      </c>
      <c r="D413" s="549">
        <v>4680115880771</v>
      </c>
      <c r="E413" s="550"/>
      <c r="F413" s="544">
        <v>0.28000000000000003</v>
      </c>
      <c r="G413" s="32">
        <v>6</v>
      </c>
      <c r="H413" s="544">
        <v>1.68</v>
      </c>
      <c r="I413" s="544">
        <v>1.81</v>
      </c>
      <c r="J413" s="32">
        <v>234</v>
      </c>
      <c r="K413" s="32" t="s">
        <v>73</v>
      </c>
      <c r="L413" s="32"/>
      <c r="M413" s="33" t="s">
        <v>68</v>
      </c>
      <c r="N413" s="33"/>
      <c r="O413" s="32">
        <v>50</v>
      </c>
      <c r="P413" s="6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3" s="552"/>
      <c r="R413" s="552"/>
      <c r="S413" s="552"/>
      <c r="T413" s="553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3" t="s">
        <v>649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customHeight="1" x14ac:dyDescent="0.25">
      <c r="A414" s="54" t="s">
        <v>650</v>
      </c>
      <c r="B414" s="54" t="s">
        <v>651</v>
      </c>
      <c r="C414" s="31">
        <v>4301031359</v>
      </c>
      <c r="D414" s="549">
        <v>4607091389500</v>
      </c>
      <c r="E414" s="550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4" s="552"/>
      <c r="R414" s="552"/>
      <c r="S414" s="552"/>
      <c r="T414" s="553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8"/>
      <c r="B415" s="558"/>
      <c r="C415" s="558"/>
      <c r="D415" s="558"/>
      <c r="E415" s="558"/>
      <c r="F415" s="558"/>
      <c r="G415" s="558"/>
      <c r="H415" s="558"/>
      <c r="I415" s="558"/>
      <c r="J415" s="558"/>
      <c r="K415" s="558"/>
      <c r="L415" s="558"/>
      <c r="M415" s="558"/>
      <c r="N415" s="558"/>
      <c r="O415" s="569"/>
      <c r="P415" s="561" t="s">
        <v>75</v>
      </c>
      <c r="Q415" s="562"/>
      <c r="R415" s="562"/>
      <c r="S415" s="562"/>
      <c r="T415" s="562"/>
      <c r="U415" s="562"/>
      <c r="V415" s="563"/>
      <c r="W415" s="37" t="s">
        <v>76</v>
      </c>
      <c r="X415" s="547">
        <f>IFERROR(X411/H411,"0")+IFERROR(X412/H412,"0")+IFERROR(X413/H413,"0")+IFERROR(X414/H414,"0")</f>
        <v>0</v>
      </c>
      <c r="Y415" s="547">
        <f>IFERROR(Y411/H411,"0")+IFERROR(Y412/H412,"0")+IFERROR(Y413/H413,"0")+IFERROR(Y414/H414,"0")</f>
        <v>0</v>
      </c>
      <c r="Z415" s="547">
        <f>IFERROR(IF(Z411="",0,Z411),"0")+IFERROR(IF(Z412="",0,Z412),"0")+IFERROR(IF(Z413="",0,Z413),"0")+IFERROR(IF(Z414="",0,Z414),"0")</f>
        <v>0</v>
      </c>
      <c r="AA415" s="548"/>
      <c r="AB415" s="548"/>
      <c r="AC415" s="548"/>
    </row>
    <row r="416" spans="1:68" x14ac:dyDescent="0.2">
      <c r="A416" s="558"/>
      <c r="B416" s="558"/>
      <c r="C416" s="558"/>
      <c r="D416" s="558"/>
      <c r="E416" s="558"/>
      <c r="F416" s="558"/>
      <c r="G416" s="558"/>
      <c r="H416" s="558"/>
      <c r="I416" s="558"/>
      <c r="J416" s="558"/>
      <c r="K416" s="558"/>
      <c r="L416" s="558"/>
      <c r="M416" s="558"/>
      <c r="N416" s="558"/>
      <c r="O416" s="569"/>
      <c r="P416" s="561" t="s">
        <v>75</v>
      </c>
      <c r="Q416" s="562"/>
      <c r="R416" s="562"/>
      <c r="S416" s="562"/>
      <c r="T416" s="562"/>
      <c r="U416" s="562"/>
      <c r="V416" s="563"/>
      <c r="W416" s="37" t="s">
        <v>69</v>
      </c>
      <c r="X416" s="547">
        <f>IFERROR(SUM(X411:X414),"0")</f>
        <v>0</v>
      </c>
      <c r="Y416" s="547">
        <f>IFERROR(SUM(Y411:Y414),"0")</f>
        <v>0</v>
      </c>
      <c r="Z416" s="37"/>
      <c r="AA416" s="548"/>
      <c r="AB416" s="548"/>
      <c r="AC416" s="548"/>
    </row>
    <row r="417" spans="1:68" ht="16.5" customHeight="1" x14ac:dyDescent="0.25">
      <c r="A417" s="591" t="s">
        <v>652</v>
      </c>
      <c r="B417" s="558"/>
      <c r="C417" s="558"/>
      <c r="D417" s="558"/>
      <c r="E417" s="558"/>
      <c r="F417" s="558"/>
      <c r="G417" s="558"/>
      <c r="H417" s="558"/>
      <c r="I417" s="558"/>
      <c r="J417" s="558"/>
      <c r="K417" s="558"/>
      <c r="L417" s="558"/>
      <c r="M417" s="558"/>
      <c r="N417" s="558"/>
      <c r="O417" s="558"/>
      <c r="P417" s="558"/>
      <c r="Q417" s="558"/>
      <c r="R417" s="558"/>
      <c r="S417" s="558"/>
      <c r="T417" s="558"/>
      <c r="U417" s="558"/>
      <c r="V417" s="558"/>
      <c r="W417" s="558"/>
      <c r="X417" s="558"/>
      <c r="Y417" s="558"/>
      <c r="Z417" s="558"/>
      <c r="AA417" s="540"/>
      <c r="AB417" s="540"/>
      <c r="AC417" s="540"/>
    </row>
    <row r="418" spans="1:68" ht="14.25" customHeight="1" x14ac:dyDescent="0.25">
      <c r="A418" s="557" t="s">
        <v>64</v>
      </c>
      <c r="B418" s="558"/>
      <c r="C418" s="558"/>
      <c r="D418" s="558"/>
      <c r="E418" s="558"/>
      <c r="F418" s="558"/>
      <c r="G418" s="558"/>
      <c r="H418" s="558"/>
      <c r="I418" s="558"/>
      <c r="J418" s="558"/>
      <c r="K418" s="558"/>
      <c r="L418" s="558"/>
      <c r="M418" s="558"/>
      <c r="N418" s="558"/>
      <c r="O418" s="558"/>
      <c r="P418" s="558"/>
      <c r="Q418" s="558"/>
      <c r="R418" s="558"/>
      <c r="S418" s="558"/>
      <c r="T418" s="558"/>
      <c r="U418" s="558"/>
      <c r="V418" s="558"/>
      <c r="W418" s="558"/>
      <c r="X418" s="558"/>
      <c r="Y418" s="558"/>
      <c r="Z418" s="558"/>
      <c r="AA418" s="541"/>
      <c r="AB418" s="541"/>
      <c r="AC418" s="541"/>
    </row>
    <row r="419" spans="1:68" ht="27" customHeight="1" x14ac:dyDescent="0.25">
      <c r="A419" s="54" t="s">
        <v>653</v>
      </c>
      <c r="B419" s="54" t="s">
        <v>654</v>
      </c>
      <c r="C419" s="31">
        <v>4301031347</v>
      </c>
      <c r="D419" s="549">
        <v>4680115885110</v>
      </c>
      <c r="E419" s="550"/>
      <c r="F419" s="544">
        <v>0.2</v>
      </c>
      <c r="G419" s="32">
        <v>6</v>
      </c>
      <c r="H419" s="544">
        <v>1.2</v>
      </c>
      <c r="I419" s="544">
        <v>2.1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50</v>
      </c>
      <c r="P419" s="7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9" s="552"/>
      <c r="R419" s="552"/>
      <c r="S419" s="552"/>
      <c r="T419" s="553"/>
      <c r="U419" s="34"/>
      <c r="V419" s="34"/>
      <c r="W419" s="35" t="s">
        <v>69</v>
      </c>
      <c r="X419" s="545">
        <v>0</v>
      </c>
      <c r="Y419" s="54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655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x14ac:dyDescent="0.2">
      <c r="A420" s="568"/>
      <c r="B420" s="558"/>
      <c r="C420" s="558"/>
      <c r="D420" s="558"/>
      <c r="E420" s="558"/>
      <c r="F420" s="558"/>
      <c r="G420" s="558"/>
      <c r="H420" s="558"/>
      <c r="I420" s="558"/>
      <c r="J420" s="558"/>
      <c r="K420" s="558"/>
      <c r="L420" s="558"/>
      <c r="M420" s="558"/>
      <c r="N420" s="558"/>
      <c r="O420" s="569"/>
      <c r="P420" s="561" t="s">
        <v>75</v>
      </c>
      <c r="Q420" s="562"/>
      <c r="R420" s="562"/>
      <c r="S420" s="562"/>
      <c r="T420" s="562"/>
      <c r="U420" s="562"/>
      <c r="V420" s="563"/>
      <c r="W420" s="37" t="s">
        <v>76</v>
      </c>
      <c r="X420" s="547">
        <f>IFERROR(X419/H419,"0")</f>
        <v>0</v>
      </c>
      <c r="Y420" s="547">
        <f>IFERROR(Y419/H419,"0")</f>
        <v>0</v>
      </c>
      <c r="Z420" s="547">
        <f>IFERROR(IF(Z419="",0,Z419),"0")</f>
        <v>0</v>
      </c>
      <c r="AA420" s="548"/>
      <c r="AB420" s="548"/>
      <c r="AC420" s="548"/>
    </row>
    <row r="421" spans="1:68" x14ac:dyDescent="0.2">
      <c r="A421" s="558"/>
      <c r="B421" s="558"/>
      <c r="C421" s="558"/>
      <c r="D421" s="558"/>
      <c r="E421" s="558"/>
      <c r="F421" s="558"/>
      <c r="G421" s="558"/>
      <c r="H421" s="558"/>
      <c r="I421" s="558"/>
      <c r="J421" s="558"/>
      <c r="K421" s="558"/>
      <c r="L421" s="558"/>
      <c r="M421" s="558"/>
      <c r="N421" s="558"/>
      <c r="O421" s="569"/>
      <c r="P421" s="561" t="s">
        <v>75</v>
      </c>
      <c r="Q421" s="562"/>
      <c r="R421" s="562"/>
      <c r="S421" s="562"/>
      <c r="T421" s="562"/>
      <c r="U421" s="562"/>
      <c r="V421" s="563"/>
      <c r="W421" s="37" t="s">
        <v>69</v>
      </c>
      <c r="X421" s="547">
        <f>IFERROR(SUM(X419:X419),"0")</f>
        <v>0</v>
      </c>
      <c r="Y421" s="547">
        <f>IFERROR(SUM(Y419:Y419),"0")</f>
        <v>0</v>
      </c>
      <c r="Z421" s="37"/>
      <c r="AA421" s="548"/>
      <c r="AB421" s="548"/>
      <c r="AC421" s="548"/>
    </row>
    <row r="422" spans="1:68" ht="27.75" customHeight="1" x14ac:dyDescent="0.2">
      <c r="A422" s="597" t="s">
        <v>656</v>
      </c>
      <c r="B422" s="598"/>
      <c r="C422" s="598"/>
      <c r="D422" s="598"/>
      <c r="E422" s="598"/>
      <c r="F422" s="598"/>
      <c r="G422" s="598"/>
      <c r="H422" s="598"/>
      <c r="I422" s="598"/>
      <c r="J422" s="598"/>
      <c r="K422" s="598"/>
      <c r="L422" s="598"/>
      <c r="M422" s="598"/>
      <c r="N422" s="598"/>
      <c r="O422" s="598"/>
      <c r="P422" s="598"/>
      <c r="Q422" s="598"/>
      <c r="R422" s="598"/>
      <c r="S422" s="598"/>
      <c r="T422" s="598"/>
      <c r="U422" s="598"/>
      <c r="V422" s="598"/>
      <c r="W422" s="598"/>
      <c r="X422" s="598"/>
      <c r="Y422" s="598"/>
      <c r="Z422" s="598"/>
      <c r="AA422" s="48"/>
      <c r="AB422" s="48"/>
      <c r="AC422" s="48"/>
    </row>
    <row r="423" spans="1:68" ht="16.5" customHeight="1" x14ac:dyDescent="0.25">
      <c r="A423" s="591" t="s">
        <v>656</v>
      </c>
      <c r="B423" s="558"/>
      <c r="C423" s="558"/>
      <c r="D423" s="558"/>
      <c r="E423" s="558"/>
      <c r="F423" s="558"/>
      <c r="G423" s="558"/>
      <c r="H423" s="558"/>
      <c r="I423" s="558"/>
      <c r="J423" s="558"/>
      <c r="K423" s="558"/>
      <c r="L423" s="558"/>
      <c r="M423" s="558"/>
      <c r="N423" s="558"/>
      <c r="O423" s="558"/>
      <c r="P423" s="558"/>
      <c r="Q423" s="558"/>
      <c r="R423" s="558"/>
      <c r="S423" s="558"/>
      <c r="T423" s="558"/>
      <c r="U423" s="558"/>
      <c r="V423" s="558"/>
      <c r="W423" s="558"/>
      <c r="X423" s="558"/>
      <c r="Y423" s="558"/>
      <c r="Z423" s="558"/>
      <c r="AA423" s="540"/>
      <c r="AB423" s="540"/>
      <c r="AC423" s="540"/>
    </row>
    <row r="424" spans="1:68" ht="14.25" customHeight="1" x14ac:dyDescent="0.25">
      <c r="A424" s="557" t="s">
        <v>102</v>
      </c>
      <c r="B424" s="558"/>
      <c r="C424" s="558"/>
      <c r="D424" s="558"/>
      <c r="E424" s="558"/>
      <c r="F424" s="558"/>
      <c r="G424" s="558"/>
      <c r="H424" s="558"/>
      <c r="I424" s="558"/>
      <c r="J424" s="558"/>
      <c r="K424" s="558"/>
      <c r="L424" s="558"/>
      <c r="M424" s="558"/>
      <c r="N424" s="558"/>
      <c r="O424" s="558"/>
      <c r="P424" s="558"/>
      <c r="Q424" s="558"/>
      <c r="R424" s="558"/>
      <c r="S424" s="558"/>
      <c r="T424" s="558"/>
      <c r="U424" s="558"/>
      <c r="V424" s="558"/>
      <c r="W424" s="558"/>
      <c r="X424" s="558"/>
      <c r="Y424" s="558"/>
      <c r="Z424" s="558"/>
      <c r="AA424" s="541"/>
      <c r="AB424" s="541"/>
      <c r="AC424" s="541"/>
    </row>
    <row r="425" spans="1:68" ht="27" customHeight="1" x14ac:dyDescent="0.25">
      <c r="A425" s="54" t="s">
        <v>657</v>
      </c>
      <c r="B425" s="54" t="s">
        <v>658</v>
      </c>
      <c r="C425" s="31">
        <v>4301011795</v>
      </c>
      <c r="D425" s="549">
        <v>4607091389067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105</v>
      </c>
      <c r="L425" s="32" t="s">
        <v>106</v>
      </c>
      <c r="M425" s="33" t="s">
        <v>107</v>
      </c>
      <c r="N425" s="33"/>
      <c r="O425" s="32">
        <v>60</v>
      </c>
      <c r="P425" s="72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5" s="552"/>
      <c r="R425" s="552"/>
      <c r="S425" s="552"/>
      <c r="T425" s="553"/>
      <c r="U425" s="34"/>
      <c r="V425" s="34"/>
      <c r="W425" s="35" t="s">
        <v>69</v>
      </c>
      <c r="X425" s="545">
        <v>0</v>
      </c>
      <c r="Y425" s="546">
        <f t="shared" ref="Y425:Y436" si="42">IFERROR(IF(X425="",0,CEILING((X425/$H425),1)*$H425),"")</f>
        <v>0</v>
      </c>
      <c r="Z425" s="36" t="str">
        <f t="shared" ref="Z425:Z431" si="43">IFERROR(IF(Y425=0,"",ROUNDUP(Y425/H425,0)*0.01196),"")</f>
        <v/>
      </c>
      <c r="AA425" s="56"/>
      <c r="AB425" s="57"/>
      <c r="AC425" s="469" t="s">
        <v>108</v>
      </c>
      <c r="AG425" s="64"/>
      <c r="AJ425" s="68" t="s">
        <v>109</v>
      </c>
      <c r="AK425" s="68">
        <v>42.24</v>
      </c>
      <c r="BB425" s="470" t="s">
        <v>1</v>
      </c>
      <c r="BM425" s="64">
        <f t="shared" ref="BM425:BM436" si="44">IFERROR(X425*I425/H425,"0")</f>
        <v>0</v>
      </c>
      <c r="BN425" s="64">
        <f t="shared" ref="BN425:BN436" si="45">IFERROR(Y425*I425/H425,"0")</f>
        <v>0</v>
      </c>
      <c r="BO425" s="64">
        <f t="shared" ref="BO425:BO436" si="46">IFERROR(1/J425*(X425/H425),"0")</f>
        <v>0</v>
      </c>
      <c r="BP425" s="64">
        <f t="shared" ref="BP425:BP436" si="47">IFERROR(1/J425*(Y425/H425),"0")</f>
        <v>0</v>
      </c>
    </row>
    <row r="426" spans="1:68" ht="27" customHeight="1" x14ac:dyDescent="0.25">
      <c r="A426" s="54" t="s">
        <v>659</v>
      </c>
      <c r="B426" s="54" t="s">
        <v>660</v>
      </c>
      <c r="C426" s="31">
        <v>4301012145</v>
      </c>
      <c r="D426" s="549">
        <v>4607091383522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105</v>
      </c>
      <c r="L426" s="32"/>
      <c r="M426" s="33" t="s">
        <v>107</v>
      </c>
      <c r="N426" s="33"/>
      <c r="O426" s="32">
        <v>60</v>
      </c>
      <c r="P426" s="64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6" s="552"/>
      <c r="R426" s="552"/>
      <c r="S426" s="552"/>
      <c r="T426" s="553"/>
      <c r="U426" s="34"/>
      <c r="V426" s="34"/>
      <c r="W426" s="35" t="s">
        <v>69</v>
      </c>
      <c r="X426" s="545">
        <v>0</v>
      </c>
      <c r="Y426" s="546">
        <f t="shared" si="42"/>
        <v>0</v>
      </c>
      <c r="Z426" s="36" t="str">
        <f t="shared" si="43"/>
        <v/>
      </c>
      <c r="AA426" s="56"/>
      <c r="AB426" s="57"/>
      <c r="AC426" s="471" t="s">
        <v>661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659</v>
      </c>
      <c r="B427" s="54" t="s">
        <v>662</v>
      </c>
      <c r="C427" s="31">
        <v>4301012210</v>
      </c>
      <c r="D427" s="549">
        <v>4607091383522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105</v>
      </c>
      <c r="L427" s="32"/>
      <c r="M427" s="33" t="s">
        <v>107</v>
      </c>
      <c r="N427" s="33"/>
      <c r="O427" s="32">
        <v>60</v>
      </c>
      <c r="P427" s="706" t="s">
        <v>663</v>
      </c>
      <c r="Q427" s="552"/>
      <c r="R427" s="552"/>
      <c r="S427" s="552"/>
      <c r="T427" s="553"/>
      <c r="U427" s="34"/>
      <c r="V427" s="34"/>
      <c r="W427" s="35" t="s">
        <v>69</v>
      </c>
      <c r="X427" s="545">
        <v>0</v>
      </c>
      <c r="Y427" s="546">
        <f t="shared" si="42"/>
        <v>0</v>
      </c>
      <c r="Z427" s="36" t="str">
        <f t="shared" si="43"/>
        <v/>
      </c>
      <c r="AA427" s="56"/>
      <c r="AB427" s="57"/>
      <c r="AC427" s="473" t="s">
        <v>661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664</v>
      </c>
      <c r="B428" s="54" t="s">
        <v>665</v>
      </c>
      <c r="C428" s="31">
        <v>4301011961</v>
      </c>
      <c r="D428" s="549">
        <v>4680115885271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105</v>
      </c>
      <c r="L428" s="32" t="s">
        <v>106</v>
      </c>
      <c r="M428" s="33" t="s">
        <v>107</v>
      </c>
      <c r="N428" s="33"/>
      <c r="O428" s="32">
        <v>60</v>
      </c>
      <c r="P428" s="64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8" s="552"/>
      <c r="R428" s="552"/>
      <c r="S428" s="552"/>
      <c r="T428" s="553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666</v>
      </c>
      <c r="AG428" s="64"/>
      <c r="AJ428" s="68" t="s">
        <v>109</v>
      </c>
      <c r="AK428" s="68">
        <v>42.24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667</v>
      </c>
      <c r="B429" s="54" t="s">
        <v>668</v>
      </c>
      <c r="C429" s="31">
        <v>4301011376</v>
      </c>
      <c r="D429" s="549">
        <v>4680115885226</v>
      </c>
      <c r="E429" s="550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105</v>
      </c>
      <c r="L429" s="32" t="s">
        <v>106</v>
      </c>
      <c r="M429" s="33" t="s">
        <v>80</v>
      </c>
      <c r="N429" s="33"/>
      <c r="O429" s="32">
        <v>60</v>
      </c>
      <c r="P429" s="65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9" s="552"/>
      <c r="R429" s="552"/>
      <c r="S429" s="552"/>
      <c r="T429" s="553"/>
      <c r="U429" s="34"/>
      <c r="V429" s="34"/>
      <c r="W429" s="35" t="s">
        <v>69</v>
      </c>
      <c r="X429" s="545">
        <v>306</v>
      </c>
      <c r="Y429" s="546">
        <f t="shared" si="42"/>
        <v>306.24</v>
      </c>
      <c r="Z429" s="36">
        <f t="shared" si="43"/>
        <v>0.69367999999999996</v>
      </c>
      <c r="AA429" s="56"/>
      <c r="AB429" s="57"/>
      <c r="AC429" s="477" t="s">
        <v>669</v>
      </c>
      <c r="AG429" s="64"/>
      <c r="AJ429" s="68" t="s">
        <v>109</v>
      </c>
      <c r="AK429" s="68">
        <v>42.24</v>
      </c>
      <c r="BB429" s="478" t="s">
        <v>1</v>
      </c>
      <c r="BM429" s="64">
        <f t="shared" si="44"/>
        <v>326.28409090909088</v>
      </c>
      <c r="BN429" s="64">
        <f t="shared" si="45"/>
        <v>326.53999999999996</v>
      </c>
      <c r="BO429" s="64">
        <f t="shared" si="46"/>
        <v>0.55725524475524479</v>
      </c>
      <c r="BP429" s="64">
        <f t="shared" si="47"/>
        <v>0.55769230769230771</v>
      </c>
    </row>
    <row r="430" spans="1:68" ht="16.5" customHeight="1" x14ac:dyDescent="0.25">
      <c r="A430" s="54" t="s">
        <v>670</v>
      </c>
      <c r="B430" s="54" t="s">
        <v>671</v>
      </c>
      <c r="C430" s="31">
        <v>4301011774</v>
      </c>
      <c r="D430" s="549">
        <v>4680115884502</v>
      </c>
      <c r="E430" s="550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105</v>
      </c>
      <c r="L430" s="32"/>
      <c r="M430" s="33" t="s">
        <v>107</v>
      </c>
      <c r="N430" s="33"/>
      <c r="O430" s="32">
        <v>60</v>
      </c>
      <c r="P430" s="81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672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673</v>
      </c>
      <c r="B431" s="54" t="s">
        <v>674</v>
      </c>
      <c r="C431" s="31">
        <v>4301011771</v>
      </c>
      <c r="D431" s="549">
        <v>4607091389104</v>
      </c>
      <c r="E431" s="550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105</v>
      </c>
      <c r="L431" s="32" t="s">
        <v>106</v>
      </c>
      <c r="M431" s="33" t="s">
        <v>107</v>
      </c>
      <c r="N431" s="33"/>
      <c r="O431" s="32">
        <v>60</v>
      </c>
      <c r="P431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5">
        <v>575</v>
      </c>
      <c r="Y431" s="546">
        <f t="shared" si="42"/>
        <v>575.52</v>
      </c>
      <c r="Z431" s="36">
        <f t="shared" si="43"/>
        <v>1.3036399999999999</v>
      </c>
      <c r="AA431" s="56"/>
      <c r="AB431" s="57"/>
      <c r="AC431" s="481" t="s">
        <v>675</v>
      </c>
      <c r="AG431" s="64"/>
      <c r="AJ431" s="68" t="s">
        <v>109</v>
      </c>
      <c r="AK431" s="68">
        <v>42.24</v>
      </c>
      <c r="BB431" s="482" t="s">
        <v>1</v>
      </c>
      <c r="BM431" s="64">
        <f t="shared" si="44"/>
        <v>613.11553030303025</v>
      </c>
      <c r="BN431" s="64">
        <f t="shared" si="45"/>
        <v>613.66999999999996</v>
      </c>
      <c r="BO431" s="64">
        <f t="shared" si="46"/>
        <v>1.0471299533799534</v>
      </c>
      <c r="BP431" s="64">
        <f t="shared" si="47"/>
        <v>1.0480769230769229</v>
      </c>
    </row>
    <row r="432" spans="1:68" ht="27" customHeight="1" x14ac:dyDescent="0.25">
      <c r="A432" s="54" t="s">
        <v>676</v>
      </c>
      <c r="B432" s="54" t="s">
        <v>677</v>
      </c>
      <c r="C432" s="31">
        <v>4301012125</v>
      </c>
      <c r="D432" s="549">
        <v>4680115886391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80</v>
      </c>
      <c r="N432" s="33"/>
      <c r="O432" s="32">
        <v>60</v>
      </c>
      <c r="P432" s="5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2" s="552"/>
      <c r="R432" s="552"/>
      <c r="S432" s="552"/>
      <c r="T432" s="553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>IFERROR(IF(Y432=0,"",ROUNDUP(Y432/H432,0)*0.00651),"")</f>
        <v/>
      </c>
      <c r="AA432" s="56"/>
      <c r="AB432" s="57"/>
      <c r="AC432" s="483" t="s">
        <v>108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customHeight="1" x14ac:dyDescent="0.25">
      <c r="A433" s="54" t="s">
        <v>678</v>
      </c>
      <c r="B433" s="54" t="s">
        <v>679</v>
      </c>
      <c r="C433" s="31">
        <v>4301012035</v>
      </c>
      <c r="D433" s="549">
        <v>4680115880603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112</v>
      </c>
      <c r="L433" s="32"/>
      <c r="M433" s="33" t="s">
        <v>107</v>
      </c>
      <c r="N433" s="33"/>
      <c r="O433" s="32">
        <v>60</v>
      </c>
      <c r="P433" s="84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>IFERROR(IF(Y433=0,"",ROUNDUP(Y433/H433,0)*0.00902),"")</f>
        <v/>
      </c>
      <c r="AA433" s="56"/>
      <c r="AB433" s="57"/>
      <c r="AC433" s="485" t="s">
        <v>108</v>
      </c>
      <c r="AG433" s="64"/>
      <c r="AJ433" s="68"/>
      <c r="AK433" s="68">
        <v>0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customHeight="1" x14ac:dyDescent="0.25">
      <c r="A434" s="54" t="s">
        <v>680</v>
      </c>
      <c r="B434" s="54" t="s">
        <v>681</v>
      </c>
      <c r="C434" s="31">
        <v>4301012036</v>
      </c>
      <c r="D434" s="549">
        <v>4680115882782</v>
      </c>
      <c r="E434" s="550"/>
      <c r="F434" s="544">
        <v>0.6</v>
      </c>
      <c r="G434" s="32">
        <v>8</v>
      </c>
      <c r="H434" s="544">
        <v>4.8</v>
      </c>
      <c r="I434" s="544">
        <v>6.96</v>
      </c>
      <c r="J434" s="32">
        <v>120</v>
      </c>
      <c r="K434" s="32" t="s">
        <v>112</v>
      </c>
      <c r="L434" s="32"/>
      <c r="M434" s="33" t="s">
        <v>107</v>
      </c>
      <c r="N434" s="33"/>
      <c r="O434" s="32">
        <v>60</v>
      </c>
      <c r="P434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IFERROR(IF(Y434=0,"",ROUNDUP(Y434/H434,0)*0.00937),"")</f>
        <v/>
      </c>
      <c r="AA434" s="56"/>
      <c r="AB434" s="57"/>
      <c r="AC434" s="487" t="s">
        <v>666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customHeight="1" x14ac:dyDescent="0.25">
      <c r="A435" s="54" t="s">
        <v>682</v>
      </c>
      <c r="B435" s="54" t="s">
        <v>683</v>
      </c>
      <c r="C435" s="31">
        <v>4301012050</v>
      </c>
      <c r="D435" s="549">
        <v>4680115885479</v>
      </c>
      <c r="E435" s="550"/>
      <c r="F435" s="544">
        <v>0.4</v>
      </c>
      <c r="G435" s="32">
        <v>6</v>
      </c>
      <c r="H435" s="544">
        <v>2.4</v>
      </c>
      <c r="I435" s="544">
        <v>2.58</v>
      </c>
      <c r="J435" s="32">
        <v>182</v>
      </c>
      <c r="K435" s="32" t="s">
        <v>67</v>
      </c>
      <c r="L435" s="32"/>
      <c r="M435" s="33" t="s">
        <v>107</v>
      </c>
      <c r="N435" s="33"/>
      <c r="O435" s="32">
        <v>60</v>
      </c>
      <c r="P435" s="85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IFERROR(IF(Y435=0,"",ROUNDUP(Y435/H435,0)*0.00651),"")</f>
        <v/>
      </c>
      <c r="AA435" s="56"/>
      <c r="AB435" s="57"/>
      <c r="AC435" s="489" t="s">
        <v>684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customHeight="1" x14ac:dyDescent="0.25">
      <c r="A436" s="54" t="s">
        <v>685</v>
      </c>
      <c r="B436" s="54" t="s">
        <v>686</v>
      </c>
      <c r="C436" s="31">
        <v>4301012034</v>
      </c>
      <c r="D436" s="549">
        <v>4607091389982</v>
      </c>
      <c r="E436" s="550"/>
      <c r="F436" s="544">
        <v>0.6</v>
      </c>
      <c r="G436" s="32">
        <v>8</v>
      </c>
      <c r="H436" s="544">
        <v>4.8</v>
      </c>
      <c r="I436" s="544">
        <v>6.91</v>
      </c>
      <c r="J436" s="32">
        <v>132</v>
      </c>
      <c r="K436" s="32" t="s">
        <v>112</v>
      </c>
      <c r="L436" s="32"/>
      <c r="M436" s="33" t="s">
        <v>107</v>
      </c>
      <c r="N436" s="33"/>
      <c r="O436" s="32">
        <v>60</v>
      </c>
      <c r="P436" s="85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IFERROR(IF(Y436=0,"",ROUNDUP(Y436/H436,0)*0.00902),"")</f>
        <v/>
      </c>
      <c r="AA436" s="56"/>
      <c r="AB436" s="57"/>
      <c r="AC436" s="491" t="s">
        <v>675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x14ac:dyDescent="0.2">
      <c r="A437" s="568"/>
      <c r="B437" s="558"/>
      <c r="C437" s="558"/>
      <c r="D437" s="558"/>
      <c r="E437" s="558"/>
      <c r="F437" s="558"/>
      <c r="G437" s="558"/>
      <c r="H437" s="558"/>
      <c r="I437" s="558"/>
      <c r="J437" s="558"/>
      <c r="K437" s="558"/>
      <c r="L437" s="558"/>
      <c r="M437" s="558"/>
      <c r="N437" s="558"/>
      <c r="O437" s="569"/>
      <c r="P437" s="561" t="s">
        <v>75</v>
      </c>
      <c r="Q437" s="562"/>
      <c r="R437" s="562"/>
      <c r="S437" s="562"/>
      <c r="T437" s="562"/>
      <c r="U437" s="562"/>
      <c r="V437" s="563"/>
      <c r="W437" s="37" t="s">
        <v>76</v>
      </c>
      <c r="X437" s="547">
        <f>IFERROR(X425/H425,"0")+IFERROR(X426/H426,"0")+IFERROR(X427/H427,"0")+IFERROR(X428/H428,"0")+IFERROR(X429/H429,"0")+IFERROR(X430/H430,"0")+IFERROR(X431/H431,"0")+IFERROR(X432/H432,"0")+IFERROR(X433/H433,"0")+IFERROR(X434/H434,"0")+IFERROR(X435/H435,"0")+IFERROR(X436/H436,"0")</f>
        <v>166.85606060606059</v>
      </c>
      <c r="Y437" s="547">
        <f>IFERROR(Y425/H425,"0")+IFERROR(Y426/H426,"0")+IFERROR(Y427/H427,"0")+IFERROR(Y428/H428,"0")+IFERROR(Y429/H429,"0")+IFERROR(Y430/H430,"0")+IFERROR(Y431/H431,"0")+IFERROR(Y432/H432,"0")+IFERROR(Y433/H433,"0")+IFERROR(Y434/H434,"0")+IFERROR(Y435/H435,"0")+IFERROR(Y436/H436,"0")</f>
        <v>167</v>
      </c>
      <c r="Z437" s="547">
        <f>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</f>
        <v>1.9973199999999998</v>
      </c>
      <c r="AA437" s="548"/>
      <c r="AB437" s="548"/>
      <c r="AC437" s="548"/>
    </row>
    <row r="438" spans="1:68" x14ac:dyDescent="0.2">
      <c r="A438" s="558"/>
      <c r="B438" s="558"/>
      <c r="C438" s="558"/>
      <c r="D438" s="558"/>
      <c r="E438" s="558"/>
      <c r="F438" s="558"/>
      <c r="G438" s="558"/>
      <c r="H438" s="558"/>
      <c r="I438" s="558"/>
      <c r="J438" s="558"/>
      <c r="K438" s="558"/>
      <c r="L438" s="558"/>
      <c r="M438" s="558"/>
      <c r="N438" s="558"/>
      <c r="O438" s="569"/>
      <c r="P438" s="561" t="s">
        <v>75</v>
      </c>
      <c r="Q438" s="562"/>
      <c r="R438" s="562"/>
      <c r="S438" s="562"/>
      <c r="T438" s="562"/>
      <c r="U438" s="562"/>
      <c r="V438" s="563"/>
      <c r="W438" s="37" t="s">
        <v>69</v>
      </c>
      <c r="X438" s="547">
        <f>IFERROR(SUM(X425:X436),"0")</f>
        <v>881</v>
      </c>
      <c r="Y438" s="547">
        <f>IFERROR(SUM(Y425:Y436),"0")</f>
        <v>881.76</v>
      </c>
      <c r="Z438" s="37"/>
      <c r="AA438" s="548"/>
      <c r="AB438" s="548"/>
      <c r="AC438" s="548"/>
    </row>
    <row r="439" spans="1:68" ht="14.25" customHeight="1" x14ac:dyDescent="0.25">
      <c r="A439" s="557" t="s">
        <v>138</v>
      </c>
      <c r="B439" s="558"/>
      <c r="C439" s="558"/>
      <c r="D439" s="558"/>
      <c r="E439" s="558"/>
      <c r="F439" s="558"/>
      <c r="G439" s="558"/>
      <c r="H439" s="558"/>
      <c r="I439" s="558"/>
      <c r="J439" s="558"/>
      <c r="K439" s="558"/>
      <c r="L439" s="558"/>
      <c r="M439" s="558"/>
      <c r="N439" s="558"/>
      <c r="O439" s="558"/>
      <c r="P439" s="558"/>
      <c r="Q439" s="558"/>
      <c r="R439" s="558"/>
      <c r="S439" s="558"/>
      <c r="T439" s="558"/>
      <c r="U439" s="558"/>
      <c r="V439" s="558"/>
      <c r="W439" s="558"/>
      <c r="X439" s="558"/>
      <c r="Y439" s="558"/>
      <c r="Z439" s="558"/>
      <c r="AA439" s="541"/>
      <c r="AB439" s="541"/>
      <c r="AC439" s="541"/>
    </row>
    <row r="440" spans="1:68" ht="16.5" customHeight="1" x14ac:dyDescent="0.25">
      <c r="A440" s="54" t="s">
        <v>687</v>
      </c>
      <c r="B440" s="54" t="s">
        <v>688</v>
      </c>
      <c r="C440" s="31">
        <v>4301020334</v>
      </c>
      <c r="D440" s="549">
        <v>4607091388930</v>
      </c>
      <c r="E440" s="550"/>
      <c r="F440" s="544">
        <v>0.88</v>
      </c>
      <c r="G440" s="32">
        <v>6</v>
      </c>
      <c r="H440" s="544">
        <v>5.28</v>
      </c>
      <c r="I440" s="544">
        <v>5.63</v>
      </c>
      <c r="J440" s="32">
        <v>104</v>
      </c>
      <c r="K440" s="32" t="s">
        <v>105</v>
      </c>
      <c r="L440" s="32" t="s">
        <v>106</v>
      </c>
      <c r="M440" s="33" t="s">
        <v>80</v>
      </c>
      <c r="N440" s="33"/>
      <c r="O440" s="32">
        <v>70</v>
      </c>
      <c r="P440" s="7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0" s="552"/>
      <c r="R440" s="552"/>
      <c r="S440" s="552"/>
      <c r="T440" s="553"/>
      <c r="U440" s="34"/>
      <c r="V440" s="34"/>
      <c r="W440" s="35" t="s">
        <v>69</v>
      </c>
      <c r="X440" s="545">
        <v>313</v>
      </c>
      <c r="Y440" s="546">
        <f>IFERROR(IF(X440="",0,CEILING((X440/$H440),1)*$H440),"")</f>
        <v>316.8</v>
      </c>
      <c r="Z440" s="36">
        <f>IFERROR(IF(Y440=0,"",ROUNDUP(Y440/H440,0)*0.01196),"")</f>
        <v>0.71760000000000002</v>
      </c>
      <c r="AA440" s="56"/>
      <c r="AB440" s="57"/>
      <c r="AC440" s="493" t="s">
        <v>689</v>
      </c>
      <c r="AG440" s="64"/>
      <c r="AJ440" s="68" t="s">
        <v>109</v>
      </c>
      <c r="AK440" s="68">
        <v>42.24</v>
      </c>
      <c r="BB440" s="494" t="s">
        <v>1</v>
      </c>
      <c r="BM440" s="64">
        <f>IFERROR(X440*I440/H440,"0")</f>
        <v>333.74810606060606</v>
      </c>
      <c r="BN440" s="64">
        <f>IFERROR(Y440*I440/H440,"0")</f>
        <v>337.8</v>
      </c>
      <c r="BO440" s="64">
        <f>IFERROR(1/J440*(X440/H440),"0")</f>
        <v>0.57000291375291368</v>
      </c>
      <c r="BP440" s="64">
        <f>IFERROR(1/J440*(Y440/H440),"0")</f>
        <v>0.57692307692307698</v>
      </c>
    </row>
    <row r="441" spans="1:68" ht="16.5" customHeight="1" x14ac:dyDescent="0.25">
      <c r="A441" s="54" t="s">
        <v>690</v>
      </c>
      <c r="B441" s="54" t="s">
        <v>691</v>
      </c>
      <c r="C441" s="31">
        <v>4301020384</v>
      </c>
      <c r="D441" s="549">
        <v>4680115886407</v>
      </c>
      <c r="E441" s="550"/>
      <c r="F441" s="544">
        <v>0.4</v>
      </c>
      <c r="G441" s="32">
        <v>6</v>
      </c>
      <c r="H441" s="544">
        <v>2.4</v>
      </c>
      <c r="I441" s="544">
        <v>2.58</v>
      </c>
      <c r="J441" s="32">
        <v>182</v>
      </c>
      <c r="K441" s="32" t="s">
        <v>67</v>
      </c>
      <c r="L441" s="32"/>
      <c r="M441" s="33" t="s">
        <v>80</v>
      </c>
      <c r="N441" s="33"/>
      <c r="O441" s="32">
        <v>70</v>
      </c>
      <c r="P441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1" s="552"/>
      <c r="R441" s="552"/>
      <c r="S441" s="552"/>
      <c r="T441" s="553"/>
      <c r="U441" s="34"/>
      <c r="V441" s="34"/>
      <c r="W441" s="35" t="s">
        <v>69</v>
      </c>
      <c r="X441" s="545">
        <v>0</v>
      </c>
      <c r="Y441" s="546">
        <f>IFERROR(IF(X441="",0,CEILING((X441/$H441),1)*$H441),"")</f>
        <v>0</v>
      </c>
      <c r="Z441" s="36" t="str">
        <f>IFERROR(IF(Y441=0,"",ROUNDUP(Y441/H441,0)*0.00651),"")</f>
        <v/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16.5" customHeight="1" x14ac:dyDescent="0.25">
      <c r="A442" s="54" t="s">
        <v>692</v>
      </c>
      <c r="B442" s="54" t="s">
        <v>693</v>
      </c>
      <c r="C442" s="31">
        <v>4301020385</v>
      </c>
      <c r="D442" s="549">
        <v>4680115880054</v>
      </c>
      <c r="E442" s="550"/>
      <c r="F442" s="544">
        <v>0.6</v>
      </c>
      <c r="G442" s="32">
        <v>8</v>
      </c>
      <c r="H442" s="544">
        <v>4.8</v>
      </c>
      <c r="I442" s="544">
        <v>6.91</v>
      </c>
      <c r="J442" s="32">
        <v>132</v>
      </c>
      <c r="K442" s="32" t="s">
        <v>112</v>
      </c>
      <c r="L442" s="32" t="s">
        <v>115</v>
      </c>
      <c r="M442" s="33" t="s">
        <v>107</v>
      </c>
      <c r="N442" s="33"/>
      <c r="O442" s="32">
        <v>70</v>
      </c>
      <c r="P442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2" s="552"/>
      <c r="R442" s="552"/>
      <c r="S442" s="552"/>
      <c r="T442" s="553"/>
      <c r="U442" s="34"/>
      <c r="V442" s="34"/>
      <c r="W442" s="35" t="s">
        <v>69</v>
      </c>
      <c r="X442" s="545">
        <v>0</v>
      </c>
      <c r="Y442" s="546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497" t="s">
        <v>689</v>
      </c>
      <c r="AG442" s="64"/>
      <c r="AJ442" s="68" t="s">
        <v>109</v>
      </c>
      <c r="AK442" s="68">
        <v>57.6</v>
      </c>
      <c r="BB442" s="498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568"/>
      <c r="B443" s="558"/>
      <c r="C443" s="558"/>
      <c r="D443" s="558"/>
      <c r="E443" s="558"/>
      <c r="F443" s="558"/>
      <c r="G443" s="558"/>
      <c r="H443" s="558"/>
      <c r="I443" s="558"/>
      <c r="J443" s="558"/>
      <c r="K443" s="558"/>
      <c r="L443" s="558"/>
      <c r="M443" s="558"/>
      <c r="N443" s="558"/>
      <c r="O443" s="569"/>
      <c r="P443" s="561" t="s">
        <v>75</v>
      </c>
      <c r="Q443" s="562"/>
      <c r="R443" s="562"/>
      <c r="S443" s="562"/>
      <c r="T443" s="562"/>
      <c r="U443" s="562"/>
      <c r="V443" s="563"/>
      <c r="W443" s="37" t="s">
        <v>76</v>
      </c>
      <c r="X443" s="547">
        <f>IFERROR(X440/H440,"0")+IFERROR(X441/H441,"0")+IFERROR(X442/H442,"0")</f>
        <v>59.280303030303024</v>
      </c>
      <c r="Y443" s="547">
        <f>IFERROR(Y440/H440,"0")+IFERROR(Y441/H441,"0")+IFERROR(Y442/H442,"0")</f>
        <v>60</v>
      </c>
      <c r="Z443" s="547">
        <f>IFERROR(IF(Z440="",0,Z440),"0")+IFERROR(IF(Z441="",0,Z441),"0")+IFERROR(IF(Z442="",0,Z442),"0")</f>
        <v>0.71760000000000002</v>
      </c>
      <c r="AA443" s="548"/>
      <c r="AB443" s="548"/>
      <c r="AC443" s="548"/>
    </row>
    <row r="444" spans="1:68" x14ac:dyDescent="0.2">
      <c r="A444" s="558"/>
      <c r="B444" s="558"/>
      <c r="C444" s="558"/>
      <c r="D444" s="558"/>
      <c r="E444" s="558"/>
      <c r="F444" s="558"/>
      <c r="G444" s="558"/>
      <c r="H444" s="558"/>
      <c r="I444" s="558"/>
      <c r="J444" s="558"/>
      <c r="K444" s="558"/>
      <c r="L444" s="558"/>
      <c r="M444" s="558"/>
      <c r="N444" s="558"/>
      <c r="O444" s="569"/>
      <c r="P444" s="561" t="s">
        <v>75</v>
      </c>
      <c r="Q444" s="562"/>
      <c r="R444" s="562"/>
      <c r="S444" s="562"/>
      <c r="T444" s="562"/>
      <c r="U444" s="562"/>
      <c r="V444" s="563"/>
      <c r="W444" s="37" t="s">
        <v>69</v>
      </c>
      <c r="X444" s="547">
        <f>IFERROR(SUM(X440:X442),"0")</f>
        <v>313</v>
      </c>
      <c r="Y444" s="547">
        <f>IFERROR(SUM(Y440:Y442),"0")</f>
        <v>316.8</v>
      </c>
      <c r="Z444" s="37"/>
      <c r="AA444" s="548"/>
      <c r="AB444" s="548"/>
      <c r="AC444" s="548"/>
    </row>
    <row r="445" spans="1:68" ht="14.25" customHeight="1" x14ac:dyDescent="0.25">
      <c r="A445" s="557" t="s">
        <v>64</v>
      </c>
      <c r="B445" s="558"/>
      <c r="C445" s="558"/>
      <c r="D445" s="558"/>
      <c r="E445" s="558"/>
      <c r="F445" s="558"/>
      <c r="G445" s="558"/>
      <c r="H445" s="558"/>
      <c r="I445" s="558"/>
      <c r="J445" s="558"/>
      <c r="K445" s="558"/>
      <c r="L445" s="558"/>
      <c r="M445" s="558"/>
      <c r="N445" s="558"/>
      <c r="O445" s="558"/>
      <c r="P445" s="558"/>
      <c r="Q445" s="558"/>
      <c r="R445" s="558"/>
      <c r="S445" s="558"/>
      <c r="T445" s="558"/>
      <c r="U445" s="558"/>
      <c r="V445" s="558"/>
      <c r="W445" s="558"/>
      <c r="X445" s="558"/>
      <c r="Y445" s="558"/>
      <c r="Z445" s="558"/>
      <c r="AA445" s="541"/>
      <c r="AB445" s="541"/>
      <c r="AC445" s="541"/>
    </row>
    <row r="446" spans="1:68" ht="27" customHeight="1" x14ac:dyDescent="0.25">
      <c r="A446" s="54" t="s">
        <v>694</v>
      </c>
      <c r="B446" s="54" t="s">
        <v>695</v>
      </c>
      <c r="C446" s="31">
        <v>4301031349</v>
      </c>
      <c r="D446" s="549">
        <v>4680115883116</v>
      </c>
      <c r="E446" s="550"/>
      <c r="F446" s="544">
        <v>0.88</v>
      </c>
      <c r="G446" s="32">
        <v>6</v>
      </c>
      <c r="H446" s="544">
        <v>5.28</v>
      </c>
      <c r="I446" s="544">
        <v>5.63</v>
      </c>
      <c r="J446" s="32">
        <v>104</v>
      </c>
      <c r="K446" s="32" t="s">
        <v>105</v>
      </c>
      <c r="L446" s="32" t="s">
        <v>106</v>
      </c>
      <c r="M446" s="33" t="s">
        <v>107</v>
      </c>
      <c r="N446" s="33"/>
      <c r="O446" s="32">
        <v>70</v>
      </c>
      <c r="P446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6" s="552"/>
      <c r="R446" s="552"/>
      <c r="S446" s="552"/>
      <c r="T446" s="553"/>
      <c r="U446" s="34"/>
      <c r="V446" s="34"/>
      <c r="W446" s="35" t="s">
        <v>69</v>
      </c>
      <c r="X446" s="545">
        <v>96</v>
      </c>
      <c r="Y446" s="546">
        <f t="shared" ref="Y446:Y451" si="48">IFERROR(IF(X446="",0,CEILING((X446/$H446),1)*$H446),"")</f>
        <v>100.32000000000001</v>
      </c>
      <c r="Z446" s="36">
        <f>IFERROR(IF(Y446=0,"",ROUNDUP(Y446/H446,0)*0.01196),"")</f>
        <v>0.22724</v>
      </c>
      <c r="AA446" s="56"/>
      <c r="AB446" s="57"/>
      <c r="AC446" s="499" t="s">
        <v>696</v>
      </c>
      <c r="AG446" s="64"/>
      <c r="AJ446" s="68" t="s">
        <v>109</v>
      </c>
      <c r="AK446" s="68">
        <v>42.24</v>
      </c>
      <c r="BB446" s="500" t="s">
        <v>1</v>
      </c>
      <c r="BM446" s="64">
        <f t="shared" ref="BM446:BM451" si="49">IFERROR(X446*I446/H446,"0")</f>
        <v>102.36363636363636</v>
      </c>
      <c r="BN446" s="64">
        <f t="shared" ref="BN446:BN451" si="50">IFERROR(Y446*I446/H446,"0")</f>
        <v>106.97</v>
      </c>
      <c r="BO446" s="64">
        <f t="shared" ref="BO446:BO451" si="51">IFERROR(1/J446*(X446/H446),"0")</f>
        <v>0.17482517482517482</v>
      </c>
      <c r="BP446" s="64">
        <f t="shared" ref="BP446:BP451" si="52">IFERROR(1/J446*(Y446/H446),"0")</f>
        <v>0.18269230769230771</v>
      </c>
    </row>
    <row r="447" spans="1:68" ht="27" customHeight="1" x14ac:dyDescent="0.25">
      <c r="A447" s="54" t="s">
        <v>697</v>
      </c>
      <c r="B447" s="54" t="s">
        <v>698</v>
      </c>
      <c r="C447" s="31">
        <v>4301031350</v>
      </c>
      <c r="D447" s="549">
        <v>4680115883093</v>
      </c>
      <c r="E447" s="550"/>
      <c r="F447" s="544">
        <v>0.88</v>
      </c>
      <c r="G447" s="32">
        <v>6</v>
      </c>
      <c r="H447" s="544">
        <v>5.28</v>
      </c>
      <c r="I447" s="544">
        <v>5.63</v>
      </c>
      <c r="J447" s="32">
        <v>104</v>
      </c>
      <c r="K447" s="32" t="s">
        <v>105</v>
      </c>
      <c r="L447" s="32" t="s">
        <v>106</v>
      </c>
      <c r="M447" s="33" t="s">
        <v>68</v>
      </c>
      <c r="N447" s="33"/>
      <c r="O447" s="32">
        <v>70</v>
      </c>
      <c r="P447" s="8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7" s="552"/>
      <c r="R447" s="552"/>
      <c r="S447" s="552"/>
      <c r="T447" s="553"/>
      <c r="U447" s="34"/>
      <c r="V447" s="34"/>
      <c r="W447" s="35" t="s">
        <v>69</v>
      </c>
      <c r="X447" s="545">
        <v>94</v>
      </c>
      <c r="Y447" s="546">
        <f t="shared" si="48"/>
        <v>95.04</v>
      </c>
      <c r="Z447" s="36">
        <f>IFERROR(IF(Y447=0,"",ROUNDUP(Y447/H447,0)*0.01196),"")</f>
        <v>0.21528</v>
      </c>
      <c r="AA447" s="56"/>
      <c r="AB447" s="57"/>
      <c r="AC447" s="501" t="s">
        <v>699</v>
      </c>
      <c r="AG447" s="64"/>
      <c r="AJ447" s="68" t="s">
        <v>109</v>
      </c>
      <c r="AK447" s="68">
        <v>42.24</v>
      </c>
      <c r="BB447" s="502" t="s">
        <v>1</v>
      </c>
      <c r="BM447" s="64">
        <f t="shared" si="49"/>
        <v>100.23106060606061</v>
      </c>
      <c r="BN447" s="64">
        <f t="shared" si="50"/>
        <v>101.33999999999999</v>
      </c>
      <c r="BO447" s="64">
        <f t="shared" si="51"/>
        <v>0.17118298368298368</v>
      </c>
      <c r="BP447" s="64">
        <f t="shared" si="52"/>
        <v>0.17307692307692307</v>
      </c>
    </row>
    <row r="448" spans="1:68" ht="27" customHeight="1" x14ac:dyDescent="0.25">
      <c r="A448" s="54" t="s">
        <v>700</v>
      </c>
      <c r="B448" s="54" t="s">
        <v>701</v>
      </c>
      <c r="C448" s="31">
        <v>4301031353</v>
      </c>
      <c r="D448" s="549">
        <v>4680115883109</v>
      </c>
      <c r="E448" s="550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105</v>
      </c>
      <c r="L448" s="32" t="s">
        <v>106</v>
      </c>
      <c r="M448" s="33" t="s">
        <v>68</v>
      </c>
      <c r="N448" s="33"/>
      <c r="O448" s="32">
        <v>70</v>
      </c>
      <c r="P448" s="74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5">
        <v>256</v>
      </c>
      <c r="Y448" s="546">
        <f t="shared" si="48"/>
        <v>258.72000000000003</v>
      </c>
      <c r="Z448" s="36">
        <f>IFERROR(IF(Y448=0,"",ROUNDUP(Y448/H448,0)*0.01196),"")</f>
        <v>0.58604000000000001</v>
      </c>
      <c r="AA448" s="56"/>
      <c r="AB448" s="57"/>
      <c r="AC448" s="503" t="s">
        <v>702</v>
      </c>
      <c r="AG448" s="64"/>
      <c r="AJ448" s="68" t="s">
        <v>109</v>
      </c>
      <c r="AK448" s="68">
        <v>42.24</v>
      </c>
      <c r="BB448" s="504" t="s">
        <v>1</v>
      </c>
      <c r="BM448" s="64">
        <f t="shared" si="49"/>
        <v>272.96969696969694</v>
      </c>
      <c r="BN448" s="64">
        <f t="shared" si="50"/>
        <v>275.87</v>
      </c>
      <c r="BO448" s="64">
        <f t="shared" si="51"/>
        <v>0.46620046620046623</v>
      </c>
      <c r="BP448" s="64">
        <f t="shared" si="52"/>
        <v>0.4711538461538462</v>
      </c>
    </row>
    <row r="449" spans="1:68" ht="27" customHeight="1" x14ac:dyDescent="0.25">
      <c r="A449" s="54" t="s">
        <v>703</v>
      </c>
      <c r="B449" s="54" t="s">
        <v>704</v>
      </c>
      <c r="C449" s="31">
        <v>4301031419</v>
      </c>
      <c r="D449" s="549">
        <v>4680115882072</v>
      </c>
      <c r="E449" s="550"/>
      <c r="F449" s="544">
        <v>0.6</v>
      </c>
      <c r="G449" s="32">
        <v>8</v>
      </c>
      <c r="H449" s="544">
        <v>4.8</v>
      </c>
      <c r="I449" s="544">
        <v>6.91</v>
      </c>
      <c r="J449" s="32">
        <v>132</v>
      </c>
      <c r="K449" s="32" t="s">
        <v>112</v>
      </c>
      <c r="L449" s="32"/>
      <c r="M449" s="33" t="s">
        <v>107</v>
      </c>
      <c r="N449" s="33"/>
      <c r="O449" s="32">
        <v>70</v>
      </c>
      <c r="P449" s="8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IFERROR(IF(Y449=0,"",ROUNDUP(Y449/H449,0)*0.00902),"")</f>
        <v/>
      </c>
      <c r="AA449" s="56"/>
      <c r="AB449" s="57"/>
      <c r="AC449" s="505" t="s">
        <v>696</v>
      </c>
      <c r="AG449" s="64"/>
      <c r="AJ449" s="68"/>
      <c r="AK449" s="68">
        <v>0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705</v>
      </c>
      <c r="B450" s="54" t="s">
        <v>706</v>
      </c>
      <c r="C450" s="31">
        <v>4301031418</v>
      </c>
      <c r="D450" s="549">
        <v>4680115882102</v>
      </c>
      <c r="E450" s="550"/>
      <c r="F450" s="544">
        <v>0.6</v>
      </c>
      <c r="G450" s="32">
        <v>8</v>
      </c>
      <c r="H450" s="544">
        <v>4.8</v>
      </c>
      <c r="I450" s="544">
        <v>6.67</v>
      </c>
      <c r="J450" s="32">
        <v>132</v>
      </c>
      <c r="K450" s="32" t="s">
        <v>112</v>
      </c>
      <c r="L450" s="32"/>
      <c r="M450" s="33" t="s">
        <v>68</v>
      </c>
      <c r="N450" s="33"/>
      <c r="O450" s="32">
        <v>70</v>
      </c>
      <c r="P450" s="7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0" s="552"/>
      <c r="R450" s="552"/>
      <c r="S450" s="552"/>
      <c r="T450" s="553"/>
      <c r="U450" s="34"/>
      <c r="V450" s="34"/>
      <c r="W450" s="35" t="s">
        <v>69</v>
      </c>
      <c r="X450" s="545">
        <v>0</v>
      </c>
      <c r="Y450" s="546">
        <f t="shared" si="48"/>
        <v>0</v>
      </c>
      <c r="Z450" s="36" t="str">
        <f>IFERROR(IF(Y450=0,"",ROUNDUP(Y450/H450,0)*0.00902),"")</f>
        <v/>
      </c>
      <c r="AA450" s="56"/>
      <c r="AB450" s="57"/>
      <c r="AC450" s="507" t="s">
        <v>699</v>
      </c>
      <c r="AG450" s="64"/>
      <c r="AJ450" s="68"/>
      <c r="AK450" s="68">
        <v>0</v>
      </c>
      <c r="BB450" s="508" t="s">
        <v>1</v>
      </c>
      <c r="BM450" s="64">
        <f t="shared" si="49"/>
        <v>0</v>
      </c>
      <c r="BN450" s="64">
        <f t="shared" si="50"/>
        <v>0</v>
      </c>
      <c r="BO450" s="64">
        <f t="shared" si="51"/>
        <v>0</v>
      </c>
      <c r="BP450" s="64">
        <f t="shared" si="52"/>
        <v>0</v>
      </c>
    </row>
    <row r="451" spans="1:68" ht="27" customHeight="1" x14ac:dyDescent="0.25">
      <c r="A451" s="54" t="s">
        <v>707</v>
      </c>
      <c r="B451" s="54" t="s">
        <v>708</v>
      </c>
      <c r="C451" s="31">
        <v>4301031417</v>
      </c>
      <c r="D451" s="549">
        <v>4680115882096</v>
      </c>
      <c r="E451" s="550"/>
      <c r="F451" s="544">
        <v>0.6</v>
      </c>
      <c r="G451" s="32">
        <v>8</v>
      </c>
      <c r="H451" s="544">
        <v>4.8</v>
      </c>
      <c r="I451" s="544">
        <v>6.67</v>
      </c>
      <c r="J451" s="32">
        <v>132</v>
      </c>
      <c r="K451" s="32" t="s">
        <v>112</v>
      </c>
      <c r="L451" s="32"/>
      <c r="M451" s="33" t="s">
        <v>68</v>
      </c>
      <c r="N451" s="33"/>
      <c r="O451" s="32">
        <v>70</v>
      </c>
      <c r="P451" s="73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1" s="552"/>
      <c r="R451" s="552"/>
      <c r="S451" s="552"/>
      <c r="T451" s="553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702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x14ac:dyDescent="0.2">
      <c r="A452" s="568"/>
      <c r="B452" s="558"/>
      <c r="C452" s="558"/>
      <c r="D452" s="558"/>
      <c r="E452" s="558"/>
      <c r="F452" s="558"/>
      <c r="G452" s="558"/>
      <c r="H452" s="558"/>
      <c r="I452" s="558"/>
      <c r="J452" s="558"/>
      <c r="K452" s="558"/>
      <c r="L452" s="558"/>
      <c r="M452" s="558"/>
      <c r="N452" s="558"/>
      <c r="O452" s="569"/>
      <c r="P452" s="561" t="s">
        <v>75</v>
      </c>
      <c r="Q452" s="562"/>
      <c r="R452" s="562"/>
      <c r="S452" s="562"/>
      <c r="T452" s="562"/>
      <c r="U452" s="562"/>
      <c r="V452" s="563"/>
      <c r="W452" s="37" t="s">
        <v>76</v>
      </c>
      <c r="X452" s="547">
        <f>IFERROR(X446/H446,"0")+IFERROR(X447/H447,"0")+IFERROR(X448/H448,"0")+IFERROR(X449/H449,"0")+IFERROR(X450/H450,"0")+IFERROR(X451/H451,"0")</f>
        <v>84.469696969696969</v>
      </c>
      <c r="Y452" s="547">
        <f>IFERROR(Y446/H446,"0")+IFERROR(Y447/H447,"0")+IFERROR(Y448/H448,"0")+IFERROR(Y449/H449,"0")+IFERROR(Y450/H450,"0")+IFERROR(Y451/H451,"0")</f>
        <v>86</v>
      </c>
      <c r="Z452" s="547">
        <f>IFERROR(IF(Z446="",0,Z446),"0")+IFERROR(IF(Z447="",0,Z447),"0")+IFERROR(IF(Z448="",0,Z448),"0")+IFERROR(IF(Z449="",0,Z449),"0")+IFERROR(IF(Z450="",0,Z450),"0")+IFERROR(IF(Z451="",0,Z451),"0")</f>
        <v>1.0285600000000001</v>
      </c>
      <c r="AA452" s="548"/>
      <c r="AB452" s="548"/>
      <c r="AC452" s="548"/>
    </row>
    <row r="453" spans="1:68" x14ac:dyDescent="0.2">
      <c r="A453" s="558"/>
      <c r="B453" s="558"/>
      <c r="C453" s="558"/>
      <c r="D453" s="558"/>
      <c r="E453" s="558"/>
      <c r="F453" s="558"/>
      <c r="G453" s="558"/>
      <c r="H453" s="558"/>
      <c r="I453" s="558"/>
      <c r="J453" s="558"/>
      <c r="K453" s="558"/>
      <c r="L453" s="558"/>
      <c r="M453" s="558"/>
      <c r="N453" s="558"/>
      <c r="O453" s="569"/>
      <c r="P453" s="561" t="s">
        <v>75</v>
      </c>
      <c r="Q453" s="562"/>
      <c r="R453" s="562"/>
      <c r="S453" s="562"/>
      <c r="T453" s="562"/>
      <c r="U453" s="562"/>
      <c r="V453" s="563"/>
      <c r="W453" s="37" t="s">
        <v>69</v>
      </c>
      <c r="X453" s="547">
        <f>IFERROR(SUM(X446:X451),"0")</f>
        <v>446</v>
      </c>
      <c r="Y453" s="547">
        <f>IFERROR(SUM(Y446:Y451),"0")</f>
        <v>454.08000000000004</v>
      </c>
      <c r="Z453" s="37"/>
      <c r="AA453" s="548"/>
      <c r="AB453" s="548"/>
      <c r="AC453" s="548"/>
    </row>
    <row r="454" spans="1:68" ht="14.25" customHeight="1" x14ac:dyDescent="0.25">
      <c r="A454" s="557" t="s">
        <v>77</v>
      </c>
      <c r="B454" s="558"/>
      <c r="C454" s="558"/>
      <c r="D454" s="558"/>
      <c r="E454" s="558"/>
      <c r="F454" s="558"/>
      <c r="G454" s="558"/>
      <c r="H454" s="558"/>
      <c r="I454" s="558"/>
      <c r="J454" s="558"/>
      <c r="K454" s="558"/>
      <c r="L454" s="558"/>
      <c r="M454" s="558"/>
      <c r="N454" s="558"/>
      <c r="O454" s="558"/>
      <c r="P454" s="558"/>
      <c r="Q454" s="558"/>
      <c r="R454" s="558"/>
      <c r="S454" s="558"/>
      <c r="T454" s="558"/>
      <c r="U454" s="558"/>
      <c r="V454" s="558"/>
      <c r="W454" s="558"/>
      <c r="X454" s="558"/>
      <c r="Y454" s="558"/>
      <c r="Z454" s="558"/>
      <c r="AA454" s="541"/>
      <c r="AB454" s="541"/>
      <c r="AC454" s="541"/>
    </row>
    <row r="455" spans="1:68" ht="27" customHeight="1" x14ac:dyDescent="0.25">
      <c r="A455" s="54" t="s">
        <v>709</v>
      </c>
      <c r="B455" s="54" t="s">
        <v>710</v>
      </c>
      <c r="C455" s="31">
        <v>4301051064</v>
      </c>
      <c r="D455" s="549">
        <v>4680115883536</v>
      </c>
      <c r="E455" s="550"/>
      <c r="F455" s="544">
        <v>0.3</v>
      </c>
      <c r="G455" s="32">
        <v>6</v>
      </c>
      <c r="H455" s="544">
        <v>1.8</v>
      </c>
      <c r="I455" s="544">
        <v>2.0459999999999998</v>
      </c>
      <c r="J455" s="32">
        <v>182</v>
      </c>
      <c r="K455" s="32" t="s">
        <v>67</v>
      </c>
      <c r="L455" s="32"/>
      <c r="M455" s="33" t="s">
        <v>80</v>
      </c>
      <c r="N455" s="33"/>
      <c r="O455" s="32">
        <v>45</v>
      </c>
      <c r="P455" s="57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5" s="552"/>
      <c r="R455" s="552"/>
      <c r="S455" s="552"/>
      <c r="T455" s="553"/>
      <c r="U455" s="34"/>
      <c r="V455" s="34"/>
      <c r="W455" s="35" t="s">
        <v>69</v>
      </c>
      <c r="X455" s="545">
        <v>0</v>
      </c>
      <c r="Y455" s="546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11" t="s">
        <v>711</v>
      </c>
      <c r="AG455" s="64"/>
      <c r="AJ455" s="68"/>
      <c r="AK455" s="68">
        <v>0</v>
      </c>
      <c r="BB455" s="51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568"/>
      <c r="B456" s="558"/>
      <c r="C456" s="558"/>
      <c r="D456" s="558"/>
      <c r="E456" s="558"/>
      <c r="F456" s="558"/>
      <c r="G456" s="558"/>
      <c r="H456" s="558"/>
      <c r="I456" s="558"/>
      <c r="J456" s="558"/>
      <c r="K456" s="558"/>
      <c r="L456" s="558"/>
      <c r="M456" s="558"/>
      <c r="N456" s="558"/>
      <c r="O456" s="569"/>
      <c r="P456" s="561" t="s">
        <v>75</v>
      </c>
      <c r="Q456" s="562"/>
      <c r="R456" s="562"/>
      <c r="S456" s="562"/>
      <c r="T456" s="562"/>
      <c r="U456" s="562"/>
      <c r="V456" s="563"/>
      <c r="W456" s="37" t="s">
        <v>76</v>
      </c>
      <c r="X456" s="547">
        <f>IFERROR(X455/H455,"0")</f>
        <v>0</v>
      </c>
      <c r="Y456" s="547">
        <f>IFERROR(Y455/H455,"0")</f>
        <v>0</v>
      </c>
      <c r="Z456" s="547">
        <f>IFERROR(IF(Z455="",0,Z455),"0")</f>
        <v>0</v>
      </c>
      <c r="AA456" s="548"/>
      <c r="AB456" s="548"/>
      <c r="AC456" s="548"/>
    </row>
    <row r="457" spans="1:68" x14ac:dyDescent="0.2">
      <c r="A457" s="558"/>
      <c r="B457" s="558"/>
      <c r="C457" s="558"/>
      <c r="D457" s="558"/>
      <c r="E457" s="558"/>
      <c r="F457" s="558"/>
      <c r="G457" s="558"/>
      <c r="H457" s="558"/>
      <c r="I457" s="558"/>
      <c r="J457" s="558"/>
      <c r="K457" s="558"/>
      <c r="L457" s="558"/>
      <c r="M457" s="558"/>
      <c r="N457" s="558"/>
      <c r="O457" s="569"/>
      <c r="P457" s="561" t="s">
        <v>75</v>
      </c>
      <c r="Q457" s="562"/>
      <c r="R457" s="562"/>
      <c r="S457" s="562"/>
      <c r="T457" s="562"/>
      <c r="U457" s="562"/>
      <c r="V457" s="563"/>
      <c r="W457" s="37" t="s">
        <v>69</v>
      </c>
      <c r="X457" s="547">
        <f>IFERROR(SUM(X455:X455),"0")</f>
        <v>0</v>
      </c>
      <c r="Y457" s="547">
        <f>IFERROR(SUM(Y455:Y455),"0")</f>
        <v>0</v>
      </c>
      <c r="Z457" s="37"/>
      <c r="AA457" s="548"/>
      <c r="AB457" s="548"/>
      <c r="AC457" s="548"/>
    </row>
    <row r="458" spans="1:68" ht="27.75" customHeight="1" x14ac:dyDescent="0.2">
      <c r="A458" s="597" t="s">
        <v>712</v>
      </c>
      <c r="B458" s="598"/>
      <c r="C458" s="598"/>
      <c r="D458" s="598"/>
      <c r="E458" s="598"/>
      <c r="F458" s="598"/>
      <c r="G458" s="598"/>
      <c r="H458" s="598"/>
      <c r="I458" s="598"/>
      <c r="J458" s="598"/>
      <c r="K458" s="598"/>
      <c r="L458" s="598"/>
      <c r="M458" s="598"/>
      <c r="N458" s="598"/>
      <c r="O458" s="598"/>
      <c r="P458" s="598"/>
      <c r="Q458" s="598"/>
      <c r="R458" s="598"/>
      <c r="S458" s="598"/>
      <c r="T458" s="598"/>
      <c r="U458" s="598"/>
      <c r="V458" s="598"/>
      <c r="W458" s="598"/>
      <c r="X458" s="598"/>
      <c r="Y458" s="598"/>
      <c r="Z458" s="598"/>
      <c r="AA458" s="48"/>
      <c r="AB458" s="48"/>
      <c r="AC458" s="48"/>
    </row>
    <row r="459" spans="1:68" ht="16.5" customHeight="1" x14ac:dyDescent="0.25">
      <c r="A459" s="591" t="s">
        <v>712</v>
      </c>
      <c r="B459" s="558"/>
      <c r="C459" s="558"/>
      <c r="D459" s="558"/>
      <c r="E459" s="558"/>
      <c r="F459" s="558"/>
      <c r="G459" s="558"/>
      <c r="H459" s="558"/>
      <c r="I459" s="558"/>
      <c r="J459" s="558"/>
      <c r="K459" s="558"/>
      <c r="L459" s="558"/>
      <c r="M459" s="558"/>
      <c r="N459" s="558"/>
      <c r="O459" s="558"/>
      <c r="P459" s="558"/>
      <c r="Q459" s="558"/>
      <c r="R459" s="558"/>
      <c r="S459" s="558"/>
      <c r="T459" s="558"/>
      <c r="U459" s="558"/>
      <c r="V459" s="558"/>
      <c r="W459" s="558"/>
      <c r="X459" s="558"/>
      <c r="Y459" s="558"/>
      <c r="Z459" s="558"/>
      <c r="AA459" s="540"/>
      <c r="AB459" s="540"/>
      <c r="AC459" s="540"/>
    </row>
    <row r="460" spans="1:68" ht="14.25" customHeight="1" x14ac:dyDescent="0.25">
      <c r="A460" s="557" t="s">
        <v>102</v>
      </c>
      <c r="B460" s="558"/>
      <c r="C460" s="558"/>
      <c r="D460" s="558"/>
      <c r="E460" s="558"/>
      <c r="F460" s="558"/>
      <c r="G460" s="558"/>
      <c r="H460" s="558"/>
      <c r="I460" s="558"/>
      <c r="J460" s="558"/>
      <c r="K460" s="558"/>
      <c r="L460" s="558"/>
      <c r="M460" s="558"/>
      <c r="N460" s="558"/>
      <c r="O460" s="558"/>
      <c r="P460" s="558"/>
      <c r="Q460" s="558"/>
      <c r="R460" s="558"/>
      <c r="S460" s="558"/>
      <c r="T460" s="558"/>
      <c r="U460" s="558"/>
      <c r="V460" s="558"/>
      <c r="W460" s="558"/>
      <c r="X460" s="558"/>
      <c r="Y460" s="558"/>
      <c r="Z460" s="558"/>
      <c r="AA460" s="541"/>
      <c r="AB460" s="541"/>
      <c r="AC460" s="541"/>
    </row>
    <row r="461" spans="1:68" ht="27" customHeight="1" x14ac:dyDescent="0.25">
      <c r="A461" s="54" t="s">
        <v>713</v>
      </c>
      <c r="B461" s="54" t="s">
        <v>714</v>
      </c>
      <c r="C461" s="31">
        <v>4301011763</v>
      </c>
      <c r="D461" s="549">
        <v>4640242181011</v>
      </c>
      <c r="E461" s="550"/>
      <c r="F461" s="544">
        <v>1.35</v>
      </c>
      <c r="G461" s="32">
        <v>8</v>
      </c>
      <c r="H461" s="544">
        <v>10.8</v>
      </c>
      <c r="I461" s="544">
        <v>11.21</v>
      </c>
      <c r="J461" s="32">
        <v>64</v>
      </c>
      <c r="K461" s="32" t="s">
        <v>105</v>
      </c>
      <c r="L461" s="32"/>
      <c r="M461" s="33" t="s">
        <v>80</v>
      </c>
      <c r="N461" s="33"/>
      <c r="O461" s="32">
        <v>55</v>
      </c>
      <c r="P461" s="78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715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716</v>
      </c>
      <c r="B462" s="54" t="s">
        <v>717</v>
      </c>
      <c r="C462" s="31">
        <v>4301011585</v>
      </c>
      <c r="D462" s="549">
        <v>4640242180441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105</v>
      </c>
      <c r="L462" s="32"/>
      <c r="M462" s="33" t="s">
        <v>107</v>
      </c>
      <c r="N462" s="33"/>
      <c r="O462" s="32">
        <v>50</v>
      </c>
      <c r="P462" s="79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718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719</v>
      </c>
      <c r="B463" s="54" t="s">
        <v>720</v>
      </c>
      <c r="C463" s="31">
        <v>4301011584</v>
      </c>
      <c r="D463" s="549">
        <v>4640242180564</v>
      </c>
      <c r="E463" s="550"/>
      <c r="F463" s="544">
        <v>1.5</v>
      </c>
      <c r="G463" s="32">
        <v>8</v>
      </c>
      <c r="H463" s="544">
        <v>12</v>
      </c>
      <c r="I463" s="544">
        <v>12.41</v>
      </c>
      <c r="J463" s="32">
        <v>64</v>
      </c>
      <c r="K463" s="32" t="s">
        <v>105</v>
      </c>
      <c r="L463" s="32"/>
      <c r="M463" s="33" t="s">
        <v>107</v>
      </c>
      <c r="N463" s="33"/>
      <c r="O463" s="32">
        <v>50</v>
      </c>
      <c r="P463" s="81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721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722</v>
      </c>
      <c r="B464" s="54" t="s">
        <v>723</v>
      </c>
      <c r="C464" s="31">
        <v>4301011764</v>
      </c>
      <c r="D464" s="549">
        <v>4640242181189</v>
      </c>
      <c r="E464" s="550"/>
      <c r="F464" s="544">
        <v>0.4</v>
      </c>
      <c r="G464" s="32">
        <v>10</v>
      </c>
      <c r="H464" s="544">
        <v>4</v>
      </c>
      <c r="I464" s="544">
        <v>4.1900000000000004</v>
      </c>
      <c r="J464" s="32">
        <v>132</v>
      </c>
      <c r="K464" s="32" t="s">
        <v>112</v>
      </c>
      <c r="L464" s="32"/>
      <c r="M464" s="33" t="s">
        <v>80</v>
      </c>
      <c r="N464" s="33"/>
      <c r="O464" s="32">
        <v>55</v>
      </c>
      <c r="P464" s="63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5">
        <v>0</v>
      </c>
      <c r="Y464" s="546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19" t="s">
        <v>715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568"/>
      <c r="B465" s="558"/>
      <c r="C465" s="558"/>
      <c r="D465" s="558"/>
      <c r="E465" s="558"/>
      <c r="F465" s="558"/>
      <c r="G465" s="558"/>
      <c r="H465" s="558"/>
      <c r="I465" s="558"/>
      <c r="J465" s="558"/>
      <c r="K465" s="558"/>
      <c r="L465" s="558"/>
      <c r="M465" s="558"/>
      <c r="N465" s="558"/>
      <c r="O465" s="569"/>
      <c r="P465" s="561" t="s">
        <v>75</v>
      </c>
      <c r="Q465" s="562"/>
      <c r="R465" s="562"/>
      <c r="S465" s="562"/>
      <c r="T465" s="562"/>
      <c r="U465" s="562"/>
      <c r="V465" s="563"/>
      <c r="W465" s="37" t="s">
        <v>76</v>
      </c>
      <c r="X465" s="547">
        <f>IFERROR(X461/H461,"0")+IFERROR(X462/H462,"0")+IFERROR(X463/H463,"0")+IFERROR(X464/H464,"0")</f>
        <v>0</v>
      </c>
      <c r="Y465" s="547">
        <f>IFERROR(Y461/H461,"0")+IFERROR(Y462/H462,"0")+IFERROR(Y463/H463,"0")+IFERROR(Y464/H464,"0")</f>
        <v>0</v>
      </c>
      <c r="Z465" s="547">
        <f>IFERROR(IF(Z461="",0,Z461),"0")+IFERROR(IF(Z462="",0,Z462),"0")+IFERROR(IF(Z463="",0,Z463),"0")+IFERROR(IF(Z464="",0,Z464),"0")</f>
        <v>0</v>
      </c>
      <c r="AA465" s="548"/>
      <c r="AB465" s="548"/>
      <c r="AC465" s="548"/>
    </row>
    <row r="466" spans="1:68" x14ac:dyDescent="0.2">
      <c r="A466" s="558"/>
      <c r="B466" s="558"/>
      <c r="C466" s="558"/>
      <c r="D466" s="558"/>
      <c r="E466" s="558"/>
      <c r="F466" s="558"/>
      <c r="G466" s="558"/>
      <c r="H466" s="558"/>
      <c r="I466" s="558"/>
      <c r="J466" s="558"/>
      <c r="K466" s="558"/>
      <c r="L466" s="558"/>
      <c r="M466" s="558"/>
      <c r="N466" s="558"/>
      <c r="O466" s="569"/>
      <c r="P466" s="561" t="s">
        <v>75</v>
      </c>
      <c r="Q466" s="562"/>
      <c r="R466" s="562"/>
      <c r="S466" s="562"/>
      <c r="T466" s="562"/>
      <c r="U466" s="562"/>
      <c r="V466" s="563"/>
      <c r="W466" s="37" t="s">
        <v>69</v>
      </c>
      <c r="X466" s="547">
        <f>IFERROR(SUM(X461:X464),"0")</f>
        <v>0</v>
      </c>
      <c r="Y466" s="547">
        <f>IFERROR(SUM(Y461:Y464),"0")</f>
        <v>0</v>
      </c>
      <c r="Z466" s="37"/>
      <c r="AA466" s="548"/>
      <c r="AB466" s="548"/>
      <c r="AC466" s="548"/>
    </row>
    <row r="467" spans="1:68" ht="14.25" customHeight="1" x14ac:dyDescent="0.25">
      <c r="A467" s="557" t="s">
        <v>138</v>
      </c>
      <c r="B467" s="558"/>
      <c r="C467" s="558"/>
      <c r="D467" s="558"/>
      <c r="E467" s="558"/>
      <c r="F467" s="558"/>
      <c r="G467" s="558"/>
      <c r="H467" s="558"/>
      <c r="I467" s="558"/>
      <c r="J467" s="558"/>
      <c r="K467" s="558"/>
      <c r="L467" s="558"/>
      <c r="M467" s="558"/>
      <c r="N467" s="558"/>
      <c r="O467" s="558"/>
      <c r="P467" s="558"/>
      <c r="Q467" s="558"/>
      <c r="R467" s="558"/>
      <c r="S467" s="558"/>
      <c r="T467" s="558"/>
      <c r="U467" s="558"/>
      <c r="V467" s="558"/>
      <c r="W467" s="558"/>
      <c r="X467" s="558"/>
      <c r="Y467" s="558"/>
      <c r="Z467" s="558"/>
      <c r="AA467" s="541"/>
      <c r="AB467" s="541"/>
      <c r="AC467" s="541"/>
    </row>
    <row r="468" spans="1:68" ht="27" customHeight="1" x14ac:dyDescent="0.25">
      <c r="A468" s="54" t="s">
        <v>724</v>
      </c>
      <c r="B468" s="54" t="s">
        <v>725</v>
      </c>
      <c r="C468" s="31">
        <v>4301020400</v>
      </c>
      <c r="D468" s="549">
        <v>4640242180519</v>
      </c>
      <c r="E468" s="550"/>
      <c r="F468" s="544">
        <v>1.5</v>
      </c>
      <c r="G468" s="32">
        <v>8</v>
      </c>
      <c r="H468" s="544">
        <v>12</v>
      </c>
      <c r="I468" s="544">
        <v>12.41</v>
      </c>
      <c r="J468" s="32">
        <v>64</v>
      </c>
      <c r="K468" s="32" t="s">
        <v>105</v>
      </c>
      <c r="L468" s="32"/>
      <c r="M468" s="33" t="s">
        <v>107</v>
      </c>
      <c r="N468" s="33"/>
      <c r="O468" s="32">
        <v>50</v>
      </c>
      <c r="P468" s="60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8" s="552"/>
      <c r="R468" s="552"/>
      <c r="S468" s="552"/>
      <c r="T468" s="553"/>
      <c r="U468" s="34"/>
      <c r="V468" s="34"/>
      <c r="W468" s="35" t="s">
        <v>69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726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727</v>
      </c>
      <c r="B469" s="54" t="s">
        <v>728</v>
      </c>
      <c r="C469" s="31">
        <v>4301020260</v>
      </c>
      <c r="D469" s="549">
        <v>4640242180526</v>
      </c>
      <c r="E469" s="550"/>
      <c r="F469" s="544">
        <v>1.8</v>
      </c>
      <c r="G469" s="32">
        <v>6</v>
      </c>
      <c r="H469" s="544">
        <v>10.8</v>
      </c>
      <c r="I469" s="544">
        <v>11.21</v>
      </c>
      <c r="J469" s="32">
        <v>64</v>
      </c>
      <c r="K469" s="32" t="s">
        <v>105</v>
      </c>
      <c r="L469" s="32"/>
      <c r="M469" s="33" t="s">
        <v>107</v>
      </c>
      <c r="N469" s="33"/>
      <c r="O469" s="32">
        <v>50</v>
      </c>
      <c r="P469" s="6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9" s="552"/>
      <c r="R469" s="552"/>
      <c r="S469" s="552"/>
      <c r="T469" s="553"/>
      <c r="U469" s="34"/>
      <c r="V469" s="34"/>
      <c r="W469" s="35" t="s">
        <v>69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IFERROR(IF(Y469=0,"",ROUNDUP(Y469/H469,0)*0.01898),"")</f>
        <v/>
      </c>
      <c r="AA469" s="56"/>
      <c r="AB469" s="57"/>
      <c r="AC469" s="523" t="s">
        <v>729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568"/>
      <c r="B470" s="558"/>
      <c r="C470" s="558"/>
      <c r="D470" s="558"/>
      <c r="E470" s="558"/>
      <c r="F470" s="558"/>
      <c r="G470" s="558"/>
      <c r="H470" s="558"/>
      <c r="I470" s="558"/>
      <c r="J470" s="558"/>
      <c r="K470" s="558"/>
      <c r="L470" s="558"/>
      <c r="M470" s="558"/>
      <c r="N470" s="558"/>
      <c r="O470" s="569"/>
      <c r="P470" s="561" t="s">
        <v>75</v>
      </c>
      <c r="Q470" s="562"/>
      <c r="R470" s="562"/>
      <c r="S470" s="562"/>
      <c r="T470" s="562"/>
      <c r="U470" s="562"/>
      <c r="V470" s="563"/>
      <c r="W470" s="37" t="s">
        <v>76</v>
      </c>
      <c r="X470" s="547">
        <f>IFERROR(X468/H468,"0")+IFERROR(X469/H469,"0")</f>
        <v>0</v>
      </c>
      <c r="Y470" s="547">
        <f>IFERROR(Y468/H468,"0")+IFERROR(Y469/H469,"0")</f>
        <v>0</v>
      </c>
      <c r="Z470" s="547">
        <f>IFERROR(IF(Z468="",0,Z468),"0")+IFERROR(IF(Z469="",0,Z469),"0")</f>
        <v>0</v>
      </c>
      <c r="AA470" s="548"/>
      <c r="AB470" s="548"/>
      <c r="AC470" s="548"/>
    </row>
    <row r="471" spans="1:68" x14ac:dyDescent="0.2">
      <c r="A471" s="558"/>
      <c r="B471" s="558"/>
      <c r="C471" s="558"/>
      <c r="D471" s="558"/>
      <c r="E471" s="558"/>
      <c r="F471" s="558"/>
      <c r="G471" s="558"/>
      <c r="H471" s="558"/>
      <c r="I471" s="558"/>
      <c r="J471" s="558"/>
      <c r="K471" s="558"/>
      <c r="L471" s="558"/>
      <c r="M471" s="558"/>
      <c r="N471" s="558"/>
      <c r="O471" s="569"/>
      <c r="P471" s="561" t="s">
        <v>75</v>
      </c>
      <c r="Q471" s="562"/>
      <c r="R471" s="562"/>
      <c r="S471" s="562"/>
      <c r="T471" s="562"/>
      <c r="U471" s="562"/>
      <c r="V471" s="563"/>
      <c r="W471" s="37" t="s">
        <v>69</v>
      </c>
      <c r="X471" s="547">
        <f>IFERROR(SUM(X468:X469),"0")</f>
        <v>0</v>
      </c>
      <c r="Y471" s="547">
        <f>IFERROR(SUM(Y468:Y469),"0")</f>
        <v>0</v>
      </c>
      <c r="Z471" s="37"/>
      <c r="AA471" s="548"/>
      <c r="AB471" s="548"/>
      <c r="AC471" s="548"/>
    </row>
    <row r="472" spans="1:68" ht="14.25" customHeight="1" x14ac:dyDescent="0.25">
      <c r="A472" s="557" t="s">
        <v>64</v>
      </c>
      <c r="B472" s="558"/>
      <c r="C472" s="558"/>
      <c r="D472" s="558"/>
      <c r="E472" s="558"/>
      <c r="F472" s="558"/>
      <c r="G472" s="558"/>
      <c r="H472" s="558"/>
      <c r="I472" s="558"/>
      <c r="J472" s="558"/>
      <c r="K472" s="558"/>
      <c r="L472" s="558"/>
      <c r="M472" s="558"/>
      <c r="N472" s="558"/>
      <c r="O472" s="558"/>
      <c r="P472" s="558"/>
      <c r="Q472" s="558"/>
      <c r="R472" s="558"/>
      <c r="S472" s="558"/>
      <c r="T472" s="558"/>
      <c r="U472" s="558"/>
      <c r="V472" s="558"/>
      <c r="W472" s="558"/>
      <c r="X472" s="558"/>
      <c r="Y472" s="558"/>
      <c r="Z472" s="558"/>
      <c r="AA472" s="541"/>
      <c r="AB472" s="541"/>
      <c r="AC472" s="541"/>
    </row>
    <row r="473" spans="1:68" ht="27" customHeight="1" x14ac:dyDescent="0.25">
      <c r="A473" s="54" t="s">
        <v>730</v>
      </c>
      <c r="B473" s="54" t="s">
        <v>731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112</v>
      </c>
      <c r="L473" s="32" t="s">
        <v>115</v>
      </c>
      <c r="M473" s="33" t="s">
        <v>68</v>
      </c>
      <c r="N473" s="33"/>
      <c r="O473" s="32">
        <v>40</v>
      </c>
      <c r="P473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69</v>
      </c>
      <c r="X473" s="545">
        <v>0</v>
      </c>
      <c r="Y473" s="54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25" t="s">
        <v>732</v>
      </c>
      <c r="AG473" s="64"/>
      <c r="AJ473" s="68" t="s">
        <v>109</v>
      </c>
      <c r="AK473" s="68">
        <v>50.4</v>
      </c>
      <c r="BB473" s="526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customHeight="1" x14ac:dyDescent="0.25">
      <c r="A474" s="54" t="s">
        <v>733</v>
      </c>
      <c r="B474" s="54" t="s">
        <v>734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112</v>
      </c>
      <c r="L474" s="32" t="s">
        <v>115</v>
      </c>
      <c r="M474" s="33" t="s">
        <v>68</v>
      </c>
      <c r="N474" s="33"/>
      <c r="O474" s="32">
        <v>40</v>
      </c>
      <c r="P474" s="637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69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735</v>
      </c>
      <c r="AG474" s="64"/>
      <c r="AJ474" s="68" t="s">
        <v>109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68"/>
      <c r="B475" s="558"/>
      <c r="C475" s="558"/>
      <c r="D475" s="558"/>
      <c r="E475" s="558"/>
      <c r="F475" s="558"/>
      <c r="G475" s="558"/>
      <c r="H475" s="558"/>
      <c r="I475" s="558"/>
      <c r="J475" s="558"/>
      <c r="K475" s="558"/>
      <c r="L475" s="558"/>
      <c r="M475" s="558"/>
      <c r="N475" s="558"/>
      <c r="O475" s="569"/>
      <c r="P475" s="561" t="s">
        <v>75</v>
      </c>
      <c r="Q475" s="562"/>
      <c r="R475" s="562"/>
      <c r="S475" s="562"/>
      <c r="T475" s="562"/>
      <c r="U475" s="562"/>
      <c r="V475" s="563"/>
      <c r="W475" s="37" t="s">
        <v>76</v>
      </c>
      <c r="X475" s="547">
        <f>IFERROR(X473/H473,"0")+IFERROR(X474/H474,"0")</f>
        <v>0</v>
      </c>
      <c r="Y475" s="547">
        <f>IFERROR(Y473/H473,"0")+IFERROR(Y474/H474,"0")</f>
        <v>0</v>
      </c>
      <c r="Z475" s="547">
        <f>IFERROR(IF(Z473="",0,Z473),"0")+IFERROR(IF(Z474="",0,Z474),"0")</f>
        <v>0</v>
      </c>
      <c r="AA475" s="548"/>
      <c r="AB475" s="548"/>
      <c r="AC475" s="548"/>
    </row>
    <row r="476" spans="1:68" x14ac:dyDescent="0.2">
      <c r="A476" s="558"/>
      <c r="B476" s="558"/>
      <c r="C476" s="558"/>
      <c r="D476" s="558"/>
      <c r="E476" s="558"/>
      <c r="F476" s="558"/>
      <c r="G476" s="558"/>
      <c r="H476" s="558"/>
      <c r="I476" s="558"/>
      <c r="J476" s="558"/>
      <c r="K476" s="558"/>
      <c r="L476" s="558"/>
      <c r="M476" s="558"/>
      <c r="N476" s="558"/>
      <c r="O476" s="569"/>
      <c r="P476" s="561" t="s">
        <v>75</v>
      </c>
      <c r="Q476" s="562"/>
      <c r="R476" s="562"/>
      <c r="S476" s="562"/>
      <c r="T476" s="562"/>
      <c r="U476" s="562"/>
      <c r="V476" s="563"/>
      <c r="W476" s="37" t="s">
        <v>69</v>
      </c>
      <c r="X476" s="547">
        <f>IFERROR(SUM(X473:X474),"0")</f>
        <v>0</v>
      </c>
      <c r="Y476" s="547">
        <f>IFERROR(SUM(Y473:Y474),"0")</f>
        <v>0</v>
      </c>
      <c r="Z476" s="37"/>
      <c r="AA476" s="548"/>
      <c r="AB476" s="548"/>
      <c r="AC476" s="548"/>
    </row>
    <row r="477" spans="1:68" ht="14.25" customHeight="1" x14ac:dyDescent="0.25">
      <c r="A477" s="557" t="s">
        <v>77</v>
      </c>
      <c r="B477" s="558"/>
      <c r="C477" s="558"/>
      <c r="D477" s="558"/>
      <c r="E477" s="558"/>
      <c r="F477" s="558"/>
      <c r="G477" s="558"/>
      <c r="H477" s="558"/>
      <c r="I477" s="558"/>
      <c r="J477" s="558"/>
      <c r="K477" s="558"/>
      <c r="L477" s="558"/>
      <c r="M477" s="558"/>
      <c r="N477" s="558"/>
      <c r="O477" s="558"/>
      <c r="P477" s="558"/>
      <c r="Q477" s="558"/>
      <c r="R477" s="558"/>
      <c r="S477" s="558"/>
      <c r="T477" s="558"/>
      <c r="U477" s="558"/>
      <c r="V477" s="558"/>
      <c r="W477" s="558"/>
      <c r="X477" s="558"/>
      <c r="Y477" s="558"/>
      <c r="Z477" s="558"/>
      <c r="AA477" s="541"/>
      <c r="AB477" s="541"/>
      <c r="AC477" s="541"/>
    </row>
    <row r="478" spans="1:68" ht="27" customHeight="1" x14ac:dyDescent="0.25">
      <c r="A478" s="54" t="s">
        <v>736</v>
      </c>
      <c r="B478" s="54" t="s">
        <v>737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105</v>
      </c>
      <c r="L478" s="32"/>
      <c r="M478" s="33" t="s">
        <v>87</v>
      </c>
      <c r="N478" s="33"/>
      <c r="O478" s="32">
        <v>45</v>
      </c>
      <c r="P478" s="81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69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738</v>
      </c>
      <c r="AG478" s="64"/>
      <c r="AJ478" s="68"/>
      <c r="AK478" s="68">
        <v>0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68"/>
      <c r="B479" s="558"/>
      <c r="C479" s="558"/>
      <c r="D479" s="558"/>
      <c r="E479" s="558"/>
      <c r="F479" s="558"/>
      <c r="G479" s="558"/>
      <c r="H479" s="558"/>
      <c r="I479" s="558"/>
      <c r="J479" s="558"/>
      <c r="K479" s="558"/>
      <c r="L479" s="558"/>
      <c r="M479" s="558"/>
      <c r="N479" s="558"/>
      <c r="O479" s="569"/>
      <c r="P479" s="561" t="s">
        <v>75</v>
      </c>
      <c r="Q479" s="562"/>
      <c r="R479" s="562"/>
      <c r="S479" s="562"/>
      <c r="T479" s="562"/>
      <c r="U479" s="562"/>
      <c r="V479" s="563"/>
      <c r="W479" s="37" t="s">
        <v>76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x14ac:dyDescent="0.2">
      <c r="A480" s="558"/>
      <c r="B480" s="558"/>
      <c r="C480" s="558"/>
      <c r="D480" s="558"/>
      <c r="E480" s="558"/>
      <c r="F480" s="558"/>
      <c r="G480" s="558"/>
      <c r="H480" s="558"/>
      <c r="I480" s="558"/>
      <c r="J480" s="558"/>
      <c r="K480" s="558"/>
      <c r="L480" s="558"/>
      <c r="M480" s="558"/>
      <c r="N480" s="558"/>
      <c r="O480" s="569"/>
      <c r="P480" s="561" t="s">
        <v>75</v>
      </c>
      <c r="Q480" s="562"/>
      <c r="R480" s="562"/>
      <c r="S480" s="562"/>
      <c r="T480" s="562"/>
      <c r="U480" s="562"/>
      <c r="V480" s="563"/>
      <c r="W480" s="37" t="s">
        <v>69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customHeight="1" x14ac:dyDescent="0.25">
      <c r="A481" s="557" t="s">
        <v>166</v>
      </c>
      <c r="B481" s="558"/>
      <c r="C481" s="558"/>
      <c r="D481" s="558"/>
      <c r="E481" s="558"/>
      <c r="F481" s="558"/>
      <c r="G481" s="558"/>
      <c r="H481" s="558"/>
      <c r="I481" s="558"/>
      <c r="J481" s="558"/>
      <c r="K481" s="558"/>
      <c r="L481" s="558"/>
      <c r="M481" s="558"/>
      <c r="N481" s="558"/>
      <c r="O481" s="558"/>
      <c r="P481" s="558"/>
      <c r="Q481" s="558"/>
      <c r="R481" s="558"/>
      <c r="S481" s="558"/>
      <c r="T481" s="558"/>
      <c r="U481" s="558"/>
      <c r="V481" s="558"/>
      <c r="W481" s="558"/>
      <c r="X481" s="558"/>
      <c r="Y481" s="558"/>
      <c r="Z481" s="558"/>
      <c r="AA481" s="541"/>
      <c r="AB481" s="541"/>
      <c r="AC481" s="541"/>
    </row>
    <row r="482" spans="1:68" ht="27" customHeight="1" x14ac:dyDescent="0.25">
      <c r="A482" s="54" t="s">
        <v>739</v>
      </c>
      <c r="B482" s="54" t="s">
        <v>740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105</v>
      </c>
      <c r="L482" s="32"/>
      <c r="M482" s="33" t="s">
        <v>80</v>
      </c>
      <c r="N482" s="33"/>
      <c r="O482" s="32">
        <v>40</v>
      </c>
      <c r="P482" s="63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69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741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customHeight="1" x14ac:dyDescent="0.25">
      <c r="A483" s="54" t="s">
        <v>742</v>
      </c>
      <c r="B483" s="54" t="s">
        <v>743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105</v>
      </c>
      <c r="L483" s="32"/>
      <c r="M483" s="33" t="s">
        <v>80</v>
      </c>
      <c r="N483" s="33"/>
      <c r="O483" s="32">
        <v>40</v>
      </c>
      <c r="P483" s="80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744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568"/>
      <c r="B484" s="558"/>
      <c r="C484" s="558"/>
      <c r="D484" s="558"/>
      <c r="E484" s="558"/>
      <c r="F484" s="558"/>
      <c r="G484" s="558"/>
      <c r="H484" s="558"/>
      <c r="I484" s="558"/>
      <c r="J484" s="558"/>
      <c r="K484" s="558"/>
      <c r="L484" s="558"/>
      <c r="M484" s="558"/>
      <c r="N484" s="558"/>
      <c r="O484" s="569"/>
      <c r="P484" s="561" t="s">
        <v>75</v>
      </c>
      <c r="Q484" s="562"/>
      <c r="R484" s="562"/>
      <c r="S484" s="562"/>
      <c r="T484" s="562"/>
      <c r="U484" s="562"/>
      <c r="V484" s="563"/>
      <c r="W484" s="37" t="s">
        <v>76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x14ac:dyDescent="0.2">
      <c r="A485" s="558"/>
      <c r="B485" s="558"/>
      <c r="C485" s="558"/>
      <c r="D485" s="558"/>
      <c r="E485" s="558"/>
      <c r="F485" s="558"/>
      <c r="G485" s="558"/>
      <c r="H485" s="558"/>
      <c r="I485" s="558"/>
      <c r="J485" s="558"/>
      <c r="K485" s="558"/>
      <c r="L485" s="558"/>
      <c r="M485" s="558"/>
      <c r="N485" s="558"/>
      <c r="O485" s="569"/>
      <c r="P485" s="561" t="s">
        <v>75</v>
      </c>
      <c r="Q485" s="562"/>
      <c r="R485" s="562"/>
      <c r="S485" s="562"/>
      <c r="T485" s="562"/>
      <c r="U485" s="562"/>
      <c r="V485" s="563"/>
      <c r="W485" s="37" t="s">
        <v>69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customHeight="1" x14ac:dyDescent="0.25">
      <c r="A486" s="591" t="s">
        <v>745</v>
      </c>
      <c r="B486" s="558"/>
      <c r="C486" s="558"/>
      <c r="D486" s="558"/>
      <c r="E486" s="558"/>
      <c r="F486" s="558"/>
      <c r="G486" s="558"/>
      <c r="H486" s="558"/>
      <c r="I486" s="558"/>
      <c r="J486" s="558"/>
      <c r="K486" s="558"/>
      <c r="L486" s="558"/>
      <c r="M486" s="558"/>
      <c r="N486" s="558"/>
      <c r="O486" s="558"/>
      <c r="P486" s="558"/>
      <c r="Q486" s="558"/>
      <c r="R486" s="558"/>
      <c r="S486" s="558"/>
      <c r="T486" s="558"/>
      <c r="U486" s="558"/>
      <c r="V486" s="558"/>
      <c r="W486" s="558"/>
      <c r="X486" s="558"/>
      <c r="Y486" s="558"/>
      <c r="Z486" s="558"/>
      <c r="AA486" s="540"/>
      <c r="AB486" s="540"/>
      <c r="AC486" s="540"/>
    </row>
    <row r="487" spans="1:68" ht="14.25" customHeight="1" x14ac:dyDescent="0.25">
      <c r="A487" s="557" t="s">
        <v>138</v>
      </c>
      <c r="B487" s="558"/>
      <c r="C487" s="558"/>
      <c r="D487" s="558"/>
      <c r="E487" s="558"/>
      <c r="F487" s="558"/>
      <c r="G487" s="558"/>
      <c r="H487" s="558"/>
      <c r="I487" s="558"/>
      <c r="J487" s="558"/>
      <c r="K487" s="558"/>
      <c r="L487" s="558"/>
      <c r="M487" s="558"/>
      <c r="N487" s="558"/>
      <c r="O487" s="558"/>
      <c r="P487" s="558"/>
      <c r="Q487" s="558"/>
      <c r="R487" s="558"/>
      <c r="S487" s="558"/>
      <c r="T487" s="558"/>
      <c r="U487" s="558"/>
      <c r="V487" s="558"/>
      <c r="W487" s="558"/>
      <c r="X487" s="558"/>
      <c r="Y487" s="558"/>
      <c r="Z487" s="558"/>
      <c r="AA487" s="541"/>
      <c r="AB487" s="541"/>
      <c r="AC487" s="541"/>
    </row>
    <row r="488" spans="1:68" ht="27" customHeight="1" x14ac:dyDescent="0.25">
      <c r="A488" s="54" t="s">
        <v>746</v>
      </c>
      <c r="B488" s="54" t="s">
        <v>747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105</v>
      </c>
      <c r="L488" s="32"/>
      <c r="M488" s="33" t="s">
        <v>107</v>
      </c>
      <c r="N488" s="33"/>
      <c r="O488" s="32">
        <v>50</v>
      </c>
      <c r="P488" s="79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69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748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x14ac:dyDescent="0.2">
      <c r="A489" s="568"/>
      <c r="B489" s="558"/>
      <c r="C489" s="558"/>
      <c r="D489" s="558"/>
      <c r="E489" s="558"/>
      <c r="F489" s="558"/>
      <c r="G489" s="558"/>
      <c r="H489" s="558"/>
      <c r="I489" s="558"/>
      <c r="J489" s="558"/>
      <c r="K489" s="558"/>
      <c r="L489" s="558"/>
      <c r="M489" s="558"/>
      <c r="N489" s="558"/>
      <c r="O489" s="569"/>
      <c r="P489" s="561" t="s">
        <v>75</v>
      </c>
      <c r="Q489" s="562"/>
      <c r="R489" s="562"/>
      <c r="S489" s="562"/>
      <c r="T489" s="562"/>
      <c r="U489" s="562"/>
      <c r="V489" s="563"/>
      <c r="W489" s="37" t="s">
        <v>76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x14ac:dyDescent="0.2">
      <c r="A490" s="558"/>
      <c r="B490" s="558"/>
      <c r="C490" s="558"/>
      <c r="D490" s="558"/>
      <c r="E490" s="558"/>
      <c r="F490" s="558"/>
      <c r="G490" s="558"/>
      <c r="H490" s="558"/>
      <c r="I490" s="558"/>
      <c r="J490" s="558"/>
      <c r="K490" s="558"/>
      <c r="L490" s="558"/>
      <c r="M490" s="558"/>
      <c r="N490" s="558"/>
      <c r="O490" s="569"/>
      <c r="P490" s="561" t="s">
        <v>75</v>
      </c>
      <c r="Q490" s="562"/>
      <c r="R490" s="562"/>
      <c r="S490" s="562"/>
      <c r="T490" s="562"/>
      <c r="U490" s="562"/>
      <c r="V490" s="563"/>
      <c r="W490" s="37" t="s">
        <v>69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48"/>
      <c r="B491" s="558"/>
      <c r="C491" s="558"/>
      <c r="D491" s="558"/>
      <c r="E491" s="558"/>
      <c r="F491" s="558"/>
      <c r="G491" s="558"/>
      <c r="H491" s="558"/>
      <c r="I491" s="558"/>
      <c r="J491" s="558"/>
      <c r="K491" s="558"/>
      <c r="L491" s="558"/>
      <c r="M491" s="558"/>
      <c r="N491" s="558"/>
      <c r="O491" s="716"/>
      <c r="P491" s="685" t="s">
        <v>749</v>
      </c>
      <c r="Q491" s="670"/>
      <c r="R491" s="670"/>
      <c r="S491" s="670"/>
      <c r="T491" s="670"/>
      <c r="U491" s="670"/>
      <c r="V491" s="671"/>
      <c r="W491" s="37" t="s">
        <v>69</v>
      </c>
      <c r="X491" s="547">
        <f>IFERROR(X25+X33+X37+X45+X49+X59+X65+X71+X78+X83+X91+X98+X107+X114+X121+X125+X131+X136+X141+X147+X153+X157+X163+X178+X184+X188+X194+X199+X210+X222+X227+X240+X244+X248+X256+X265+X273+X280+X286+X291+X300+X309+X316+X322+X329+X335+X342+X354+X359+X364+X368+X374+X379+X385+X399+X404+X409+X416+X421+X438+X444+X453+X457+X466+X471+X476+X480+X485+X490,"0")</f>
        <v>6734</v>
      </c>
      <c r="Y491" s="547">
        <f>IFERROR(Y25+Y33+Y37+Y45+Y49+Y59+Y65+Y71+Y78+Y83+Y91+Y98+Y107+Y114+Y121+Y125+Y131+Y136+Y141+Y147+Y153+Y157+Y163+Y178+Y184+Y188+Y194+Y199+Y210+Y222+Y227+Y240+Y244+Y248+Y256+Y265+Y273+Y280+Y286+Y291+Y300+Y309+Y316+Y322+Y329+Y335+Y342+Y354+Y359+Y364+Y368+Y374+Y379+Y385+Y399+Y404+Y409+Y416+Y421+Y438+Y444+Y453+Y457+Y466+Y471+Y476+Y480+Y485+Y490,"0")</f>
        <v>6845.2400000000007</v>
      </c>
      <c r="Z491" s="37"/>
      <c r="AA491" s="548"/>
      <c r="AB491" s="548"/>
      <c r="AC491" s="548"/>
    </row>
    <row r="492" spans="1:68" x14ac:dyDescent="0.2">
      <c r="A492" s="558"/>
      <c r="B492" s="558"/>
      <c r="C492" s="558"/>
      <c r="D492" s="558"/>
      <c r="E492" s="558"/>
      <c r="F492" s="558"/>
      <c r="G492" s="558"/>
      <c r="H492" s="558"/>
      <c r="I492" s="558"/>
      <c r="J492" s="558"/>
      <c r="K492" s="558"/>
      <c r="L492" s="558"/>
      <c r="M492" s="558"/>
      <c r="N492" s="558"/>
      <c r="O492" s="716"/>
      <c r="P492" s="685" t="s">
        <v>750</v>
      </c>
      <c r="Q492" s="670"/>
      <c r="R492" s="670"/>
      <c r="S492" s="670"/>
      <c r="T492" s="670"/>
      <c r="U492" s="670"/>
      <c r="V492" s="671"/>
      <c r="W492" s="37" t="s">
        <v>69</v>
      </c>
      <c r="X492" s="547">
        <f>IFERROR(SUM(BM22:BM488),"0")</f>
        <v>7019.7956699500073</v>
      </c>
      <c r="Y492" s="547">
        <f>IFERROR(SUM(BN22:BN488),"0")</f>
        <v>7135.56</v>
      </c>
      <c r="Z492" s="37"/>
      <c r="AA492" s="548"/>
      <c r="AB492" s="548"/>
      <c r="AC492" s="548"/>
    </row>
    <row r="493" spans="1:68" x14ac:dyDescent="0.2">
      <c r="A493" s="558"/>
      <c r="B493" s="558"/>
      <c r="C493" s="558"/>
      <c r="D493" s="558"/>
      <c r="E493" s="558"/>
      <c r="F493" s="558"/>
      <c r="G493" s="558"/>
      <c r="H493" s="558"/>
      <c r="I493" s="558"/>
      <c r="J493" s="558"/>
      <c r="K493" s="558"/>
      <c r="L493" s="558"/>
      <c r="M493" s="558"/>
      <c r="N493" s="558"/>
      <c r="O493" s="716"/>
      <c r="P493" s="685" t="s">
        <v>751</v>
      </c>
      <c r="Q493" s="670"/>
      <c r="R493" s="670"/>
      <c r="S493" s="670"/>
      <c r="T493" s="670"/>
      <c r="U493" s="670"/>
      <c r="V493" s="671"/>
      <c r="W493" s="37" t="s">
        <v>752</v>
      </c>
      <c r="X493" s="38">
        <f>ROUNDUP(SUM(BO22:BO488),0)</f>
        <v>11</v>
      </c>
      <c r="Y493" s="38">
        <f>ROUNDUP(SUM(BP22:BP488),0)</f>
        <v>11</v>
      </c>
      <c r="Z493" s="37"/>
      <c r="AA493" s="548"/>
      <c r="AB493" s="548"/>
      <c r="AC493" s="548"/>
    </row>
    <row r="494" spans="1:68" x14ac:dyDescent="0.2">
      <c r="A494" s="558"/>
      <c r="B494" s="558"/>
      <c r="C494" s="558"/>
      <c r="D494" s="558"/>
      <c r="E494" s="558"/>
      <c r="F494" s="558"/>
      <c r="G494" s="558"/>
      <c r="H494" s="558"/>
      <c r="I494" s="558"/>
      <c r="J494" s="558"/>
      <c r="K494" s="558"/>
      <c r="L494" s="558"/>
      <c r="M494" s="558"/>
      <c r="N494" s="558"/>
      <c r="O494" s="716"/>
      <c r="P494" s="685" t="s">
        <v>753</v>
      </c>
      <c r="Q494" s="670"/>
      <c r="R494" s="670"/>
      <c r="S494" s="670"/>
      <c r="T494" s="670"/>
      <c r="U494" s="670"/>
      <c r="V494" s="671"/>
      <c r="W494" s="37" t="s">
        <v>69</v>
      </c>
      <c r="X494" s="547">
        <f>GrossWeightTotal+PalletQtyTotal*25</f>
        <v>7294.7956699500073</v>
      </c>
      <c r="Y494" s="547">
        <f>GrossWeightTotalR+PalletQtyTotalR*25</f>
        <v>7410.56</v>
      </c>
      <c r="Z494" s="37"/>
      <c r="AA494" s="548"/>
      <c r="AB494" s="548"/>
      <c r="AC494" s="548"/>
    </row>
    <row r="495" spans="1:68" x14ac:dyDescent="0.2">
      <c r="A495" s="558"/>
      <c r="B495" s="558"/>
      <c r="C495" s="558"/>
      <c r="D495" s="558"/>
      <c r="E495" s="558"/>
      <c r="F495" s="558"/>
      <c r="G495" s="558"/>
      <c r="H495" s="558"/>
      <c r="I495" s="558"/>
      <c r="J495" s="558"/>
      <c r="K495" s="558"/>
      <c r="L495" s="558"/>
      <c r="M495" s="558"/>
      <c r="N495" s="558"/>
      <c r="O495" s="716"/>
      <c r="P495" s="685" t="s">
        <v>754</v>
      </c>
      <c r="Q495" s="670"/>
      <c r="R495" s="670"/>
      <c r="S495" s="670"/>
      <c r="T495" s="670"/>
      <c r="U495" s="670"/>
      <c r="V495" s="671"/>
      <c r="W495" s="37" t="s">
        <v>752</v>
      </c>
      <c r="X495" s="547">
        <f>IFERROR(X24+X32+X36+X44+X48+X58+X64+X70+X77+X82+X90+X97+X106+X113+X120+X124+X130+X135+X140+X146+X152+X156+X162+X177+X183+X187+X193+X198+X209+X221+X226+X239+X243+X247+X255+X264+X272+X279+X285+X290+X299+X308+X315+X321+X328+X334+X341+X353+X358+X363+X367+X373+X378+X384+X398+X403+X408+X415+X420+X437+X443+X452+X456+X465+X470+X475+X479+X484+X489,"0")</f>
        <v>750.1588496527138</v>
      </c>
      <c r="Y495" s="547">
        <f>IFERROR(Y24+Y32+Y36+Y44+Y48+Y58+Y64+Y70+Y77+Y82+Y90+Y97+Y106+Y113+Y120+Y124+Y130+Y135+Y140+Y146+Y152+Y156+Y162+Y177+Y183+Y187+Y193+Y198+Y209+Y221+Y226+Y239+Y243+Y247+Y255+Y264+Y272+Y279+Y285+Y290+Y299+Y308+Y315+Y321+Y328+Y334+Y341+Y353+Y358+Y363+Y367+Y373+Y378+Y384+Y398+Y403+Y408+Y415+Y420+Y437+Y443+Y452+Y456+Y465+Y470+Y475+Y479+Y484+Y489,"0")</f>
        <v>762</v>
      </c>
      <c r="Z495" s="37"/>
      <c r="AA495" s="548"/>
      <c r="AB495" s="548"/>
      <c r="AC495" s="548"/>
    </row>
    <row r="496" spans="1:68" ht="14.25" customHeight="1" x14ac:dyDescent="0.2">
      <c r="A496" s="558"/>
      <c r="B496" s="558"/>
      <c r="C496" s="558"/>
      <c r="D496" s="558"/>
      <c r="E496" s="558"/>
      <c r="F496" s="558"/>
      <c r="G496" s="558"/>
      <c r="H496" s="558"/>
      <c r="I496" s="558"/>
      <c r="J496" s="558"/>
      <c r="K496" s="558"/>
      <c r="L496" s="558"/>
      <c r="M496" s="558"/>
      <c r="N496" s="558"/>
      <c r="O496" s="716"/>
      <c r="P496" s="685" t="s">
        <v>755</v>
      </c>
      <c r="Q496" s="670"/>
      <c r="R496" s="670"/>
      <c r="S496" s="670"/>
      <c r="T496" s="670"/>
      <c r="U496" s="670"/>
      <c r="V496" s="671"/>
      <c r="W496" s="39" t="s">
        <v>756</v>
      </c>
      <c r="X496" s="37"/>
      <c r="Y496" s="37"/>
      <c r="Z496" s="37">
        <f>IFERROR(Z24+Z32+Z36+Z44+Z48+Z58+Z64+Z70+Z77+Z82+Z90+Z97+Z106+Z113+Z120+Z124+Z130+Z135+Z140+Z146+Z152+Z156+Z162+Z177+Z183+Z187+Z193+Z198+Z209+Z221+Z226+Z239+Z243+Z247+Z255+Z264+Z272+Z279+Z285+Z290+Z299+Z308+Z315+Z321+Z328+Z334+Z341+Z353+Z358+Z363+Z367+Z373+Z378+Z384+Z398+Z403+Z408+Z415+Z420+Z437+Z443+Z452+Z456+Z465+Z470+Z475+Z479+Z484+Z489,"0")</f>
        <v>11.99433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757</v>
      </c>
      <c r="B498" s="542" t="s">
        <v>63</v>
      </c>
      <c r="C498" s="573" t="s">
        <v>100</v>
      </c>
      <c r="D498" s="574"/>
      <c r="E498" s="574"/>
      <c r="F498" s="574"/>
      <c r="G498" s="574"/>
      <c r="H498" s="575"/>
      <c r="I498" s="573" t="s">
        <v>267</v>
      </c>
      <c r="J498" s="574"/>
      <c r="K498" s="574"/>
      <c r="L498" s="574"/>
      <c r="M498" s="574"/>
      <c r="N498" s="574"/>
      <c r="O498" s="574"/>
      <c r="P498" s="574"/>
      <c r="Q498" s="574"/>
      <c r="R498" s="575"/>
      <c r="S498" s="573" t="s">
        <v>551</v>
      </c>
      <c r="T498" s="575"/>
      <c r="U498" s="573" t="s">
        <v>605</v>
      </c>
      <c r="V498" s="574"/>
      <c r="W498" s="575"/>
      <c r="X498" s="542" t="s">
        <v>656</v>
      </c>
      <c r="Y498" s="573" t="s">
        <v>712</v>
      </c>
      <c r="Z498" s="575"/>
      <c r="AB498" s="52"/>
      <c r="AC498" s="52"/>
      <c r="AF498" s="543"/>
    </row>
    <row r="499" spans="1:32" ht="14.25" customHeight="1" thickTop="1" x14ac:dyDescent="0.2">
      <c r="A499" s="849" t="s">
        <v>758</v>
      </c>
      <c r="B499" s="573" t="s">
        <v>63</v>
      </c>
      <c r="C499" s="573" t="s">
        <v>101</v>
      </c>
      <c r="D499" s="573" t="s">
        <v>119</v>
      </c>
      <c r="E499" s="573" t="s">
        <v>173</v>
      </c>
      <c r="F499" s="573" t="s">
        <v>197</v>
      </c>
      <c r="G499" s="573" t="s">
        <v>237</v>
      </c>
      <c r="H499" s="573" t="s">
        <v>100</v>
      </c>
      <c r="I499" s="573" t="s">
        <v>268</v>
      </c>
      <c r="J499" s="573" t="s">
        <v>321</v>
      </c>
      <c r="K499" s="573" t="s">
        <v>380</v>
      </c>
      <c r="L499" s="573" t="s">
        <v>420</v>
      </c>
      <c r="M499" s="573" t="s">
        <v>436</v>
      </c>
      <c r="N499" s="543"/>
      <c r="O499" s="573" t="s">
        <v>447</v>
      </c>
      <c r="P499" s="573" t="s">
        <v>456</v>
      </c>
      <c r="Q499" s="573" t="s">
        <v>469</v>
      </c>
      <c r="R499" s="573" t="s">
        <v>541</v>
      </c>
      <c r="S499" s="573" t="s">
        <v>552</v>
      </c>
      <c r="T499" s="573" t="s">
        <v>587</v>
      </c>
      <c r="U499" s="573" t="s">
        <v>606</v>
      </c>
      <c r="V499" s="573" t="s">
        <v>637</v>
      </c>
      <c r="W499" s="573" t="s">
        <v>652</v>
      </c>
      <c r="X499" s="573" t="s">
        <v>656</v>
      </c>
      <c r="Y499" s="573" t="s">
        <v>712</v>
      </c>
      <c r="Z499" s="573" t="s">
        <v>745</v>
      </c>
      <c r="AB499" s="52"/>
      <c r="AC499" s="52"/>
      <c r="AF499" s="543"/>
    </row>
    <row r="500" spans="1:32" ht="13.5" customHeight="1" thickBot="1" x14ac:dyDescent="0.25">
      <c r="A500" s="850"/>
      <c r="B500" s="588"/>
      <c r="C500" s="588"/>
      <c r="D500" s="588"/>
      <c r="E500" s="588"/>
      <c r="F500" s="588"/>
      <c r="G500" s="588"/>
      <c r="H500" s="588"/>
      <c r="I500" s="588"/>
      <c r="J500" s="588"/>
      <c r="K500" s="588"/>
      <c r="L500" s="588"/>
      <c r="M500" s="588"/>
      <c r="N500" s="543"/>
      <c r="O500" s="588"/>
      <c r="P500" s="588"/>
      <c r="Q500" s="588"/>
      <c r="R500" s="588"/>
      <c r="S500" s="588"/>
      <c r="T500" s="588"/>
      <c r="U500" s="588"/>
      <c r="V500" s="588"/>
      <c r="W500" s="588"/>
      <c r="X500" s="588"/>
      <c r="Y500" s="588"/>
      <c r="Z500" s="588"/>
      <c r="AB500" s="52"/>
      <c r="AC500" s="52"/>
      <c r="AF500" s="543"/>
    </row>
    <row r="501" spans="1:32" ht="18" customHeight="1" thickTop="1" thickBot="1" x14ac:dyDescent="0.25">
      <c r="A501" s="40" t="s">
        <v>759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442.8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526.79999999999995</v>
      </c>
      <c r="E501" s="46">
        <f>IFERROR(Y86*1,"0")+IFERROR(Y87*1,"0")+IFERROR(Y88*1,"0")+IFERROR(Y89*1,"0")+IFERROR(Y93*1,"0")+IFERROR(Y94*1,"0")+IFERROR(Y95*1,"0")+IFERROR(Y96*1,"0")</f>
        <v>313.20000000000005</v>
      </c>
      <c r="F501" s="46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518.40000000000009</v>
      </c>
      <c r="G501" s="46">
        <f>IFERROR(Y128*1,"0")+IFERROR(Y129*1,"0")+IFERROR(Y133*1,"0")+IFERROR(Y134*1,"0")+IFERROR(Y138*1,"0")+IFERROR(Y139*1,"0")</f>
        <v>0</v>
      </c>
      <c r="H501" s="46">
        <f>IFERROR(Y144*1,"0")+IFERROR(Y145*1,"0")+IFERROR(Y149*1,"0")+IFERROR(Y150*1,"0")+IFERROR(Y151*1,"0")+IFERROR(Y155*1,"0")</f>
        <v>0</v>
      </c>
      <c r="I501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180*1,"0")+IFERROR(Y181*1,"0")+IFERROR(Y182*1,"0")+IFERROR(Y186*1,"0")</f>
        <v>0</v>
      </c>
      <c r="J5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0</v>
      </c>
      <c r="K501" s="46">
        <f>IFERROR(Y230*1,"0")+IFERROR(Y231*1,"0")+IFERROR(Y232*1,"0")+IFERROR(Y233*1,"0")+IFERROR(Y234*1,"0")+IFERROR(Y235*1,"0")+IFERROR(Y236*1,"0")+IFERROR(Y237*1,"0")+IFERROR(Y238*1,"0")+IFERROR(Y242*1,"0")+IFERROR(Y246*1,"0")+IFERROR(Y250*1,"0")+IFERROR(Y251*1,"0")+IFERROR(Y252*1,"0")+IFERROR(Y253*1,"0")+IFERROR(Y254*1,"0")</f>
        <v>116</v>
      </c>
      <c r="L501" s="46">
        <f>IFERROR(Y259*1,"0")+IFERROR(Y260*1,"0")+IFERROR(Y261*1,"0")+IFERROR(Y262*1,"0")+IFERROR(Y263*1,"0")</f>
        <v>0</v>
      </c>
      <c r="M501" s="46">
        <f>IFERROR(Y268*1,"0")+IFERROR(Y269*1,"0")+IFERROR(Y270*1,"0")+IFERROR(Y271*1,"0")</f>
        <v>0</v>
      </c>
      <c r="N501" s="543"/>
      <c r="O501" s="46">
        <f>IFERROR(Y276*1,"0")+IFERROR(Y277*1,"0")+IFERROR(Y278*1,"0")</f>
        <v>0</v>
      </c>
      <c r="P501" s="46">
        <f>IFERROR(Y283*1,"0")+IFERROR(Y284*1,"0")+IFERROR(Y288*1,"0")+IFERROR(Y289*1,"0")</f>
        <v>0</v>
      </c>
      <c r="Q501" s="46">
        <f>IFERROR(Y294*1,"0")+IFERROR(Y295*1,"0")+IFERROR(Y296*1,"0")+IFERROR(Y297*1,"0")+IFERROR(Y298*1,"0")+IFERROR(Y302*1,"0")+IFERROR(Y303*1,"0")+IFERROR(Y304*1,"0")+IFERROR(Y305*1,"0")+IFERROR(Y306*1,"0")+IFERROR(Y307*1,"0")+IFERROR(Y311*1,"0")+IFERROR(Y312*1,"0")+IFERROR(Y313*1,"0")+IFERROR(Y314*1,"0")+IFERROR(Y318*1,"0")+IFERROR(Y319*1,"0")+IFERROR(Y320*1,"0")+IFERROR(Y324*1,"0")+IFERROR(Y325*1,"0")+IFERROR(Y326*1,"0")+IFERROR(Y327*1,"0")+IFERROR(Y331*1,"0")+IFERROR(Y332*1,"0")+IFERROR(Y333*1,"0")</f>
        <v>20.399999999999999</v>
      </c>
      <c r="R501" s="46">
        <f>IFERROR(Y338*1,"0")+IFERROR(Y339*1,"0")+IFERROR(Y340*1,"0")</f>
        <v>0</v>
      </c>
      <c r="S501" s="46">
        <f>IFERROR(Y346*1,"0")+IFERROR(Y347*1,"0")+IFERROR(Y348*1,"0")+IFERROR(Y349*1,"0")+IFERROR(Y350*1,"0")+IFERROR(Y351*1,"0")+IFERROR(Y352*1,"0")+IFERROR(Y356*1,"0")+IFERROR(Y357*1,"0")+IFERROR(Y361*1,"0")+IFERROR(Y362*1,"0")+IFERROR(Y366*1,"0")</f>
        <v>3255</v>
      </c>
      <c r="T501" s="46">
        <f>IFERROR(Y371*1,"0")+IFERROR(Y372*1,"0")+IFERROR(Y376*1,"0")+IFERROR(Y377*1,"0")+IFERROR(Y381*1,"0")+IFERROR(Y382*1,"0")+IFERROR(Y383*1,"0")</f>
        <v>0</v>
      </c>
      <c r="U501" s="46">
        <f>IFERROR(Y389*1,"0")+IFERROR(Y390*1,"0")+IFERROR(Y391*1,"0")+IFERROR(Y392*1,"0")+IFERROR(Y393*1,"0")+IFERROR(Y394*1,"0")+IFERROR(Y395*1,"0")+IFERROR(Y396*1,"0")+IFERROR(Y397*1,"0")+IFERROR(Y401*1,"0")+IFERROR(Y402*1,"0")</f>
        <v>0</v>
      </c>
      <c r="V501" s="46">
        <f>IFERROR(Y407*1,"0")+IFERROR(Y411*1,"0")+IFERROR(Y412*1,"0")+IFERROR(Y413*1,"0")+IFERROR(Y414*1,"0")</f>
        <v>0</v>
      </c>
      <c r="W501" s="46">
        <f>IFERROR(Y419*1,"0")</f>
        <v>0</v>
      </c>
      <c r="X501" s="46">
        <f>IFERROR(Y425*1,"0")+IFERROR(Y426*1,"0")+IFERROR(Y427*1,"0")+IFERROR(Y428*1,"0")+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449*1,"0")+IFERROR(Y450*1,"0")+IFERROR(Y451*1,"0")+IFERROR(Y455*1,"0")</f>
        <v>1652.6399999999999</v>
      </c>
      <c r="Y501" s="46">
        <f>IFERROR(Y461*1,"0")+IFERROR(Y462*1,"0")+IFERROR(Y463*1,"0")+IFERROR(Y464*1,"0")+IFERROR(Y468*1,"0")+IFERROR(Y469*1,"0")+IFERROR(Y473*1,"0")+IFERROR(Y474*1,"0")+IFERROR(Y478*1,"0")+IFERROR(Y482*1,"0")+IFERROR(Y483*1,"0")</f>
        <v>0</v>
      </c>
      <c r="Z501" s="46">
        <f>IFERROR(Y488*1,"0")</f>
        <v>0</v>
      </c>
      <c r="AB501" s="52"/>
      <c r="AC501" s="52"/>
      <c r="AF501" s="543"/>
    </row>
  </sheetData>
  <sheetProtection algorithmName="SHA-512" hashValue="it5wKBCYpYRstziIoKkkREoYsze+/FMrz3BUx/tCa2AhL7pJxZUw6jel+QovIzobVBCno7zJ7QRoTJsLem9E9g==" saltValue="Bj2am83l1F2rppp8tNP/e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8">
    <mergeCell ref="P496:V496"/>
    <mergeCell ref="P374:V374"/>
    <mergeCell ref="A10:C10"/>
    <mergeCell ref="P218:T218"/>
    <mergeCell ref="P140:V140"/>
    <mergeCell ref="A21:Z21"/>
    <mergeCell ref="P438:V438"/>
    <mergeCell ref="D192:E192"/>
    <mergeCell ref="D42:E42"/>
    <mergeCell ref="P338:T338"/>
    <mergeCell ref="D173:E173"/>
    <mergeCell ref="D17:E18"/>
    <mergeCell ref="P313:T313"/>
    <mergeCell ref="P202:T202"/>
    <mergeCell ref="P307:T307"/>
    <mergeCell ref="D123:E123"/>
    <mergeCell ref="D250:E250"/>
    <mergeCell ref="X17:X18"/>
    <mergeCell ref="D110:E110"/>
    <mergeCell ref="A481:Z481"/>
    <mergeCell ref="T499:T500"/>
    <mergeCell ref="P308:V308"/>
    <mergeCell ref="V499:V500"/>
    <mergeCell ref="D54:E54"/>
    <mergeCell ref="D483:E483"/>
    <mergeCell ref="D271:E271"/>
    <mergeCell ref="V12:W12"/>
    <mergeCell ref="P319:T319"/>
    <mergeCell ref="D191:E191"/>
    <mergeCell ref="D433:E433"/>
    <mergeCell ref="D262:E262"/>
    <mergeCell ref="A245:Z245"/>
    <mergeCell ref="D237:E237"/>
    <mergeCell ref="A39:Z39"/>
    <mergeCell ref="A310:Z310"/>
    <mergeCell ref="P285:V285"/>
    <mergeCell ref="A337:Z337"/>
    <mergeCell ref="A44:O45"/>
    <mergeCell ref="P383:T383"/>
    <mergeCell ref="A373:O374"/>
    <mergeCell ref="A279:O280"/>
    <mergeCell ref="P174:T174"/>
    <mergeCell ref="P149:T149"/>
    <mergeCell ref="D95:E95"/>
    <mergeCell ref="Q5:R5"/>
    <mergeCell ref="D242:E242"/>
    <mergeCell ref="F17:F18"/>
    <mergeCell ref="P290:V290"/>
    <mergeCell ref="P297:T297"/>
    <mergeCell ref="D478:E478"/>
    <mergeCell ref="A491:O496"/>
    <mergeCell ref="A499:A500"/>
    <mergeCell ref="P435:T435"/>
    <mergeCell ref="D278:E278"/>
    <mergeCell ref="P288:T288"/>
    <mergeCell ref="D234:E234"/>
    <mergeCell ref="A408:O409"/>
    <mergeCell ref="A24:O25"/>
    <mergeCell ref="P434:T434"/>
    <mergeCell ref="P263:T263"/>
    <mergeCell ref="A358:O359"/>
    <mergeCell ref="D171:E171"/>
    <mergeCell ref="D407:E407"/>
    <mergeCell ref="Q6:R6"/>
    <mergeCell ref="A267:Z267"/>
    <mergeCell ref="P134:T134"/>
    <mergeCell ref="A124:O125"/>
    <mergeCell ref="P436:T436"/>
    <mergeCell ref="P495:V495"/>
    <mergeCell ref="A127:Z127"/>
    <mergeCell ref="P239:V239"/>
    <mergeCell ref="A257:Z257"/>
    <mergeCell ref="P433:T433"/>
    <mergeCell ref="D276:E276"/>
    <mergeCell ref="P353:V353"/>
    <mergeCell ref="P262:T262"/>
    <mergeCell ref="D105:E105"/>
    <mergeCell ref="D170:E170"/>
    <mergeCell ref="D468:E468"/>
    <mergeCell ref="P379:V379"/>
    <mergeCell ref="D196:E196"/>
    <mergeCell ref="P294:T294"/>
    <mergeCell ref="P443:V443"/>
    <mergeCell ref="P272:V272"/>
    <mergeCell ref="P210:V210"/>
    <mergeCell ref="D133:E133"/>
    <mergeCell ref="P447:T447"/>
    <mergeCell ref="D331:E331"/>
    <mergeCell ref="P163:V163"/>
    <mergeCell ref="D268:E268"/>
    <mergeCell ref="P151:T151"/>
    <mergeCell ref="D395:E395"/>
    <mergeCell ref="U499:U500"/>
    <mergeCell ref="P128:T128"/>
    <mergeCell ref="P363:V363"/>
    <mergeCell ref="AD17:AF18"/>
    <mergeCell ref="D101:E101"/>
    <mergeCell ref="P403:V403"/>
    <mergeCell ref="P378:V378"/>
    <mergeCell ref="A132:Z132"/>
    <mergeCell ref="D76:E76"/>
    <mergeCell ref="D455:E455"/>
    <mergeCell ref="D430:E430"/>
    <mergeCell ref="P67:T67"/>
    <mergeCell ref="D175:E175"/>
    <mergeCell ref="P186:T186"/>
    <mergeCell ref="A36:O37"/>
    <mergeCell ref="A334:O335"/>
    <mergeCell ref="P253:T253"/>
    <mergeCell ref="D392:E392"/>
    <mergeCell ref="A223:Z223"/>
    <mergeCell ref="P57:T57"/>
    <mergeCell ref="D165:E165"/>
    <mergeCell ref="P75:T75"/>
    <mergeCell ref="D394:E394"/>
    <mergeCell ref="D450:E450"/>
    <mergeCell ref="P2:W3"/>
    <mergeCell ref="P133:T133"/>
    <mergeCell ref="A323:Z323"/>
    <mergeCell ref="P298:T298"/>
    <mergeCell ref="P347:T347"/>
    <mergeCell ref="A415:O416"/>
    <mergeCell ref="P54:T54"/>
    <mergeCell ref="D35:E35"/>
    <mergeCell ref="P412:T412"/>
    <mergeCell ref="D333:E333"/>
    <mergeCell ref="D10:E10"/>
    <mergeCell ref="F10:G10"/>
    <mergeCell ref="P362:T362"/>
    <mergeCell ref="P191:T191"/>
    <mergeCell ref="D305:E305"/>
    <mergeCell ref="P349:T349"/>
    <mergeCell ref="A308:O309"/>
    <mergeCell ref="D270:E270"/>
    <mergeCell ref="D397:E397"/>
    <mergeCell ref="P78:V78"/>
    <mergeCell ref="F5:G5"/>
    <mergeCell ref="V11:W11"/>
    <mergeCell ref="P181:T181"/>
    <mergeCell ref="P357:T357"/>
    <mergeCell ref="P494:V494"/>
    <mergeCell ref="P430:T430"/>
    <mergeCell ref="P102:T102"/>
    <mergeCell ref="P456:V456"/>
    <mergeCell ref="P196:T196"/>
    <mergeCell ref="A185:Z185"/>
    <mergeCell ref="A484:O485"/>
    <mergeCell ref="D462:E462"/>
    <mergeCell ref="P62:T62"/>
    <mergeCell ref="A479:O480"/>
    <mergeCell ref="D216:E216"/>
    <mergeCell ref="P300:V300"/>
    <mergeCell ref="P493:V493"/>
    <mergeCell ref="D252:E252"/>
    <mergeCell ref="P123:T123"/>
    <mergeCell ref="P358:V358"/>
    <mergeCell ref="P110:T110"/>
    <mergeCell ref="D218:E218"/>
    <mergeCell ref="A249:Z249"/>
    <mergeCell ref="D102:E102"/>
    <mergeCell ref="P449:T449"/>
    <mergeCell ref="J499:J500"/>
    <mergeCell ref="D320:E320"/>
    <mergeCell ref="D149:E149"/>
    <mergeCell ref="L499:L500"/>
    <mergeCell ref="D447:E447"/>
    <mergeCell ref="P255:V255"/>
    <mergeCell ref="P295:T295"/>
    <mergeCell ref="P276:T276"/>
    <mergeCell ref="P105:T105"/>
    <mergeCell ref="P214:T214"/>
    <mergeCell ref="P270:T270"/>
    <mergeCell ref="P463:T463"/>
    <mergeCell ref="D213:E213"/>
    <mergeCell ref="D151:E151"/>
    <mergeCell ref="D449:E449"/>
    <mergeCell ref="P478:T478"/>
    <mergeCell ref="P278:T278"/>
    <mergeCell ref="D150:E150"/>
    <mergeCell ref="D215:E215"/>
    <mergeCell ref="A255:O256"/>
    <mergeCell ref="P194:V194"/>
    <mergeCell ref="P492:V492"/>
    <mergeCell ref="A317:Z317"/>
    <mergeCell ref="P286:V286"/>
    <mergeCell ref="K499:K500"/>
    <mergeCell ref="M499:M500"/>
    <mergeCell ref="A9:C9"/>
    <mergeCell ref="D202:E202"/>
    <mergeCell ref="A179:Z179"/>
    <mergeCell ref="P112:T112"/>
    <mergeCell ref="D294:E294"/>
    <mergeCell ref="P348:T348"/>
    <mergeCell ref="P273:V273"/>
    <mergeCell ref="A465:O466"/>
    <mergeCell ref="A113:O114"/>
    <mergeCell ref="D231:E231"/>
    <mergeCell ref="P70:V70"/>
    <mergeCell ref="A460:Z460"/>
    <mergeCell ref="A454:Z454"/>
    <mergeCell ref="P32:V32"/>
    <mergeCell ref="Q13:R13"/>
    <mergeCell ref="A293:Z293"/>
    <mergeCell ref="P97:V97"/>
    <mergeCell ref="D318:E318"/>
    <mergeCell ref="P201:T201"/>
    <mergeCell ref="D389:E389"/>
    <mergeCell ref="P139:T139"/>
    <mergeCell ref="P176:T176"/>
    <mergeCell ref="P471:V471"/>
    <mergeCell ref="A467:Z467"/>
    <mergeCell ref="D288:E288"/>
    <mergeCell ref="P421:V421"/>
    <mergeCell ref="D434:E434"/>
    <mergeCell ref="P488:T488"/>
    <mergeCell ref="P240:V240"/>
    <mergeCell ref="P111:T111"/>
    <mergeCell ref="D225:E225"/>
    <mergeCell ref="D461:E461"/>
    <mergeCell ref="D436:E436"/>
    <mergeCell ref="P346:T346"/>
    <mergeCell ref="A243:O244"/>
    <mergeCell ref="P483:T483"/>
    <mergeCell ref="D155:E155"/>
    <mergeCell ref="P479:V479"/>
    <mergeCell ref="P131:V131"/>
    <mergeCell ref="P187:V187"/>
    <mergeCell ref="S499:S500"/>
    <mergeCell ref="P265:V265"/>
    <mergeCell ref="A388:Z388"/>
    <mergeCell ref="D446:E446"/>
    <mergeCell ref="P44:V44"/>
    <mergeCell ref="A375:Z375"/>
    <mergeCell ref="H5:M5"/>
    <mergeCell ref="P329:V329"/>
    <mergeCell ref="A154:Z154"/>
    <mergeCell ref="D212:E212"/>
    <mergeCell ref="P396:T396"/>
    <mergeCell ref="P225:T225"/>
    <mergeCell ref="D6:M6"/>
    <mergeCell ref="P461:T461"/>
    <mergeCell ref="D304:E304"/>
    <mergeCell ref="P175:T175"/>
    <mergeCell ref="A85:Z85"/>
    <mergeCell ref="D441:E441"/>
    <mergeCell ref="A384:O385"/>
    <mergeCell ref="D319:E319"/>
    <mergeCell ref="P93:T93"/>
    <mergeCell ref="D207:E207"/>
    <mergeCell ref="A321:O322"/>
    <mergeCell ref="P269:T269"/>
    <mergeCell ref="A475:O476"/>
    <mergeCell ref="D413:E413"/>
    <mergeCell ref="A226:O227"/>
    <mergeCell ref="D217:E217"/>
    <mergeCell ref="P22:T22"/>
    <mergeCell ref="P320:T320"/>
    <mergeCell ref="P314:T314"/>
    <mergeCell ref="A437:O438"/>
    <mergeCell ref="D428:E428"/>
    <mergeCell ref="P334:V334"/>
    <mergeCell ref="P80:T80"/>
    <mergeCell ref="P462:T462"/>
    <mergeCell ref="D383:E383"/>
    <mergeCell ref="P120:V120"/>
    <mergeCell ref="P476:V476"/>
    <mergeCell ref="P35:T35"/>
    <mergeCell ref="P333:T333"/>
    <mergeCell ref="D314:E314"/>
    <mergeCell ref="P184:V184"/>
    <mergeCell ref="A152:O153"/>
    <mergeCell ref="A143:Z143"/>
    <mergeCell ref="P121:V121"/>
    <mergeCell ref="D80:E80"/>
    <mergeCell ref="A452:O453"/>
    <mergeCell ref="AA17:AA18"/>
    <mergeCell ref="P107:V107"/>
    <mergeCell ref="AC17:AC18"/>
    <mergeCell ref="H10:M10"/>
    <mergeCell ref="A122:Z122"/>
    <mergeCell ref="D393:E393"/>
    <mergeCell ref="D89:E89"/>
    <mergeCell ref="P209:V209"/>
    <mergeCell ref="A72:Z72"/>
    <mergeCell ref="P254:T254"/>
    <mergeCell ref="P147:V147"/>
    <mergeCell ref="P251:T251"/>
    <mergeCell ref="P318:T318"/>
    <mergeCell ref="D128:E128"/>
    <mergeCell ref="A106:O107"/>
    <mergeCell ref="P109:T109"/>
    <mergeCell ref="A299:O300"/>
    <mergeCell ref="D186:E186"/>
    <mergeCell ref="Z17:Z18"/>
    <mergeCell ref="AB17:AB18"/>
    <mergeCell ref="G17:G18"/>
    <mergeCell ref="P61:T61"/>
    <mergeCell ref="P41:T41"/>
    <mergeCell ref="D22:E22"/>
    <mergeCell ref="P452:V452"/>
    <mergeCell ref="P217:T217"/>
    <mergeCell ref="D204:E204"/>
    <mergeCell ref="P161:T161"/>
    <mergeCell ref="D440:E440"/>
    <mergeCell ref="D269:E269"/>
    <mergeCell ref="D296:E296"/>
    <mergeCell ref="A26:Z26"/>
    <mergeCell ref="D427:E427"/>
    <mergeCell ref="P27:T27"/>
    <mergeCell ref="P325:T325"/>
    <mergeCell ref="D75:E75"/>
    <mergeCell ref="P247:V247"/>
    <mergeCell ref="P390:T390"/>
    <mergeCell ref="D206:E206"/>
    <mergeCell ref="A66:Z66"/>
    <mergeCell ref="D298:E298"/>
    <mergeCell ref="D181:E181"/>
    <mergeCell ref="A221:O222"/>
    <mergeCell ref="A158:Z158"/>
    <mergeCell ref="P404:V404"/>
    <mergeCell ref="P327:T327"/>
    <mergeCell ref="A378:O379"/>
    <mergeCell ref="P341:V341"/>
    <mergeCell ref="C499:C500"/>
    <mergeCell ref="P384:V384"/>
    <mergeCell ref="A380:Z380"/>
    <mergeCell ref="E499:E500"/>
    <mergeCell ref="P328:V328"/>
    <mergeCell ref="P157:V157"/>
    <mergeCell ref="A38:Z38"/>
    <mergeCell ref="A445:Z445"/>
    <mergeCell ref="A274:Z274"/>
    <mergeCell ref="P207:T207"/>
    <mergeCell ref="P221:V221"/>
    <mergeCell ref="D138:E138"/>
    <mergeCell ref="A211:Z211"/>
    <mergeCell ref="P457:V457"/>
    <mergeCell ref="P393:T393"/>
    <mergeCell ref="D203:E203"/>
    <mergeCell ref="A40:Z40"/>
    <mergeCell ref="P232:T232"/>
    <mergeCell ref="P152:V152"/>
    <mergeCell ref="A275:Z275"/>
    <mergeCell ref="P395:T395"/>
    <mergeCell ref="D425:E425"/>
    <mergeCell ref="A486:Z486"/>
    <mergeCell ref="P96:T96"/>
    <mergeCell ref="P448:T448"/>
    <mergeCell ref="P233:T233"/>
    <mergeCell ref="D347:E347"/>
    <mergeCell ref="P304:T304"/>
    <mergeCell ref="P206:T206"/>
    <mergeCell ref="D176:E176"/>
    <mergeCell ref="D412:E412"/>
    <mergeCell ref="P441:T441"/>
    <mergeCell ref="D362:E362"/>
    <mergeCell ref="P235:T235"/>
    <mergeCell ref="D349:E349"/>
    <mergeCell ref="P306:T306"/>
    <mergeCell ref="P261:T261"/>
    <mergeCell ref="P332:T332"/>
    <mergeCell ref="P316:V316"/>
    <mergeCell ref="A439:Z439"/>
    <mergeCell ref="P212:T212"/>
    <mergeCell ref="D435:E435"/>
    <mergeCell ref="P446:T446"/>
    <mergeCell ref="A369:Z369"/>
    <mergeCell ref="P440:T440"/>
    <mergeCell ref="A418:Z418"/>
    <mergeCell ref="D283:E283"/>
    <mergeCell ref="D112:E112"/>
    <mergeCell ref="J9:M9"/>
    <mergeCell ref="A90:O91"/>
    <mergeCell ref="D348:E348"/>
    <mergeCell ref="D62:E62"/>
    <mergeCell ref="D56:E56"/>
    <mergeCell ref="P377:T377"/>
    <mergeCell ref="A363:O364"/>
    <mergeCell ref="H17:H18"/>
    <mergeCell ref="A160:Z160"/>
    <mergeCell ref="V6:W9"/>
    <mergeCell ref="D86:E86"/>
    <mergeCell ref="A64:O65"/>
    <mergeCell ref="P101:T101"/>
    <mergeCell ref="M17:M18"/>
    <mergeCell ref="O17:O18"/>
    <mergeCell ref="D29:E29"/>
    <mergeCell ref="D23:E23"/>
    <mergeCell ref="A20:Z20"/>
    <mergeCell ref="P444:V444"/>
    <mergeCell ref="P58:V58"/>
    <mergeCell ref="A13:M13"/>
    <mergeCell ref="A417:Z417"/>
    <mergeCell ref="P244:V244"/>
    <mergeCell ref="P437:V437"/>
    <mergeCell ref="P315:V315"/>
    <mergeCell ref="D61:E61"/>
    <mergeCell ref="D254:E254"/>
    <mergeCell ref="A15:M15"/>
    <mergeCell ref="P238:T238"/>
    <mergeCell ref="D346:E346"/>
    <mergeCell ref="P204:T204"/>
    <mergeCell ref="A51:Z51"/>
    <mergeCell ref="N17:N18"/>
    <mergeCell ref="A58:O59"/>
    <mergeCell ref="Y17:Y18"/>
    <mergeCell ref="D57:E57"/>
    <mergeCell ref="U17:V17"/>
    <mergeCell ref="W499:W500"/>
    <mergeCell ref="A406:Z406"/>
    <mergeCell ref="P385:V385"/>
    <mergeCell ref="Y499:Y500"/>
    <mergeCell ref="P124:V124"/>
    <mergeCell ref="D74:E74"/>
    <mergeCell ref="P87:T87"/>
    <mergeCell ref="P451:T451"/>
    <mergeCell ref="D372:E372"/>
    <mergeCell ref="D201:E201"/>
    <mergeCell ref="P224:T224"/>
    <mergeCell ref="A285:O286"/>
    <mergeCell ref="A341:O342"/>
    <mergeCell ref="P260:T260"/>
    <mergeCell ref="P89:T89"/>
    <mergeCell ref="D295:E295"/>
    <mergeCell ref="D172:E172"/>
    <mergeCell ref="A156:O157"/>
    <mergeCell ref="P88:T88"/>
    <mergeCell ref="P324:T324"/>
    <mergeCell ref="D463:E463"/>
    <mergeCell ref="A92:Z92"/>
    <mergeCell ref="P227:V227"/>
    <mergeCell ref="P373:V373"/>
    <mergeCell ref="T6:U9"/>
    <mergeCell ref="Q10:R10"/>
    <mergeCell ref="P368:V368"/>
    <mergeCell ref="D41:E41"/>
    <mergeCell ref="P296:T296"/>
    <mergeCell ref="A315:O316"/>
    <mergeCell ref="P356:T356"/>
    <mergeCell ref="D277:E277"/>
    <mergeCell ref="P256:V256"/>
    <mergeCell ref="P25:V25"/>
    <mergeCell ref="A137:Z137"/>
    <mergeCell ref="D43:E43"/>
    <mergeCell ref="P216:T216"/>
    <mergeCell ref="D68:E68"/>
    <mergeCell ref="P71:V71"/>
    <mergeCell ref="A8:C8"/>
    <mergeCell ref="T5:U5"/>
    <mergeCell ref="D119:E119"/>
    <mergeCell ref="P76:T76"/>
    <mergeCell ref="V5:W5"/>
    <mergeCell ref="D246:E246"/>
    <mergeCell ref="B499:B500"/>
    <mergeCell ref="D488:E488"/>
    <mergeCell ref="P203:T203"/>
    <mergeCell ref="D499:D500"/>
    <mergeCell ref="P361:T361"/>
    <mergeCell ref="D338:E338"/>
    <mergeCell ref="A477:Z477"/>
    <mergeCell ref="D233:E233"/>
    <mergeCell ref="A142:Z142"/>
    <mergeCell ref="D469:E469"/>
    <mergeCell ref="D111:E111"/>
    <mergeCell ref="P69:T69"/>
    <mergeCell ref="Q8:R8"/>
    <mergeCell ref="P311:T311"/>
    <mergeCell ref="D419:E419"/>
    <mergeCell ref="D219:E219"/>
    <mergeCell ref="D104:E104"/>
    <mergeCell ref="P425:T425"/>
    <mergeCell ref="A79:Z79"/>
    <mergeCell ref="P43:T43"/>
    <mergeCell ref="P65:V65"/>
    <mergeCell ref="P136:V136"/>
    <mergeCell ref="A135:O136"/>
    <mergeCell ref="A126:Z126"/>
    <mergeCell ref="A424:Z424"/>
    <mergeCell ref="D251:E251"/>
    <mergeCell ref="A12:M12"/>
    <mergeCell ref="P397:T397"/>
    <mergeCell ref="P74:T74"/>
    <mergeCell ref="P243:V243"/>
    <mergeCell ref="A190:Z190"/>
    <mergeCell ref="P372:T372"/>
    <mergeCell ref="A19:Z19"/>
    <mergeCell ref="D182:E182"/>
    <mergeCell ref="D109:E109"/>
    <mergeCell ref="A14:M14"/>
    <mergeCell ref="P138:T138"/>
    <mergeCell ref="A82:O83"/>
    <mergeCell ref="D340:E340"/>
    <mergeCell ref="P83:V83"/>
    <mergeCell ref="D371:E371"/>
    <mergeCell ref="D27:E27"/>
    <mergeCell ref="P408:V408"/>
    <mergeCell ref="D325:E325"/>
    <mergeCell ref="P208:T208"/>
    <mergeCell ref="D396:E396"/>
    <mergeCell ref="P450:T450"/>
    <mergeCell ref="P15:T16"/>
    <mergeCell ref="D116:E116"/>
    <mergeCell ref="D414:E414"/>
    <mergeCell ref="D352:E352"/>
    <mergeCell ref="P419:T419"/>
    <mergeCell ref="P219:T219"/>
    <mergeCell ref="P23:T23"/>
    <mergeCell ref="A164:Z164"/>
    <mergeCell ref="D327:E327"/>
    <mergeCell ref="A367:O368"/>
    <mergeCell ref="P427:T427"/>
    <mergeCell ref="A146:O147"/>
    <mergeCell ref="P283:T283"/>
    <mergeCell ref="D93:E93"/>
    <mergeCell ref="P277:T277"/>
    <mergeCell ref="D391:E391"/>
    <mergeCell ref="D220:E220"/>
    <mergeCell ref="P199:V199"/>
    <mergeCell ref="A5:C5"/>
    <mergeCell ref="P64:V64"/>
    <mergeCell ref="P340:T340"/>
    <mergeCell ref="P135:V135"/>
    <mergeCell ref="C498:H498"/>
    <mergeCell ref="A423:Z423"/>
    <mergeCell ref="P420:V420"/>
    <mergeCell ref="A108:Z108"/>
    <mergeCell ref="A472:Z472"/>
    <mergeCell ref="D166:E166"/>
    <mergeCell ref="A410:Z410"/>
    <mergeCell ref="D464:E464"/>
    <mergeCell ref="D402:E402"/>
    <mergeCell ref="A17:A18"/>
    <mergeCell ref="P364:V364"/>
    <mergeCell ref="A189:Z189"/>
    <mergeCell ref="P371:T371"/>
    <mergeCell ref="C17:C18"/>
    <mergeCell ref="A487:Z487"/>
    <mergeCell ref="P431:T431"/>
    <mergeCell ref="D103:E103"/>
    <mergeCell ref="K17:K18"/>
    <mergeCell ref="D401:E401"/>
    <mergeCell ref="D230:E230"/>
    <mergeCell ref="A6:C6"/>
    <mergeCell ref="P415:V415"/>
    <mergeCell ref="P180:T180"/>
    <mergeCell ref="P118:T118"/>
    <mergeCell ref="P167:T167"/>
    <mergeCell ref="D88:E88"/>
    <mergeCell ref="A459:Z459"/>
    <mergeCell ref="D324:E324"/>
    <mergeCell ref="P117:T117"/>
    <mergeCell ref="D311:E311"/>
    <mergeCell ref="P55:T55"/>
    <mergeCell ref="P182:T182"/>
    <mergeCell ref="Q12:R12"/>
    <mergeCell ref="D261:E261"/>
    <mergeCell ref="P169:T169"/>
    <mergeCell ref="P411:T411"/>
    <mergeCell ref="A130:O131"/>
    <mergeCell ref="P442:T442"/>
    <mergeCell ref="D448:E448"/>
    <mergeCell ref="P119:T119"/>
    <mergeCell ref="P354:V354"/>
    <mergeCell ref="P246:T246"/>
    <mergeCell ref="P183:V183"/>
    <mergeCell ref="A328:O329"/>
    <mergeCell ref="Q9:R9"/>
    <mergeCell ref="P312:T312"/>
    <mergeCell ref="D451:E451"/>
    <mergeCell ref="P49:V49"/>
    <mergeCell ref="P36:V36"/>
    <mergeCell ref="A159:Z159"/>
    <mergeCell ref="P465:V465"/>
    <mergeCell ref="P376:T376"/>
    <mergeCell ref="D260:E260"/>
    <mergeCell ref="P205:T205"/>
    <mergeCell ref="Q11:R11"/>
    <mergeCell ref="D390:E390"/>
    <mergeCell ref="P198:V198"/>
    <mergeCell ref="D339:E339"/>
    <mergeCell ref="D168:E168"/>
    <mergeCell ref="D180:E180"/>
    <mergeCell ref="D9:E9"/>
    <mergeCell ref="P197:T197"/>
    <mergeCell ref="A183:O184"/>
    <mergeCell ref="D118:E118"/>
    <mergeCell ref="P53:T53"/>
    <mergeCell ref="D167:E167"/>
    <mergeCell ref="P351:T351"/>
    <mergeCell ref="F9:G9"/>
    <mergeCell ref="Z499:Z500"/>
    <mergeCell ref="P499:P500"/>
    <mergeCell ref="I17:I18"/>
    <mergeCell ref="R499:R500"/>
    <mergeCell ref="A48:O49"/>
    <mergeCell ref="D306:E306"/>
    <mergeCell ref="D377:E377"/>
    <mergeCell ref="P114:V114"/>
    <mergeCell ref="P414:T414"/>
    <mergeCell ref="P352:T352"/>
    <mergeCell ref="P470:V470"/>
    <mergeCell ref="P178:V178"/>
    <mergeCell ref="A177:O178"/>
    <mergeCell ref="A301:Z301"/>
    <mergeCell ref="D235:E235"/>
    <mergeCell ref="U498:W498"/>
    <mergeCell ref="A470:O471"/>
    <mergeCell ref="P489:V489"/>
    <mergeCell ref="P469:T469"/>
    <mergeCell ref="P491:V491"/>
    <mergeCell ref="P289:T289"/>
    <mergeCell ref="D161:E161"/>
    <mergeCell ref="D232:E232"/>
    <mergeCell ref="A272:O273"/>
    <mergeCell ref="P63:T63"/>
    <mergeCell ref="P250:T250"/>
    <mergeCell ref="D31:E31"/>
    <mergeCell ref="A403:O404"/>
    <mergeCell ref="P429:T429"/>
    <mergeCell ref="A353:O354"/>
    <mergeCell ref="P52:T52"/>
    <mergeCell ref="X499:X500"/>
    <mergeCell ref="P350:T350"/>
    <mergeCell ref="P68:T68"/>
    <mergeCell ref="A247:O248"/>
    <mergeCell ref="D169:E169"/>
    <mergeCell ref="P82:V82"/>
    <mergeCell ref="P303:T303"/>
    <mergeCell ref="P367:V367"/>
    <mergeCell ref="A420:O421"/>
    <mergeCell ref="P342:V342"/>
    <mergeCell ref="P146:V146"/>
    <mergeCell ref="D63:E63"/>
    <mergeCell ref="O499:O500"/>
    <mergeCell ref="Q499:Q500"/>
    <mergeCell ref="P305:T305"/>
    <mergeCell ref="D96:E96"/>
    <mergeCell ref="D52:E52"/>
    <mergeCell ref="P47:T47"/>
    <mergeCell ref="D1:F1"/>
    <mergeCell ref="P409:V409"/>
    <mergeCell ref="A405:Z405"/>
    <mergeCell ref="J17:J18"/>
    <mergeCell ref="L17:L18"/>
    <mergeCell ref="P359:V359"/>
    <mergeCell ref="P48:V48"/>
    <mergeCell ref="P490:V490"/>
    <mergeCell ref="P426:T426"/>
    <mergeCell ref="A100:Z100"/>
    <mergeCell ref="A336:Z336"/>
    <mergeCell ref="P321:V321"/>
    <mergeCell ref="P125:V125"/>
    <mergeCell ref="P192:T192"/>
    <mergeCell ref="A115:Z115"/>
    <mergeCell ref="P428:T428"/>
    <mergeCell ref="P284:T284"/>
    <mergeCell ref="A344:Z344"/>
    <mergeCell ref="A400:Z400"/>
    <mergeCell ref="A229:Z229"/>
    <mergeCell ref="P17:T18"/>
    <mergeCell ref="P129:T129"/>
    <mergeCell ref="A148:Z148"/>
    <mergeCell ref="G499:G500"/>
    <mergeCell ref="D381:E381"/>
    <mergeCell ref="A345:Z345"/>
    <mergeCell ref="A46:Z46"/>
    <mergeCell ref="P166:T166"/>
    <mergeCell ref="D87:E87"/>
    <mergeCell ref="A282:Z282"/>
    <mergeCell ref="P464:T464"/>
    <mergeCell ref="Y498:Z498"/>
    <mergeCell ref="P402:T402"/>
    <mergeCell ref="A187:O188"/>
    <mergeCell ref="P188:V188"/>
    <mergeCell ref="P116:T116"/>
    <mergeCell ref="A162:O163"/>
    <mergeCell ref="P474:T474"/>
    <mergeCell ref="D224:E224"/>
    <mergeCell ref="P103:T103"/>
    <mergeCell ref="A398:O399"/>
    <mergeCell ref="P401:T401"/>
    <mergeCell ref="P268:T268"/>
    <mergeCell ref="D382:E382"/>
    <mergeCell ref="P339:T339"/>
    <mergeCell ref="P230:T230"/>
    <mergeCell ref="P168:T168"/>
    <mergeCell ref="D5:E5"/>
    <mergeCell ref="P382:T382"/>
    <mergeCell ref="D303:E303"/>
    <mergeCell ref="P42:T42"/>
    <mergeCell ref="A32:O33"/>
    <mergeCell ref="D94:E94"/>
    <mergeCell ref="D361:E361"/>
    <mergeCell ref="P98:V98"/>
    <mergeCell ref="P259:T259"/>
    <mergeCell ref="D69:E69"/>
    <mergeCell ref="P162:V162"/>
    <mergeCell ref="P106:V106"/>
    <mergeCell ref="P177:V177"/>
    <mergeCell ref="P33:V33"/>
    <mergeCell ref="D356:E356"/>
    <mergeCell ref="P264:V264"/>
    <mergeCell ref="P335:V335"/>
    <mergeCell ref="P226:V226"/>
    <mergeCell ref="A343:Z343"/>
    <mergeCell ref="A287:Z287"/>
    <mergeCell ref="A281:Z281"/>
    <mergeCell ref="D145:E145"/>
    <mergeCell ref="P130:V130"/>
    <mergeCell ref="P59:V59"/>
    <mergeCell ref="H1:Q1"/>
    <mergeCell ref="P480:V480"/>
    <mergeCell ref="A330:Z330"/>
    <mergeCell ref="P280:V280"/>
    <mergeCell ref="A99:Z99"/>
    <mergeCell ref="A292:Z292"/>
    <mergeCell ref="D214:E214"/>
    <mergeCell ref="D284:E284"/>
    <mergeCell ref="P222:V222"/>
    <mergeCell ref="P193:V193"/>
    <mergeCell ref="D259:E259"/>
    <mergeCell ref="D28:E28"/>
    <mergeCell ref="D326:E326"/>
    <mergeCell ref="D313:E313"/>
    <mergeCell ref="D432:E432"/>
    <mergeCell ref="D236:E236"/>
    <mergeCell ref="D117:E117"/>
    <mergeCell ref="P171:T171"/>
    <mergeCell ref="A239:O240"/>
    <mergeCell ref="P413:T413"/>
    <mergeCell ref="P242:T242"/>
    <mergeCell ref="D55:E55"/>
    <mergeCell ref="P407:T407"/>
    <mergeCell ref="D30:E30"/>
    <mergeCell ref="D7:M7"/>
    <mergeCell ref="P91:V91"/>
    <mergeCell ref="P236:T236"/>
    <mergeCell ref="P156:V156"/>
    <mergeCell ref="P394:T394"/>
    <mergeCell ref="A209:O210"/>
    <mergeCell ref="D144:E144"/>
    <mergeCell ref="D442:E442"/>
    <mergeCell ref="S498:T498"/>
    <mergeCell ref="D302:E302"/>
    <mergeCell ref="D429:E429"/>
    <mergeCell ref="P173:T173"/>
    <mergeCell ref="P29:T29"/>
    <mergeCell ref="A97:O98"/>
    <mergeCell ref="P271:T271"/>
    <mergeCell ref="A290:O291"/>
    <mergeCell ref="D81:E81"/>
    <mergeCell ref="P94:T94"/>
    <mergeCell ref="D208:E208"/>
    <mergeCell ref="D8:M8"/>
    <mergeCell ref="P485:V485"/>
    <mergeCell ref="D366:E366"/>
    <mergeCell ref="P279:V279"/>
    <mergeCell ref="P237:T237"/>
    <mergeCell ref="D47:E47"/>
    <mergeCell ref="A193:O194"/>
    <mergeCell ref="A50:Z50"/>
    <mergeCell ref="A264:O265"/>
    <mergeCell ref="W17:W18"/>
    <mergeCell ref="F499:F500"/>
    <mergeCell ref="P90:V90"/>
    <mergeCell ref="H499:H500"/>
    <mergeCell ref="P234:T234"/>
    <mergeCell ref="A386:Z386"/>
    <mergeCell ref="A120:O121"/>
    <mergeCell ref="D129:E129"/>
    <mergeCell ref="P31:T31"/>
    <mergeCell ref="P473:T473"/>
    <mergeCell ref="D139:E139"/>
    <mergeCell ref="P416:V416"/>
    <mergeCell ref="A241:Z241"/>
    <mergeCell ref="P45:V45"/>
    <mergeCell ref="A228:Z228"/>
    <mergeCell ref="P95:T95"/>
    <mergeCell ref="A355:Z355"/>
    <mergeCell ref="P331:T331"/>
    <mergeCell ref="D67:E67"/>
    <mergeCell ref="P482:T482"/>
    <mergeCell ref="I499:I500"/>
    <mergeCell ref="P466:V466"/>
    <mergeCell ref="B17:B18"/>
    <mergeCell ref="A77:O78"/>
    <mergeCell ref="P248:V248"/>
    <mergeCell ref="A266:Z266"/>
    <mergeCell ref="A60:Z60"/>
    <mergeCell ref="P252:T252"/>
    <mergeCell ref="P81:T81"/>
    <mergeCell ref="P56:T56"/>
    <mergeCell ref="P299:V299"/>
    <mergeCell ref="D431:E431"/>
    <mergeCell ref="A422:Z422"/>
    <mergeCell ref="P366:T366"/>
    <mergeCell ref="A360:Z360"/>
    <mergeCell ref="P170:T170"/>
    <mergeCell ref="P468:T468"/>
    <mergeCell ref="D474:E474"/>
    <mergeCell ref="P145:T145"/>
    <mergeCell ref="P113:V113"/>
    <mergeCell ref="D197:E197"/>
    <mergeCell ref="P381:T381"/>
    <mergeCell ref="D253:E253"/>
    <mergeCell ref="D53:E53"/>
    <mergeCell ref="R1:T1"/>
    <mergeCell ref="P150:T150"/>
    <mergeCell ref="P28:T28"/>
    <mergeCell ref="P392:T392"/>
    <mergeCell ref="P326:T326"/>
    <mergeCell ref="D332:E332"/>
    <mergeCell ref="D307:E307"/>
    <mergeCell ref="P215:T215"/>
    <mergeCell ref="A443:O444"/>
    <mergeCell ref="P165:T165"/>
    <mergeCell ref="P432:T432"/>
    <mergeCell ref="D73:E73"/>
    <mergeCell ref="P77:V77"/>
    <mergeCell ref="P30:T30"/>
    <mergeCell ref="A200:Z200"/>
    <mergeCell ref="P141:V141"/>
    <mergeCell ref="A140:O141"/>
    <mergeCell ref="A258:Z258"/>
    <mergeCell ref="P37:V37"/>
    <mergeCell ref="P104:T104"/>
    <mergeCell ref="V10:W10"/>
    <mergeCell ref="D351:E351"/>
    <mergeCell ref="A84:Z84"/>
    <mergeCell ref="D411:E411"/>
    <mergeCell ref="P86:T86"/>
    <mergeCell ref="P213:T213"/>
    <mergeCell ref="D134:E134"/>
    <mergeCell ref="P455:T455"/>
    <mergeCell ref="D376:E376"/>
    <mergeCell ref="D205:E205"/>
    <mergeCell ref="A365:Z365"/>
    <mergeCell ref="D357:E357"/>
    <mergeCell ref="I498:R498"/>
    <mergeCell ref="P172:T172"/>
    <mergeCell ref="D289:E289"/>
    <mergeCell ref="D482:E482"/>
    <mergeCell ref="P398:V398"/>
    <mergeCell ref="P475:V475"/>
    <mergeCell ref="A387:Z387"/>
    <mergeCell ref="A458:Z458"/>
    <mergeCell ref="P399:V399"/>
    <mergeCell ref="A456:O457"/>
    <mergeCell ref="D350:E350"/>
    <mergeCell ref="A195:Z195"/>
    <mergeCell ref="A198:O199"/>
    <mergeCell ref="P291:V291"/>
    <mergeCell ref="P484:V484"/>
    <mergeCell ref="A489:O490"/>
    <mergeCell ref="D473:E473"/>
    <mergeCell ref="P73:T73"/>
    <mergeCell ref="P144:T144"/>
    <mergeCell ref="P231:T231"/>
    <mergeCell ref="P302:T302"/>
    <mergeCell ref="D174:E174"/>
    <mergeCell ref="A34:Z34"/>
    <mergeCell ref="H9:I9"/>
    <mergeCell ref="P24:V24"/>
    <mergeCell ref="P322:V322"/>
    <mergeCell ref="P453:V453"/>
    <mergeCell ref="P389:T389"/>
    <mergeCell ref="P309:V309"/>
    <mergeCell ref="D297:E297"/>
    <mergeCell ref="A370:Z370"/>
    <mergeCell ref="P155:T155"/>
    <mergeCell ref="P153:V153"/>
    <mergeCell ref="P391:T391"/>
    <mergeCell ref="D312:E312"/>
    <mergeCell ref="D263:E263"/>
    <mergeCell ref="P220:T220"/>
    <mergeCell ref="A70:O71"/>
    <mergeCell ref="D238:E238"/>
    <mergeCell ref="D426:E4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2:X53 X55 X61 X73 X80 X86 X89 X93 X101 X104 X109 X112 X116 X118 X166 X168:X169 X172 X174 X197 X201:X202 X204:X206 X208 X214:X215 X217:X220 X225 X230 X277:X278 X318:X320 X327 X338 X346:X348 X356 X381:X382 X425 X428:X429 X431 X440 X442 X446:X448 X473:X474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760</v>
      </c>
      <c r="H1" s="52"/>
    </row>
    <row r="3" spans="2:8" x14ac:dyDescent="0.2">
      <c r="B3" s="47" t="s">
        <v>761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762</v>
      </c>
      <c r="D6" s="47" t="s">
        <v>763</v>
      </c>
      <c r="E6" s="47"/>
    </row>
    <row r="8" spans="2:8" x14ac:dyDescent="0.2">
      <c r="B8" s="47" t="s">
        <v>19</v>
      </c>
      <c r="C8" s="47" t="s">
        <v>762</v>
      </c>
      <c r="D8" s="47"/>
      <c r="E8" s="47"/>
    </row>
    <row r="10" spans="2:8" x14ac:dyDescent="0.2">
      <c r="B10" s="47" t="s">
        <v>764</v>
      </c>
      <c r="C10" s="47"/>
      <c r="D10" s="47"/>
      <c r="E10" s="47"/>
    </row>
    <row r="11" spans="2:8" x14ac:dyDescent="0.2">
      <c r="B11" s="47" t="s">
        <v>765</v>
      </c>
      <c r="C11" s="47"/>
      <c r="D11" s="47"/>
      <c r="E11" s="47"/>
    </row>
    <row r="12" spans="2:8" x14ac:dyDescent="0.2">
      <c r="B12" s="47" t="s">
        <v>766</v>
      </c>
      <c r="C12" s="47"/>
      <c r="D12" s="47"/>
      <c r="E12" s="47"/>
    </row>
    <row r="13" spans="2:8" x14ac:dyDescent="0.2">
      <c r="B13" s="47" t="s">
        <v>767</v>
      </c>
      <c r="C13" s="47"/>
      <c r="D13" s="47"/>
      <c r="E13" s="47"/>
    </row>
    <row r="14" spans="2:8" x14ac:dyDescent="0.2">
      <c r="B14" s="47" t="s">
        <v>768</v>
      </c>
      <c r="C14" s="47"/>
      <c r="D14" s="47"/>
      <c r="E14" s="47"/>
    </row>
    <row r="15" spans="2:8" x14ac:dyDescent="0.2">
      <c r="B15" s="47" t="s">
        <v>769</v>
      </c>
      <c r="C15" s="47"/>
      <c r="D15" s="47"/>
      <c r="E15" s="47"/>
    </row>
    <row r="16" spans="2:8" x14ac:dyDescent="0.2">
      <c r="B16" s="47" t="s">
        <v>770</v>
      </c>
      <c r="C16" s="47"/>
      <c r="D16" s="47"/>
      <c r="E16" s="47"/>
    </row>
    <row r="17" spans="2:5" x14ac:dyDescent="0.2">
      <c r="B17" s="47" t="s">
        <v>771</v>
      </c>
      <c r="C17" s="47"/>
      <c r="D17" s="47"/>
      <c r="E17" s="47"/>
    </row>
    <row r="18" spans="2:5" x14ac:dyDescent="0.2">
      <c r="B18" s="47" t="s">
        <v>772</v>
      </c>
      <c r="C18" s="47"/>
      <c r="D18" s="47"/>
      <c r="E18" s="47"/>
    </row>
    <row r="19" spans="2:5" x14ac:dyDescent="0.2">
      <c r="B19" s="47" t="s">
        <v>773</v>
      </c>
      <c r="C19" s="47"/>
      <c r="D19" s="47"/>
      <c r="E19" s="47"/>
    </row>
    <row r="20" spans="2:5" x14ac:dyDescent="0.2">
      <c r="B20" s="47" t="s">
        <v>774</v>
      </c>
      <c r="C20" s="47"/>
      <c r="D20" s="47"/>
      <c r="E20" s="47"/>
    </row>
  </sheetData>
  <sheetProtection algorithmName="SHA-512" hashValue="C/MjWYDvDegOf3aQc4M2ke2SvDBrKshFaOkMqOdlvG3iVrRtCNFHs79/Zd9ZJnxnVeO2mAkxlZbyPNG7++eaLg==" saltValue="32v+yLpvXUtLjMDPpgmzp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2025-12-15T08:13:36Z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