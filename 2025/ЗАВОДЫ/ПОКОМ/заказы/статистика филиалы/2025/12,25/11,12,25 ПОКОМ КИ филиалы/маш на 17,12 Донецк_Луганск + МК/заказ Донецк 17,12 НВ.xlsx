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2AFCA820-610E-4177-BFC4-8D80464E016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P186" i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Y152" i="1"/>
  <c r="X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P144" i="1"/>
  <c r="X141" i="1"/>
  <c r="X140" i="1"/>
  <c r="BO139" i="1"/>
  <c r="BM139" i="1"/>
  <c r="Y139" i="1"/>
  <c r="P139" i="1"/>
  <c r="BP138" i="1"/>
  <c r="BO138" i="1"/>
  <c r="BN138" i="1"/>
  <c r="BM138" i="1"/>
  <c r="Z138" i="1"/>
  <c r="Y138" i="1"/>
  <c r="P138" i="1"/>
  <c r="X136" i="1"/>
  <c r="Y135" i="1"/>
  <c r="X135" i="1"/>
  <c r="BP134" i="1"/>
  <c r="BO134" i="1"/>
  <c r="BN134" i="1"/>
  <c r="BM134" i="1"/>
  <c r="Z134" i="1"/>
  <c r="Y134" i="1"/>
  <c r="P134" i="1"/>
  <c r="BO133" i="1"/>
  <c r="BM133" i="1"/>
  <c r="Y133" i="1"/>
  <c r="P133" i="1"/>
  <c r="X131" i="1"/>
  <c r="X130" i="1"/>
  <c r="BO129" i="1"/>
  <c r="BM129" i="1"/>
  <c r="Y129" i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1" i="1" s="1"/>
  <c r="X24" i="1"/>
  <c r="BP23" i="1"/>
  <c r="BO23" i="1"/>
  <c r="BN23" i="1"/>
  <c r="BM23" i="1"/>
  <c r="Z23" i="1"/>
  <c r="Y23" i="1"/>
  <c r="P23" i="1"/>
  <c r="BO22" i="1"/>
  <c r="X493" i="1" s="1"/>
  <c r="BM22" i="1"/>
  <c r="X492" i="1" s="1"/>
  <c r="X494" i="1" s="1"/>
  <c r="Y22" i="1"/>
  <c r="B501" i="1" s="1"/>
  <c r="P22" i="1"/>
  <c r="H10" i="1"/>
  <c r="A9" i="1"/>
  <c r="F10" i="1" s="1"/>
  <c r="D7" i="1"/>
  <c r="Q6" i="1"/>
  <c r="P2" i="1"/>
  <c r="Z130" i="1" l="1"/>
  <c r="H9" i="1"/>
  <c r="A10" i="1"/>
  <c r="Y24" i="1"/>
  <c r="Y32" i="1"/>
  <c r="Y44" i="1"/>
  <c r="Y59" i="1"/>
  <c r="Y64" i="1"/>
  <c r="BP61" i="1"/>
  <c r="BN61" i="1"/>
  <c r="Z61" i="1"/>
  <c r="BP69" i="1"/>
  <c r="BN69" i="1"/>
  <c r="Z69" i="1"/>
  <c r="Y71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Z97" i="1" s="1"/>
  <c r="Y97" i="1"/>
  <c r="BP103" i="1"/>
  <c r="BN103" i="1"/>
  <c r="Z103" i="1"/>
  <c r="Z106" i="1" s="1"/>
  <c r="BP110" i="1"/>
  <c r="BN110" i="1"/>
  <c r="Z110" i="1"/>
  <c r="BP118" i="1"/>
  <c r="BN118" i="1"/>
  <c r="Z118" i="1"/>
  <c r="BP139" i="1"/>
  <c r="BN139" i="1"/>
  <c r="Z139" i="1"/>
  <c r="Z140" i="1" s="1"/>
  <c r="Y141" i="1"/>
  <c r="H501" i="1"/>
  <c r="Y147" i="1"/>
  <c r="BP144" i="1"/>
  <c r="BN144" i="1"/>
  <c r="Z144" i="1"/>
  <c r="Z146" i="1" s="1"/>
  <c r="Y177" i="1"/>
  <c r="BP165" i="1"/>
  <c r="BN165" i="1"/>
  <c r="Z165" i="1"/>
  <c r="BP169" i="1"/>
  <c r="BN169" i="1"/>
  <c r="Z169" i="1"/>
  <c r="BP174" i="1"/>
  <c r="BN174" i="1"/>
  <c r="Z174" i="1"/>
  <c r="BP182" i="1"/>
  <c r="BN182" i="1"/>
  <c r="Z182" i="1"/>
  <c r="Y184" i="1"/>
  <c r="Y187" i="1"/>
  <c r="BP186" i="1"/>
  <c r="BN186" i="1"/>
  <c r="Z186" i="1"/>
  <c r="Z187" i="1" s="1"/>
  <c r="Y188" i="1"/>
  <c r="J501" i="1"/>
  <c r="Y194" i="1"/>
  <c r="BP191" i="1"/>
  <c r="BN191" i="1"/>
  <c r="Z191" i="1"/>
  <c r="Z193" i="1" s="1"/>
  <c r="BP296" i="1"/>
  <c r="BN296" i="1"/>
  <c r="Z296" i="1"/>
  <c r="BP304" i="1"/>
  <c r="BN304" i="1"/>
  <c r="Z304" i="1"/>
  <c r="Y308" i="1"/>
  <c r="BP312" i="1"/>
  <c r="BN312" i="1"/>
  <c r="Z312" i="1"/>
  <c r="Z315" i="1" s="1"/>
  <c r="Y316" i="1"/>
  <c r="BP320" i="1"/>
  <c r="BN320" i="1"/>
  <c r="Z320" i="1"/>
  <c r="Y322" i="1"/>
  <c r="Y329" i="1"/>
  <c r="BP324" i="1"/>
  <c r="BN324" i="1"/>
  <c r="Z324" i="1"/>
  <c r="Y328" i="1"/>
  <c r="BP332" i="1"/>
  <c r="BN332" i="1"/>
  <c r="Z332" i="1"/>
  <c r="Z334" i="1" s="1"/>
  <c r="Y334" i="1"/>
  <c r="D501" i="1"/>
  <c r="F9" i="1"/>
  <c r="J9" i="1"/>
  <c r="Z22" i="1"/>
  <c r="Z24" i="1" s="1"/>
  <c r="BN22" i="1"/>
  <c r="BP22" i="1"/>
  <c r="X495" i="1"/>
  <c r="Y25" i="1"/>
  <c r="Z28" i="1"/>
  <c r="Z32" i="1" s="1"/>
  <c r="BN28" i="1"/>
  <c r="Z30" i="1"/>
  <c r="BN30" i="1"/>
  <c r="C501" i="1"/>
  <c r="Z42" i="1"/>
  <c r="Z44" i="1" s="1"/>
  <c r="BN42" i="1"/>
  <c r="Y45" i="1"/>
  <c r="Y58" i="1"/>
  <c r="Z53" i="1"/>
  <c r="Z58" i="1" s="1"/>
  <c r="BN53" i="1"/>
  <c r="Z55" i="1"/>
  <c r="BN55" i="1"/>
  <c r="Z57" i="1"/>
  <c r="BN57" i="1"/>
  <c r="BP63" i="1"/>
  <c r="BN63" i="1"/>
  <c r="Z63" i="1"/>
  <c r="Y65" i="1"/>
  <c r="Y70" i="1"/>
  <c r="BP67" i="1"/>
  <c r="BN67" i="1"/>
  <c r="Z67" i="1"/>
  <c r="Z70" i="1" s="1"/>
  <c r="BP75" i="1"/>
  <c r="BN75" i="1"/>
  <c r="Z75" i="1"/>
  <c r="Y82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BP112" i="1"/>
  <c r="BN112" i="1"/>
  <c r="Z112" i="1"/>
  <c r="Y114" i="1"/>
  <c r="Y121" i="1"/>
  <c r="BP116" i="1"/>
  <c r="BN116" i="1"/>
  <c r="Z116" i="1"/>
  <c r="Y120" i="1"/>
  <c r="BP129" i="1"/>
  <c r="BN129" i="1"/>
  <c r="Z129" i="1"/>
  <c r="Y131" i="1"/>
  <c r="Y136" i="1"/>
  <c r="BP133" i="1"/>
  <c r="BN133" i="1"/>
  <c r="Z133" i="1"/>
  <c r="Z135" i="1" s="1"/>
  <c r="Y140" i="1"/>
  <c r="Y146" i="1"/>
  <c r="BP150" i="1"/>
  <c r="BN150" i="1"/>
  <c r="Z150" i="1"/>
  <c r="Z152" i="1" s="1"/>
  <c r="BP167" i="1"/>
  <c r="BN167" i="1"/>
  <c r="Z167" i="1"/>
  <c r="BP171" i="1"/>
  <c r="BN171" i="1"/>
  <c r="Z171" i="1"/>
  <c r="BP176" i="1"/>
  <c r="BN176" i="1"/>
  <c r="Z176" i="1"/>
  <c r="Y178" i="1"/>
  <c r="Y183" i="1"/>
  <c r="BP180" i="1"/>
  <c r="BN180" i="1"/>
  <c r="Z180" i="1"/>
  <c r="Z183" i="1" s="1"/>
  <c r="Y193" i="1"/>
  <c r="BP202" i="1"/>
  <c r="BN202" i="1"/>
  <c r="Z202" i="1"/>
  <c r="Y210" i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9" i="1" s="1"/>
  <c r="Y239" i="1"/>
  <c r="BP251" i="1"/>
  <c r="BN251" i="1"/>
  <c r="Z251" i="1"/>
  <c r="Y255" i="1"/>
  <c r="BP260" i="1"/>
  <c r="BN260" i="1"/>
  <c r="Z260" i="1"/>
  <c r="Z264" i="1" s="1"/>
  <c r="L501" i="1"/>
  <c r="Y264" i="1"/>
  <c r="BP269" i="1"/>
  <c r="BN269" i="1"/>
  <c r="Z269" i="1"/>
  <c r="Z272" i="1" s="1"/>
  <c r="Y273" i="1"/>
  <c r="BP278" i="1"/>
  <c r="BN278" i="1"/>
  <c r="Z278" i="1"/>
  <c r="Y280" i="1"/>
  <c r="P501" i="1"/>
  <c r="Y286" i="1"/>
  <c r="BP283" i="1"/>
  <c r="BN283" i="1"/>
  <c r="Z283" i="1"/>
  <c r="Z285" i="1" s="1"/>
  <c r="Y285" i="1"/>
  <c r="Z290" i="1"/>
  <c r="BP347" i="1"/>
  <c r="BN347" i="1"/>
  <c r="Z347" i="1"/>
  <c r="Z353" i="1" s="1"/>
  <c r="BP351" i="1"/>
  <c r="BN351" i="1"/>
  <c r="Z351" i="1"/>
  <c r="BP390" i="1"/>
  <c r="BN390" i="1"/>
  <c r="Z390" i="1"/>
  <c r="Z398" i="1" s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F501" i="1"/>
  <c r="Y106" i="1"/>
  <c r="G501" i="1"/>
  <c r="Y130" i="1"/>
  <c r="I501" i="1"/>
  <c r="Y163" i="1"/>
  <c r="Y199" i="1"/>
  <c r="BP196" i="1"/>
  <c r="Y209" i="1"/>
  <c r="BP204" i="1"/>
  <c r="BN204" i="1"/>
  <c r="Z204" i="1"/>
  <c r="Z209" i="1" s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Z255" i="1" s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Z279" i="1" s="1"/>
  <c r="BP289" i="1"/>
  <c r="BN289" i="1"/>
  <c r="Z289" i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Z321" i="1" s="1"/>
  <c r="BP326" i="1"/>
  <c r="BN326" i="1"/>
  <c r="Z326" i="1"/>
  <c r="Y335" i="1"/>
  <c r="BP339" i="1"/>
  <c r="BN339" i="1"/>
  <c r="Z339" i="1"/>
  <c r="Z341" i="1" s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Z384" i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Z437" i="1" s="1"/>
  <c r="BP429" i="1"/>
  <c r="BN429" i="1"/>
  <c r="Z429" i="1"/>
  <c r="BP433" i="1"/>
  <c r="BN433" i="1"/>
  <c r="Z433" i="1"/>
  <c r="Y437" i="1"/>
  <c r="Z443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415" i="1" l="1"/>
  <c r="Y491" i="1"/>
  <c r="Y493" i="1"/>
  <c r="Z90" i="1"/>
  <c r="Z77" i="1"/>
  <c r="Z64" i="1"/>
  <c r="Z496" i="1" s="1"/>
  <c r="Z308" i="1"/>
  <c r="Z299" i="1"/>
  <c r="Z221" i="1"/>
  <c r="Z465" i="1"/>
  <c r="Z120" i="1"/>
  <c r="Z113" i="1"/>
  <c r="Y492" i="1"/>
  <c r="Z328" i="1"/>
  <c r="Z177" i="1"/>
  <c r="Y495" i="1"/>
  <c r="Y494" i="1" l="1"/>
</calcChain>
</file>

<file path=xl/sharedStrings.xml><?xml version="1.0" encoding="utf-8"?>
<sst xmlns="http://schemas.openxmlformats.org/spreadsheetml/2006/main" count="2295" uniqueCount="775">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</sst>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8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46004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Суббота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0.41666666666666669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9">
        <v>4680115882539</v>
      </c>
      <c r="E42" s="550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49">
        <v>4607091385687</v>
      </c>
      <c r="E43" s="550"/>
      <c r="F43" s="544">
        <v>0.4</v>
      </c>
      <c r="G43" s="32">
        <v>10</v>
      </c>
      <c r="H43" s="544">
        <v>4</v>
      </c>
      <c r="I43" s="54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0</v>
      </c>
      <c r="Y44" s="547">
        <f>IFERROR(Y41/H41,"0")+IFERROR(Y42/H42,"0")+IFERROR(Y43/H43,"0")</f>
        <v>0</v>
      </c>
      <c r="Z44" s="547">
        <f>IFERROR(IF(Z41="",0,Z41),"0")+IFERROR(IF(Z42="",0,Z42),"0")+IFERROR(IF(Z43="",0,Z43),"0")</f>
        <v>0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0</v>
      </c>
      <c r="Y45" s="547">
        <f>IFERROR(SUM(Y41:Y43),"0")</f>
        <v>0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/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75</v>
      </c>
      <c r="Y53" s="546">
        <f t="shared" si="0"/>
        <v>75.600000000000009</v>
      </c>
      <c r="Z53" s="36">
        <f>IFERROR(IF(Y53=0,"",ROUNDUP(Y53/H53,0)*0.01898),"")</f>
        <v>0.13286000000000001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77.847222222222229</v>
      </c>
      <c r="BN53" s="64">
        <f t="shared" si="2"/>
        <v>78.47</v>
      </c>
      <c r="BO53" s="64">
        <f t="shared" si="3"/>
        <v>0.10850694444444443</v>
      </c>
      <c r="BP53" s="64">
        <f t="shared" si="4"/>
        <v>0.109375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 t="s">
        <v>115</v>
      </c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 t="s">
        <v>109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6.9444444444444438</v>
      </c>
      <c r="Y58" s="547">
        <f>IFERROR(Y52/H52,"0")+IFERROR(Y53/H53,"0")+IFERROR(Y54/H54,"0")+IFERROR(Y55/H55,"0")+IFERROR(Y56/H56,"0")+IFERROR(Y57/H57,"0")</f>
        <v>7</v>
      </c>
      <c r="Z58" s="547">
        <f>IFERROR(IF(Z52="",0,Z52),"0")+IFERROR(IF(Z53="",0,Z53),"0")+IFERROR(IF(Z54="",0,Z54),"0")+IFERROR(IF(Z55="",0,Z55),"0")+IFERROR(IF(Z56="",0,Z56),"0")+IFERROR(IF(Z57="",0,Z57),"0")</f>
        <v>0.13286000000000001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75</v>
      </c>
      <c r="Y59" s="547">
        <f>IFERROR(SUM(Y52:Y57),"0")</f>
        <v>75.600000000000009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0</v>
      </c>
      <c r="Y64" s="547">
        <f>IFERROR(Y61/H61,"0")+IFERROR(Y62/H62,"0")+IFERROR(Y63/H63,"0")</f>
        <v>0</v>
      </c>
      <c r="Z64" s="547">
        <f>IFERROR(IF(Z61="",0,Z61),"0")+IFERROR(IF(Z62="",0,Z62),"0")+IFERROR(IF(Z63="",0,Z63),"0")</f>
        <v>0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0</v>
      </c>
      <c r="Y65" s="547">
        <f>IFERROR(SUM(Y61:Y63),"0")</f>
        <v>0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/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248</v>
      </c>
      <c r="Y86" s="546">
        <f>IFERROR(IF(X86="",0,CEILING((X86/$H86),1)*$H86),"")</f>
        <v>248.4</v>
      </c>
      <c r="Z86" s="36">
        <f>IFERROR(IF(Y86=0,"",ROUNDUP(Y86/H86,0)*0.01898),"")</f>
        <v>0.43653999999999998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257.41481481481486</v>
      </c>
      <c r="BN86" s="64">
        <f>IFERROR(Y86*I86/H86,"0")</f>
        <v>257.83</v>
      </c>
      <c r="BO86" s="64">
        <f>IFERROR(1/J86*(X86/H86),"0")</f>
        <v>0.35879629629629628</v>
      </c>
      <c r="BP86" s="64">
        <f>IFERROR(1/J86*(Y86/H86),"0")</f>
        <v>0.359375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 t="s">
        <v>115</v>
      </c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109</v>
      </c>
      <c r="AK88" s="68">
        <v>48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39</v>
      </c>
      <c r="Y89" s="546">
        <f>IFERROR(IF(X89="",0,CEILING((X89/$H89),1)*$H89),"")</f>
        <v>40.5</v>
      </c>
      <c r="Z89" s="36">
        <f>IFERROR(IF(Y89=0,"",ROUNDUP(Y89/H89,0)*0.00902),"")</f>
        <v>8.1180000000000002E-2</v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40.646666666666675</v>
      </c>
      <c r="BN89" s="64">
        <f>IFERROR(Y89*I89/H89,"0")</f>
        <v>42.210000000000008</v>
      </c>
      <c r="BO89" s="64">
        <f>IFERROR(1/J89*(X89/H89),"0")</f>
        <v>6.5656565656565649E-2</v>
      </c>
      <c r="BP89" s="64">
        <f>IFERROR(1/J89*(Y89/H89),"0")</f>
        <v>6.8181818181818177E-2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31.629629629629626</v>
      </c>
      <c r="Y90" s="547">
        <f>IFERROR(Y86/H86,"0")+IFERROR(Y87/H87,"0")+IFERROR(Y88/H88,"0")+IFERROR(Y89/H89,"0")</f>
        <v>32</v>
      </c>
      <c r="Z90" s="547">
        <f>IFERROR(IF(Z86="",0,Z86),"0")+IFERROR(IF(Z87="",0,Z87),"0")+IFERROR(IF(Z88="",0,Z88),"0")+IFERROR(IF(Z89="",0,Z89),"0")</f>
        <v>0.51771999999999996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287</v>
      </c>
      <c r="Y91" s="547">
        <f>IFERROR(SUM(Y86:Y89),"0")</f>
        <v>288.89999999999998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 t="s">
        <v>194</v>
      </c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 t="s">
        <v>109</v>
      </c>
      <c r="AK95" s="68">
        <v>37.799999999999997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195</v>
      </c>
      <c r="B96" s="54" t="s">
        <v>196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 t="s">
        <v>194</v>
      </c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197</v>
      </c>
      <c r="AG96" s="64"/>
      <c r="AJ96" s="68" t="s">
        <v>109</v>
      </c>
      <c r="AK96" s="68">
        <v>27.72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0</v>
      </c>
      <c r="Y97" s="547">
        <f>IFERROR(Y93/H93,"0")+IFERROR(Y94/H94,"0")+IFERROR(Y95/H95,"0")+IFERROR(Y96/H96,"0")</f>
        <v>0</v>
      </c>
      <c r="Z97" s="547">
        <f>IFERROR(IF(Z93="",0,Z93),"0")+IFERROR(IF(Z94="",0,Z94),"0")+IFERROR(IF(Z95="",0,Z95),"0")+IFERROR(IF(Z96="",0,Z96),"0")</f>
        <v>0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0</v>
      </c>
      <c r="Y98" s="547">
        <f>IFERROR(SUM(Y93:Y96),"0")</f>
        <v>0</v>
      </c>
      <c r="Z98" s="37"/>
      <c r="AA98" s="548"/>
      <c r="AB98" s="548"/>
      <c r="AC98" s="548"/>
    </row>
    <row r="99" spans="1:68" ht="16.5" customHeight="1" x14ac:dyDescent="0.25">
      <c r="A99" s="591" t="s">
        <v>198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199</v>
      </c>
      <c r="B101" s="54" t="s">
        <v>200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245</v>
      </c>
      <c r="Y101" s="546">
        <f>IFERROR(IF(X101="",0,CEILING((X101/$H101),1)*$H101),"")</f>
        <v>248.4</v>
      </c>
      <c r="Z101" s="36">
        <f>IFERROR(IF(Y101=0,"",ROUNDUP(Y101/H101,0)*0.01898),"")</f>
        <v>0.43653999999999998</v>
      </c>
      <c r="AA101" s="56"/>
      <c r="AB101" s="57"/>
      <c r="AC101" s="145" t="s">
        <v>201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254.30092592592592</v>
      </c>
      <c r="BN101" s="64">
        <f>IFERROR(Y101*I101/H101,"0")</f>
        <v>257.83</v>
      </c>
      <c r="BO101" s="64">
        <f>IFERROR(1/J101*(X101/H101),"0")</f>
        <v>0.35445601851851849</v>
      </c>
      <c r="BP101" s="64">
        <f>IFERROR(1/J101*(Y101/H101),"0")</f>
        <v>0.359375</v>
      </c>
    </row>
    <row r="102" spans="1:68" ht="27" customHeight="1" x14ac:dyDescent="0.25">
      <c r="A102" s="54" t="s">
        <v>202</v>
      </c>
      <c r="B102" s="54" t="s">
        <v>203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204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206</v>
      </c>
      <c r="B103" s="54" t="s">
        <v>207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201</v>
      </c>
      <c r="AG103" s="64"/>
      <c r="AJ103" s="68" t="s">
        <v>109</v>
      </c>
      <c r="AK103" s="68">
        <v>45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208</v>
      </c>
      <c r="B104" s="54" t="s">
        <v>209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0</v>
      </c>
      <c r="Y104" s="54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201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37.5" customHeight="1" x14ac:dyDescent="0.25">
      <c r="A105" s="54" t="s">
        <v>210</v>
      </c>
      <c r="B105" s="54" t="s">
        <v>211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201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22.685185185185183</v>
      </c>
      <c r="Y106" s="547">
        <f>IFERROR(Y101/H101,"0")+IFERROR(Y102/H102,"0")+IFERROR(Y103/H103,"0")+IFERROR(Y104/H104,"0")+IFERROR(Y105/H105,"0")</f>
        <v>23</v>
      </c>
      <c r="Z106" s="547">
        <f>IFERROR(IF(Z101="",0,Z101),"0")+IFERROR(IF(Z102="",0,Z102),"0")+IFERROR(IF(Z103="",0,Z103),"0")+IFERROR(IF(Z104="",0,Z104),"0")+IFERROR(IF(Z105="",0,Z105),"0")</f>
        <v>0.43653999999999998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245</v>
      </c>
      <c r="Y107" s="547">
        <f>IFERROR(SUM(Y101:Y105),"0")</f>
        <v>248.4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212</v>
      </c>
      <c r="B109" s="54" t="s">
        <v>213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214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215</v>
      </c>
      <c r="B110" s="54" t="s">
        <v>216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217</v>
      </c>
      <c r="L110" s="32"/>
      <c r="M110" s="33" t="s">
        <v>68</v>
      </c>
      <c r="N110" s="33"/>
      <c r="O110" s="32">
        <v>30</v>
      </c>
      <c r="P110" s="843" t="s">
        <v>218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219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220</v>
      </c>
      <c r="B111" s="54" t="s">
        <v>221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214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222</v>
      </c>
      <c r="B112" s="54" t="s">
        <v>223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/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0</v>
      </c>
      <c r="Y112" s="546">
        <f>IFERROR(IF(X112="",0,CEILING((X112/$H112),1)*$H112),"")</f>
        <v>0</v>
      </c>
      <c r="Z112" s="36" t="str">
        <f>IFERROR(IF(Y112=0,"",ROUNDUP(Y112/H112,0)*0.00651),"")</f>
        <v/>
      </c>
      <c r="AA112" s="56"/>
      <c r="AB112" s="57"/>
      <c r="AC112" s="161" t="s">
        <v>214</v>
      </c>
      <c r="AG112" s="64"/>
      <c r="AJ112" s="68"/>
      <c r="AK112" s="68">
        <v>0</v>
      </c>
      <c r="BB112" s="162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0</v>
      </c>
      <c r="Y113" s="547">
        <f>IFERROR(Y109/H109,"0")+IFERROR(Y110/H110,"0")+IFERROR(Y111/H111,"0")+IFERROR(Y112/H112,"0")</f>
        <v>0</v>
      </c>
      <c r="Z113" s="547">
        <f>IFERROR(IF(Z109="",0,Z109),"0")+IFERROR(IF(Z110="",0,Z110),"0")+IFERROR(IF(Z111="",0,Z111),"0")+IFERROR(IF(Z112="",0,Z112),"0")</f>
        <v>0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0</v>
      </c>
      <c r="Y114" s="547">
        <f>IFERROR(SUM(Y109:Y112),"0")</f>
        <v>0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194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0</v>
      </c>
      <c r="Y120" s="547">
        <f>IFERROR(Y116/H116,"0")+IFERROR(Y117/H117,"0")+IFERROR(Y118/H118,"0")+IFERROR(Y119/H119,"0")</f>
        <v>0</v>
      </c>
      <c r="Z120" s="547">
        <f>IFERROR(IF(Z116="",0,Z116),"0")+IFERROR(IF(Z117="",0,Z117),"0")+IFERROR(IF(Z118="",0,Z118),"0")+IFERROR(IF(Z119="",0,Z119),"0")</f>
        <v>0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0</v>
      </c>
      <c r="Y121" s="547">
        <f>IFERROR(SUM(Y116:Y119),"0")</f>
        <v>0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 t="s">
        <v>194</v>
      </c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 t="s">
        <v>109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 t="s">
        <v>194</v>
      </c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 t="s">
        <v>109</v>
      </c>
      <c r="AK129" s="68">
        <v>44.8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 t="s">
        <v>194</v>
      </c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 t="s">
        <v>109</v>
      </c>
      <c r="AK134" s="68">
        <v>39.200000000000003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/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0</v>
      </c>
      <c r="Y178" s="547">
        <f>IFERROR(SUM(Y165:Y176),"0")</f>
        <v>0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 t="s">
        <v>194</v>
      </c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 t="s">
        <v>109</v>
      </c>
      <c r="AK192" s="68">
        <v>37.799999999999997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/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 t="s">
        <v>109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0</v>
      </c>
      <c r="Y209" s="547">
        <f>IFERROR(Y201/H201,"0")+IFERROR(Y202/H202,"0")+IFERROR(Y203/H203,"0")+IFERROR(Y204/H204,"0")+IFERROR(Y205/H205,"0")+IFERROR(Y206/H206,"0")+IFERROR(Y207/H207,"0")+IFERROR(Y208/H208,"0")</f>
        <v>0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0</v>
      </c>
      <c r="Y210" s="547">
        <f>IFERROR(SUM(Y201:Y208),"0")</f>
        <v>0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 t="s">
        <v>106</v>
      </c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 t="s">
        <v>109</v>
      </c>
      <c r="AK212" s="68">
        <v>64.8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 t="s">
        <v>106</v>
      </c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 t="s">
        <v>109</v>
      </c>
      <c r="AK213" s="68">
        <v>64.8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194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194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194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194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194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0</v>
      </c>
      <c r="Y221" s="547">
        <f>IFERROR(Y212/H212,"0")+IFERROR(Y213/H213,"0")+IFERROR(Y214/H214,"0")+IFERROR(Y215/H215,"0")+IFERROR(Y216/H216,"0")+IFERROR(Y217/H217,"0")+IFERROR(Y218/H218,"0")+IFERROR(Y219/H219,"0")+IFERROR(Y220/H220,"0")</f>
        <v>0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0</v>
      </c>
      <c r="Y222" s="547">
        <f>IFERROR(SUM(Y212:Y220),"0")</f>
        <v>0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/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/>
      <c r="AK225" s="68">
        <v>0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/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0</v>
      </c>
      <c r="Y230" s="546">
        <f t="shared" ref="Y230:Y238" si="21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77" t="s">
        <v>383</v>
      </c>
      <c r="AG230" s="64"/>
      <c r="AJ230" s="68"/>
      <c r="AK230" s="68">
        <v>0</v>
      </c>
      <c r="BB230" s="278" t="s">
        <v>1</v>
      </c>
      <c r="BM230" s="64">
        <f t="shared" ref="BM230:BM238" si="22">IFERROR(X230*I230/H230,"0")</f>
        <v>0</v>
      </c>
      <c r="BN230" s="64">
        <f t="shared" ref="BN230:BN238" si="23">IFERROR(Y230*I230/H230,"0")</f>
        <v>0</v>
      </c>
      <c r="BO230" s="64">
        <f t="shared" ref="BO230:BO238" si="24">IFERROR(1/J230*(X230/H230),"0")</f>
        <v>0</v>
      </c>
      <c r="BP230" s="64">
        <f t="shared" ref="BP230:BP238" si="25">IFERROR(1/J230*(Y230/H230),"0")</f>
        <v>0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 t="s">
        <v>115</v>
      </c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 t="s">
        <v>109</v>
      </c>
      <c r="AK237" s="68">
        <v>48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0</v>
      </c>
      <c r="Y239" s="547">
        <f>IFERROR(Y230/H230,"0")+IFERROR(Y231/H231,"0")+IFERROR(Y232/H232,"0")+IFERROR(Y233/H233,"0")+IFERROR(Y234/H234,"0")+IFERROR(Y235/H235,"0")+IFERROR(Y236/H236,"0")+IFERROR(Y237/H237,"0")+IFERROR(Y238/H238,"0")</f>
        <v>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0</v>
      </c>
      <c r="Y240" s="547">
        <f>IFERROR(SUM(Y230:Y238),"0")</f>
        <v>0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 t="s">
        <v>106</v>
      </c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 t="s">
        <v>109</v>
      </c>
      <c r="AK259" s="68">
        <v>86.4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 t="s">
        <v>106</v>
      </c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 t="s">
        <v>109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194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194</v>
      </c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 t="s">
        <v>115</v>
      </c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 t="s">
        <v>109</v>
      </c>
      <c r="AK303" s="68">
        <v>50.4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 t="s">
        <v>106</v>
      </c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 t="s">
        <v>109</v>
      </c>
      <c r="AK311" s="68">
        <v>62.4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/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/>
      <c r="AK318" s="68">
        <v>0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0</v>
      </c>
      <c r="Y319" s="546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/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0</v>
      </c>
      <c r="Y321" s="547">
        <f>IFERROR(Y318/H318,"0")+IFERROR(Y319/H319,"0")+IFERROR(Y320/H320,"0")</f>
        <v>0</v>
      </c>
      <c r="Z321" s="547">
        <f>IFERROR(IF(Z318="",0,Z318),"0")+IFERROR(IF(Z319="",0,Z319),"0")+IFERROR(IF(Z320="",0,Z320),"0")</f>
        <v>0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0</v>
      </c>
      <c r="Y322" s="547">
        <f>IFERROR(SUM(Y318:Y320),"0")</f>
        <v>0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 t="s">
        <v>194</v>
      </c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 t="s">
        <v>109</v>
      </c>
      <c r="AK326" s="68">
        <v>35.700000000000003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194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14</v>
      </c>
      <c r="Y327" s="546">
        <f>IFERROR(IF(X327="",0,CEILING((X327/$H327),1)*$H327),"")</f>
        <v>15.299999999999999</v>
      </c>
      <c r="Z327" s="36">
        <f>IFERROR(IF(Y327=0,"",ROUNDUP(Y327/H327,0)*0.00651),"")</f>
        <v>3.9059999999999997E-2</v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15.811764705882354</v>
      </c>
      <c r="BN327" s="64">
        <f>IFERROR(Y327*I327/H327,"0")</f>
        <v>17.279999999999998</v>
      </c>
      <c r="BO327" s="64">
        <f>IFERROR(1/J327*(X327/H327),"0")</f>
        <v>3.0165912518853699E-2</v>
      </c>
      <c r="BP327" s="64">
        <f>IFERROR(1/J327*(Y327/H327),"0")</f>
        <v>3.2967032967032968E-2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5.4901960784313726</v>
      </c>
      <c r="Y328" s="547">
        <f>IFERROR(Y324/H324,"0")+IFERROR(Y325/H325,"0")+IFERROR(Y326/H326,"0")+IFERROR(Y327/H327,"0")</f>
        <v>6</v>
      </c>
      <c r="Z328" s="547">
        <f>IFERROR(IF(Z324="",0,Z324),"0")+IFERROR(IF(Z325="",0,Z325),"0")+IFERROR(IF(Z326="",0,Z326),"0")+IFERROR(IF(Z327="",0,Z327),"0")</f>
        <v>3.9059999999999997E-2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14</v>
      </c>
      <c r="Y329" s="547">
        <f>IFERROR(SUM(Y324:Y327),"0")</f>
        <v>15.299999999999999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/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/>
      <c r="AK338" s="68">
        <v>0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 t="s">
        <v>194</v>
      </c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 t="s">
        <v>109</v>
      </c>
      <c r="AK339" s="68">
        <v>29.4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 t="s">
        <v>194</v>
      </c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 t="s">
        <v>109</v>
      </c>
      <c r="AK340" s="68">
        <v>29.4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709</v>
      </c>
      <c r="Y346" s="546">
        <f t="shared" ref="Y346:Y352" si="31">IFERROR(IF(X346="",0,CEILING((X346/$H346),1)*$H346),"")</f>
        <v>720</v>
      </c>
      <c r="Z346" s="36">
        <f>IFERROR(IF(Y346=0,"",ROUNDUP(Y346/H346,0)*0.02175),"")</f>
        <v>1.044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731.21533333333332</v>
      </c>
      <c r="BN346" s="64">
        <f t="shared" ref="BN346:BN352" si="33">IFERROR(Y346*I346/H346,"0")</f>
        <v>742.56</v>
      </c>
      <c r="BO346" s="64">
        <f t="shared" ref="BO346:BO352" si="34">IFERROR(1/J346*(X346/H346),"0")</f>
        <v>0.98472222222222217</v>
      </c>
      <c r="BP346" s="64">
        <f t="shared" ref="BP346:BP352" si="35">IFERROR(1/J346*(Y346/H346),"0")</f>
        <v>1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219</v>
      </c>
      <c r="Y347" s="546">
        <f t="shared" si="31"/>
        <v>225</v>
      </c>
      <c r="Z347" s="36">
        <f>IFERROR(IF(Y347=0,"",ROUNDUP(Y347/H347,0)*0.02175),"")</f>
        <v>0.32624999999999998</v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225.86200000000002</v>
      </c>
      <c r="BN347" s="64">
        <f t="shared" si="33"/>
        <v>232.05</v>
      </c>
      <c r="BO347" s="64">
        <f t="shared" si="34"/>
        <v>0.30416666666666664</v>
      </c>
      <c r="BP347" s="64">
        <f t="shared" si="35"/>
        <v>0.3125</v>
      </c>
    </row>
    <row r="348" spans="1:68" ht="27" customHeight="1" x14ac:dyDescent="0.25">
      <c r="A348" s="54" t="s">
        <v>559</v>
      </c>
      <c r="B348" s="54" t="s">
        <v>560</v>
      </c>
      <c r="C348" s="31">
        <v>4301012215</v>
      </c>
      <c r="D348" s="549">
        <v>4680115887046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/>
      <c r="M348" s="33" t="s">
        <v>87</v>
      </c>
      <c r="N348" s="33"/>
      <c r="O348" s="32">
        <v>60</v>
      </c>
      <c r="P348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0</v>
      </c>
      <c r="Y348" s="546">
        <f t="shared" si="31"/>
        <v>0</v>
      </c>
      <c r="Z348" s="36" t="str">
        <f>IFERROR(IF(Y348=0,"",ROUNDUP(Y348/H348,0)*0.02175),"")</f>
        <v/>
      </c>
      <c r="AA348" s="56"/>
      <c r="AB348" s="57"/>
      <c r="AC348" s="401" t="s">
        <v>561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562</v>
      </c>
      <c r="B349" s="54" t="s">
        <v>563</v>
      </c>
      <c r="C349" s="31">
        <v>4301011867</v>
      </c>
      <c r="D349" s="549">
        <v>4680115884830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 t="s">
        <v>106</v>
      </c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0</v>
      </c>
      <c r="Y349" s="546">
        <f t="shared" si="31"/>
        <v>0</v>
      </c>
      <c r="Z349" s="36" t="str">
        <f>IFERROR(IF(Y349=0,"",ROUNDUP(Y349/H349,0)*0.02175),"")</f>
        <v/>
      </c>
      <c r="AA349" s="56"/>
      <c r="AB349" s="57"/>
      <c r="AC349" s="403" t="s">
        <v>564</v>
      </c>
      <c r="AG349" s="64"/>
      <c r="AJ349" s="68" t="s">
        <v>109</v>
      </c>
      <c r="AK349" s="68">
        <v>120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564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61.866666666666667</v>
      </c>
      <c r="Y353" s="547">
        <f>IFERROR(Y346/H346,"0")+IFERROR(Y347/H347,"0")+IFERROR(Y348/H348,"0")+IFERROR(Y349/H349,"0")+IFERROR(Y350/H350,"0")+IFERROR(Y351/H351,"0")+IFERROR(Y352/H352,"0")</f>
        <v>63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1.37025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928</v>
      </c>
      <c r="Y354" s="547">
        <f>IFERROR(SUM(Y346:Y352),"0")</f>
        <v>945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889</v>
      </c>
      <c r="Y356" s="546">
        <f>IFERROR(IF(X356="",0,CEILING((X356/$H356),1)*$H356),"")</f>
        <v>900</v>
      </c>
      <c r="Z356" s="36">
        <f>IFERROR(IF(Y356=0,"",ROUNDUP(Y356/H356,0)*0.02175),"")</f>
        <v>1.3049999999999999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916.85533333333331</v>
      </c>
      <c r="BN356" s="64">
        <f>IFERROR(Y356*I356/H356,"0")</f>
        <v>928.2</v>
      </c>
      <c r="BO356" s="64">
        <f>IFERROR(1/J356*(X356/H356),"0")</f>
        <v>1.2347222222222221</v>
      </c>
      <c r="BP356" s="64">
        <f>IFERROR(1/J356*(Y356/H356),"0")</f>
        <v>1.25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59.266666666666666</v>
      </c>
      <c r="Y358" s="547">
        <f>IFERROR(Y356/H356,"0")+IFERROR(Y357/H357,"0")</f>
        <v>60</v>
      </c>
      <c r="Z358" s="547">
        <f>IFERROR(IF(Z356="",0,Z356),"0")+IFERROR(IF(Z357="",0,Z357),"0")</f>
        <v>1.3049999999999999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889</v>
      </c>
      <c r="Y359" s="547">
        <f>IFERROR(SUM(Y356:Y357),"0")</f>
        <v>900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 t="s">
        <v>106</v>
      </c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 t="s">
        <v>109</v>
      </c>
      <c r="AK371" s="68">
        <v>96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4301031457</v>
      </c>
      <c r="D376" s="549">
        <v>4607091384802</v>
      </c>
      <c r="E376" s="550"/>
      <c r="F376" s="544">
        <v>0.7</v>
      </c>
      <c r="G376" s="32">
        <v>6</v>
      </c>
      <c r="H376" s="544">
        <v>4.2</v>
      </c>
      <c r="I376" s="544">
        <v>4.45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50</v>
      </c>
      <c r="P376" s="6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4301031303</v>
      </c>
      <c r="D377" s="549">
        <v>4607091384802</v>
      </c>
      <c r="E377" s="550"/>
      <c r="F377" s="544">
        <v>0.73</v>
      </c>
      <c r="G377" s="32">
        <v>6</v>
      </c>
      <c r="H377" s="544">
        <v>4.38</v>
      </c>
      <c r="I377" s="544">
        <v>4.63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35</v>
      </c>
      <c r="P377" s="74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 t="s">
        <v>109</v>
      </c>
      <c r="AK377" s="68">
        <v>52.56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194</v>
      </c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 t="s">
        <v>115</v>
      </c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 t="s">
        <v>109</v>
      </c>
      <c r="AK391" s="68">
        <v>64.8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790</v>
      </c>
      <c r="Y429" s="546">
        <f t="shared" si="42"/>
        <v>792</v>
      </c>
      <c r="Z429" s="36">
        <f t="shared" si="43"/>
        <v>1.794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842.36742424242414</v>
      </c>
      <c r="BN429" s="64">
        <f t="shared" si="45"/>
        <v>844.5</v>
      </c>
      <c r="BO429" s="64">
        <f t="shared" si="46"/>
        <v>1.4386655011655012</v>
      </c>
      <c r="BP429" s="64">
        <f t="shared" si="47"/>
        <v>1.4423076923076923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0</v>
      </c>
      <c r="Y431" s="546">
        <f t="shared" si="42"/>
        <v>0</v>
      </c>
      <c r="Z431" s="36" t="str">
        <f t="shared" si="43"/>
        <v/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149.62121212121212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150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1.794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790</v>
      </c>
      <c r="Y438" s="547">
        <f>IFERROR(SUM(Y425:Y436),"0")</f>
        <v>792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0</v>
      </c>
      <c r="Y440" s="546">
        <f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0</v>
      </c>
      <c r="Y443" s="547">
        <f>IFERROR(Y440/H440,"0")+IFERROR(Y441/H441,"0")+IFERROR(Y442/H442,"0")</f>
        <v>0</v>
      </c>
      <c r="Z443" s="547">
        <f>IFERROR(IF(Z440="",0,Z440),"0")+IFERROR(IF(Z441="",0,Z441),"0")+IFERROR(IF(Z442="",0,Z442),"0")</f>
        <v>0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0</v>
      </c>
      <c r="Y444" s="547">
        <f>IFERROR(SUM(Y440:Y442),"0")</f>
        <v>0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161</v>
      </c>
      <c r="Y446" s="546">
        <f t="shared" ref="Y446:Y451" si="48">IFERROR(IF(X446="",0,CEILING((X446/$H446),1)*$H446),"")</f>
        <v>163.68</v>
      </c>
      <c r="Z446" s="36">
        <f>IFERROR(IF(Y446=0,"",ROUNDUP(Y446/H446,0)*0.01196),"")</f>
        <v>0.37075999999999998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171.67234848484847</v>
      </c>
      <c r="BN446" s="64">
        <f t="shared" ref="BN446:BN451" si="50">IFERROR(Y446*I446/H446,"0")</f>
        <v>174.53</v>
      </c>
      <c r="BO446" s="64">
        <f t="shared" ref="BO446:BO451" si="51">IFERROR(1/J446*(X446/H446),"0")</f>
        <v>0.29319638694638694</v>
      </c>
      <c r="BP446" s="64">
        <f t="shared" ref="BP446:BP451" si="52">IFERROR(1/J446*(Y446/H446),"0")</f>
        <v>0.29807692307692307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0</v>
      </c>
      <c r="Y447" s="546">
        <f t="shared" si="48"/>
        <v>0</v>
      </c>
      <c r="Z447" s="36" t="str">
        <f>IFERROR(IF(Y447=0,"",ROUNDUP(Y447/H447,0)*0.01196),"")</f>
        <v/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0</v>
      </c>
      <c r="BN447" s="64">
        <f t="shared" si="50"/>
        <v>0</v>
      </c>
      <c r="BO447" s="64">
        <f t="shared" si="51"/>
        <v>0</v>
      </c>
      <c r="BP447" s="64">
        <f t="shared" si="52"/>
        <v>0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0</v>
      </c>
      <c r="Y448" s="546">
        <f t="shared" si="48"/>
        <v>0</v>
      </c>
      <c r="Z448" s="36" t="str">
        <f>IFERROR(IF(Y448=0,"",ROUNDUP(Y448/H448,0)*0.01196),"")</f>
        <v/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0</v>
      </c>
      <c r="BN448" s="64">
        <f t="shared" si="50"/>
        <v>0</v>
      </c>
      <c r="BO448" s="64">
        <f t="shared" si="51"/>
        <v>0</v>
      </c>
      <c r="BP448" s="64">
        <f t="shared" si="52"/>
        <v>0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30.492424242424242</v>
      </c>
      <c r="Y452" s="547">
        <f>IFERROR(Y446/H446,"0")+IFERROR(Y447/H447,"0")+IFERROR(Y448/H448,"0")+IFERROR(Y449/H449,"0")+IFERROR(Y450/H450,"0")+IFERROR(Y451/H451,"0")</f>
        <v>31</v>
      </c>
      <c r="Z452" s="547">
        <f>IFERROR(IF(Z446="",0,Z446),"0")+IFERROR(IF(Z447="",0,Z447),"0")+IFERROR(IF(Z448="",0,Z448),"0")+IFERROR(IF(Z449="",0,Z449),"0")+IFERROR(IF(Z450="",0,Z450),"0")+IFERROR(IF(Z451="",0,Z451),"0")</f>
        <v>0.37075999999999998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161</v>
      </c>
      <c r="Y453" s="547">
        <f>IFERROR(SUM(Y446:Y451),"0")</f>
        <v>163.68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 t="s">
        <v>106</v>
      </c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 t="s">
        <v>109</v>
      </c>
      <c r="AK463" s="68">
        <v>96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/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/>
      <c r="AK473" s="68">
        <v>0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/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/>
      <c r="AK474" s="68">
        <v>0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 t="s">
        <v>106</v>
      </c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 t="s">
        <v>109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3389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3428.8799999999997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3533.9938337294511</v>
      </c>
      <c r="Y492" s="547">
        <f>IFERROR(SUM(BN22:BN488),"0")</f>
        <v>3575.46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6</v>
      </c>
      <c r="Y493" s="38">
        <f>ROUNDUP(SUM(BP22:BP488),0)</f>
        <v>6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3683.9938337294511</v>
      </c>
      <c r="Y494" s="547">
        <f>GrossWeightTotalR+PalletQtyTotalR*25</f>
        <v>3725.46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367.99642503466032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372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5.9661900000000001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198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0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75.600000000000009</v>
      </c>
      <c r="E501" s="46">
        <f>IFERROR(Y86*1,"0")+IFERROR(Y87*1,"0")+IFERROR(Y88*1,"0")+IFERROR(Y89*1,"0")+IFERROR(Y93*1,"0")+IFERROR(Y94*1,"0")+IFERROR(Y95*1,"0")+IFERROR(Y96*1,"0")</f>
        <v>288.89999999999998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248.4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0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15.299999999999999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1845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955.68000000000006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KWVbCQ5fNZGeITlSnaoj+/MYwiBm1nB7k4QvmvLJhY/o6zbA2TF53cEUt7KTW0xA5uKac9xQrfAjG9l7mQt6aA==" saltValue="GGQ0HiriAxvE2iAdbtbQ4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80 X86 X88:X89 X93 X95:X96 X101 X103:X104 X109 X116 X118 X128:X129 X134 X168:X169 X174 X192 X201:X206 X208 X212:X215 X217:X220 X237 X259 X261 X277:X278 X303 X311 X319 X326:X327 X339:X340 X346:X347 X349 X356 X371 X377 X381:X382 X391 X425 X428:X429 X431 X440 X442 X446:X448 X463 X478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8qHanhxh5jOj07RyknGA79TT2GQfr+B0Cth1FFv/CJVypDBZ4ea17X2mJY1mZuHFqPJaGPsKkotsjakaBhmGBw==" saltValue="ttm6tg8HyVHFc9yG1nZ/P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2025-12-15T08:11:56Z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