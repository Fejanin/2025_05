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8A63A95-9588-452B-A83A-2129EB136A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0" i="1"/>
  <c r="Z77" i="1"/>
  <c r="Z496" i="1" s="1"/>
  <c r="Z64" i="1"/>
  <c r="Z308" i="1"/>
  <c r="Z299" i="1"/>
  <c r="Z221" i="1"/>
  <c r="Z465" i="1"/>
  <c r="Z120" i="1"/>
  <c r="Z113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<sst xmlns="http://schemas.openxmlformats.org/spreadsheetml/2006/main" count="2335" uniqueCount="775">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</sst>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58</v>
      </c>
      <c r="Y41" s="546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60.201851851851856</v>
      </c>
      <c r="BN41" s="64">
        <f>IFERROR(Y41*I41/H41,"0")</f>
        <v>67.260000000000005</v>
      </c>
      <c r="BO41" s="64">
        <f>IFERROR(1/J41*(X41/H41),"0")</f>
        <v>8.3912037037037035E-2</v>
      </c>
      <c r="BP41" s="64">
        <f>IFERROR(1/J41*(Y41/H41),"0")</f>
        <v>9.3750000000000014E-2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56</v>
      </c>
      <c r="Y43" s="546">
        <f>IFERROR(IF(X43="",0,CEILING((X43/$H43),1)*$H43),"")</f>
        <v>59.2</v>
      </c>
      <c r="Z43" s="36">
        <f>IFERROR(IF(Y43=0,"",ROUNDUP(Y43/H43,0)*0.00902),"")</f>
        <v>0.14432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58.875675675675673</v>
      </c>
      <c r="BN43" s="64">
        <f>IFERROR(Y43*I43/H43,"0")</f>
        <v>62.24</v>
      </c>
      <c r="BO43" s="64">
        <f>IFERROR(1/J43*(X43/H43),"0")</f>
        <v>0.11466011466011466</v>
      </c>
      <c r="BP43" s="64">
        <f>IFERROR(1/J43*(Y43/H43),"0")</f>
        <v>0.12121212121212122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20.505505505505504</v>
      </c>
      <c r="Y44" s="547">
        <f>IFERROR(Y41/H41,"0")+IFERROR(Y42/H42,"0")+IFERROR(Y43/H43,"0")</f>
        <v>22</v>
      </c>
      <c r="Z44" s="547">
        <f>IFERROR(IF(Z41="",0,Z41),"0")+IFERROR(IF(Z42="",0,Z42),"0")+IFERROR(IF(Z43="",0,Z43),"0")</f>
        <v>0.25819999999999999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114</v>
      </c>
      <c r="Y45" s="547">
        <f>IFERROR(SUM(Y41:Y43),"0")</f>
        <v>124.00000000000001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4</v>
      </c>
      <c r="Y52" s="546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4.1464285714285714</v>
      </c>
      <c r="BN52" s="64">
        <f t="shared" ref="BN52:BN57" si="2">IFERROR(Y52*I52/H52,"0")</f>
        <v>11.61</v>
      </c>
      <c r="BO52" s="64">
        <f t="shared" ref="BO52:BO57" si="3">IFERROR(1/J52*(X52/H52),"0")</f>
        <v>5.580357142857143E-3</v>
      </c>
      <c r="BP52" s="64">
        <f t="shared" ref="BP52:BP57" si="4">IFERROR(1/J52*(Y52/H52),"0")</f>
        <v>1.5625E-2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0.35714285714285715</v>
      </c>
      <c r="Y58" s="547">
        <f>IFERROR(Y52/H52,"0")+IFERROR(Y53/H53,"0")+IFERROR(Y54/H54,"0")+IFERROR(Y55/H55,"0")+IFERROR(Y56/H56,"0")+IFERROR(Y57/H57,"0")</f>
        <v>1</v>
      </c>
      <c r="Z58" s="547">
        <f>IFERROR(IF(Z52="",0,Z52),"0")+IFERROR(IF(Z53="",0,Z53),"0")+IFERROR(IF(Z54="",0,Z54),"0")+IFERROR(IF(Z55="",0,Z55),"0")+IFERROR(IF(Z56="",0,Z56),"0")+IFERROR(IF(Z57="",0,Z57),"0")</f>
        <v>1.898E-2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4</v>
      </c>
      <c r="Y59" s="547">
        <f>IFERROR(SUM(Y52:Y57),"0")</f>
        <v>11.2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39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41.050000000000011</v>
      </c>
      <c r="BN80" s="64">
        <f>IFERROR(Y80*I80/H80,"0")</f>
        <v>41.050000000000011</v>
      </c>
      <c r="BO80" s="64">
        <f>IFERROR(1/J80*(X80/H80),"0")</f>
        <v>7.8125E-2</v>
      </c>
      <c r="BP80" s="64">
        <f>IFERROR(1/J80*(Y80/H80),"0")</f>
        <v>7.8125E-2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5</v>
      </c>
      <c r="Y82" s="547">
        <f>IFERROR(Y80/H80,"0")+IFERROR(Y81/H81,"0")</f>
        <v>5</v>
      </c>
      <c r="Z82" s="547">
        <f>IFERROR(IF(Z80="",0,Z80),"0")+IFERROR(IF(Z81="",0,Z81),"0")</f>
        <v>9.4899999999999998E-2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39</v>
      </c>
      <c r="Y83" s="547">
        <f>IFERROR(SUM(Y80:Y81),"0")</f>
        <v>39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33</v>
      </c>
      <c r="Y86" s="546">
        <f>IFERROR(IF(X86="",0,CEILING((X86/$H86),1)*$H86),"")</f>
        <v>43.2</v>
      </c>
      <c r="Z86" s="36">
        <f>IFERROR(IF(Y86=0,"",ROUNDUP(Y86/H86,0)*0.01898),"")</f>
        <v>7.5920000000000001E-2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34.252777777777773</v>
      </c>
      <c r="BN86" s="64">
        <f>IFERROR(Y86*I86/H86,"0")</f>
        <v>44.84</v>
      </c>
      <c r="BO86" s="64">
        <f>IFERROR(1/J86*(X86/H86),"0")</f>
        <v>4.7743055555555552E-2</v>
      </c>
      <c r="BP86" s="64">
        <f>IFERROR(1/J86*(Y86/H86),"0")</f>
        <v>6.25E-2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3.0555555555555554</v>
      </c>
      <c r="Y90" s="547">
        <f>IFERROR(Y86/H86,"0")+IFERROR(Y87/H87,"0")+IFERROR(Y88/H88,"0")+IFERROR(Y89/H89,"0")</f>
        <v>4</v>
      </c>
      <c r="Z90" s="547">
        <f>IFERROR(IF(Z86="",0,Z86),"0")+IFERROR(IF(Z87="",0,Z87),"0")+IFERROR(IF(Z88="",0,Z88),"0")+IFERROR(IF(Z89="",0,Z89),"0")</f>
        <v>7.5920000000000001E-2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33</v>
      </c>
      <c r="Y91" s="547">
        <f>IFERROR(SUM(Y86:Y89),"0")</f>
        <v>43.2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53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55.012037037037032</v>
      </c>
      <c r="BN101" s="64">
        <f>IFERROR(Y101*I101/H101,"0")</f>
        <v>56.05</v>
      </c>
      <c r="BO101" s="64">
        <f>IFERROR(1/J101*(X101/H101),"0")</f>
        <v>7.6678240740740741E-2</v>
      </c>
      <c r="BP101" s="64">
        <f>IFERROR(1/J101*(Y101/H101),"0")</f>
        <v>7.8125E-2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23</v>
      </c>
      <c r="Y104" s="546">
        <f>IFERROR(IF(X104="",0,CEILING((X104/$H104),1)*$H104),"")</f>
        <v>27</v>
      </c>
      <c r="Z104" s="36">
        <f>IFERROR(IF(Y104=0,"",ROUNDUP(Y104/H104,0)*0.00902),"")</f>
        <v>5.4120000000000001E-2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23.971111111111114</v>
      </c>
      <c r="BN104" s="64">
        <f>IFERROR(Y104*I104/H104,"0")</f>
        <v>28.14</v>
      </c>
      <c r="BO104" s="64">
        <f>IFERROR(1/J104*(X104/H104),"0")</f>
        <v>3.8720538720538718E-2</v>
      </c>
      <c r="BP104" s="64">
        <f>IFERROR(1/J104*(Y104/H104),"0")</f>
        <v>4.5454545454545456E-2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10.018518518518519</v>
      </c>
      <c r="Y106" s="547">
        <f>IFERROR(Y101/H101,"0")+IFERROR(Y102/H102,"0")+IFERROR(Y103/H103,"0")+IFERROR(Y104/H104,"0")+IFERROR(Y105/H105,"0")</f>
        <v>11</v>
      </c>
      <c r="Z106" s="547">
        <f>IFERROR(IF(Z101="",0,Z101),"0")+IFERROR(IF(Z102="",0,Z102),"0")+IFERROR(IF(Z103="",0,Z103),"0")+IFERROR(IF(Z104="",0,Z104),"0")+IFERROR(IF(Z105="",0,Z105),"0")</f>
        <v>0.14901999999999999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76</v>
      </c>
      <c r="Y107" s="547">
        <f>IFERROR(SUM(Y101:Y105),"0")</f>
        <v>81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21</v>
      </c>
      <c r="Y109" s="546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21.797222222222224</v>
      </c>
      <c r="BN109" s="64">
        <f>IFERROR(Y109*I109/H109,"0")</f>
        <v>22.42</v>
      </c>
      <c r="BO109" s="64">
        <f>IFERROR(1/J109*(X109/H109),"0")</f>
        <v>3.0381944444444444E-2</v>
      </c>
      <c r="BP109" s="64">
        <f>IFERROR(1/J109*(Y109/H109),"0")</f>
        <v>3.125E-2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1.9444444444444444</v>
      </c>
      <c r="Y113" s="547">
        <f>IFERROR(Y109/H109,"0")+IFERROR(Y110/H110,"0")+IFERROR(Y111/H111,"0")+IFERROR(Y112/H112,"0")</f>
        <v>2</v>
      </c>
      <c r="Z113" s="547">
        <f>IFERROR(IF(Z109="",0,Z109),"0")+IFERROR(IF(Z110="",0,Z110),"0")+IFERROR(IF(Z111="",0,Z111),"0")+IFERROR(IF(Z112="",0,Z112),"0")</f>
        <v>3.7960000000000001E-2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21</v>
      </c>
      <c r="Y114" s="547">
        <f>IFERROR(SUM(Y109:Y112),"0")</f>
        <v>21.6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116</v>
      </c>
      <c r="Y116" s="546">
        <f>IFERROR(IF(X116="",0,CEILING((X116/$H116),1)*$H116),"")</f>
        <v>121.5</v>
      </c>
      <c r="Z116" s="36">
        <f>IFERROR(IF(Y116=0,"",ROUNDUP(Y116/H116,0)*0.01898),"")</f>
        <v>0.28470000000000001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122.98864197530862</v>
      </c>
      <c r="BN116" s="64">
        <f>IFERROR(Y116*I116/H116,"0")</f>
        <v>128.82</v>
      </c>
      <c r="BO116" s="64">
        <f>IFERROR(1/J116*(X116/H116),"0")</f>
        <v>0.22376543209876545</v>
      </c>
      <c r="BP116" s="64">
        <f>IFERROR(1/J116*(Y116/H116),"0")</f>
        <v>0.234375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14.320987654320989</v>
      </c>
      <c r="Y120" s="547">
        <f>IFERROR(Y116/H116,"0")+IFERROR(Y117/H117,"0")+IFERROR(Y118/H118,"0")+IFERROR(Y119/H119,"0")</f>
        <v>15</v>
      </c>
      <c r="Z120" s="547">
        <f>IFERROR(IF(Z116="",0,Z116),"0")+IFERROR(IF(Z117="",0,Z117),"0")+IFERROR(IF(Z118="",0,Z118),"0")+IFERROR(IF(Z119="",0,Z119),"0")</f>
        <v>0.28470000000000001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116</v>
      </c>
      <c r="Y121" s="547">
        <f>IFERROR(SUM(Y116:Y119),"0")</f>
        <v>121.5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58</v>
      </c>
      <c r="Y166" s="546">
        <f t="shared" si="5"/>
        <v>58.800000000000004</v>
      </c>
      <c r="Z166" s="36">
        <f>IFERROR(IF(Y166=0,"",ROUNDUP(Y166/H166,0)*0.00902),"")</f>
        <v>0.12628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61.452380952380956</v>
      </c>
      <c r="BN166" s="64">
        <f t="shared" si="7"/>
        <v>62.300000000000004</v>
      </c>
      <c r="BO166" s="64">
        <f t="shared" si="8"/>
        <v>0.10461760461760461</v>
      </c>
      <c r="BP166" s="64">
        <f t="shared" si="9"/>
        <v>0.10606060606060606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50</v>
      </c>
      <c r="Y168" s="546">
        <f t="shared" si="5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52.261904761904752</v>
      </c>
      <c r="BN168" s="64">
        <f t="shared" si="7"/>
        <v>52.68</v>
      </c>
      <c r="BO168" s="64">
        <f t="shared" si="8"/>
        <v>9.0187590187590191E-2</v>
      </c>
      <c r="BP168" s="64">
        <f t="shared" si="9"/>
        <v>9.0909090909090912E-2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81</v>
      </c>
      <c r="Y174" s="546">
        <f t="shared" si="5"/>
        <v>81.900000000000006</v>
      </c>
      <c r="Z174" s="36">
        <f>IFERROR(IF(Y174=0,"",ROUNDUP(Y174/H174,0)*0.00502),"")</f>
        <v>0.19578000000000001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84.857142857142861</v>
      </c>
      <c r="BN174" s="64">
        <f t="shared" si="7"/>
        <v>85.800000000000011</v>
      </c>
      <c r="BO174" s="64">
        <f t="shared" si="8"/>
        <v>0.16483516483516483</v>
      </c>
      <c r="BP174" s="64">
        <f t="shared" si="9"/>
        <v>0.16666666666666669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64.285714285714278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65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0.43030000000000002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189</v>
      </c>
      <c r="Y178" s="547">
        <f>IFERROR(SUM(Y165:Y176),"0")</f>
        <v>191.10000000000002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1.5873015873015872</v>
      </c>
      <c r="Y183" s="547">
        <f>IFERROR(Y180/H180,"0")+IFERROR(Y181/H181,"0")+IFERROR(Y182/H182,"0")</f>
        <v>2</v>
      </c>
      <c r="Z183" s="547">
        <f>IFERROR(IF(Z180="",0,Z180),"0")+IFERROR(IF(Z181="",0,Z181),"0")+IFERROR(IF(Z182="",0,Z182),"0")</f>
        <v>1.18E-2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2</v>
      </c>
      <c r="Y184" s="547">
        <f>IFERROR(SUM(Y180:Y182),"0")</f>
        <v>2.52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1</v>
      </c>
      <c r="Y186" s="546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0.79365079365079361</v>
      </c>
      <c r="Y187" s="547">
        <f>IFERROR(Y186/H186,"0")</f>
        <v>1</v>
      </c>
      <c r="Z187" s="547">
        <f>IFERROR(IF(Z186="",0,Z186),"0")</f>
        <v>5.8999999999999999E-3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1</v>
      </c>
      <c r="Y188" s="547">
        <f>IFERROR(SUM(Y186:Y186),"0")</f>
        <v>1.26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206</v>
      </c>
      <c r="Y201" s="546">
        <f t="shared" ref="Y201:Y208" si="10">IFERROR(IF(X201="",0,CEILING((X201/$H201),1)*$H201),"")</f>
        <v>210.60000000000002</v>
      </c>
      <c r="Z201" s="36">
        <f>IFERROR(IF(Y201=0,"",ROUNDUP(Y201/H201,0)*0.00902),"")</f>
        <v>0.35177999999999998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213.24814814814812</v>
      </c>
      <c r="BN201" s="64">
        <f t="shared" ref="BN201:BN208" si="12">IFERROR(Y201*I201/H201,"0")</f>
        <v>218.01000000000002</v>
      </c>
      <c r="BO201" s="64">
        <f t="shared" ref="BO201:BO208" si="13">IFERROR(1/J201*(X201/H201),"0")</f>
        <v>0.28900112233445563</v>
      </c>
      <c r="BP201" s="64">
        <f t="shared" ref="BP201:BP208" si="14">IFERROR(1/J201*(Y201/H201),"0")</f>
        <v>0.29545454545454547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256</v>
      </c>
      <c r="Y202" s="546">
        <f t="shared" si="10"/>
        <v>259.20000000000005</v>
      </c>
      <c r="Z202" s="36">
        <f>IFERROR(IF(Y202=0,"",ROUNDUP(Y202/H202,0)*0.00902),"")</f>
        <v>0.43296000000000001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265.00740740740736</v>
      </c>
      <c r="BN202" s="64">
        <f t="shared" si="12"/>
        <v>268.32</v>
      </c>
      <c r="BO202" s="64">
        <f t="shared" si="13"/>
        <v>0.35914702581369246</v>
      </c>
      <c r="BP202" s="64">
        <f t="shared" si="14"/>
        <v>0.3636363636363637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26</v>
      </c>
      <c r="Y205" s="546">
        <f t="shared" si="10"/>
        <v>27</v>
      </c>
      <c r="Z205" s="36">
        <f>IFERROR(IF(Y205=0,"",ROUNDUP(Y205/H205,0)*0.00502),"")</f>
        <v>7.5300000000000006E-2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27.877777777777776</v>
      </c>
      <c r="BN205" s="64">
        <f t="shared" si="12"/>
        <v>28.95</v>
      </c>
      <c r="BO205" s="64">
        <f t="shared" si="13"/>
        <v>6.1728395061728406E-2</v>
      </c>
      <c r="BP205" s="64">
        <f t="shared" si="14"/>
        <v>6.4102564102564111E-2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26</v>
      </c>
      <c r="Y206" s="546">
        <f t="shared" si="10"/>
        <v>27</v>
      </c>
      <c r="Z206" s="36">
        <f>IFERROR(IF(Y206=0,"",ROUNDUP(Y206/H206,0)*0.00502),"")</f>
        <v>7.5300000000000006E-2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27.444444444444443</v>
      </c>
      <c r="BN206" s="64">
        <f t="shared" si="12"/>
        <v>28.499999999999996</v>
      </c>
      <c r="BO206" s="64">
        <f t="shared" si="13"/>
        <v>6.1728395061728406E-2</v>
      </c>
      <c r="BP206" s="64">
        <f t="shared" si="14"/>
        <v>6.4102564102564111E-2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9</v>
      </c>
      <c r="Y208" s="546">
        <f t="shared" si="10"/>
        <v>9</v>
      </c>
      <c r="Z208" s="36">
        <f>IFERROR(IF(Y208=0,"",ROUNDUP(Y208/H208,0)*0.00502),"")</f>
        <v>2.5100000000000001E-2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9.4999999999999982</v>
      </c>
      <c r="BN208" s="64">
        <f t="shared" si="12"/>
        <v>9.4999999999999982</v>
      </c>
      <c r="BO208" s="64">
        <f t="shared" si="13"/>
        <v>2.1367521367521368E-2</v>
      </c>
      <c r="BP208" s="64">
        <f t="shared" si="14"/>
        <v>2.1367521367521368E-2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119.44444444444443</v>
      </c>
      <c r="Y209" s="547">
        <f>IFERROR(Y201/H201,"0")+IFERROR(Y202/H202,"0")+IFERROR(Y203/H203,"0")+IFERROR(Y204/H204,"0")+IFERROR(Y205/H205,"0")+IFERROR(Y206/H206,"0")+IFERROR(Y207/H207,"0")+IFERROR(Y208/H208,"0")</f>
        <v>122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0.96044000000000007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523</v>
      </c>
      <c r="Y210" s="547">
        <f>IFERROR(SUM(Y201:Y208),"0")</f>
        <v>532.80000000000007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32</v>
      </c>
      <c r="Y212" s="546">
        <f t="shared" ref="Y212:Y220" si="15">IFERROR(IF(X212="",0,CEILING((X212/$H212),1)*$H212),"")</f>
        <v>32.4</v>
      </c>
      <c r="Z212" s="36">
        <f>IFERROR(IF(Y212=0,"",ROUNDUP(Y212/H212,0)*0.01898),"")</f>
        <v>7.5920000000000001E-2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33.951604938271608</v>
      </c>
      <c r="BN212" s="64">
        <f t="shared" ref="BN212:BN220" si="17">IFERROR(Y212*I212/H212,"0")</f>
        <v>34.375999999999998</v>
      </c>
      <c r="BO212" s="64">
        <f t="shared" ref="BO212:BO220" si="18">IFERROR(1/J212*(X212/H212),"0")</f>
        <v>6.1728395061728399E-2</v>
      </c>
      <c r="BP212" s="64">
        <f t="shared" ref="BP212:BP220" si="19">IFERROR(1/J212*(Y212/H212),"0")</f>
        <v>6.25E-2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12</v>
      </c>
      <c r="Y213" s="546">
        <f t="shared" si="15"/>
        <v>16.2</v>
      </c>
      <c r="Z213" s="36">
        <f>IFERROR(IF(Y213=0,"",ROUNDUP(Y213/H213,0)*0.01898),"")</f>
        <v>3.7960000000000001E-2</v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12.705185185185186</v>
      </c>
      <c r="BN213" s="64">
        <f t="shared" si="17"/>
        <v>17.152000000000001</v>
      </c>
      <c r="BO213" s="64">
        <f t="shared" si="18"/>
        <v>2.314814814814815E-2</v>
      </c>
      <c r="BP213" s="64">
        <f t="shared" si="19"/>
        <v>3.125E-2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52</v>
      </c>
      <c r="Y215" s="546">
        <f t="shared" si="15"/>
        <v>52.8</v>
      </c>
      <c r="Z215" s="36">
        <f t="shared" ref="Z215:Z220" si="20">IFERROR(IF(Y215=0,"",ROUNDUP(Y215/H215,0)*0.00651),"")</f>
        <v>0.14322000000000001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57.85</v>
      </c>
      <c r="BN215" s="64">
        <f t="shared" si="17"/>
        <v>58.74</v>
      </c>
      <c r="BO215" s="64">
        <f t="shared" si="18"/>
        <v>0.11904761904761907</v>
      </c>
      <c r="BP215" s="64">
        <f t="shared" si="19"/>
        <v>0.12087912087912089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27</v>
      </c>
      <c r="Y219" s="546">
        <f t="shared" si="15"/>
        <v>28.799999999999997</v>
      </c>
      <c r="Z219" s="36">
        <f t="shared" si="20"/>
        <v>7.8119999999999995E-2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29.835000000000001</v>
      </c>
      <c r="BN219" s="64">
        <f t="shared" si="17"/>
        <v>31.824000000000002</v>
      </c>
      <c r="BO219" s="64">
        <f t="shared" si="18"/>
        <v>6.1813186813186816E-2</v>
      </c>
      <c r="BP219" s="64">
        <f t="shared" si="19"/>
        <v>6.5934065934065936E-2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42</v>
      </c>
      <c r="Y220" s="546">
        <f t="shared" si="15"/>
        <v>43.199999999999996</v>
      </c>
      <c r="Z220" s="36">
        <f t="shared" si="20"/>
        <v>0.11718000000000001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46.515000000000001</v>
      </c>
      <c r="BN220" s="64">
        <f t="shared" si="17"/>
        <v>47.843999999999994</v>
      </c>
      <c r="BO220" s="64">
        <f t="shared" si="18"/>
        <v>9.6153846153846159E-2</v>
      </c>
      <c r="BP220" s="64">
        <f t="shared" si="19"/>
        <v>9.8901098901098911E-2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55.848765432098766</v>
      </c>
      <c r="Y221" s="547">
        <f>IFERROR(Y212/H212,"0")+IFERROR(Y213/H213,"0")+IFERROR(Y214/H214,"0")+IFERROR(Y215/H215,"0")+IFERROR(Y216/H216,"0")+IFERROR(Y217/H217,"0")+IFERROR(Y218/H218,"0")+IFERROR(Y219/H219,"0")+IFERROR(Y220/H220,"0")</f>
        <v>58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0.45239999999999997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165</v>
      </c>
      <c r="Y222" s="547">
        <f>IFERROR(SUM(Y212:Y220),"0")</f>
        <v>173.39999999999998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32</v>
      </c>
      <c r="Y224" s="546">
        <f>IFERROR(IF(X224="",0,CEILING((X224/$H224),1)*$H224),"")</f>
        <v>33.6</v>
      </c>
      <c r="Z224" s="36">
        <f>IFERROR(IF(Y224=0,"",ROUNDUP(Y224/H224,0)*0.00651),"")</f>
        <v>9.1139999999999999E-2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35.360000000000007</v>
      </c>
      <c r="BN224" s="64">
        <f>IFERROR(Y224*I224/H224,"0")</f>
        <v>37.128000000000007</v>
      </c>
      <c r="BO224" s="64">
        <f>IFERROR(1/J224*(X224/H224),"0")</f>
        <v>7.3260073260073263E-2</v>
      </c>
      <c r="BP224" s="64">
        <f>IFERROR(1/J224*(Y224/H224),"0")</f>
        <v>7.6923076923076941E-2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13.333333333333334</v>
      </c>
      <c r="Y226" s="547">
        <f>IFERROR(Y224/H224,"0")+IFERROR(Y225/H225,"0")</f>
        <v>14.000000000000002</v>
      </c>
      <c r="Z226" s="547">
        <f>IFERROR(IF(Z224="",0,Z224),"0")+IFERROR(IF(Z225="",0,Z225),"0")</f>
        <v>9.1139999999999999E-2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32</v>
      </c>
      <c r="Y227" s="547">
        <f>IFERROR(SUM(Y224:Y225),"0")</f>
        <v>33.6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4</v>
      </c>
      <c r="Y230" s="546">
        <f t="shared" ref="Y230:Y238" si="21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4.1413793103448278</v>
      </c>
      <c r="BN230" s="64">
        <f t="shared" ref="BN230:BN238" si="23">IFERROR(Y230*I230/H230,"0")</f>
        <v>12.01</v>
      </c>
      <c r="BO230" s="64">
        <f t="shared" ref="BO230:BO238" si="24">IFERROR(1/J230*(X230/H230),"0")</f>
        <v>5.387931034482759E-3</v>
      </c>
      <c r="BP230" s="64">
        <f t="shared" ref="BP230:BP238" si="25">IFERROR(1/J230*(Y230/H230),"0")</f>
        <v>1.5625E-2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0.34482758620689657</v>
      </c>
      <c r="Y239" s="547">
        <f>IFERROR(Y230/H230,"0")+IFERROR(Y231/H231,"0")+IFERROR(Y232/H232,"0")+IFERROR(Y233/H233,"0")+IFERROR(Y234/H234,"0")+IFERROR(Y235/H235,"0")+IFERROR(Y236/H236,"0")+IFERROR(Y237/H237,"0")+IFERROR(Y238/H238,"0")</f>
        <v>1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1.898E-2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4</v>
      </c>
      <c r="Y240" s="547">
        <f>IFERROR(SUM(Y230:Y238),"0")</f>
        <v>11.6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12</v>
      </c>
      <c r="Y307" s="546">
        <f t="shared" si="26"/>
        <v>12.6</v>
      </c>
      <c r="Z307" s="36">
        <f>IFERROR(IF(Y307=0,"",ROUNDUP(Y307/H307,0)*0.00651),"")</f>
        <v>4.5569999999999999E-2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13.52</v>
      </c>
      <c r="BN307" s="64">
        <f t="shared" si="28"/>
        <v>14.196</v>
      </c>
      <c r="BO307" s="64">
        <f t="shared" si="29"/>
        <v>3.6630036630036632E-2</v>
      </c>
      <c r="BP307" s="64">
        <f t="shared" si="30"/>
        <v>3.8461538461538464E-2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6.6666666666666661</v>
      </c>
      <c r="Y308" s="547">
        <f>IFERROR(Y302/H302,"0")+IFERROR(Y303/H303,"0")+IFERROR(Y304/H304,"0")+IFERROR(Y305/H305,"0")+IFERROR(Y306/H306,"0")+IFERROR(Y307/H307,"0")</f>
        <v>7</v>
      </c>
      <c r="Z308" s="547">
        <f>IFERROR(IF(Z302="",0,Z302),"0")+IFERROR(IF(Z303="",0,Z303),"0")+IFERROR(IF(Z304="",0,Z304),"0")+IFERROR(IF(Z305="",0,Z305),"0")+IFERROR(IF(Z306="",0,Z306),"0")+IFERROR(IF(Z307="",0,Z307),"0")</f>
        <v>4.5569999999999999E-2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12</v>
      </c>
      <c r="Y309" s="547">
        <f>IFERROR(SUM(Y302:Y307),"0")</f>
        <v>12.6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22</v>
      </c>
      <c r="Y319" s="546">
        <f>IFERROR(IF(X319="",0,CEILING((X319/$H319),1)*$H319),"")</f>
        <v>23.4</v>
      </c>
      <c r="Z319" s="36">
        <f>IFERROR(IF(Y319=0,"",ROUNDUP(Y319/H319,0)*0.01898),"")</f>
        <v>5.6940000000000004E-2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23.393333333333334</v>
      </c>
      <c r="BN319" s="64">
        <f>IFERROR(Y319*I319/H319,"0")</f>
        <v>24.882000000000001</v>
      </c>
      <c r="BO319" s="64">
        <f>IFERROR(1/J319*(X319/H319),"0")</f>
        <v>4.4070512820512824E-2</v>
      </c>
      <c r="BP319" s="64">
        <f>IFERROR(1/J319*(Y319/H319),"0")</f>
        <v>4.6875E-2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6.3919413919413923</v>
      </c>
      <c r="Y321" s="547">
        <f>IFERROR(Y318/H318,"0")+IFERROR(Y319/H319,"0")+IFERROR(Y320/H320,"0")</f>
        <v>7</v>
      </c>
      <c r="Z321" s="547">
        <f>IFERROR(IF(Z318="",0,Z318),"0")+IFERROR(IF(Z319="",0,Z319),"0")+IFERROR(IF(Z320="",0,Z320),"0")</f>
        <v>0.13286000000000001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52</v>
      </c>
      <c r="Y322" s="547">
        <f>IFERROR(SUM(Y318:Y320),"0")</f>
        <v>57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159</v>
      </c>
      <c r="Y346" s="546">
        <f t="shared" ref="Y346:Y352" si="31">IFERROR(IF(X346="",0,CEILING((X346/$H346),1)*$H346),"")</f>
        <v>165</v>
      </c>
      <c r="Z346" s="36">
        <f>IFERROR(IF(Y346=0,"",ROUNDUP(Y346/H346,0)*0.02175),"")</f>
        <v>0.23924999999999999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163.982</v>
      </c>
      <c r="BN346" s="64">
        <f t="shared" ref="BN346:BN352" si="33">IFERROR(Y346*I346/H346,"0")</f>
        <v>170.17000000000002</v>
      </c>
      <c r="BO346" s="64">
        <f t="shared" ref="BO346:BO352" si="34">IFERROR(1/J346*(X346/H346),"0")</f>
        <v>0.22083333333333333</v>
      </c>
      <c r="BP346" s="64">
        <f t="shared" ref="BP346:BP352" si="35">IFERROR(1/J346*(Y346/H346),"0")</f>
        <v>0.22916666666666666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200</v>
      </c>
      <c r="Y347" s="546">
        <f t="shared" si="31"/>
        <v>210</v>
      </c>
      <c r="Z347" s="36">
        <f>IFERROR(IF(Y347=0,"",ROUNDUP(Y347/H347,0)*0.02175),"")</f>
        <v>0.30449999999999999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206.26666666666668</v>
      </c>
      <c r="BN347" s="64">
        <f t="shared" si="33"/>
        <v>216.58</v>
      </c>
      <c r="BO347" s="64">
        <f t="shared" si="34"/>
        <v>0.27777777777777779</v>
      </c>
      <c r="BP347" s="64">
        <f t="shared" si="35"/>
        <v>0.29166666666666663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140</v>
      </c>
      <c r="Y349" s="546">
        <f t="shared" si="31"/>
        <v>150</v>
      </c>
      <c r="Z349" s="36">
        <f>IFERROR(IF(Y349=0,"",ROUNDUP(Y349/H349,0)*0.02175),"")</f>
        <v>0.21749999999999997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144.38666666666668</v>
      </c>
      <c r="BN349" s="64">
        <f t="shared" si="33"/>
        <v>154.69999999999999</v>
      </c>
      <c r="BO349" s="64">
        <f t="shared" si="34"/>
        <v>0.19444444444444445</v>
      </c>
      <c r="BP349" s="64">
        <f t="shared" si="35"/>
        <v>0.20833333333333331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33.266666666666666</v>
      </c>
      <c r="Y353" s="547">
        <f>IFERROR(Y346/H346,"0")+IFERROR(Y347/H347,"0")+IFERROR(Y348/H348,"0")+IFERROR(Y349/H349,"0")+IFERROR(Y350/H350,"0")+IFERROR(Y351/H351,"0")+IFERROR(Y352/H352,"0")</f>
        <v>35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0.76124999999999998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499</v>
      </c>
      <c r="Y354" s="547">
        <f>IFERROR(SUM(Y346:Y352),"0")</f>
        <v>525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261</v>
      </c>
      <c r="Y356" s="546">
        <f>IFERROR(IF(X356="",0,CEILING((X356/$H356),1)*$H356),"")</f>
        <v>270</v>
      </c>
      <c r="Z356" s="36">
        <f>IFERROR(IF(Y356=0,"",ROUNDUP(Y356/H356,0)*0.02175),"")</f>
        <v>0.39149999999999996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269.178</v>
      </c>
      <c r="BN356" s="64">
        <f>IFERROR(Y356*I356/H356,"0")</f>
        <v>278.46000000000004</v>
      </c>
      <c r="BO356" s="64">
        <f>IFERROR(1/J356*(X356/H356),"0")</f>
        <v>0.36249999999999993</v>
      </c>
      <c r="BP356" s="64">
        <f>IFERROR(1/J356*(Y356/H356),"0")</f>
        <v>0.375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17.399999999999999</v>
      </c>
      <c r="Y358" s="547">
        <f>IFERROR(Y356/H356,"0")+IFERROR(Y357/H357,"0")</f>
        <v>18</v>
      </c>
      <c r="Z358" s="547">
        <f>IFERROR(IF(Z356="",0,Z356),"0")+IFERROR(IF(Z357="",0,Z357),"0")</f>
        <v>0.39149999999999996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261</v>
      </c>
      <c r="Y359" s="547">
        <f>IFERROR(SUM(Y356:Y357),"0")</f>
        <v>270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16</v>
      </c>
      <c r="Y366" s="54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16.87822222222222</v>
      </c>
      <c r="BN366" s="64">
        <f>IFERROR(Y366*I366/H366,"0")</f>
        <v>18.988</v>
      </c>
      <c r="BO366" s="64">
        <f>IFERROR(1/J366*(X366/H366),"0")</f>
        <v>2.7777777777777776E-2</v>
      </c>
      <c r="BP366" s="64">
        <f>IFERROR(1/J366*(Y366/H366),"0")</f>
        <v>3.125E-2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1.7777777777777777</v>
      </c>
      <c r="Y367" s="547">
        <f>IFERROR(Y366/H366,"0")</f>
        <v>2</v>
      </c>
      <c r="Z367" s="547">
        <f>IFERROR(IF(Z366="",0,Z366),"0")</f>
        <v>3.7960000000000001E-2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16</v>
      </c>
      <c r="Y368" s="547">
        <f>IFERROR(SUM(Y366:Y366),"0")</f>
        <v>18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307</v>
      </c>
      <c r="Y381" s="546">
        <f>IFERROR(IF(X381="",0,CEILING((X381/$H381),1)*$H381),"")</f>
        <v>315</v>
      </c>
      <c r="Z381" s="36">
        <f>IFERROR(IF(Y381=0,"",ROUNDUP(Y381/H381,0)*0.01898),"")</f>
        <v>0.6643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323.8508888888889</v>
      </c>
      <c r="BN381" s="64">
        <f>IFERROR(Y381*I381/H381,"0")</f>
        <v>332.29</v>
      </c>
      <c r="BO381" s="64">
        <f>IFERROR(1/J381*(X381/H381),"0")</f>
        <v>0.53298611111111116</v>
      </c>
      <c r="BP381" s="64">
        <f>IFERROR(1/J381*(Y381/H381),"0")</f>
        <v>0.546875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34.111111111111114</v>
      </c>
      <c r="Y384" s="547">
        <f>IFERROR(Y381/H381,"0")+IFERROR(Y382/H382,"0")+IFERROR(Y383/H383,"0")</f>
        <v>35</v>
      </c>
      <c r="Z384" s="547">
        <f>IFERROR(IF(Z381="",0,Z381),"0")+IFERROR(IF(Z382="",0,Z382),"0")+IFERROR(IF(Z383="",0,Z383),"0")</f>
        <v>0.6643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307</v>
      </c>
      <c r="Y385" s="547">
        <f>IFERROR(SUM(Y381:Y383),"0")</f>
        <v>315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44</v>
      </c>
      <c r="Y389" s="546">
        <f t="shared" ref="Y389:Y397" si="36">IFERROR(IF(X389="",0,CEILING((X389/$H389),1)*$H389),"")</f>
        <v>48.6</v>
      </c>
      <c r="Z389" s="36">
        <f>IFERROR(IF(Y389=0,"",ROUNDUP(Y389/H389,0)*0.00902),"")</f>
        <v>8.1180000000000002E-2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45.548148148148144</v>
      </c>
      <c r="BN389" s="64">
        <f t="shared" ref="BN389:BN397" si="38">IFERROR(Y389*I389/H389,"0")</f>
        <v>50.309999999999995</v>
      </c>
      <c r="BO389" s="64">
        <f t="shared" ref="BO389:BO397" si="39">IFERROR(1/J389*(X389/H389),"0")</f>
        <v>6.1728395061728392E-2</v>
      </c>
      <c r="BP389" s="64">
        <f t="shared" ref="BP389:BP397" si="40">IFERROR(1/J389*(Y389/H389),"0")</f>
        <v>6.8181818181818177E-2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8.148148148148147</v>
      </c>
      <c r="Y398" s="547">
        <f>IFERROR(Y389/H389,"0")+IFERROR(Y390/H390,"0")+IFERROR(Y391/H391,"0")+IFERROR(Y392/H392,"0")+IFERROR(Y393/H393,"0")+IFERROR(Y394/H394,"0")+IFERROR(Y395/H395,"0")+IFERROR(Y396/H396,"0")+IFERROR(Y397/H397,"0")</f>
        <v>9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8.1180000000000002E-2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44</v>
      </c>
      <c r="Y399" s="547">
        <f>IFERROR(SUM(Y389:Y397),"0")</f>
        <v>48.6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73</v>
      </c>
      <c r="Y429" s="546">
        <f t="shared" si="42"/>
        <v>73.92</v>
      </c>
      <c r="Z429" s="36">
        <f t="shared" si="43"/>
        <v>0.16744000000000001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77.839015151515156</v>
      </c>
      <c r="BN429" s="64">
        <f t="shared" si="45"/>
        <v>78.819999999999993</v>
      </c>
      <c r="BO429" s="64">
        <f t="shared" si="46"/>
        <v>0.13293997668997667</v>
      </c>
      <c r="BP429" s="64">
        <f t="shared" si="47"/>
        <v>0.13461538461538464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62</v>
      </c>
      <c r="Y431" s="546">
        <f t="shared" si="42"/>
        <v>63.36</v>
      </c>
      <c r="Z431" s="36">
        <f t="shared" si="43"/>
        <v>0.14352000000000001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66.109848484848484</v>
      </c>
      <c r="BN431" s="64">
        <f t="shared" si="45"/>
        <v>67.559999999999988</v>
      </c>
      <c r="BO431" s="64">
        <f t="shared" si="46"/>
        <v>0.11290792540792541</v>
      </c>
      <c r="BP431" s="64">
        <f t="shared" si="47"/>
        <v>0.11538461538461539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12</v>
      </c>
      <c r="Y436" s="546">
        <f t="shared" si="42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17.275000000000002</v>
      </c>
      <c r="BN436" s="64">
        <f t="shared" si="45"/>
        <v>20.73</v>
      </c>
      <c r="BO436" s="64">
        <f t="shared" si="46"/>
        <v>1.893939393939394E-2</v>
      </c>
      <c r="BP436" s="64">
        <f t="shared" si="47"/>
        <v>2.2727272727272728E-2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28.068181818181817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0.33801999999999999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147</v>
      </c>
      <c r="Y438" s="547">
        <f>IFERROR(SUM(Y425:Y436),"0")</f>
        <v>151.68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145</v>
      </c>
      <c r="Y446" s="546">
        <f t="shared" ref="Y446:Y451" si="48">IFERROR(IF(X446="",0,CEILING((X446/$H446),1)*$H446),"")</f>
        <v>147.84</v>
      </c>
      <c r="Z446" s="36">
        <f>IFERROR(IF(Y446=0,"",ROUNDUP(Y446/H446,0)*0.01196),"")</f>
        <v>0.33488000000000001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154.61174242424241</v>
      </c>
      <c r="BN446" s="64">
        <f t="shared" ref="BN446:BN451" si="50">IFERROR(Y446*I446/H446,"0")</f>
        <v>157.63999999999999</v>
      </c>
      <c r="BO446" s="64">
        <f t="shared" ref="BO446:BO451" si="51">IFERROR(1/J446*(X446/H446),"0")</f>
        <v>0.26405885780885779</v>
      </c>
      <c r="BP446" s="64">
        <f t="shared" ref="BP446:BP451" si="52">IFERROR(1/J446*(Y446/H446),"0")</f>
        <v>0.26923076923076927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73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77.839015151515156</v>
      </c>
      <c r="BN447" s="64">
        <f t="shared" si="50"/>
        <v>78.819999999999993</v>
      </c>
      <c r="BO447" s="64">
        <f t="shared" si="51"/>
        <v>0.13293997668997667</v>
      </c>
      <c r="BP447" s="64">
        <f t="shared" si="52"/>
        <v>0.13461538461538464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41.287878787878782</v>
      </c>
      <c r="Y452" s="547">
        <f>IFERROR(Y446/H446,"0")+IFERROR(Y447/H447,"0")+IFERROR(Y448/H448,"0")+IFERROR(Y449/H449,"0")+IFERROR(Y450/H450,"0")+IFERROR(Y451/H451,"0")</f>
        <v>42</v>
      </c>
      <c r="Z452" s="547">
        <f>IFERROR(IF(Z446="",0,Z446),"0")+IFERROR(IF(Z447="",0,Z447),"0")+IFERROR(IF(Z448="",0,Z448),"0")+IFERROR(IF(Z449="",0,Z449),"0")+IFERROR(IF(Z450="",0,Z450),"0")+IFERROR(IF(Z451="",0,Z451),"0")</f>
        <v>0.50231999999999999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218</v>
      </c>
      <c r="Y453" s="547">
        <f>IFERROR(SUM(Y446:Y451),"0")</f>
        <v>221.76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201</v>
      </c>
      <c r="Y478" s="546">
        <f>IFERROR(IF(X478="",0,CEILING((X478/$H478),1)*$H478),"")</f>
        <v>207</v>
      </c>
      <c r="Z478" s="36">
        <f>IFERROR(IF(Y478=0,"",ROUNDUP(Y478/H478,0)*0.01898),"")</f>
        <v>0.43653999999999998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212.03266666666664</v>
      </c>
      <c r="BN478" s="64">
        <f>IFERROR(Y478*I478/H478,"0")</f>
        <v>218.36199999999999</v>
      </c>
      <c r="BO478" s="64">
        <f>IFERROR(1/J478*(X478/H478),"0")</f>
        <v>0.34895833333333331</v>
      </c>
      <c r="BP478" s="64">
        <f>IFERROR(1/J478*(Y478/H478),"0")</f>
        <v>0.359375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22.333333333333332</v>
      </c>
      <c r="Y479" s="547">
        <f>IFERROR(Y478/H478,"0")</f>
        <v>23</v>
      </c>
      <c r="Z479" s="547">
        <f>IFERROR(IF(Z478="",0,Z478),"0")</f>
        <v>0.43653999999999998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201</v>
      </c>
      <c r="Y480" s="547">
        <f>IFERROR(SUM(Y478:Y478),"0")</f>
        <v>207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3078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3218.0199999999995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3234.4254469212456</v>
      </c>
      <c r="Y492" s="547">
        <f>IFERROR(SUM(BN22:BN488),"0")</f>
        <v>3381.9480000000003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3384.4254469212456</v>
      </c>
      <c r="Y494" s="547">
        <f>GrossWeightTotalR+PalletQtyTotalR*25</f>
        <v>3531.9480000000003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511.40300881105469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532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6.2939400000000001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124.00000000000001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50.2</v>
      </c>
      <c r="E501" s="46">
        <f>IFERROR(Y86*1,"0")+IFERROR(Y87*1,"0")+IFERROR(Y88*1,"0")+IFERROR(Y89*1,"0")+IFERROR(Y93*1,"0")+IFERROR(Y94*1,"0")+IFERROR(Y95*1,"0")+IFERROR(Y96*1,"0")</f>
        <v>43.2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224.1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194.88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739.80000000000007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15.2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69.599999999999994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813</v>
      </c>
      <c r="T501" s="46">
        <f>IFERROR(Y371*1,"0")+IFERROR(Y372*1,"0")+IFERROR(Y376*1,"0")+IFERROR(Y377*1,"0")+IFERROR(Y381*1,"0")+IFERROR(Y382*1,"0")+IFERROR(Y383*1,"0")</f>
        <v>315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48.6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373.44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207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