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9A5C54C-5CED-4B80-8059-A96BC65FC40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D501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32" i="1" l="1"/>
  <c r="Z403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Z328" i="1" s="1"/>
  <c r="Y328" i="1"/>
  <c r="Z334" i="1"/>
  <c r="BP332" i="1"/>
  <c r="BN332" i="1"/>
  <c r="Z332" i="1"/>
  <c r="Y334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Z106" i="1" s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177" i="1"/>
  <c r="Y495" i="1"/>
  <c r="Z308" i="1"/>
  <c r="Z299" i="1"/>
  <c r="Z221" i="1"/>
  <c r="Z465" i="1"/>
  <c r="Z113" i="1"/>
  <c r="Z70" i="1"/>
  <c r="Y492" i="1"/>
  <c r="Y494" i="1" s="1"/>
  <c r="Z97" i="1"/>
  <c r="Z90" i="1"/>
  <c r="Z77" i="1"/>
  <c r="Z64" i="1"/>
  <c r="Z496" i="1" s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<sst xmlns="http://schemas.openxmlformats.org/spreadsheetml/2006/main" count="2271" uniqueCount="775">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</sst>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212</v>
      </c>
      <c r="Y41" s="546">
        <f>IFERROR(IF(X41="",0,CEILING((X41/$H41),1)*$H41),"")</f>
        <v>216</v>
      </c>
      <c r="Z41" s="36">
        <f>IFERROR(IF(Y41=0,"",ROUNDUP(Y41/H41,0)*0.01898),"")</f>
        <v>0.37959999999999999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220.04814814814813</v>
      </c>
      <c r="BN41" s="64">
        <f>IFERROR(Y41*I41/H41,"0")</f>
        <v>224.2</v>
      </c>
      <c r="BO41" s="64">
        <f>IFERROR(1/J41*(X41/H41),"0")</f>
        <v>0.30671296296296297</v>
      </c>
      <c r="BP41" s="64">
        <f>IFERROR(1/J41*(Y41/H41),"0")</f>
        <v>0.3125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19.62962962962963</v>
      </c>
      <c r="Y44" s="547">
        <f>IFERROR(Y41/H41,"0")+IFERROR(Y42/H42,"0")+IFERROR(Y43/H43,"0")</f>
        <v>20</v>
      </c>
      <c r="Z44" s="547">
        <f>IFERROR(IF(Z41="",0,Z41),"0")+IFERROR(IF(Z42="",0,Z42),"0")+IFERROR(IF(Z43="",0,Z43),"0")</f>
        <v>0.37959999999999999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212</v>
      </c>
      <c r="Y45" s="547">
        <f>IFERROR(SUM(Y41:Y43),"0")</f>
        <v>216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63</v>
      </c>
      <c r="Y53" s="546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65.391666666666666</v>
      </c>
      <c r="BN53" s="64">
        <f t="shared" si="2"/>
        <v>67.260000000000005</v>
      </c>
      <c r="BO53" s="64">
        <f t="shared" si="3"/>
        <v>9.1145833333333329E-2</v>
      </c>
      <c r="BP53" s="64">
        <f t="shared" si="4"/>
        <v>9.3750000000000014E-2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5.833333333333333</v>
      </c>
      <c r="Y58" s="547">
        <f>IFERROR(Y52/H52,"0")+IFERROR(Y53/H53,"0")+IFERROR(Y54/H54,"0")+IFERROR(Y55/H55,"0")+IFERROR(Y56/H56,"0")+IFERROR(Y57/H57,"0")</f>
        <v>6.0000000000000009</v>
      </c>
      <c r="Z58" s="547">
        <f>IFERROR(IF(Z52="",0,Z52),"0")+IFERROR(IF(Z53="",0,Z53),"0")+IFERROR(IF(Z54="",0,Z54),"0")+IFERROR(IF(Z55="",0,Z55),"0")+IFERROR(IF(Z56="",0,Z56),"0")+IFERROR(IF(Z57="",0,Z57),"0")</f>
        <v>0.11388000000000001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63</v>
      </c>
      <c r="Y59" s="547">
        <f>IFERROR(SUM(Y52:Y57),"0")</f>
        <v>64.800000000000011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34</v>
      </c>
      <c r="Y80" s="546">
        <f>IFERROR(IF(X80="",0,CEILING((X80/$H80),1)*$H80),"")</f>
        <v>39</v>
      </c>
      <c r="Z80" s="36">
        <f>IFERROR(IF(Y80=0,"",ROUNDUP(Y80/H80,0)*0.01898),"")</f>
        <v>9.4899999999999998E-2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35.787179487179493</v>
      </c>
      <c r="BN80" s="64">
        <f>IFERROR(Y80*I80/H80,"0")</f>
        <v>41.050000000000011</v>
      </c>
      <c r="BO80" s="64">
        <f>IFERROR(1/J80*(X80/H80),"0")</f>
        <v>6.8108974358974367E-2</v>
      </c>
      <c r="BP80" s="64">
        <f>IFERROR(1/J80*(Y80/H80),"0")</f>
        <v>7.8125E-2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17</v>
      </c>
      <c r="Y81" s="546">
        <f>IFERROR(IF(X81="",0,CEILING((X81/$H81),1)*$H81),"")</f>
        <v>19.2</v>
      </c>
      <c r="Z81" s="36">
        <f>IFERROR(IF(Y81=0,"",ROUNDUP(Y81/H81,0)*0.00902),"")</f>
        <v>7.2160000000000002E-2</v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18.345833333333335</v>
      </c>
      <c r="BN81" s="64">
        <f>IFERROR(Y81*I81/H81,"0")</f>
        <v>20.72</v>
      </c>
      <c r="BO81" s="64">
        <f>IFERROR(1/J81*(X81/H81),"0")</f>
        <v>5.3661616161616167E-2</v>
      </c>
      <c r="BP81" s="64">
        <f>IFERROR(1/J81*(Y81/H81),"0")</f>
        <v>6.0606060606060608E-2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11.442307692307693</v>
      </c>
      <c r="Y82" s="547">
        <f>IFERROR(Y80/H80,"0")+IFERROR(Y81/H81,"0")</f>
        <v>13</v>
      </c>
      <c r="Z82" s="547">
        <f>IFERROR(IF(Z80="",0,Z80),"0")+IFERROR(IF(Z81="",0,Z81),"0")</f>
        <v>0.16705999999999999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51</v>
      </c>
      <c r="Y83" s="547">
        <f>IFERROR(SUM(Y80:Y81),"0")</f>
        <v>58.2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300</v>
      </c>
      <c r="Y86" s="54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27.777777777777775</v>
      </c>
      <c r="Y90" s="547">
        <f>IFERROR(Y86/H86,"0")+IFERROR(Y87/H87,"0")+IFERROR(Y88/H88,"0")+IFERROR(Y89/H89,"0")</f>
        <v>28</v>
      </c>
      <c r="Z90" s="547">
        <f>IFERROR(IF(Z86="",0,Z86),"0")+IFERROR(IF(Z87="",0,Z87),"0")+IFERROR(IF(Z88="",0,Z88),"0")+IFERROR(IF(Z89="",0,Z89),"0")</f>
        <v>0.53144000000000002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300</v>
      </c>
      <c r="Y91" s="547">
        <f>IFERROR(SUM(Y86:Y89),"0")</f>
        <v>302.40000000000003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326</v>
      </c>
      <c r="Y93" s="546">
        <f>IFERROR(IF(X93="",0,CEILING((X93/$H93),1)*$H93),"")</f>
        <v>332.09999999999997</v>
      </c>
      <c r="Z93" s="36">
        <f>IFERROR(IF(Y93=0,"",ROUNDUP(Y93/H93,0)*0.01898),"")</f>
        <v>0.77817999999999998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345.88197530864198</v>
      </c>
      <c r="BN93" s="64">
        <f>IFERROR(Y93*I93/H93,"0")</f>
        <v>352.35399999999993</v>
      </c>
      <c r="BO93" s="64">
        <f>IFERROR(1/J93*(X93/H93),"0")</f>
        <v>0.6288580246913581</v>
      </c>
      <c r="BP93" s="64">
        <f>IFERROR(1/J93*(Y93/H93),"0")</f>
        <v>0.640625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163</v>
      </c>
      <c r="Y95" s="546">
        <f>IFERROR(IF(X95="",0,CEILING((X95/$H95),1)*$H95),"")</f>
        <v>164.70000000000002</v>
      </c>
      <c r="Z95" s="36">
        <f>IFERROR(IF(Y95=0,"",ROUNDUP(Y95/H95,0)*0.00651),"")</f>
        <v>0.39711000000000002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178.21333333333331</v>
      </c>
      <c r="BN95" s="64">
        <f>IFERROR(Y95*I95/H95,"0")</f>
        <v>180.072</v>
      </c>
      <c r="BO95" s="64">
        <f>IFERROR(1/J95*(X95/H95),"0")</f>
        <v>0.33170533170533173</v>
      </c>
      <c r="BP95" s="64">
        <f>IFERROR(1/J95*(Y95/H95),"0")</f>
        <v>0.3351648351648352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100.61728395061729</v>
      </c>
      <c r="Y97" s="547">
        <f>IFERROR(Y93/H93,"0")+IFERROR(Y94/H94,"0")+IFERROR(Y95/H95,"0")+IFERROR(Y96/H96,"0")</f>
        <v>102</v>
      </c>
      <c r="Z97" s="547">
        <f>IFERROR(IF(Z93="",0,Z93),"0")+IFERROR(IF(Z94="",0,Z94),"0")+IFERROR(IF(Z95="",0,Z95),"0")+IFERROR(IF(Z96="",0,Z96),"0")</f>
        <v>1.1752899999999999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489</v>
      </c>
      <c r="Y98" s="547">
        <f>IFERROR(SUM(Y93:Y96),"0")</f>
        <v>496.79999999999995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76</v>
      </c>
      <c r="Y109" s="546">
        <f>IFERROR(IF(X109="",0,CEILING((X109/$H109),1)*$H109),"")</f>
        <v>86.4</v>
      </c>
      <c r="Z109" s="36">
        <f>IFERROR(IF(Y109=0,"",ROUNDUP(Y109/H109,0)*0.01898),"")</f>
        <v>0.15184</v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78.885185185185179</v>
      </c>
      <c r="BN109" s="64">
        <f>IFERROR(Y109*I109/H109,"0")</f>
        <v>89.68</v>
      </c>
      <c r="BO109" s="64">
        <f>IFERROR(1/J109*(X109/H109),"0")</f>
        <v>0.10995370370370369</v>
      </c>
      <c r="BP109" s="64">
        <f>IFERROR(1/J109*(Y109/H109),"0")</f>
        <v>0.125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7.0370370370370363</v>
      </c>
      <c r="Y113" s="547">
        <f>IFERROR(Y109/H109,"0")+IFERROR(Y110/H110,"0")+IFERROR(Y111/H111,"0")+IFERROR(Y112/H112,"0")</f>
        <v>8</v>
      </c>
      <c r="Z113" s="547">
        <f>IFERROR(IF(Z109="",0,Z109),"0")+IFERROR(IF(Z110="",0,Z110),"0")+IFERROR(IF(Z111="",0,Z111),"0")+IFERROR(IF(Z112="",0,Z112),"0")</f>
        <v>0.15184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76</v>
      </c>
      <c r="Y114" s="547">
        <f>IFERROR(SUM(Y109:Y112),"0")</f>
        <v>86.4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363</v>
      </c>
      <c r="Y116" s="546">
        <f>IFERROR(IF(X116="",0,CEILING((X116/$H116),1)*$H116),"")</f>
        <v>364.5</v>
      </c>
      <c r="Z116" s="36">
        <f>IFERROR(IF(Y116=0,"",ROUNDUP(Y116/H116,0)*0.01898),"")</f>
        <v>0.85409999999999997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384.86962962962957</v>
      </c>
      <c r="BN116" s="64">
        <f>IFERROR(Y116*I116/H116,"0")</f>
        <v>386.46</v>
      </c>
      <c r="BO116" s="64">
        <f>IFERROR(1/J116*(X116/H116),"0")</f>
        <v>0.70023148148148151</v>
      </c>
      <c r="BP116" s="64">
        <f>IFERROR(1/J116*(Y116/H116),"0")</f>
        <v>0.703125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167</v>
      </c>
      <c r="Y118" s="546">
        <f>IFERROR(IF(X118="",0,CEILING((X118/$H118),1)*$H118),"")</f>
        <v>167.4</v>
      </c>
      <c r="Z118" s="36">
        <f>IFERROR(IF(Y118=0,"",ROUNDUP(Y118/H118,0)*0.00651),"")</f>
        <v>0.40362000000000003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182.58666666666664</v>
      </c>
      <c r="BN118" s="64">
        <f>IFERROR(Y118*I118/H118,"0")</f>
        <v>183.024</v>
      </c>
      <c r="BO118" s="64">
        <f>IFERROR(1/J118*(X118/H118),"0")</f>
        <v>0.33984533984533982</v>
      </c>
      <c r="BP118" s="64">
        <f>IFERROR(1/J118*(Y118/H118),"0")</f>
        <v>0.34065934065934067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106.66666666666666</v>
      </c>
      <c r="Y120" s="547">
        <f>IFERROR(Y116/H116,"0")+IFERROR(Y117/H117,"0")+IFERROR(Y118/H118,"0")+IFERROR(Y119/H119,"0")</f>
        <v>107</v>
      </c>
      <c r="Z120" s="547">
        <f>IFERROR(IF(Z116="",0,Z116),"0")+IFERROR(IF(Z117="",0,Z117),"0")+IFERROR(IF(Z118="",0,Z118),"0")+IFERROR(IF(Z119="",0,Z119),"0")</f>
        <v>1.2577199999999999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530</v>
      </c>
      <c r="Y121" s="547">
        <f>IFERROR(SUM(Y116:Y119),"0")</f>
        <v>531.9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202</v>
      </c>
      <c r="Y166" s="546">
        <f t="shared" si="5"/>
        <v>205.8</v>
      </c>
      <c r="Z166" s="36">
        <f>IFERROR(IF(Y166=0,"",ROUNDUP(Y166/H166,0)*0.00902),"")</f>
        <v>0.44198000000000004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214.02380952380955</v>
      </c>
      <c r="BN166" s="64">
        <f t="shared" si="7"/>
        <v>218.05</v>
      </c>
      <c r="BO166" s="64">
        <f t="shared" si="8"/>
        <v>0.36435786435786438</v>
      </c>
      <c r="BP166" s="64">
        <f t="shared" si="9"/>
        <v>0.37121212121212122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222</v>
      </c>
      <c r="Y168" s="546">
        <f t="shared" si="5"/>
        <v>222.60000000000002</v>
      </c>
      <c r="Z168" s="36">
        <f>IFERROR(IF(Y168=0,"",ROUNDUP(Y168/H168,0)*0.00902),"")</f>
        <v>0.47806000000000004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232.04285714285712</v>
      </c>
      <c r="BN168" s="64">
        <f t="shared" si="7"/>
        <v>232.67000000000002</v>
      </c>
      <c r="BO168" s="64">
        <f t="shared" si="8"/>
        <v>0.40043290043290042</v>
      </c>
      <c r="BP168" s="64">
        <f t="shared" si="9"/>
        <v>0.40151515151515155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82</v>
      </c>
      <c r="Y169" s="546">
        <f t="shared" si="5"/>
        <v>84</v>
      </c>
      <c r="Z169" s="36">
        <f>IFERROR(IF(Y169=0,"",ROUNDUP(Y169/H169,0)*0.00502),"")</f>
        <v>0.20080000000000001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87.076190476190462</v>
      </c>
      <c r="BN169" s="64">
        <f t="shared" si="7"/>
        <v>89.199999999999989</v>
      </c>
      <c r="BO169" s="64">
        <f t="shared" si="8"/>
        <v>0.16687016687016687</v>
      </c>
      <c r="BP169" s="64">
        <f t="shared" si="9"/>
        <v>0.17094017094017094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45</v>
      </c>
      <c r="Y172" s="546">
        <f t="shared" si="5"/>
        <v>45</v>
      </c>
      <c r="Z172" s="36">
        <f>IFERROR(IF(Y172=0,"",ROUNDUP(Y172/H172,0)*0.00502),"")</f>
        <v>0.1255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48.249999999999993</v>
      </c>
      <c r="BN172" s="64">
        <f t="shared" si="7"/>
        <v>48.249999999999993</v>
      </c>
      <c r="BO172" s="64">
        <f t="shared" si="8"/>
        <v>0.10683760683760685</v>
      </c>
      <c r="BP172" s="64">
        <f t="shared" si="9"/>
        <v>0.10683760683760685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285</v>
      </c>
      <c r="Y174" s="546">
        <f t="shared" si="5"/>
        <v>285.60000000000002</v>
      </c>
      <c r="Z174" s="36">
        <f>IFERROR(IF(Y174=0,"",ROUNDUP(Y174/H174,0)*0.00502),"")</f>
        <v>0.68271999999999999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298.57142857142856</v>
      </c>
      <c r="BN174" s="64">
        <f t="shared" si="7"/>
        <v>299.2</v>
      </c>
      <c r="BO174" s="64">
        <f t="shared" si="8"/>
        <v>0.57997557997558002</v>
      </c>
      <c r="BP174" s="64">
        <f t="shared" si="9"/>
        <v>0.58119658119658124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300.71428571428572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303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1.92906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836</v>
      </c>
      <c r="Y178" s="547">
        <f>IFERROR(SUM(Y165:Y176),"0")</f>
        <v>843.00000000000011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5</v>
      </c>
      <c r="Y181" s="546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5.753968253968254</v>
      </c>
      <c r="BN181" s="64">
        <f>IFERROR(Y181*I181/H181,"0")</f>
        <v>5.8</v>
      </c>
      <c r="BO181" s="64">
        <f>IFERROR(1/J181*(X181/H181),"0")</f>
        <v>1.8371546149323927E-2</v>
      </c>
      <c r="BP181" s="64">
        <f>IFERROR(1/J181*(Y181/H181),"0")</f>
        <v>1.8518518518518517E-2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7.1428571428571423</v>
      </c>
      <c r="Y183" s="547">
        <f>IFERROR(Y180/H180,"0")+IFERROR(Y181/H181,"0")+IFERROR(Y182/H182,"0")</f>
        <v>8</v>
      </c>
      <c r="Z183" s="547">
        <f>IFERROR(IF(Z180="",0,Z180),"0")+IFERROR(IF(Z181="",0,Z181),"0")+IFERROR(IF(Z182="",0,Z182),"0")</f>
        <v>4.7199999999999999E-2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9</v>
      </c>
      <c r="Y184" s="547">
        <f>IFERROR(SUM(Y180:Y182),"0")</f>
        <v>10.08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6</v>
      </c>
      <c r="Y186" s="546">
        <f>IFERROR(IF(X186="",0,CEILING((X186/$H186),1)*$H186),"")</f>
        <v>6.3</v>
      </c>
      <c r="Z186" s="36">
        <f>IFERROR(IF(Y186=0,"",ROUNDUP(Y186/H186,0)*0.0059),"")</f>
        <v>2.9499999999999998E-2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6.9047619047619042</v>
      </c>
      <c r="BN186" s="64">
        <f>IFERROR(Y186*I186/H186,"0")</f>
        <v>7.25</v>
      </c>
      <c r="BO186" s="64">
        <f>IFERROR(1/J186*(X186/H186),"0")</f>
        <v>2.2045855379188711E-2</v>
      </c>
      <c r="BP186" s="64">
        <f>IFERROR(1/J186*(Y186/H186),"0")</f>
        <v>2.3148148148148147E-2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4.7619047619047619</v>
      </c>
      <c r="Y187" s="547">
        <f>IFERROR(Y186/H186,"0")</f>
        <v>5</v>
      </c>
      <c r="Z187" s="547">
        <f>IFERROR(IF(Z186="",0,Z186),"0")</f>
        <v>2.9499999999999998E-2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6</v>
      </c>
      <c r="Y188" s="547">
        <f>IFERROR(SUM(Y186:Y186),"0")</f>
        <v>6.3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554</v>
      </c>
      <c r="Y201" s="546">
        <f t="shared" ref="Y201:Y208" si="10">IFERROR(IF(X201="",0,CEILING((X201/$H201),1)*$H201),"")</f>
        <v>556.20000000000005</v>
      </c>
      <c r="Z201" s="36">
        <f>IFERROR(IF(Y201=0,"",ROUNDUP(Y201/H201,0)*0.00902),"")</f>
        <v>0.92906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573.49259259259259</v>
      </c>
      <c r="BN201" s="64">
        <f t="shared" ref="BN201:BN208" si="12">IFERROR(Y201*I201/H201,"0")</f>
        <v>575.77</v>
      </c>
      <c r="BO201" s="64">
        <f t="shared" ref="BO201:BO208" si="13">IFERROR(1/J201*(X201/H201),"0")</f>
        <v>0.77721661054994384</v>
      </c>
      <c r="BP201" s="64">
        <f t="shared" ref="BP201:BP208" si="14">IFERROR(1/J201*(Y201/H201),"0")</f>
        <v>0.78030303030303028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270</v>
      </c>
      <c r="Y202" s="546">
        <f t="shared" si="10"/>
        <v>270</v>
      </c>
      <c r="Z202" s="36">
        <f>IFERROR(IF(Y202=0,"",ROUNDUP(Y202/H202,0)*0.00902),"")</f>
        <v>0.45100000000000001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279.5</v>
      </c>
      <c r="BN202" s="64">
        <f t="shared" si="12"/>
        <v>279.5</v>
      </c>
      <c r="BO202" s="64">
        <f t="shared" si="13"/>
        <v>0.37878787878787878</v>
      </c>
      <c r="BP202" s="64">
        <f t="shared" si="14"/>
        <v>0.37878787878787878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260</v>
      </c>
      <c r="Y204" s="546">
        <f t="shared" si="10"/>
        <v>264.60000000000002</v>
      </c>
      <c r="Z204" s="36">
        <f>IFERROR(IF(Y204=0,"",ROUNDUP(Y204/H204,0)*0.00902),"")</f>
        <v>0.44198000000000004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269.1481481481481</v>
      </c>
      <c r="BN204" s="64">
        <f t="shared" si="12"/>
        <v>273.90999999999997</v>
      </c>
      <c r="BO204" s="64">
        <f t="shared" si="13"/>
        <v>0.36475869809203143</v>
      </c>
      <c r="BP204" s="64">
        <f t="shared" si="14"/>
        <v>0.37121212121212122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84</v>
      </c>
      <c r="Y205" s="546">
        <f t="shared" si="10"/>
        <v>84.600000000000009</v>
      </c>
      <c r="Z205" s="36">
        <f>IFERROR(IF(Y205=0,"",ROUNDUP(Y205/H205,0)*0.00502),"")</f>
        <v>0.23594000000000001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90.066666666666663</v>
      </c>
      <c r="BN205" s="64">
        <f t="shared" si="12"/>
        <v>90.710000000000008</v>
      </c>
      <c r="BO205" s="64">
        <f t="shared" si="13"/>
        <v>0.19943019943019943</v>
      </c>
      <c r="BP205" s="64">
        <f t="shared" si="14"/>
        <v>0.20085470085470092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28</v>
      </c>
      <c r="Y206" s="546">
        <f t="shared" si="10"/>
        <v>28.8</v>
      </c>
      <c r="Z206" s="36">
        <f>IFERROR(IF(Y206=0,"",ROUNDUP(Y206/H206,0)*0.00502),"")</f>
        <v>8.0320000000000003E-2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29.555555555555554</v>
      </c>
      <c r="BN206" s="64">
        <f t="shared" si="12"/>
        <v>30.4</v>
      </c>
      <c r="BO206" s="64">
        <f t="shared" si="13"/>
        <v>6.6476733143399816E-2</v>
      </c>
      <c r="BP206" s="64">
        <f t="shared" si="14"/>
        <v>6.8376068376068383E-2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58</v>
      </c>
      <c r="Y208" s="546">
        <f t="shared" si="10"/>
        <v>59.4</v>
      </c>
      <c r="Z208" s="36">
        <f>IFERROR(IF(Y208=0,"",ROUNDUP(Y208/H208,0)*0.00502),"")</f>
        <v>0.16566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61.222222222222214</v>
      </c>
      <c r="BN208" s="64">
        <f t="shared" si="12"/>
        <v>62.699999999999989</v>
      </c>
      <c r="BO208" s="64">
        <f t="shared" si="13"/>
        <v>0.13770180436847104</v>
      </c>
      <c r="BP208" s="64">
        <f t="shared" si="14"/>
        <v>0.14102564102564105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295.18518518518516</v>
      </c>
      <c r="Y209" s="547">
        <f>IFERROR(Y201/H201,"0")+IFERROR(Y202/H202,"0")+IFERROR(Y203/H203,"0")+IFERROR(Y204/H204,"0")+IFERROR(Y205/H205,"0")+IFERROR(Y206/H206,"0")+IFERROR(Y207/H207,"0")+IFERROR(Y208/H208,"0")</f>
        <v>298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2.30396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1254</v>
      </c>
      <c r="Y210" s="547">
        <f>IFERROR(SUM(Y201:Y208),"0")</f>
        <v>1263.6000000000001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67</v>
      </c>
      <c r="Y212" s="546">
        <f t="shared" ref="Y212:Y220" si="15">IFERROR(IF(X212="",0,CEILING((X212/$H212),1)*$H212),"")</f>
        <v>72.899999999999991</v>
      </c>
      <c r="Z212" s="36">
        <f>IFERROR(IF(Y212=0,"",ROUNDUP(Y212/H212,0)*0.01898),"")</f>
        <v>0.17082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71.086172839506176</v>
      </c>
      <c r="BN212" s="64">
        <f t="shared" ref="BN212:BN220" si="17">IFERROR(Y212*I212/H212,"0")</f>
        <v>77.345999999999989</v>
      </c>
      <c r="BO212" s="64">
        <f t="shared" ref="BO212:BO220" si="18">IFERROR(1/J212*(X212/H212),"0")</f>
        <v>0.12924382716049385</v>
      </c>
      <c r="BP212" s="64">
        <f t="shared" ref="BP212:BP220" si="19">IFERROR(1/J212*(Y212/H212),"0")</f>
        <v>0.140625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36</v>
      </c>
      <c r="Y213" s="546">
        <f t="shared" si="15"/>
        <v>40.5</v>
      </c>
      <c r="Z213" s="36">
        <f>IFERROR(IF(Y213=0,"",ROUNDUP(Y213/H213,0)*0.01898),"")</f>
        <v>9.4899999999999998E-2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38.115555555555559</v>
      </c>
      <c r="BN213" s="64">
        <f t="shared" si="17"/>
        <v>42.88</v>
      </c>
      <c r="BO213" s="64">
        <f t="shared" si="18"/>
        <v>6.9444444444444448E-2</v>
      </c>
      <c r="BP213" s="64">
        <f t="shared" si="19"/>
        <v>7.8125E-2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505</v>
      </c>
      <c r="Y214" s="546">
        <f t="shared" si="15"/>
        <v>513.29999999999995</v>
      </c>
      <c r="Z214" s="36">
        <f>IFERROR(IF(Y214=0,"",ROUNDUP(Y214/H214,0)*0.01898),"")</f>
        <v>1.11982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533.67471264367828</v>
      </c>
      <c r="BN214" s="64">
        <f t="shared" si="17"/>
        <v>542.44600000000003</v>
      </c>
      <c r="BO214" s="64">
        <f t="shared" si="18"/>
        <v>0.90696839080459779</v>
      </c>
      <c r="BP214" s="64">
        <f t="shared" si="19"/>
        <v>0.921875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342</v>
      </c>
      <c r="Y215" s="546">
        <f t="shared" si="15"/>
        <v>343.2</v>
      </c>
      <c r="Z215" s="36">
        <f t="shared" ref="Z215:Z220" si="20">IFERROR(IF(Y215=0,"",ROUNDUP(Y215/H215,0)*0.00651),"")</f>
        <v>0.93093000000000004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380.47500000000002</v>
      </c>
      <c r="BN215" s="64">
        <f t="shared" si="17"/>
        <v>381.81</v>
      </c>
      <c r="BO215" s="64">
        <f t="shared" si="18"/>
        <v>0.78296703296703307</v>
      </c>
      <c r="BP215" s="64">
        <f t="shared" si="19"/>
        <v>0.78571428571428581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382</v>
      </c>
      <c r="Y217" s="546">
        <f t="shared" si="15"/>
        <v>384</v>
      </c>
      <c r="Z217" s="36">
        <f t="shared" si="20"/>
        <v>1.0416000000000001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422.11000000000007</v>
      </c>
      <c r="BN217" s="64">
        <f t="shared" si="17"/>
        <v>424.32000000000005</v>
      </c>
      <c r="BO217" s="64">
        <f t="shared" si="18"/>
        <v>0.87454212454212477</v>
      </c>
      <c r="BP217" s="64">
        <f t="shared" si="19"/>
        <v>0.87912087912087922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209</v>
      </c>
      <c r="Y218" s="546">
        <f t="shared" si="15"/>
        <v>211.2</v>
      </c>
      <c r="Z218" s="36">
        <f t="shared" si="20"/>
        <v>0.57288000000000006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230.94500000000002</v>
      </c>
      <c r="BN218" s="64">
        <f t="shared" si="17"/>
        <v>233.376</v>
      </c>
      <c r="BO218" s="64">
        <f t="shared" si="18"/>
        <v>0.47847985347985356</v>
      </c>
      <c r="BP218" s="64">
        <f t="shared" si="19"/>
        <v>0.48351648351648358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303</v>
      </c>
      <c r="Y219" s="546">
        <f t="shared" si="15"/>
        <v>304.8</v>
      </c>
      <c r="Z219" s="36">
        <f t="shared" si="20"/>
        <v>0.82677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334.81500000000005</v>
      </c>
      <c r="BN219" s="64">
        <f t="shared" si="17"/>
        <v>336.80400000000003</v>
      </c>
      <c r="BO219" s="64">
        <f t="shared" si="18"/>
        <v>0.69368131868131877</v>
      </c>
      <c r="BP219" s="64">
        <f t="shared" si="19"/>
        <v>0.69780219780219799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241</v>
      </c>
      <c r="Y220" s="546">
        <f t="shared" si="15"/>
        <v>242.39999999999998</v>
      </c>
      <c r="Z220" s="36">
        <f t="shared" si="20"/>
        <v>0.65751000000000004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266.90750000000003</v>
      </c>
      <c r="BN220" s="64">
        <f t="shared" si="17"/>
        <v>268.45799999999997</v>
      </c>
      <c r="BO220" s="64">
        <f t="shared" si="18"/>
        <v>0.55173992673992678</v>
      </c>
      <c r="BP220" s="64">
        <f t="shared" si="19"/>
        <v>0.55494505494505497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686.17869306087698</v>
      </c>
      <c r="Y221" s="547">
        <f>IFERROR(Y212/H212,"0")+IFERROR(Y213/H213,"0")+IFERROR(Y214/H214,"0")+IFERROR(Y215/H215,"0")+IFERROR(Y216/H216,"0")+IFERROR(Y217/H217,"0")+IFERROR(Y218/H218,"0")+IFERROR(Y219/H219,"0")+IFERROR(Y220/H220,"0")</f>
        <v>692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5.4152300000000002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2085</v>
      </c>
      <c r="Y222" s="547">
        <f>IFERROR(SUM(Y212:Y220),"0")</f>
        <v>2112.2999999999997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34</v>
      </c>
      <c r="Y224" s="546">
        <f>IFERROR(IF(X224="",0,CEILING((X224/$H224),1)*$H224),"")</f>
        <v>36</v>
      </c>
      <c r="Z224" s="36">
        <f>IFERROR(IF(Y224=0,"",ROUNDUP(Y224/H224,0)*0.00651),"")</f>
        <v>9.7650000000000001E-2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37.570000000000007</v>
      </c>
      <c r="BN224" s="64">
        <f>IFERROR(Y224*I224/H224,"0")</f>
        <v>39.780000000000008</v>
      </c>
      <c r="BO224" s="64">
        <f>IFERROR(1/J224*(X224/H224),"0")</f>
        <v>7.7838827838827854E-2</v>
      </c>
      <c r="BP224" s="64">
        <f>IFERROR(1/J224*(Y224/H224),"0")</f>
        <v>8.241758241758243E-2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7</v>
      </c>
      <c r="Y225" s="546">
        <f>IFERROR(IF(X225="",0,CEILING((X225/$H225),1)*$H225),"")</f>
        <v>7.1999999999999993</v>
      </c>
      <c r="Z225" s="36">
        <f>IFERROR(IF(Y225=0,"",ROUNDUP(Y225/H225,0)*0.00651),"")</f>
        <v>1.9529999999999999E-2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7.7350000000000003</v>
      </c>
      <c r="BN225" s="64">
        <f>IFERROR(Y225*I225/H225,"0")</f>
        <v>7.9560000000000004</v>
      </c>
      <c r="BO225" s="64">
        <f>IFERROR(1/J225*(X225/H225),"0")</f>
        <v>1.6025641025641028E-2</v>
      </c>
      <c r="BP225" s="64">
        <f>IFERROR(1/J225*(Y225/H225),"0")</f>
        <v>1.6483516483516484E-2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17.083333333333336</v>
      </c>
      <c r="Y226" s="547">
        <f>IFERROR(Y224/H224,"0")+IFERROR(Y225/H225,"0")</f>
        <v>18</v>
      </c>
      <c r="Z226" s="547">
        <f>IFERROR(IF(Z224="",0,Z224),"0")+IFERROR(IF(Z225="",0,Z225),"0")</f>
        <v>0.11718000000000001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41</v>
      </c>
      <c r="Y227" s="547">
        <f>IFERROR(SUM(Y224:Y225),"0")</f>
        <v>43.2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115</v>
      </c>
      <c r="Y230" s="546">
        <f t="shared" ref="Y230:Y238" si="21">IFERROR(IF(X230="",0,CEILING((X230/$H230),1)*$H230),"")</f>
        <v>116</v>
      </c>
      <c r="Z230" s="36">
        <f>IFERROR(IF(Y230=0,"",ROUNDUP(Y230/H230,0)*0.01898),"")</f>
        <v>0.1898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119.06465517241378</v>
      </c>
      <c r="BN230" s="64">
        <f t="shared" ref="BN230:BN238" si="23">IFERROR(Y230*I230/H230,"0")</f>
        <v>120.10000000000001</v>
      </c>
      <c r="BO230" s="64">
        <f t="shared" ref="BO230:BO238" si="24">IFERROR(1/J230*(X230/H230),"0")</f>
        <v>0.15490301724137931</v>
      </c>
      <c r="BP230" s="64">
        <f t="shared" ref="BP230:BP238" si="25">IFERROR(1/J230*(Y230/H230),"0")</f>
        <v>0.15625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16</v>
      </c>
      <c r="Y233" s="546">
        <f t="shared" si="21"/>
        <v>16</v>
      </c>
      <c r="Z233" s="36">
        <f>IFERROR(IF(Y233=0,"",ROUNDUP(Y233/H233,0)*0.00902),"")</f>
        <v>3.6080000000000001E-2</v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16.760000000000002</v>
      </c>
      <c r="BN233" s="64">
        <f t="shared" si="23"/>
        <v>16.760000000000002</v>
      </c>
      <c r="BO233" s="64">
        <f t="shared" si="24"/>
        <v>3.0303030303030304E-2</v>
      </c>
      <c r="BP233" s="64">
        <f t="shared" si="25"/>
        <v>3.0303030303030304E-2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13.913793103448276</v>
      </c>
      <c r="Y239" s="547">
        <f>IFERROR(Y230/H230,"0")+IFERROR(Y231/H231,"0")+IFERROR(Y232/H232,"0")+IFERROR(Y233/H233,"0")+IFERROR(Y234/H234,"0")+IFERROR(Y235/H235,"0")+IFERROR(Y236/H236,"0")+IFERROR(Y237/H237,"0")+IFERROR(Y238/H238,"0")</f>
        <v>14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0.22588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131</v>
      </c>
      <c r="Y240" s="547">
        <f>IFERROR(SUM(Y230:Y238),"0")</f>
        <v>132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3</v>
      </c>
      <c r="Y252" s="546">
        <f>IFERROR(IF(X252="",0,CEILING((X252/$H252),1)*$H252),"")</f>
        <v>3.6</v>
      </c>
      <c r="Z252" s="36">
        <f>IFERROR(IF(Y252=0,"",ROUNDUP(Y252/H252,0)*0.0059),"")</f>
        <v>2.3599999999999999E-2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3.6333333333333337</v>
      </c>
      <c r="BN252" s="64">
        <f>IFERROR(Y252*I252/H252,"0")</f>
        <v>4.3600000000000003</v>
      </c>
      <c r="BO252" s="64">
        <f>IFERROR(1/J252*(X252/H252),"0")</f>
        <v>1.5432098765432096E-2</v>
      </c>
      <c r="BP252" s="64">
        <f>IFERROR(1/J252*(Y252/H252),"0")</f>
        <v>1.8518518518518517E-2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3</v>
      </c>
      <c r="Y253" s="546">
        <f>IFERROR(IF(X253="",0,CEILING((X253/$H253),1)*$H253),"")</f>
        <v>3.96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3.5757575757575757</v>
      </c>
      <c r="BN253" s="64">
        <f>IFERROR(Y253*I253/H253,"0")</f>
        <v>4.72</v>
      </c>
      <c r="BO253" s="64">
        <f>IFERROR(1/J253*(X253/H253),"0")</f>
        <v>1.4029180695847361E-2</v>
      </c>
      <c r="BP253" s="64">
        <f>IFERROR(1/J253*(Y253/H253),"0")</f>
        <v>1.8518518518518517E-2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4</v>
      </c>
      <c r="Y254" s="546">
        <f>IFERROR(IF(X254="",0,CEILING((X254/$H254),1)*$H254),"")</f>
        <v>4.95</v>
      </c>
      <c r="Z254" s="36">
        <f>IFERROR(IF(Y254=0,"",ROUNDUP(Y254/H254,0)*0.0059),"")</f>
        <v>2.9499999999999998E-2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4.7676767676767673</v>
      </c>
      <c r="BN254" s="64">
        <f>IFERROR(Y254*I254/H254,"0")</f>
        <v>5.9</v>
      </c>
      <c r="BO254" s="64">
        <f>IFERROR(1/J254*(X254/H254),"0")</f>
        <v>1.8705574261129818E-2</v>
      </c>
      <c r="BP254" s="64">
        <f>IFERROR(1/J254*(Y254/H254),"0")</f>
        <v>2.3148148148148147E-2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10.404040404040405</v>
      </c>
      <c r="Y255" s="547">
        <f>IFERROR(Y250/H250,"0")+IFERROR(Y251/H251,"0")+IFERROR(Y252/H252,"0")+IFERROR(Y253/H253,"0")+IFERROR(Y254/H254,"0")</f>
        <v>13</v>
      </c>
      <c r="Z255" s="547">
        <f>IFERROR(IF(Z250="",0,Z250),"0")+IFERROR(IF(Z251="",0,Z251),"0")+IFERROR(IF(Z252="",0,Z252),"0")+IFERROR(IF(Z253="",0,Z253),"0")+IFERROR(IF(Z254="",0,Z254),"0")</f>
        <v>7.669999999999999E-2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10</v>
      </c>
      <c r="Y256" s="547">
        <f>IFERROR(SUM(Y250:Y254),"0")</f>
        <v>12.510000000000002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91</v>
      </c>
      <c r="Y277" s="546">
        <f>IFERROR(IF(X277="",0,CEILING((X277/$H277),1)*$H277),"")</f>
        <v>91.2</v>
      </c>
      <c r="Z277" s="36">
        <f>IFERROR(IF(Y277=0,"",ROUNDUP(Y277/H277,0)*0.00651),"")</f>
        <v>0.24738000000000002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100.55500000000001</v>
      </c>
      <c r="BN277" s="64">
        <f>IFERROR(Y277*I277/H277,"0")</f>
        <v>100.77600000000001</v>
      </c>
      <c r="BO277" s="64">
        <f>IFERROR(1/J277*(X277/H277),"0")</f>
        <v>0.20833333333333337</v>
      </c>
      <c r="BP277" s="64">
        <f>IFERROR(1/J277*(Y277/H277),"0")</f>
        <v>0.2087912087912088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80</v>
      </c>
      <c r="Y278" s="546">
        <f>IFERROR(IF(X278="",0,CEILING((X278/$H278),1)*$H278),"")</f>
        <v>81.599999999999994</v>
      </c>
      <c r="Z278" s="36">
        <f>IFERROR(IF(Y278=0,"",ROUNDUP(Y278/H278,0)*0.00651),"")</f>
        <v>0.22134000000000001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86</v>
      </c>
      <c r="BN278" s="64">
        <f>IFERROR(Y278*I278/H278,"0")</f>
        <v>87.72</v>
      </c>
      <c r="BO278" s="64">
        <f>IFERROR(1/J278*(X278/H278),"0")</f>
        <v>0.18315018315018317</v>
      </c>
      <c r="BP278" s="64">
        <f>IFERROR(1/J278*(Y278/H278),"0")</f>
        <v>0.18681318681318682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71.25</v>
      </c>
      <c r="Y279" s="547">
        <f>IFERROR(Y276/H276,"0")+IFERROR(Y277/H277,"0")+IFERROR(Y278/H278,"0")</f>
        <v>72</v>
      </c>
      <c r="Z279" s="547">
        <f>IFERROR(IF(Z276="",0,Z276),"0")+IFERROR(IF(Z277="",0,Z277),"0")+IFERROR(IF(Z278="",0,Z278),"0")</f>
        <v>0.46872000000000003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171</v>
      </c>
      <c r="Y280" s="547">
        <f>IFERROR(SUM(Y276:Y278),"0")</f>
        <v>172.8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35</v>
      </c>
      <c r="Y307" s="546">
        <f t="shared" si="26"/>
        <v>36</v>
      </c>
      <c r="Z307" s="36">
        <f>IFERROR(IF(Y307=0,"",ROUNDUP(Y307/H307,0)*0.00651),"")</f>
        <v>0.13020000000000001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39.433333333333337</v>
      </c>
      <c r="BN307" s="64">
        <f t="shared" si="28"/>
        <v>40.559999999999995</v>
      </c>
      <c r="BO307" s="64">
        <f t="shared" si="29"/>
        <v>0.10683760683760683</v>
      </c>
      <c r="BP307" s="64">
        <f t="shared" si="30"/>
        <v>0.1098901098901099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19.444444444444443</v>
      </c>
      <c r="Y308" s="547">
        <f>IFERROR(Y302/H302,"0")+IFERROR(Y303/H303,"0")+IFERROR(Y304/H304,"0")+IFERROR(Y305/H305,"0")+IFERROR(Y306/H306,"0")+IFERROR(Y307/H307,"0")</f>
        <v>20</v>
      </c>
      <c r="Z308" s="547">
        <f>IFERROR(IF(Z302="",0,Z302),"0")+IFERROR(IF(Z303="",0,Z303),"0")+IFERROR(IF(Z304="",0,Z304),"0")+IFERROR(IF(Z305="",0,Z305),"0")+IFERROR(IF(Z306="",0,Z306),"0")+IFERROR(IF(Z307="",0,Z307),"0")</f>
        <v>0.13020000000000001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35</v>
      </c>
      <c r="Y309" s="547">
        <f>IFERROR(SUM(Y302:Y307),"0")</f>
        <v>36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198</v>
      </c>
      <c r="Y318" s="546">
        <f>IFERROR(IF(X318="",0,CEILING((X318/$H318),1)*$H318),"")</f>
        <v>201.60000000000002</v>
      </c>
      <c r="Z318" s="36">
        <f>IFERROR(IF(Y318=0,"",ROUNDUP(Y318/H318,0)*0.01898),"")</f>
        <v>0.45552000000000004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209.6442857142857</v>
      </c>
      <c r="BN318" s="64">
        <f>IFERROR(Y318*I318/H318,"0")</f>
        <v>213.45600000000002</v>
      </c>
      <c r="BO318" s="64">
        <f>IFERROR(1/J318*(X318/H318),"0")</f>
        <v>0.3683035714285714</v>
      </c>
      <c r="BP318" s="64">
        <f>IFERROR(1/J318*(Y318/H318),"0")</f>
        <v>0.375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578</v>
      </c>
      <c r="Y319" s="546">
        <f>IFERROR(IF(X319="",0,CEILING((X319/$H319),1)*$H319),"")</f>
        <v>585</v>
      </c>
      <c r="Z319" s="36">
        <f>IFERROR(IF(Y319=0,"",ROUNDUP(Y319/H319,0)*0.01898),"")</f>
        <v>1.4235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614.6066666666668</v>
      </c>
      <c r="BN319" s="64">
        <f>IFERROR(Y319*I319/H319,"0")</f>
        <v>622.05000000000007</v>
      </c>
      <c r="BO319" s="64">
        <f>IFERROR(1/J319*(X319/H319),"0")</f>
        <v>1.1578525641025641</v>
      </c>
      <c r="BP319" s="64">
        <f>IFERROR(1/J319*(Y319/H319),"0")</f>
        <v>1.171875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182</v>
      </c>
      <c r="Y320" s="546">
        <f>IFERROR(IF(X320="",0,CEILING((X320/$H320),1)*$H320),"")</f>
        <v>184.8</v>
      </c>
      <c r="Z320" s="36">
        <f>IFERROR(IF(Y320=0,"",ROUNDUP(Y320/H320,0)*0.01898),"")</f>
        <v>0.41755999999999999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192.70333333333335</v>
      </c>
      <c r="BN320" s="64">
        <f>IFERROR(Y320*I320/H320,"0")</f>
        <v>195.66800000000001</v>
      </c>
      <c r="BO320" s="64">
        <f>IFERROR(1/J320*(X320/H320),"0")</f>
        <v>0.33854166666666663</v>
      </c>
      <c r="BP320" s="64">
        <f>IFERROR(1/J320*(Y320/H320),"0")</f>
        <v>0.34375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119.34065934065933</v>
      </c>
      <c r="Y321" s="547">
        <f>IFERROR(Y318/H318,"0")+IFERROR(Y319/H319,"0")+IFERROR(Y320/H320,"0")</f>
        <v>121</v>
      </c>
      <c r="Z321" s="547">
        <f>IFERROR(IF(Z318="",0,Z318),"0")+IFERROR(IF(Z319="",0,Z319),"0")+IFERROR(IF(Z320="",0,Z320),"0")</f>
        <v>2.2965800000000001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958</v>
      </c>
      <c r="Y322" s="547">
        <f>IFERROR(SUM(Y318:Y320),"0")</f>
        <v>971.40000000000009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11</v>
      </c>
      <c r="Y324" s="546">
        <f>IFERROR(IF(X324="",0,CEILING((X324/$H324),1)*$H324),"")</f>
        <v>12.16</v>
      </c>
      <c r="Z324" s="36">
        <f>IFERROR(IF(Y324=0,"",ROUNDUP(Y324/H324,0)*0.00902),"")</f>
        <v>3.6080000000000001E-2</v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11.976973684210527</v>
      </c>
      <c r="BN324" s="64">
        <f>IFERROR(Y324*I324/H324,"0")</f>
        <v>13.24</v>
      </c>
      <c r="BO324" s="64">
        <f>IFERROR(1/J324*(X324/H324),"0")</f>
        <v>2.7412280701754384E-2</v>
      </c>
      <c r="BP324" s="64">
        <f>IFERROR(1/J324*(Y324/H324),"0")</f>
        <v>3.0303030303030304E-2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10</v>
      </c>
      <c r="Y325" s="546">
        <f>IFERROR(IF(X325="",0,CEILING((X325/$H325),1)*$H325),"")</f>
        <v>12.16</v>
      </c>
      <c r="Z325" s="36">
        <f>IFERROR(IF(Y325=0,"",ROUNDUP(Y325/H325,0)*0.00902),"")</f>
        <v>3.6080000000000001E-2</v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10.756578947368421</v>
      </c>
      <c r="BN325" s="64">
        <f>IFERROR(Y325*I325/H325,"0")</f>
        <v>13.079999999999998</v>
      </c>
      <c r="BO325" s="64">
        <f>IFERROR(1/J325*(X325/H325),"0")</f>
        <v>2.4920255183413079E-2</v>
      </c>
      <c r="BP325" s="64">
        <f>IFERROR(1/J325*(Y325/H325),"0")</f>
        <v>3.0303030303030304E-2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11</v>
      </c>
      <c r="Y326" s="546">
        <f>IFERROR(IF(X326="",0,CEILING((X326/$H326),1)*$H326),"")</f>
        <v>12.75</v>
      </c>
      <c r="Z326" s="36">
        <f>IFERROR(IF(Y326=0,"",ROUNDUP(Y326/H326,0)*0.00651),"")</f>
        <v>3.2550000000000003E-2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12.747058823529414</v>
      </c>
      <c r="BN326" s="64">
        <f>IFERROR(Y326*I326/H326,"0")</f>
        <v>14.775000000000002</v>
      </c>
      <c r="BO326" s="64">
        <f>IFERROR(1/J326*(X326/H326),"0")</f>
        <v>2.3701788407670767E-2</v>
      </c>
      <c r="BP326" s="64">
        <f>IFERROR(1/J326*(Y326/H326),"0")</f>
        <v>2.7472527472527476E-2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16</v>
      </c>
      <c r="Y327" s="546">
        <f>IFERROR(IF(X327="",0,CEILING((X327/$H327),1)*$H327),"")</f>
        <v>17.849999999999998</v>
      </c>
      <c r="Z327" s="36">
        <f>IFERROR(IF(Y327=0,"",ROUNDUP(Y327/H327,0)*0.00651),"")</f>
        <v>4.5569999999999999E-2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18.070588235294117</v>
      </c>
      <c r="BN327" s="64">
        <f>IFERROR(Y327*I327/H327,"0")</f>
        <v>20.16</v>
      </c>
      <c r="BO327" s="64">
        <f>IFERROR(1/J327*(X327/H327),"0")</f>
        <v>3.4475328592975661E-2</v>
      </c>
      <c r="BP327" s="64">
        <f>IFERROR(1/J327*(Y327/H327),"0")</f>
        <v>3.8461538461538464E-2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17.496130030959755</v>
      </c>
      <c r="Y328" s="547">
        <f>IFERROR(Y324/H324,"0")+IFERROR(Y325/H325,"0")+IFERROR(Y326/H326,"0")+IFERROR(Y327/H327,"0")</f>
        <v>20</v>
      </c>
      <c r="Z328" s="547">
        <f>IFERROR(IF(Z324="",0,Z324),"0")+IFERROR(IF(Z325="",0,Z325),"0")+IFERROR(IF(Z326="",0,Z326),"0")+IFERROR(IF(Z327="",0,Z327),"0")</f>
        <v>0.15028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48</v>
      </c>
      <c r="Y329" s="547">
        <f>IFERROR(SUM(Y324:Y327),"0")</f>
        <v>54.92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5</v>
      </c>
      <c r="Y331" s="546">
        <f>IFERROR(IF(X331="",0,CEILING((X331/$H331),1)*$H331),"")</f>
        <v>6</v>
      </c>
      <c r="Z331" s="36">
        <f>IFERROR(IF(Y331=0,"",ROUNDUP(Y331/H331,0)*0.00474),"")</f>
        <v>1.422E-2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5.6000000000000005</v>
      </c>
      <c r="BN331" s="64">
        <f>IFERROR(Y331*I331/H331,"0")</f>
        <v>6.7200000000000006</v>
      </c>
      <c r="BO331" s="64">
        <f>IFERROR(1/J331*(X331/H331),"0")</f>
        <v>1.0504201680672268E-2</v>
      </c>
      <c r="BP331" s="64">
        <f>IFERROR(1/J331*(Y331/H331),"0")</f>
        <v>1.2605042016806723E-2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5</v>
      </c>
      <c r="Y335" s="547">
        <f>IFERROR(SUM(Y331:Y333),"0")</f>
        <v>6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38</v>
      </c>
      <c r="Y338" s="546">
        <f>IFERROR(IF(X338="",0,CEILING((X338/$H338),1)*$H338),"")</f>
        <v>40.5</v>
      </c>
      <c r="Z338" s="36">
        <f>IFERROR(IF(Y338=0,"",ROUNDUP(Y338/H338,0)*0.01898),"")</f>
        <v>9.4899999999999998E-2</v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40.317530864197536</v>
      </c>
      <c r="BN338" s="64">
        <f>IFERROR(Y338*I338/H338,"0")</f>
        <v>42.97</v>
      </c>
      <c r="BO338" s="64">
        <f>IFERROR(1/J338*(X338/H338),"0")</f>
        <v>7.3302469135802475E-2</v>
      </c>
      <c r="BP338" s="64">
        <f>IFERROR(1/J338*(Y338/H338),"0")</f>
        <v>7.8125E-2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4.6913580246913584</v>
      </c>
      <c r="Y341" s="547">
        <f>IFERROR(Y338/H338,"0")+IFERROR(Y339/H339,"0")+IFERROR(Y340/H340,"0")</f>
        <v>5</v>
      </c>
      <c r="Z341" s="547">
        <f>IFERROR(IF(Z338="",0,Z338),"0")+IFERROR(IF(Z339="",0,Z339),"0")+IFERROR(IF(Z340="",0,Z340),"0")</f>
        <v>9.4899999999999998E-2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38</v>
      </c>
      <c r="Y342" s="547">
        <f>IFERROR(SUM(Y338:Y340),"0")</f>
        <v>40.5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40</v>
      </c>
      <c r="Y346" s="546">
        <f t="shared" ref="Y346:Y352" si="31">IFERROR(IF(X346="",0,CEILING((X346/$H346),1)*$H346),"")</f>
        <v>45</v>
      </c>
      <c r="Z346" s="36">
        <f>IFERROR(IF(Y346=0,"",ROUNDUP(Y346/H346,0)*0.02175),"")</f>
        <v>6.5250000000000002E-2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41.253333333333337</v>
      </c>
      <c r="BN346" s="64">
        <f t="shared" ref="BN346:BN352" si="33">IFERROR(Y346*I346/H346,"0")</f>
        <v>46.41</v>
      </c>
      <c r="BO346" s="64">
        <f t="shared" ref="BO346:BO352" si="34">IFERROR(1/J346*(X346/H346),"0")</f>
        <v>5.5555555555555552E-2</v>
      </c>
      <c r="BP346" s="64">
        <f t="shared" ref="BP346:BP352" si="35">IFERROR(1/J346*(Y346/H346),"0")</f>
        <v>6.25E-2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367</v>
      </c>
      <c r="Y348" s="546">
        <f t="shared" si="31"/>
        <v>375</v>
      </c>
      <c r="Z348" s="36">
        <f>IFERROR(IF(Y348=0,"",ROUNDUP(Y348/H348,0)*0.02175),"")</f>
        <v>0.54374999999999996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378.49933333333331</v>
      </c>
      <c r="BN348" s="64">
        <f t="shared" si="33"/>
        <v>386.75</v>
      </c>
      <c r="BO348" s="64">
        <f t="shared" si="34"/>
        <v>0.50972222222222219</v>
      </c>
      <c r="BP348" s="64">
        <f t="shared" si="35"/>
        <v>0.52083333333333326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27.133333333333333</v>
      </c>
      <c r="Y353" s="547">
        <f>IFERROR(Y346/H346,"0")+IFERROR(Y347/H347,"0")+IFERROR(Y348/H348,"0")+IFERROR(Y349/H349,"0")+IFERROR(Y350/H350,"0")+IFERROR(Y351/H351,"0")+IFERROR(Y352/H352,"0")</f>
        <v>28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0.60899999999999999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407</v>
      </c>
      <c r="Y354" s="547">
        <f>IFERROR(SUM(Y346:Y352),"0")</f>
        <v>420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194</v>
      </c>
      <c r="Y366" s="546">
        <f>IFERROR(IF(X366="",0,CEILING((X366/$H366),1)*$H366),"")</f>
        <v>198</v>
      </c>
      <c r="Z366" s="36">
        <f>IFERROR(IF(Y366=0,"",ROUNDUP(Y366/H366,0)*0.01898),"")</f>
        <v>0.41755999999999999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204.64844444444444</v>
      </c>
      <c r="BN366" s="64">
        <f>IFERROR(Y366*I366/H366,"0")</f>
        <v>208.86799999999999</v>
      </c>
      <c r="BO366" s="64">
        <f>IFERROR(1/J366*(X366/H366),"0")</f>
        <v>0.33680555555555558</v>
      </c>
      <c r="BP366" s="64">
        <f>IFERROR(1/J366*(Y366/H366),"0")</f>
        <v>0.34375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21.555555555555557</v>
      </c>
      <c r="Y367" s="547">
        <f>IFERROR(Y366/H366,"0")</f>
        <v>22</v>
      </c>
      <c r="Z367" s="547">
        <f>IFERROR(IF(Z366="",0,Z366),"0")</f>
        <v>0.41755999999999999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194</v>
      </c>
      <c r="Y368" s="547">
        <f>IFERROR(SUM(Y366:Y366),"0")</f>
        <v>198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690</v>
      </c>
      <c r="Y381" s="546">
        <f>IFERROR(IF(X381="",0,CEILING((X381/$H381),1)*$H381),"")</f>
        <v>693</v>
      </c>
      <c r="Z381" s="36">
        <f>IFERROR(IF(Y381=0,"",ROUNDUP(Y381/H381,0)*0.01898),"")</f>
        <v>1.46146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727.87333333333333</v>
      </c>
      <c r="BN381" s="64">
        <f>IFERROR(Y381*I381/H381,"0")</f>
        <v>731.03800000000001</v>
      </c>
      <c r="BO381" s="64">
        <f>IFERROR(1/J381*(X381/H381),"0")</f>
        <v>1.1979166666666667</v>
      </c>
      <c r="BP381" s="64">
        <f>IFERROR(1/J381*(Y381/H381),"0")</f>
        <v>1.203125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76.666666666666671</v>
      </c>
      <c r="Y384" s="547">
        <f>IFERROR(Y381/H381,"0")+IFERROR(Y382/H382,"0")+IFERROR(Y383/H383,"0")</f>
        <v>77</v>
      </c>
      <c r="Z384" s="547">
        <f>IFERROR(IF(Z381="",0,Z381),"0")+IFERROR(IF(Z382="",0,Z382),"0")+IFERROR(IF(Z383="",0,Z383),"0")</f>
        <v>1.46146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690</v>
      </c>
      <c r="Y385" s="547">
        <f>IFERROR(SUM(Y381:Y383),"0")</f>
        <v>693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170</v>
      </c>
      <c r="Y425" s="546">
        <f t="shared" ref="Y425:Y436" si="42">IFERROR(IF(X425="",0,CEILING((X425/$H425),1)*$H425),"")</f>
        <v>174.24</v>
      </c>
      <c r="Z425" s="36">
        <f t="shared" ref="Z425:Z431" si="43">IFERROR(IF(Y425=0,"",ROUNDUP(Y425/H425,0)*0.01196),"")</f>
        <v>0.39468000000000003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181.26893939393938</v>
      </c>
      <c r="BN425" s="64">
        <f t="shared" ref="BN425:BN436" si="45">IFERROR(Y425*I425/H425,"0")</f>
        <v>185.79</v>
      </c>
      <c r="BO425" s="64">
        <f t="shared" ref="BO425:BO436" si="46">IFERROR(1/J425*(X425/H425),"0")</f>
        <v>0.3095862470862471</v>
      </c>
      <c r="BP425" s="64">
        <f t="shared" ref="BP425:BP436" si="47">IFERROR(1/J425*(Y425/H425),"0")</f>
        <v>0.31730769230769235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75</v>
      </c>
      <c r="Y428" s="546">
        <f t="shared" si="42"/>
        <v>79.2</v>
      </c>
      <c r="Z428" s="36">
        <f t="shared" si="43"/>
        <v>0.1794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79.971590909090907</v>
      </c>
      <c r="BN428" s="64">
        <f t="shared" si="45"/>
        <v>84.45</v>
      </c>
      <c r="BO428" s="64">
        <f t="shared" si="46"/>
        <v>0.13658216783216784</v>
      </c>
      <c r="BP428" s="64">
        <f t="shared" si="47"/>
        <v>0.14423076923076925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41</v>
      </c>
      <c r="Y433" s="546">
        <f t="shared" si="42"/>
        <v>43.199999999999996</v>
      </c>
      <c r="Z433" s="36">
        <f>IFERROR(IF(Y433=0,"",ROUNDUP(Y433/H433,0)*0.00902),"")</f>
        <v>8.1180000000000002E-2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59.022916666666667</v>
      </c>
      <c r="BN433" s="64">
        <f t="shared" si="45"/>
        <v>62.190000000000005</v>
      </c>
      <c r="BO433" s="64">
        <f t="shared" si="46"/>
        <v>6.4709595959595967E-2</v>
      </c>
      <c r="BP433" s="64">
        <f t="shared" si="47"/>
        <v>6.8181818181818177E-2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12</v>
      </c>
      <c r="Y436" s="546">
        <f t="shared" si="42"/>
        <v>14.399999999999999</v>
      </c>
      <c r="Z436" s="36">
        <f>IFERROR(IF(Y436=0,"",ROUNDUP(Y436/H436,0)*0.00902),"")</f>
        <v>2.7060000000000001E-2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17.275000000000002</v>
      </c>
      <c r="BN436" s="64">
        <f t="shared" si="45"/>
        <v>20.73</v>
      </c>
      <c r="BO436" s="64">
        <f t="shared" si="46"/>
        <v>1.893939393939394E-2</v>
      </c>
      <c r="BP436" s="64">
        <f t="shared" si="47"/>
        <v>2.2727272727272728E-2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57.443181818181813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0.68232000000000004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298</v>
      </c>
      <c r="Y438" s="547">
        <f>IFERROR(SUM(Y425:Y436),"0")</f>
        <v>311.03999999999996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100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106.62878787878788</v>
      </c>
      <c r="BN440" s="64">
        <f>IFERROR(Y440*I440/H440,"0")</f>
        <v>106.97</v>
      </c>
      <c r="BO440" s="64">
        <f>IFERROR(1/J440*(X440/H440),"0")</f>
        <v>0.18210955710955709</v>
      </c>
      <c r="BP440" s="64">
        <f>IFERROR(1/J440*(Y440/H440),"0")</f>
        <v>0.18269230769230771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18.939393939393938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100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56</v>
      </c>
      <c r="Y446" s="546">
        <f t="shared" ref="Y446:Y451" si="48">IFERROR(IF(X446="",0,CEILING((X446/$H446),1)*$H446),"")</f>
        <v>58.080000000000005</v>
      </c>
      <c r="Z446" s="36">
        <f>IFERROR(IF(Y446=0,"",ROUNDUP(Y446/H446,0)*0.01196),"")</f>
        <v>0.13156000000000001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59.712121212121204</v>
      </c>
      <c r="BN446" s="64">
        <f t="shared" ref="BN446:BN451" si="50">IFERROR(Y446*I446/H446,"0")</f>
        <v>61.93</v>
      </c>
      <c r="BO446" s="64">
        <f t="shared" ref="BO446:BO451" si="51">IFERROR(1/J446*(X446/H446),"0")</f>
        <v>0.10198135198135198</v>
      </c>
      <c r="BP446" s="64">
        <f t="shared" ref="BP446:BP451" si="52">IFERROR(1/J446*(Y446/H446),"0")</f>
        <v>0.10576923076923078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72</v>
      </c>
      <c r="Y447" s="546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76.772727272727266</v>
      </c>
      <c r="BN447" s="64">
        <f t="shared" si="50"/>
        <v>78.819999999999993</v>
      </c>
      <c r="BO447" s="64">
        <f t="shared" si="51"/>
        <v>0.13111888111888112</v>
      </c>
      <c r="BP447" s="64">
        <f t="shared" si="52"/>
        <v>0.13461538461538464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32</v>
      </c>
      <c r="Y448" s="546">
        <f t="shared" si="48"/>
        <v>36.96</v>
      </c>
      <c r="Z448" s="36">
        <f>IFERROR(IF(Y448=0,"",ROUNDUP(Y448/H448,0)*0.01196),"")</f>
        <v>8.3720000000000003E-2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34.121212121212118</v>
      </c>
      <c r="BN448" s="64">
        <f t="shared" si="50"/>
        <v>39.409999999999997</v>
      </c>
      <c r="BO448" s="64">
        <f t="shared" si="51"/>
        <v>5.8275058275058279E-2</v>
      </c>
      <c r="BP448" s="64">
        <f t="shared" si="52"/>
        <v>6.7307692307692318E-2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30.303030303030305</v>
      </c>
      <c r="Y452" s="547">
        <f>IFERROR(Y446/H446,"0")+IFERROR(Y447/H447,"0")+IFERROR(Y448/H448,"0")+IFERROR(Y449/H449,"0")+IFERROR(Y450/H450,"0")+IFERROR(Y451/H451,"0")</f>
        <v>32</v>
      </c>
      <c r="Z452" s="547">
        <f>IFERROR(IF(Z446="",0,Z446),"0")+IFERROR(IF(Z447="",0,Z447),"0")+IFERROR(IF(Z448="",0,Z448),"0")+IFERROR(IF(Z449="",0,Z449),"0")+IFERROR(IF(Z450="",0,Z450),"0")+IFERROR(IF(Z451="",0,Z451),"0")</f>
        <v>0.38272000000000006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160</v>
      </c>
      <c r="Y453" s="547">
        <f>IFERROR(SUM(Y446:Y451),"0")</f>
        <v>168.96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9197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9352.43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9802.3043356981816</v>
      </c>
      <c r="Y492" s="547">
        <f>IFERROR(SUM(BN22:BN488),"0")</f>
        <v>9969.4570000000022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18</v>
      </c>
      <c r="Y493" s="38">
        <f>ROUNDUP(SUM(BP22:BP488),0)</f>
        <v>18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10252.304335698182</v>
      </c>
      <c r="Y494" s="547">
        <f>GrossWeightTotalR+PalletQtyTotalR*25</f>
        <v>10419.457000000002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2081.151882250218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2114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20.856739999999999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123.00000000000001</v>
      </c>
      <c r="E501" s="46">
        <f>IFERROR(Y86*1,"0")+IFERROR(Y87*1,"0")+IFERROR(Y88*1,"0")+IFERROR(Y89*1,"0")+IFERROR(Y93*1,"0")+IFERROR(Y94*1,"0")+IFERROR(Y95*1,"0")+IFERROR(Y96*1,"0")</f>
        <v>799.2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618.29999999999995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859.38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3419.1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144.51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172.8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1068.32</v>
      </c>
      <c r="R501" s="46">
        <f>IFERROR(Y338*1,"0")+IFERROR(Y339*1,"0")+IFERROR(Y340*1,"0")</f>
        <v>40.5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618</v>
      </c>
      <c r="T501" s="46">
        <f>IFERROR(Y371*1,"0")+IFERROR(Y372*1,"0")+IFERROR(Y376*1,"0")+IFERROR(Y377*1,"0")+IFERROR(Y381*1,"0")+IFERROR(Y382*1,"0")+IFERROR(Y383*1,"0")</f>
        <v>693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580.31999999999994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2025-12-12T08:16:32Z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