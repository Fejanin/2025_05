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7D8C6552-0968-4EFE-B685-EBB1FB2E71B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43" i="1" l="1"/>
  <c r="Y64" i="1"/>
  <c r="Y70" i="1"/>
  <c r="BP93" i="1"/>
  <c r="BN93" i="1"/>
  <c r="Z93" i="1"/>
  <c r="BP102" i="1"/>
  <c r="BN102" i="1"/>
  <c r="Z102" i="1"/>
  <c r="Y109" i="1"/>
  <c r="BP106" i="1"/>
  <c r="BN106" i="1"/>
  <c r="Z106" i="1"/>
  <c r="BP114" i="1"/>
  <c r="BN114" i="1"/>
  <c r="Z114" i="1"/>
  <c r="BP135" i="1"/>
  <c r="BN135" i="1"/>
  <c r="Z135" i="1"/>
  <c r="Z136" i="1" s="1"/>
  <c r="H499" i="1"/>
  <c r="Y143" i="1"/>
  <c r="BP140" i="1"/>
  <c r="BN140" i="1"/>
  <c r="Z140" i="1"/>
  <c r="Z142" i="1" s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Y31" i="1"/>
  <c r="Y493" i="1" s="1"/>
  <c r="Y58" i="1"/>
  <c r="Y77" i="1"/>
  <c r="BP72" i="1"/>
  <c r="BN72" i="1"/>
  <c r="Z72" i="1"/>
  <c r="Y76" i="1"/>
  <c r="BP80" i="1"/>
  <c r="BN80" i="1"/>
  <c r="Z80" i="1"/>
  <c r="Z81" i="1" s="1"/>
  <c r="E499" i="1"/>
  <c r="Y88" i="1"/>
  <c r="BP85" i="1"/>
  <c r="BN85" i="1"/>
  <c r="Z85" i="1"/>
  <c r="Y104" i="1"/>
  <c r="Y137" i="1"/>
  <c r="BP162" i="1"/>
  <c r="BN162" i="1"/>
  <c r="Z162" i="1"/>
  <c r="Z171" i="1" s="1"/>
  <c r="BP165" i="1"/>
  <c r="BN165" i="1"/>
  <c r="Z165" i="1"/>
  <c r="H9" i="1"/>
  <c r="B499" i="1"/>
  <c r="X490" i="1"/>
  <c r="X492" i="1" s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Z259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Z349" i="1" s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Z304" i="1"/>
  <c r="Z294" i="1"/>
  <c r="Z274" i="1"/>
  <c r="Z69" i="1"/>
  <c r="Z494" i="1" s="1"/>
  <c r="Y489" i="1"/>
  <c r="Z76" i="1"/>
  <c r="Z337" i="1"/>
  <c r="Z234" i="1"/>
  <c r="Z109" i="1"/>
  <c r="Z447" i="1"/>
  <c r="Z432" i="1"/>
  <c r="Z88" i="1"/>
  <c r="Z215" i="1"/>
</calcChain>
</file>

<file path=xl/sharedStrings.xml><?xml version="1.0" encoding="utf-8"?>
<sst xmlns="http://schemas.openxmlformats.org/spreadsheetml/2006/main" count="2252" uniqueCount="762">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</sst>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393</v>
      </c>
      <c r="Y40" s="542">
        <f>IFERROR(IF(X40="",0,CEILING((X40/$H40),1)*$H40),"")</f>
        <v>399.6</v>
      </c>
      <c r="Z40" s="36">
        <f>IFERROR(IF(Y40=0,"",ROUNDUP(Y40/H40,0)*0.01898),"")</f>
        <v>0.70226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407.91944444444448</v>
      </c>
      <c r="BN40" s="64">
        <f>IFERROR(Y40*I40/H40,"0")</f>
        <v>414.77000000000004</v>
      </c>
      <c r="BO40" s="64">
        <f>IFERROR(1/J40*(X40/H40),"0")</f>
        <v>0.56857638888888884</v>
      </c>
      <c r="BP40" s="64">
        <f>IFERROR(1/J40*(Y40/H40),"0")</f>
        <v>0.578125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36.388888888888886</v>
      </c>
      <c r="Y43" s="543">
        <f>IFERROR(Y40/H40,"0")+IFERROR(Y41/H41,"0")+IFERROR(Y42/H42,"0")</f>
        <v>37</v>
      </c>
      <c r="Z43" s="543">
        <f>IFERROR(IF(Z40="",0,Z40),"0")+IFERROR(IF(Z41="",0,Z41),"0")+IFERROR(IF(Z42="",0,Z42),"0")</f>
        <v>0.70226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393</v>
      </c>
      <c r="Y44" s="543">
        <f>IFERROR(SUM(Y40:Y42),"0")</f>
        <v>399.6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176</v>
      </c>
      <c r="Y51" s="542">
        <f t="shared" ref="Y51:Y56" si="0">IFERROR(IF(X51="",0,CEILING((X51/$H51),1)*$H51),"")</f>
        <v>179.2</v>
      </c>
      <c r="Z51" s="36">
        <f>IFERROR(IF(Y51=0,"",ROUNDUP(Y51/H51,0)*0.01898),"")</f>
        <v>0.30368000000000001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182.44285714285715</v>
      </c>
      <c r="BN51" s="64">
        <f t="shared" ref="BN51:BN56" si="2">IFERROR(Y51*I51/H51,"0")</f>
        <v>185.76</v>
      </c>
      <c r="BO51" s="64">
        <f t="shared" ref="BO51:BO56" si="3">IFERROR(1/J51*(X51/H51),"0")</f>
        <v>0.2455357142857143</v>
      </c>
      <c r="BP51" s="64">
        <f t="shared" ref="BP51:BP56" si="4">IFERROR(1/J51*(Y51/H51),"0")</f>
        <v>0.25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153</v>
      </c>
      <c r="Y52" s="542">
        <f t="shared" si="0"/>
        <v>162</v>
      </c>
      <c r="Z52" s="36">
        <f>IFERROR(IF(Y52=0,"",ROUNDUP(Y52/H52,0)*0.01898),"")</f>
        <v>0.28470000000000001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158.80833333333334</v>
      </c>
      <c r="BN52" s="64">
        <f t="shared" si="2"/>
        <v>168.15</v>
      </c>
      <c r="BO52" s="64">
        <f t="shared" si="3"/>
        <v>0.22135416666666666</v>
      </c>
      <c r="BP52" s="64">
        <f t="shared" si="4"/>
        <v>0.23437499999999997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119</v>
      </c>
      <c r="Y54" s="542">
        <f t="shared" si="0"/>
        <v>120</v>
      </c>
      <c r="Z54" s="36">
        <f>IFERROR(IF(Y54=0,"",ROUNDUP(Y54/H54,0)*0.00902),"")</f>
        <v>0.27060000000000001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124.65250000000002</v>
      </c>
      <c r="BN54" s="64">
        <f t="shared" si="2"/>
        <v>125.70000000000002</v>
      </c>
      <c r="BO54" s="64">
        <f t="shared" si="3"/>
        <v>0.22537878787878787</v>
      </c>
      <c r="BP54" s="64">
        <f t="shared" si="4"/>
        <v>0.22727272727272729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59.63095238095238</v>
      </c>
      <c r="Y57" s="543">
        <f>IFERROR(Y51/H51,"0")+IFERROR(Y52/H52,"0")+IFERROR(Y53/H53,"0")+IFERROR(Y54/H54,"0")+IFERROR(Y55/H55,"0")+IFERROR(Y56/H56,"0")</f>
        <v>61</v>
      </c>
      <c r="Z57" s="543">
        <f>IFERROR(IF(Z51="",0,Z51),"0")+IFERROR(IF(Z52="",0,Z52),"0")+IFERROR(IF(Z53="",0,Z53),"0")+IFERROR(IF(Z54="",0,Z54),"0")+IFERROR(IF(Z55="",0,Z55),"0")+IFERROR(IF(Z56="",0,Z56),"0")</f>
        <v>0.85898000000000008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448</v>
      </c>
      <c r="Y58" s="543">
        <f>IFERROR(SUM(Y51:Y56),"0")</f>
        <v>461.2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172</v>
      </c>
      <c r="Y60" s="542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178.52962962962962</v>
      </c>
      <c r="BN60" s="64">
        <f>IFERROR(Y60*I60/H60,"0")</f>
        <v>179.36</v>
      </c>
      <c r="BO60" s="64">
        <f>IFERROR(1/J60*(X60/H60),"0")</f>
        <v>0.24884259259259259</v>
      </c>
      <c r="BP60" s="64">
        <f>IFERROR(1/J60*(Y60/H60),"0")</f>
        <v>0.25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15.925925925925926</v>
      </c>
      <c r="Y63" s="543">
        <f>IFERROR(Y60/H60,"0")+IFERROR(Y61/H61,"0")+IFERROR(Y62/H62,"0")</f>
        <v>16</v>
      </c>
      <c r="Z63" s="543">
        <f>IFERROR(IF(Z60="",0,Z60),"0")+IFERROR(IF(Z61="",0,Z61),"0")+IFERROR(IF(Z62="",0,Z62),"0")</f>
        <v>0.30368000000000001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172</v>
      </c>
      <c r="Y64" s="543">
        <f>IFERROR(SUM(Y60:Y62),"0")</f>
        <v>172.8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16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16.841025641025642</v>
      </c>
      <c r="BN79" s="64">
        <f>IFERROR(Y79*I79/H79,"0")</f>
        <v>24.630000000000003</v>
      </c>
      <c r="BO79" s="64">
        <f>IFERROR(1/J79*(X79/H79),"0")</f>
        <v>3.2051282051282055E-2</v>
      </c>
      <c r="BP79" s="64">
        <f>IFERROR(1/J79*(Y79/H79),"0")</f>
        <v>4.6875E-2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2</v>
      </c>
      <c r="Y80" s="542">
        <f>IFERROR(IF(X80="",0,CEILING((X80/$H80),1)*$H80),"")</f>
        <v>2.4</v>
      </c>
      <c r="Z80" s="36">
        <f>IFERROR(IF(Y80=0,"",ROUNDUP(Y80/H80,0)*0.00902),"")</f>
        <v>9.0200000000000002E-3</v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2.1583333333333332</v>
      </c>
      <c r="BN80" s="64">
        <f>IFERROR(Y80*I80/H80,"0")</f>
        <v>2.59</v>
      </c>
      <c r="BO80" s="64">
        <f>IFERROR(1/J80*(X80/H80),"0")</f>
        <v>6.3131313131313139E-3</v>
      </c>
      <c r="BP80" s="64">
        <f>IFERROR(1/J80*(Y80/H80),"0")</f>
        <v>7.575757575757576E-3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2.884615384615385</v>
      </c>
      <c r="Y81" s="543">
        <f>IFERROR(Y79/H79,"0")+IFERROR(Y80/H80,"0")</f>
        <v>4</v>
      </c>
      <c r="Z81" s="543">
        <f>IFERROR(IF(Z79="",0,Z79),"0")+IFERROR(IF(Z80="",0,Z80),"0")</f>
        <v>6.5960000000000005E-2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18</v>
      </c>
      <c r="Y82" s="543">
        <f>IFERROR(SUM(Y79:Y80),"0")</f>
        <v>25.799999999999997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273</v>
      </c>
      <c r="Y85" s="542">
        <f>IFERROR(IF(X85="",0,CEILING((X85/$H85),1)*$H85),"")</f>
        <v>280.8</v>
      </c>
      <c r="Z85" s="36">
        <f>IFERROR(IF(Y85=0,"",ROUNDUP(Y85/H85,0)*0.01898),"")</f>
        <v>0.49348000000000003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283.36388888888888</v>
      </c>
      <c r="BN85" s="64">
        <f>IFERROR(Y85*I85/H85,"0")</f>
        <v>291.46000000000004</v>
      </c>
      <c r="BO85" s="64">
        <f>IFERROR(1/J85*(X85/H85),"0")</f>
        <v>0.39496527777777773</v>
      </c>
      <c r="BP85" s="64">
        <f>IFERROR(1/J85*(Y85/H85),"0")</f>
        <v>0.40625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127</v>
      </c>
      <c r="Y87" s="542">
        <f>IFERROR(IF(X87="",0,CEILING((X87/$H87),1)*$H87),"")</f>
        <v>130.5</v>
      </c>
      <c r="Z87" s="36">
        <f>IFERROR(IF(Y87=0,"",ROUNDUP(Y87/H87,0)*0.00902),"")</f>
        <v>0.26158000000000003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132.36222222222221</v>
      </c>
      <c r="BN87" s="64">
        <f>IFERROR(Y87*I87/H87,"0")</f>
        <v>136.01000000000002</v>
      </c>
      <c r="BO87" s="64">
        <f>IFERROR(1/J87*(X87/H87),"0")</f>
        <v>0.2138047138047138</v>
      </c>
      <c r="BP87" s="64">
        <f>IFERROR(1/J87*(Y87/H87),"0")</f>
        <v>0.2196969696969697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53.5</v>
      </c>
      <c r="Y88" s="543">
        <f>IFERROR(Y85/H85,"0")+IFERROR(Y86/H86,"0")+IFERROR(Y87/H87,"0")</f>
        <v>55</v>
      </c>
      <c r="Z88" s="543">
        <f>IFERROR(IF(Z85="",0,Z85),"0")+IFERROR(IF(Z86="",0,Z86),"0")+IFERROR(IF(Z87="",0,Z87),"0")</f>
        <v>0.75506000000000006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400</v>
      </c>
      <c r="Y89" s="543">
        <f>IFERROR(SUM(Y85:Y87),"0")</f>
        <v>411.3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107</v>
      </c>
      <c r="Y91" s="542">
        <f>IFERROR(IF(X91="",0,CEILING((X91/$H91),1)*$H91),"")</f>
        <v>113.39999999999999</v>
      </c>
      <c r="Z91" s="36">
        <f>IFERROR(IF(Y91=0,"",ROUNDUP(Y91/H91,0)*0.01898),"")</f>
        <v>0.26572000000000001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113.52567901234568</v>
      </c>
      <c r="BN91" s="64">
        <f>IFERROR(Y91*I91/H91,"0")</f>
        <v>120.31599999999999</v>
      </c>
      <c r="BO91" s="64">
        <f>IFERROR(1/J91*(X91/H91),"0")</f>
        <v>0.20640432098765432</v>
      </c>
      <c r="BP91" s="64">
        <f>IFERROR(1/J91*(Y91/H91),"0")</f>
        <v>0.21875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34</v>
      </c>
      <c r="Y93" s="542">
        <f>IFERROR(IF(X93="",0,CEILING((X93/$H93),1)*$H93),"")</f>
        <v>35.1</v>
      </c>
      <c r="Z93" s="36">
        <f>IFERROR(IF(Y93=0,"",ROUNDUP(Y93/H93,0)*0.00651),"")</f>
        <v>8.4629999999999997E-2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37.173333333333332</v>
      </c>
      <c r="BN93" s="64">
        <f>IFERROR(Y93*I93/H93,"0")</f>
        <v>38.375999999999998</v>
      </c>
      <c r="BO93" s="64">
        <f>IFERROR(1/J93*(X93/H93),"0")</f>
        <v>6.9190069190069189E-2</v>
      </c>
      <c r="BP93" s="64">
        <f>IFERROR(1/J93*(Y93/H93),"0")</f>
        <v>7.1428571428571438E-2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25.802469135802468</v>
      </c>
      <c r="Y95" s="543">
        <f>IFERROR(Y91/H91,"0")+IFERROR(Y92/H92,"0")+IFERROR(Y93/H93,"0")+IFERROR(Y94/H94,"0")</f>
        <v>27</v>
      </c>
      <c r="Z95" s="543">
        <f>IFERROR(IF(Z91="",0,Z91),"0")+IFERROR(IF(Z92="",0,Z92),"0")+IFERROR(IF(Z93="",0,Z93),"0")+IFERROR(IF(Z94="",0,Z94),"0")</f>
        <v>0.35034999999999999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141</v>
      </c>
      <c r="Y96" s="543">
        <f>IFERROR(SUM(Y91:Y94),"0")</f>
        <v>148.5</v>
      </c>
      <c r="Z96" s="37"/>
      <c r="AA96" s="544"/>
      <c r="AB96" s="544"/>
      <c r="AC96" s="544"/>
    </row>
    <row r="97" spans="1:68" ht="16.5" customHeight="1" x14ac:dyDescent="0.25">
      <c r="A97" s="558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308</v>
      </c>
      <c r="Y99" s="542">
        <f>IFERROR(IF(X99="",0,CEILING((X99/$H99),1)*$H99),"")</f>
        <v>313.20000000000005</v>
      </c>
      <c r="Z99" s="36">
        <f>IFERROR(IF(Y99=0,"",ROUNDUP(Y99/H99,0)*0.01898),"")</f>
        <v>0.55042000000000002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319.69259259259258</v>
      </c>
      <c r="BN99" s="64">
        <f>IFERROR(Y99*I99/H99,"0")</f>
        <v>325.09000000000003</v>
      </c>
      <c r="BO99" s="64">
        <f>IFERROR(1/J99*(X99/H99),"0")</f>
        <v>0.4456018518518518</v>
      </c>
      <c r="BP99" s="64">
        <f>IFERROR(1/J99*(Y99/H99),"0")</f>
        <v>0.45312500000000006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93</v>
      </c>
      <c r="Y101" s="542">
        <f>IFERROR(IF(X101="",0,CEILING((X101/$H101),1)*$H101),"")</f>
        <v>94.5</v>
      </c>
      <c r="Z101" s="36">
        <f>IFERROR(IF(Y101=0,"",ROUNDUP(Y101/H101,0)*0.00902),"")</f>
        <v>0.18942000000000001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96.926666666666677</v>
      </c>
      <c r="BN101" s="64">
        <f>IFERROR(Y101*I101/H101,"0")</f>
        <v>98.490000000000009</v>
      </c>
      <c r="BO101" s="64">
        <f>IFERROR(1/J101*(X101/H101),"0")</f>
        <v>0.15656565656565657</v>
      </c>
      <c r="BP101" s="64">
        <f>IFERROR(1/J101*(Y101/H101),"0")</f>
        <v>0.15909090909090909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49.185185185185183</v>
      </c>
      <c r="Y103" s="543">
        <f>IFERROR(Y99/H99,"0")+IFERROR(Y100/H100,"0")+IFERROR(Y101/H101,"0")+IFERROR(Y102/H102,"0")</f>
        <v>50</v>
      </c>
      <c r="Z103" s="543">
        <f>IFERROR(IF(Z99="",0,Z99),"0")+IFERROR(IF(Z100="",0,Z100),"0")+IFERROR(IF(Z101="",0,Z101),"0")+IFERROR(IF(Z102="",0,Z102),"0")</f>
        <v>0.73984000000000005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401</v>
      </c>
      <c r="Y104" s="543">
        <f>IFERROR(SUM(Y99:Y102),"0")</f>
        <v>407.70000000000005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94</v>
      </c>
      <c r="Y106" s="542">
        <f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97.568518518518516</v>
      </c>
      <c r="BN106" s="64">
        <f>IFERROR(Y106*I106/H106,"0")</f>
        <v>100.89</v>
      </c>
      <c r="BO106" s="64">
        <f>IFERROR(1/J106*(X106/H106),"0")</f>
        <v>0.13599537037037035</v>
      </c>
      <c r="BP106" s="64">
        <f>IFERROR(1/J106*(Y106/H106),"0")</f>
        <v>0.140625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48</v>
      </c>
      <c r="Y108" s="542">
        <f>IFERROR(IF(X108="",0,CEILING((X108/$H108),1)*$H108),"")</f>
        <v>48</v>
      </c>
      <c r="Z108" s="36">
        <f>IFERROR(IF(Y108=0,"",ROUNDUP(Y108/H108,0)*0.00651),"")</f>
        <v>0.13020000000000001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51.6</v>
      </c>
      <c r="BN108" s="64">
        <f>IFERROR(Y108*I108/H108,"0")</f>
        <v>51.6</v>
      </c>
      <c r="BO108" s="64">
        <f>IFERROR(1/J108*(X108/H108),"0")</f>
        <v>0.1098901098901099</v>
      </c>
      <c r="BP108" s="64">
        <f>IFERROR(1/J108*(Y108/H108),"0")</f>
        <v>0.1098901098901099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28.703703703703702</v>
      </c>
      <c r="Y109" s="543">
        <f>IFERROR(Y106/H106,"0")+IFERROR(Y107/H107,"0")+IFERROR(Y108/H108,"0")</f>
        <v>29</v>
      </c>
      <c r="Z109" s="543">
        <f>IFERROR(IF(Z106="",0,Z106),"0")+IFERROR(IF(Z107="",0,Z107),"0")+IFERROR(IF(Z108="",0,Z108),"0")</f>
        <v>0.30102000000000001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142</v>
      </c>
      <c r="Y110" s="543">
        <f>IFERROR(SUM(Y106:Y108),"0")</f>
        <v>145.19999999999999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109</v>
      </c>
      <c r="Y112" s="542">
        <f>IFERROR(IF(X112="",0,CEILING((X112/$H112),1)*$H112),"")</f>
        <v>113.39999999999999</v>
      </c>
      <c r="Z112" s="36">
        <f>IFERROR(IF(Y112=0,"",ROUNDUP(Y112/H112,0)*0.01898),"")</f>
        <v>0.26572000000000001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115.5669135802469</v>
      </c>
      <c r="BN112" s="64">
        <f>IFERROR(Y112*I112/H112,"0")</f>
        <v>120.23199999999999</v>
      </c>
      <c r="BO112" s="64">
        <f>IFERROR(1/J112*(X112/H112),"0")</f>
        <v>0.21026234567901236</v>
      </c>
      <c r="BP112" s="64">
        <f>IFERROR(1/J112*(Y112/H112),"0")</f>
        <v>0.21875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156</v>
      </c>
      <c r="Y114" s="542">
        <f>IFERROR(IF(X114="",0,CEILING((X114/$H114),1)*$H114),"")</f>
        <v>156.60000000000002</v>
      </c>
      <c r="Z114" s="36">
        <f>IFERROR(IF(Y114=0,"",ROUNDUP(Y114/H114,0)*0.00651),"")</f>
        <v>0.37758000000000003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170.56</v>
      </c>
      <c r="BN114" s="64">
        <f>IFERROR(Y114*I114/H114,"0")</f>
        <v>171.21600000000001</v>
      </c>
      <c r="BO114" s="64">
        <f>IFERROR(1/J114*(X114/H114),"0")</f>
        <v>0.31746031746031744</v>
      </c>
      <c r="BP114" s="64">
        <f>IFERROR(1/J114*(Y114/H114),"0")</f>
        <v>0.31868131868131877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71.234567901234556</v>
      </c>
      <c r="Y116" s="543">
        <f>IFERROR(Y112/H112,"0")+IFERROR(Y113/H113,"0")+IFERROR(Y114/H114,"0")+IFERROR(Y115/H115,"0")</f>
        <v>72</v>
      </c>
      <c r="Z116" s="543">
        <f>IFERROR(IF(Z112="",0,Z112),"0")+IFERROR(IF(Z113="",0,Z113),"0")+IFERROR(IF(Z114="",0,Z114),"0")+IFERROR(IF(Z115="",0,Z115),"0")</f>
        <v>0.64329999999999998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265</v>
      </c>
      <c r="Y117" s="543">
        <f>IFERROR(SUM(Y112:Y115),"0")</f>
        <v>270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112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237</v>
      </c>
      <c r="Y163" s="542">
        <f t="shared" si="5"/>
        <v>239.4</v>
      </c>
      <c r="Z163" s="36">
        <f>IFERROR(IF(Y163=0,"",ROUNDUP(Y163/H163,0)*0.00902),"")</f>
        <v>0.51414000000000004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247.72142857142853</v>
      </c>
      <c r="BN163" s="64">
        <f t="shared" si="7"/>
        <v>250.22999999999996</v>
      </c>
      <c r="BO163" s="64">
        <f t="shared" si="8"/>
        <v>0.42748917748917747</v>
      </c>
      <c r="BP163" s="64">
        <f t="shared" si="9"/>
        <v>0.43181818181818182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3</v>
      </c>
      <c r="Y164" s="542">
        <f t="shared" si="5"/>
        <v>4.2</v>
      </c>
      <c r="Z164" s="36">
        <f>IFERROR(IF(Y164=0,"",ROUNDUP(Y164/H164,0)*0.00502),"")</f>
        <v>1.004E-2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3.1857142857142855</v>
      </c>
      <c r="BN164" s="64">
        <f t="shared" si="7"/>
        <v>4.46</v>
      </c>
      <c r="BO164" s="64">
        <f t="shared" si="8"/>
        <v>6.1050061050061059E-3</v>
      </c>
      <c r="BP164" s="64">
        <f t="shared" si="9"/>
        <v>8.5470085470085479E-3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16</v>
      </c>
      <c r="Y167" s="542">
        <f t="shared" si="5"/>
        <v>16.2</v>
      </c>
      <c r="Z167" s="36">
        <f>IFERROR(IF(Y167=0,"",ROUNDUP(Y167/H167,0)*0.00502),"")</f>
        <v>4.5179999999999998E-2</v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17.155555555555555</v>
      </c>
      <c r="BN167" s="64">
        <f t="shared" si="7"/>
        <v>17.369999999999997</v>
      </c>
      <c r="BO167" s="64">
        <f t="shared" si="8"/>
        <v>3.7986704653371325E-2</v>
      </c>
      <c r="BP167" s="64">
        <f t="shared" si="9"/>
        <v>3.8461538461538464E-2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97</v>
      </c>
      <c r="Y168" s="542">
        <f t="shared" si="5"/>
        <v>98.7</v>
      </c>
      <c r="Z168" s="36">
        <f>IFERROR(IF(Y168=0,"",ROUNDUP(Y168/H168,0)*0.00502),"")</f>
        <v>0.23594000000000001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101.61904761904762</v>
      </c>
      <c r="BN168" s="64">
        <f t="shared" si="7"/>
        <v>103.4</v>
      </c>
      <c r="BO168" s="64">
        <f t="shared" si="8"/>
        <v>0.19739519739519742</v>
      </c>
      <c r="BP168" s="64">
        <f t="shared" si="9"/>
        <v>0.20085470085470086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112.93650793650794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115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0.80530000000000013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353</v>
      </c>
      <c r="Y172" s="543">
        <f>IFERROR(SUM(Y161:Y170),"0")</f>
        <v>358.5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1</v>
      </c>
      <c r="Y176" s="542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1.1507936507936507</v>
      </c>
      <c r="BN176" s="64">
        <f>IFERROR(Y176*I176/H176,"0")</f>
        <v>1.45</v>
      </c>
      <c r="BO176" s="64">
        <f>IFERROR(1/J176*(X176/H176),"0")</f>
        <v>3.6743092298647849E-3</v>
      </c>
      <c r="BP176" s="64">
        <f>IFERROR(1/J176*(Y176/H176),"0")</f>
        <v>4.6296296296296294E-3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0.79365079365079361</v>
      </c>
      <c r="Y177" s="543">
        <f>IFERROR(Y174/H174,"0")+IFERROR(Y175/H175,"0")+IFERROR(Y176/H176,"0")</f>
        <v>1</v>
      </c>
      <c r="Z177" s="543">
        <f>IFERROR(IF(Z174="",0,Z174),"0")+IFERROR(IF(Z175="",0,Z175),"0")+IFERROR(IF(Z176="",0,Z176),"0")</f>
        <v>5.8999999999999999E-3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1</v>
      </c>
      <c r="Y178" s="543">
        <f>IFERROR(SUM(Y174:Y176),"0")</f>
        <v>1.26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53</v>
      </c>
      <c r="Y195" s="542">
        <f t="shared" ref="Y195:Y202" si="10">IFERROR(IF(X195="",0,CEILING((X195/$H195),1)*$H195),"")</f>
        <v>54</v>
      </c>
      <c r="Z195" s="36">
        <f>IFERROR(IF(Y195=0,"",ROUNDUP(Y195/H195,0)*0.00902),"")</f>
        <v>9.0200000000000002E-2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54.864814814814807</v>
      </c>
      <c r="BN195" s="64">
        <f t="shared" ref="BN195:BN202" si="12">IFERROR(Y195*I195/H195,"0")</f>
        <v>55.9</v>
      </c>
      <c r="BO195" s="64">
        <f t="shared" ref="BO195:BO202" si="13">IFERROR(1/J195*(X195/H195),"0")</f>
        <v>7.435465768799103E-2</v>
      </c>
      <c r="BP195" s="64">
        <f t="shared" ref="BP195:BP202" si="14">IFERROR(1/J195*(Y195/H195),"0")</f>
        <v>7.575757575757576E-2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62</v>
      </c>
      <c r="Y196" s="542">
        <f t="shared" si="10"/>
        <v>64.800000000000011</v>
      </c>
      <c r="Z196" s="36">
        <f>IFERROR(IF(Y196=0,"",ROUNDUP(Y196/H196,0)*0.00902),"")</f>
        <v>0.10824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64.18148148148147</v>
      </c>
      <c r="BN196" s="64">
        <f t="shared" si="12"/>
        <v>67.08</v>
      </c>
      <c r="BO196" s="64">
        <f t="shared" si="13"/>
        <v>8.698092031425364E-2</v>
      </c>
      <c r="BP196" s="64">
        <f t="shared" si="14"/>
        <v>9.0909090909090925E-2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265</v>
      </c>
      <c r="Y198" s="542">
        <f t="shared" si="10"/>
        <v>270</v>
      </c>
      <c r="Z198" s="36">
        <f>IFERROR(IF(Y198=0,"",ROUNDUP(Y198/H198,0)*0.00902),"")</f>
        <v>0.45100000000000001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274.32407407407402</v>
      </c>
      <c r="BN198" s="64">
        <f t="shared" si="12"/>
        <v>279.5</v>
      </c>
      <c r="BO198" s="64">
        <f t="shared" si="13"/>
        <v>0.37177328843995505</v>
      </c>
      <c r="BP198" s="64">
        <f t="shared" si="14"/>
        <v>0.37878787878787878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12</v>
      </c>
      <c r="Y199" s="542">
        <f t="shared" si="10"/>
        <v>12.6</v>
      </c>
      <c r="Z199" s="36">
        <f>IFERROR(IF(Y199=0,"",ROUNDUP(Y199/H199,0)*0.00502),"")</f>
        <v>3.5140000000000005E-2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12.866666666666667</v>
      </c>
      <c r="BN199" s="64">
        <f t="shared" si="12"/>
        <v>13.509999999999998</v>
      </c>
      <c r="BO199" s="64">
        <f t="shared" si="13"/>
        <v>2.8490028490028491E-2</v>
      </c>
      <c r="BP199" s="64">
        <f t="shared" si="14"/>
        <v>2.9914529914529919E-2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27</v>
      </c>
      <c r="Y200" s="542">
        <f t="shared" si="10"/>
        <v>27</v>
      </c>
      <c r="Z200" s="36">
        <f>IFERROR(IF(Y200=0,"",ROUNDUP(Y200/H200,0)*0.00502),"")</f>
        <v>7.5300000000000006E-2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28.499999999999996</v>
      </c>
      <c r="BN200" s="64">
        <f t="shared" si="12"/>
        <v>28.499999999999996</v>
      </c>
      <c r="BO200" s="64">
        <f t="shared" si="13"/>
        <v>6.4102564102564111E-2</v>
      </c>
      <c r="BP200" s="64">
        <f t="shared" si="14"/>
        <v>6.4102564102564111E-2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1</v>
      </c>
      <c r="Y202" s="542">
        <f t="shared" si="10"/>
        <v>1.8</v>
      </c>
      <c r="Z202" s="36">
        <f>IFERROR(IF(Y202=0,"",ROUNDUP(Y202/H202,0)*0.00502),"")</f>
        <v>5.0200000000000002E-3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1.0555555555555556</v>
      </c>
      <c r="BN202" s="64">
        <f t="shared" si="12"/>
        <v>1.9</v>
      </c>
      <c r="BO202" s="64">
        <f t="shared" si="13"/>
        <v>2.3741690408357078E-3</v>
      </c>
      <c r="BP202" s="64">
        <f t="shared" si="14"/>
        <v>4.2735042735042739E-3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92.592592592592595</v>
      </c>
      <c r="Y203" s="543">
        <f>IFERROR(Y195/H195,"0")+IFERROR(Y196/H196,"0")+IFERROR(Y197/H197,"0")+IFERROR(Y198/H198,"0")+IFERROR(Y199/H199,"0")+IFERROR(Y200/H200,"0")+IFERROR(Y201/H201,"0")+IFERROR(Y202/H202,"0")</f>
        <v>95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0.76490000000000002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420</v>
      </c>
      <c r="Y204" s="543">
        <f>IFERROR(SUM(Y195:Y202),"0")</f>
        <v>430.20000000000005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38</v>
      </c>
      <c r="Y206" s="542">
        <f t="shared" ref="Y206:Y214" si="15">IFERROR(IF(X206="",0,CEILING((X206/$H206),1)*$H206),"")</f>
        <v>40.5</v>
      </c>
      <c r="Z206" s="36">
        <f>IFERROR(IF(Y206=0,"",ROUNDUP(Y206/H206,0)*0.01898),"")</f>
        <v>9.4899999999999998E-2</v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40.317530864197536</v>
      </c>
      <c r="BN206" s="64">
        <f t="shared" ref="BN206:BN214" si="17">IFERROR(Y206*I206/H206,"0")</f>
        <v>42.97</v>
      </c>
      <c r="BO206" s="64">
        <f t="shared" ref="BO206:BO214" si="18">IFERROR(1/J206*(X206/H206),"0")</f>
        <v>7.3302469135802475E-2</v>
      </c>
      <c r="BP206" s="64">
        <f t="shared" ref="BP206:BP214" si="19">IFERROR(1/J206*(Y206/H206),"0")</f>
        <v>7.8125E-2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45</v>
      </c>
      <c r="Y207" s="542">
        <f t="shared" si="15"/>
        <v>48.599999999999994</v>
      </c>
      <c r="Z207" s="36">
        <f>IFERROR(IF(Y207=0,"",ROUNDUP(Y207/H207,0)*0.01898),"")</f>
        <v>0.11388000000000001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47.644444444444446</v>
      </c>
      <c r="BN207" s="64">
        <f t="shared" si="17"/>
        <v>51.455999999999996</v>
      </c>
      <c r="BO207" s="64">
        <f t="shared" si="18"/>
        <v>8.6805555555555552E-2</v>
      </c>
      <c r="BP207" s="64">
        <f t="shared" si="19"/>
        <v>9.375E-2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167</v>
      </c>
      <c r="Y208" s="542">
        <f t="shared" si="15"/>
        <v>174</v>
      </c>
      <c r="Z208" s="36">
        <f>IFERROR(IF(Y208=0,"",ROUNDUP(Y208/H208,0)*0.01898),"")</f>
        <v>0.37959999999999999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176.4825287356322</v>
      </c>
      <c r="BN208" s="64">
        <f t="shared" si="17"/>
        <v>183.88000000000002</v>
      </c>
      <c r="BO208" s="64">
        <f t="shared" si="18"/>
        <v>0.29992816091954028</v>
      </c>
      <c r="BP208" s="64">
        <f t="shared" si="19"/>
        <v>0.3125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90</v>
      </c>
      <c r="Y209" s="542">
        <f t="shared" si="15"/>
        <v>91.2</v>
      </c>
      <c r="Z209" s="36">
        <f t="shared" ref="Z209:Z214" si="20">IFERROR(IF(Y209=0,"",ROUNDUP(Y209/H209,0)*0.00651),"")</f>
        <v>0.24738000000000002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100.125</v>
      </c>
      <c r="BN209" s="64">
        <f t="shared" si="17"/>
        <v>101.46</v>
      </c>
      <c r="BO209" s="64">
        <f t="shared" si="18"/>
        <v>0.20604395604395606</v>
      </c>
      <c r="BP209" s="64">
        <f t="shared" si="19"/>
        <v>0.2087912087912088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400</v>
      </c>
      <c r="Y211" s="542">
        <f t="shared" si="15"/>
        <v>400.8</v>
      </c>
      <c r="Z211" s="36">
        <f t="shared" si="20"/>
        <v>1.08717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442</v>
      </c>
      <c r="BN211" s="64">
        <f t="shared" si="17"/>
        <v>442.88400000000007</v>
      </c>
      <c r="BO211" s="64">
        <f t="shared" si="18"/>
        <v>0.91575091575091594</v>
      </c>
      <c r="BP211" s="64">
        <f t="shared" si="19"/>
        <v>0.91758241758241765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218</v>
      </c>
      <c r="Y212" s="542">
        <f t="shared" si="15"/>
        <v>218.4</v>
      </c>
      <c r="Z212" s="36">
        <f t="shared" si="20"/>
        <v>0.59240999999999999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240.89000000000004</v>
      </c>
      <c r="BN212" s="64">
        <f t="shared" si="17"/>
        <v>241.33200000000002</v>
      </c>
      <c r="BO212" s="64">
        <f t="shared" si="18"/>
        <v>0.4990842490842492</v>
      </c>
      <c r="BP212" s="64">
        <f t="shared" si="19"/>
        <v>0.5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71</v>
      </c>
      <c r="Y214" s="542">
        <f t="shared" si="15"/>
        <v>72</v>
      </c>
      <c r="Z214" s="36">
        <f t="shared" si="20"/>
        <v>0.1953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78.632499999999993</v>
      </c>
      <c r="BN214" s="64">
        <f t="shared" si="17"/>
        <v>79.740000000000009</v>
      </c>
      <c r="BO214" s="64">
        <f t="shared" si="18"/>
        <v>0.16254578754578758</v>
      </c>
      <c r="BP214" s="64">
        <f t="shared" si="19"/>
        <v>0.16483516483516486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354.02564921243084</v>
      </c>
      <c r="Y215" s="543">
        <f>IFERROR(Y206/H206,"0")+IFERROR(Y207/H207,"0")+IFERROR(Y208/H208,"0")+IFERROR(Y209/H209,"0")+IFERROR(Y210/H210,"0")+IFERROR(Y211/H211,"0")+IFERROR(Y212/H212,"0")+IFERROR(Y213/H213,"0")+IFERROR(Y214/H214,"0")</f>
        <v>357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2.7106400000000002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1029</v>
      </c>
      <c r="Y216" s="543">
        <f>IFERROR(SUM(Y206:Y214),"0")</f>
        <v>1045.5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5</v>
      </c>
      <c r="Y241" s="542">
        <f>IFERROR(IF(X241="",0,CEILING((X241/$H241),1)*$H241),"")</f>
        <v>5.4</v>
      </c>
      <c r="Z241" s="36">
        <f>IFERROR(IF(Y241=0,"",ROUNDUP(Y241/H241,0)*0.0059),"")</f>
        <v>1.77E-2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5.4861111111111107</v>
      </c>
      <c r="BN241" s="64">
        <f>IFERROR(Y241*I241/H241,"0")</f>
        <v>5.9250000000000007</v>
      </c>
      <c r="BO241" s="64">
        <f>IFERROR(1/J241*(X241/H241),"0")</f>
        <v>1.2860082304526748E-2</v>
      </c>
      <c r="BP241" s="64">
        <f>IFERROR(1/J241*(Y241/H241),"0")</f>
        <v>1.3888888888888888E-2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2.7777777777777777</v>
      </c>
      <c r="Y242" s="543">
        <f>IFERROR(Y241/H241,"0")</f>
        <v>3</v>
      </c>
      <c r="Z242" s="543">
        <f>IFERROR(IF(Z241="",0,Z241),"0")</f>
        <v>1.77E-2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5</v>
      </c>
      <c r="Y243" s="543">
        <f>IFERROR(SUM(Y241:Y241),"0")</f>
        <v>5.4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1</v>
      </c>
      <c r="Y247" s="542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1.1111111111111112</v>
      </c>
      <c r="Y250" s="543">
        <f>IFERROR(Y245/H245,"0")+IFERROR(Y246/H246,"0")+IFERROR(Y247/H247,"0")+IFERROR(Y248/H248,"0")+IFERROR(Y249/H249,"0")</f>
        <v>2</v>
      </c>
      <c r="Z250" s="543">
        <f>IFERROR(IF(Z245="",0,Z245),"0")+IFERROR(IF(Z246="",0,Z246),"0")+IFERROR(IF(Z247="",0,Z247),"0")+IFERROR(IF(Z248="",0,Z248),"0")+IFERROR(IF(Z249="",0,Z249),"0")</f>
        <v>1.18E-2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1</v>
      </c>
      <c r="Y251" s="543">
        <f>IFERROR(SUM(Y245:Y249),"0")</f>
        <v>1.8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21</v>
      </c>
      <c r="Y273" s="542">
        <f>IFERROR(IF(X273="",0,CEILING((X273/$H273),1)*$H273),"")</f>
        <v>21.599999999999998</v>
      </c>
      <c r="Z273" s="36">
        <f>IFERROR(IF(Y273=0,"",ROUNDUP(Y273/H273,0)*0.00651),"")</f>
        <v>5.8590000000000003E-2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22.574999999999999</v>
      </c>
      <c r="BN273" s="64">
        <f>IFERROR(Y273*I273/H273,"0")</f>
        <v>23.22</v>
      </c>
      <c r="BO273" s="64">
        <f>IFERROR(1/J273*(X273/H273),"0")</f>
        <v>4.807692307692308E-2</v>
      </c>
      <c r="BP273" s="64">
        <f>IFERROR(1/J273*(Y273/H273),"0")</f>
        <v>4.9450549450549455E-2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8.75</v>
      </c>
      <c r="Y274" s="543">
        <f>IFERROR(Y271/H271,"0")+IFERROR(Y272/H272,"0")+IFERROR(Y273/H273,"0")</f>
        <v>9</v>
      </c>
      <c r="Z274" s="543">
        <f>IFERROR(IF(Z271="",0,Z271),"0")+IFERROR(IF(Z272="",0,Z272),"0")+IFERROR(IF(Z273="",0,Z273),"0")</f>
        <v>5.8590000000000003E-2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21</v>
      </c>
      <c r="Y275" s="543">
        <f>IFERROR(SUM(Y271:Y273),"0")</f>
        <v>21.599999999999998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98</v>
      </c>
      <c r="Y314" s="542">
        <f>IFERROR(IF(X314="",0,CEILING((X314/$H314),1)*$H314),"")</f>
        <v>100.80000000000001</v>
      </c>
      <c r="Z314" s="36">
        <f>IFERROR(IF(Y314=0,"",ROUNDUP(Y314/H314,0)*0.01898),"")</f>
        <v>0.22776000000000002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103.76333333333332</v>
      </c>
      <c r="BN314" s="64">
        <f>IFERROR(Y314*I314/H314,"0")</f>
        <v>106.72800000000001</v>
      </c>
      <c r="BO314" s="64">
        <f>IFERROR(1/J314*(X314/H314),"0")</f>
        <v>0.18229166666666666</v>
      </c>
      <c r="BP314" s="64">
        <f>IFERROR(1/J314*(Y314/H314),"0")</f>
        <v>0.1875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11.666666666666666</v>
      </c>
      <c r="Y317" s="543">
        <f>IFERROR(Y314/H314,"0")+IFERROR(Y315/H315,"0")+IFERROR(Y316/H316,"0")</f>
        <v>12</v>
      </c>
      <c r="Z317" s="543">
        <f>IFERROR(IF(Z314="",0,Z314),"0")+IFERROR(IF(Z315="",0,Z315),"0")+IFERROR(IF(Z316="",0,Z316),"0")</f>
        <v>0.22776000000000002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98</v>
      </c>
      <c r="Y318" s="543">
        <f>IFERROR(SUM(Y314:Y316),"0")</f>
        <v>100.80000000000001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40</v>
      </c>
      <c r="Y323" s="542">
        <f>IFERROR(IF(X323="",0,CEILING((X323/$H323),1)*$H323),"")</f>
        <v>40.799999999999997</v>
      </c>
      <c r="Z323" s="36">
        <f>IFERROR(IF(Y323=0,"",ROUNDUP(Y323/H323,0)*0.00651),"")</f>
        <v>0.10416</v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45.17647058823529</v>
      </c>
      <c r="BN323" s="64">
        <f>IFERROR(Y323*I323/H323,"0")</f>
        <v>46.08</v>
      </c>
      <c r="BO323" s="64">
        <f>IFERROR(1/J323*(X323/H323),"0")</f>
        <v>8.6188321482439142E-2</v>
      </c>
      <c r="BP323" s="64">
        <f>IFERROR(1/J323*(Y323/H323),"0")</f>
        <v>8.7912087912087919E-2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15.686274509803923</v>
      </c>
      <c r="Y324" s="543">
        <f>IFERROR(Y320/H320,"0")+IFERROR(Y321/H321,"0")+IFERROR(Y322/H322,"0")+IFERROR(Y323/H323,"0")</f>
        <v>16</v>
      </c>
      <c r="Z324" s="543">
        <f>IFERROR(IF(Z320="",0,Z320),"0")+IFERROR(IF(Z321="",0,Z321),"0")+IFERROR(IF(Z322="",0,Z322),"0")+IFERROR(IF(Z323="",0,Z323),"0")</f>
        <v>0.10416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40</v>
      </c>
      <c r="Y325" s="543">
        <f>IFERROR(SUM(Y320:Y323),"0")</f>
        <v>40.799999999999997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4</v>
      </c>
      <c r="Y328" s="542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4.4800000000000004</v>
      </c>
      <c r="BN328" s="64">
        <f>IFERROR(Y328*I328/H328,"0")</f>
        <v>4.4800000000000004</v>
      </c>
      <c r="BO328" s="64">
        <f>IFERROR(1/J328*(X328/H328),"0")</f>
        <v>8.4033613445378148E-3</v>
      </c>
      <c r="BP328" s="64">
        <f>IFERROR(1/J328*(Y328/H328),"0")</f>
        <v>8.4033613445378148E-3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13</v>
      </c>
      <c r="Y329" s="542">
        <f>IFERROR(IF(X329="",0,CEILING((X329/$H329),1)*$H329),"")</f>
        <v>14</v>
      </c>
      <c r="Z329" s="36">
        <f>IFERROR(IF(Y329=0,"",ROUNDUP(Y329/H329,0)*0.00474),"")</f>
        <v>3.3180000000000001E-2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14.560000000000002</v>
      </c>
      <c r="BN329" s="64">
        <f>IFERROR(Y329*I329/H329,"0")</f>
        <v>15.680000000000001</v>
      </c>
      <c r="BO329" s="64">
        <f>IFERROR(1/J329*(X329/H329),"0")</f>
        <v>2.7310924369747899E-2</v>
      </c>
      <c r="BP329" s="64">
        <f>IFERROR(1/J329*(Y329/H329),"0")</f>
        <v>2.9411764705882353E-2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8.5</v>
      </c>
      <c r="Y330" s="543">
        <f>IFERROR(Y327/H327,"0")+IFERROR(Y328/H328,"0")+IFERROR(Y329/H329,"0")</f>
        <v>9</v>
      </c>
      <c r="Z330" s="543">
        <f>IFERROR(IF(Z327="",0,Z327),"0")+IFERROR(IF(Z328="",0,Z328),"0")+IFERROR(IF(Z329="",0,Z329),"0")</f>
        <v>4.2660000000000003E-2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17</v>
      </c>
      <c r="Y331" s="543">
        <f>IFERROR(SUM(Y327:Y329),"0")</f>
        <v>18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13</v>
      </c>
      <c r="Y334" s="542">
        <f>IFERROR(IF(X334="",0,CEILING((X334/$H334),1)*$H334),"")</f>
        <v>16.2</v>
      </c>
      <c r="Z334" s="36">
        <f>IFERROR(IF(Y334=0,"",ROUNDUP(Y334/H334,0)*0.01898),"")</f>
        <v>3.7960000000000001E-2</v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13.792839506172839</v>
      </c>
      <c r="BN334" s="64">
        <f>IFERROR(Y334*I334/H334,"0")</f>
        <v>17.187999999999999</v>
      </c>
      <c r="BO334" s="64">
        <f>IFERROR(1/J334*(X334/H334),"0")</f>
        <v>2.5077160493827161E-2</v>
      </c>
      <c r="BP334" s="64">
        <f>IFERROR(1/J334*(Y334/H334),"0")</f>
        <v>3.125E-2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1.6049382716049383</v>
      </c>
      <c r="Y337" s="543">
        <f>IFERROR(Y334/H334,"0")+IFERROR(Y335/H335,"0")+IFERROR(Y336/H336,"0")</f>
        <v>2</v>
      </c>
      <c r="Z337" s="543">
        <f>IFERROR(IF(Z334="",0,Z334),"0")+IFERROR(IF(Z335="",0,Z335),"0")+IFERROR(IF(Z336="",0,Z336),"0")</f>
        <v>3.7960000000000001E-2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13</v>
      </c>
      <c r="Y338" s="543">
        <f>IFERROR(SUM(Y334:Y336),"0")</f>
        <v>16.2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699</v>
      </c>
      <c r="Y342" s="542">
        <f t="shared" ref="Y342:Y348" si="31">IFERROR(IF(X342="",0,CEILING((X342/$H342),1)*$H342),"")</f>
        <v>705</v>
      </c>
      <c r="Z342" s="36">
        <f>IFERROR(IF(Y342=0,"",ROUNDUP(Y342/H342,0)*0.02175),"")</f>
        <v>1.0222499999999999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720.90200000000004</v>
      </c>
      <c r="BN342" s="64">
        <f t="shared" ref="BN342:BN348" si="33">IFERROR(Y342*I342/H342,"0")</f>
        <v>727.09</v>
      </c>
      <c r="BO342" s="64">
        <f t="shared" ref="BO342:BO348" si="34">IFERROR(1/J342*(X342/H342),"0")</f>
        <v>0.97083333333333333</v>
      </c>
      <c r="BP342" s="64">
        <f t="shared" ref="BP342:BP348" si="35">IFERROR(1/J342*(Y342/H342),"0")</f>
        <v>0.97916666666666663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445</v>
      </c>
      <c r="Y343" s="542">
        <f t="shared" si="31"/>
        <v>450</v>
      </c>
      <c r="Z343" s="36">
        <f>IFERROR(IF(Y343=0,"",ROUNDUP(Y343/H343,0)*0.02175),"")</f>
        <v>0.65249999999999997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458.94333333333338</v>
      </c>
      <c r="BN343" s="64">
        <f t="shared" si="33"/>
        <v>464.1</v>
      </c>
      <c r="BO343" s="64">
        <f t="shared" si="34"/>
        <v>0.61805555555555558</v>
      </c>
      <c r="BP343" s="64">
        <f t="shared" si="35"/>
        <v>0.625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410</v>
      </c>
      <c r="Y344" s="542">
        <f t="shared" si="31"/>
        <v>420</v>
      </c>
      <c r="Z344" s="36">
        <f>IFERROR(IF(Y344=0,"",ROUNDUP(Y344/H344,0)*0.02175),"")</f>
        <v>0.60899999999999999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422.84666666666664</v>
      </c>
      <c r="BN344" s="64">
        <f t="shared" si="33"/>
        <v>433.16</v>
      </c>
      <c r="BO344" s="64">
        <f t="shared" si="34"/>
        <v>0.56944444444444442</v>
      </c>
      <c r="BP344" s="64">
        <f t="shared" si="35"/>
        <v>0.58333333333333326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433</v>
      </c>
      <c r="Y345" s="542">
        <f t="shared" si="31"/>
        <v>435</v>
      </c>
      <c r="Z345" s="36">
        <f>IFERROR(IF(Y345=0,"",ROUNDUP(Y345/H345,0)*0.02175),"")</f>
        <v>0.63074999999999992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446.56733333333335</v>
      </c>
      <c r="BN345" s="64">
        <f t="shared" si="33"/>
        <v>448.63000000000005</v>
      </c>
      <c r="BO345" s="64">
        <f t="shared" si="34"/>
        <v>0.60138888888888886</v>
      </c>
      <c r="BP345" s="64">
        <f t="shared" si="35"/>
        <v>0.60416666666666663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132.46666666666667</v>
      </c>
      <c r="Y349" s="543">
        <f>IFERROR(Y342/H342,"0")+IFERROR(Y343/H343,"0")+IFERROR(Y344/H344,"0")+IFERROR(Y345/H345,"0")+IFERROR(Y346/H346,"0")+IFERROR(Y347/H347,"0")+IFERROR(Y348/H348,"0")</f>
        <v>134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2.9144999999999999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1987</v>
      </c>
      <c r="Y350" s="543">
        <f>IFERROR(SUM(Y342:Y348),"0")</f>
        <v>2010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790</v>
      </c>
      <c r="Y352" s="542">
        <f>IFERROR(IF(X352="",0,CEILING((X352/$H352),1)*$H352),"")</f>
        <v>795</v>
      </c>
      <c r="Z352" s="36">
        <f>IFERROR(IF(Y352=0,"",ROUNDUP(Y352/H352,0)*0.02175),"")</f>
        <v>1.1527499999999999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814.75333333333344</v>
      </c>
      <c r="BN352" s="64">
        <f>IFERROR(Y352*I352/H352,"0")</f>
        <v>819.91</v>
      </c>
      <c r="BO352" s="64">
        <f>IFERROR(1/J352*(X352/H352),"0")</f>
        <v>1.0972222222222221</v>
      </c>
      <c r="BP352" s="64">
        <f>IFERROR(1/J352*(Y352/H352),"0")</f>
        <v>1.1041666666666665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52.666666666666664</v>
      </c>
      <c r="Y354" s="543">
        <f>IFERROR(Y352/H352,"0")+IFERROR(Y353/H353,"0")</f>
        <v>53</v>
      </c>
      <c r="Z354" s="543">
        <f>IFERROR(IF(Z352="",0,Z352),"0")+IFERROR(IF(Z353="",0,Z353),"0")</f>
        <v>1.1527499999999999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790</v>
      </c>
      <c r="Y355" s="543">
        <f>IFERROR(SUM(Y352:Y353),"0")</f>
        <v>795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4</v>
      </c>
      <c r="Y358" s="542">
        <f>IFERROR(IF(X358="",0,CEILING((X358/$H358),1)*$H358),"")</f>
        <v>9</v>
      </c>
      <c r="Z358" s="36">
        <f>IFERROR(IF(Y358=0,"",ROUNDUP(Y358/H358,0)*0.01898),"")</f>
        <v>1.898E-2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4.2195555555555551</v>
      </c>
      <c r="BN358" s="64">
        <f>IFERROR(Y358*I358/H358,"0")</f>
        <v>9.4939999999999998</v>
      </c>
      <c r="BO358" s="64">
        <f>IFERROR(1/J358*(X358/H358),"0")</f>
        <v>6.9444444444444441E-3</v>
      </c>
      <c r="BP358" s="64">
        <f>IFERROR(1/J358*(Y358/H358),"0")</f>
        <v>1.5625E-2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0.44444444444444442</v>
      </c>
      <c r="Y359" s="543">
        <f>IFERROR(Y357/H357,"0")+IFERROR(Y358/H358,"0")</f>
        <v>1</v>
      </c>
      <c r="Z359" s="543">
        <f>IFERROR(IF(Z357="",0,Z357),"0")+IFERROR(IF(Z358="",0,Z358),"0")</f>
        <v>1.898E-2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4</v>
      </c>
      <c r="Y360" s="543">
        <f>IFERROR(SUM(Y357:Y358),"0")</f>
        <v>9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48</v>
      </c>
      <c r="Y362" s="542">
        <f>IFERROR(IF(X362="",0,CEILING((X362/$H362),1)*$H362),"")</f>
        <v>54</v>
      </c>
      <c r="Z362" s="36">
        <f>IFERROR(IF(Y362=0,"",ROUNDUP(Y362/H362,0)*0.01898),"")</f>
        <v>0.11388000000000001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50.634666666666668</v>
      </c>
      <c r="BN362" s="64">
        <f>IFERROR(Y362*I362/H362,"0")</f>
        <v>56.963999999999992</v>
      </c>
      <c r="BO362" s="64">
        <f>IFERROR(1/J362*(X362/H362),"0")</f>
        <v>8.3333333333333329E-2</v>
      </c>
      <c r="BP362" s="64">
        <f>IFERROR(1/J362*(Y362/H362),"0")</f>
        <v>9.375E-2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5.333333333333333</v>
      </c>
      <c r="Y363" s="543">
        <f>IFERROR(Y362/H362,"0")</f>
        <v>6</v>
      </c>
      <c r="Z363" s="543">
        <f>IFERROR(IF(Z362="",0,Z362),"0")</f>
        <v>0.11388000000000001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48</v>
      </c>
      <c r="Y364" s="543">
        <f>IFERROR(SUM(Y362:Y362),"0")</f>
        <v>54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268</v>
      </c>
      <c r="Y424" s="542">
        <f t="shared" si="42"/>
        <v>269.28000000000003</v>
      </c>
      <c r="Z424" s="36">
        <f t="shared" si="43"/>
        <v>0.60996000000000006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285.7651515151515</v>
      </c>
      <c r="BN424" s="64">
        <f t="shared" si="45"/>
        <v>287.13</v>
      </c>
      <c r="BO424" s="64">
        <f t="shared" si="46"/>
        <v>0.48805361305361306</v>
      </c>
      <c r="BP424" s="64">
        <f t="shared" si="47"/>
        <v>0.49038461538461542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487</v>
      </c>
      <c r="Y426" s="542">
        <f t="shared" si="42"/>
        <v>491.04</v>
      </c>
      <c r="Z426" s="36">
        <f t="shared" si="43"/>
        <v>1.1122799999999999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519.28219696969688</v>
      </c>
      <c r="BN426" s="64">
        <f t="shared" si="45"/>
        <v>523.59</v>
      </c>
      <c r="BO426" s="64">
        <f t="shared" si="46"/>
        <v>0.88687354312354316</v>
      </c>
      <c r="BP426" s="64">
        <f t="shared" si="47"/>
        <v>0.89423076923076927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142.99242424242425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144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1.72224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755</v>
      </c>
      <c r="Y433" s="543">
        <f>IFERROR(SUM(Y421:Y431),"0")</f>
        <v>760.32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235</v>
      </c>
      <c r="Y435" s="542">
        <f>IFERROR(IF(X435="",0,CEILING((X435/$H435),1)*$H435),"")</f>
        <v>237.60000000000002</v>
      </c>
      <c r="Z435" s="36">
        <f>IFERROR(IF(Y435=0,"",ROUNDUP(Y435/H435,0)*0.01196),"")</f>
        <v>0.53820000000000001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250.5776515151515</v>
      </c>
      <c r="BN435" s="64">
        <f>IFERROR(Y435*I435/H435,"0")</f>
        <v>253.35</v>
      </c>
      <c r="BO435" s="64">
        <f>IFERROR(1/J435*(X435/H435),"0")</f>
        <v>0.42795745920745926</v>
      </c>
      <c r="BP435" s="64">
        <f>IFERROR(1/J435*(Y435/H435),"0")</f>
        <v>0.43269230769230771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43</v>
      </c>
      <c r="Y437" s="542">
        <f>IFERROR(IF(X437="",0,CEILING((X437/$H437),1)*$H437),"")</f>
        <v>43.199999999999996</v>
      </c>
      <c r="Z437" s="36">
        <f>IFERROR(IF(Y437=0,"",ROUNDUP(Y437/H437,0)*0.00902),"")</f>
        <v>8.1180000000000002E-2</v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61.902083333333337</v>
      </c>
      <c r="BN437" s="64">
        <f>IFERROR(Y437*I437/H437,"0")</f>
        <v>62.190000000000005</v>
      </c>
      <c r="BO437" s="64">
        <f>IFERROR(1/J437*(X437/H437),"0")</f>
        <v>6.7866161616161616E-2</v>
      </c>
      <c r="BP437" s="64">
        <f>IFERROR(1/J437*(Y437/H437),"0")</f>
        <v>6.8181818181818177E-2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53.465909090909093</v>
      </c>
      <c r="Y438" s="543">
        <f>IFERROR(Y435/H435,"0")+IFERROR(Y436/H436,"0")+IFERROR(Y437/H437,"0")</f>
        <v>54</v>
      </c>
      <c r="Z438" s="543">
        <f>IFERROR(IF(Z435="",0,Z435),"0")+IFERROR(IF(Z436="",0,Z436),"0")+IFERROR(IF(Z437="",0,Z437),"0")</f>
        <v>0.61938000000000004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278</v>
      </c>
      <c r="Y439" s="543">
        <f>IFERROR(SUM(Y435:Y437),"0")</f>
        <v>280.8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245</v>
      </c>
      <c r="Y441" s="542">
        <f t="shared" ref="Y441:Y446" si="48">IFERROR(IF(X441="",0,CEILING((X441/$H441),1)*$H441),"")</f>
        <v>248.16000000000003</v>
      </c>
      <c r="Z441" s="36">
        <f>IFERROR(IF(Y441=0,"",ROUNDUP(Y441/H441,0)*0.01196),"")</f>
        <v>0.56211999999999995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261.24053030303025</v>
      </c>
      <c r="BN441" s="64">
        <f t="shared" ref="BN441:BN446" si="50">IFERROR(Y441*I441/H441,"0")</f>
        <v>264.61</v>
      </c>
      <c r="BO441" s="64">
        <f t="shared" ref="BO441:BO446" si="51">IFERROR(1/J441*(X441/H441),"0")</f>
        <v>0.44616841491841491</v>
      </c>
      <c r="BP441" s="64">
        <f t="shared" ref="BP441:BP446" si="52">IFERROR(1/J441*(Y441/H441),"0")</f>
        <v>0.45192307692307693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53</v>
      </c>
      <c r="Y442" s="542">
        <f t="shared" si="48"/>
        <v>58.080000000000005</v>
      </c>
      <c r="Z442" s="36">
        <f>IFERROR(IF(Y442=0,"",ROUNDUP(Y442/H442,0)*0.01196),"")</f>
        <v>0.13156000000000001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56.513257575757571</v>
      </c>
      <c r="BN442" s="64">
        <f t="shared" si="50"/>
        <v>61.93</v>
      </c>
      <c r="BO442" s="64">
        <f t="shared" si="51"/>
        <v>9.6518065268065265E-2</v>
      </c>
      <c r="BP442" s="64">
        <f t="shared" si="52"/>
        <v>0.10576923076923078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210</v>
      </c>
      <c r="Y443" s="542">
        <f t="shared" si="48"/>
        <v>211.20000000000002</v>
      </c>
      <c r="Z443" s="36">
        <f>IFERROR(IF(Y443=0,"",ROUNDUP(Y443/H443,0)*0.01196),"")</f>
        <v>0.47839999999999999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223.92045454545453</v>
      </c>
      <c r="BN443" s="64">
        <f t="shared" si="50"/>
        <v>225.2</v>
      </c>
      <c r="BO443" s="64">
        <f t="shared" si="51"/>
        <v>0.38243006993006995</v>
      </c>
      <c r="BP443" s="64">
        <f t="shared" si="52"/>
        <v>0.38461538461538464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96.212121212121218</v>
      </c>
      <c r="Y447" s="543">
        <f>IFERROR(Y441/H441,"0")+IFERROR(Y442/H442,"0")+IFERROR(Y443/H443,"0")+IFERROR(Y444/H444,"0")+IFERROR(Y445/H445,"0")+IFERROR(Y446/H446,"0")</f>
        <v>98</v>
      </c>
      <c r="Z447" s="543">
        <f>IFERROR(IF(Z441="",0,Z441),"0")+IFERROR(IF(Z442="",0,Z442),"0")+IFERROR(IF(Z443="",0,Z443),"0")+IFERROR(IF(Z444="",0,Z444),"0")+IFERROR(IF(Z445="",0,Z445),"0")+IFERROR(IF(Z446="",0,Z446),"0")</f>
        <v>1.17208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508</v>
      </c>
      <c r="Y448" s="543">
        <f>IFERROR(SUM(Y441:Y446),"0")</f>
        <v>517.44000000000005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8748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8908.7200000000012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9211.5221549552716</v>
      </c>
      <c r="Y490" s="543">
        <f>IFERROR(SUM(BN22:BN486),"0")</f>
        <v>9380.4910000000036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15</v>
      </c>
      <c r="Y491" s="38">
        <f>ROUNDUP(SUM(BP22:BP486),0)</f>
        <v>15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9586.5221549552716</v>
      </c>
      <c r="Y492" s="543">
        <f>GrossWeightTotalR+PalletQtyTotalR*25</f>
        <v>9755.4910000000036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1437.2830430350205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1462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17.221630000000001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399.6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659.8</v>
      </c>
      <c r="E499" s="46">
        <f>IFERROR(Y85*1,"0")+IFERROR(Y86*1,"0")+IFERROR(Y87*1,"0")+IFERROR(Y91*1,"0")+IFERROR(Y92*1,"0")+IFERROR(Y93*1,"0")+IFERROR(Y94*1,"0")</f>
        <v>559.80000000000007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822.90000000000009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359.76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1475.7000000000003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7.2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21.599999999999998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159.60000000000002</v>
      </c>
      <c r="R499" s="46">
        <f>IFERROR(Y334*1,"0")+IFERROR(Y335*1,"0")+IFERROR(Y336*1,"0")</f>
        <v>16.2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2868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1558.5600000000002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bXebRKVzi8fWjCGOb6dtWP2NtAiZcyOC6J2Y+AEYDRXkfQPxDfZb1m07ZoMSOjzuDK/moknISg0suO883+xaIQ==" saltValue="kyatRuy/2FhugTToE1OW8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1 X423:X424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ugiQL0DWD5vd9u/YHI1rFGR7Kk7DOpNh5SvFkUlFLxf3b0ay8xixtF7OHSmiwzSwbmj533fyYBpZGL1HSNTEbA==" saltValue="4EuQZ2ncAyhapH6No8pc7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