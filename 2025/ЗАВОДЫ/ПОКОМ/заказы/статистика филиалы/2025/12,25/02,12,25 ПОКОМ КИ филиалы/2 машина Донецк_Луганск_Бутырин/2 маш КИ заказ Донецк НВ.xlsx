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EB5ACEB6-9669-421C-AABA-3A6C7FCEF3A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3" i="1" s="1"/>
  <c r="Y43" i="1"/>
  <c r="Y58" i="1"/>
  <c r="Y64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Z148" i="1" s="1"/>
  <c r="Y172" i="1"/>
  <c r="BP164" i="1"/>
  <c r="BN164" i="1"/>
  <c r="Z164" i="1"/>
  <c r="Z171" i="1" s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Z380" i="1" s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Z259" i="1"/>
  <c r="BP255" i="1"/>
  <c r="BN255" i="1"/>
  <c r="Z255" i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BP315" i="1"/>
  <c r="BN315" i="1"/>
  <c r="Z315" i="1"/>
  <c r="Z317" i="1" s="1"/>
  <c r="Y324" i="1"/>
  <c r="BP323" i="1"/>
  <c r="BN323" i="1"/>
  <c r="Z323" i="1"/>
  <c r="Z324" i="1" s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Z349" i="1" s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94" i="1"/>
  <c r="Z304" i="1"/>
  <c r="Z294" i="1"/>
  <c r="Z274" i="1"/>
  <c r="Z69" i="1"/>
  <c r="Z494" i="1" s="1"/>
  <c r="Y489" i="1"/>
  <c r="Z337" i="1"/>
  <c r="Z234" i="1"/>
  <c r="Z109" i="1"/>
  <c r="Z447" i="1"/>
  <c r="Z432" i="1"/>
  <c r="X492" i="1"/>
  <c r="Z215" i="1"/>
  <c r="Z88" i="1"/>
  <c r="Z76" i="1"/>
</calcChain>
</file>

<file path=xl/sharedStrings.xml><?xml version="1.0" encoding="utf-8"?>
<sst xmlns="http://schemas.openxmlformats.org/spreadsheetml/2006/main" count="2276" uniqueCount="762">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</sst>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430</v>
      </c>
      <c r="Y40" s="542">
        <f>IFERROR(IF(X40="",0,CEILING((X40/$H40),1)*$H40),"")</f>
        <v>432</v>
      </c>
      <c r="Z40" s="36">
        <f>IFERROR(IF(Y40=0,"",ROUNDUP(Y40/H40,0)*0.01898),"")</f>
        <v>0.75919999999999999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446.32407407407408</v>
      </c>
      <c r="BN40" s="64">
        <f>IFERROR(Y40*I40/H40,"0")</f>
        <v>448.4</v>
      </c>
      <c r="BO40" s="64">
        <f>IFERROR(1/J40*(X40/H40),"0")</f>
        <v>0.6221064814814814</v>
      </c>
      <c r="BP40" s="64">
        <f>IFERROR(1/J40*(Y40/H40),"0")</f>
        <v>0.625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39.81481481481481</v>
      </c>
      <c r="Y43" s="543">
        <f>IFERROR(Y40/H40,"0")+IFERROR(Y41/H41,"0")+IFERROR(Y42/H42,"0")</f>
        <v>40</v>
      </c>
      <c r="Z43" s="543">
        <f>IFERROR(IF(Z40="",0,Z40),"0")+IFERROR(IF(Z41="",0,Z41),"0")+IFERROR(IF(Z42="",0,Z42),"0")</f>
        <v>0.75919999999999999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430</v>
      </c>
      <c r="Y44" s="543">
        <f>IFERROR(SUM(Y40:Y42),"0")</f>
        <v>432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110</v>
      </c>
      <c r="Y52" s="542">
        <f t="shared" si="0"/>
        <v>118.80000000000001</v>
      </c>
      <c r="Z52" s="36">
        <f>IFERROR(IF(Y52=0,"",ROUNDUP(Y52/H52,0)*0.01898),"")</f>
        <v>0.20877999999999999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114.17592592592594</v>
      </c>
      <c r="BN52" s="64">
        <f t="shared" si="2"/>
        <v>123.31000000000002</v>
      </c>
      <c r="BO52" s="64">
        <f t="shared" si="3"/>
        <v>0.15914351851851852</v>
      </c>
      <c r="BP52" s="64">
        <f t="shared" si="4"/>
        <v>0.171875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10.185185185185185</v>
      </c>
      <c r="Y57" s="543">
        <f>IFERROR(Y51/H51,"0")+IFERROR(Y52/H52,"0")+IFERROR(Y53/H53,"0")+IFERROR(Y54/H54,"0")+IFERROR(Y55/H55,"0")+IFERROR(Y56/H56,"0")</f>
        <v>11</v>
      </c>
      <c r="Z57" s="543">
        <f>IFERROR(IF(Z51="",0,Z51),"0")+IFERROR(IF(Z52="",0,Z52),"0")+IFERROR(IF(Z53="",0,Z53),"0")+IFERROR(IF(Z54="",0,Z54),"0")+IFERROR(IF(Z55="",0,Z55),"0")+IFERROR(IF(Z56="",0,Z56),"0")</f>
        <v>0.20877999999999999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110</v>
      </c>
      <c r="Y58" s="543">
        <f>IFERROR(SUM(Y51:Y56),"0")</f>
        <v>118.80000000000001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4</v>
      </c>
      <c r="Y79" s="542">
        <f>IFERROR(IF(X79="",0,CEILING((X79/$H79),1)*$H79),"")</f>
        <v>7.8</v>
      </c>
      <c r="Z79" s="36">
        <f>IFERROR(IF(Y79=0,"",ROUNDUP(Y79/H79,0)*0.01898),"")</f>
        <v>1.898E-2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4.2102564102564104</v>
      </c>
      <c r="BN79" s="64">
        <f>IFERROR(Y79*I79/H79,"0")</f>
        <v>8.2100000000000009</v>
      </c>
      <c r="BO79" s="64">
        <f>IFERROR(1/J79*(X79/H79),"0")</f>
        <v>8.0128205128205138E-3</v>
      </c>
      <c r="BP79" s="64">
        <f>IFERROR(1/J79*(Y79/H79),"0")</f>
        <v>1.5625E-2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0.51282051282051289</v>
      </c>
      <c r="Y81" s="543">
        <f>IFERROR(Y79/H79,"0")+IFERROR(Y80/H80,"0")</f>
        <v>1</v>
      </c>
      <c r="Z81" s="543">
        <f>IFERROR(IF(Z79="",0,Z79),"0")+IFERROR(IF(Z80="",0,Z80),"0")</f>
        <v>1.898E-2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4</v>
      </c>
      <c r="Y82" s="543">
        <f>IFERROR(SUM(Y79:Y80),"0")</f>
        <v>7.8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20</v>
      </c>
      <c r="Y87" s="542">
        <f>IFERROR(IF(X87="",0,CEILING((X87/$H87),1)*$H87),"")</f>
        <v>22.5</v>
      </c>
      <c r="Z87" s="36">
        <f>IFERROR(IF(Y87=0,"",ROUNDUP(Y87/H87,0)*0.00902),"")</f>
        <v>4.5100000000000001E-2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20.844444444444449</v>
      </c>
      <c r="BN87" s="64">
        <f>IFERROR(Y87*I87/H87,"0")</f>
        <v>23.450000000000003</v>
      </c>
      <c r="BO87" s="64">
        <f>IFERROR(1/J87*(X87/H87),"0")</f>
        <v>3.3670033670033669E-2</v>
      </c>
      <c r="BP87" s="64">
        <f>IFERROR(1/J87*(Y87/H87),"0")</f>
        <v>3.787878787878788E-2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4.4444444444444446</v>
      </c>
      <c r="Y88" s="543">
        <f>IFERROR(Y85/H85,"0")+IFERROR(Y86/H86,"0")+IFERROR(Y87/H87,"0")</f>
        <v>5</v>
      </c>
      <c r="Z88" s="543">
        <f>IFERROR(IF(Z85="",0,Z85),"0")+IFERROR(IF(Z86="",0,Z86),"0")+IFERROR(IF(Z87="",0,Z87),"0")</f>
        <v>4.5100000000000001E-2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20</v>
      </c>
      <c r="Y89" s="543">
        <f>IFERROR(SUM(Y85:Y87),"0")</f>
        <v>22.5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148</v>
      </c>
      <c r="Y93" s="542">
        <f>IFERROR(IF(X93="",0,CEILING((X93/$H93),1)*$H93),"")</f>
        <v>148.5</v>
      </c>
      <c r="Z93" s="36">
        <f>IFERROR(IF(Y93=0,"",ROUNDUP(Y93/H93,0)*0.00651),"")</f>
        <v>0.35805000000000003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161.81333333333333</v>
      </c>
      <c r="BN93" s="64">
        <f>IFERROR(Y93*I93/H93,"0")</f>
        <v>162.35999999999999</v>
      </c>
      <c r="BO93" s="64">
        <f>IFERROR(1/J93*(X93/H93),"0")</f>
        <v>0.3011803011803012</v>
      </c>
      <c r="BP93" s="64">
        <f>IFERROR(1/J93*(Y93/H93),"0")</f>
        <v>0.30219780219780218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54.81481481481481</v>
      </c>
      <c r="Y95" s="543">
        <f>IFERROR(Y91/H91,"0")+IFERROR(Y92/H92,"0")+IFERROR(Y93/H93,"0")+IFERROR(Y94/H94,"0")</f>
        <v>54.999999999999993</v>
      </c>
      <c r="Z95" s="543">
        <f>IFERROR(IF(Z91="",0,Z91),"0")+IFERROR(IF(Z92="",0,Z92),"0")+IFERROR(IF(Z93="",0,Z93),"0")+IFERROR(IF(Z94="",0,Z94),"0")</f>
        <v>0.35805000000000003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148</v>
      </c>
      <c r="Y96" s="543">
        <f>IFERROR(SUM(Y91:Y94),"0")</f>
        <v>148.5</v>
      </c>
      <c r="Z96" s="37"/>
      <c r="AA96" s="544"/>
      <c r="AB96" s="544"/>
      <c r="AC96" s="544"/>
    </row>
    <row r="97" spans="1:68" ht="16.5" customHeight="1" x14ac:dyDescent="0.25">
      <c r="A97" s="558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66</v>
      </c>
      <c r="Y99" s="542">
        <f>IFERROR(IF(X99="",0,CEILING((X99/$H99),1)*$H99),"")</f>
        <v>75.600000000000009</v>
      </c>
      <c r="Z99" s="36">
        <f>IFERROR(IF(Y99=0,"",ROUNDUP(Y99/H99,0)*0.01898),"")</f>
        <v>0.13286000000000001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68.505555555555546</v>
      </c>
      <c r="BN99" s="64">
        <f>IFERROR(Y99*I99/H99,"0")</f>
        <v>78.47</v>
      </c>
      <c r="BO99" s="64">
        <f>IFERROR(1/J99*(X99/H99),"0")</f>
        <v>9.5486111111111105E-2</v>
      </c>
      <c r="BP99" s="64">
        <f>IFERROR(1/J99*(Y99/H99),"0")</f>
        <v>0.109375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6.1111111111111107</v>
      </c>
      <c r="Y103" s="543">
        <f>IFERROR(Y99/H99,"0")+IFERROR(Y100/H100,"0")+IFERROR(Y101/H101,"0")+IFERROR(Y102/H102,"0")</f>
        <v>7</v>
      </c>
      <c r="Z103" s="543">
        <f>IFERROR(IF(Z99="",0,Z99),"0")+IFERROR(IF(Z100="",0,Z100),"0")+IFERROR(IF(Z101="",0,Z101),"0")+IFERROR(IF(Z102="",0,Z102),"0")</f>
        <v>0.13286000000000001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66</v>
      </c>
      <c r="Y104" s="543">
        <f>IFERROR(SUM(Y99:Y102),"0")</f>
        <v>75.600000000000009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34</v>
      </c>
      <c r="Y106" s="542">
        <f>IFERROR(IF(X106="",0,CEILING((X106/$H106),1)*$H106),"")</f>
        <v>43.2</v>
      </c>
      <c r="Z106" s="36">
        <f>IFERROR(IF(Y106=0,"",ROUNDUP(Y106/H106,0)*0.01898),"")</f>
        <v>7.5920000000000001E-2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35.290740740740745</v>
      </c>
      <c r="BN106" s="64">
        <f>IFERROR(Y106*I106/H106,"0")</f>
        <v>44.84</v>
      </c>
      <c r="BO106" s="64">
        <f>IFERROR(1/J106*(X106/H106),"0")</f>
        <v>4.9189814814814811E-2</v>
      </c>
      <c r="BP106" s="64">
        <f>IFERROR(1/J106*(Y106/H106),"0")</f>
        <v>6.25E-2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5</v>
      </c>
      <c r="Y108" s="542">
        <f>IFERROR(IF(X108="",0,CEILING((X108/$H108),1)*$H108),"")</f>
        <v>7.1999999999999993</v>
      </c>
      <c r="Z108" s="36">
        <f>IFERROR(IF(Y108=0,"",ROUNDUP(Y108/H108,0)*0.00651),"")</f>
        <v>1.9529999999999999E-2</v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5.375</v>
      </c>
      <c r="BN108" s="64">
        <f>IFERROR(Y108*I108/H108,"0")</f>
        <v>7.7399999999999993</v>
      </c>
      <c r="BO108" s="64">
        <f>IFERROR(1/J108*(X108/H108),"0")</f>
        <v>1.1446886446886448E-2</v>
      </c>
      <c r="BP108" s="64">
        <f>IFERROR(1/J108*(Y108/H108),"0")</f>
        <v>1.6483516483516484E-2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5.231481481481481</v>
      </c>
      <c r="Y109" s="543">
        <f>IFERROR(Y106/H106,"0")+IFERROR(Y107/H107,"0")+IFERROR(Y108/H108,"0")</f>
        <v>7</v>
      </c>
      <c r="Z109" s="543">
        <f>IFERROR(IF(Z106="",0,Z106),"0")+IFERROR(IF(Z107="",0,Z107),"0")+IFERROR(IF(Z108="",0,Z108),"0")</f>
        <v>9.5450000000000007E-2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39</v>
      </c>
      <c r="Y110" s="543">
        <f>IFERROR(SUM(Y106:Y108),"0")</f>
        <v>50.400000000000006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108</v>
      </c>
      <c r="Y114" s="542">
        <f>IFERROR(IF(X114="",0,CEILING((X114/$H114),1)*$H114),"")</f>
        <v>108</v>
      </c>
      <c r="Z114" s="36">
        <f>IFERROR(IF(Y114=0,"",ROUNDUP(Y114/H114,0)*0.00651),"")</f>
        <v>0.26040000000000002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118.07999999999998</v>
      </c>
      <c r="BN114" s="64">
        <f>IFERROR(Y114*I114/H114,"0")</f>
        <v>118.07999999999998</v>
      </c>
      <c r="BO114" s="64">
        <f>IFERROR(1/J114*(X114/H114),"0")</f>
        <v>0.2197802197802198</v>
      </c>
      <c r="BP114" s="64">
        <f>IFERROR(1/J114*(Y114/H114),"0")</f>
        <v>0.2197802197802198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40</v>
      </c>
      <c r="Y116" s="543">
        <f>IFERROR(Y112/H112,"0")+IFERROR(Y113/H113,"0")+IFERROR(Y114/H114,"0")+IFERROR(Y115/H115,"0")</f>
        <v>40</v>
      </c>
      <c r="Z116" s="543">
        <f>IFERROR(IF(Z112="",0,Z112),"0")+IFERROR(IF(Z113="",0,Z113),"0")+IFERROR(IF(Z114="",0,Z114),"0")+IFERROR(IF(Z115="",0,Z115),"0")</f>
        <v>0.26040000000000002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108</v>
      </c>
      <c r="Y117" s="543">
        <f>IFERROR(SUM(Y112:Y115),"0")</f>
        <v>108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/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38</v>
      </c>
      <c r="Y163" s="542">
        <f t="shared" si="5"/>
        <v>42</v>
      </c>
      <c r="Z163" s="36">
        <f>IFERROR(IF(Y163=0,"",ROUNDUP(Y163/H163,0)*0.00902),"")</f>
        <v>9.0200000000000002E-2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39.719047619047615</v>
      </c>
      <c r="BN163" s="64">
        <f t="shared" si="7"/>
        <v>43.9</v>
      </c>
      <c r="BO163" s="64">
        <f t="shared" si="8"/>
        <v>6.8542568542568544E-2</v>
      </c>
      <c r="BP163" s="64">
        <f t="shared" si="9"/>
        <v>7.575757575757576E-2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59</v>
      </c>
      <c r="Y164" s="542">
        <f t="shared" si="5"/>
        <v>60.900000000000006</v>
      </c>
      <c r="Z164" s="36">
        <f>IFERROR(IF(Y164=0,"",ROUNDUP(Y164/H164,0)*0.00502),"")</f>
        <v>0.14558000000000001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62.652380952380945</v>
      </c>
      <c r="BN164" s="64">
        <f t="shared" si="7"/>
        <v>64.67</v>
      </c>
      <c r="BO164" s="64">
        <f t="shared" si="8"/>
        <v>0.12006512006512007</v>
      </c>
      <c r="BP164" s="64">
        <f t="shared" si="9"/>
        <v>0.12393162393162395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6</v>
      </c>
      <c r="Y167" s="542">
        <f t="shared" si="5"/>
        <v>7.2</v>
      </c>
      <c r="Z167" s="36">
        <f>IFERROR(IF(Y167=0,"",ROUNDUP(Y167/H167,0)*0.00502),"")</f>
        <v>2.0080000000000001E-2</v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6.4333333333333336</v>
      </c>
      <c r="BN167" s="64">
        <f t="shared" si="7"/>
        <v>7.7199999999999989</v>
      </c>
      <c r="BO167" s="64">
        <f t="shared" si="8"/>
        <v>1.4245014245014245E-2</v>
      </c>
      <c r="BP167" s="64">
        <f t="shared" si="9"/>
        <v>1.7094017094017096E-2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40.476190476190474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43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0.25586000000000003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103</v>
      </c>
      <c r="Y172" s="543">
        <f>IFERROR(SUM(Y161:Y170),"0")</f>
        <v>110.10000000000001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1</v>
      </c>
      <c r="Y180" s="542">
        <f>IFERROR(IF(X180="",0,CEILING((X180/$H180),1)*$H180),"")</f>
        <v>1.26</v>
      </c>
      <c r="Z180" s="36">
        <f>IFERROR(IF(Y180=0,"",ROUNDUP(Y180/H180,0)*0.0059),"")</f>
        <v>5.8999999999999999E-3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1.1507936507936507</v>
      </c>
      <c r="BN180" s="64">
        <f>IFERROR(Y180*I180/H180,"0")</f>
        <v>1.45</v>
      </c>
      <c r="BO180" s="64">
        <f>IFERROR(1/J180*(X180/H180),"0")</f>
        <v>3.6743092298647849E-3</v>
      </c>
      <c r="BP180" s="64">
        <f>IFERROR(1/J180*(Y180/H180),"0")</f>
        <v>4.6296296296296294E-3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0.79365079365079361</v>
      </c>
      <c r="Y181" s="543">
        <f>IFERROR(Y180/H180,"0")</f>
        <v>1</v>
      </c>
      <c r="Z181" s="543">
        <f>IFERROR(IF(Z180="",0,Z180),"0")</f>
        <v>5.8999999999999999E-3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1</v>
      </c>
      <c r="Y182" s="543">
        <f>IFERROR(SUM(Y180:Y180),"0")</f>
        <v>1.26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760</v>
      </c>
      <c r="Y195" s="542">
        <f t="shared" ref="Y195:Y202" si="10">IFERROR(IF(X195="",0,CEILING((X195/$H195),1)*$H195),"")</f>
        <v>761.40000000000009</v>
      </c>
      <c r="Z195" s="36">
        <f>IFERROR(IF(Y195=0,"",ROUNDUP(Y195/H195,0)*0.00902),"")</f>
        <v>1.27182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786.74074074074065</v>
      </c>
      <c r="BN195" s="64">
        <f t="shared" ref="BN195:BN202" si="12">IFERROR(Y195*I195/H195,"0")</f>
        <v>788.19</v>
      </c>
      <c r="BO195" s="64">
        <f t="shared" ref="BO195:BO202" si="13">IFERROR(1/J195*(X195/H195),"0")</f>
        <v>1.0662177328843996</v>
      </c>
      <c r="BP195" s="64">
        <f t="shared" ref="BP195:BP202" si="14">IFERROR(1/J195*(Y195/H195),"0")</f>
        <v>1.0681818181818181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280</v>
      </c>
      <c r="Y196" s="542">
        <f t="shared" si="10"/>
        <v>280.8</v>
      </c>
      <c r="Z196" s="36">
        <f>IFERROR(IF(Y196=0,"",ROUNDUP(Y196/H196,0)*0.00902),"")</f>
        <v>0.46904000000000001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289.85185185185185</v>
      </c>
      <c r="BN196" s="64">
        <f t="shared" si="12"/>
        <v>290.68</v>
      </c>
      <c r="BO196" s="64">
        <f t="shared" si="13"/>
        <v>0.39281705948372614</v>
      </c>
      <c r="BP196" s="64">
        <f t="shared" si="14"/>
        <v>0.39393939393939392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136</v>
      </c>
      <c r="Y198" s="542">
        <f t="shared" si="10"/>
        <v>140.4</v>
      </c>
      <c r="Z198" s="36">
        <f>IFERROR(IF(Y198=0,"",ROUNDUP(Y198/H198,0)*0.00902),"")</f>
        <v>0.23452000000000001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140.78518518518518</v>
      </c>
      <c r="BN198" s="64">
        <f t="shared" si="12"/>
        <v>145.34</v>
      </c>
      <c r="BO198" s="64">
        <f t="shared" si="13"/>
        <v>0.19079685746352412</v>
      </c>
      <c r="BP198" s="64">
        <f t="shared" si="14"/>
        <v>0.19696969696969696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28</v>
      </c>
      <c r="Y199" s="542">
        <f t="shared" si="10"/>
        <v>28.8</v>
      </c>
      <c r="Z199" s="36">
        <f>IFERROR(IF(Y199=0,"",ROUNDUP(Y199/H199,0)*0.00502),"")</f>
        <v>8.0320000000000003E-2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30.022222222222222</v>
      </c>
      <c r="BN199" s="64">
        <f t="shared" si="12"/>
        <v>30.879999999999995</v>
      </c>
      <c r="BO199" s="64">
        <f t="shared" si="13"/>
        <v>6.6476733143399816E-2</v>
      </c>
      <c r="BP199" s="64">
        <f t="shared" si="14"/>
        <v>6.8376068376068383E-2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23</v>
      </c>
      <c r="Y200" s="542">
        <f t="shared" si="10"/>
        <v>23.400000000000002</v>
      </c>
      <c r="Z200" s="36">
        <f>IFERROR(IF(Y200=0,"",ROUNDUP(Y200/H200,0)*0.00502),"")</f>
        <v>6.5259999999999999E-2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24.277777777777775</v>
      </c>
      <c r="BN200" s="64">
        <f t="shared" si="12"/>
        <v>24.7</v>
      </c>
      <c r="BO200" s="64">
        <f t="shared" si="13"/>
        <v>5.4605887939221276E-2</v>
      </c>
      <c r="BP200" s="64">
        <f t="shared" si="14"/>
        <v>5.5555555555555559E-2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17</v>
      </c>
      <c r="Y202" s="542">
        <f t="shared" si="10"/>
        <v>18</v>
      </c>
      <c r="Z202" s="36">
        <f>IFERROR(IF(Y202=0,"",ROUNDUP(Y202/H202,0)*0.00502),"")</f>
        <v>5.0200000000000002E-2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17.944444444444443</v>
      </c>
      <c r="BN202" s="64">
        <f t="shared" si="12"/>
        <v>18.999999999999996</v>
      </c>
      <c r="BO202" s="64">
        <f t="shared" si="13"/>
        <v>4.0360873694207031E-2</v>
      </c>
      <c r="BP202" s="64">
        <f t="shared" si="14"/>
        <v>4.2735042735042736E-2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255.55555555555554</v>
      </c>
      <c r="Y203" s="543">
        <f>IFERROR(Y195/H195,"0")+IFERROR(Y196/H196,"0")+IFERROR(Y197/H197,"0")+IFERROR(Y198/H198,"0")+IFERROR(Y199/H199,"0")+IFERROR(Y200/H200,"0")+IFERROR(Y201/H201,"0")+IFERROR(Y202/H202,"0")</f>
        <v>258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2.17116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1244</v>
      </c>
      <c r="Y204" s="543">
        <f>IFERROR(SUM(Y195:Y202),"0")</f>
        <v>1252.8000000000002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6</v>
      </c>
      <c r="Y207" s="542">
        <f t="shared" si="15"/>
        <v>8.1</v>
      </c>
      <c r="Z207" s="36">
        <f>IFERROR(IF(Y207=0,"",ROUNDUP(Y207/H207,0)*0.01898),"")</f>
        <v>1.898E-2</v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6.3525925925925932</v>
      </c>
      <c r="BN207" s="64">
        <f t="shared" si="17"/>
        <v>8.5760000000000005</v>
      </c>
      <c r="BO207" s="64">
        <f t="shared" si="18"/>
        <v>1.1574074074074075E-2</v>
      </c>
      <c r="BP207" s="64">
        <f t="shared" si="19"/>
        <v>1.5625E-2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511</v>
      </c>
      <c r="Y208" s="542">
        <f t="shared" si="15"/>
        <v>513.29999999999995</v>
      </c>
      <c r="Z208" s="36">
        <f>IFERROR(IF(Y208=0,"",ROUNDUP(Y208/H208,0)*0.01898),"")</f>
        <v>1.11982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540.01540229885063</v>
      </c>
      <c r="BN208" s="64">
        <f t="shared" si="17"/>
        <v>542.44600000000003</v>
      </c>
      <c r="BO208" s="64">
        <f t="shared" si="18"/>
        <v>0.91774425287356332</v>
      </c>
      <c r="BP208" s="64">
        <f t="shared" si="19"/>
        <v>0.921875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219</v>
      </c>
      <c r="Y209" s="542">
        <f t="shared" si="15"/>
        <v>220.79999999999998</v>
      </c>
      <c r="Z209" s="36">
        <f t="shared" ref="Z209:Z214" si="20">IFERROR(IF(Y209=0,"",ROUNDUP(Y209/H209,0)*0.00651),"")</f>
        <v>0.59892000000000001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243.63750000000002</v>
      </c>
      <c r="BN209" s="64">
        <f t="shared" si="17"/>
        <v>245.64</v>
      </c>
      <c r="BO209" s="64">
        <f t="shared" si="18"/>
        <v>0.50137362637362637</v>
      </c>
      <c r="BP209" s="64">
        <f t="shared" si="19"/>
        <v>0.50549450549450559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192</v>
      </c>
      <c r="Y211" s="542">
        <f t="shared" si="15"/>
        <v>192</v>
      </c>
      <c r="Z211" s="36">
        <f t="shared" si="20"/>
        <v>0.52080000000000004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212.16000000000003</v>
      </c>
      <c r="BN211" s="64">
        <f t="shared" si="17"/>
        <v>212.16000000000003</v>
      </c>
      <c r="BO211" s="64">
        <f t="shared" si="18"/>
        <v>0.43956043956043961</v>
      </c>
      <c r="BP211" s="64">
        <f t="shared" si="19"/>
        <v>0.43956043956043961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301</v>
      </c>
      <c r="Y212" s="542">
        <f t="shared" si="15"/>
        <v>302.39999999999998</v>
      </c>
      <c r="Z212" s="36">
        <f t="shared" si="20"/>
        <v>0.82025999999999999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332.60500000000002</v>
      </c>
      <c r="BN212" s="64">
        <f t="shared" si="17"/>
        <v>334.15199999999999</v>
      </c>
      <c r="BO212" s="64">
        <f t="shared" si="18"/>
        <v>0.68910256410256421</v>
      </c>
      <c r="BP212" s="64">
        <f t="shared" si="19"/>
        <v>0.6923076923076924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25</v>
      </c>
      <c r="Y213" s="542">
        <f t="shared" si="15"/>
        <v>26.4</v>
      </c>
      <c r="Z213" s="36">
        <f t="shared" si="20"/>
        <v>7.1610000000000007E-2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27.625</v>
      </c>
      <c r="BN213" s="64">
        <f t="shared" si="17"/>
        <v>29.172000000000001</v>
      </c>
      <c r="BO213" s="64">
        <f t="shared" si="18"/>
        <v>5.7234432234432246E-2</v>
      </c>
      <c r="BP213" s="64">
        <f t="shared" si="19"/>
        <v>6.0439560439560447E-2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142</v>
      </c>
      <c r="Y214" s="542">
        <f t="shared" si="15"/>
        <v>144</v>
      </c>
      <c r="Z214" s="36">
        <f t="shared" si="20"/>
        <v>0.3906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157.26499999999999</v>
      </c>
      <c r="BN214" s="64">
        <f t="shared" si="17"/>
        <v>159.48000000000002</v>
      </c>
      <c r="BO214" s="64">
        <f t="shared" si="18"/>
        <v>0.32509157509157516</v>
      </c>
      <c r="BP214" s="64">
        <f t="shared" si="19"/>
        <v>0.32967032967032972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425.72637292464884</v>
      </c>
      <c r="Y215" s="543">
        <f>IFERROR(Y206/H206,"0")+IFERROR(Y207/H207,"0")+IFERROR(Y208/H208,"0")+IFERROR(Y209/H209,"0")+IFERROR(Y210/H210,"0")+IFERROR(Y211/H211,"0")+IFERROR(Y212/H212,"0")+IFERROR(Y213/H213,"0")+IFERROR(Y214/H214,"0")</f>
        <v>429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3.5409900000000003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1396</v>
      </c>
      <c r="Y216" s="543">
        <f>IFERROR(SUM(Y206:Y214),"0")</f>
        <v>1407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15</v>
      </c>
      <c r="Y218" s="542">
        <f>IFERROR(IF(X218="",0,CEILING((X218/$H218),1)*$H218),"")</f>
        <v>16.8</v>
      </c>
      <c r="Z218" s="36">
        <f>IFERROR(IF(Y218=0,"",ROUNDUP(Y218/H218,0)*0.00651),"")</f>
        <v>4.5569999999999999E-2</v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16.575000000000003</v>
      </c>
      <c r="BN218" s="64">
        <f>IFERROR(Y218*I218/H218,"0")</f>
        <v>18.564000000000004</v>
      </c>
      <c r="BO218" s="64">
        <f>IFERROR(1/J218*(X218/H218),"0")</f>
        <v>3.4340659340659344E-2</v>
      </c>
      <c r="BP218" s="64">
        <f>IFERROR(1/J218*(Y218/H218),"0")</f>
        <v>3.8461538461538471E-2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6.25</v>
      </c>
      <c r="Y220" s="543">
        <f>IFERROR(Y218/H218,"0")+IFERROR(Y219/H219,"0")</f>
        <v>7.0000000000000009</v>
      </c>
      <c r="Z220" s="543">
        <f>IFERROR(IF(Z218="",0,Z218),"0")+IFERROR(IF(Z219="",0,Z219),"0")</f>
        <v>4.5569999999999999E-2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15</v>
      </c>
      <c r="Y221" s="543">
        <f>IFERROR(SUM(Y218:Y219),"0")</f>
        <v>16.8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1</v>
      </c>
      <c r="Y247" s="542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1.1111111111111112</v>
      </c>
      <c r="Y250" s="543">
        <f>IFERROR(Y245/H245,"0")+IFERROR(Y246/H246,"0")+IFERROR(Y247/H247,"0")+IFERROR(Y248/H248,"0")+IFERROR(Y249/H249,"0")</f>
        <v>2</v>
      </c>
      <c r="Z250" s="543">
        <f>IFERROR(IF(Z245="",0,Z245),"0")+IFERROR(IF(Z246="",0,Z246),"0")+IFERROR(IF(Z247="",0,Z247),"0")+IFERROR(IF(Z248="",0,Z248),"0")+IFERROR(IF(Z249="",0,Z249),"0")</f>
        <v>1.18E-2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1</v>
      </c>
      <c r="Y251" s="543">
        <f>IFERROR(SUM(Y245:Y249),"0")</f>
        <v>1.8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58</v>
      </c>
      <c r="Y273" s="542">
        <f>IFERROR(IF(X273="",0,CEILING((X273/$H273),1)*$H273),"")</f>
        <v>60</v>
      </c>
      <c r="Z273" s="36">
        <f>IFERROR(IF(Y273=0,"",ROUNDUP(Y273/H273,0)*0.00651),"")</f>
        <v>0.16275000000000001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62.350000000000009</v>
      </c>
      <c r="BN273" s="64">
        <f>IFERROR(Y273*I273/H273,"0")</f>
        <v>64.500000000000014</v>
      </c>
      <c r="BO273" s="64">
        <f>IFERROR(1/J273*(X273/H273),"0")</f>
        <v>0.13278388278388281</v>
      </c>
      <c r="BP273" s="64">
        <f>IFERROR(1/J273*(Y273/H273),"0")</f>
        <v>0.13736263736263737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24.166666666666668</v>
      </c>
      <c r="Y274" s="543">
        <f>IFERROR(Y271/H271,"0")+IFERROR(Y272/H272,"0")+IFERROR(Y273/H273,"0")</f>
        <v>25</v>
      </c>
      <c r="Z274" s="543">
        <f>IFERROR(IF(Z271="",0,Z271),"0")+IFERROR(IF(Z272="",0,Z272),"0")+IFERROR(IF(Z273="",0,Z273),"0")</f>
        <v>0.16275000000000001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58</v>
      </c>
      <c r="Y275" s="543">
        <f>IFERROR(SUM(Y271:Y273),"0")</f>
        <v>60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147</v>
      </c>
      <c r="Y315" s="542">
        <f>IFERROR(IF(X315="",0,CEILING((X315/$H315),1)*$H315),"")</f>
        <v>148.19999999999999</v>
      </c>
      <c r="Z315" s="36">
        <f>IFERROR(IF(Y315=0,"",ROUNDUP(Y315/H315,0)*0.01898),"")</f>
        <v>0.36062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156.31</v>
      </c>
      <c r="BN315" s="64">
        <f>IFERROR(Y315*I315/H315,"0")</f>
        <v>157.58599999999998</v>
      </c>
      <c r="BO315" s="64">
        <f>IFERROR(1/J315*(X315/H315),"0")</f>
        <v>0.29447115384615385</v>
      </c>
      <c r="BP315" s="64">
        <f>IFERROR(1/J315*(Y315/H315),"0")</f>
        <v>0.296875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18.846153846153847</v>
      </c>
      <c r="Y317" s="543">
        <f>IFERROR(Y314/H314,"0")+IFERROR(Y315/H315,"0")+IFERROR(Y316/H316,"0")</f>
        <v>19</v>
      </c>
      <c r="Z317" s="543">
        <f>IFERROR(IF(Z314="",0,Z314),"0")+IFERROR(IF(Z315="",0,Z315),"0")+IFERROR(IF(Z316="",0,Z316),"0")</f>
        <v>0.36062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147</v>
      </c>
      <c r="Y318" s="543">
        <f>IFERROR(SUM(Y314:Y316),"0")</f>
        <v>148.19999999999999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2</v>
      </c>
      <c r="Y322" s="542">
        <f>IFERROR(IF(X322="",0,CEILING((X322/$H322),1)*$H322),"")</f>
        <v>2.5499999999999998</v>
      </c>
      <c r="Z322" s="36">
        <f>IFERROR(IF(Y322=0,"",ROUNDUP(Y322/H322,0)*0.00651),"")</f>
        <v>6.5100000000000002E-3</v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2.3176470588235296</v>
      </c>
      <c r="BN322" s="64">
        <f>IFERROR(Y322*I322/H322,"0")</f>
        <v>2.9550000000000001</v>
      </c>
      <c r="BO322" s="64">
        <f>IFERROR(1/J322*(X322/H322),"0")</f>
        <v>4.3094160741219576E-3</v>
      </c>
      <c r="BP322" s="64">
        <f>IFERROR(1/J322*(Y322/H322),"0")</f>
        <v>5.4945054945054949E-3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0.78431372549019618</v>
      </c>
      <c r="Y324" s="543">
        <f>IFERROR(Y320/H320,"0")+IFERROR(Y321/H321,"0")+IFERROR(Y322/H322,"0")+IFERROR(Y323/H323,"0")</f>
        <v>1</v>
      </c>
      <c r="Z324" s="543">
        <f>IFERROR(IF(Z320="",0,Z320),"0")+IFERROR(IF(Z321="",0,Z321),"0")+IFERROR(IF(Z322="",0,Z322),"0")+IFERROR(IF(Z323="",0,Z323),"0")</f>
        <v>6.5100000000000002E-3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2</v>
      </c>
      <c r="Y325" s="543">
        <f>IFERROR(SUM(Y320:Y323),"0")</f>
        <v>2.5499999999999998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13</v>
      </c>
      <c r="Y327" s="542">
        <f>IFERROR(IF(X327="",0,CEILING((X327/$H327),1)*$H327),"")</f>
        <v>14</v>
      </c>
      <c r="Z327" s="36">
        <f>IFERROR(IF(Y327=0,"",ROUNDUP(Y327/H327,0)*0.00474),"")</f>
        <v>3.3180000000000001E-2</v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14.560000000000002</v>
      </c>
      <c r="BN327" s="64">
        <f>IFERROR(Y327*I327/H327,"0")</f>
        <v>15.680000000000001</v>
      </c>
      <c r="BO327" s="64">
        <f>IFERROR(1/J327*(X327/H327),"0")</f>
        <v>2.7310924369747899E-2</v>
      </c>
      <c r="BP327" s="64">
        <f>IFERROR(1/J327*(Y327/H327),"0")</f>
        <v>2.9411764705882353E-2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14</v>
      </c>
      <c r="Y328" s="542">
        <f>IFERROR(IF(X328="",0,CEILING((X328/$H328),1)*$H328),"")</f>
        <v>14</v>
      </c>
      <c r="Z328" s="36">
        <f>IFERROR(IF(Y328=0,"",ROUNDUP(Y328/H328,0)*0.00474),"")</f>
        <v>3.3180000000000001E-2</v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15.680000000000001</v>
      </c>
      <c r="BN328" s="64">
        <f>IFERROR(Y328*I328/H328,"0")</f>
        <v>15.680000000000001</v>
      </c>
      <c r="BO328" s="64">
        <f>IFERROR(1/J328*(X328/H328),"0")</f>
        <v>2.9411764705882353E-2</v>
      </c>
      <c r="BP328" s="64">
        <f>IFERROR(1/J328*(Y328/H328),"0")</f>
        <v>2.9411764705882353E-2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10</v>
      </c>
      <c r="Y329" s="542">
        <f>IFERROR(IF(X329="",0,CEILING((X329/$H329),1)*$H329),"")</f>
        <v>10</v>
      </c>
      <c r="Z329" s="36">
        <f>IFERROR(IF(Y329=0,"",ROUNDUP(Y329/H329,0)*0.00474),"")</f>
        <v>2.3700000000000002E-2</v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11.200000000000001</v>
      </c>
      <c r="BN329" s="64">
        <f>IFERROR(Y329*I329/H329,"0")</f>
        <v>11.200000000000001</v>
      </c>
      <c r="BO329" s="64">
        <f>IFERROR(1/J329*(X329/H329),"0")</f>
        <v>2.1008403361344536E-2</v>
      </c>
      <c r="BP329" s="64">
        <f>IFERROR(1/J329*(Y329/H329),"0")</f>
        <v>2.1008403361344536E-2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18.5</v>
      </c>
      <c r="Y330" s="543">
        <f>IFERROR(Y327/H327,"0")+IFERROR(Y328/H328,"0")+IFERROR(Y329/H329,"0")</f>
        <v>19</v>
      </c>
      <c r="Z330" s="543">
        <f>IFERROR(IF(Z327="",0,Z327),"0")+IFERROR(IF(Z328="",0,Z328),"0")+IFERROR(IF(Z329="",0,Z329),"0")</f>
        <v>9.0060000000000001E-2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37</v>
      </c>
      <c r="Y331" s="543">
        <f>IFERROR(SUM(Y327:Y329),"0")</f>
        <v>38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0</v>
      </c>
      <c r="Y342" s="542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974</v>
      </c>
      <c r="Y344" s="542">
        <f t="shared" si="31"/>
        <v>975</v>
      </c>
      <c r="Z344" s="36">
        <f>IFERROR(IF(Y344=0,"",ROUNDUP(Y344/H344,0)*0.02175),"")</f>
        <v>1.4137499999999998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1004.5186666666667</v>
      </c>
      <c r="BN344" s="64">
        <f t="shared" si="33"/>
        <v>1005.55</v>
      </c>
      <c r="BO344" s="64">
        <f t="shared" si="34"/>
        <v>1.3527777777777779</v>
      </c>
      <c r="BP344" s="64">
        <f t="shared" si="35"/>
        <v>1.3541666666666665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64.933333333333337</v>
      </c>
      <c r="Y349" s="543">
        <f>IFERROR(Y342/H342,"0")+IFERROR(Y343/H343,"0")+IFERROR(Y344/H344,"0")+IFERROR(Y345/H345,"0")+IFERROR(Y346/H346,"0")+IFERROR(Y347/H347,"0")+IFERROR(Y348/H348,"0")</f>
        <v>65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1.4137499999999998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974</v>
      </c>
      <c r="Y350" s="543">
        <f>IFERROR(SUM(Y342:Y348),"0")</f>
        <v>975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977</v>
      </c>
      <c r="Y352" s="542">
        <f>IFERROR(IF(X352="",0,CEILING((X352/$H352),1)*$H352),"")</f>
        <v>990</v>
      </c>
      <c r="Z352" s="36">
        <f>IFERROR(IF(Y352=0,"",ROUNDUP(Y352/H352,0)*0.02175),"")</f>
        <v>1.4355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1007.6126666666667</v>
      </c>
      <c r="BN352" s="64">
        <f>IFERROR(Y352*I352/H352,"0")</f>
        <v>1021.0200000000001</v>
      </c>
      <c r="BO352" s="64">
        <f>IFERROR(1/J352*(X352/H352),"0")</f>
        <v>1.3569444444444445</v>
      </c>
      <c r="BP352" s="64">
        <f>IFERROR(1/J352*(Y352/H352),"0")</f>
        <v>1.375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65.13333333333334</v>
      </c>
      <c r="Y354" s="543">
        <f>IFERROR(Y352/H352,"0")+IFERROR(Y353/H353,"0")</f>
        <v>66</v>
      </c>
      <c r="Z354" s="543">
        <f>IFERROR(IF(Z352="",0,Z352),"0")+IFERROR(IF(Z353="",0,Z353),"0")</f>
        <v>1.4355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977</v>
      </c>
      <c r="Y355" s="543">
        <f>IFERROR(SUM(Y352:Y353),"0")</f>
        <v>990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1123</v>
      </c>
      <c r="Y377" s="542">
        <f>IFERROR(IF(X377="",0,CEILING((X377/$H377),1)*$H377),"")</f>
        <v>1125</v>
      </c>
      <c r="Z377" s="36">
        <f>IFERROR(IF(Y377=0,"",ROUNDUP(Y377/H377,0)*0.01898),"")</f>
        <v>2.3725000000000001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1184.6402222222223</v>
      </c>
      <c r="BN377" s="64">
        <f>IFERROR(Y377*I377/H377,"0")</f>
        <v>1186.75</v>
      </c>
      <c r="BO377" s="64">
        <f>IFERROR(1/J377*(X377/H377),"0")</f>
        <v>1.9496527777777777</v>
      </c>
      <c r="BP377" s="64">
        <f>IFERROR(1/J377*(Y377/H377),"0")</f>
        <v>1.953125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124.77777777777777</v>
      </c>
      <c r="Y380" s="543">
        <f>IFERROR(Y377/H377,"0")+IFERROR(Y378/H378,"0")+IFERROR(Y379/H379,"0")</f>
        <v>125</v>
      </c>
      <c r="Z380" s="543">
        <f>IFERROR(IF(Z377="",0,Z377),"0")+IFERROR(IF(Z378="",0,Z378),"0")+IFERROR(IF(Z379="",0,Z379),"0")</f>
        <v>2.3725000000000001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1123</v>
      </c>
      <c r="Y381" s="543">
        <f>IFERROR(SUM(Y377:Y379),"0")</f>
        <v>1125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103</v>
      </c>
      <c r="Y442" s="542">
        <f t="shared" si="48"/>
        <v>105.60000000000001</v>
      </c>
      <c r="Z442" s="36">
        <f>IFERROR(IF(Y442=0,"",ROUNDUP(Y442/H442,0)*0.01196),"")</f>
        <v>0.2392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109.8276515151515</v>
      </c>
      <c r="BN442" s="64">
        <f t="shared" si="50"/>
        <v>112.6</v>
      </c>
      <c r="BO442" s="64">
        <f t="shared" si="51"/>
        <v>0.18757284382284384</v>
      </c>
      <c r="BP442" s="64">
        <f t="shared" si="52"/>
        <v>0.19230769230769232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19.507575757575758</v>
      </c>
      <c r="Y447" s="543">
        <f>IFERROR(Y441/H441,"0")+IFERROR(Y442/H442,"0")+IFERROR(Y443/H443,"0")+IFERROR(Y444/H444,"0")+IFERROR(Y445/H445,"0")+IFERROR(Y446/H446,"0")</f>
        <v>20</v>
      </c>
      <c r="Z447" s="543">
        <f>IFERROR(IF(Z441="",0,Z441),"0")+IFERROR(IF(Z442="",0,Z442),"0")+IFERROR(IF(Z443="",0,Z443),"0")+IFERROR(IF(Z444="",0,Z444),"0")+IFERROR(IF(Z445="",0,Z445),"0")+IFERROR(IF(Z446="",0,Z446),"0")</f>
        <v>0.2392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103</v>
      </c>
      <c r="Y448" s="543">
        <f>IFERROR(SUM(Y441:Y446),"0")</f>
        <v>105.60000000000001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7106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7197.7100000000009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7480.6605683941943</v>
      </c>
      <c r="Y490" s="543">
        <f>IFERROR(SUM(BN22:BN486),"0")</f>
        <v>7577.2810000000009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12</v>
      </c>
      <c r="Y491" s="38">
        <f>ROUNDUP(SUM(BP22:BP486),0)</f>
        <v>13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7780.6605683941943</v>
      </c>
      <c r="Y492" s="543">
        <f>GrossWeightTotalR+PalletQtyTotalR*25</f>
        <v>7902.2810000000009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1227.6767076661599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1246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13.990990000000002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432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126.60000000000001</v>
      </c>
      <c r="E499" s="46">
        <f>IFERROR(Y85*1,"0")+IFERROR(Y86*1,"0")+IFERROR(Y87*1,"0")+IFERROR(Y91*1,"0")+IFERROR(Y92*1,"0")+IFERROR(Y93*1,"0")+IFERROR(Y94*1,"0")</f>
        <v>171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234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111.36000000000001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2676.6000000000004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1.8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60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188.75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1965</v>
      </c>
      <c r="T499" s="46">
        <f>IFERROR(Y367*1,"0")+IFERROR(Y368*1,"0")+IFERROR(Y372*1,"0")+IFERROR(Y373*1,"0")+IFERROR(Y377*1,"0")+IFERROR(Y378*1,"0")+IFERROR(Y379*1,"0")</f>
        <v>1125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105.60000000000001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KsyrZkJsBYn0v0p57SqHd6TtPtMCBscTCBjX3zRZfC0O5DsnhAHZpxfhkhRYQmfjLqUM7baNZPnqVuFh6TgdEA==" saltValue="8KWS2d12fJEDSrDhzUBq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7 X421 X423:X424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ai57I0qyl3NU9xU6W9fvpzPqiYM3RzYA9l/zekjC704yffVkUfJ431EvWCl8S1TE2Fn8CpRYIjNZoV3KJ6O/1w==" saltValue="uz1nQfykUEKLwYQ5X/8O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2025-12-03T07:52:21Z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