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"/>
    </mc:Choice>
  </mc:AlternateContent>
  <xr:revisionPtr revIDLastSave="0" documentId="13_ncr:1_{BEC92711-B313-4441-A052-794FCD2B1F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8" i="1" l="1"/>
  <c r="AL8" i="1" s="1"/>
  <c r="W13" i="1"/>
  <c r="AL13" i="1" s="1"/>
  <c r="W14" i="1"/>
  <c r="AL14" i="1" s="1"/>
  <c r="W15" i="1"/>
  <c r="AL15" i="1" s="1"/>
  <c r="W17" i="1"/>
  <c r="AL17" i="1" s="1"/>
  <c r="W18" i="1"/>
  <c r="AL18" i="1" s="1"/>
  <c r="W19" i="1"/>
  <c r="AL19" i="1" s="1"/>
  <c r="W20" i="1"/>
  <c r="AL20" i="1" s="1"/>
  <c r="W21" i="1"/>
  <c r="W22" i="1"/>
  <c r="AL22" i="1" s="1"/>
  <c r="W24" i="1"/>
  <c r="AL24" i="1" s="1"/>
  <c r="W25" i="1"/>
  <c r="AL25" i="1" s="1"/>
  <c r="W26" i="1"/>
  <c r="AL26" i="1" s="1"/>
  <c r="W27" i="1"/>
  <c r="AL27" i="1" s="1"/>
  <c r="W29" i="1"/>
  <c r="AL29" i="1" s="1"/>
  <c r="W30" i="1"/>
  <c r="AL30" i="1" s="1"/>
  <c r="W31" i="1"/>
  <c r="AL31" i="1" s="1"/>
  <c r="W32" i="1"/>
  <c r="AL32" i="1" s="1"/>
  <c r="W33" i="1"/>
  <c r="AL33" i="1" s="1"/>
  <c r="W35" i="1"/>
  <c r="AL35" i="1" s="1"/>
  <c r="W37" i="1"/>
  <c r="AL37" i="1" s="1"/>
  <c r="W41" i="1"/>
  <c r="AL41" i="1" s="1"/>
  <c r="W42" i="1"/>
  <c r="AL42" i="1" s="1"/>
  <c r="W45" i="1"/>
  <c r="AL45" i="1" s="1"/>
  <c r="W47" i="1"/>
  <c r="AL47" i="1" s="1"/>
  <c r="W48" i="1"/>
  <c r="AL48" i="1" s="1"/>
  <c r="W49" i="1"/>
  <c r="AL49" i="1" s="1"/>
  <c r="W51" i="1"/>
  <c r="AL51" i="1" s="1"/>
  <c r="W58" i="1"/>
  <c r="AL58" i="1" s="1"/>
  <c r="W59" i="1"/>
  <c r="AL59" i="1" s="1"/>
  <c r="W66" i="1"/>
  <c r="AL66" i="1" s="1"/>
  <c r="W67" i="1"/>
  <c r="AL67" i="1" s="1"/>
  <c r="W68" i="1"/>
  <c r="AL68" i="1" s="1"/>
  <c r="W69" i="1"/>
  <c r="AL69" i="1" s="1"/>
  <c r="W70" i="1"/>
  <c r="W71" i="1"/>
  <c r="AL71" i="1" s="1"/>
  <c r="W73" i="1"/>
  <c r="AL73" i="1" s="1"/>
  <c r="W74" i="1"/>
  <c r="AL74" i="1" s="1"/>
  <c r="W75" i="1"/>
  <c r="AL75" i="1" s="1"/>
  <c r="W76" i="1"/>
  <c r="AL76" i="1" s="1"/>
  <c r="W78" i="1"/>
  <c r="AL78" i="1" s="1"/>
  <c r="W79" i="1"/>
  <c r="AL79" i="1" s="1"/>
  <c r="W81" i="1"/>
  <c r="AL81" i="1" s="1"/>
  <c r="W82" i="1"/>
  <c r="AL82" i="1" s="1"/>
  <c r="W84" i="1"/>
  <c r="AL84" i="1" s="1"/>
  <c r="W85" i="1"/>
  <c r="AL85" i="1" s="1"/>
  <c r="W86" i="1"/>
  <c r="AL86" i="1" s="1"/>
  <c r="W87" i="1"/>
  <c r="AL87" i="1" s="1"/>
  <c r="W89" i="1"/>
  <c r="AL89" i="1" s="1"/>
  <c r="W92" i="1"/>
  <c r="AL92" i="1" s="1"/>
  <c r="W94" i="1"/>
  <c r="AL94" i="1" s="1"/>
  <c r="W95" i="1"/>
  <c r="AL95" i="1" s="1"/>
  <c r="W6" i="1"/>
  <c r="AL6" i="1" s="1"/>
  <c r="AL21" i="1"/>
  <c r="AL70" i="1"/>
  <c r="Z5" i="1" l="1"/>
  <c r="M7" i="1"/>
  <c r="T7" i="1" s="1"/>
  <c r="V7" i="1" s="1"/>
  <c r="M8" i="1"/>
  <c r="T8" i="1" s="1"/>
  <c r="AA8" i="1" s="1"/>
  <c r="M9" i="1"/>
  <c r="T9" i="1" s="1"/>
  <c r="M10" i="1"/>
  <c r="T10" i="1" s="1"/>
  <c r="V10" i="1" s="1"/>
  <c r="M11" i="1"/>
  <c r="T11" i="1" s="1"/>
  <c r="V11" i="1" s="1"/>
  <c r="M12" i="1"/>
  <c r="T12" i="1" s="1"/>
  <c r="U12" i="1" s="1"/>
  <c r="W12" i="1" s="1"/>
  <c r="M13" i="1"/>
  <c r="T13" i="1" s="1"/>
  <c r="AA13" i="1" s="1"/>
  <c r="M14" i="1"/>
  <c r="T14" i="1" s="1"/>
  <c r="AA14" i="1" s="1"/>
  <c r="M15" i="1"/>
  <c r="T15" i="1" s="1"/>
  <c r="AA15" i="1" s="1"/>
  <c r="M16" i="1"/>
  <c r="T16" i="1" s="1"/>
  <c r="V16" i="1" s="1"/>
  <c r="M17" i="1"/>
  <c r="T17" i="1" s="1"/>
  <c r="AA17" i="1" s="1"/>
  <c r="M18" i="1"/>
  <c r="T18" i="1" s="1"/>
  <c r="AA18" i="1" s="1"/>
  <c r="M19" i="1"/>
  <c r="T19" i="1" s="1"/>
  <c r="AA19" i="1" s="1"/>
  <c r="M20" i="1"/>
  <c r="T20" i="1" s="1"/>
  <c r="AA20" i="1" s="1"/>
  <c r="M21" i="1"/>
  <c r="T21" i="1" s="1"/>
  <c r="AA21" i="1" s="1"/>
  <c r="M22" i="1"/>
  <c r="T22" i="1" s="1"/>
  <c r="AA22" i="1" s="1"/>
  <c r="M23" i="1"/>
  <c r="T23" i="1" s="1"/>
  <c r="M24" i="1"/>
  <c r="T24" i="1" s="1"/>
  <c r="AA24" i="1" s="1"/>
  <c r="M25" i="1"/>
  <c r="T25" i="1" s="1"/>
  <c r="AA25" i="1" s="1"/>
  <c r="M26" i="1"/>
  <c r="T26" i="1" s="1"/>
  <c r="AA26" i="1" s="1"/>
  <c r="M27" i="1"/>
  <c r="T27" i="1" s="1"/>
  <c r="AA27" i="1" s="1"/>
  <c r="M28" i="1"/>
  <c r="T28" i="1" s="1"/>
  <c r="M29" i="1"/>
  <c r="T29" i="1" s="1"/>
  <c r="AA29" i="1" s="1"/>
  <c r="M30" i="1"/>
  <c r="T30" i="1" s="1"/>
  <c r="AA30" i="1" s="1"/>
  <c r="M31" i="1"/>
  <c r="T31" i="1" s="1"/>
  <c r="AA31" i="1" s="1"/>
  <c r="M32" i="1"/>
  <c r="T32" i="1" s="1"/>
  <c r="AA32" i="1" s="1"/>
  <c r="M33" i="1"/>
  <c r="T33" i="1" s="1"/>
  <c r="AA33" i="1" s="1"/>
  <c r="M34" i="1"/>
  <c r="T34" i="1" s="1"/>
  <c r="V34" i="1" s="1"/>
  <c r="M35" i="1"/>
  <c r="T35" i="1" s="1"/>
  <c r="AA35" i="1" s="1"/>
  <c r="M36" i="1"/>
  <c r="T36" i="1" s="1"/>
  <c r="V36" i="1" s="1"/>
  <c r="M37" i="1"/>
  <c r="T37" i="1" s="1"/>
  <c r="AA37" i="1" s="1"/>
  <c r="M38" i="1"/>
  <c r="T38" i="1" s="1"/>
  <c r="V38" i="1" s="1"/>
  <c r="M39" i="1"/>
  <c r="T39" i="1" s="1"/>
  <c r="M40" i="1"/>
  <c r="T40" i="1" s="1"/>
  <c r="M41" i="1"/>
  <c r="T41" i="1" s="1"/>
  <c r="AA41" i="1" s="1"/>
  <c r="M42" i="1"/>
  <c r="T42" i="1" s="1"/>
  <c r="AA42" i="1" s="1"/>
  <c r="M43" i="1"/>
  <c r="T43" i="1" s="1"/>
  <c r="V43" i="1" s="1"/>
  <c r="M44" i="1"/>
  <c r="T44" i="1" s="1"/>
  <c r="U44" i="1" s="1"/>
  <c r="W44" i="1" s="1"/>
  <c r="M45" i="1"/>
  <c r="T45" i="1" s="1"/>
  <c r="AA45" i="1" s="1"/>
  <c r="M46" i="1"/>
  <c r="T46" i="1" s="1"/>
  <c r="M47" i="1"/>
  <c r="T47" i="1" s="1"/>
  <c r="AA47" i="1" s="1"/>
  <c r="M48" i="1"/>
  <c r="T48" i="1" s="1"/>
  <c r="AA48" i="1" s="1"/>
  <c r="M49" i="1"/>
  <c r="T49" i="1" s="1"/>
  <c r="AA49" i="1" s="1"/>
  <c r="M50" i="1"/>
  <c r="T50" i="1" s="1"/>
  <c r="M51" i="1"/>
  <c r="T51" i="1" s="1"/>
  <c r="AA51" i="1" s="1"/>
  <c r="M52" i="1"/>
  <c r="T52" i="1" s="1"/>
  <c r="U52" i="1" s="1"/>
  <c r="W52" i="1" s="1"/>
  <c r="M53" i="1"/>
  <c r="T53" i="1" s="1"/>
  <c r="M54" i="1"/>
  <c r="T54" i="1" s="1"/>
  <c r="M55" i="1"/>
  <c r="T55" i="1" s="1"/>
  <c r="V55" i="1" s="1"/>
  <c r="M56" i="1"/>
  <c r="T56" i="1" s="1"/>
  <c r="U56" i="1" s="1"/>
  <c r="W56" i="1" s="1"/>
  <c r="M57" i="1"/>
  <c r="T57" i="1" s="1"/>
  <c r="M58" i="1"/>
  <c r="T58" i="1" s="1"/>
  <c r="AA58" i="1" s="1"/>
  <c r="M59" i="1"/>
  <c r="T59" i="1" s="1"/>
  <c r="AA59" i="1" s="1"/>
  <c r="M60" i="1"/>
  <c r="T60" i="1" s="1"/>
  <c r="U60" i="1" s="1"/>
  <c r="W60" i="1" s="1"/>
  <c r="M61" i="1"/>
  <c r="T61" i="1" s="1"/>
  <c r="M62" i="1"/>
  <c r="T62" i="1" s="1"/>
  <c r="M63" i="1"/>
  <c r="T63" i="1" s="1"/>
  <c r="M64" i="1"/>
  <c r="T64" i="1" s="1"/>
  <c r="M65" i="1"/>
  <c r="T65" i="1" s="1"/>
  <c r="M66" i="1"/>
  <c r="T66" i="1" s="1"/>
  <c r="AA66" i="1" s="1"/>
  <c r="M67" i="1"/>
  <c r="T67" i="1" s="1"/>
  <c r="AA67" i="1" s="1"/>
  <c r="M68" i="1"/>
  <c r="T68" i="1" s="1"/>
  <c r="AA68" i="1" s="1"/>
  <c r="M69" i="1"/>
  <c r="T69" i="1" s="1"/>
  <c r="AA69" i="1" s="1"/>
  <c r="M70" i="1"/>
  <c r="T70" i="1" s="1"/>
  <c r="AA70" i="1" s="1"/>
  <c r="M71" i="1"/>
  <c r="T71" i="1" s="1"/>
  <c r="AA71" i="1" s="1"/>
  <c r="M72" i="1"/>
  <c r="T72" i="1" s="1"/>
  <c r="U72" i="1" s="1"/>
  <c r="W72" i="1" s="1"/>
  <c r="M73" i="1"/>
  <c r="T73" i="1" s="1"/>
  <c r="AA73" i="1" s="1"/>
  <c r="M74" i="1"/>
  <c r="T74" i="1" s="1"/>
  <c r="AA74" i="1" s="1"/>
  <c r="M75" i="1"/>
  <c r="T75" i="1" s="1"/>
  <c r="AA75" i="1" s="1"/>
  <c r="M76" i="1"/>
  <c r="T76" i="1" s="1"/>
  <c r="AA76" i="1" s="1"/>
  <c r="M77" i="1"/>
  <c r="T77" i="1" s="1"/>
  <c r="V77" i="1" s="1"/>
  <c r="M78" i="1"/>
  <c r="T78" i="1" s="1"/>
  <c r="AA78" i="1" s="1"/>
  <c r="M79" i="1"/>
  <c r="T79" i="1" s="1"/>
  <c r="AA79" i="1" s="1"/>
  <c r="M80" i="1"/>
  <c r="T80" i="1" s="1"/>
  <c r="U80" i="1" s="1"/>
  <c r="W80" i="1" s="1"/>
  <c r="M81" i="1"/>
  <c r="T81" i="1" s="1"/>
  <c r="AA81" i="1" s="1"/>
  <c r="M82" i="1"/>
  <c r="T82" i="1" s="1"/>
  <c r="AA82" i="1" s="1"/>
  <c r="M83" i="1"/>
  <c r="T83" i="1" s="1"/>
  <c r="U83" i="1" s="1"/>
  <c r="W83" i="1" s="1"/>
  <c r="M84" i="1"/>
  <c r="T84" i="1" s="1"/>
  <c r="AA84" i="1" s="1"/>
  <c r="M85" i="1"/>
  <c r="T85" i="1" s="1"/>
  <c r="AA85" i="1" s="1"/>
  <c r="M86" i="1"/>
  <c r="T86" i="1" s="1"/>
  <c r="AA86" i="1" s="1"/>
  <c r="M87" i="1"/>
  <c r="T87" i="1" s="1"/>
  <c r="AA87" i="1" s="1"/>
  <c r="M88" i="1"/>
  <c r="T88" i="1" s="1"/>
  <c r="M89" i="1"/>
  <c r="T89" i="1" s="1"/>
  <c r="AA89" i="1" s="1"/>
  <c r="M90" i="1"/>
  <c r="T90" i="1" s="1"/>
  <c r="M91" i="1"/>
  <c r="T91" i="1" s="1"/>
  <c r="M92" i="1"/>
  <c r="T92" i="1" s="1"/>
  <c r="AA92" i="1" s="1"/>
  <c r="M93" i="1"/>
  <c r="T93" i="1" s="1"/>
  <c r="U93" i="1" s="1"/>
  <c r="W93" i="1" s="1"/>
  <c r="M94" i="1"/>
  <c r="T94" i="1" s="1"/>
  <c r="AA94" i="1" s="1"/>
  <c r="M95" i="1"/>
  <c r="T95" i="1" s="1"/>
  <c r="AA95" i="1" s="1"/>
  <c r="M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X5" i="1"/>
  <c r="S5" i="1"/>
  <c r="R5" i="1"/>
  <c r="Q5" i="1"/>
  <c r="P5" i="1"/>
  <c r="O5" i="1"/>
  <c r="N5" i="1"/>
  <c r="K5" i="1"/>
  <c r="F5" i="1"/>
  <c r="E5" i="1"/>
  <c r="U91" i="1" l="1"/>
  <c r="V91" i="1"/>
  <c r="U65" i="1"/>
  <c r="V65" i="1"/>
  <c r="U63" i="1"/>
  <c r="V63" i="1"/>
  <c r="U61" i="1"/>
  <c r="V61" i="1"/>
  <c r="U57" i="1"/>
  <c r="V57" i="1"/>
  <c r="U53" i="1"/>
  <c r="V53" i="1"/>
  <c r="U39" i="1"/>
  <c r="V39" i="1"/>
  <c r="U90" i="1"/>
  <c r="V90" i="1"/>
  <c r="U88" i="1"/>
  <c r="V88" i="1"/>
  <c r="U64" i="1"/>
  <c r="V64" i="1"/>
  <c r="U62" i="1"/>
  <c r="V62" i="1"/>
  <c r="U54" i="1"/>
  <c r="V54" i="1"/>
  <c r="U50" i="1"/>
  <c r="V50" i="1"/>
  <c r="V46" i="1"/>
  <c r="W46" i="1" s="1"/>
  <c r="AL46" i="1" s="1"/>
  <c r="U40" i="1"/>
  <c r="V40" i="1"/>
  <c r="U28" i="1"/>
  <c r="V28" i="1"/>
  <c r="U77" i="1"/>
  <c r="W55" i="1"/>
  <c r="AL55" i="1" s="1"/>
  <c r="W43" i="1"/>
  <c r="AL43" i="1" s="1"/>
  <c r="V23" i="1"/>
  <c r="W23" i="1" s="1"/>
  <c r="AL23" i="1" s="1"/>
  <c r="W11" i="1"/>
  <c r="AL11" i="1" s="1"/>
  <c r="W9" i="1"/>
  <c r="AL9" i="1" s="1"/>
  <c r="U38" i="1"/>
  <c r="W36" i="1"/>
  <c r="AL36" i="1" s="1"/>
  <c r="W34" i="1"/>
  <c r="AL34" i="1" s="1"/>
  <c r="W16" i="1"/>
  <c r="AL16" i="1" s="1"/>
  <c r="W10" i="1"/>
  <c r="AL10" i="1" s="1"/>
  <c r="AL80" i="1"/>
  <c r="AA80" i="1"/>
  <c r="AL72" i="1"/>
  <c r="AA72" i="1"/>
  <c r="AL60" i="1"/>
  <c r="AA60" i="1"/>
  <c r="AL56" i="1"/>
  <c r="AA56" i="1"/>
  <c r="AL52" i="1"/>
  <c r="AA52" i="1"/>
  <c r="AL44" i="1"/>
  <c r="AA44" i="1"/>
  <c r="AL12" i="1"/>
  <c r="AA12" i="1"/>
  <c r="AL93" i="1"/>
  <c r="AA93" i="1"/>
  <c r="AL83" i="1"/>
  <c r="AA83" i="1"/>
  <c r="U7" i="1"/>
  <c r="L5" i="1"/>
  <c r="M5" i="1"/>
  <c r="AB94" i="1"/>
  <c r="AB92" i="1"/>
  <c r="AB90" i="1"/>
  <c r="AB88" i="1"/>
  <c r="AB86" i="1"/>
  <c r="AB84" i="1"/>
  <c r="AB82" i="1"/>
  <c r="AB80" i="1"/>
  <c r="AB78" i="1"/>
  <c r="AB76" i="1"/>
  <c r="AB74" i="1"/>
  <c r="AB72" i="1"/>
  <c r="AB70" i="1"/>
  <c r="AB68" i="1"/>
  <c r="AB66" i="1"/>
  <c r="AB64" i="1"/>
  <c r="AB62" i="1"/>
  <c r="AB60" i="1"/>
  <c r="AB58" i="1"/>
  <c r="AB56" i="1"/>
  <c r="AB54" i="1"/>
  <c r="AB52" i="1"/>
  <c r="AB50" i="1"/>
  <c r="AB48" i="1"/>
  <c r="AB46" i="1"/>
  <c r="AB44" i="1"/>
  <c r="AB42" i="1"/>
  <c r="AB40" i="1"/>
  <c r="AB38" i="1"/>
  <c r="AB36" i="1"/>
  <c r="AB34" i="1"/>
  <c r="AB32" i="1"/>
  <c r="AB30" i="1"/>
  <c r="AB28" i="1"/>
  <c r="AB26" i="1"/>
  <c r="AB24" i="1"/>
  <c r="AB22" i="1"/>
  <c r="AB20" i="1"/>
  <c r="AB18" i="1"/>
  <c r="AB16" i="1"/>
  <c r="AB14" i="1"/>
  <c r="AB12" i="1"/>
  <c r="AB10" i="1"/>
  <c r="AB8" i="1"/>
  <c r="AB95" i="1"/>
  <c r="AB93" i="1"/>
  <c r="AB91" i="1"/>
  <c r="AB89" i="1"/>
  <c r="AB87" i="1"/>
  <c r="AB85" i="1"/>
  <c r="AB83" i="1"/>
  <c r="AB81" i="1"/>
  <c r="AB79" i="1"/>
  <c r="AB77" i="1"/>
  <c r="AB75" i="1"/>
  <c r="AB73" i="1"/>
  <c r="AB71" i="1"/>
  <c r="AB69" i="1"/>
  <c r="AB67" i="1"/>
  <c r="AB65" i="1"/>
  <c r="AB63" i="1"/>
  <c r="AB61" i="1"/>
  <c r="AB59" i="1"/>
  <c r="AB57" i="1"/>
  <c r="AB55" i="1"/>
  <c r="AB53" i="1"/>
  <c r="AB51" i="1"/>
  <c r="AB49" i="1"/>
  <c r="AB47" i="1"/>
  <c r="AB45" i="1"/>
  <c r="AB43" i="1"/>
  <c r="AB41" i="1"/>
  <c r="AB39" i="1"/>
  <c r="AB37" i="1"/>
  <c r="AB35" i="1"/>
  <c r="AB33" i="1"/>
  <c r="AB31" i="1"/>
  <c r="AB29" i="1"/>
  <c r="AB27" i="1"/>
  <c r="AB25" i="1"/>
  <c r="AB23" i="1"/>
  <c r="AB21" i="1"/>
  <c r="AB19" i="1"/>
  <c r="AB17" i="1"/>
  <c r="AB15" i="1"/>
  <c r="AB13" i="1"/>
  <c r="AB11" i="1"/>
  <c r="AB9" i="1"/>
  <c r="AB7" i="1"/>
  <c r="T6" i="1"/>
  <c r="AA6" i="1" s="1"/>
  <c r="W28" i="1" l="1"/>
  <c r="W40" i="1"/>
  <c r="AA46" i="1"/>
  <c r="W50" i="1"/>
  <c r="W54" i="1"/>
  <c r="W62" i="1"/>
  <c r="W64" i="1"/>
  <c r="W88" i="1"/>
  <c r="W90" i="1"/>
  <c r="W39" i="1"/>
  <c r="W53" i="1"/>
  <c r="W57" i="1"/>
  <c r="W61" i="1"/>
  <c r="W63" i="1"/>
  <c r="W65" i="1"/>
  <c r="W91" i="1"/>
  <c r="AA9" i="1"/>
  <c r="AA11" i="1"/>
  <c r="AA23" i="1"/>
  <c r="AA43" i="1"/>
  <c r="AA55" i="1"/>
  <c r="W77" i="1"/>
  <c r="V5" i="1"/>
  <c r="AA10" i="1"/>
  <c r="AA16" i="1"/>
  <c r="AA34" i="1"/>
  <c r="AA36" i="1"/>
  <c r="W38" i="1"/>
  <c r="W7" i="1"/>
  <c r="U5" i="1"/>
  <c r="T5" i="1"/>
  <c r="AB6" i="1"/>
  <c r="AL91" i="1" l="1"/>
  <c r="AA91" i="1"/>
  <c r="AA63" i="1"/>
  <c r="AL63" i="1"/>
  <c r="AL57" i="1"/>
  <c r="AA57" i="1"/>
  <c r="AA39" i="1"/>
  <c r="AL39" i="1"/>
  <c r="AL88" i="1"/>
  <c r="AA88" i="1"/>
  <c r="AL62" i="1"/>
  <c r="AA62" i="1"/>
  <c r="AL50" i="1"/>
  <c r="AA50" i="1"/>
  <c r="AL40" i="1"/>
  <c r="AA40" i="1"/>
  <c r="AL65" i="1"/>
  <c r="AA65" i="1"/>
  <c r="AL61" i="1"/>
  <c r="AA61" i="1"/>
  <c r="AL53" i="1"/>
  <c r="AA53" i="1"/>
  <c r="AL90" i="1"/>
  <c r="AA90" i="1"/>
  <c r="AL64" i="1"/>
  <c r="AA64" i="1"/>
  <c r="AL54" i="1"/>
  <c r="AA54" i="1"/>
  <c r="AL28" i="1"/>
  <c r="AA28" i="1"/>
  <c r="AL77" i="1"/>
  <c r="AA77" i="1"/>
  <c r="AL38" i="1"/>
  <c r="AA38" i="1"/>
  <c r="W5" i="1"/>
  <c r="AL7" i="1"/>
  <c r="AA7" i="1"/>
  <c r="AL5" i="1" l="1"/>
</calcChain>
</file>

<file path=xl/sharedStrings.xml><?xml version="1.0" encoding="utf-8"?>
<sst xmlns="http://schemas.openxmlformats.org/spreadsheetml/2006/main" count="370" uniqueCount="158">
  <si>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</si>
  <si>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</si>
  <si>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</si>
  <si>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</si>
  <si>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</si>
  <si>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</si>
  <si>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</si>
  <si>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</si>
  <si>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</si>
  <si>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</si>
  <si>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</si>
  <si>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</si>
  <si>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</si>
  <si>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</si>
  <si>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</si>
  <si>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</si>
  <si>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</si>
  <si>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</si>
  <si>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</si>
  <si>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</si>
  <si>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</si>
  <si>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</si>
  <si>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</si>
  <si>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</si>
  <si>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</si>
  <si>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Бутырин(29,11)</t>
  </si>
  <si>
    <t>30,11,</t>
  </si>
  <si>
    <t>01,12,</t>
  </si>
  <si>
    <t>03,12,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</si>
  <si>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</si>
  <si>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</si>
  <si>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</si>
  <si>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</si>
  <si>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</si>
  <si>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</si>
  <si>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</si>
  <si>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</si>
  <si>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</si>
  <si>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</si>
  <si>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</si>
  <si>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</si>
  <si>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</si>
  <si>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</si>
  <si>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</si>
  <si>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</si>
  <si>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</si>
  <si>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</si>
  <si>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</si>
  <si>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</si>
  <si>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</si>
  <si>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</si>
  <si>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</si>
  <si>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</si>
  <si>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</si>
  <si>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</si>
  <si>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</si>
  <si>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</si>
  <si>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</si>
  <si>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</si>
  <si>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</si>
  <si>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</si>
  <si>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</si>
  <si>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</si>
  <si>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</si>
  <si>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</si>
  <si>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</si>
  <si>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</si>
  <si>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</si>
  <si>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</si>
  <si>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</si>
  <si>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</si>
  <si>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</si>
  <si>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</si>
  <si>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</si>
  <si>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</si>
  <si>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</si>
  <si>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</si>
  <si>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</si>
  <si>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</si>
  <si>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</si>
  <si>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</si>
  <si>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</si>
  <si>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</si>
  <si>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</si>
  <si>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</si>
  <si>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</si>
  <si>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</si>
  <si>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</si>
  <si>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</si>
  <si>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</si>
  <si>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</si>
  <si>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</si>
  <si>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</si>
  <si>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</si>
  <si>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</si>
  <si>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</si>
  <si>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</si>
  <si>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</si>
  <si>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</si>
  <si>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</si>
  <si>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</si>
  <si>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</si>
  <si>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</si>
  <si>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</si>
  <si>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</si>
  <si>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</si>
  <si>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</si>
  <si>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продажи!!! / новинка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</si>
  <si>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</si>
  <si>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</si>
  <si>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</si>
  <si>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</si>
  <si>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</si>
  <si>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</si>
  <si>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</si>
  <si>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</si>
  <si>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</si>
  <si>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</si>
  <si>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</si>
  <si>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</si>
  <si>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</si>
  <si>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</si>
  <si>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</si>
  <si>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</si>
  <si>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</si>
  <si>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</si>
  <si>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</si>
  <si>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</si>
  <si>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</si>
  <si>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</si>
  <si>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</si>
  <si>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</si>
  <si>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</si>
  <si>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</si>
  <si>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</si>
  <si>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</si>
  <si>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</si>
  <si>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</si>
  <si>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</si>
  <si>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</si>
  <si>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</si>
  <si>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</si>
  <si>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</si>
  <si>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</si>
  <si>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</si>
  <si>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</si>
  <si>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</si>
  <si>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</si>
  <si>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</si>
  <si>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</si>
  <si>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</si>
  <si>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</si>
  <si>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нет в бланке</t>
    </r>
  </si>
  <si>
    <t>нужно увеличить продажи / ТМА ноябрь_декабрь</t>
  </si>
  <si>
    <t>нужно увеличить продажи</t>
  </si>
  <si>
    <t>до машины</t>
  </si>
  <si>
    <t>заказ</t>
  </si>
  <si>
    <t>06,12,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</si>
</sst>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1" sqref="AL1"/>
    </sheetView>
  </sheetViews>
  <sheetFormatPr defaultRowHeight="15" x14ac:dyDescent="0.25"/>
  <cols>
    <col min="1" max="1" width="55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" customWidth="1"/>
    <col min="10" max="10" width="1" customWidth="1"/>
    <col min="11" max="24" width="7" customWidth="1"/>
    <col min="25" max="25" width="14.140625" customWidth="1"/>
    <col min="26" max="26" width="7" customWidth="1"/>
    <col min="27" max="28" width="5" customWidth="1"/>
    <col min="29" max="36" width="6" customWidth="1"/>
    <col min="37" max="37" width="22.5703125" customWidth="1"/>
    <col min="38" max="38" width="7" customWidth="1"/>
    <col min="39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2">
        <v>1</v>
      </c>
      <c r="W1" s="1">
        <v>16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155</v>
      </c>
      <c r="W3" s="3" t="s">
        <v>156</v>
      </c>
      <c r="X3" s="7" t="s">
        <v>17</v>
      </c>
      <c r="Y3" s="7" t="s">
        <v>18</v>
      </c>
      <c r="Z3" s="10" t="s">
        <v>151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22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/>
      <c r="V4" s="1"/>
      <c r="W4" s="1" t="s">
        <v>157</v>
      </c>
      <c r="X4" s="1"/>
      <c r="Y4" s="1"/>
      <c r="Z4" s="1"/>
      <c r="AA4" s="1"/>
      <c r="AB4" s="1"/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35539.072999999997</v>
      </c>
      <c r="F5" s="4">
        <f>SUM(F6:F500)</f>
        <v>41393.775999999998</v>
      </c>
      <c r="G5" s="8"/>
      <c r="H5" s="1"/>
      <c r="I5" s="1"/>
      <c r="J5" s="1"/>
      <c r="K5" s="4">
        <f t="shared" ref="K5:Z5" si="0">SUM(K6:K500)</f>
        <v>42746.391000000003</v>
      </c>
      <c r="L5" s="4">
        <f t="shared" si="0"/>
        <v>-7207.3179999999993</v>
      </c>
      <c r="M5" s="4">
        <f t="shared" si="0"/>
        <v>28761.314999999995</v>
      </c>
      <c r="N5" s="4">
        <f t="shared" si="0"/>
        <v>6777.7580000000016</v>
      </c>
      <c r="O5" s="4">
        <f t="shared" si="0"/>
        <v>3935.2343999999994</v>
      </c>
      <c r="P5" s="4">
        <f t="shared" si="0"/>
        <v>2283</v>
      </c>
      <c r="Q5" s="4">
        <f t="shared" si="0"/>
        <v>14540.211540000002</v>
      </c>
      <c r="R5" s="4">
        <f t="shared" si="0"/>
        <v>10370</v>
      </c>
      <c r="S5" s="4">
        <f t="shared" si="0"/>
        <v>7035.4349999999986</v>
      </c>
      <c r="T5" s="4">
        <f t="shared" si="0"/>
        <v>5752.2629999999999</v>
      </c>
      <c r="U5" s="4">
        <f t="shared" si="0"/>
        <v>3915.9110199999973</v>
      </c>
      <c r="V5" s="4">
        <f t="shared" si="0"/>
        <v>5603.0410000000002</v>
      </c>
      <c r="W5" s="4">
        <f t="shared" si="0"/>
        <v>9518.952019999997</v>
      </c>
      <c r="X5" s="4">
        <f t="shared" si="0"/>
        <v>0</v>
      </c>
      <c r="Y5" s="1"/>
      <c r="Z5" s="4">
        <f t="shared" si="0"/>
        <v>0</v>
      </c>
      <c r="AA5" s="1"/>
      <c r="AB5" s="1"/>
      <c r="AC5" s="4">
        <f t="shared" ref="AC5:AJ5" si="1">SUM(AC6:AC500)</f>
        <v>6866.8038000000015</v>
      </c>
      <c r="AD5" s="4">
        <f t="shared" si="1"/>
        <v>6386.0083999999988</v>
      </c>
      <c r="AE5" s="4">
        <f t="shared" si="1"/>
        <v>6783.7095999999992</v>
      </c>
      <c r="AF5" s="4">
        <f t="shared" si="1"/>
        <v>7266.0890000000036</v>
      </c>
      <c r="AG5" s="4">
        <f t="shared" si="1"/>
        <v>6579.2743999999984</v>
      </c>
      <c r="AH5" s="4">
        <f t="shared" si="1"/>
        <v>6916.362799999999</v>
      </c>
      <c r="AI5" s="4">
        <f t="shared" si="1"/>
        <v>6589.4025999999976</v>
      </c>
      <c r="AJ5" s="4">
        <f t="shared" si="1"/>
        <v>6230.5201999999999</v>
      </c>
      <c r="AK5" s="1"/>
      <c r="AL5" s="4">
        <f>SUM(AL6:AL500)</f>
        <v>7110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2" t="s">
        <v>38</v>
      </c>
      <c r="B6" s="12" t="s">
        <v>39</v>
      </c>
      <c r="C6" s="12">
        <v>2.72</v>
      </c>
      <c r="D6" s="12"/>
      <c r="E6" s="12"/>
      <c r="F6" s="12"/>
      <c r="G6" s="13">
        <v>0</v>
      </c>
      <c r="H6" s="12" t="e">
        <v>#N/A</v>
      </c>
      <c r="I6" s="12" t="s">
        <v>40</v>
      </c>
      <c r="J6" s="12"/>
      <c r="K6" s="12"/>
      <c r="L6" s="12">
        <f t="shared" ref="L6:L37" si="2">E6-K6</f>
        <v>0</v>
      </c>
      <c r="M6" s="12">
        <f>E6-N6</f>
        <v>0</v>
      </c>
      <c r="N6" s="12"/>
      <c r="O6" s="12"/>
      <c r="P6" s="12">
        <v>0</v>
      </c>
      <c r="Q6" s="12">
        <v>0</v>
      </c>
      <c r="R6" s="12"/>
      <c r="S6" s="12"/>
      <c r="T6" s="12">
        <f>M6/5</f>
        <v>0</v>
      </c>
      <c r="U6" s="14"/>
      <c r="V6" s="14"/>
      <c r="W6" s="5">
        <f>V6+U6</f>
        <v>0</v>
      </c>
      <c r="X6" s="14"/>
      <c r="Y6" s="12"/>
      <c r="Z6" s="12"/>
      <c r="AA6" s="1" t="e">
        <f>(F6+O6+Q6+R6+S6+W6)/T6</f>
        <v>#DIV/0!</v>
      </c>
      <c r="AB6" s="12" t="e">
        <f>(F6+O6+Q6+R6+S6)/T6</f>
        <v>#DIV/0!</v>
      </c>
      <c r="AC6" s="12">
        <v>0</v>
      </c>
      <c r="AD6" s="12">
        <v>0</v>
      </c>
      <c r="AE6" s="12">
        <v>0</v>
      </c>
      <c r="AF6" s="12">
        <v>0</v>
      </c>
      <c r="AG6" s="12">
        <v>0.26800000000000002</v>
      </c>
      <c r="AH6" s="12">
        <v>0.26800000000000002</v>
      </c>
      <c r="AI6" s="12">
        <v>0</v>
      </c>
      <c r="AJ6" s="12">
        <v>0</v>
      </c>
      <c r="AK6" s="12"/>
      <c r="AL6" s="1">
        <f>ROUND(G6*W6,0)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41</v>
      </c>
      <c r="B7" s="1" t="s">
        <v>39</v>
      </c>
      <c r="C7" s="1">
        <v>26.463000000000001</v>
      </c>
      <c r="D7" s="1">
        <v>699.721</v>
      </c>
      <c r="E7" s="1">
        <v>365.50700000000001</v>
      </c>
      <c r="F7" s="1">
        <v>50.610999999999997</v>
      </c>
      <c r="G7" s="8">
        <v>1</v>
      </c>
      <c r="H7" s="1">
        <v>50</v>
      </c>
      <c r="I7" s="1" t="s">
        <v>42</v>
      </c>
      <c r="J7" s="1"/>
      <c r="K7" s="1">
        <v>522.24300000000005</v>
      </c>
      <c r="L7" s="1">
        <f t="shared" si="2"/>
        <v>-156.73600000000005</v>
      </c>
      <c r="M7" s="1">
        <f t="shared" ref="M7:M70" si="3">E7-N7</f>
        <v>246.66399999999999</v>
      </c>
      <c r="N7" s="1">
        <v>118.843</v>
      </c>
      <c r="O7" s="1">
        <v>62.192639999999983</v>
      </c>
      <c r="P7" s="1">
        <v>0</v>
      </c>
      <c r="Q7" s="1">
        <v>0</v>
      </c>
      <c r="R7" s="1"/>
      <c r="S7" s="1"/>
      <c r="T7" s="1">
        <f t="shared" ref="T7:T70" si="4">M7/5</f>
        <v>49.332799999999999</v>
      </c>
      <c r="U7" s="5">
        <f>9*T7-S7-R7-Q7-O7-F7</f>
        <v>331.19156000000004</v>
      </c>
      <c r="V7" s="5">
        <f>2*$V$1*T7</f>
        <v>98.665599999999998</v>
      </c>
      <c r="W7" s="5">
        <f>V7+U7</f>
        <v>429.85716000000002</v>
      </c>
      <c r="X7" s="5"/>
      <c r="Y7" s="1"/>
      <c r="Z7" s="1"/>
      <c r="AA7" s="1">
        <f>(F7+O7+Q7+R7+S7+W7)/T7</f>
        <v>11</v>
      </c>
      <c r="AB7" s="1">
        <f t="shared" ref="AB7:AB70" si="5">(F7+O7+Q7+R7+S7)/T7</f>
        <v>2.2865849901080009</v>
      </c>
      <c r="AC7" s="1">
        <v>31.3186</v>
      </c>
      <c r="AD7" s="1">
        <v>41.005799999999986</v>
      </c>
      <c r="AE7" s="1">
        <v>51.827199999999991</v>
      </c>
      <c r="AF7" s="1">
        <v>36.511000000000003</v>
      </c>
      <c r="AG7" s="1">
        <v>40.831000000000003</v>
      </c>
      <c r="AH7" s="1">
        <v>68.038399999999996</v>
      </c>
      <c r="AI7" s="1">
        <v>62.137599999999999</v>
      </c>
      <c r="AJ7" s="1">
        <v>52.611200000000011</v>
      </c>
      <c r="AK7" s="1"/>
      <c r="AL7" s="1">
        <f>ROUND(G7*W7,0)</f>
        <v>430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43</v>
      </c>
      <c r="B8" s="1" t="s">
        <v>39</v>
      </c>
      <c r="C8" s="1">
        <v>190.28</v>
      </c>
      <c r="D8" s="1">
        <v>475.94400000000002</v>
      </c>
      <c r="E8" s="1">
        <v>239.149</v>
      </c>
      <c r="F8" s="1">
        <v>196.99799999999999</v>
      </c>
      <c r="G8" s="8">
        <v>1</v>
      </c>
      <c r="H8" s="1">
        <v>45</v>
      </c>
      <c r="I8" s="1" t="s">
        <v>42</v>
      </c>
      <c r="J8" s="1"/>
      <c r="K8" s="1">
        <v>362.36399999999998</v>
      </c>
      <c r="L8" s="1">
        <f t="shared" si="2"/>
        <v>-123.21499999999997</v>
      </c>
      <c r="M8" s="1">
        <f t="shared" si="3"/>
        <v>113.773</v>
      </c>
      <c r="N8" s="1">
        <v>125.376</v>
      </c>
      <c r="O8" s="1"/>
      <c r="P8" s="1">
        <v>126</v>
      </c>
      <c r="Q8" s="1">
        <v>80.785999999999973</v>
      </c>
      <c r="R8" s="1"/>
      <c r="S8" s="1"/>
      <c r="T8" s="1">
        <f t="shared" si="4"/>
        <v>22.7546</v>
      </c>
      <c r="U8" s="5"/>
      <c r="V8" s="5"/>
      <c r="W8" s="5">
        <f t="shared" ref="W8:W71" si="6">V8+U8</f>
        <v>0</v>
      </c>
      <c r="X8" s="5"/>
      <c r="Y8" s="1"/>
      <c r="Z8" s="1"/>
      <c r="AA8" s="1">
        <f t="shared" ref="AA8:AA71" si="7">(F8+O8+Q8+R8+S8+W8)/T8</f>
        <v>12.207817320453886</v>
      </c>
      <c r="AB8" s="1">
        <f t="shared" si="5"/>
        <v>12.207817320453886</v>
      </c>
      <c r="AC8" s="1">
        <v>28.552800000000001</v>
      </c>
      <c r="AD8" s="1">
        <v>28.0106</v>
      </c>
      <c r="AE8" s="1">
        <v>30.247199999999999</v>
      </c>
      <c r="AF8" s="1">
        <v>30.461200000000002</v>
      </c>
      <c r="AG8" s="1">
        <v>35.405799999999999</v>
      </c>
      <c r="AH8" s="1">
        <v>27.854800000000001</v>
      </c>
      <c r="AI8" s="1">
        <v>29.2608</v>
      </c>
      <c r="AJ8" s="1">
        <v>33.061999999999998</v>
      </c>
      <c r="AK8" s="1"/>
      <c r="AL8" s="1">
        <f t="shared" ref="AL8:AL71" si="8">ROUND(G8*W8,0)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44</v>
      </c>
      <c r="B9" s="1" t="s">
        <v>39</v>
      </c>
      <c r="C9" s="1">
        <v>739.35199999999998</v>
      </c>
      <c r="D9" s="1">
        <v>1433.8240000000001</v>
      </c>
      <c r="E9" s="1">
        <v>837.26199999999994</v>
      </c>
      <c r="F9" s="1">
        <v>371.06900000000002</v>
      </c>
      <c r="G9" s="8">
        <v>1</v>
      </c>
      <c r="H9" s="1">
        <v>45</v>
      </c>
      <c r="I9" s="1" t="s">
        <v>42</v>
      </c>
      <c r="J9" s="1"/>
      <c r="K9" s="1">
        <v>1304.8589999999999</v>
      </c>
      <c r="L9" s="1">
        <f t="shared" si="2"/>
        <v>-467.59699999999998</v>
      </c>
      <c r="M9" s="1">
        <f t="shared" si="3"/>
        <v>415.59499999999997</v>
      </c>
      <c r="N9" s="1">
        <v>421.66699999999997</v>
      </c>
      <c r="O9" s="1">
        <v>149.89248000000001</v>
      </c>
      <c r="P9" s="1">
        <v>124</v>
      </c>
      <c r="Q9" s="1">
        <v>533.91698000000008</v>
      </c>
      <c r="R9" s="1"/>
      <c r="S9" s="1">
        <v>188.65473</v>
      </c>
      <c r="T9" s="1">
        <f t="shared" si="4"/>
        <v>83.119</v>
      </c>
      <c r="U9" s="5"/>
      <c r="V9" s="5"/>
      <c r="W9" s="5">
        <f t="shared" si="6"/>
        <v>0</v>
      </c>
      <c r="X9" s="5"/>
      <c r="Y9" s="1"/>
      <c r="Z9" s="1"/>
      <c r="AA9" s="1">
        <f t="shared" si="7"/>
        <v>14.960877657334667</v>
      </c>
      <c r="AB9" s="1">
        <f t="shared" si="5"/>
        <v>14.960877657334667</v>
      </c>
      <c r="AC9" s="1">
        <v>114.33620000000001</v>
      </c>
      <c r="AD9" s="1">
        <v>107.63379999999999</v>
      </c>
      <c r="AE9" s="1">
        <v>124.9104</v>
      </c>
      <c r="AF9" s="1">
        <v>127.4502</v>
      </c>
      <c r="AG9" s="1">
        <v>106.184</v>
      </c>
      <c r="AH9" s="1">
        <v>88.690399999999997</v>
      </c>
      <c r="AI9" s="1">
        <v>92.993200000000002</v>
      </c>
      <c r="AJ9" s="1">
        <v>90.106599999999986</v>
      </c>
      <c r="AK9" s="1"/>
      <c r="AL9" s="1">
        <f t="shared" si="8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45</v>
      </c>
      <c r="B10" s="1" t="s">
        <v>46</v>
      </c>
      <c r="C10" s="1">
        <v>513</v>
      </c>
      <c r="D10" s="1">
        <v>1703</v>
      </c>
      <c r="E10" s="1">
        <v>881</v>
      </c>
      <c r="F10" s="1">
        <v>751</v>
      </c>
      <c r="G10" s="8">
        <v>0.45</v>
      </c>
      <c r="H10" s="1">
        <v>45</v>
      </c>
      <c r="I10" s="1" t="s">
        <v>42</v>
      </c>
      <c r="J10" s="1"/>
      <c r="K10" s="1">
        <v>950</v>
      </c>
      <c r="L10" s="1">
        <f t="shared" si="2"/>
        <v>-69</v>
      </c>
      <c r="M10" s="1">
        <f t="shared" si="3"/>
        <v>821</v>
      </c>
      <c r="N10" s="1">
        <v>60</v>
      </c>
      <c r="O10" s="1">
        <v>169.2</v>
      </c>
      <c r="P10" s="1">
        <v>0</v>
      </c>
      <c r="Q10" s="1">
        <v>499.63999999999947</v>
      </c>
      <c r="R10" s="1">
        <v>500</v>
      </c>
      <c r="S10" s="1">
        <v>284.79000000000002</v>
      </c>
      <c r="T10" s="1">
        <f t="shared" si="4"/>
        <v>164.2</v>
      </c>
      <c r="U10" s="5"/>
      <c r="V10" s="5">
        <f>2*$V$1*T10</f>
        <v>328.4</v>
      </c>
      <c r="W10" s="5">
        <f t="shared" si="6"/>
        <v>328.4</v>
      </c>
      <c r="X10" s="5"/>
      <c r="Y10" s="1"/>
      <c r="Z10" s="1"/>
      <c r="AA10" s="1">
        <f t="shared" si="7"/>
        <v>15.426492082825822</v>
      </c>
      <c r="AB10" s="1">
        <f t="shared" si="5"/>
        <v>13.426492082825821</v>
      </c>
      <c r="AC10" s="1">
        <v>172.6</v>
      </c>
      <c r="AD10" s="1">
        <v>146.6</v>
      </c>
      <c r="AE10" s="1">
        <v>141</v>
      </c>
      <c r="AF10" s="1">
        <v>133.80000000000001</v>
      </c>
      <c r="AG10" s="1">
        <v>135.4</v>
      </c>
      <c r="AH10" s="1">
        <v>130</v>
      </c>
      <c r="AI10" s="1">
        <v>121.2</v>
      </c>
      <c r="AJ10" s="1">
        <v>96.2</v>
      </c>
      <c r="AK10" s="1" t="s">
        <v>47</v>
      </c>
      <c r="AL10" s="1">
        <f t="shared" si="8"/>
        <v>148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48</v>
      </c>
      <c r="B11" s="1" t="s">
        <v>46</v>
      </c>
      <c r="C11" s="1">
        <v>2697</v>
      </c>
      <c r="D11" s="1">
        <v>2603</v>
      </c>
      <c r="E11" s="1">
        <v>1406</v>
      </c>
      <c r="F11" s="1">
        <v>1839</v>
      </c>
      <c r="G11" s="8">
        <v>0.45</v>
      </c>
      <c r="H11" s="1">
        <v>45</v>
      </c>
      <c r="I11" s="1" t="s">
        <v>42</v>
      </c>
      <c r="J11" s="1"/>
      <c r="K11" s="1">
        <v>1617</v>
      </c>
      <c r="L11" s="1">
        <f t="shared" si="2"/>
        <v>-211</v>
      </c>
      <c r="M11" s="1">
        <f t="shared" si="3"/>
        <v>1202</v>
      </c>
      <c r="N11" s="1">
        <v>204</v>
      </c>
      <c r="O11" s="1"/>
      <c r="P11" s="1">
        <v>0</v>
      </c>
      <c r="Q11" s="1">
        <v>587.91999999999962</v>
      </c>
      <c r="R11" s="1">
        <v>500</v>
      </c>
      <c r="S11" s="1">
        <v>449.45999999999992</v>
      </c>
      <c r="T11" s="1">
        <f t="shared" si="4"/>
        <v>240.4</v>
      </c>
      <c r="U11" s="5"/>
      <c r="V11" s="5">
        <f>$V$1*T11</f>
        <v>240.4</v>
      </c>
      <c r="W11" s="5">
        <f t="shared" si="6"/>
        <v>240.4</v>
      </c>
      <c r="X11" s="5"/>
      <c r="Y11" s="1"/>
      <c r="Z11" s="1"/>
      <c r="AA11" s="1">
        <f t="shared" si="7"/>
        <v>15.044841930116471</v>
      </c>
      <c r="AB11" s="1">
        <f t="shared" si="5"/>
        <v>14.044841930116471</v>
      </c>
      <c r="AC11" s="1">
        <v>272.39999999999998</v>
      </c>
      <c r="AD11" s="1">
        <v>258.2</v>
      </c>
      <c r="AE11" s="1">
        <v>335.8</v>
      </c>
      <c r="AF11" s="1">
        <v>416.4</v>
      </c>
      <c r="AG11" s="1">
        <v>388.6</v>
      </c>
      <c r="AH11" s="1">
        <v>393.6</v>
      </c>
      <c r="AI11" s="1">
        <v>368.6</v>
      </c>
      <c r="AJ11" s="1">
        <v>271.39999999999998</v>
      </c>
      <c r="AK11" s="1" t="s">
        <v>47</v>
      </c>
      <c r="AL11" s="1">
        <f t="shared" si="8"/>
        <v>108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49</v>
      </c>
      <c r="B12" s="1" t="s">
        <v>46</v>
      </c>
      <c r="C12" s="1">
        <v>38</v>
      </c>
      <c r="D12" s="1">
        <v>195</v>
      </c>
      <c r="E12" s="1">
        <v>71</v>
      </c>
      <c r="F12" s="1">
        <v>111</v>
      </c>
      <c r="G12" s="8">
        <v>0.17</v>
      </c>
      <c r="H12" s="1">
        <v>180</v>
      </c>
      <c r="I12" s="1" t="s">
        <v>42</v>
      </c>
      <c r="J12" s="1"/>
      <c r="K12" s="1">
        <v>83</v>
      </c>
      <c r="L12" s="1">
        <f t="shared" si="2"/>
        <v>-12</v>
      </c>
      <c r="M12" s="1">
        <f t="shared" si="3"/>
        <v>66</v>
      </c>
      <c r="N12" s="1">
        <v>5</v>
      </c>
      <c r="O12" s="1"/>
      <c r="P12" s="1">
        <v>0</v>
      </c>
      <c r="Q12" s="1">
        <v>23.599999999999969</v>
      </c>
      <c r="R12" s="1"/>
      <c r="S12" s="1"/>
      <c r="T12" s="1">
        <f t="shared" si="4"/>
        <v>13.2</v>
      </c>
      <c r="U12" s="5">
        <f t="shared" ref="U12" si="9">11*T12-S12-R12-Q12-O12-F12</f>
        <v>10.600000000000023</v>
      </c>
      <c r="V12" s="5"/>
      <c r="W12" s="5">
        <f t="shared" si="6"/>
        <v>10.600000000000023</v>
      </c>
      <c r="X12" s="5"/>
      <c r="Y12" s="1"/>
      <c r="Z12" s="1"/>
      <c r="AA12" s="1">
        <f t="shared" si="7"/>
        <v>11</v>
      </c>
      <c r="AB12" s="1">
        <f t="shared" si="5"/>
        <v>10.196969696969695</v>
      </c>
      <c r="AC12" s="1">
        <v>13.6</v>
      </c>
      <c r="AD12" s="1">
        <v>16</v>
      </c>
      <c r="AE12" s="1">
        <v>14.2</v>
      </c>
      <c r="AF12" s="1">
        <v>11</v>
      </c>
      <c r="AG12" s="1">
        <v>9.6</v>
      </c>
      <c r="AH12" s="1">
        <v>9</v>
      </c>
      <c r="AI12" s="1">
        <v>9.8000000000000007</v>
      </c>
      <c r="AJ12" s="1">
        <v>10.4</v>
      </c>
      <c r="AK12" s="1" t="s">
        <v>47</v>
      </c>
      <c r="AL12" s="1">
        <f t="shared" si="8"/>
        <v>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50</v>
      </c>
      <c r="B13" s="1" t="s">
        <v>46</v>
      </c>
      <c r="C13" s="1">
        <v>24</v>
      </c>
      <c r="D13" s="1">
        <v>58</v>
      </c>
      <c r="E13" s="1">
        <v>10</v>
      </c>
      <c r="F13" s="1">
        <v>49</v>
      </c>
      <c r="G13" s="8">
        <v>0.3</v>
      </c>
      <c r="H13" s="1">
        <v>40</v>
      </c>
      <c r="I13" s="1" t="s">
        <v>42</v>
      </c>
      <c r="J13" s="1"/>
      <c r="K13" s="1">
        <v>11</v>
      </c>
      <c r="L13" s="1">
        <f t="shared" si="2"/>
        <v>-1</v>
      </c>
      <c r="M13" s="1">
        <f t="shared" si="3"/>
        <v>10</v>
      </c>
      <c r="N13" s="1"/>
      <c r="O13" s="1"/>
      <c r="P13" s="1">
        <v>0</v>
      </c>
      <c r="Q13" s="1">
        <v>0</v>
      </c>
      <c r="R13" s="1"/>
      <c r="S13" s="1"/>
      <c r="T13" s="1">
        <f t="shared" si="4"/>
        <v>2</v>
      </c>
      <c r="U13" s="5"/>
      <c r="V13" s="5"/>
      <c r="W13" s="5">
        <f t="shared" si="6"/>
        <v>0</v>
      </c>
      <c r="X13" s="5"/>
      <c r="Y13" s="1"/>
      <c r="Z13" s="1"/>
      <c r="AA13" s="1">
        <f t="shared" si="7"/>
        <v>24.5</v>
      </c>
      <c r="AB13" s="1">
        <f t="shared" si="5"/>
        <v>24.5</v>
      </c>
      <c r="AC13" s="1">
        <v>1.4</v>
      </c>
      <c r="AD13" s="1">
        <v>3</v>
      </c>
      <c r="AE13" s="1">
        <v>4.5999999999999996</v>
      </c>
      <c r="AF13" s="1">
        <v>3.4</v>
      </c>
      <c r="AG13" s="1">
        <v>2.4</v>
      </c>
      <c r="AH13" s="1">
        <v>1.8</v>
      </c>
      <c r="AI13" s="1">
        <v>2.2000000000000002</v>
      </c>
      <c r="AJ13" s="1">
        <v>2</v>
      </c>
      <c r="AK13" s="1"/>
      <c r="AL13" s="1">
        <f t="shared" si="8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51</v>
      </c>
      <c r="B14" s="1" t="s">
        <v>46</v>
      </c>
      <c r="C14" s="1">
        <v>71</v>
      </c>
      <c r="D14" s="1">
        <v>352</v>
      </c>
      <c r="E14" s="1">
        <v>192</v>
      </c>
      <c r="F14" s="1">
        <v>120</v>
      </c>
      <c r="G14" s="8">
        <v>0.17</v>
      </c>
      <c r="H14" s="1">
        <v>180</v>
      </c>
      <c r="I14" s="1" t="s">
        <v>42</v>
      </c>
      <c r="J14" s="1"/>
      <c r="K14" s="1">
        <v>269</v>
      </c>
      <c r="L14" s="1">
        <f t="shared" si="2"/>
        <v>-77</v>
      </c>
      <c r="M14" s="1">
        <f t="shared" si="3"/>
        <v>124</v>
      </c>
      <c r="N14" s="1">
        <v>68</v>
      </c>
      <c r="O14" s="1"/>
      <c r="P14" s="1">
        <v>0</v>
      </c>
      <c r="Q14" s="1">
        <v>209.4</v>
      </c>
      <c r="R14" s="1"/>
      <c r="S14" s="1"/>
      <c r="T14" s="1">
        <f t="shared" si="4"/>
        <v>24.8</v>
      </c>
      <c r="U14" s="5"/>
      <c r="V14" s="5"/>
      <c r="W14" s="5">
        <f t="shared" si="6"/>
        <v>0</v>
      </c>
      <c r="X14" s="5"/>
      <c r="Y14" s="1"/>
      <c r="Z14" s="1"/>
      <c r="AA14" s="1">
        <f t="shared" si="7"/>
        <v>13.282258064516128</v>
      </c>
      <c r="AB14" s="1">
        <f t="shared" si="5"/>
        <v>13.282258064516128</v>
      </c>
      <c r="AC14" s="1">
        <v>33.799999999999997</v>
      </c>
      <c r="AD14" s="1">
        <v>26.2</v>
      </c>
      <c r="AE14" s="1">
        <v>20.8</v>
      </c>
      <c r="AF14" s="1">
        <v>18.600000000000001</v>
      </c>
      <c r="AG14" s="1">
        <v>22.4</v>
      </c>
      <c r="AH14" s="1">
        <v>20.6</v>
      </c>
      <c r="AI14" s="1">
        <v>24.2</v>
      </c>
      <c r="AJ14" s="1">
        <v>19.8</v>
      </c>
      <c r="AK14" s="1"/>
      <c r="AL14" s="1">
        <f t="shared" si="8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52</v>
      </c>
      <c r="B15" s="1" t="s">
        <v>39</v>
      </c>
      <c r="C15" s="1">
        <v>1503.2159999999999</v>
      </c>
      <c r="D15" s="1">
        <v>3801.9609999999998</v>
      </c>
      <c r="E15" s="1">
        <v>1419.3779999999999</v>
      </c>
      <c r="F15" s="1">
        <v>2583.4369999999999</v>
      </c>
      <c r="G15" s="8">
        <v>1</v>
      </c>
      <c r="H15" s="1">
        <v>55</v>
      </c>
      <c r="I15" s="1" t="s">
        <v>42</v>
      </c>
      <c r="J15" s="1"/>
      <c r="K15" s="1">
        <v>1540.2249999999999</v>
      </c>
      <c r="L15" s="1">
        <f t="shared" si="2"/>
        <v>-120.84699999999998</v>
      </c>
      <c r="M15" s="1">
        <f t="shared" si="3"/>
        <v>1224.2809999999999</v>
      </c>
      <c r="N15" s="1">
        <v>195.09700000000001</v>
      </c>
      <c r="O15" s="1">
        <v>364.08096</v>
      </c>
      <c r="P15" s="1">
        <v>160</v>
      </c>
      <c r="Q15" s="1">
        <v>779.06646000000001</v>
      </c>
      <c r="R15" s="1"/>
      <c r="S15" s="1">
        <v>561.93258000000003</v>
      </c>
      <c r="T15" s="1">
        <f t="shared" si="4"/>
        <v>244.8562</v>
      </c>
      <c r="U15" s="5"/>
      <c r="V15" s="5"/>
      <c r="W15" s="5">
        <f t="shared" si="6"/>
        <v>0</v>
      </c>
      <c r="X15" s="5"/>
      <c r="Y15" s="1"/>
      <c r="Z15" s="1"/>
      <c r="AA15" s="1">
        <f t="shared" si="7"/>
        <v>17.514430919045544</v>
      </c>
      <c r="AB15" s="1">
        <f t="shared" si="5"/>
        <v>17.514430919045544</v>
      </c>
      <c r="AC15" s="1">
        <v>340.5652</v>
      </c>
      <c r="AD15" s="1">
        <v>343.31139999999999</v>
      </c>
      <c r="AE15" s="1">
        <v>303.4008</v>
      </c>
      <c r="AF15" s="1">
        <v>324.76</v>
      </c>
      <c r="AG15" s="1">
        <v>289.77679999999998</v>
      </c>
      <c r="AH15" s="1">
        <v>288.3716</v>
      </c>
      <c r="AI15" s="1">
        <v>293.42880000000002</v>
      </c>
      <c r="AJ15" s="1">
        <v>350.74720000000002</v>
      </c>
      <c r="AK15" s="1" t="s">
        <v>53</v>
      </c>
      <c r="AL15" s="1">
        <f t="shared" si="8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54</v>
      </c>
      <c r="B16" s="1" t="s">
        <v>39</v>
      </c>
      <c r="C16" s="1">
        <v>1737.2750000000001</v>
      </c>
      <c r="D16" s="1">
        <v>3684.1179999999999</v>
      </c>
      <c r="E16" s="1">
        <v>2168.5749999999998</v>
      </c>
      <c r="F16" s="1">
        <v>1721.08</v>
      </c>
      <c r="G16" s="8">
        <v>1</v>
      </c>
      <c r="H16" s="1">
        <v>50</v>
      </c>
      <c r="I16" s="1" t="s">
        <v>42</v>
      </c>
      <c r="J16" s="1"/>
      <c r="K16" s="1">
        <v>2399.855</v>
      </c>
      <c r="L16" s="1">
        <f t="shared" si="2"/>
        <v>-231.2800000000002</v>
      </c>
      <c r="M16" s="1">
        <f t="shared" si="3"/>
        <v>1628.2549999999997</v>
      </c>
      <c r="N16" s="1">
        <v>540.32000000000005</v>
      </c>
      <c r="O16" s="1">
        <v>384.71591999999993</v>
      </c>
      <c r="P16" s="1">
        <v>170</v>
      </c>
      <c r="Q16" s="1">
        <v>550.16123999999854</v>
      </c>
      <c r="R16" s="1">
        <v>800</v>
      </c>
      <c r="S16" s="1">
        <v>587.17032000000006</v>
      </c>
      <c r="T16" s="1">
        <f t="shared" si="4"/>
        <v>325.65099999999995</v>
      </c>
      <c r="U16" s="5"/>
      <c r="V16" s="5">
        <f>3*$V$1*T16</f>
        <v>976.95299999999986</v>
      </c>
      <c r="W16" s="5">
        <f t="shared" si="6"/>
        <v>976.95299999999986</v>
      </c>
      <c r="X16" s="5"/>
      <c r="Y16" s="1"/>
      <c r="Z16" s="1"/>
      <c r="AA16" s="1">
        <f t="shared" si="7"/>
        <v>15.415522998547523</v>
      </c>
      <c r="AB16" s="1">
        <f t="shared" si="5"/>
        <v>12.415522998547523</v>
      </c>
      <c r="AC16" s="1">
        <v>355.86079999999998</v>
      </c>
      <c r="AD16" s="1">
        <v>327.43279999999999</v>
      </c>
      <c r="AE16" s="1">
        <v>320.59660000000002</v>
      </c>
      <c r="AF16" s="1">
        <v>356.32499999999999</v>
      </c>
      <c r="AG16" s="1">
        <v>329.22059999999999</v>
      </c>
      <c r="AH16" s="1">
        <v>334.84500000000003</v>
      </c>
      <c r="AI16" s="1">
        <v>307.7106</v>
      </c>
      <c r="AJ16" s="1">
        <v>403.55239999999998</v>
      </c>
      <c r="AK16" s="1" t="s">
        <v>53</v>
      </c>
      <c r="AL16" s="1">
        <f t="shared" si="8"/>
        <v>977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55</v>
      </c>
      <c r="B17" s="1" t="s">
        <v>39</v>
      </c>
      <c r="C17" s="1">
        <v>168.96899999999999</v>
      </c>
      <c r="D17" s="1">
        <v>280.32799999999997</v>
      </c>
      <c r="E17" s="1">
        <v>145.80099999999999</v>
      </c>
      <c r="F17" s="1">
        <v>282.38099999999997</v>
      </c>
      <c r="G17" s="8">
        <v>1</v>
      </c>
      <c r="H17" s="1">
        <v>60</v>
      </c>
      <c r="I17" s="1" t="s">
        <v>42</v>
      </c>
      <c r="J17" s="1"/>
      <c r="K17" s="1">
        <v>146.535</v>
      </c>
      <c r="L17" s="1">
        <f t="shared" si="2"/>
        <v>-0.73400000000000887</v>
      </c>
      <c r="M17" s="1">
        <f t="shared" si="3"/>
        <v>135.21599999999998</v>
      </c>
      <c r="N17" s="1">
        <v>10.585000000000001</v>
      </c>
      <c r="O17" s="1"/>
      <c r="P17" s="1">
        <v>0</v>
      </c>
      <c r="Q17" s="1">
        <v>136.5412</v>
      </c>
      <c r="R17" s="1"/>
      <c r="S17" s="1"/>
      <c r="T17" s="1">
        <f t="shared" si="4"/>
        <v>27.043199999999995</v>
      </c>
      <c r="U17" s="5"/>
      <c r="V17" s="5"/>
      <c r="W17" s="5">
        <f t="shared" si="6"/>
        <v>0</v>
      </c>
      <c r="X17" s="5"/>
      <c r="Y17" s="1"/>
      <c r="Z17" s="1"/>
      <c r="AA17" s="1">
        <f t="shared" si="7"/>
        <v>15.490851674358066</v>
      </c>
      <c r="AB17" s="1">
        <f t="shared" si="5"/>
        <v>15.490851674358066</v>
      </c>
      <c r="AC17" s="1">
        <v>37.480800000000002</v>
      </c>
      <c r="AD17" s="1">
        <v>35.740400000000001</v>
      </c>
      <c r="AE17" s="1">
        <v>24.6844</v>
      </c>
      <c r="AF17" s="1">
        <v>33.172999999999988</v>
      </c>
      <c r="AG17" s="1">
        <v>36.040999999999997</v>
      </c>
      <c r="AH17" s="1">
        <v>29.628399999999999</v>
      </c>
      <c r="AI17" s="1">
        <v>32.635000000000012</v>
      </c>
      <c r="AJ17" s="1">
        <v>27.845800000000001</v>
      </c>
      <c r="AK17" s="1"/>
      <c r="AL17" s="1">
        <f t="shared" si="8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56</v>
      </c>
      <c r="B18" s="1" t="s">
        <v>39</v>
      </c>
      <c r="C18" s="1">
        <v>539.62599999999998</v>
      </c>
      <c r="D18" s="1">
        <v>1430.184</v>
      </c>
      <c r="E18" s="1">
        <v>575.42700000000002</v>
      </c>
      <c r="F18" s="1">
        <v>1090.56</v>
      </c>
      <c r="G18" s="8">
        <v>1</v>
      </c>
      <c r="H18" s="1">
        <v>60</v>
      </c>
      <c r="I18" s="1" t="s">
        <v>42</v>
      </c>
      <c r="J18" s="1"/>
      <c r="K18" s="1">
        <v>681.03599999999994</v>
      </c>
      <c r="L18" s="1">
        <f t="shared" si="2"/>
        <v>-105.60899999999992</v>
      </c>
      <c r="M18" s="1">
        <f t="shared" si="3"/>
        <v>470.90899999999999</v>
      </c>
      <c r="N18" s="1">
        <v>104.518</v>
      </c>
      <c r="O18" s="1"/>
      <c r="P18" s="1">
        <v>120</v>
      </c>
      <c r="Q18" s="1">
        <v>275.23492000000022</v>
      </c>
      <c r="R18" s="1"/>
      <c r="S18" s="1">
        <v>199.46091000000001</v>
      </c>
      <c r="T18" s="1">
        <f t="shared" si="4"/>
        <v>94.181799999999996</v>
      </c>
      <c r="U18" s="5"/>
      <c r="V18" s="5"/>
      <c r="W18" s="5">
        <f t="shared" si="6"/>
        <v>0</v>
      </c>
      <c r="X18" s="5"/>
      <c r="Y18" s="1"/>
      <c r="Z18" s="1"/>
      <c r="AA18" s="1">
        <f t="shared" si="7"/>
        <v>16.619514916894776</v>
      </c>
      <c r="AB18" s="1">
        <f t="shared" si="5"/>
        <v>16.619514916894776</v>
      </c>
      <c r="AC18" s="1">
        <v>120.8854</v>
      </c>
      <c r="AD18" s="1">
        <v>123.5022</v>
      </c>
      <c r="AE18" s="1">
        <v>119.4024</v>
      </c>
      <c r="AF18" s="1">
        <v>147.22900000000001</v>
      </c>
      <c r="AG18" s="1">
        <v>133.0924</v>
      </c>
      <c r="AH18" s="1">
        <v>110.7876</v>
      </c>
      <c r="AI18" s="1">
        <v>121.3826</v>
      </c>
      <c r="AJ18" s="1">
        <v>143.16040000000001</v>
      </c>
      <c r="AK18" s="1"/>
      <c r="AL18" s="1">
        <f t="shared" si="8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5" t="s">
        <v>57</v>
      </c>
      <c r="B19" s="15" t="s">
        <v>39</v>
      </c>
      <c r="C19" s="15"/>
      <c r="D19" s="15"/>
      <c r="E19" s="15"/>
      <c r="F19" s="15"/>
      <c r="G19" s="16">
        <v>0</v>
      </c>
      <c r="H19" s="15">
        <v>60</v>
      </c>
      <c r="I19" s="15" t="s">
        <v>42</v>
      </c>
      <c r="J19" s="15"/>
      <c r="K19" s="15">
        <v>10</v>
      </c>
      <c r="L19" s="15">
        <f t="shared" si="2"/>
        <v>-10</v>
      </c>
      <c r="M19" s="15">
        <f t="shared" si="3"/>
        <v>0</v>
      </c>
      <c r="N19" s="15"/>
      <c r="O19" s="15"/>
      <c r="P19" s="15">
        <v>0</v>
      </c>
      <c r="Q19" s="15">
        <v>0</v>
      </c>
      <c r="R19" s="15"/>
      <c r="S19" s="15"/>
      <c r="T19" s="15">
        <f t="shared" si="4"/>
        <v>0</v>
      </c>
      <c r="U19" s="17"/>
      <c r="V19" s="17"/>
      <c r="W19" s="5">
        <f t="shared" si="6"/>
        <v>0</v>
      </c>
      <c r="X19" s="17"/>
      <c r="Y19" s="15"/>
      <c r="Z19" s="15"/>
      <c r="AA19" s="1" t="e">
        <f t="shared" si="7"/>
        <v>#DIV/0!</v>
      </c>
      <c r="AB19" s="15" t="e">
        <f t="shared" si="5"/>
        <v>#DIV/0!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 t="s">
        <v>58</v>
      </c>
      <c r="AL19" s="1">
        <f t="shared" si="8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59</v>
      </c>
      <c r="B20" s="1" t="s">
        <v>39</v>
      </c>
      <c r="C20" s="1">
        <v>22.991</v>
      </c>
      <c r="D20" s="1"/>
      <c r="E20" s="1">
        <v>2.3820000000000001</v>
      </c>
      <c r="F20" s="1">
        <v>20.6</v>
      </c>
      <c r="G20" s="8">
        <v>1</v>
      </c>
      <c r="H20" s="1">
        <v>180</v>
      </c>
      <c r="I20" s="1" t="s">
        <v>42</v>
      </c>
      <c r="J20" s="1"/>
      <c r="K20" s="1">
        <v>2.15</v>
      </c>
      <c r="L20" s="1">
        <f t="shared" si="2"/>
        <v>0.23200000000000021</v>
      </c>
      <c r="M20" s="1">
        <f t="shared" si="3"/>
        <v>2.3820000000000001</v>
      </c>
      <c r="N20" s="1"/>
      <c r="O20" s="1"/>
      <c r="P20" s="1">
        <v>0</v>
      </c>
      <c r="Q20" s="1">
        <v>0</v>
      </c>
      <c r="R20" s="1"/>
      <c r="S20" s="1"/>
      <c r="T20" s="1">
        <f t="shared" si="4"/>
        <v>0.47640000000000005</v>
      </c>
      <c r="U20" s="5"/>
      <c r="V20" s="5"/>
      <c r="W20" s="5">
        <f t="shared" si="6"/>
        <v>0</v>
      </c>
      <c r="X20" s="5"/>
      <c r="Y20" s="1"/>
      <c r="Z20" s="1"/>
      <c r="AA20" s="1">
        <f t="shared" si="7"/>
        <v>43.240973971452561</v>
      </c>
      <c r="AB20" s="1">
        <f t="shared" si="5"/>
        <v>43.240973971452561</v>
      </c>
      <c r="AC20" s="1">
        <v>0.63159999999999994</v>
      </c>
      <c r="AD20" s="1">
        <v>0.62739999999999996</v>
      </c>
      <c r="AE20" s="1">
        <v>0.72399999999999998</v>
      </c>
      <c r="AF20" s="1">
        <v>0.80120000000000002</v>
      </c>
      <c r="AG20" s="1">
        <v>0.55959999999999999</v>
      </c>
      <c r="AH20" s="1">
        <v>0.40360000000000001</v>
      </c>
      <c r="AI20" s="1">
        <v>0.39419999999999999</v>
      </c>
      <c r="AJ20" s="1">
        <v>0.23319999999999999</v>
      </c>
      <c r="AK20" s="21" t="s">
        <v>60</v>
      </c>
      <c r="AL20" s="1">
        <f t="shared" si="8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61</v>
      </c>
      <c r="B21" s="1" t="s">
        <v>39</v>
      </c>
      <c r="C21" s="1">
        <v>3170.2759999999998</v>
      </c>
      <c r="D21" s="1">
        <v>4774.2259999999997</v>
      </c>
      <c r="E21" s="1">
        <v>2562.2640000000001</v>
      </c>
      <c r="F21" s="1">
        <v>3833.8809999999999</v>
      </c>
      <c r="G21" s="8">
        <v>1</v>
      </c>
      <c r="H21" s="1">
        <v>60</v>
      </c>
      <c r="I21" s="1" t="s">
        <v>42</v>
      </c>
      <c r="J21" s="1"/>
      <c r="K21" s="1">
        <v>3050.58</v>
      </c>
      <c r="L21" s="1">
        <f t="shared" si="2"/>
        <v>-488.3159999999998</v>
      </c>
      <c r="M21" s="1">
        <f t="shared" si="3"/>
        <v>2310.7240000000002</v>
      </c>
      <c r="N21" s="1">
        <v>251.54</v>
      </c>
      <c r="O21" s="1">
        <v>592.36583999999993</v>
      </c>
      <c r="P21" s="1">
        <v>290</v>
      </c>
      <c r="Q21" s="1">
        <v>1011.791379999998</v>
      </c>
      <c r="R21" s="1">
        <v>1400</v>
      </c>
      <c r="S21" s="1">
        <v>987.74081999999999</v>
      </c>
      <c r="T21" s="1">
        <f t="shared" si="4"/>
        <v>462.14480000000003</v>
      </c>
      <c r="U21" s="5"/>
      <c r="V21" s="5"/>
      <c r="W21" s="5">
        <f t="shared" si="6"/>
        <v>0</v>
      </c>
      <c r="X21" s="5"/>
      <c r="Y21" s="1"/>
      <c r="Z21" s="1"/>
      <c r="AA21" s="1">
        <f t="shared" si="7"/>
        <v>16.93360834093556</v>
      </c>
      <c r="AB21" s="1">
        <f t="shared" si="5"/>
        <v>16.93360834093556</v>
      </c>
      <c r="AC21" s="1">
        <v>598.63080000000002</v>
      </c>
      <c r="AD21" s="1">
        <v>533.14740000000006</v>
      </c>
      <c r="AE21" s="1">
        <v>493.63819999999998</v>
      </c>
      <c r="AF21" s="1">
        <v>556.68439999999998</v>
      </c>
      <c r="AG21" s="1">
        <v>507.28480000000002</v>
      </c>
      <c r="AH21" s="1">
        <v>484.88119999999998</v>
      </c>
      <c r="AI21" s="1">
        <v>478.17899999999997</v>
      </c>
      <c r="AJ21" s="1">
        <v>456.48239999999998</v>
      </c>
      <c r="AK21" s="1" t="s">
        <v>53</v>
      </c>
      <c r="AL21" s="1">
        <f t="shared" si="8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62</v>
      </c>
      <c r="B22" s="1" t="s">
        <v>39</v>
      </c>
      <c r="C22" s="1">
        <v>402.923</v>
      </c>
      <c r="D22" s="1">
        <v>1137.5650000000001</v>
      </c>
      <c r="E22" s="1">
        <v>406.74799999999999</v>
      </c>
      <c r="F22" s="1">
        <v>994.93200000000002</v>
      </c>
      <c r="G22" s="8">
        <v>1</v>
      </c>
      <c r="H22" s="1">
        <v>60</v>
      </c>
      <c r="I22" s="1" t="s">
        <v>42</v>
      </c>
      <c r="J22" s="1"/>
      <c r="K22" s="1">
        <v>484.4</v>
      </c>
      <c r="L22" s="1">
        <f t="shared" si="2"/>
        <v>-77.651999999999987</v>
      </c>
      <c r="M22" s="1">
        <f t="shared" si="3"/>
        <v>406.74799999999999</v>
      </c>
      <c r="N22" s="1"/>
      <c r="O22" s="1"/>
      <c r="P22" s="1">
        <v>45</v>
      </c>
      <c r="Q22" s="1">
        <v>307.9633400000003</v>
      </c>
      <c r="R22" s="1"/>
      <c r="S22" s="1">
        <v>177.08591999999999</v>
      </c>
      <c r="T22" s="1">
        <f t="shared" si="4"/>
        <v>81.349599999999995</v>
      </c>
      <c r="U22" s="5"/>
      <c r="V22" s="5"/>
      <c r="W22" s="5">
        <f t="shared" si="6"/>
        <v>0</v>
      </c>
      <c r="X22" s="5"/>
      <c r="Y22" s="1"/>
      <c r="Z22" s="1"/>
      <c r="AA22" s="1">
        <f t="shared" si="7"/>
        <v>18.192852331173114</v>
      </c>
      <c r="AB22" s="1">
        <f t="shared" si="5"/>
        <v>18.192852331173114</v>
      </c>
      <c r="AC22" s="1">
        <v>107.3248</v>
      </c>
      <c r="AD22" s="1">
        <v>103.1934</v>
      </c>
      <c r="AE22" s="1">
        <v>71.532799999999995</v>
      </c>
      <c r="AF22" s="1">
        <v>82.011799999999994</v>
      </c>
      <c r="AG22" s="1">
        <v>89.286000000000016</v>
      </c>
      <c r="AH22" s="1">
        <v>88.266199999999998</v>
      </c>
      <c r="AI22" s="1">
        <v>66.234999999999999</v>
      </c>
      <c r="AJ22" s="1">
        <v>65.243600000000001</v>
      </c>
      <c r="AK22" s="1"/>
      <c r="AL22" s="1">
        <f t="shared" si="8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63</v>
      </c>
      <c r="B23" s="1" t="s">
        <v>39</v>
      </c>
      <c r="C23" s="1">
        <v>335.928</v>
      </c>
      <c r="D23" s="1">
        <v>1870.662</v>
      </c>
      <c r="E23" s="1">
        <v>607.72</v>
      </c>
      <c r="F23" s="1">
        <v>863.83799999999997</v>
      </c>
      <c r="G23" s="8">
        <v>1</v>
      </c>
      <c r="H23" s="1">
        <v>60</v>
      </c>
      <c r="I23" s="1" t="s">
        <v>42</v>
      </c>
      <c r="J23" s="1"/>
      <c r="K23" s="1">
        <v>664.45399999999995</v>
      </c>
      <c r="L23" s="1">
        <f t="shared" si="2"/>
        <v>-56.733999999999924</v>
      </c>
      <c r="M23" s="1">
        <f t="shared" si="3"/>
        <v>512.91300000000001</v>
      </c>
      <c r="N23" s="1">
        <v>94.807000000000002</v>
      </c>
      <c r="O23" s="1">
        <v>129.34296000000001</v>
      </c>
      <c r="P23" s="1">
        <v>76</v>
      </c>
      <c r="Q23" s="1">
        <v>388.01320000000021</v>
      </c>
      <c r="R23" s="1"/>
      <c r="S23" s="1">
        <v>210.68387999999999</v>
      </c>
      <c r="T23" s="1">
        <f t="shared" si="4"/>
        <v>102.5826</v>
      </c>
      <c r="U23" s="5"/>
      <c r="V23" s="5">
        <f>$V$1*T23</f>
        <v>102.5826</v>
      </c>
      <c r="W23" s="5">
        <f t="shared" si="6"/>
        <v>102.5826</v>
      </c>
      <c r="X23" s="5"/>
      <c r="Y23" s="1"/>
      <c r="Z23" s="1"/>
      <c r="AA23" s="1">
        <f t="shared" si="7"/>
        <v>16.518012216496754</v>
      </c>
      <c r="AB23" s="1">
        <f t="shared" si="5"/>
        <v>15.518012216496755</v>
      </c>
      <c r="AC23" s="1">
        <v>127.6872</v>
      </c>
      <c r="AD23" s="1">
        <v>124.87260000000001</v>
      </c>
      <c r="AE23" s="1">
        <v>107.78579999999999</v>
      </c>
      <c r="AF23" s="1">
        <v>108.6494</v>
      </c>
      <c r="AG23" s="1">
        <v>97.132800000000003</v>
      </c>
      <c r="AH23" s="1">
        <v>101.2252</v>
      </c>
      <c r="AI23" s="1">
        <v>111.41200000000001</v>
      </c>
      <c r="AJ23" s="1">
        <v>99.580799999999996</v>
      </c>
      <c r="AK23" s="1"/>
      <c r="AL23" s="1">
        <f t="shared" si="8"/>
        <v>103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64</v>
      </c>
      <c r="B24" s="1" t="s">
        <v>39</v>
      </c>
      <c r="C24" s="1">
        <v>25.016999999999999</v>
      </c>
      <c r="D24" s="1">
        <v>8.9939999999999998</v>
      </c>
      <c r="E24" s="1">
        <v>2.8290000000000002</v>
      </c>
      <c r="F24" s="1">
        <v>30.504000000000001</v>
      </c>
      <c r="G24" s="8">
        <v>1</v>
      </c>
      <c r="H24" s="1">
        <v>180</v>
      </c>
      <c r="I24" s="1" t="s">
        <v>42</v>
      </c>
      <c r="J24" s="1"/>
      <c r="K24" s="1">
        <v>2.95</v>
      </c>
      <c r="L24" s="1">
        <f t="shared" si="2"/>
        <v>-0.121</v>
      </c>
      <c r="M24" s="1">
        <f t="shared" si="3"/>
        <v>2.8290000000000002</v>
      </c>
      <c r="N24" s="1"/>
      <c r="O24" s="1"/>
      <c r="P24" s="1">
        <v>0</v>
      </c>
      <c r="Q24" s="1">
        <v>0</v>
      </c>
      <c r="R24" s="1"/>
      <c r="S24" s="1"/>
      <c r="T24" s="1">
        <f t="shared" si="4"/>
        <v>0.56580000000000008</v>
      </c>
      <c r="U24" s="5"/>
      <c r="V24" s="5"/>
      <c r="W24" s="5">
        <f t="shared" si="6"/>
        <v>0</v>
      </c>
      <c r="X24" s="5"/>
      <c r="Y24" s="1"/>
      <c r="Z24" s="1"/>
      <c r="AA24" s="1">
        <f t="shared" si="7"/>
        <v>53.913043478260867</v>
      </c>
      <c r="AB24" s="1">
        <f t="shared" si="5"/>
        <v>53.913043478260867</v>
      </c>
      <c r="AC24" s="1">
        <v>1.0658000000000001</v>
      </c>
      <c r="AD24" s="1">
        <v>0.92880000000000007</v>
      </c>
      <c r="AE24" s="1">
        <v>2.3759999999999999</v>
      </c>
      <c r="AF24" s="1">
        <v>2.4468000000000001</v>
      </c>
      <c r="AG24" s="1">
        <v>0.501</v>
      </c>
      <c r="AH24" s="1">
        <v>0.57279999999999998</v>
      </c>
      <c r="AI24" s="1">
        <v>0.71020000000000005</v>
      </c>
      <c r="AJ24" s="1">
        <v>1.2882</v>
      </c>
      <c r="AK24" s="21" t="s">
        <v>60</v>
      </c>
      <c r="AL24" s="1">
        <f t="shared" si="8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65</v>
      </c>
      <c r="B25" s="1" t="s">
        <v>39</v>
      </c>
      <c r="C25" s="1">
        <v>801.428</v>
      </c>
      <c r="D25" s="1">
        <v>2607.3000000000002</v>
      </c>
      <c r="E25" s="1">
        <v>1108.4390000000001</v>
      </c>
      <c r="F25" s="1">
        <v>1508.9190000000001</v>
      </c>
      <c r="G25" s="8">
        <v>1</v>
      </c>
      <c r="H25" s="1">
        <v>60</v>
      </c>
      <c r="I25" s="1" t="s">
        <v>42</v>
      </c>
      <c r="J25" s="1"/>
      <c r="K25" s="1">
        <v>1272.694</v>
      </c>
      <c r="L25" s="1">
        <f t="shared" si="2"/>
        <v>-164.25499999999988</v>
      </c>
      <c r="M25" s="1">
        <f t="shared" si="3"/>
        <v>897.87800000000004</v>
      </c>
      <c r="N25" s="1">
        <v>210.56100000000001</v>
      </c>
      <c r="O25" s="1">
        <v>242.04816</v>
      </c>
      <c r="P25" s="1">
        <v>74</v>
      </c>
      <c r="Q25" s="1">
        <v>388.6328599999988</v>
      </c>
      <c r="R25" s="1">
        <v>600</v>
      </c>
      <c r="S25" s="1">
        <v>414.53313000000003</v>
      </c>
      <c r="T25" s="1">
        <f t="shared" si="4"/>
        <v>179.57560000000001</v>
      </c>
      <c r="U25" s="5"/>
      <c r="V25" s="5"/>
      <c r="W25" s="5">
        <f t="shared" si="6"/>
        <v>0</v>
      </c>
      <c r="X25" s="5"/>
      <c r="Y25" s="1"/>
      <c r="Z25" s="1"/>
      <c r="AA25" s="1">
        <f t="shared" si="7"/>
        <v>17.564374837115949</v>
      </c>
      <c r="AB25" s="1">
        <f t="shared" si="5"/>
        <v>17.564374837115949</v>
      </c>
      <c r="AC25" s="1">
        <v>251.23220000000001</v>
      </c>
      <c r="AD25" s="1">
        <v>230.3176</v>
      </c>
      <c r="AE25" s="1">
        <v>201.70679999999999</v>
      </c>
      <c r="AF25" s="1">
        <v>217.13900000000001</v>
      </c>
      <c r="AG25" s="1">
        <v>209.31739999999999</v>
      </c>
      <c r="AH25" s="1">
        <v>211.536</v>
      </c>
      <c r="AI25" s="1">
        <v>228.21039999999999</v>
      </c>
      <c r="AJ25" s="1">
        <v>258.85700000000003</v>
      </c>
      <c r="AK25" s="1" t="s">
        <v>53</v>
      </c>
      <c r="AL25" s="1">
        <f t="shared" si="8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5" t="s">
        <v>66</v>
      </c>
      <c r="B26" s="15" t="s">
        <v>39</v>
      </c>
      <c r="C26" s="15"/>
      <c r="D26" s="15"/>
      <c r="E26" s="15"/>
      <c r="F26" s="15"/>
      <c r="G26" s="16">
        <v>0</v>
      </c>
      <c r="H26" s="15">
        <v>30</v>
      </c>
      <c r="I26" s="15" t="s">
        <v>42</v>
      </c>
      <c r="J26" s="15"/>
      <c r="K26" s="15"/>
      <c r="L26" s="15">
        <f t="shared" si="2"/>
        <v>0</v>
      </c>
      <c r="M26" s="15">
        <f t="shared" si="3"/>
        <v>0</v>
      </c>
      <c r="N26" s="15"/>
      <c r="O26" s="15"/>
      <c r="P26" s="15">
        <v>0</v>
      </c>
      <c r="Q26" s="15">
        <v>0</v>
      </c>
      <c r="R26" s="15"/>
      <c r="S26" s="15"/>
      <c r="T26" s="15">
        <f t="shared" si="4"/>
        <v>0</v>
      </c>
      <c r="U26" s="17"/>
      <c r="V26" s="17"/>
      <c r="W26" s="5">
        <f t="shared" si="6"/>
        <v>0</v>
      </c>
      <c r="X26" s="17"/>
      <c r="Y26" s="15"/>
      <c r="Z26" s="15"/>
      <c r="AA26" s="1" t="e">
        <f t="shared" si="7"/>
        <v>#DIV/0!</v>
      </c>
      <c r="AB26" s="15" t="e">
        <f t="shared" si="5"/>
        <v>#DIV/0!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 t="s">
        <v>58</v>
      </c>
      <c r="AL26" s="1">
        <f t="shared" si="8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5" t="s">
        <v>67</v>
      </c>
      <c r="B27" s="15" t="s">
        <v>39</v>
      </c>
      <c r="C27" s="15"/>
      <c r="D27" s="15"/>
      <c r="E27" s="15"/>
      <c r="F27" s="15"/>
      <c r="G27" s="16">
        <v>0</v>
      </c>
      <c r="H27" s="15">
        <v>30</v>
      </c>
      <c r="I27" s="15" t="s">
        <v>42</v>
      </c>
      <c r="J27" s="15"/>
      <c r="K27" s="15"/>
      <c r="L27" s="15">
        <f t="shared" si="2"/>
        <v>0</v>
      </c>
      <c r="M27" s="15">
        <f t="shared" si="3"/>
        <v>0</v>
      </c>
      <c r="N27" s="15"/>
      <c r="O27" s="15"/>
      <c r="P27" s="15">
        <v>0</v>
      </c>
      <c r="Q27" s="15">
        <v>0</v>
      </c>
      <c r="R27" s="15"/>
      <c r="S27" s="15"/>
      <c r="T27" s="15">
        <f t="shared" si="4"/>
        <v>0</v>
      </c>
      <c r="U27" s="17"/>
      <c r="V27" s="17"/>
      <c r="W27" s="5">
        <f t="shared" si="6"/>
        <v>0</v>
      </c>
      <c r="X27" s="17"/>
      <c r="Y27" s="15"/>
      <c r="Z27" s="15"/>
      <c r="AA27" s="1" t="e">
        <f t="shared" si="7"/>
        <v>#DIV/0!</v>
      </c>
      <c r="AB27" s="15" t="e">
        <f t="shared" si="5"/>
        <v>#DIV/0!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 t="s">
        <v>58</v>
      </c>
      <c r="AL27" s="1">
        <f t="shared" si="8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68</v>
      </c>
      <c r="B28" s="1" t="s">
        <v>39</v>
      </c>
      <c r="C28" s="1">
        <v>464.46800000000002</v>
      </c>
      <c r="D28" s="1">
        <v>1904.1469999999999</v>
      </c>
      <c r="E28" s="1">
        <v>1008.24</v>
      </c>
      <c r="F28" s="1">
        <v>704.471</v>
      </c>
      <c r="G28" s="8">
        <v>1</v>
      </c>
      <c r="H28" s="1">
        <v>30</v>
      </c>
      <c r="I28" s="1" t="s">
        <v>42</v>
      </c>
      <c r="J28" s="1"/>
      <c r="K28" s="1">
        <v>1449.432</v>
      </c>
      <c r="L28" s="1">
        <f t="shared" si="2"/>
        <v>-441.19200000000001</v>
      </c>
      <c r="M28" s="1">
        <f t="shared" si="3"/>
        <v>580.90100000000007</v>
      </c>
      <c r="N28" s="1">
        <v>427.339</v>
      </c>
      <c r="O28" s="1"/>
      <c r="P28" s="1">
        <v>90</v>
      </c>
      <c r="Q28" s="1">
        <v>242.64279999999999</v>
      </c>
      <c r="R28" s="1">
        <v>300</v>
      </c>
      <c r="S28" s="1"/>
      <c r="T28" s="1">
        <f t="shared" si="4"/>
        <v>116.18020000000001</v>
      </c>
      <c r="U28" s="5">
        <f>11*T28-S28-R28-Q28-O28-F28</f>
        <v>30.868400000000179</v>
      </c>
      <c r="V28" s="5">
        <f>$V$1*T28</f>
        <v>116.18020000000001</v>
      </c>
      <c r="W28" s="5">
        <f t="shared" si="6"/>
        <v>147.04860000000019</v>
      </c>
      <c r="X28" s="5"/>
      <c r="Y28" s="1"/>
      <c r="Z28" s="1"/>
      <c r="AA28" s="1">
        <f t="shared" si="7"/>
        <v>12</v>
      </c>
      <c r="AB28" s="1">
        <f t="shared" si="5"/>
        <v>10.734305845574374</v>
      </c>
      <c r="AC28" s="1">
        <v>143.58860000000001</v>
      </c>
      <c r="AD28" s="1">
        <v>147.16900000000001</v>
      </c>
      <c r="AE28" s="1">
        <v>145.21</v>
      </c>
      <c r="AF28" s="1">
        <v>137.3604</v>
      </c>
      <c r="AG28" s="1">
        <v>156.0812</v>
      </c>
      <c r="AH28" s="1">
        <v>138.68039999999999</v>
      </c>
      <c r="AI28" s="1">
        <v>136.8252</v>
      </c>
      <c r="AJ28" s="1">
        <v>150.864</v>
      </c>
      <c r="AK28" s="1" t="s">
        <v>53</v>
      </c>
      <c r="AL28" s="1">
        <f t="shared" si="8"/>
        <v>147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5" t="s">
        <v>69</v>
      </c>
      <c r="B29" s="15" t="s">
        <v>39</v>
      </c>
      <c r="C29" s="15"/>
      <c r="D29" s="15"/>
      <c r="E29" s="15"/>
      <c r="F29" s="15"/>
      <c r="G29" s="16">
        <v>0</v>
      </c>
      <c r="H29" s="15">
        <v>45</v>
      </c>
      <c r="I29" s="15" t="s">
        <v>42</v>
      </c>
      <c r="J29" s="15"/>
      <c r="K29" s="15"/>
      <c r="L29" s="15">
        <f t="shared" si="2"/>
        <v>0</v>
      </c>
      <c r="M29" s="15">
        <f t="shared" si="3"/>
        <v>0</v>
      </c>
      <c r="N29" s="15"/>
      <c r="O29" s="15"/>
      <c r="P29" s="15">
        <v>0</v>
      </c>
      <c r="Q29" s="15">
        <v>0</v>
      </c>
      <c r="R29" s="15"/>
      <c r="S29" s="15"/>
      <c r="T29" s="15">
        <f t="shared" si="4"/>
        <v>0</v>
      </c>
      <c r="U29" s="17"/>
      <c r="V29" s="17"/>
      <c r="W29" s="5">
        <f t="shared" si="6"/>
        <v>0</v>
      </c>
      <c r="X29" s="17"/>
      <c r="Y29" s="15"/>
      <c r="Z29" s="15"/>
      <c r="AA29" s="1" t="e">
        <f t="shared" si="7"/>
        <v>#DIV/0!</v>
      </c>
      <c r="AB29" s="15" t="e">
        <f t="shared" si="5"/>
        <v>#DIV/0!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 t="s">
        <v>58</v>
      </c>
      <c r="AL29" s="1">
        <f t="shared" si="8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5" t="s">
        <v>70</v>
      </c>
      <c r="B30" s="15" t="s">
        <v>39</v>
      </c>
      <c r="C30" s="15"/>
      <c r="D30" s="15"/>
      <c r="E30" s="15"/>
      <c r="F30" s="15"/>
      <c r="G30" s="16">
        <v>0</v>
      </c>
      <c r="H30" s="15">
        <v>40</v>
      </c>
      <c r="I30" s="15" t="s">
        <v>42</v>
      </c>
      <c r="J30" s="15"/>
      <c r="K30" s="15"/>
      <c r="L30" s="15">
        <f t="shared" si="2"/>
        <v>0</v>
      </c>
      <c r="M30" s="15">
        <f t="shared" si="3"/>
        <v>0</v>
      </c>
      <c r="N30" s="15"/>
      <c r="O30" s="15"/>
      <c r="P30" s="15">
        <v>0</v>
      </c>
      <c r="Q30" s="15">
        <v>0</v>
      </c>
      <c r="R30" s="15"/>
      <c r="S30" s="15"/>
      <c r="T30" s="15">
        <f t="shared" si="4"/>
        <v>0</v>
      </c>
      <c r="U30" s="17"/>
      <c r="V30" s="17"/>
      <c r="W30" s="5">
        <f t="shared" si="6"/>
        <v>0</v>
      </c>
      <c r="X30" s="17"/>
      <c r="Y30" s="15"/>
      <c r="Z30" s="15"/>
      <c r="AA30" s="1" t="e">
        <f t="shared" si="7"/>
        <v>#DIV/0!</v>
      </c>
      <c r="AB30" s="15" t="e">
        <f t="shared" si="5"/>
        <v>#DIV/0!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 t="s">
        <v>58</v>
      </c>
      <c r="AL30" s="1">
        <f t="shared" si="8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5" t="s">
        <v>71</v>
      </c>
      <c r="B31" s="15" t="s">
        <v>39</v>
      </c>
      <c r="C31" s="15"/>
      <c r="D31" s="15"/>
      <c r="E31" s="15"/>
      <c r="F31" s="15"/>
      <c r="G31" s="16">
        <v>0</v>
      </c>
      <c r="H31" s="15">
        <v>30</v>
      </c>
      <c r="I31" s="15" t="s">
        <v>42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/>
      <c r="P31" s="15">
        <v>0</v>
      </c>
      <c r="Q31" s="15">
        <v>0</v>
      </c>
      <c r="R31" s="15"/>
      <c r="S31" s="15"/>
      <c r="T31" s="15">
        <f t="shared" si="4"/>
        <v>0</v>
      </c>
      <c r="U31" s="17"/>
      <c r="V31" s="17"/>
      <c r="W31" s="5">
        <f t="shared" si="6"/>
        <v>0</v>
      </c>
      <c r="X31" s="17"/>
      <c r="Y31" s="15"/>
      <c r="Z31" s="15"/>
      <c r="AA31" s="1" t="e">
        <f t="shared" si="7"/>
        <v>#DIV/0!</v>
      </c>
      <c r="AB31" s="15" t="e">
        <f t="shared" si="5"/>
        <v>#DIV/0!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 t="s">
        <v>58</v>
      </c>
      <c r="AL31" s="1">
        <f t="shared" si="8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5" t="s">
        <v>72</v>
      </c>
      <c r="B32" s="15" t="s">
        <v>39</v>
      </c>
      <c r="C32" s="15"/>
      <c r="D32" s="15"/>
      <c r="E32" s="15"/>
      <c r="F32" s="15"/>
      <c r="G32" s="16">
        <v>0</v>
      </c>
      <c r="H32" s="15">
        <v>50</v>
      </c>
      <c r="I32" s="15" t="s">
        <v>42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/>
      <c r="P32" s="15">
        <v>0</v>
      </c>
      <c r="Q32" s="15">
        <v>0</v>
      </c>
      <c r="R32" s="15"/>
      <c r="S32" s="15"/>
      <c r="T32" s="15">
        <f t="shared" si="4"/>
        <v>0</v>
      </c>
      <c r="U32" s="17"/>
      <c r="V32" s="17"/>
      <c r="W32" s="5">
        <f t="shared" si="6"/>
        <v>0</v>
      </c>
      <c r="X32" s="17"/>
      <c r="Y32" s="15"/>
      <c r="Z32" s="15"/>
      <c r="AA32" s="1" t="e">
        <f t="shared" si="7"/>
        <v>#DIV/0!</v>
      </c>
      <c r="AB32" s="15" t="e">
        <f t="shared" si="5"/>
        <v>#DIV/0!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 t="s">
        <v>58</v>
      </c>
      <c r="AL32" s="1">
        <f t="shared" si="8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73</v>
      </c>
      <c r="B33" s="1" t="s">
        <v>39</v>
      </c>
      <c r="C33" s="1">
        <v>8.0419999999999998</v>
      </c>
      <c r="D33" s="1">
        <v>28.654</v>
      </c>
      <c r="E33" s="1">
        <v>2.6760000000000002</v>
      </c>
      <c r="F33" s="1">
        <v>25.952999999999999</v>
      </c>
      <c r="G33" s="8">
        <v>1</v>
      </c>
      <c r="H33" s="1">
        <v>50</v>
      </c>
      <c r="I33" s="1" t="s">
        <v>42</v>
      </c>
      <c r="J33" s="1"/>
      <c r="K33" s="1">
        <v>2.9</v>
      </c>
      <c r="L33" s="1">
        <f t="shared" si="2"/>
        <v>-0.22399999999999975</v>
      </c>
      <c r="M33" s="1">
        <f t="shared" si="3"/>
        <v>2.6760000000000002</v>
      </c>
      <c r="N33" s="1"/>
      <c r="O33" s="1"/>
      <c r="P33" s="1">
        <v>0</v>
      </c>
      <c r="Q33" s="1">
        <v>0</v>
      </c>
      <c r="R33" s="1"/>
      <c r="S33" s="1"/>
      <c r="T33" s="1">
        <f t="shared" si="4"/>
        <v>0.53520000000000001</v>
      </c>
      <c r="U33" s="5"/>
      <c r="V33" s="5"/>
      <c r="W33" s="5">
        <f t="shared" si="6"/>
        <v>0</v>
      </c>
      <c r="X33" s="5"/>
      <c r="Y33" s="1"/>
      <c r="Z33" s="1"/>
      <c r="AA33" s="1">
        <f t="shared" si="7"/>
        <v>48.492152466367713</v>
      </c>
      <c r="AB33" s="1">
        <f t="shared" si="5"/>
        <v>48.492152466367713</v>
      </c>
      <c r="AC33" s="1">
        <v>1.073</v>
      </c>
      <c r="AD33" s="1">
        <v>1.974</v>
      </c>
      <c r="AE33" s="1">
        <v>1.6204000000000001</v>
      </c>
      <c r="AF33" s="1">
        <v>1.2534000000000001</v>
      </c>
      <c r="AG33" s="1">
        <v>1.5980000000000001</v>
      </c>
      <c r="AH33" s="1">
        <v>1.0651999999999999</v>
      </c>
      <c r="AI33" s="1">
        <v>0.70679999999999998</v>
      </c>
      <c r="AJ33" s="1">
        <v>1.7784</v>
      </c>
      <c r="AK33" s="1" t="s">
        <v>74</v>
      </c>
      <c r="AL33" s="1">
        <f t="shared" si="8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75</v>
      </c>
      <c r="B34" s="1" t="s">
        <v>46</v>
      </c>
      <c r="C34" s="1">
        <v>1337</v>
      </c>
      <c r="D34" s="1">
        <v>3390</v>
      </c>
      <c r="E34" s="1">
        <v>1542</v>
      </c>
      <c r="F34" s="1">
        <v>1330</v>
      </c>
      <c r="G34" s="8">
        <v>0.4</v>
      </c>
      <c r="H34" s="1">
        <v>45</v>
      </c>
      <c r="I34" s="1" t="s">
        <v>42</v>
      </c>
      <c r="J34" s="1"/>
      <c r="K34" s="1">
        <v>1883</v>
      </c>
      <c r="L34" s="1">
        <f t="shared" si="2"/>
        <v>-341</v>
      </c>
      <c r="M34" s="1">
        <f t="shared" si="3"/>
        <v>1200</v>
      </c>
      <c r="N34" s="1">
        <v>342</v>
      </c>
      <c r="O34" s="1">
        <v>296.16000000000003</v>
      </c>
      <c r="P34" s="1">
        <v>327</v>
      </c>
      <c r="Q34" s="1">
        <v>659.02000000000044</v>
      </c>
      <c r="R34" s="1">
        <v>500</v>
      </c>
      <c r="S34" s="1">
        <v>413.82</v>
      </c>
      <c r="T34" s="1">
        <f t="shared" si="4"/>
        <v>240</v>
      </c>
      <c r="U34" s="5"/>
      <c r="V34" s="5">
        <f>2*$V$1*T34</f>
        <v>480</v>
      </c>
      <c r="W34" s="5">
        <f t="shared" si="6"/>
        <v>480</v>
      </c>
      <c r="X34" s="5"/>
      <c r="Y34" s="1"/>
      <c r="Z34" s="1"/>
      <c r="AA34" s="1">
        <f t="shared" si="7"/>
        <v>15.329166666666669</v>
      </c>
      <c r="AB34" s="1">
        <f t="shared" si="5"/>
        <v>13.329166666666669</v>
      </c>
      <c r="AC34" s="1">
        <v>250.8</v>
      </c>
      <c r="AD34" s="1">
        <v>231.8</v>
      </c>
      <c r="AE34" s="1">
        <v>246.8</v>
      </c>
      <c r="AF34" s="1">
        <v>260.8</v>
      </c>
      <c r="AG34" s="1">
        <v>219.2</v>
      </c>
      <c r="AH34" s="1">
        <v>195.2</v>
      </c>
      <c r="AI34" s="1">
        <v>215.4</v>
      </c>
      <c r="AJ34" s="1">
        <v>169</v>
      </c>
      <c r="AK34" s="1" t="s">
        <v>76</v>
      </c>
      <c r="AL34" s="1">
        <f t="shared" si="8"/>
        <v>192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77</v>
      </c>
      <c r="B35" s="1" t="s">
        <v>46</v>
      </c>
      <c r="C35" s="1">
        <v>1033</v>
      </c>
      <c r="D35" s="1">
        <v>600</v>
      </c>
      <c r="E35" s="1">
        <v>320</v>
      </c>
      <c r="F35" s="1">
        <v>728</v>
      </c>
      <c r="G35" s="8">
        <v>0.45</v>
      </c>
      <c r="H35" s="1">
        <v>50</v>
      </c>
      <c r="I35" s="11" t="s">
        <v>78</v>
      </c>
      <c r="J35" s="1"/>
      <c r="K35" s="1">
        <v>380</v>
      </c>
      <c r="L35" s="1">
        <f t="shared" si="2"/>
        <v>-60</v>
      </c>
      <c r="M35" s="1">
        <f t="shared" si="3"/>
        <v>260</v>
      </c>
      <c r="N35" s="1">
        <v>60</v>
      </c>
      <c r="O35" s="1"/>
      <c r="P35" s="1">
        <v>0</v>
      </c>
      <c r="Q35" s="1">
        <v>0</v>
      </c>
      <c r="R35" s="1"/>
      <c r="S35" s="1"/>
      <c r="T35" s="1">
        <f t="shared" si="4"/>
        <v>52</v>
      </c>
      <c r="U35" s="5"/>
      <c r="V35" s="5"/>
      <c r="W35" s="5">
        <f t="shared" si="6"/>
        <v>0</v>
      </c>
      <c r="X35" s="5"/>
      <c r="Y35" s="1"/>
      <c r="Z35" s="1"/>
      <c r="AA35" s="1">
        <f t="shared" si="7"/>
        <v>14</v>
      </c>
      <c r="AB35" s="1">
        <f t="shared" si="5"/>
        <v>14</v>
      </c>
      <c r="AC35" s="1">
        <v>53.4</v>
      </c>
      <c r="AD35" s="1">
        <v>52</v>
      </c>
      <c r="AE35" s="1">
        <v>86</v>
      </c>
      <c r="AF35" s="1">
        <v>132.4</v>
      </c>
      <c r="AG35" s="1">
        <v>154.6</v>
      </c>
      <c r="AH35" s="1">
        <v>196.6</v>
      </c>
      <c r="AI35" s="1">
        <v>162</v>
      </c>
      <c r="AJ35" s="1">
        <v>72.2</v>
      </c>
      <c r="AK35" s="1" t="s">
        <v>47</v>
      </c>
      <c r="AL35" s="1">
        <f t="shared" si="8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79</v>
      </c>
      <c r="B36" s="1" t="s">
        <v>46</v>
      </c>
      <c r="C36" s="1">
        <v>1547</v>
      </c>
      <c r="D36" s="1">
        <v>4015</v>
      </c>
      <c r="E36" s="1">
        <v>1296</v>
      </c>
      <c r="F36" s="1">
        <v>2018</v>
      </c>
      <c r="G36" s="8">
        <v>0.4</v>
      </c>
      <c r="H36" s="1">
        <v>45</v>
      </c>
      <c r="I36" s="1" t="s">
        <v>42</v>
      </c>
      <c r="J36" s="1"/>
      <c r="K36" s="1">
        <v>1749</v>
      </c>
      <c r="L36" s="1">
        <f t="shared" si="2"/>
        <v>-453</v>
      </c>
      <c r="M36" s="1">
        <f t="shared" si="3"/>
        <v>1254</v>
      </c>
      <c r="N36" s="1">
        <v>42</v>
      </c>
      <c r="O36" s="1">
        <v>282.95999999999998</v>
      </c>
      <c r="P36" s="1">
        <v>280</v>
      </c>
      <c r="Q36" s="1">
        <v>310.44</v>
      </c>
      <c r="R36" s="1"/>
      <c r="S36" s="1">
        <v>394.02</v>
      </c>
      <c r="T36" s="1">
        <f t="shared" si="4"/>
        <v>250.8</v>
      </c>
      <c r="U36" s="5"/>
      <c r="V36" s="5">
        <f>3*$V$1*T36</f>
        <v>752.40000000000009</v>
      </c>
      <c r="W36" s="5">
        <f t="shared" si="6"/>
        <v>752.40000000000009</v>
      </c>
      <c r="X36" s="5"/>
      <c r="Y36" s="1"/>
      <c r="Z36" s="1"/>
      <c r="AA36" s="1">
        <f t="shared" si="7"/>
        <v>14.983333333333333</v>
      </c>
      <c r="AB36" s="1">
        <f t="shared" si="5"/>
        <v>11.983333333333333</v>
      </c>
      <c r="AC36" s="1">
        <v>238.8</v>
      </c>
      <c r="AD36" s="1">
        <v>264.2</v>
      </c>
      <c r="AE36" s="1">
        <v>235.8</v>
      </c>
      <c r="AF36" s="1">
        <v>260.8</v>
      </c>
      <c r="AG36" s="1">
        <v>218.2</v>
      </c>
      <c r="AH36" s="1">
        <v>259.60000000000002</v>
      </c>
      <c r="AI36" s="1">
        <v>192</v>
      </c>
      <c r="AJ36" s="1">
        <v>143.4</v>
      </c>
      <c r="AK36" s="1"/>
      <c r="AL36" s="1">
        <f t="shared" si="8"/>
        <v>301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80</v>
      </c>
      <c r="B37" s="1" t="s">
        <v>46</v>
      </c>
      <c r="C37" s="1">
        <v>148</v>
      </c>
      <c r="D37" s="1">
        <v>52</v>
      </c>
      <c r="E37" s="1">
        <v>85</v>
      </c>
      <c r="F37" s="1">
        <v>60</v>
      </c>
      <c r="G37" s="8">
        <v>0.4</v>
      </c>
      <c r="H37" s="1">
        <v>40</v>
      </c>
      <c r="I37" s="1" t="s">
        <v>42</v>
      </c>
      <c r="J37" s="1"/>
      <c r="K37" s="1">
        <v>85</v>
      </c>
      <c r="L37" s="1">
        <f t="shared" si="2"/>
        <v>0</v>
      </c>
      <c r="M37" s="1">
        <f t="shared" si="3"/>
        <v>85</v>
      </c>
      <c r="N37" s="1"/>
      <c r="O37" s="1"/>
      <c r="P37" s="1">
        <v>0</v>
      </c>
      <c r="Q37" s="1">
        <v>145.6</v>
      </c>
      <c r="R37" s="1"/>
      <c r="S37" s="1"/>
      <c r="T37" s="1">
        <f t="shared" si="4"/>
        <v>17</v>
      </c>
      <c r="U37" s="5"/>
      <c r="V37" s="5"/>
      <c r="W37" s="5">
        <f t="shared" si="6"/>
        <v>0</v>
      </c>
      <c r="X37" s="5"/>
      <c r="Y37" s="1"/>
      <c r="Z37" s="1"/>
      <c r="AA37" s="1">
        <f t="shared" si="7"/>
        <v>12.094117647058823</v>
      </c>
      <c r="AB37" s="1">
        <f t="shared" si="5"/>
        <v>12.094117647058823</v>
      </c>
      <c r="AC37" s="1">
        <v>20.6</v>
      </c>
      <c r="AD37" s="1">
        <v>12.6</v>
      </c>
      <c r="AE37" s="1">
        <v>15.4</v>
      </c>
      <c r="AF37" s="1">
        <v>19</v>
      </c>
      <c r="AG37" s="1">
        <v>9.1999999999999993</v>
      </c>
      <c r="AH37" s="1">
        <v>0</v>
      </c>
      <c r="AI37" s="1">
        <v>0</v>
      </c>
      <c r="AJ37" s="1">
        <v>0</v>
      </c>
      <c r="AK37" s="1" t="s">
        <v>81</v>
      </c>
      <c r="AL37" s="1">
        <f t="shared" si="8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82</v>
      </c>
      <c r="B38" s="1" t="s">
        <v>39</v>
      </c>
      <c r="C38" s="1">
        <v>495.35399999999998</v>
      </c>
      <c r="D38" s="1">
        <v>756.89300000000003</v>
      </c>
      <c r="E38" s="1">
        <v>480.18700000000001</v>
      </c>
      <c r="F38" s="1">
        <v>275.00099999999998</v>
      </c>
      <c r="G38" s="8">
        <v>1</v>
      </c>
      <c r="H38" s="1">
        <v>45</v>
      </c>
      <c r="I38" s="1" t="s">
        <v>42</v>
      </c>
      <c r="J38" s="1"/>
      <c r="K38" s="1">
        <v>670.58</v>
      </c>
      <c r="L38" s="1">
        <f t="shared" ref="L38:L69" si="10">E38-K38</f>
        <v>-190.39300000000003</v>
      </c>
      <c r="M38" s="1">
        <f t="shared" si="3"/>
        <v>480.18700000000001</v>
      </c>
      <c r="N38" s="1"/>
      <c r="O38" s="1">
        <v>92.263199999999998</v>
      </c>
      <c r="P38" s="1">
        <v>0</v>
      </c>
      <c r="Q38" s="1">
        <v>339.99808000000002</v>
      </c>
      <c r="R38" s="1"/>
      <c r="S38" s="1">
        <v>126.73914000000001</v>
      </c>
      <c r="T38" s="1">
        <f t="shared" si="4"/>
        <v>96.037400000000005</v>
      </c>
      <c r="U38" s="5">
        <f t="shared" ref="U38:U44" si="11">11*T38-S38-R38-Q38-O38-F38</f>
        <v>222.40998000000002</v>
      </c>
      <c r="V38" s="5">
        <f>3*$V$1*T38</f>
        <v>288.11220000000003</v>
      </c>
      <c r="W38" s="5">
        <f t="shared" si="6"/>
        <v>510.52218000000005</v>
      </c>
      <c r="X38" s="5"/>
      <c r="Y38" s="1"/>
      <c r="Z38" s="1"/>
      <c r="AA38" s="1">
        <f t="shared" si="7"/>
        <v>14</v>
      </c>
      <c r="AB38" s="1">
        <f t="shared" si="5"/>
        <v>8.6841315987313266</v>
      </c>
      <c r="AC38" s="1">
        <v>76.811599999999999</v>
      </c>
      <c r="AD38" s="1">
        <v>61.268600000000013</v>
      </c>
      <c r="AE38" s="1">
        <v>76.885999999999996</v>
      </c>
      <c r="AF38" s="1">
        <v>77.734999999999999</v>
      </c>
      <c r="AG38" s="1">
        <v>41.408200000000001</v>
      </c>
      <c r="AH38" s="1">
        <v>57.390799999999999</v>
      </c>
      <c r="AI38" s="1">
        <v>62.910200000000003</v>
      </c>
      <c r="AJ38" s="1">
        <v>37.391199999999998</v>
      </c>
      <c r="AK38" s="1"/>
      <c r="AL38" s="1">
        <f t="shared" si="8"/>
        <v>511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83</v>
      </c>
      <c r="B39" s="1" t="s">
        <v>46</v>
      </c>
      <c r="C39" s="1">
        <v>217</v>
      </c>
      <c r="D39" s="1">
        <v>167</v>
      </c>
      <c r="E39" s="1">
        <v>141</v>
      </c>
      <c r="F39" s="1">
        <v>172</v>
      </c>
      <c r="G39" s="8">
        <v>0.1</v>
      </c>
      <c r="H39" s="1">
        <v>730</v>
      </c>
      <c r="I39" s="1" t="s">
        <v>42</v>
      </c>
      <c r="J39" s="1"/>
      <c r="K39" s="1">
        <v>143</v>
      </c>
      <c r="L39" s="1">
        <f t="shared" si="10"/>
        <v>-2</v>
      </c>
      <c r="M39" s="1">
        <f t="shared" si="3"/>
        <v>141</v>
      </c>
      <c r="N39" s="1"/>
      <c r="O39" s="1"/>
      <c r="P39" s="1">
        <v>0</v>
      </c>
      <c r="Q39" s="1">
        <v>71.199999999999932</v>
      </c>
      <c r="R39" s="1"/>
      <c r="S39" s="1"/>
      <c r="T39" s="1">
        <f t="shared" si="4"/>
        <v>28.2</v>
      </c>
      <c r="U39" s="5">
        <f t="shared" si="11"/>
        <v>67.000000000000057</v>
      </c>
      <c r="V39" s="5">
        <f t="shared" ref="V39:V40" si="12">$V$1*T39</f>
        <v>28.2</v>
      </c>
      <c r="W39" s="5">
        <f t="shared" si="6"/>
        <v>95.20000000000006</v>
      </c>
      <c r="X39" s="5"/>
      <c r="Y39" s="1"/>
      <c r="Z39" s="1"/>
      <c r="AA39" s="1">
        <f t="shared" si="7"/>
        <v>12</v>
      </c>
      <c r="AB39" s="1">
        <f t="shared" si="5"/>
        <v>8.6241134751773032</v>
      </c>
      <c r="AC39" s="1">
        <v>27.6</v>
      </c>
      <c r="AD39" s="1">
        <v>28.6</v>
      </c>
      <c r="AE39" s="1">
        <v>31.2</v>
      </c>
      <c r="AF39" s="1">
        <v>31.8</v>
      </c>
      <c r="AG39" s="1">
        <v>28.6</v>
      </c>
      <c r="AH39" s="1">
        <v>32.6</v>
      </c>
      <c r="AI39" s="1">
        <v>35.200000000000003</v>
      </c>
      <c r="AJ39" s="1">
        <v>35.799999999999997</v>
      </c>
      <c r="AK39" s="1"/>
      <c r="AL39" s="1">
        <f t="shared" si="8"/>
        <v>10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84</v>
      </c>
      <c r="B40" s="1" t="s">
        <v>46</v>
      </c>
      <c r="C40" s="1">
        <v>215</v>
      </c>
      <c r="D40" s="1">
        <v>341</v>
      </c>
      <c r="E40" s="1">
        <v>243</v>
      </c>
      <c r="F40" s="1">
        <v>156</v>
      </c>
      <c r="G40" s="8">
        <v>0.35</v>
      </c>
      <c r="H40" s="1">
        <v>40</v>
      </c>
      <c r="I40" s="1" t="s">
        <v>42</v>
      </c>
      <c r="J40" s="1"/>
      <c r="K40" s="1">
        <v>253</v>
      </c>
      <c r="L40" s="1">
        <f t="shared" si="10"/>
        <v>-10</v>
      </c>
      <c r="M40" s="1">
        <f t="shared" si="3"/>
        <v>243</v>
      </c>
      <c r="N40" s="1"/>
      <c r="O40" s="1"/>
      <c r="P40" s="1">
        <v>0</v>
      </c>
      <c r="Q40" s="1">
        <v>259.79999999999978</v>
      </c>
      <c r="R40" s="1"/>
      <c r="S40" s="1"/>
      <c r="T40" s="1">
        <f t="shared" si="4"/>
        <v>48.6</v>
      </c>
      <c r="U40" s="5">
        <f t="shared" si="11"/>
        <v>118.80000000000024</v>
      </c>
      <c r="V40" s="5">
        <f t="shared" si="12"/>
        <v>48.6</v>
      </c>
      <c r="W40" s="5">
        <f t="shared" si="6"/>
        <v>167.40000000000023</v>
      </c>
      <c r="X40" s="5"/>
      <c r="Y40" s="1"/>
      <c r="Z40" s="1"/>
      <c r="AA40" s="1">
        <f t="shared" si="7"/>
        <v>12</v>
      </c>
      <c r="AB40" s="1">
        <f t="shared" si="5"/>
        <v>8.55555555555555</v>
      </c>
      <c r="AC40" s="1">
        <v>46.8</v>
      </c>
      <c r="AD40" s="1">
        <v>36.200000000000003</v>
      </c>
      <c r="AE40" s="1">
        <v>37.200000000000003</v>
      </c>
      <c r="AF40" s="1">
        <v>39</v>
      </c>
      <c r="AG40" s="1">
        <v>33</v>
      </c>
      <c r="AH40" s="1">
        <v>35.211599999999997</v>
      </c>
      <c r="AI40" s="1">
        <v>27.011600000000001</v>
      </c>
      <c r="AJ40" s="1">
        <v>30.2</v>
      </c>
      <c r="AK40" s="1"/>
      <c r="AL40" s="1">
        <f t="shared" si="8"/>
        <v>59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85</v>
      </c>
      <c r="B41" s="1" t="s">
        <v>39</v>
      </c>
      <c r="C41" s="1">
        <v>71.013000000000005</v>
      </c>
      <c r="D41" s="1">
        <v>47.838000000000001</v>
      </c>
      <c r="E41" s="1">
        <v>34.719000000000001</v>
      </c>
      <c r="F41" s="1">
        <v>53.741999999999997</v>
      </c>
      <c r="G41" s="8">
        <v>1</v>
      </c>
      <c r="H41" s="1">
        <v>40</v>
      </c>
      <c r="I41" s="1" t="s">
        <v>42</v>
      </c>
      <c r="J41" s="1"/>
      <c r="K41" s="1">
        <v>37</v>
      </c>
      <c r="L41" s="1">
        <f t="shared" si="10"/>
        <v>-2.2809999999999988</v>
      </c>
      <c r="M41" s="1">
        <f t="shared" si="3"/>
        <v>34.719000000000001</v>
      </c>
      <c r="N41" s="1"/>
      <c r="O41" s="1"/>
      <c r="P41" s="1">
        <v>0</v>
      </c>
      <c r="Q41" s="1">
        <v>27.558599999999998</v>
      </c>
      <c r="R41" s="1"/>
      <c r="S41" s="1"/>
      <c r="T41" s="1">
        <f t="shared" si="4"/>
        <v>6.9438000000000004</v>
      </c>
      <c r="U41" s="5"/>
      <c r="V41" s="5"/>
      <c r="W41" s="5">
        <f t="shared" si="6"/>
        <v>0</v>
      </c>
      <c r="X41" s="5"/>
      <c r="Y41" s="1"/>
      <c r="Z41" s="1"/>
      <c r="AA41" s="1">
        <f t="shared" si="7"/>
        <v>11.708372937008555</v>
      </c>
      <c r="AB41" s="1">
        <f t="shared" si="5"/>
        <v>11.708372937008555</v>
      </c>
      <c r="AC41" s="1">
        <v>7.7876000000000003</v>
      </c>
      <c r="AD41" s="1">
        <v>7.6316000000000006</v>
      </c>
      <c r="AE41" s="1">
        <v>6.4818000000000016</v>
      </c>
      <c r="AF41" s="1">
        <v>8.1997999999999998</v>
      </c>
      <c r="AG41" s="1">
        <v>8.4890000000000008</v>
      </c>
      <c r="AH41" s="1">
        <v>5.4808000000000003</v>
      </c>
      <c r="AI41" s="1">
        <v>4.2202000000000002</v>
      </c>
      <c r="AJ41" s="1">
        <v>6.6763999999999992</v>
      </c>
      <c r="AK41" s="1"/>
      <c r="AL41" s="1">
        <f t="shared" si="8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86</v>
      </c>
      <c r="B42" s="1" t="s">
        <v>46</v>
      </c>
      <c r="C42" s="1">
        <v>235</v>
      </c>
      <c r="D42" s="1">
        <v>343</v>
      </c>
      <c r="E42" s="1">
        <v>224</v>
      </c>
      <c r="F42" s="1">
        <v>244</v>
      </c>
      <c r="G42" s="8">
        <v>0.4</v>
      </c>
      <c r="H42" s="1">
        <v>40</v>
      </c>
      <c r="I42" s="1" t="s">
        <v>42</v>
      </c>
      <c r="J42" s="1"/>
      <c r="K42" s="1">
        <v>317</v>
      </c>
      <c r="L42" s="1">
        <f t="shared" si="10"/>
        <v>-93</v>
      </c>
      <c r="M42" s="1">
        <f t="shared" si="3"/>
        <v>140</v>
      </c>
      <c r="N42" s="1">
        <v>84</v>
      </c>
      <c r="O42" s="1"/>
      <c r="P42" s="1">
        <v>129</v>
      </c>
      <c r="Q42" s="1">
        <v>121.7999999999998</v>
      </c>
      <c r="R42" s="1"/>
      <c r="S42" s="1"/>
      <c r="T42" s="1">
        <f t="shared" si="4"/>
        <v>28</v>
      </c>
      <c r="U42" s="5"/>
      <c r="V42" s="5"/>
      <c r="W42" s="5">
        <f t="shared" si="6"/>
        <v>0</v>
      </c>
      <c r="X42" s="5"/>
      <c r="Y42" s="1"/>
      <c r="Z42" s="1"/>
      <c r="AA42" s="1">
        <f t="shared" si="7"/>
        <v>13.064285714285706</v>
      </c>
      <c r="AB42" s="1">
        <f t="shared" si="5"/>
        <v>13.064285714285706</v>
      </c>
      <c r="AC42" s="1">
        <v>36.4</v>
      </c>
      <c r="AD42" s="1">
        <v>34.6</v>
      </c>
      <c r="AE42" s="1">
        <v>28.4</v>
      </c>
      <c r="AF42" s="1">
        <v>31.8</v>
      </c>
      <c r="AG42" s="1">
        <v>35.200000000000003</v>
      </c>
      <c r="AH42" s="1">
        <v>30</v>
      </c>
      <c r="AI42" s="1">
        <v>29.8</v>
      </c>
      <c r="AJ42" s="1">
        <v>27</v>
      </c>
      <c r="AK42" s="1"/>
      <c r="AL42" s="1">
        <f t="shared" si="8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87</v>
      </c>
      <c r="B43" s="1" t="s">
        <v>46</v>
      </c>
      <c r="C43" s="1">
        <v>608</v>
      </c>
      <c r="D43" s="1">
        <v>1154</v>
      </c>
      <c r="E43" s="1">
        <v>364</v>
      </c>
      <c r="F43" s="1">
        <v>958</v>
      </c>
      <c r="G43" s="8">
        <v>0.4</v>
      </c>
      <c r="H43" s="1">
        <v>45</v>
      </c>
      <c r="I43" s="1" t="s">
        <v>42</v>
      </c>
      <c r="J43" s="1"/>
      <c r="K43" s="1">
        <v>458</v>
      </c>
      <c r="L43" s="1">
        <f t="shared" si="10"/>
        <v>-94</v>
      </c>
      <c r="M43" s="1">
        <f t="shared" si="3"/>
        <v>364</v>
      </c>
      <c r="N43" s="1"/>
      <c r="O43" s="1"/>
      <c r="P43" s="1">
        <v>132</v>
      </c>
      <c r="Q43" s="1">
        <v>0</v>
      </c>
      <c r="R43" s="1"/>
      <c r="S43" s="1"/>
      <c r="T43" s="1">
        <f t="shared" si="4"/>
        <v>72.8</v>
      </c>
      <c r="U43" s="5"/>
      <c r="V43" s="5">
        <f>2*$V$1*T43</f>
        <v>145.6</v>
      </c>
      <c r="W43" s="5">
        <f t="shared" si="6"/>
        <v>145.6</v>
      </c>
      <c r="X43" s="5"/>
      <c r="Y43" s="1"/>
      <c r="Z43" s="1"/>
      <c r="AA43" s="1">
        <f t="shared" si="7"/>
        <v>15.159340659340659</v>
      </c>
      <c r="AB43" s="1">
        <f t="shared" si="5"/>
        <v>13.159340659340661</v>
      </c>
      <c r="AC43" s="1">
        <v>72.599999999999994</v>
      </c>
      <c r="AD43" s="1">
        <v>97.8</v>
      </c>
      <c r="AE43" s="1">
        <v>65.8</v>
      </c>
      <c r="AF43" s="1">
        <v>84.6</v>
      </c>
      <c r="AG43" s="1">
        <v>83.4</v>
      </c>
      <c r="AH43" s="1">
        <v>83.6</v>
      </c>
      <c r="AI43" s="1">
        <v>60.2</v>
      </c>
      <c r="AJ43" s="1">
        <v>56.2</v>
      </c>
      <c r="AK43" s="1" t="s">
        <v>47</v>
      </c>
      <c r="AL43" s="1">
        <f t="shared" si="8"/>
        <v>58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88</v>
      </c>
      <c r="B44" s="1" t="s">
        <v>39</v>
      </c>
      <c r="C44" s="1">
        <v>84.85</v>
      </c>
      <c r="D44" s="1">
        <v>229.56899999999999</v>
      </c>
      <c r="E44" s="1">
        <v>111.524</v>
      </c>
      <c r="F44" s="1">
        <v>102.646</v>
      </c>
      <c r="G44" s="8">
        <v>1</v>
      </c>
      <c r="H44" s="1">
        <v>40</v>
      </c>
      <c r="I44" s="1" t="s">
        <v>42</v>
      </c>
      <c r="J44" s="1"/>
      <c r="K44" s="1">
        <v>143.49299999999999</v>
      </c>
      <c r="L44" s="1">
        <f t="shared" si="10"/>
        <v>-31.968999999999994</v>
      </c>
      <c r="M44" s="1">
        <f t="shared" si="3"/>
        <v>63.704000000000001</v>
      </c>
      <c r="N44" s="1">
        <v>47.82</v>
      </c>
      <c r="O44" s="1"/>
      <c r="P44" s="1">
        <v>0</v>
      </c>
      <c r="Q44" s="1">
        <v>0</v>
      </c>
      <c r="R44" s="1"/>
      <c r="S44" s="1"/>
      <c r="T44" s="1">
        <f t="shared" si="4"/>
        <v>12.7408</v>
      </c>
      <c r="U44" s="5">
        <f t="shared" si="11"/>
        <v>37.502799999999993</v>
      </c>
      <c r="V44" s="5"/>
      <c r="W44" s="5">
        <f t="shared" si="6"/>
        <v>37.502799999999993</v>
      </c>
      <c r="X44" s="5"/>
      <c r="Y44" s="1"/>
      <c r="Z44" s="1"/>
      <c r="AA44" s="1">
        <f t="shared" si="7"/>
        <v>11</v>
      </c>
      <c r="AB44" s="1">
        <f t="shared" si="5"/>
        <v>8.0564799698606056</v>
      </c>
      <c r="AC44" s="1">
        <v>11.8408</v>
      </c>
      <c r="AD44" s="1">
        <v>19.4712</v>
      </c>
      <c r="AE44" s="1">
        <v>18.616</v>
      </c>
      <c r="AF44" s="1">
        <v>17.1266</v>
      </c>
      <c r="AG44" s="1">
        <v>18.4694</v>
      </c>
      <c r="AH44" s="1">
        <v>16.678000000000001</v>
      </c>
      <c r="AI44" s="1">
        <v>14.911199999999999</v>
      </c>
      <c r="AJ44" s="1">
        <v>12.282999999999999</v>
      </c>
      <c r="AK44" s="1"/>
      <c r="AL44" s="1">
        <f t="shared" si="8"/>
        <v>38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89</v>
      </c>
      <c r="B45" s="1" t="s">
        <v>46</v>
      </c>
      <c r="C45" s="1">
        <v>562</v>
      </c>
      <c r="D45" s="1">
        <v>1254</v>
      </c>
      <c r="E45" s="1">
        <v>537</v>
      </c>
      <c r="F45" s="1">
        <v>677</v>
      </c>
      <c r="G45" s="8">
        <v>0.35</v>
      </c>
      <c r="H45" s="1">
        <v>40</v>
      </c>
      <c r="I45" s="1" t="s">
        <v>42</v>
      </c>
      <c r="J45" s="1"/>
      <c r="K45" s="1">
        <v>561</v>
      </c>
      <c r="L45" s="1">
        <f t="shared" si="10"/>
        <v>-24</v>
      </c>
      <c r="M45" s="1">
        <f t="shared" si="3"/>
        <v>513</v>
      </c>
      <c r="N45" s="1">
        <v>24</v>
      </c>
      <c r="O45" s="1"/>
      <c r="P45" s="1">
        <v>0</v>
      </c>
      <c r="Q45" s="1">
        <v>515.79999999999973</v>
      </c>
      <c r="R45" s="1"/>
      <c r="S45" s="1"/>
      <c r="T45" s="1">
        <f t="shared" si="4"/>
        <v>102.6</v>
      </c>
      <c r="U45" s="5"/>
      <c r="V45" s="5"/>
      <c r="W45" s="5">
        <f t="shared" si="6"/>
        <v>0</v>
      </c>
      <c r="X45" s="5"/>
      <c r="Y45" s="1"/>
      <c r="Z45" s="1"/>
      <c r="AA45" s="1">
        <f t="shared" si="7"/>
        <v>11.625730994152045</v>
      </c>
      <c r="AB45" s="1">
        <f t="shared" si="5"/>
        <v>11.625730994152045</v>
      </c>
      <c r="AC45" s="1">
        <v>122</v>
      </c>
      <c r="AD45" s="1">
        <v>112.2</v>
      </c>
      <c r="AE45" s="1">
        <v>101.6</v>
      </c>
      <c r="AF45" s="1">
        <v>104.2</v>
      </c>
      <c r="AG45" s="1">
        <v>94</v>
      </c>
      <c r="AH45" s="1">
        <v>97</v>
      </c>
      <c r="AI45" s="1">
        <v>112.2</v>
      </c>
      <c r="AJ45" s="1">
        <v>107.8</v>
      </c>
      <c r="AK45" s="1" t="s">
        <v>53</v>
      </c>
      <c r="AL45" s="1">
        <f t="shared" si="8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90</v>
      </c>
      <c r="B46" s="1" t="s">
        <v>46</v>
      </c>
      <c r="C46" s="1">
        <v>580</v>
      </c>
      <c r="D46" s="1">
        <v>492</v>
      </c>
      <c r="E46" s="1">
        <v>316</v>
      </c>
      <c r="F46" s="1">
        <v>484</v>
      </c>
      <c r="G46" s="8">
        <v>0.4</v>
      </c>
      <c r="H46" s="1">
        <v>40</v>
      </c>
      <c r="I46" s="1" t="s">
        <v>42</v>
      </c>
      <c r="J46" s="1"/>
      <c r="K46" s="1">
        <v>336</v>
      </c>
      <c r="L46" s="1">
        <f t="shared" si="10"/>
        <v>-20</v>
      </c>
      <c r="M46" s="1">
        <f t="shared" si="3"/>
        <v>316</v>
      </c>
      <c r="N46" s="1"/>
      <c r="O46" s="1"/>
      <c r="P46" s="1">
        <v>0</v>
      </c>
      <c r="Q46" s="1">
        <v>225.59999999999991</v>
      </c>
      <c r="R46" s="1"/>
      <c r="S46" s="1"/>
      <c r="T46" s="1">
        <f t="shared" si="4"/>
        <v>63.2</v>
      </c>
      <c r="U46" s="5"/>
      <c r="V46" s="5">
        <f>$V$1*T46</f>
        <v>63.2</v>
      </c>
      <c r="W46" s="5">
        <f t="shared" si="6"/>
        <v>63.2</v>
      </c>
      <c r="X46" s="5"/>
      <c r="Y46" s="1"/>
      <c r="Z46" s="1"/>
      <c r="AA46" s="1">
        <f t="shared" si="7"/>
        <v>12.227848101265822</v>
      </c>
      <c r="AB46" s="1">
        <f t="shared" si="5"/>
        <v>11.22784810126582</v>
      </c>
      <c r="AC46" s="1">
        <v>63.8</v>
      </c>
      <c r="AD46" s="1">
        <v>59.6</v>
      </c>
      <c r="AE46" s="1">
        <v>71.8</v>
      </c>
      <c r="AF46" s="1">
        <v>79.400000000000006</v>
      </c>
      <c r="AG46" s="1">
        <v>71.8</v>
      </c>
      <c r="AH46" s="1">
        <v>63.2</v>
      </c>
      <c r="AI46" s="1">
        <v>77.400000000000006</v>
      </c>
      <c r="AJ46" s="1">
        <v>71.8</v>
      </c>
      <c r="AK46" s="1" t="s">
        <v>47</v>
      </c>
      <c r="AL46" s="1">
        <f t="shared" si="8"/>
        <v>25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91</v>
      </c>
      <c r="B47" s="1" t="s">
        <v>39</v>
      </c>
      <c r="C47" s="1">
        <v>98.024000000000001</v>
      </c>
      <c r="D47" s="1">
        <v>153.11799999999999</v>
      </c>
      <c r="E47" s="1">
        <v>88.141999999999996</v>
      </c>
      <c r="F47" s="1">
        <v>99.686000000000007</v>
      </c>
      <c r="G47" s="8">
        <v>1</v>
      </c>
      <c r="H47" s="1">
        <v>50</v>
      </c>
      <c r="I47" s="1" t="s">
        <v>42</v>
      </c>
      <c r="J47" s="1"/>
      <c r="K47" s="1">
        <v>105.52500000000001</v>
      </c>
      <c r="L47" s="1">
        <f t="shared" si="10"/>
        <v>-17.38300000000001</v>
      </c>
      <c r="M47" s="1">
        <f t="shared" si="3"/>
        <v>66.861999999999995</v>
      </c>
      <c r="N47" s="1">
        <v>21.28</v>
      </c>
      <c r="O47" s="1"/>
      <c r="P47" s="1">
        <v>0</v>
      </c>
      <c r="Q47" s="1">
        <v>83.648399999999981</v>
      </c>
      <c r="R47" s="1"/>
      <c r="S47" s="1"/>
      <c r="T47" s="1">
        <f t="shared" si="4"/>
        <v>13.372399999999999</v>
      </c>
      <c r="U47" s="5"/>
      <c r="V47" s="5"/>
      <c r="W47" s="5">
        <f t="shared" si="6"/>
        <v>0</v>
      </c>
      <c r="X47" s="5"/>
      <c r="Y47" s="1"/>
      <c r="Z47" s="1"/>
      <c r="AA47" s="1">
        <f t="shared" si="7"/>
        <v>13.709909963806048</v>
      </c>
      <c r="AB47" s="1">
        <f t="shared" si="5"/>
        <v>13.709909963806048</v>
      </c>
      <c r="AC47" s="1">
        <v>16.836600000000001</v>
      </c>
      <c r="AD47" s="1">
        <v>15.747999999999999</v>
      </c>
      <c r="AE47" s="1">
        <v>14.630800000000001</v>
      </c>
      <c r="AF47" s="1">
        <v>17.389399999999998</v>
      </c>
      <c r="AG47" s="1">
        <v>14.558400000000001</v>
      </c>
      <c r="AH47" s="1">
        <v>12.037000000000001</v>
      </c>
      <c r="AI47" s="1">
        <v>15.0456</v>
      </c>
      <c r="AJ47" s="1">
        <v>13.2912</v>
      </c>
      <c r="AK47" s="1"/>
      <c r="AL47" s="1">
        <f t="shared" si="8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92</v>
      </c>
      <c r="B48" s="1" t="s">
        <v>39</v>
      </c>
      <c r="C48" s="1">
        <v>336.16699999999997</v>
      </c>
      <c r="D48" s="1">
        <v>1160.0509999999999</v>
      </c>
      <c r="E48" s="1">
        <v>336.18299999999999</v>
      </c>
      <c r="F48" s="1">
        <v>624.90899999999999</v>
      </c>
      <c r="G48" s="8">
        <v>1</v>
      </c>
      <c r="H48" s="1">
        <v>50</v>
      </c>
      <c r="I48" s="1" t="s">
        <v>42</v>
      </c>
      <c r="J48" s="1"/>
      <c r="K48" s="1">
        <v>628.36099999999999</v>
      </c>
      <c r="L48" s="1">
        <f t="shared" si="10"/>
        <v>-292.178</v>
      </c>
      <c r="M48" s="1">
        <f t="shared" si="3"/>
        <v>130.922</v>
      </c>
      <c r="N48" s="1">
        <v>205.261</v>
      </c>
      <c r="O48" s="1"/>
      <c r="P48" s="1">
        <v>0</v>
      </c>
      <c r="Q48" s="1">
        <v>355.75911999999971</v>
      </c>
      <c r="R48" s="1">
        <v>500</v>
      </c>
      <c r="S48" s="1">
        <v>182.52036000000001</v>
      </c>
      <c r="T48" s="1">
        <f t="shared" si="4"/>
        <v>26.1844</v>
      </c>
      <c r="U48" s="5"/>
      <c r="V48" s="5"/>
      <c r="W48" s="5">
        <f t="shared" si="6"/>
        <v>0</v>
      </c>
      <c r="X48" s="5"/>
      <c r="Y48" s="1"/>
      <c r="Z48" s="1"/>
      <c r="AA48" s="1">
        <f t="shared" si="7"/>
        <v>63.518296390217067</v>
      </c>
      <c r="AB48" s="1">
        <f t="shared" si="5"/>
        <v>63.518296390217067</v>
      </c>
      <c r="AC48" s="1">
        <v>110.61839999999999</v>
      </c>
      <c r="AD48" s="1">
        <v>105.82640000000001</v>
      </c>
      <c r="AE48" s="1">
        <v>53.627800000000001</v>
      </c>
      <c r="AF48" s="1">
        <v>76.497199999999992</v>
      </c>
      <c r="AG48" s="1">
        <v>104.42659999999999</v>
      </c>
      <c r="AH48" s="1">
        <v>57.78779999999999</v>
      </c>
      <c r="AI48" s="1">
        <v>78.423999999999992</v>
      </c>
      <c r="AJ48" s="1">
        <v>81.393799999999985</v>
      </c>
      <c r="AK48" s="1"/>
      <c r="AL48" s="1">
        <f t="shared" si="8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5" t="s">
        <v>93</v>
      </c>
      <c r="B49" s="15" t="s">
        <v>39</v>
      </c>
      <c r="C49" s="15"/>
      <c r="D49" s="15"/>
      <c r="E49" s="15"/>
      <c r="F49" s="15"/>
      <c r="G49" s="16">
        <v>0</v>
      </c>
      <c r="H49" s="15">
        <v>40</v>
      </c>
      <c r="I49" s="15" t="s">
        <v>42</v>
      </c>
      <c r="J49" s="15"/>
      <c r="K49" s="15"/>
      <c r="L49" s="15">
        <f t="shared" si="10"/>
        <v>0</v>
      </c>
      <c r="M49" s="15">
        <f t="shared" si="3"/>
        <v>0</v>
      </c>
      <c r="N49" s="15"/>
      <c r="O49" s="15"/>
      <c r="P49" s="15">
        <v>0</v>
      </c>
      <c r="Q49" s="15">
        <v>0</v>
      </c>
      <c r="R49" s="15"/>
      <c r="S49" s="15"/>
      <c r="T49" s="15">
        <f t="shared" si="4"/>
        <v>0</v>
      </c>
      <c r="U49" s="17"/>
      <c r="V49" s="17"/>
      <c r="W49" s="5">
        <f t="shared" si="6"/>
        <v>0</v>
      </c>
      <c r="X49" s="17"/>
      <c r="Y49" s="15"/>
      <c r="Z49" s="15"/>
      <c r="AA49" s="1" t="e">
        <f t="shared" si="7"/>
        <v>#DIV/0!</v>
      </c>
      <c r="AB49" s="15" t="e">
        <f t="shared" si="5"/>
        <v>#DIV/0!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 t="s">
        <v>58</v>
      </c>
      <c r="AL49" s="1">
        <f t="shared" si="8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94</v>
      </c>
      <c r="B50" s="1" t="s">
        <v>46</v>
      </c>
      <c r="C50" s="1">
        <v>162</v>
      </c>
      <c r="D50" s="1">
        <v>312</v>
      </c>
      <c r="E50" s="1">
        <v>187</v>
      </c>
      <c r="F50" s="1">
        <v>188</v>
      </c>
      <c r="G50" s="8">
        <v>0.45</v>
      </c>
      <c r="H50" s="1">
        <v>50</v>
      </c>
      <c r="I50" s="1" t="s">
        <v>42</v>
      </c>
      <c r="J50" s="1"/>
      <c r="K50" s="1">
        <v>218</v>
      </c>
      <c r="L50" s="1">
        <f t="shared" si="10"/>
        <v>-31</v>
      </c>
      <c r="M50" s="1">
        <f t="shared" si="3"/>
        <v>157</v>
      </c>
      <c r="N50" s="1">
        <v>30</v>
      </c>
      <c r="O50" s="1"/>
      <c r="P50" s="1">
        <v>0</v>
      </c>
      <c r="Q50" s="1">
        <v>144.19999999999999</v>
      </c>
      <c r="R50" s="1"/>
      <c r="S50" s="1"/>
      <c r="T50" s="1">
        <f t="shared" si="4"/>
        <v>31.4</v>
      </c>
      <c r="U50" s="5">
        <f t="shared" ref="U50:U65" si="13">11*T50-S50-R50-Q50-O50-F50</f>
        <v>13.199999999999989</v>
      </c>
      <c r="V50" s="5">
        <f>$V$1*T50</f>
        <v>31.4</v>
      </c>
      <c r="W50" s="5">
        <f t="shared" si="6"/>
        <v>44.599999999999987</v>
      </c>
      <c r="X50" s="5"/>
      <c r="Y50" s="1"/>
      <c r="Z50" s="1"/>
      <c r="AA50" s="1">
        <f t="shared" si="7"/>
        <v>11.999999999999998</v>
      </c>
      <c r="AB50" s="1">
        <f t="shared" si="5"/>
        <v>10.579617834394904</v>
      </c>
      <c r="AC50" s="1">
        <v>35</v>
      </c>
      <c r="AD50" s="1">
        <v>33.4</v>
      </c>
      <c r="AE50" s="1">
        <v>29.8</v>
      </c>
      <c r="AF50" s="1">
        <v>33</v>
      </c>
      <c r="AG50" s="1">
        <v>38.4</v>
      </c>
      <c r="AH50" s="1">
        <v>29</v>
      </c>
      <c r="AI50" s="1">
        <v>27.8</v>
      </c>
      <c r="AJ50" s="1">
        <v>30.4</v>
      </c>
      <c r="AK50" s="1" t="s">
        <v>47</v>
      </c>
      <c r="AL50" s="1">
        <f t="shared" si="8"/>
        <v>20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95</v>
      </c>
      <c r="B51" s="1" t="s">
        <v>46</v>
      </c>
      <c r="C51" s="1">
        <v>52</v>
      </c>
      <c r="D51" s="1">
        <v>111</v>
      </c>
      <c r="E51" s="1">
        <v>55</v>
      </c>
      <c r="F51" s="1">
        <v>86</v>
      </c>
      <c r="G51" s="8">
        <v>0.4</v>
      </c>
      <c r="H51" s="1">
        <v>40</v>
      </c>
      <c r="I51" s="1" t="s">
        <v>42</v>
      </c>
      <c r="J51" s="1"/>
      <c r="K51" s="1">
        <v>59</v>
      </c>
      <c r="L51" s="1">
        <f t="shared" si="10"/>
        <v>-4</v>
      </c>
      <c r="M51" s="1">
        <f t="shared" si="3"/>
        <v>55</v>
      </c>
      <c r="N51" s="1"/>
      <c r="O51" s="1"/>
      <c r="P51" s="1">
        <v>0</v>
      </c>
      <c r="Q51" s="1">
        <v>40</v>
      </c>
      <c r="R51" s="1"/>
      <c r="S51" s="1"/>
      <c r="T51" s="1">
        <f t="shared" si="4"/>
        <v>11</v>
      </c>
      <c r="U51" s="5"/>
      <c r="V51" s="5"/>
      <c r="W51" s="5">
        <f t="shared" si="6"/>
        <v>0</v>
      </c>
      <c r="X51" s="5"/>
      <c r="Y51" s="1"/>
      <c r="Z51" s="1"/>
      <c r="AA51" s="1">
        <f t="shared" si="7"/>
        <v>11.454545454545455</v>
      </c>
      <c r="AB51" s="1">
        <f t="shared" si="5"/>
        <v>11.454545454545455</v>
      </c>
      <c r="AC51" s="1">
        <v>12.8</v>
      </c>
      <c r="AD51" s="1">
        <v>13</v>
      </c>
      <c r="AE51" s="1">
        <v>11.2</v>
      </c>
      <c r="AF51" s="1">
        <v>8.6</v>
      </c>
      <c r="AG51" s="1">
        <v>8.1999999999999993</v>
      </c>
      <c r="AH51" s="1">
        <v>14.6</v>
      </c>
      <c r="AI51" s="1">
        <v>15.4</v>
      </c>
      <c r="AJ51" s="1">
        <v>11.6</v>
      </c>
      <c r="AK51" s="1"/>
      <c r="AL51" s="1">
        <f t="shared" si="8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96</v>
      </c>
      <c r="B52" s="1" t="s">
        <v>46</v>
      </c>
      <c r="C52" s="1">
        <v>128</v>
      </c>
      <c r="D52" s="1">
        <v>164</v>
      </c>
      <c r="E52" s="1">
        <v>84</v>
      </c>
      <c r="F52" s="1">
        <v>105</v>
      </c>
      <c r="G52" s="8">
        <v>0.4</v>
      </c>
      <c r="H52" s="1">
        <v>40</v>
      </c>
      <c r="I52" s="1" t="s">
        <v>42</v>
      </c>
      <c r="J52" s="1"/>
      <c r="K52" s="1">
        <v>91</v>
      </c>
      <c r="L52" s="1">
        <f t="shared" si="10"/>
        <v>-7</v>
      </c>
      <c r="M52" s="1">
        <f t="shared" si="3"/>
        <v>84</v>
      </c>
      <c r="N52" s="1"/>
      <c r="O52" s="1"/>
      <c r="P52" s="1">
        <v>0</v>
      </c>
      <c r="Q52" s="1">
        <v>43</v>
      </c>
      <c r="R52" s="1"/>
      <c r="S52" s="1"/>
      <c r="T52" s="1">
        <f t="shared" si="4"/>
        <v>16.8</v>
      </c>
      <c r="U52" s="5">
        <f t="shared" si="13"/>
        <v>36.800000000000011</v>
      </c>
      <c r="V52" s="5"/>
      <c r="W52" s="5">
        <f t="shared" si="6"/>
        <v>36.800000000000011</v>
      </c>
      <c r="X52" s="5"/>
      <c r="Y52" s="1"/>
      <c r="Z52" s="1"/>
      <c r="AA52" s="1">
        <f t="shared" si="7"/>
        <v>11</v>
      </c>
      <c r="AB52" s="1">
        <f t="shared" si="5"/>
        <v>8.8095238095238084</v>
      </c>
      <c r="AC52" s="1">
        <v>19</v>
      </c>
      <c r="AD52" s="1">
        <v>19</v>
      </c>
      <c r="AE52" s="1">
        <v>23.8</v>
      </c>
      <c r="AF52" s="1">
        <v>20.399999999999999</v>
      </c>
      <c r="AG52" s="1">
        <v>9.6</v>
      </c>
      <c r="AH52" s="1">
        <v>17.399999999999999</v>
      </c>
      <c r="AI52" s="1">
        <v>22.8</v>
      </c>
      <c r="AJ52" s="1">
        <v>13</v>
      </c>
      <c r="AK52" s="1" t="s">
        <v>97</v>
      </c>
      <c r="AL52" s="1">
        <f t="shared" si="8"/>
        <v>15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98</v>
      </c>
      <c r="B53" s="1" t="s">
        <v>39</v>
      </c>
      <c r="C53" s="1">
        <v>329.70400000000001</v>
      </c>
      <c r="D53" s="1">
        <v>223.62200000000001</v>
      </c>
      <c r="E53" s="1">
        <v>318.68799999999999</v>
      </c>
      <c r="F53" s="1">
        <v>-8.0960000000000001</v>
      </c>
      <c r="G53" s="8">
        <v>1</v>
      </c>
      <c r="H53" s="1">
        <v>50</v>
      </c>
      <c r="I53" s="1" t="s">
        <v>42</v>
      </c>
      <c r="J53" s="1"/>
      <c r="K53" s="1">
        <v>485.72</v>
      </c>
      <c r="L53" s="1">
        <f t="shared" si="10"/>
        <v>-167.03200000000004</v>
      </c>
      <c r="M53" s="1">
        <f t="shared" si="3"/>
        <v>136.268</v>
      </c>
      <c r="N53" s="1">
        <v>182.42</v>
      </c>
      <c r="O53" s="1"/>
      <c r="P53" s="1">
        <v>0</v>
      </c>
      <c r="Q53" s="1">
        <v>225.00699999999989</v>
      </c>
      <c r="R53" s="1"/>
      <c r="S53" s="1"/>
      <c r="T53" s="1">
        <f t="shared" si="4"/>
        <v>27.253599999999999</v>
      </c>
      <c r="U53" s="5">
        <f t="shared" si="13"/>
        <v>82.87860000000012</v>
      </c>
      <c r="V53" s="5">
        <f t="shared" ref="V53:V54" si="14">$V$1*T53</f>
        <v>27.253599999999999</v>
      </c>
      <c r="W53" s="5">
        <f t="shared" si="6"/>
        <v>110.13220000000013</v>
      </c>
      <c r="X53" s="5"/>
      <c r="Y53" s="1"/>
      <c r="Z53" s="1"/>
      <c r="AA53" s="1">
        <f t="shared" si="7"/>
        <v>12.000000000000002</v>
      </c>
      <c r="AB53" s="1">
        <f t="shared" si="5"/>
        <v>7.9589852349781278</v>
      </c>
      <c r="AC53" s="1">
        <v>33.127000000000002</v>
      </c>
      <c r="AD53" s="1">
        <v>25.907599999999999</v>
      </c>
      <c r="AE53" s="1">
        <v>23.498799999999999</v>
      </c>
      <c r="AF53" s="1">
        <v>44.981200000000001</v>
      </c>
      <c r="AG53" s="1">
        <v>31.518799999999999</v>
      </c>
      <c r="AH53" s="1">
        <v>16.065999999999999</v>
      </c>
      <c r="AI53" s="1">
        <v>33.654400000000003</v>
      </c>
      <c r="AJ53" s="1">
        <v>35.505600000000001</v>
      </c>
      <c r="AK53" s="1"/>
      <c r="AL53" s="1">
        <f t="shared" si="8"/>
        <v>110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99</v>
      </c>
      <c r="B54" s="1" t="s">
        <v>46</v>
      </c>
      <c r="C54" s="1">
        <v>165</v>
      </c>
      <c r="D54" s="1">
        <v>115</v>
      </c>
      <c r="E54" s="1">
        <v>115</v>
      </c>
      <c r="F54" s="1">
        <v>147</v>
      </c>
      <c r="G54" s="8">
        <v>0.1</v>
      </c>
      <c r="H54" s="1">
        <v>730</v>
      </c>
      <c r="I54" s="1" t="s">
        <v>42</v>
      </c>
      <c r="J54" s="1"/>
      <c r="K54" s="1">
        <v>117</v>
      </c>
      <c r="L54" s="1">
        <f t="shared" si="10"/>
        <v>-2</v>
      </c>
      <c r="M54" s="1">
        <f t="shared" si="3"/>
        <v>115</v>
      </c>
      <c r="N54" s="1"/>
      <c r="O54" s="1"/>
      <c r="P54" s="1">
        <v>0</v>
      </c>
      <c r="Q54" s="1">
        <v>0</v>
      </c>
      <c r="R54" s="1"/>
      <c r="S54" s="1"/>
      <c r="T54" s="1">
        <f t="shared" si="4"/>
        <v>23</v>
      </c>
      <c r="U54" s="5">
        <f t="shared" si="13"/>
        <v>106</v>
      </c>
      <c r="V54" s="5">
        <f t="shared" si="14"/>
        <v>23</v>
      </c>
      <c r="W54" s="5">
        <f t="shared" si="6"/>
        <v>129</v>
      </c>
      <c r="X54" s="5"/>
      <c r="Y54" s="1"/>
      <c r="Z54" s="1"/>
      <c r="AA54" s="1">
        <f t="shared" si="7"/>
        <v>12</v>
      </c>
      <c r="AB54" s="1">
        <f t="shared" si="5"/>
        <v>6.3913043478260869</v>
      </c>
      <c r="AC54" s="1">
        <v>17.8</v>
      </c>
      <c r="AD54" s="1">
        <v>19.399999999999999</v>
      </c>
      <c r="AE54" s="1">
        <v>25.2</v>
      </c>
      <c r="AF54" s="1">
        <v>24</v>
      </c>
      <c r="AG54" s="1">
        <v>21.4</v>
      </c>
      <c r="AH54" s="1">
        <v>25</v>
      </c>
      <c r="AI54" s="1">
        <v>29</v>
      </c>
      <c r="AJ54" s="1">
        <v>33.6</v>
      </c>
      <c r="AK54" s="1"/>
      <c r="AL54" s="1">
        <f t="shared" si="8"/>
        <v>13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100</v>
      </c>
      <c r="B55" s="1" t="s">
        <v>39</v>
      </c>
      <c r="C55" s="1">
        <v>333.27600000000001</v>
      </c>
      <c r="D55" s="1">
        <v>1092.2639999999999</v>
      </c>
      <c r="E55" s="1">
        <v>629.04</v>
      </c>
      <c r="F55" s="1">
        <v>224.602</v>
      </c>
      <c r="G55" s="8">
        <v>1</v>
      </c>
      <c r="H55" s="1">
        <v>50</v>
      </c>
      <c r="I55" s="1" t="s">
        <v>42</v>
      </c>
      <c r="J55" s="1"/>
      <c r="K55" s="1">
        <v>899.57299999999998</v>
      </c>
      <c r="L55" s="1">
        <f t="shared" si="10"/>
        <v>-270.53300000000002</v>
      </c>
      <c r="M55" s="1">
        <f t="shared" si="3"/>
        <v>327.76699999999994</v>
      </c>
      <c r="N55" s="1">
        <v>301.27300000000002</v>
      </c>
      <c r="O55" s="1">
        <v>103.17792</v>
      </c>
      <c r="P55" s="1">
        <v>0</v>
      </c>
      <c r="Q55" s="1">
        <v>196.23873999999981</v>
      </c>
      <c r="R55" s="1">
        <v>300</v>
      </c>
      <c r="S55" s="1">
        <v>151.47032999999999</v>
      </c>
      <c r="T55" s="1">
        <f t="shared" si="4"/>
        <v>65.553399999999982</v>
      </c>
      <c r="U55" s="5"/>
      <c r="V55" s="5">
        <f>$V$1*T55</f>
        <v>65.553399999999982</v>
      </c>
      <c r="W55" s="5">
        <f t="shared" si="6"/>
        <v>65.553399999999982</v>
      </c>
      <c r="X55" s="5"/>
      <c r="Y55" s="1"/>
      <c r="Z55" s="1"/>
      <c r="AA55" s="1">
        <f t="shared" si="7"/>
        <v>15.880829827285849</v>
      </c>
      <c r="AB55" s="1">
        <f t="shared" si="5"/>
        <v>14.880829827285847</v>
      </c>
      <c r="AC55" s="1">
        <v>91.80019999999999</v>
      </c>
      <c r="AD55" s="1">
        <v>77.473200000000006</v>
      </c>
      <c r="AE55" s="1">
        <v>85.9816</v>
      </c>
      <c r="AF55" s="1">
        <v>88.577799999999996</v>
      </c>
      <c r="AG55" s="1">
        <v>77.871799999999993</v>
      </c>
      <c r="AH55" s="1">
        <v>85.628999999999991</v>
      </c>
      <c r="AI55" s="1">
        <v>79.4756</v>
      </c>
      <c r="AJ55" s="1">
        <v>96.695400000000006</v>
      </c>
      <c r="AK55" s="1"/>
      <c r="AL55" s="1">
        <f t="shared" si="8"/>
        <v>66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101</v>
      </c>
      <c r="B56" s="1" t="s">
        <v>39</v>
      </c>
      <c r="C56" s="1">
        <v>58.000999999999998</v>
      </c>
      <c r="D56" s="1">
        <v>102.691</v>
      </c>
      <c r="E56" s="1">
        <v>57.984000000000002</v>
      </c>
      <c r="F56" s="1">
        <v>21.616</v>
      </c>
      <c r="G56" s="8">
        <v>1</v>
      </c>
      <c r="H56" s="1">
        <v>50</v>
      </c>
      <c r="I56" s="1" t="s">
        <v>42</v>
      </c>
      <c r="J56" s="1"/>
      <c r="K56" s="1">
        <v>78.247</v>
      </c>
      <c r="L56" s="1">
        <f t="shared" si="10"/>
        <v>-20.262999999999998</v>
      </c>
      <c r="M56" s="1">
        <f t="shared" si="3"/>
        <v>36.337000000000003</v>
      </c>
      <c r="N56" s="1">
        <v>21.646999999999998</v>
      </c>
      <c r="O56" s="1"/>
      <c r="P56" s="1">
        <v>0</v>
      </c>
      <c r="Q56" s="1">
        <v>24.29460000000002</v>
      </c>
      <c r="R56" s="1"/>
      <c r="S56" s="1"/>
      <c r="T56" s="1">
        <f t="shared" si="4"/>
        <v>7.2674000000000003</v>
      </c>
      <c r="U56" s="5">
        <f t="shared" si="13"/>
        <v>34.030799999999985</v>
      </c>
      <c r="V56" s="5"/>
      <c r="W56" s="5">
        <f t="shared" si="6"/>
        <v>34.030799999999985</v>
      </c>
      <c r="X56" s="5"/>
      <c r="Y56" s="1"/>
      <c r="Z56" s="1"/>
      <c r="AA56" s="1">
        <f t="shared" si="7"/>
        <v>11</v>
      </c>
      <c r="AB56" s="1">
        <f t="shared" si="5"/>
        <v>6.3173349478493019</v>
      </c>
      <c r="AC56" s="1">
        <v>5.3938000000000006</v>
      </c>
      <c r="AD56" s="1">
        <v>4.0502000000000002</v>
      </c>
      <c r="AE56" s="1">
        <v>6.4906000000000006</v>
      </c>
      <c r="AF56" s="1">
        <v>6.5042</v>
      </c>
      <c r="AG56" s="1">
        <v>2.1112000000000002</v>
      </c>
      <c r="AH56" s="1">
        <v>5.3954000000000004</v>
      </c>
      <c r="AI56" s="1">
        <v>6.2653999999999996</v>
      </c>
      <c r="AJ56" s="1">
        <v>2.9667999999999979</v>
      </c>
      <c r="AK56" s="1" t="s">
        <v>102</v>
      </c>
      <c r="AL56" s="1">
        <f t="shared" si="8"/>
        <v>34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103</v>
      </c>
      <c r="B57" s="1" t="s">
        <v>46</v>
      </c>
      <c r="C57" s="1">
        <v>145</v>
      </c>
      <c r="D57" s="1">
        <v>156</v>
      </c>
      <c r="E57" s="1">
        <v>138</v>
      </c>
      <c r="F57" s="1">
        <v>107</v>
      </c>
      <c r="G57" s="8">
        <v>0.1</v>
      </c>
      <c r="H57" s="1">
        <v>730</v>
      </c>
      <c r="I57" s="1" t="s">
        <v>42</v>
      </c>
      <c r="J57" s="1"/>
      <c r="K57" s="1">
        <v>138</v>
      </c>
      <c r="L57" s="1">
        <f t="shared" si="10"/>
        <v>0</v>
      </c>
      <c r="M57" s="1">
        <f t="shared" si="3"/>
        <v>138</v>
      </c>
      <c r="N57" s="1"/>
      <c r="O57" s="1"/>
      <c r="P57" s="1">
        <v>0</v>
      </c>
      <c r="Q57" s="1">
        <v>87.200000000000102</v>
      </c>
      <c r="R57" s="1"/>
      <c r="S57" s="1"/>
      <c r="T57" s="1">
        <f t="shared" si="4"/>
        <v>27.6</v>
      </c>
      <c r="U57" s="5">
        <f t="shared" si="13"/>
        <v>109.39999999999992</v>
      </c>
      <c r="V57" s="5">
        <f>$V$1*T57</f>
        <v>27.6</v>
      </c>
      <c r="W57" s="5">
        <f t="shared" si="6"/>
        <v>136.99999999999991</v>
      </c>
      <c r="X57" s="5"/>
      <c r="Y57" s="1"/>
      <c r="Z57" s="1"/>
      <c r="AA57" s="1">
        <f t="shared" si="7"/>
        <v>12.000000000000002</v>
      </c>
      <c r="AB57" s="1">
        <f t="shared" si="5"/>
        <v>7.0362318840579743</v>
      </c>
      <c r="AC57" s="1">
        <v>22.6</v>
      </c>
      <c r="AD57" s="1">
        <v>22.2</v>
      </c>
      <c r="AE57" s="1">
        <v>23.6</v>
      </c>
      <c r="AF57" s="1">
        <v>22.6</v>
      </c>
      <c r="AG57" s="1">
        <v>24.8</v>
      </c>
      <c r="AH57" s="1">
        <v>29.6</v>
      </c>
      <c r="AI57" s="1">
        <v>28.8</v>
      </c>
      <c r="AJ57" s="1">
        <v>29.4</v>
      </c>
      <c r="AK57" s="1"/>
      <c r="AL57" s="1">
        <f t="shared" si="8"/>
        <v>14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104</v>
      </c>
      <c r="B58" s="1" t="s">
        <v>46</v>
      </c>
      <c r="C58" s="1">
        <v>180</v>
      </c>
      <c r="D58" s="1">
        <v>304</v>
      </c>
      <c r="E58" s="1">
        <v>147</v>
      </c>
      <c r="F58" s="1">
        <v>162</v>
      </c>
      <c r="G58" s="8">
        <v>0.4</v>
      </c>
      <c r="H58" s="1">
        <v>50</v>
      </c>
      <c r="I58" s="1" t="s">
        <v>42</v>
      </c>
      <c r="J58" s="1"/>
      <c r="K58" s="1">
        <v>188</v>
      </c>
      <c r="L58" s="1">
        <f t="shared" si="10"/>
        <v>-41</v>
      </c>
      <c r="M58" s="1">
        <f t="shared" si="3"/>
        <v>137</v>
      </c>
      <c r="N58" s="1">
        <v>10</v>
      </c>
      <c r="O58" s="1"/>
      <c r="P58" s="1">
        <v>0</v>
      </c>
      <c r="Q58" s="1">
        <v>160.19999999999999</v>
      </c>
      <c r="R58" s="1"/>
      <c r="S58" s="1"/>
      <c r="T58" s="1">
        <f t="shared" si="4"/>
        <v>27.4</v>
      </c>
      <c r="U58" s="5"/>
      <c r="V58" s="5"/>
      <c r="W58" s="5">
        <f t="shared" si="6"/>
        <v>0</v>
      </c>
      <c r="X58" s="5"/>
      <c r="Y58" s="1"/>
      <c r="Z58" s="1"/>
      <c r="AA58" s="1">
        <f t="shared" si="7"/>
        <v>11.759124087591241</v>
      </c>
      <c r="AB58" s="1">
        <f t="shared" si="5"/>
        <v>11.759124087591241</v>
      </c>
      <c r="AC58" s="1">
        <v>33.6</v>
      </c>
      <c r="AD58" s="1">
        <v>26</v>
      </c>
      <c r="AE58" s="1">
        <v>33.799999999999997</v>
      </c>
      <c r="AF58" s="1">
        <v>30</v>
      </c>
      <c r="AG58" s="1">
        <v>18.8</v>
      </c>
      <c r="AH58" s="1">
        <v>30.8</v>
      </c>
      <c r="AI58" s="1">
        <v>26.8</v>
      </c>
      <c r="AJ58" s="1">
        <v>22.2</v>
      </c>
      <c r="AK58" s="1"/>
      <c r="AL58" s="1">
        <f t="shared" si="8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105</v>
      </c>
      <c r="B59" s="1" t="s">
        <v>39</v>
      </c>
      <c r="C59" s="1">
        <v>28.71</v>
      </c>
      <c r="D59" s="1">
        <v>115.645</v>
      </c>
      <c r="E59" s="1">
        <v>24.488</v>
      </c>
      <c r="F59" s="1">
        <v>62.762</v>
      </c>
      <c r="G59" s="8">
        <v>1</v>
      </c>
      <c r="H59" s="1">
        <v>40</v>
      </c>
      <c r="I59" s="1" t="s">
        <v>42</v>
      </c>
      <c r="J59" s="1"/>
      <c r="K59" s="1">
        <v>25.9</v>
      </c>
      <c r="L59" s="1">
        <f t="shared" si="10"/>
        <v>-1.411999999999999</v>
      </c>
      <c r="M59" s="1">
        <f t="shared" si="3"/>
        <v>24.488</v>
      </c>
      <c r="N59" s="1"/>
      <c r="O59" s="1"/>
      <c r="P59" s="1">
        <v>0</v>
      </c>
      <c r="Q59" s="1">
        <v>0</v>
      </c>
      <c r="R59" s="1"/>
      <c r="S59" s="1"/>
      <c r="T59" s="1">
        <f t="shared" si="4"/>
        <v>4.8975999999999997</v>
      </c>
      <c r="U59" s="5"/>
      <c r="V59" s="5"/>
      <c r="W59" s="5">
        <f t="shared" si="6"/>
        <v>0</v>
      </c>
      <c r="X59" s="5"/>
      <c r="Y59" s="1"/>
      <c r="Z59" s="1"/>
      <c r="AA59" s="1">
        <f t="shared" si="7"/>
        <v>12.814848088859851</v>
      </c>
      <c r="AB59" s="1">
        <f t="shared" si="5"/>
        <v>12.814848088859851</v>
      </c>
      <c r="AC59" s="1">
        <v>6.1856000000000009</v>
      </c>
      <c r="AD59" s="1">
        <v>10.2956</v>
      </c>
      <c r="AE59" s="1">
        <v>1.349</v>
      </c>
      <c r="AF59" s="1">
        <v>6.6890000000000001</v>
      </c>
      <c r="AG59" s="1">
        <v>6.6890000000000001</v>
      </c>
      <c r="AH59" s="1">
        <v>0</v>
      </c>
      <c r="AI59" s="1">
        <v>0</v>
      </c>
      <c r="AJ59" s="1">
        <v>0</v>
      </c>
      <c r="AK59" s="1" t="s">
        <v>81</v>
      </c>
      <c r="AL59" s="1">
        <f t="shared" si="8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106</v>
      </c>
      <c r="B60" s="1" t="s">
        <v>39</v>
      </c>
      <c r="C60" s="1">
        <v>42.673000000000002</v>
      </c>
      <c r="D60" s="1">
        <v>1.3779999999999999</v>
      </c>
      <c r="E60" s="1">
        <v>15.108000000000001</v>
      </c>
      <c r="F60" s="1">
        <v>27.565000000000001</v>
      </c>
      <c r="G60" s="8">
        <v>1</v>
      </c>
      <c r="H60" s="1">
        <v>40</v>
      </c>
      <c r="I60" s="1" t="s">
        <v>42</v>
      </c>
      <c r="J60" s="1"/>
      <c r="K60" s="1">
        <v>14.5</v>
      </c>
      <c r="L60" s="1">
        <f t="shared" si="10"/>
        <v>0.60800000000000054</v>
      </c>
      <c r="M60" s="1">
        <f t="shared" si="3"/>
        <v>15.108000000000001</v>
      </c>
      <c r="N60" s="1"/>
      <c r="O60" s="1"/>
      <c r="P60" s="1">
        <v>0</v>
      </c>
      <c r="Q60" s="1">
        <v>0</v>
      </c>
      <c r="R60" s="1"/>
      <c r="S60" s="1"/>
      <c r="T60" s="1">
        <f t="shared" si="4"/>
        <v>3.0216000000000003</v>
      </c>
      <c r="U60" s="5">
        <f t="shared" si="13"/>
        <v>5.6725999999999992</v>
      </c>
      <c r="V60" s="5"/>
      <c r="W60" s="5">
        <f t="shared" si="6"/>
        <v>5.6725999999999992</v>
      </c>
      <c r="X60" s="5"/>
      <c r="Y60" s="1"/>
      <c r="Z60" s="1"/>
      <c r="AA60" s="1">
        <f t="shared" si="7"/>
        <v>11</v>
      </c>
      <c r="AB60" s="1">
        <f t="shared" si="5"/>
        <v>9.1226502515223711</v>
      </c>
      <c r="AC60" s="1">
        <v>1.9358</v>
      </c>
      <c r="AD60" s="1">
        <v>1.9308000000000001</v>
      </c>
      <c r="AE60" s="1">
        <v>1.0986</v>
      </c>
      <c r="AF60" s="1">
        <v>5.2514000000000003</v>
      </c>
      <c r="AG60" s="1">
        <v>4.9763999999999999</v>
      </c>
      <c r="AH60" s="1">
        <v>0</v>
      </c>
      <c r="AI60" s="1">
        <v>0</v>
      </c>
      <c r="AJ60" s="1">
        <v>0</v>
      </c>
      <c r="AK60" s="1" t="s">
        <v>107</v>
      </c>
      <c r="AL60" s="1">
        <f t="shared" si="8"/>
        <v>6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108</v>
      </c>
      <c r="B61" s="1" t="s">
        <v>46</v>
      </c>
      <c r="C61" s="1">
        <v>514</v>
      </c>
      <c r="D61" s="1">
        <v>1640</v>
      </c>
      <c r="E61" s="1">
        <v>792</v>
      </c>
      <c r="F61" s="1">
        <v>647</v>
      </c>
      <c r="G61" s="8">
        <v>0.4</v>
      </c>
      <c r="H61" s="1">
        <v>40</v>
      </c>
      <c r="I61" s="1" t="s">
        <v>42</v>
      </c>
      <c r="J61" s="1"/>
      <c r="K61" s="1">
        <v>1005</v>
      </c>
      <c r="L61" s="1">
        <f t="shared" si="10"/>
        <v>-213</v>
      </c>
      <c r="M61" s="1">
        <f t="shared" si="3"/>
        <v>546</v>
      </c>
      <c r="N61" s="1">
        <v>246</v>
      </c>
      <c r="O61" s="1"/>
      <c r="P61" s="1">
        <v>0</v>
      </c>
      <c r="Q61" s="1">
        <v>116.60000000000041</v>
      </c>
      <c r="R61" s="1"/>
      <c r="S61" s="1"/>
      <c r="T61" s="1">
        <f t="shared" si="4"/>
        <v>109.2</v>
      </c>
      <c r="U61" s="5">
        <f t="shared" si="13"/>
        <v>437.59999999999968</v>
      </c>
      <c r="V61" s="5">
        <f t="shared" ref="V61:V65" si="15">$V$1*T61</f>
        <v>109.2</v>
      </c>
      <c r="W61" s="5">
        <f t="shared" si="6"/>
        <v>546.79999999999973</v>
      </c>
      <c r="X61" s="5"/>
      <c r="Y61" s="1"/>
      <c r="Z61" s="1"/>
      <c r="AA61" s="1">
        <f t="shared" si="7"/>
        <v>12</v>
      </c>
      <c r="AB61" s="1">
        <f t="shared" si="5"/>
        <v>6.9926739926739963</v>
      </c>
      <c r="AC61" s="1">
        <v>108.4</v>
      </c>
      <c r="AD61" s="1">
        <v>128.19999999999999</v>
      </c>
      <c r="AE61" s="1">
        <v>117.8</v>
      </c>
      <c r="AF61" s="1">
        <v>125.6</v>
      </c>
      <c r="AG61" s="1">
        <v>123</v>
      </c>
      <c r="AH61" s="1">
        <v>112</v>
      </c>
      <c r="AI61" s="1">
        <v>134</v>
      </c>
      <c r="AJ61" s="1">
        <v>132.80000000000001</v>
      </c>
      <c r="AK61" s="1"/>
      <c r="AL61" s="1">
        <f t="shared" si="8"/>
        <v>219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109</v>
      </c>
      <c r="B62" s="1" t="s">
        <v>46</v>
      </c>
      <c r="C62" s="1">
        <v>538</v>
      </c>
      <c r="D62" s="1">
        <v>917</v>
      </c>
      <c r="E62" s="1">
        <v>554</v>
      </c>
      <c r="F62" s="1">
        <v>441</v>
      </c>
      <c r="G62" s="8">
        <v>0.4</v>
      </c>
      <c r="H62" s="1">
        <v>40</v>
      </c>
      <c r="I62" s="1" t="s">
        <v>42</v>
      </c>
      <c r="J62" s="1"/>
      <c r="K62" s="1">
        <v>698</v>
      </c>
      <c r="L62" s="1">
        <f t="shared" si="10"/>
        <v>-144</v>
      </c>
      <c r="M62" s="1">
        <f t="shared" si="3"/>
        <v>410</v>
      </c>
      <c r="N62" s="1">
        <v>144</v>
      </c>
      <c r="O62" s="1"/>
      <c r="P62" s="1">
        <v>0</v>
      </c>
      <c r="Q62" s="1">
        <v>187.80000000000021</v>
      </c>
      <c r="R62" s="1"/>
      <c r="S62" s="1"/>
      <c r="T62" s="1">
        <f t="shared" si="4"/>
        <v>82</v>
      </c>
      <c r="U62" s="5">
        <f t="shared" si="13"/>
        <v>273.19999999999982</v>
      </c>
      <c r="V62" s="5">
        <f t="shared" si="15"/>
        <v>82</v>
      </c>
      <c r="W62" s="5">
        <f t="shared" si="6"/>
        <v>355.19999999999982</v>
      </c>
      <c r="X62" s="5"/>
      <c r="Y62" s="1"/>
      <c r="Z62" s="1"/>
      <c r="AA62" s="1">
        <f t="shared" si="7"/>
        <v>12</v>
      </c>
      <c r="AB62" s="1">
        <f t="shared" si="5"/>
        <v>7.6682926829268316</v>
      </c>
      <c r="AC62" s="1">
        <v>82.2</v>
      </c>
      <c r="AD62" s="1">
        <v>90</v>
      </c>
      <c r="AE62" s="1">
        <v>89</v>
      </c>
      <c r="AF62" s="1">
        <v>104.6</v>
      </c>
      <c r="AG62" s="1">
        <v>96.2</v>
      </c>
      <c r="AH62" s="1">
        <v>83</v>
      </c>
      <c r="AI62" s="1">
        <v>101.6</v>
      </c>
      <c r="AJ62" s="1">
        <v>95</v>
      </c>
      <c r="AK62" s="1"/>
      <c r="AL62" s="1">
        <f t="shared" si="8"/>
        <v>142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110</v>
      </c>
      <c r="B63" s="1" t="s">
        <v>39</v>
      </c>
      <c r="C63" s="1">
        <v>1086.8689999999999</v>
      </c>
      <c r="D63" s="1">
        <v>1285.471</v>
      </c>
      <c r="E63" s="1">
        <v>722.03</v>
      </c>
      <c r="F63" s="1">
        <v>484.14</v>
      </c>
      <c r="G63" s="8">
        <v>1</v>
      </c>
      <c r="H63" s="1">
        <v>40</v>
      </c>
      <c r="I63" s="1" t="s">
        <v>42</v>
      </c>
      <c r="J63" s="1"/>
      <c r="K63" s="1">
        <v>1090.0239999999999</v>
      </c>
      <c r="L63" s="1">
        <f t="shared" si="10"/>
        <v>-367.99399999999991</v>
      </c>
      <c r="M63" s="1">
        <f t="shared" si="3"/>
        <v>662.79199999999992</v>
      </c>
      <c r="N63" s="1">
        <v>59.238</v>
      </c>
      <c r="O63" s="1"/>
      <c r="P63" s="1">
        <v>0</v>
      </c>
      <c r="Q63" s="1">
        <v>346.33500000000032</v>
      </c>
      <c r="R63" s="1"/>
      <c r="S63" s="1"/>
      <c r="T63" s="1">
        <f t="shared" si="4"/>
        <v>132.55839999999998</v>
      </c>
      <c r="U63" s="5">
        <f t="shared" si="13"/>
        <v>627.66739999999947</v>
      </c>
      <c r="V63" s="5">
        <f t="shared" si="15"/>
        <v>132.55839999999998</v>
      </c>
      <c r="W63" s="5">
        <f t="shared" si="6"/>
        <v>760.22579999999948</v>
      </c>
      <c r="X63" s="5"/>
      <c r="Y63" s="1"/>
      <c r="Z63" s="1"/>
      <c r="AA63" s="1">
        <f t="shared" si="7"/>
        <v>12</v>
      </c>
      <c r="AB63" s="1">
        <f t="shared" si="5"/>
        <v>6.2649745319798704</v>
      </c>
      <c r="AC63" s="1">
        <v>118.876</v>
      </c>
      <c r="AD63" s="1">
        <v>86.885599999999997</v>
      </c>
      <c r="AE63" s="1">
        <v>134.798</v>
      </c>
      <c r="AF63" s="1">
        <v>142.23079999999999</v>
      </c>
      <c r="AG63" s="1">
        <v>134.5926</v>
      </c>
      <c r="AH63" s="1">
        <v>123.28319999999999</v>
      </c>
      <c r="AI63" s="1">
        <v>116.29859999999999</v>
      </c>
      <c r="AJ63" s="1">
        <v>103.773</v>
      </c>
      <c r="AK63" s="1"/>
      <c r="AL63" s="1">
        <f t="shared" si="8"/>
        <v>760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111</v>
      </c>
      <c r="B64" s="1" t="s">
        <v>39</v>
      </c>
      <c r="C64" s="1">
        <v>155.90299999999999</v>
      </c>
      <c r="D64" s="1">
        <v>556.54700000000003</v>
      </c>
      <c r="E64" s="1">
        <v>294.726</v>
      </c>
      <c r="F64" s="1">
        <v>94.811999999999998</v>
      </c>
      <c r="G64" s="8">
        <v>1</v>
      </c>
      <c r="H64" s="1">
        <v>40</v>
      </c>
      <c r="I64" s="1" t="s">
        <v>42</v>
      </c>
      <c r="J64" s="1"/>
      <c r="K64" s="1">
        <v>429.49700000000001</v>
      </c>
      <c r="L64" s="1">
        <f t="shared" si="10"/>
        <v>-134.77100000000002</v>
      </c>
      <c r="M64" s="1">
        <f t="shared" si="3"/>
        <v>175.72899999999998</v>
      </c>
      <c r="N64" s="1">
        <v>118.997</v>
      </c>
      <c r="O64" s="1"/>
      <c r="P64" s="1">
        <v>0</v>
      </c>
      <c r="Q64" s="1">
        <v>46.606599999999901</v>
      </c>
      <c r="R64" s="1"/>
      <c r="S64" s="1"/>
      <c r="T64" s="1">
        <f t="shared" si="4"/>
        <v>35.145799999999994</v>
      </c>
      <c r="U64" s="5">
        <f t="shared" si="13"/>
        <v>245.18520000000001</v>
      </c>
      <c r="V64" s="5">
        <f t="shared" si="15"/>
        <v>35.145799999999994</v>
      </c>
      <c r="W64" s="5">
        <f t="shared" si="6"/>
        <v>280.33100000000002</v>
      </c>
      <c r="X64" s="5"/>
      <c r="Y64" s="1"/>
      <c r="Z64" s="1"/>
      <c r="AA64" s="1">
        <f t="shared" si="7"/>
        <v>12</v>
      </c>
      <c r="AB64" s="1">
        <f t="shared" si="5"/>
        <v>4.0237695542568366</v>
      </c>
      <c r="AC64" s="1">
        <v>28.92</v>
      </c>
      <c r="AD64" s="1">
        <v>35.021999999999998</v>
      </c>
      <c r="AE64" s="1">
        <v>38.9268</v>
      </c>
      <c r="AF64" s="1">
        <v>41.825000000000003</v>
      </c>
      <c r="AG64" s="1">
        <v>31.602799999999998</v>
      </c>
      <c r="AH64" s="1">
        <v>52.027199999999993</v>
      </c>
      <c r="AI64" s="1">
        <v>59.866200000000013</v>
      </c>
      <c r="AJ64" s="1">
        <v>36.925400000000003</v>
      </c>
      <c r="AK64" s="1"/>
      <c r="AL64" s="1">
        <f t="shared" si="8"/>
        <v>280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112</v>
      </c>
      <c r="B65" s="1" t="s">
        <v>39</v>
      </c>
      <c r="C65" s="1">
        <v>250.375</v>
      </c>
      <c r="D65" s="1">
        <v>548.57000000000005</v>
      </c>
      <c r="E65" s="1">
        <v>412.57100000000003</v>
      </c>
      <c r="F65" s="1">
        <v>39.802</v>
      </c>
      <c r="G65" s="8">
        <v>1</v>
      </c>
      <c r="H65" s="1">
        <v>40</v>
      </c>
      <c r="I65" s="1" t="s">
        <v>42</v>
      </c>
      <c r="J65" s="1"/>
      <c r="K65" s="1">
        <v>723.928</v>
      </c>
      <c r="L65" s="1">
        <f t="shared" si="10"/>
        <v>-311.35699999999997</v>
      </c>
      <c r="M65" s="1">
        <f t="shared" si="3"/>
        <v>178.94300000000004</v>
      </c>
      <c r="N65" s="1">
        <v>233.62799999999999</v>
      </c>
      <c r="O65" s="1"/>
      <c r="P65" s="1">
        <v>0</v>
      </c>
      <c r="Q65" s="1">
        <v>254.08640000000011</v>
      </c>
      <c r="R65" s="1"/>
      <c r="S65" s="1"/>
      <c r="T65" s="1">
        <f t="shared" si="4"/>
        <v>35.78860000000001</v>
      </c>
      <c r="U65" s="5">
        <f t="shared" si="13"/>
        <v>99.786200000000008</v>
      </c>
      <c r="V65" s="5">
        <f t="shared" si="15"/>
        <v>35.78860000000001</v>
      </c>
      <c r="W65" s="5">
        <f t="shared" si="6"/>
        <v>135.57480000000001</v>
      </c>
      <c r="X65" s="5"/>
      <c r="Y65" s="1"/>
      <c r="Z65" s="1"/>
      <c r="AA65" s="1">
        <f t="shared" si="7"/>
        <v>12</v>
      </c>
      <c r="AB65" s="1">
        <f t="shared" si="5"/>
        <v>8.2117881112980111</v>
      </c>
      <c r="AC65" s="1">
        <v>48.407200000000003</v>
      </c>
      <c r="AD65" s="1">
        <v>42.871199999999988</v>
      </c>
      <c r="AE65" s="1">
        <v>60.671799999999998</v>
      </c>
      <c r="AF65" s="1">
        <v>72.136400000000009</v>
      </c>
      <c r="AG65" s="1">
        <v>81.566000000000003</v>
      </c>
      <c r="AH65" s="1">
        <v>95.064999999999998</v>
      </c>
      <c r="AI65" s="1">
        <v>99.543599999999998</v>
      </c>
      <c r="AJ65" s="1">
        <v>85.085399999999993</v>
      </c>
      <c r="AK65" s="1"/>
      <c r="AL65" s="1">
        <f t="shared" si="8"/>
        <v>136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113</v>
      </c>
      <c r="B66" s="1" t="s">
        <v>39</v>
      </c>
      <c r="C66" s="1">
        <v>67.156999999999996</v>
      </c>
      <c r="D66" s="1">
        <v>85.900999999999996</v>
      </c>
      <c r="E66" s="1">
        <v>48.948999999999998</v>
      </c>
      <c r="F66" s="1">
        <v>71.835999999999999</v>
      </c>
      <c r="G66" s="8">
        <v>1</v>
      </c>
      <c r="H66" s="1">
        <v>30</v>
      </c>
      <c r="I66" s="1" t="s">
        <v>42</v>
      </c>
      <c r="J66" s="1"/>
      <c r="K66" s="1">
        <v>49.5</v>
      </c>
      <c r="L66" s="1">
        <f t="shared" si="10"/>
        <v>-0.55100000000000193</v>
      </c>
      <c r="M66" s="1">
        <f t="shared" si="3"/>
        <v>48.948999999999998</v>
      </c>
      <c r="N66" s="1"/>
      <c r="O66" s="1"/>
      <c r="P66" s="1">
        <v>0</v>
      </c>
      <c r="Q66" s="1">
        <v>35.0458</v>
      </c>
      <c r="R66" s="1"/>
      <c r="S66" s="1"/>
      <c r="T66" s="1">
        <f t="shared" si="4"/>
        <v>9.7897999999999996</v>
      </c>
      <c r="U66" s="5">
        <v>4</v>
      </c>
      <c r="V66" s="5"/>
      <c r="W66" s="5">
        <f t="shared" si="6"/>
        <v>4</v>
      </c>
      <c r="X66" s="5"/>
      <c r="Y66" s="1"/>
      <c r="Z66" s="1"/>
      <c r="AA66" s="1">
        <f t="shared" si="7"/>
        <v>11.32625794193957</v>
      </c>
      <c r="AB66" s="1">
        <f t="shared" si="5"/>
        <v>10.917669411019633</v>
      </c>
      <c r="AC66" s="1">
        <v>10.714600000000001</v>
      </c>
      <c r="AD66" s="1">
        <v>10.331799999999999</v>
      </c>
      <c r="AE66" s="1">
        <v>9.1194000000000006</v>
      </c>
      <c r="AF66" s="1">
        <v>10.2104</v>
      </c>
      <c r="AG66" s="1">
        <v>11.2958</v>
      </c>
      <c r="AH66" s="1">
        <v>9.4171999999999993</v>
      </c>
      <c r="AI66" s="1">
        <v>8.4593999999999987</v>
      </c>
      <c r="AJ66" s="1">
        <v>10.456</v>
      </c>
      <c r="AK66" s="1"/>
      <c r="AL66" s="1">
        <f t="shared" si="8"/>
        <v>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114</v>
      </c>
      <c r="B67" s="1" t="s">
        <v>46</v>
      </c>
      <c r="C67" s="1">
        <v>57</v>
      </c>
      <c r="D67" s="1">
        <v>240</v>
      </c>
      <c r="E67" s="1">
        <v>78</v>
      </c>
      <c r="F67" s="1">
        <v>161</v>
      </c>
      <c r="G67" s="8">
        <v>0.6</v>
      </c>
      <c r="H67" s="1">
        <v>60</v>
      </c>
      <c r="I67" s="1" t="s">
        <v>42</v>
      </c>
      <c r="J67" s="1"/>
      <c r="K67" s="1">
        <v>78</v>
      </c>
      <c r="L67" s="1">
        <f t="shared" si="10"/>
        <v>0</v>
      </c>
      <c r="M67" s="1">
        <f t="shared" si="3"/>
        <v>78</v>
      </c>
      <c r="N67" s="1"/>
      <c r="O67" s="1"/>
      <c r="P67" s="1">
        <v>0</v>
      </c>
      <c r="Q67" s="1">
        <v>43.799999999999898</v>
      </c>
      <c r="R67" s="1"/>
      <c r="S67" s="1"/>
      <c r="T67" s="1">
        <f t="shared" si="4"/>
        <v>15.6</v>
      </c>
      <c r="U67" s="5"/>
      <c r="V67" s="5"/>
      <c r="W67" s="5">
        <f t="shared" si="6"/>
        <v>0</v>
      </c>
      <c r="X67" s="5"/>
      <c r="Y67" s="1"/>
      <c r="Z67" s="1"/>
      <c r="AA67" s="1">
        <f t="shared" si="7"/>
        <v>13.128205128205122</v>
      </c>
      <c r="AB67" s="1">
        <f t="shared" si="5"/>
        <v>13.128205128205122</v>
      </c>
      <c r="AC67" s="1">
        <v>19.399999999999999</v>
      </c>
      <c r="AD67" s="1">
        <v>21.4</v>
      </c>
      <c r="AE67" s="1">
        <v>21.4</v>
      </c>
      <c r="AF67" s="1">
        <v>14.4</v>
      </c>
      <c r="AG67" s="1">
        <v>15.4</v>
      </c>
      <c r="AH67" s="1">
        <v>16.399999999999999</v>
      </c>
      <c r="AI67" s="1">
        <v>16.2</v>
      </c>
      <c r="AJ67" s="1">
        <v>14.6</v>
      </c>
      <c r="AK67" s="1" t="s">
        <v>47</v>
      </c>
      <c r="AL67" s="1">
        <f t="shared" si="8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5" t="s">
        <v>115</v>
      </c>
      <c r="B68" s="15" t="s">
        <v>46</v>
      </c>
      <c r="C68" s="15"/>
      <c r="D68" s="15"/>
      <c r="E68" s="15"/>
      <c r="F68" s="15"/>
      <c r="G68" s="16">
        <v>0</v>
      </c>
      <c r="H68" s="15">
        <v>50</v>
      </c>
      <c r="I68" s="15" t="s">
        <v>42</v>
      </c>
      <c r="J68" s="15"/>
      <c r="K68" s="15"/>
      <c r="L68" s="15">
        <f t="shared" si="10"/>
        <v>0</v>
      </c>
      <c r="M68" s="15">
        <f t="shared" si="3"/>
        <v>0</v>
      </c>
      <c r="N68" s="15"/>
      <c r="O68" s="15"/>
      <c r="P68" s="15">
        <v>0</v>
      </c>
      <c r="Q68" s="15">
        <v>0</v>
      </c>
      <c r="R68" s="15"/>
      <c r="S68" s="15"/>
      <c r="T68" s="15">
        <f t="shared" si="4"/>
        <v>0</v>
      </c>
      <c r="U68" s="17"/>
      <c r="V68" s="17"/>
      <c r="W68" s="5">
        <f t="shared" si="6"/>
        <v>0</v>
      </c>
      <c r="X68" s="17"/>
      <c r="Y68" s="15"/>
      <c r="Z68" s="15"/>
      <c r="AA68" s="1" t="e">
        <f t="shared" si="7"/>
        <v>#DIV/0!</v>
      </c>
      <c r="AB68" s="15" t="e">
        <f t="shared" si="5"/>
        <v>#DIV/0!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 t="s">
        <v>58</v>
      </c>
      <c r="AL68" s="1">
        <f t="shared" si="8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5" t="s">
        <v>116</v>
      </c>
      <c r="B69" s="15" t="s">
        <v>46</v>
      </c>
      <c r="C69" s="15"/>
      <c r="D69" s="15"/>
      <c r="E69" s="15"/>
      <c r="F69" s="15"/>
      <c r="G69" s="16">
        <v>0</v>
      </c>
      <c r="H69" s="15">
        <v>30</v>
      </c>
      <c r="I69" s="15" t="s">
        <v>42</v>
      </c>
      <c r="J69" s="15"/>
      <c r="K69" s="15"/>
      <c r="L69" s="15">
        <f t="shared" si="10"/>
        <v>0</v>
      </c>
      <c r="M69" s="15">
        <f t="shared" si="3"/>
        <v>0</v>
      </c>
      <c r="N69" s="15"/>
      <c r="O69" s="15"/>
      <c r="P69" s="15">
        <v>0</v>
      </c>
      <c r="Q69" s="15">
        <v>0</v>
      </c>
      <c r="R69" s="15"/>
      <c r="S69" s="15"/>
      <c r="T69" s="15">
        <f t="shared" si="4"/>
        <v>0</v>
      </c>
      <c r="U69" s="17"/>
      <c r="V69" s="17"/>
      <c r="W69" s="5">
        <f t="shared" si="6"/>
        <v>0</v>
      </c>
      <c r="X69" s="17"/>
      <c r="Y69" s="15"/>
      <c r="Z69" s="15"/>
      <c r="AA69" s="1" t="e">
        <f t="shared" si="7"/>
        <v>#DIV/0!</v>
      </c>
      <c r="AB69" s="15" t="e">
        <f t="shared" si="5"/>
        <v>#DIV/0!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 t="s">
        <v>58</v>
      </c>
      <c r="AL69" s="1">
        <f t="shared" si="8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117</v>
      </c>
      <c r="B70" s="1" t="s">
        <v>46</v>
      </c>
      <c r="C70" s="1">
        <v>30</v>
      </c>
      <c r="D70" s="1">
        <v>181</v>
      </c>
      <c r="E70" s="1">
        <v>50</v>
      </c>
      <c r="F70" s="1">
        <v>117</v>
      </c>
      <c r="G70" s="8">
        <v>0.6</v>
      </c>
      <c r="H70" s="1">
        <v>55</v>
      </c>
      <c r="I70" s="1" t="s">
        <v>42</v>
      </c>
      <c r="J70" s="1"/>
      <c r="K70" s="1">
        <v>53</v>
      </c>
      <c r="L70" s="1">
        <f t="shared" ref="L70:L95" si="16">E70-K70</f>
        <v>-3</v>
      </c>
      <c r="M70" s="1">
        <f t="shared" si="3"/>
        <v>50</v>
      </c>
      <c r="N70" s="1"/>
      <c r="O70" s="1"/>
      <c r="P70" s="1">
        <v>0</v>
      </c>
      <c r="Q70" s="1">
        <v>0</v>
      </c>
      <c r="R70" s="1"/>
      <c r="S70" s="1"/>
      <c r="T70" s="1">
        <f t="shared" si="4"/>
        <v>10</v>
      </c>
      <c r="U70" s="5"/>
      <c r="V70" s="5"/>
      <c r="W70" s="5">
        <f t="shared" si="6"/>
        <v>0</v>
      </c>
      <c r="X70" s="5"/>
      <c r="Y70" s="1"/>
      <c r="Z70" s="1"/>
      <c r="AA70" s="1">
        <f t="shared" si="7"/>
        <v>11.7</v>
      </c>
      <c r="AB70" s="1">
        <f t="shared" si="5"/>
        <v>11.7</v>
      </c>
      <c r="AC70" s="1">
        <v>10.6</v>
      </c>
      <c r="AD70" s="1">
        <v>15.2</v>
      </c>
      <c r="AE70" s="1">
        <v>16.399999999999999</v>
      </c>
      <c r="AF70" s="1">
        <v>9.4</v>
      </c>
      <c r="AG70" s="1">
        <v>7.2</v>
      </c>
      <c r="AH70" s="1">
        <v>8.6</v>
      </c>
      <c r="AI70" s="1">
        <v>10.8</v>
      </c>
      <c r="AJ70" s="1">
        <v>10.199999999999999</v>
      </c>
      <c r="AK70" s="1"/>
      <c r="AL70" s="1">
        <f t="shared" si="8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5" t="s">
        <v>118</v>
      </c>
      <c r="B71" s="15" t="s">
        <v>46</v>
      </c>
      <c r="C71" s="15"/>
      <c r="D71" s="15"/>
      <c r="E71" s="15"/>
      <c r="F71" s="15"/>
      <c r="G71" s="16">
        <v>0</v>
      </c>
      <c r="H71" s="15">
        <v>40</v>
      </c>
      <c r="I71" s="15" t="s">
        <v>42</v>
      </c>
      <c r="J71" s="15"/>
      <c r="K71" s="15"/>
      <c r="L71" s="15">
        <f t="shared" si="16"/>
        <v>0</v>
      </c>
      <c r="M71" s="15">
        <f t="shared" ref="M71:M95" si="17">E71-N71</f>
        <v>0</v>
      </c>
      <c r="N71" s="15"/>
      <c r="O71" s="15"/>
      <c r="P71" s="15">
        <v>0</v>
      </c>
      <c r="Q71" s="15">
        <v>0</v>
      </c>
      <c r="R71" s="15"/>
      <c r="S71" s="15"/>
      <c r="T71" s="15">
        <f t="shared" ref="T71:T95" si="18">M71/5</f>
        <v>0</v>
      </c>
      <c r="U71" s="17"/>
      <c r="V71" s="17"/>
      <c r="W71" s="5">
        <f t="shared" si="6"/>
        <v>0</v>
      </c>
      <c r="X71" s="17"/>
      <c r="Y71" s="15"/>
      <c r="Z71" s="15"/>
      <c r="AA71" s="1" t="e">
        <f t="shared" si="7"/>
        <v>#DIV/0!</v>
      </c>
      <c r="AB71" s="15" t="e">
        <f t="shared" ref="AB71:AB95" si="19">(F71+O71+Q71+R71+S71)/T71</f>
        <v>#DIV/0!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 t="s">
        <v>119</v>
      </c>
      <c r="AL71" s="1">
        <f t="shared" si="8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120</v>
      </c>
      <c r="B72" s="1" t="s">
        <v>46</v>
      </c>
      <c r="C72" s="1">
        <v>76</v>
      </c>
      <c r="D72" s="1">
        <v>100</v>
      </c>
      <c r="E72" s="1">
        <v>60</v>
      </c>
      <c r="F72" s="1">
        <v>76</v>
      </c>
      <c r="G72" s="8">
        <v>0.4</v>
      </c>
      <c r="H72" s="1">
        <v>50</v>
      </c>
      <c r="I72" s="1" t="s">
        <v>42</v>
      </c>
      <c r="J72" s="1"/>
      <c r="K72" s="1">
        <v>60</v>
      </c>
      <c r="L72" s="1">
        <f t="shared" si="16"/>
        <v>0</v>
      </c>
      <c r="M72" s="1">
        <f t="shared" si="17"/>
        <v>60</v>
      </c>
      <c r="N72" s="1"/>
      <c r="O72" s="1"/>
      <c r="P72" s="1">
        <v>0</v>
      </c>
      <c r="Q72" s="1">
        <v>44</v>
      </c>
      <c r="R72" s="1"/>
      <c r="S72" s="1"/>
      <c r="T72" s="1">
        <f t="shared" si="18"/>
        <v>12</v>
      </c>
      <c r="U72" s="5">
        <f>11*T72-S72-R72-Q72-O72-F72</f>
        <v>12</v>
      </c>
      <c r="V72" s="5"/>
      <c r="W72" s="5">
        <f t="shared" ref="W72:W95" si="20">V72+U72</f>
        <v>12</v>
      </c>
      <c r="X72" s="5"/>
      <c r="Y72" s="1"/>
      <c r="Z72" s="1"/>
      <c r="AA72" s="1">
        <f t="shared" ref="AA72:AA95" si="21">(F72+O72+Q72+R72+S72+W72)/T72</f>
        <v>11</v>
      </c>
      <c r="AB72" s="1">
        <f t="shared" si="19"/>
        <v>10</v>
      </c>
      <c r="AC72" s="1">
        <v>12</v>
      </c>
      <c r="AD72" s="1">
        <v>9</v>
      </c>
      <c r="AE72" s="1">
        <v>13.4</v>
      </c>
      <c r="AF72" s="1">
        <v>11</v>
      </c>
      <c r="AG72" s="1">
        <v>6.2</v>
      </c>
      <c r="AH72" s="1">
        <v>8.8000000000000007</v>
      </c>
      <c r="AI72" s="1">
        <v>11</v>
      </c>
      <c r="AJ72" s="1">
        <v>11.8</v>
      </c>
      <c r="AK72" s="1" t="s">
        <v>47</v>
      </c>
      <c r="AL72" s="1">
        <f t="shared" ref="AL72:AL95" si="22">ROUND(G72*W72,0)</f>
        <v>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5" t="s">
        <v>121</v>
      </c>
      <c r="B73" s="15" t="s">
        <v>46</v>
      </c>
      <c r="C73" s="15"/>
      <c r="D73" s="15"/>
      <c r="E73" s="15"/>
      <c r="F73" s="15"/>
      <c r="G73" s="16">
        <v>0</v>
      </c>
      <c r="H73" s="15">
        <v>55</v>
      </c>
      <c r="I73" s="15" t="s">
        <v>42</v>
      </c>
      <c r="J73" s="15"/>
      <c r="K73" s="15"/>
      <c r="L73" s="15">
        <f t="shared" si="16"/>
        <v>0</v>
      </c>
      <c r="M73" s="15">
        <f t="shared" si="17"/>
        <v>0</v>
      </c>
      <c r="N73" s="15"/>
      <c r="O73" s="15"/>
      <c r="P73" s="15">
        <v>0</v>
      </c>
      <c r="Q73" s="15">
        <v>0</v>
      </c>
      <c r="R73" s="15"/>
      <c r="S73" s="15"/>
      <c r="T73" s="15">
        <f t="shared" si="18"/>
        <v>0</v>
      </c>
      <c r="U73" s="17"/>
      <c r="V73" s="17"/>
      <c r="W73" s="5">
        <f t="shared" si="20"/>
        <v>0</v>
      </c>
      <c r="X73" s="17"/>
      <c r="Y73" s="15"/>
      <c r="Z73" s="15"/>
      <c r="AA73" s="1" t="e">
        <f t="shared" si="21"/>
        <v>#DIV/0!</v>
      </c>
      <c r="AB73" s="15" t="e">
        <f t="shared" si="19"/>
        <v>#DIV/0!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 t="s">
        <v>122</v>
      </c>
      <c r="AL73" s="1">
        <f t="shared" si="22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123</v>
      </c>
      <c r="B74" s="1" t="s">
        <v>39</v>
      </c>
      <c r="C74" s="1">
        <v>12.984999999999999</v>
      </c>
      <c r="D74" s="1">
        <v>32.972999999999999</v>
      </c>
      <c r="E74" s="1">
        <v>4.3360000000000003</v>
      </c>
      <c r="F74" s="1">
        <v>31.532</v>
      </c>
      <c r="G74" s="8">
        <v>1</v>
      </c>
      <c r="H74" s="1">
        <v>55</v>
      </c>
      <c r="I74" s="1" t="s">
        <v>42</v>
      </c>
      <c r="J74" s="1"/>
      <c r="K74" s="1">
        <v>3.8</v>
      </c>
      <c r="L74" s="1">
        <f t="shared" si="16"/>
        <v>0.53600000000000048</v>
      </c>
      <c r="M74" s="1">
        <f t="shared" si="17"/>
        <v>4.3360000000000003</v>
      </c>
      <c r="N74" s="1"/>
      <c r="O74" s="1"/>
      <c r="P74" s="1">
        <v>0</v>
      </c>
      <c r="Q74" s="1">
        <v>0</v>
      </c>
      <c r="R74" s="1"/>
      <c r="S74" s="1"/>
      <c r="T74" s="1">
        <f t="shared" si="18"/>
        <v>0.86720000000000008</v>
      </c>
      <c r="U74" s="5"/>
      <c r="V74" s="5"/>
      <c r="W74" s="5">
        <f t="shared" si="20"/>
        <v>0</v>
      </c>
      <c r="X74" s="5"/>
      <c r="Y74" s="1"/>
      <c r="Z74" s="1"/>
      <c r="AA74" s="1">
        <f t="shared" si="21"/>
        <v>36.360701107011067</v>
      </c>
      <c r="AB74" s="1">
        <f t="shared" si="19"/>
        <v>36.360701107011067</v>
      </c>
      <c r="AC74" s="1">
        <v>2.3111999999999999</v>
      </c>
      <c r="AD74" s="1">
        <v>2.8879999999999999</v>
      </c>
      <c r="AE74" s="1">
        <v>2.5996000000000001</v>
      </c>
      <c r="AF74" s="1">
        <v>1.7298</v>
      </c>
      <c r="AG74" s="1">
        <v>2.2995999999999999</v>
      </c>
      <c r="AH74" s="1">
        <v>1.7254</v>
      </c>
      <c r="AI74" s="1">
        <v>0</v>
      </c>
      <c r="AJ74" s="1">
        <v>0</v>
      </c>
      <c r="AK74" s="1"/>
      <c r="AL74" s="1">
        <f t="shared" si="22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124</v>
      </c>
      <c r="B75" s="1" t="s">
        <v>39</v>
      </c>
      <c r="C75" s="1">
        <v>3179.672</v>
      </c>
      <c r="D75" s="1">
        <v>2955.5079999999998</v>
      </c>
      <c r="E75" s="1">
        <v>1511.9459999999999</v>
      </c>
      <c r="F75" s="1">
        <v>2386.0369999999998</v>
      </c>
      <c r="G75" s="8">
        <v>1</v>
      </c>
      <c r="H75" s="1">
        <v>60</v>
      </c>
      <c r="I75" s="1" t="s">
        <v>42</v>
      </c>
      <c r="J75" s="1"/>
      <c r="K75" s="1">
        <v>1521.03</v>
      </c>
      <c r="L75" s="1">
        <f t="shared" si="16"/>
        <v>-9.08400000000006</v>
      </c>
      <c r="M75" s="1">
        <f t="shared" si="17"/>
        <v>1460.7259999999999</v>
      </c>
      <c r="N75" s="1">
        <v>51.22</v>
      </c>
      <c r="O75" s="1">
        <v>539.69544000000008</v>
      </c>
      <c r="P75" s="1">
        <v>0</v>
      </c>
      <c r="Q75" s="1">
        <v>740.55245999999852</v>
      </c>
      <c r="R75" s="1">
        <v>1200</v>
      </c>
      <c r="S75" s="1">
        <v>703.06994999999984</v>
      </c>
      <c r="T75" s="1">
        <f t="shared" si="18"/>
        <v>292.14519999999999</v>
      </c>
      <c r="U75" s="5"/>
      <c r="V75" s="5"/>
      <c r="W75" s="5">
        <f t="shared" si="20"/>
        <v>0</v>
      </c>
      <c r="X75" s="5"/>
      <c r="Y75" s="1"/>
      <c r="Z75" s="1"/>
      <c r="AA75" s="1">
        <f t="shared" si="21"/>
        <v>19.063653450407532</v>
      </c>
      <c r="AB75" s="1">
        <f t="shared" si="19"/>
        <v>19.063653450407532</v>
      </c>
      <c r="AC75" s="1">
        <v>426.10300000000001</v>
      </c>
      <c r="AD75" s="1">
        <v>356.89120000000003</v>
      </c>
      <c r="AE75" s="1">
        <v>449.74619999999999</v>
      </c>
      <c r="AF75" s="1">
        <v>438.57800000000009</v>
      </c>
      <c r="AG75" s="1">
        <v>343.56400000000002</v>
      </c>
      <c r="AH75" s="1">
        <v>445.36980000000011</v>
      </c>
      <c r="AI75" s="1">
        <v>401.02140000000003</v>
      </c>
      <c r="AJ75" s="1">
        <v>365.46319999999997</v>
      </c>
      <c r="AK75" s="20" t="s">
        <v>153</v>
      </c>
      <c r="AL75" s="1">
        <f t="shared" si="22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125</v>
      </c>
      <c r="B76" s="1" t="s">
        <v>39</v>
      </c>
      <c r="C76" s="1">
        <v>1864.14</v>
      </c>
      <c r="D76" s="1">
        <v>835.89700000000005</v>
      </c>
      <c r="E76" s="1">
        <v>509.51400000000001</v>
      </c>
      <c r="F76" s="1">
        <v>1566.105</v>
      </c>
      <c r="G76" s="8">
        <v>1</v>
      </c>
      <c r="H76" s="1">
        <v>60</v>
      </c>
      <c r="I76" s="1" t="s">
        <v>42</v>
      </c>
      <c r="J76" s="1"/>
      <c r="K76" s="1">
        <v>600.89499999999998</v>
      </c>
      <c r="L76" s="1">
        <f t="shared" si="16"/>
        <v>-91.380999999999972</v>
      </c>
      <c r="M76" s="1">
        <f t="shared" si="17"/>
        <v>464.399</v>
      </c>
      <c r="N76" s="1">
        <v>45.115000000000002</v>
      </c>
      <c r="O76" s="1">
        <v>260.51208000000003</v>
      </c>
      <c r="P76" s="1">
        <v>0</v>
      </c>
      <c r="Q76" s="1">
        <v>0</v>
      </c>
      <c r="R76" s="1"/>
      <c r="S76" s="1"/>
      <c r="T76" s="1">
        <f t="shared" si="18"/>
        <v>92.879800000000003</v>
      </c>
      <c r="U76" s="5"/>
      <c r="V76" s="5"/>
      <c r="W76" s="5">
        <f t="shared" si="20"/>
        <v>0</v>
      </c>
      <c r="X76" s="5"/>
      <c r="Y76" s="1"/>
      <c r="Z76" s="1"/>
      <c r="AA76" s="1">
        <f t="shared" si="21"/>
        <v>19.666462244750743</v>
      </c>
      <c r="AB76" s="1">
        <f t="shared" si="19"/>
        <v>19.666462244750743</v>
      </c>
      <c r="AC76" s="1">
        <v>145.39879999999999</v>
      </c>
      <c r="AD76" s="1">
        <v>123.854</v>
      </c>
      <c r="AE76" s="1">
        <v>217.0934</v>
      </c>
      <c r="AF76" s="1">
        <v>212.60059999999999</v>
      </c>
      <c r="AG76" s="1">
        <v>128.0436</v>
      </c>
      <c r="AH76" s="1">
        <v>281.48399999999998</v>
      </c>
      <c r="AI76" s="1">
        <v>153.85640000000001</v>
      </c>
      <c r="AJ76" s="1">
        <v>127.7578</v>
      </c>
      <c r="AK76" s="19" t="s">
        <v>154</v>
      </c>
      <c r="AL76" s="1">
        <f t="shared" si="22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126</v>
      </c>
      <c r="B77" s="1" t="s">
        <v>39</v>
      </c>
      <c r="C77" s="1">
        <v>1346.3510000000001</v>
      </c>
      <c r="D77" s="1">
        <v>1752.002</v>
      </c>
      <c r="E77" s="1">
        <v>1584.529</v>
      </c>
      <c r="F77" s="1">
        <v>579.60299999999995</v>
      </c>
      <c r="G77" s="8">
        <v>1</v>
      </c>
      <c r="H77" s="1">
        <v>60</v>
      </c>
      <c r="I77" s="1" t="s">
        <v>42</v>
      </c>
      <c r="J77" s="1"/>
      <c r="K77" s="1">
        <v>1749.7750000000001</v>
      </c>
      <c r="L77" s="1">
        <f t="shared" si="16"/>
        <v>-165.24600000000009</v>
      </c>
      <c r="M77" s="1">
        <f t="shared" si="17"/>
        <v>920.822</v>
      </c>
      <c r="N77" s="1">
        <v>663.70699999999999</v>
      </c>
      <c r="O77" s="1">
        <v>266.6268</v>
      </c>
      <c r="P77" s="1">
        <v>0</v>
      </c>
      <c r="Q77" s="1">
        <v>176.6447799999994</v>
      </c>
      <c r="R77" s="1">
        <v>270</v>
      </c>
      <c r="S77" s="1">
        <v>311.31473999999992</v>
      </c>
      <c r="T77" s="1">
        <f t="shared" si="18"/>
        <v>184.1644</v>
      </c>
      <c r="U77" s="5">
        <f t="shared" ref="U77:U83" si="23">11*T77-S77-R77-Q77-O77-F77</f>
        <v>421.61908000000074</v>
      </c>
      <c r="V77" s="5">
        <f>3*$V$1*T77</f>
        <v>552.4932</v>
      </c>
      <c r="W77" s="5">
        <f t="shared" si="20"/>
        <v>974.11228000000074</v>
      </c>
      <c r="X77" s="5"/>
      <c r="Y77" s="1"/>
      <c r="Z77" s="1"/>
      <c r="AA77" s="1">
        <f t="shared" si="21"/>
        <v>13.999999999999998</v>
      </c>
      <c r="AB77" s="1">
        <f t="shared" si="19"/>
        <v>8.7106374521894523</v>
      </c>
      <c r="AC77" s="1">
        <v>188.6756</v>
      </c>
      <c r="AD77" s="1">
        <v>191.93440000000001</v>
      </c>
      <c r="AE77" s="1">
        <v>222.18899999999999</v>
      </c>
      <c r="AF77" s="1">
        <v>257.75979999999998</v>
      </c>
      <c r="AG77" s="1">
        <v>241.37219999999999</v>
      </c>
      <c r="AH77" s="1">
        <v>245.13919999999999</v>
      </c>
      <c r="AI77" s="1">
        <v>251.12299999999999</v>
      </c>
      <c r="AJ77" s="1">
        <v>248.63159999999999</v>
      </c>
      <c r="AK77" s="1" t="s">
        <v>127</v>
      </c>
      <c r="AL77" s="1">
        <f t="shared" si="22"/>
        <v>974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128</v>
      </c>
      <c r="B78" s="1" t="s">
        <v>39</v>
      </c>
      <c r="C78" s="1">
        <v>3379.7330000000002</v>
      </c>
      <c r="D78" s="1">
        <v>4299.79</v>
      </c>
      <c r="E78" s="1">
        <v>1716.8140000000001</v>
      </c>
      <c r="F78" s="1">
        <v>3068.7750000000001</v>
      </c>
      <c r="G78" s="8">
        <v>1</v>
      </c>
      <c r="H78" s="1">
        <v>60</v>
      </c>
      <c r="I78" s="1" t="s">
        <v>42</v>
      </c>
      <c r="J78" s="1"/>
      <c r="K78" s="1">
        <v>2259.886</v>
      </c>
      <c r="L78" s="1">
        <f t="shared" si="16"/>
        <v>-543.07199999999989</v>
      </c>
      <c r="M78" s="1">
        <f t="shared" si="17"/>
        <v>1490.9930000000002</v>
      </c>
      <c r="N78" s="1">
        <v>225.821</v>
      </c>
      <c r="O78" s="1"/>
      <c r="P78" s="1">
        <v>140</v>
      </c>
      <c r="Q78" s="1">
        <v>615.00057999999945</v>
      </c>
      <c r="R78" s="1">
        <v>1000</v>
      </c>
      <c r="S78" s="1">
        <v>690.96818999999994</v>
      </c>
      <c r="T78" s="1">
        <f t="shared" si="18"/>
        <v>298.19860000000006</v>
      </c>
      <c r="U78" s="5"/>
      <c r="V78" s="5"/>
      <c r="W78" s="5">
        <f t="shared" si="20"/>
        <v>0</v>
      </c>
      <c r="X78" s="5"/>
      <c r="Y78" s="1"/>
      <c r="Z78" s="1"/>
      <c r="AA78" s="1">
        <f t="shared" si="21"/>
        <v>18.024040924404066</v>
      </c>
      <c r="AB78" s="1">
        <f t="shared" si="19"/>
        <v>18.024040924404066</v>
      </c>
      <c r="AC78" s="1">
        <v>418.76859999999999</v>
      </c>
      <c r="AD78" s="1">
        <v>363.77280000000002</v>
      </c>
      <c r="AE78" s="1">
        <v>424.80040000000002</v>
      </c>
      <c r="AF78" s="1">
        <v>503.06060000000002</v>
      </c>
      <c r="AG78" s="1">
        <v>405.0668</v>
      </c>
      <c r="AH78" s="1">
        <v>491.63380000000001</v>
      </c>
      <c r="AI78" s="1">
        <v>336.88099999999997</v>
      </c>
      <c r="AJ78" s="1">
        <v>323.82159999999999</v>
      </c>
      <c r="AK78" s="20" t="s">
        <v>153</v>
      </c>
      <c r="AL78" s="1">
        <f t="shared" si="22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129</v>
      </c>
      <c r="B79" s="1" t="s">
        <v>39</v>
      </c>
      <c r="C79" s="1">
        <v>191.18199999999999</v>
      </c>
      <c r="D79" s="1">
        <v>12.4</v>
      </c>
      <c r="E79" s="1">
        <v>11.984</v>
      </c>
      <c r="F79" s="1">
        <v>179.614</v>
      </c>
      <c r="G79" s="8">
        <v>1</v>
      </c>
      <c r="H79" s="1">
        <v>60</v>
      </c>
      <c r="I79" s="1" t="s">
        <v>42</v>
      </c>
      <c r="J79" s="1"/>
      <c r="K79" s="1">
        <v>23.984000000000002</v>
      </c>
      <c r="L79" s="1">
        <f t="shared" si="16"/>
        <v>-12.000000000000002</v>
      </c>
      <c r="M79" s="1">
        <f t="shared" si="17"/>
        <v>0</v>
      </c>
      <c r="N79" s="1">
        <v>11.984</v>
      </c>
      <c r="O79" s="1"/>
      <c r="P79" s="1">
        <v>0</v>
      </c>
      <c r="Q79" s="1">
        <v>0</v>
      </c>
      <c r="R79" s="1"/>
      <c r="S79" s="1"/>
      <c r="T79" s="1">
        <f t="shared" si="18"/>
        <v>0</v>
      </c>
      <c r="U79" s="5"/>
      <c r="V79" s="5"/>
      <c r="W79" s="5">
        <f t="shared" si="20"/>
        <v>0</v>
      </c>
      <c r="X79" s="5"/>
      <c r="Y79" s="1"/>
      <c r="Z79" s="1"/>
      <c r="AA79" s="1" t="e">
        <f t="shared" si="21"/>
        <v>#DIV/0!</v>
      </c>
      <c r="AB79" s="1" t="e">
        <f t="shared" si="19"/>
        <v>#DIV/0!</v>
      </c>
      <c r="AC79" s="1">
        <v>2.3967999999999998</v>
      </c>
      <c r="AD79" s="1">
        <v>0</v>
      </c>
      <c r="AE79" s="1">
        <v>2.4283999999999999</v>
      </c>
      <c r="AF79" s="1">
        <v>0</v>
      </c>
      <c r="AG79" s="1">
        <v>5.8215999999999992</v>
      </c>
      <c r="AH79" s="1">
        <v>1.2829999999999999</v>
      </c>
      <c r="AI79" s="1">
        <v>0.79899999999999982</v>
      </c>
      <c r="AJ79" s="1">
        <v>0.48000000000000009</v>
      </c>
      <c r="AK79" s="21" t="s">
        <v>60</v>
      </c>
      <c r="AL79" s="1">
        <f t="shared" si="22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130</v>
      </c>
      <c r="B80" s="1" t="s">
        <v>46</v>
      </c>
      <c r="C80" s="1">
        <v>124</v>
      </c>
      <c r="D80" s="1">
        <v>160</v>
      </c>
      <c r="E80" s="1">
        <v>88</v>
      </c>
      <c r="F80" s="1">
        <v>92</v>
      </c>
      <c r="G80" s="8">
        <v>0.3</v>
      </c>
      <c r="H80" s="1">
        <v>40</v>
      </c>
      <c r="I80" s="1" t="s">
        <v>42</v>
      </c>
      <c r="J80" s="1"/>
      <c r="K80" s="1">
        <v>95</v>
      </c>
      <c r="L80" s="1">
        <f t="shared" si="16"/>
        <v>-7</v>
      </c>
      <c r="M80" s="1">
        <f t="shared" si="17"/>
        <v>88</v>
      </c>
      <c r="N80" s="1"/>
      <c r="O80" s="1"/>
      <c r="P80" s="1">
        <v>0</v>
      </c>
      <c r="Q80" s="1">
        <v>45.199999999999932</v>
      </c>
      <c r="R80" s="1"/>
      <c r="S80" s="1"/>
      <c r="T80" s="1">
        <f t="shared" si="18"/>
        <v>17.600000000000001</v>
      </c>
      <c r="U80" s="5">
        <f t="shared" si="23"/>
        <v>56.400000000000091</v>
      </c>
      <c r="V80" s="5"/>
      <c r="W80" s="5">
        <f t="shared" si="20"/>
        <v>56.400000000000091</v>
      </c>
      <c r="X80" s="5"/>
      <c r="Y80" s="1"/>
      <c r="Z80" s="1"/>
      <c r="AA80" s="1">
        <f t="shared" si="21"/>
        <v>11</v>
      </c>
      <c r="AB80" s="1">
        <f t="shared" si="19"/>
        <v>7.7954545454545405</v>
      </c>
      <c r="AC80" s="1">
        <v>16.2</v>
      </c>
      <c r="AD80" s="1">
        <v>16.600000000000001</v>
      </c>
      <c r="AE80" s="1">
        <v>18</v>
      </c>
      <c r="AF80" s="1">
        <v>18.600000000000001</v>
      </c>
      <c r="AG80" s="1">
        <v>16.2</v>
      </c>
      <c r="AH80" s="1">
        <v>16.2</v>
      </c>
      <c r="AI80" s="1">
        <v>16.600000000000001</v>
      </c>
      <c r="AJ80" s="1">
        <v>15.2</v>
      </c>
      <c r="AK80" s="1"/>
      <c r="AL80" s="1">
        <f t="shared" si="22"/>
        <v>17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131</v>
      </c>
      <c r="B81" s="1" t="s">
        <v>46</v>
      </c>
      <c r="C81" s="1">
        <v>94</v>
      </c>
      <c r="D81" s="1">
        <v>77</v>
      </c>
      <c r="E81" s="1">
        <v>45</v>
      </c>
      <c r="F81" s="1">
        <v>86</v>
      </c>
      <c r="G81" s="8">
        <v>7.0000000000000007E-2</v>
      </c>
      <c r="H81" s="1">
        <v>90</v>
      </c>
      <c r="I81" s="1" t="s">
        <v>42</v>
      </c>
      <c r="J81" s="1"/>
      <c r="K81" s="1">
        <v>45</v>
      </c>
      <c r="L81" s="1">
        <f t="shared" si="16"/>
        <v>0</v>
      </c>
      <c r="M81" s="1">
        <f t="shared" si="17"/>
        <v>45</v>
      </c>
      <c r="N81" s="1"/>
      <c r="O81" s="1"/>
      <c r="P81" s="1">
        <v>0</v>
      </c>
      <c r="Q81" s="1">
        <v>54.399999999999977</v>
      </c>
      <c r="R81" s="1"/>
      <c r="S81" s="1"/>
      <c r="T81" s="1">
        <f t="shared" si="18"/>
        <v>9</v>
      </c>
      <c r="U81" s="5"/>
      <c r="V81" s="5"/>
      <c r="W81" s="5">
        <f t="shared" si="20"/>
        <v>0</v>
      </c>
      <c r="X81" s="5"/>
      <c r="Y81" s="1"/>
      <c r="Z81" s="1"/>
      <c r="AA81" s="1">
        <f t="shared" si="21"/>
        <v>15.599999999999998</v>
      </c>
      <c r="AB81" s="1">
        <f t="shared" si="19"/>
        <v>15.599999999999998</v>
      </c>
      <c r="AC81" s="1">
        <v>12.6</v>
      </c>
      <c r="AD81" s="1">
        <v>10.8</v>
      </c>
      <c r="AE81" s="1">
        <v>12</v>
      </c>
      <c r="AF81" s="1">
        <v>13</v>
      </c>
      <c r="AG81" s="1">
        <v>12</v>
      </c>
      <c r="AH81" s="1">
        <v>14.4</v>
      </c>
      <c r="AI81" s="1">
        <v>15.6</v>
      </c>
      <c r="AJ81" s="1">
        <v>13.4</v>
      </c>
      <c r="AK81" s="1"/>
      <c r="AL81" s="1">
        <f t="shared" si="22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132</v>
      </c>
      <c r="B82" s="1" t="s">
        <v>46</v>
      </c>
      <c r="C82" s="1">
        <v>169</v>
      </c>
      <c r="D82" s="1">
        <v>57</v>
      </c>
      <c r="E82" s="1">
        <v>54</v>
      </c>
      <c r="F82" s="1">
        <v>151</v>
      </c>
      <c r="G82" s="8">
        <v>7.0000000000000007E-2</v>
      </c>
      <c r="H82" s="1">
        <v>90</v>
      </c>
      <c r="I82" s="1" t="s">
        <v>42</v>
      </c>
      <c r="J82" s="1"/>
      <c r="K82" s="1">
        <v>54</v>
      </c>
      <c r="L82" s="1">
        <f t="shared" si="16"/>
        <v>0</v>
      </c>
      <c r="M82" s="1">
        <f t="shared" si="17"/>
        <v>54</v>
      </c>
      <c r="N82" s="1"/>
      <c r="O82" s="1"/>
      <c r="P82" s="1">
        <v>0</v>
      </c>
      <c r="Q82" s="1">
        <v>0</v>
      </c>
      <c r="R82" s="1"/>
      <c r="S82" s="1"/>
      <c r="T82" s="1">
        <f t="shared" si="18"/>
        <v>10.8</v>
      </c>
      <c r="U82" s="5"/>
      <c r="V82" s="5"/>
      <c r="W82" s="5">
        <f t="shared" si="20"/>
        <v>0</v>
      </c>
      <c r="X82" s="5"/>
      <c r="Y82" s="1"/>
      <c r="Z82" s="1"/>
      <c r="AA82" s="1">
        <f t="shared" si="21"/>
        <v>13.981481481481481</v>
      </c>
      <c r="AB82" s="1">
        <f t="shared" si="19"/>
        <v>13.981481481481481</v>
      </c>
      <c r="AC82" s="1">
        <v>13</v>
      </c>
      <c r="AD82" s="1">
        <v>12.2</v>
      </c>
      <c r="AE82" s="1">
        <v>18</v>
      </c>
      <c r="AF82" s="1">
        <v>19.600000000000001</v>
      </c>
      <c r="AG82" s="1">
        <v>14.4</v>
      </c>
      <c r="AH82" s="1">
        <v>18</v>
      </c>
      <c r="AI82" s="1">
        <v>15.2</v>
      </c>
      <c r="AJ82" s="1">
        <v>10.6</v>
      </c>
      <c r="AK82" s="1"/>
      <c r="AL82" s="1">
        <f t="shared" si="22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133</v>
      </c>
      <c r="B83" s="1" t="s">
        <v>46</v>
      </c>
      <c r="C83" s="1">
        <v>132</v>
      </c>
      <c r="D83" s="1">
        <v>120</v>
      </c>
      <c r="E83" s="1">
        <v>52</v>
      </c>
      <c r="F83" s="1">
        <v>98</v>
      </c>
      <c r="G83" s="8">
        <v>7.0000000000000007E-2</v>
      </c>
      <c r="H83" s="1">
        <v>90</v>
      </c>
      <c r="I83" s="1" t="s">
        <v>42</v>
      </c>
      <c r="J83" s="1"/>
      <c r="K83" s="1">
        <v>52</v>
      </c>
      <c r="L83" s="1">
        <f t="shared" si="16"/>
        <v>0</v>
      </c>
      <c r="M83" s="1">
        <f t="shared" si="17"/>
        <v>52</v>
      </c>
      <c r="N83" s="1"/>
      <c r="O83" s="1"/>
      <c r="P83" s="1">
        <v>0</v>
      </c>
      <c r="Q83" s="1">
        <v>0</v>
      </c>
      <c r="R83" s="1"/>
      <c r="S83" s="1"/>
      <c r="T83" s="1">
        <f t="shared" si="18"/>
        <v>10.4</v>
      </c>
      <c r="U83" s="5">
        <f t="shared" si="23"/>
        <v>16.400000000000006</v>
      </c>
      <c r="V83" s="5"/>
      <c r="W83" s="5">
        <f t="shared" si="20"/>
        <v>16.400000000000006</v>
      </c>
      <c r="X83" s="5"/>
      <c r="Y83" s="1"/>
      <c r="Z83" s="1"/>
      <c r="AA83" s="1">
        <f t="shared" si="21"/>
        <v>11</v>
      </c>
      <c r="AB83" s="1">
        <f t="shared" si="19"/>
        <v>9.4230769230769234</v>
      </c>
      <c r="AC83" s="1">
        <v>9</v>
      </c>
      <c r="AD83" s="1">
        <v>8.8000000000000007</v>
      </c>
      <c r="AE83" s="1">
        <v>12</v>
      </c>
      <c r="AF83" s="1">
        <v>13.6</v>
      </c>
      <c r="AG83" s="1">
        <v>12.6</v>
      </c>
      <c r="AH83" s="1">
        <v>13.4</v>
      </c>
      <c r="AI83" s="1">
        <v>12.8</v>
      </c>
      <c r="AJ83" s="1">
        <v>10.4</v>
      </c>
      <c r="AK83" s="1"/>
      <c r="AL83" s="1">
        <f t="shared" si="22"/>
        <v>1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134</v>
      </c>
      <c r="B84" s="1" t="s">
        <v>46</v>
      </c>
      <c r="C84" s="1">
        <v>104</v>
      </c>
      <c r="D84" s="1">
        <v>70</v>
      </c>
      <c r="E84" s="1">
        <v>47</v>
      </c>
      <c r="F84" s="1">
        <v>94</v>
      </c>
      <c r="G84" s="8">
        <v>0.05</v>
      </c>
      <c r="H84" s="1">
        <v>90</v>
      </c>
      <c r="I84" s="1" t="s">
        <v>42</v>
      </c>
      <c r="J84" s="1"/>
      <c r="K84" s="1">
        <v>47</v>
      </c>
      <c r="L84" s="1">
        <f t="shared" si="16"/>
        <v>0</v>
      </c>
      <c r="M84" s="1">
        <f t="shared" si="17"/>
        <v>47</v>
      </c>
      <c r="N84" s="1"/>
      <c r="O84" s="1"/>
      <c r="P84" s="1">
        <v>0</v>
      </c>
      <c r="Q84" s="1">
        <v>8</v>
      </c>
      <c r="R84" s="1"/>
      <c r="S84" s="1"/>
      <c r="T84" s="1">
        <f t="shared" si="18"/>
        <v>9.4</v>
      </c>
      <c r="U84" s="5">
        <v>10</v>
      </c>
      <c r="V84" s="5"/>
      <c r="W84" s="5">
        <f t="shared" si="20"/>
        <v>10</v>
      </c>
      <c r="X84" s="5"/>
      <c r="Y84" s="1"/>
      <c r="Z84" s="1"/>
      <c r="AA84" s="1">
        <f t="shared" si="21"/>
        <v>11.914893617021276</v>
      </c>
      <c r="AB84" s="1">
        <f t="shared" si="19"/>
        <v>10.851063829787234</v>
      </c>
      <c r="AC84" s="1">
        <v>10</v>
      </c>
      <c r="AD84" s="1">
        <v>9</v>
      </c>
      <c r="AE84" s="1">
        <v>10.199999999999999</v>
      </c>
      <c r="AF84" s="1">
        <v>11.4</v>
      </c>
      <c r="AG84" s="1">
        <v>13</v>
      </c>
      <c r="AH84" s="1">
        <v>15.6</v>
      </c>
      <c r="AI84" s="1">
        <v>10.8</v>
      </c>
      <c r="AJ84" s="1">
        <v>6.2</v>
      </c>
      <c r="AK84" s="1"/>
      <c r="AL84" s="1">
        <f t="shared" si="22"/>
        <v>1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135</v>
      </c>
      <c r="B85" s="1" t="s">
        <v>46</v>
      </c>
      <c r="C85" s="1">
        <v>116</v>
      </c>
      <c r="D85" s="1">
        <v>119</v>
      </c>
      <c r="E85" s="1">
        <v>42</v>
      </c>
      <c r="F85" s="1">
        <v>109</v>
      </c>
      <c r="G85" s="8">
        <v>0.05</v>
      </c>
      <c r="H85" s="1">
        <v>90</v>
      </c>
      <c r="I85" s="1" t="s">
        <v>42</v>
      </c>
      <c r="J85" s="1"/>
      <c r="K85" s="1">
        <v>42</v>
      </c>
      <c r="L85" s="1">
        <f t="shared" si="16"/>
        <v>0</v>
      </c>
      <c r="M85" s="1">
        <f t="shared" si="17"/>
        <v>42</v>
      </c>
      <c r="N85" s="1"/>
      <c r="O85" s="1"/>
      <c r="P85" s="1">
        <v>0</v>
      </c>
      <c r="Q85" s="1">
        <v>15.600000000000019</v>
      </c>
      <c r="R85" s="1"/>
      <c r="S85" s="1"/>
      <c r="T85" s="1">
        <f t="shared" si="18"/>
        <v>8.4</v>
      </c>
      <c r="U85" s="5"/>
      <c r="V85" s="5"/>
      <c r="W85" s="5">
        <f t="shared" si="20"/>
        <v>0</v>
      </c>
      <c r="X85" s="5"/>
      <c r="Y85" s="1"/>
      <c r="Z85" s="1"/>
      <c r="AA85" s="1">
        <f t="shared" si="21"/>
        <v>14.833333333333336</v>
      </c>
      <c r="AB85" s="1">
        <f t="shared" si="19"/>
        <v>14.833333333333336</v>
      </c>
      <c r="AC85" s="1">
        <v>11.8</v>
      </c>
      <c r="AD85" s="1">
        <v>11</v>
      </c>
      <c r="AE85" s="1">
        <v>11.8</v>
      </c>
      <c r="AF85" s="1">
        <v>12.6</v>
      </c>
      <c r="AG85" s="1">
        <v>12.8</v>
      </c>
      <c r="AH85" s="1">
        <v>12.6</v>
      </c>
      <c r="AI85" s="1">
        <v>7.2</v>
      </c>
      <c r="AJ85" s="1">
        <v>5.4</v>
      </c>
      <c r="AK85" s="1"/>
      <c r="AL85" s="1">
        <f t="shared" si="22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136</v>
      </c>
      <c r="B86" s="1" t="s">
        <v>46</v>
      </c>
      <c r="C86" s="1">
        <v>119</v>
      </c>
      <c r="D86" s="1">
        <v>17</v>
      </c>
      <c r="E86" s="1">
        <v>34</v>
      </c>
      <c r="F86" s="1">
        <v>85</v>
      </c>
      <c r="G86" s="8">
        <v>5.5E-2</v>
      </c>
      <c r="H86" s="1">
        <v>90</v>
      </c>
      <c r="I86" s="1" t="s">
        <v>42</v>
      </c>
      <c r="J86" s="1"/>
      <c r="K86" s="1">
        <v>34</v>
      </c>
      <c r="L86" s="1">
        <f t="shared" si="16"/>
        <v>0</v>
      </c>
      <c r="M86" s="1">
        <f t="shared" si="17"/>
        <v>34</v>
      </c>
      <c r="N86" s="1"/>
      <c r="O86" s="1"/>
      <c r="P86" s="1">
        <v>0</v>
      </c>
      <c r="Q86" s="1">
        <v>26.399999999999991</v>
      </c>
      <c r="R86" s="1"/>
      <c r="S86" s="1"/>
      <c r="T86" s="1">
        <f t="shared" si="18"/>
        <v>6.8</v>
      </c>
      <c r="U86" s="5"/>
      <c r="V86" s="5"/>
      <c r="W86" s="5">
        <f t="shared" si="20"/>
        <v>0</v>
      </c>
      <c r="X86" s="5"/>
      <c r="Y86" s="1"/>
      <c r="Z86" s="1"/>
      <c r="AA86" s="1">
        <f t="shared" si="21"/>
        <v>16.382352941176471</v>
      </c>
      <c r="AB86" s="1">
        <f t="shared" si="19"/>
        <v>16.382352941176471</v>
      </c>
      <c r="AC86" s="1">
        <v>10.199999999999999</v>
      </c>
      <c r="AD86" s="1">
        <v>8.1999999999999993</v>
      </c>
      <c r="AE86" s="1">
        <v>6.6</v>
      </c>
      <c r="AF86" s="1">
        <v>7.8</v>
      </c>
      <c r="AG86" s="1">
        <v>10.6</v>
      </c>
      <c r="AH86" s="1">
        <v>11</v>
      </c>
      <c r="AI86" s="1">
        <v>6.4</v>
      </c>
      <c r="AJ86" s="1">
        <v>4.4000000000000004</v>
      </c>
      <c r="AK86" s="1"/>
      <c r="AL86" s="1">
        <f t="shared" si="22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2" t="s">
        <v>137</v>
      </c>
      <c r="B87" s="12" t="s">
        <v>46</v>
      </c>
      <c r="C87" s="12">
        <v>14</v>
      </c>
      <c r="D87" s="12"/>
      <c r="E87" s="12"/>
      <c r="F87" s="12">
        <v>14</v>
      </c>
      <c r="G87" s="13">
        <v>0</v>
      </c>
      <c r="H87" s="12">
        <v>120</v>
      </c>
      <c r="I87" s="12" t="s">
        <v>138</v>
      </c>
      <c r="J87" s="12"/>
      <c r="K87" s="12"/>
      <c r="L87" s="12">
        <f t="shared" si="16"/>
        <v>0</v>
      </c>
      <c r="M87" s="12">
        <f t="shared" si="17"/>
        <v>0</v>
      </c>
      <c r="N87" s="12"/>
      <c r="O87" s="12"/>
      <c r="P87" s="12">
        <v>0</v>
      </c>
      <c r="Q87" s="12">
        <v>0</v>
      </c>
      <c r="R87" s="12"/>
      <c r="S87" s="12"/>
      <c r="T87" s="12">
        <f t="shared" si="18"/>
        <v>0</v>
      </c>
      <c r="U87" s="14"/>
      <c r="V87" s="14"/>
      <c r="W87" s="5">
        <f t="shared" si="20"/>
        <v>0</v>
      </c>
      <c r="X87" s="14"/>
      <c r="Y87" s="12"/>
      <c r="Z87" s="12"/>
      <c r="AA87" s="1" t="e">
        <f t="shared" si="21"/>
        <v>#DIV/0!</v>
      </c>
      <c r="AB87" s="12" t="e">
        <f t="shared" si="19"/>
        <v>#DIV/0!</v>
      </c>
      <c r="AC87" s="12">
        <v>0</v>
      </c>
      <c r="AD87" s="12">
        <v>0</v>
      </c>
      <c r="AE87" s="12">
        <v>0</v>
      </c>
      <c r="AF87" s="12">
        <v>0.6</v>
      </c>
      <c r="AG87" s="12">
        <v>0.6</v>
      </c>
      <c r="AH87" s="12">
        <v>0</v>
      </c>
      <c r="AI87" s="12">
        <v>0</v>
      </c>
      <c r="AJ87" s="12">
        <v>0.8</v>
      </c>
      <c r="AK87" s="12" t="s">
        <v>139</v>
      </c>
      <c r="AL87" s="1">
        <f t="shared" si="22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140</v>
      </c>
      <c r="B88" s="1" t="s">
        <v>39</v>
      </c>
      <c r="C88" s="1">
        <v>5490.3969999999999</v>
      </c>
      <c r="D88" s="1">
        <v>8412.0409999999993</v>
      </c>
      <c r="E88" s="1">
        <v>4533.4660000000003</v>
      </c>
      <c r="F88" s="1">
        <v>3944.4830000000002</v>
      </c>
      <c r="G88" s="8">
        <v>1</v>
      </c>
      <c r="H88" s="1">
        <v>40</v>
      </c>
      <c r="I88" s="1" t="s">
        <v>42</v>
      </c>
      <c r="J88" s="1"/>
      <c r="K88" s="1">
        <v>4721.7960000000003</v>
      </c>
      <c r="L88" s="1">
        <f t="shared" si="16"/>
        <v>-188.32999999999993</v>
      </c>
      <c r="M88" s="1">
        <f t="shared" si="17"/>
        <v>3764.7720000000004</v>
      </c>
      <c r="N88" s="1">
        <v>768.69399999999996</v>
      </c>
      <c r="O88" s="1"/>
      <c r="P88" s="1">
        <v>0</v>
      </c>
      <c r="Q88" s="1">
        <v>1467.5170000000039</v>
      </c>
      <c r="R88" s="1">
        <v>2500</v>
      </c>
      <c r="S88" s="1"/>
      <c r="T88" s="1">
        <f t="shared" si="18"/>
        <v>752.95440000000008</v>
      </c>
      <c r="U88" s="5">
        <f t="shared" ref="U88:U93" si="24">11*T88-S88-R88-Q88-O88-F88</f>
        <v>370.49839999999676</v>
      </c>
      <c r="V88" s="5">
        <f>$V$1*T88</f>
        <v>752.95440000000008</v>
      </c>
      <c r="W88" s="5">
        <f t="shared" si="20"/>
        <v>1123.4527999999968</v>
      </c>
      <c r="X88" s="5"/>
      <c r="Y88" s="1"/>
      <c r="Z88" s="1"/>
      <c r="AA88" s="1">
        <f t="shared" si="21"/>
        <v>12</v>
      </c>
      <c r="AB88" s="1">
        <f t="shared" si="19"/>
        <v>10.507940454295776</v>
      </c>
      <c r="AC88" s="1">
        <v>892.5472000000002</v>
      </c>
      <c r="AD88" s="1">
        <v>763.92160000000001</v>
      </c>
      <c r="AE88" s="1">
        <v>926.77520000000004</v>
      </c>
      <c r="AF88" s="1">
        <v>871.38319999999987</v>
      </c>
      <c r="AG88" s="1">
        <v>808.63199999999995</v>
      </c>
      <c r="AH88" s="1">
        <v>837.73419999999987</v>
      </c>
      <c r="AI88" s="1">
        <v>878.66679999999997</v>
      </c>
      <c r="AJ88" s="1">
        <v>853.15179999999998</v>
      </c>
      <c r="AK88" s="1" t="s">
        <v>53</v>
      </c>
      <c r="AL88" s="1">
        <f t="shared" si="22"/>
        <v>1123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1" t="s">
        <v>141</v>
      </c>
      <c r="B89" s="1" t="s">
        <v>39</v>
      </c>
      <c r="C89" s="1">
        <v>37.725000000000001</v>
      </c>
      <c r="D89" s="1">
        <v>2.8000000000000001E-2</v>
      </c>
      <c r="E89" s="1">
        <v>8.9979999999999993</v>
      </c>
      <c r="F89" s="1">
        <v>28.74</v>
      </c>
      <c r="G89" s="8">
        <v>1</v>
      </c>
      <c r="H89" s="1">
        <v>60</v>
      </c>
      <c r="I89" s="1" t="s">
        <v>42</v>
      </c>
      <c r="J89" s="1"/>
      <c r="K89" s="1">
        <v>16.8</v>
      </c>
      <c r="L89" s="1">
        <f t="shared" si="16"/>
        <v>-7.8020000000000014</v>
      </c>
      <c r="M89" s="1">
        <f t="shared" si="17"/>
        <v>8.9979999999999993</v>
      </c>
      <c r="N89" s="1"/>
      <c r="O89" s="1"/>
      <c r="P89" s="1">
        <v>0</v>
      </c>
      <c r="Q89" s="1">
        <v>0</v>
      </c>
      <c r="R89" s="1"/>
      <c r="S89" s="1"/>
      <c r="T89" s="1">
        <f t="shared" si="18"/>
        <v>1.7995999999999999</v>
      </c>
      <c r="U89" s="5"/>
      <c r="V89" s="5"/>
      <c r="W89" s="5">
        <f t="shared" si="20"/>
        <v>0</v>
      </c>
      <c r="X89" s="5"/>
      <c r="Y89" s="1"/>
      <c r="Z89" s="1"/>
      <c r="AA89" s="1">
        <f t="shared" si="21"/>
        <v>15.970215603467437</v>
      </c>
      <c r="AB89" s="1">
        <f t="shared" si="19"/>
        <v>15.970215603467437</v>
      </c>
      <c r="AC89" s="1">
        <v>1.4376</v>
      </c>
      <c r="AD89" s="1">
        <v>2.16</v>
      </c>
      <c r="AE89" s="1">
        <v>3.5950000000000002</v>
      </c>
      <c r="AF89" s="1">
        <v>2.875</v>
      </c>
      <c r="AG89" s="1">
        <v>1.7969999999999999</v>
      </c>
      <c r="AH89" s="1">
        <v>1.4372</v>
      </c>
      <c r="AI89" s="1">
        <v>2.1514000000000002</v>
      </c>
      <c r="AJ89" s="1">
        <v>1.7951999999999999</v>
      </c>
      <c r="AK89" s="20" t="s">
        <v>152</v>
      </c>
      <c r="AL89" s="1">
        <f t="shared" si="22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142</v>
      </c>
      <c r="B90" s="1" t="s">
        <v>46</v>
      </c>
      <c r="C90" s="1">
        <v>187</v>
      </c>
      <c r="D90" s="1">
        <v>329</v>
      </c>
      <c r="E90" s="1">
        <v>190</v>
      </c>
      <c r="F90" s="1">
        <v>235</v>
      </c>
      <c r="G90" s="8">
        <v>0.3</v>
      </c>
      <c r="H90" s="1">
        <v>40</v>
      </c>
      <c r="I90" s="1" t="s">
        <v>42</v>
      </c>
      <c r="J90" s="1"/>
      <c r="K90" s="1">
        <v>193</v>
      </c>
      <c r="L90" s="1">
        <f t="shared" si="16"/>
        <v>-3</v>
      </c>
      <c r="M90" s="1">
        <f t="shared" si="17"/>
        <v>190</v>
      </c>
      <c r="N90" s="1"/>
      <c r="O90" s="1"/>
      <c r="P90" s="1">
        <v>0</v>
      </c>
      <c r="Q90" s="1">
        <v>126.2</v>
      </c>
      <c r="R90" s="1"/>
      <c r="S90" s="1"/>
      <c r="T90" s="1">
        <f t="shared" si="18"/>
        <v>38</v>
      </c>
      <c r="U90" s="5">
        <f t="shared" si="24"/>
        <v>56.800000000000011</v>
      </c>
      <c r="V90" s="5">
        <f t="shared" ref="V90:V91" si="25">$V$1*T90</f>
        <v>38</v>
      </c>
      <c r="W90" s="5">
        <f t="shared" si="20"/>
        <v>94.800000000000011</v>
      </c>
      <c r="X90" s="5"/>
      <c r="Y90" s="1"/>
      <c r="Z90" s="1"/>
      <c r="AA90" s="1">
        <f t="shared" si="21"/>
        <v>12</v>
      </c>
      <c r="AB90" s="1">
        <f t="shared" si="19"/>
        <v>9.5052631578947366</v>
      </c>
      <c r="AC90" s="1">
        <v>39</v>
      </c>
      <c r="AD90" s="1">
        <v>38.6</v>
      </c>
      <c r="AE90" s="1">
        <v>36.6</v>
      </c>
      <c r="AF90" s="1">
        <v>34.4</v>
      </c>
      <c r="AG90" s="1">
        <v>33.6</v>
      </c>
      <c r="AH90" s="1">
        <v>35</v>
      </c>
      <c r="AI90" s="1">
        <v>35.4</v>
      </c>
      <c r="AJ90" s="1">
        <v>30.6</v>
      </c>
      <c r="AK90" s="1"/>
      <c r="AL90" s="1">
        <f t="shared" si="22"/>
        <v>28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143</v>
      </c>
      <c r="B91" s="1" t="s">
        <v>46</v>
      </c>
      <c r="C91" s="1">
        <v>149</v>
      </c>
      <c r="D91" s="1">
        <v>159</v>
      </c>
      <c r="E91" s="1">
        <v>104</v>
      </c>
      <c r="F91" s="1">
        <v>96</v>
      </c>
      <c r="G91" s="8">
        <v>0.3</v>
      </c>
      <c r="H91" s="1">
        <v>40</v>
      </c>
      <c r="I91" s="1" t="s">
        <v>42</v>
      </c>
      <c r="J91" s="1"/>
      <c r="K91" s="1">
        <v>110</v>
      </c>
      <c r="L91" s="1">
        <f t="shared" si="16"/>
        <v>-6</v>
      </c>
      <c r="M91" s="1">
        <f t="shared" si="17"/>
        <v>104</v>
      </c>
      <c r="N91" s="1"/>
      <c r="O91" s="1"/>
      <c r="P91" s="1">
        <v>0</v>
      </c>
      <c r="Q91" s="1">
        <v>77.600000000000023</v>
      </c>
      <c r="R91" s="1"/>
      <c r="S91" s="1"/>
      <c r="T91" s="1">
        <f t="shared" si="18"/>
        <v>20.8</v>
      </c>
      <c r="U91" s="5">
        <f t="shared" si="24"/>
        <v>55.199999999999989</v>
      </c>
      <c r="V91" s="5">
        <f t="shared" si="25"/>
        <v>20.8</v>
      </c>
      <c r="W91" s="5">
        <f t="shared" si="20"/>
        <v>75.999999999999986</v>
      </c>
      <c r="X91" s="5"/>
      <c r="Y91" s="1"/>
      <c r="Z91" s="1"/>
      <c r="AA91" s="1">
        <f t="shared" si="21"/>
        <v>12</v>
      </c>
      <c r="AB91" s="1">
        <f t="shared" si="19"/>
        <v>8.3461538461538467</v>
      </c>
      <c r="AC91" s="1">
        <v>18.8</v>
      </c>
      <c r="AD91" s="1">
        <v>17.2</v>
      </c>
      <c r="AE91" s="1">
        <v>20</v>
      </c>
      <c r="AF91" s="1">
        <v>21.2</v>
      </c>
      <c r="AG91" s="1">
        <v>19.600000000000001</v>
      </c>
      <c r="AH91" s="1">
        <v>19.399999999999999</v>
      </c>
      <c r="AI91" s="1">
        <v>19.399999999999999</v>
      </c>
      <c r="AJ91" s="1">
        <v>18.600000000000001</v>
      </c>
      <c r="AK91" s="1" t="s">
        <v>144</v>
      </c>
      <c r="AL91" s="1">
        <f t="shared" si="22"/>
        <v>23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145</v>
      </c>
      <c r="B92" s="1" t="s">
        <v>39</v>
      </c>
      <c r="C92" s="1">
        <v>38.365000000000002</v>
      </c>
      <c r="D92" s="1">
        <v>55.7</v>
      </c>
      <c r="E92" s="1">
        <v>36.75</v>
      </c>
      <c r="F92" s="1">
        <v>55.63</v>
      </c>
      <c r="G92" s="8">
        <v>1</v>
      </c>
      <c r="H92" s="1">
        <v>50</v>
      </c>
      <c r="I92" s="1" t="s">
        <v>42</v>
      </c>
      <c r="J92" s="1"/>
      <c r="K92" s="1">
        <v>43.9</v>
      </c>
      <c r="L92" s="1">
        <f t="shared" si="16"/>
        <v>-7.1499999999999986</v>
      </c>
      <c r="M92" s="1">
        <f t="shared" si="17"/>
        <v>36.75</v>
      </c>
      <c r="N92" s="1"/>
      <c r="O92" s="1"/>
      <c r="P92" s="1">
        <v>0</v>
      </c>
      <c r="Q92" s="1">
        <v>49.548000000000023</v>
      </c>
      <c r="R92" s="1"/>
      <c r="S92" s="1"/>
      <c r="T92" s="1">
        <f t="shared" si="18"/>
        <v>7.35</v>
      </c>
      <c r="U92" s="5"/>
      <c r="V92" s="5"/>
      <c r="W92" s="5">
        <f t="shared" si="20"/>
        <v>0</v>
      </c>
      <c r="X92" s="5"/>
      <c r="Y92" s="1"/>
      <c r="Z92" s="1"/>
      <c r="AA92" s="1">
        <f t="shared" si="21"/>
        <v>14.309931972789119</v>
      </c>
      <c r="AB92" s="1">
        <f t="shared" si="19"/>
        <v>14.309931972789119</v>
      </c>
      <c r="AC92" s="1">
        <v>9.4760000000000009</v>
      </c>
      <c r="AD92" s="1">
        <v>8.6053999999999995</v>
      </c>
      <c r="AE92" s="1">
        <v>5.0423999999999998</v>
      </c>
      <c r="AF92" s="1">
        <v>2.6920000000000002</v>
      </c>
      <c r="AG92" s="1">
        <v>4.3211999999999993</v>
      </c>
      <c r="AH92" s="1">
        <v>7.9724000000000022</v>
      </c>
      <c r="AI92" s="1">
        <v>12.796200000000001</v>
      </c>
      <c r="AJ92" s="1">
        <v>7.5626000000000007</v>
      </c>
      <c r="AK92" s="1"/>
      <c r="AL92" s="1">
        <f t="shared" si="22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146</v>
      </c>
      <c r="B93" s="1" t="s">
        <v>46</v>
      </c>
      <c r="C93" s="1">
        <v>44</v>
      </c>
      <c r="D93" s="1">
        <v>30</v>
      </c>
      <c r="E93" s="1">
        <v>29</v>
      </c>
      <c r="F93" s="1">
        <v>33</v>
      </c>
      <c r="G93" s="8">
        <v>0.3</v>
      </c>
      <c r="H93" s="1">
        <v>40</v>
      </c>
      <c r="I93" s="1" t="s">
        <v>42</v>
      </c>
      <c r="J93" s="1"/>
      <c r="K93" s="1">
        <v>30</v>
      </c>
      <c r="L93" s="1">
        <f t="shared" si="16"/>
        <v>-1</v>
      </c>
      <c r="M93" s="1">
        <f t="shared" si="17"/>
        <v>29</v>
      </c>
      <c r="N93" s="1"/>
      <c r="O93" s="1"/>
      <c r="P93" s="1">
        <v>0</v>
      </c>
      <c r="Q93" s="1">
        <v>11.599999999999991</v>
      </c>
      <c r="R93" s="1"/>
      <c r="S93" s="1"/>
      <c r="T93" s="1">
        <f t="shared" si="18"/>
        <v>5.8</v>
      </c>
      <c r="U93" s="5">
        <f t="shared" si="24"/>
        <v>19.200000000000003</v>
      </c>
      <c r="V93" s="5"/>
      <c r="W93" s="5">
        <f t="shared" si="20"/>
        <v>19.200000000000003</v>
      </c>
      <c r="X93" s="5"/>
      <c r="Y93" s="1"/>
      <c r="Z93" s="1"/>
      <c r="AA93" s="1">
        <f t="shared" si="21"/>
        <v>11</v>
      </c>
      <c r="AB93" s="1">
        <f t="shared" si="19"/>
        <v>7.6896551724137927</v>
      </c>
      <c r="AC93" s="1">
        <v>3.8</v>
      </c>
      <c r="AD93" s="1">
        <v>3</v>
      </c>
      <c r="AE93" s="1">
        <v>3.4</v>
      </c>
      <c r="AF93" s="1">
        <v>5</v>
      </c>
      <c r="AG93" s="1">
        <v>4.4000000000000004</v>
      </c>
      <c r="AH93" s="1">
        <v>2.8</v>
      </c>
      <c r="AI93" s="1">
        <v>2.6</v>
      </c>
      <c r="AJ93" s="1">
        <v>3.8</v>
      </c>
      <c r="AK93" s="1"/>
      <c r="AL93" s="1">
        <f t="shared" si="22"/>
        <v>6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147</v>
      </c>
      <c r="B94" s="1" t="s">
        <v>46</v>
      </c>
      <c r="C94" s="1">
        <v>97</v>
      </c>
      <c r="D94" s="1">
        <v>21</v>
      </c>
      <c r="E94" s="1">
        <v>21</v>
      </c>
      <c r="F94" s="1">
        <v>72</v>
      </c>
      <c r="G94" s="8">
        <v>0.12</v>
      </c>
      <c r="H94" s="1">
        <v>45</v>
      </c>
      <c r="I94" s="1" t="s">
        <v>42</v>
      </c>
      <c r="J94" s="1"/>
      <c r="K94" s="1">
        <v>24</v>
      </c>
      <c r="L94" s="1">
        <f t="shared" si="16"/>
        <v>-3</v>
      </c>
      <c r="M94" s="1">
        <f t="shared" si="17"/>
        <v>21</v>
      </c>
      <c r="N94" s="1"/>
      <c r="O94" s="1"/>
      <c r="P94" s="1">
        <v>0</v>
      </c>
      <c r="Q94" s="1">
        <v>0</v>
      </c>
      <c r="R94" s="1"/>
      <c r="S94" s="1"/>
      <c r="T94" s="1">
        <f t="shared" si="18"/>
        <v>4.2</v>
      </c>
      <c r="U94" s="5"/>
      <c r="V94" s="5"/>
      <c r="W94" s="5">
        <f t="shared" si="20"/>
        <v>0</v>
      </c>
      <c r="X94" s="5"/>
      <c r="Y94" s="1"/>
      <c r="Z94" s="1"/>
      <c r="AA94" s="1">
        <f t="shared" si="21"/>
        <v>17.142857142857142</v>
      </c>
      <c r="AB94" s="1">
        <f t="shared" si="19"/>
        <v>17.142857142857142</v>
      </c>
      <c r="AC94" s="1">
        <v>5.8</v>
      </c>
      <c r="AD94" s="1">
        <v>6.6</v>
      </c>
      <c r="AE94" s="1">
        <v>7.2</v>
      </c>
      <c r="AF94" s="1">
        <v>9.4</v>
      </c>
      <c r="AG94" s="1">
        <v>11.6</v>
      </c>
      <c r="AH94" s="1">
        <v>9.6</v>
      </c>
      <c r="AI94" s="1">
        <v>7.4</v>
      </c>
      <c r="AJ94" s="1">
        <v>6.8</v>
      </c>
      <c r="AK94" s="1" t="s">
        <v>148</v>
      </c>
      <c r="AL94" s="1">
        <f t="shared" si="22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1" t="s">
        <v>149</v>
      </c>
      <c r="B95" s="1" t="s">
        <v>39</v>
      </c>
      <c r="C95" s="1"/>
      <c r="D95" s="1"/>
      <c r="E95" s="1"/>
      <c r="F95" s="1"/>
      <c r="G95" s="8">
        <v>1</v>
      </c>
      <c r="H95" s="1">
        <v>180</v>
      </c>
      <c r="I95" s="1" t="s">
        <v>42</v>
      </c>
      <c r="J95" s="1"/>
      <c r="K95" s="1"/>
      <c r="L95" s="1">
        <f t="shared" si="16"/>
        <v>0</v>
      </c>
      <c r="M95" s="1">
        <f t="shared" si="17"/>
        <v>0</v>
      </c>
      <c r="N95" s="1"/>
      <c r="O95" s="1"/>
      <c r="P95" s="1">
        <v>0</v>
      </c>
      <c r="Q95" s="11"/>
      <c r="R95" s="1"/>
      <c r="S95" s="1"/>
      <c r="T95" s="1">
        <f t="shared" si="18"/>
        <v>0</v>
      </c>
      <c r="U95" s="18">
        <v>4</v>
      </c>
      <c r="V95" s="18"/>
      <c r="W95" s="5">
        <f t="shared" si="20"/>
        <v>4</v>
      </c>
      <c r="X95" s="5"/>
      <c r="Y95" s="1"/>
      <c r="Z95" s="1"/>
      <c r="AA95" s="1" t="e">
        <f t="shared" si="21"/>
        <v>#DIV/0!</v>
      </c>
      <c r="AB95" s="1" t="e">
        <f t="shared" si="19"/>
        <v>#DIV/0!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1" t="s">
        <v>150</v>
      </c>
      <c r="AL95" s="1">
        <f t="shared" si="22"/>
        <v>4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L95" xr:uid="{BD4C1CF4-751D-41A6-B11D-3757B019086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2025-12-02T07:39:07Z</dcterms:created>
  <dcterms:modified xsi:type="dcterms:W3CDTF">2025-12-03T07:51:26Z</dcterms:modified>
</cp:coreProperties>
</file>