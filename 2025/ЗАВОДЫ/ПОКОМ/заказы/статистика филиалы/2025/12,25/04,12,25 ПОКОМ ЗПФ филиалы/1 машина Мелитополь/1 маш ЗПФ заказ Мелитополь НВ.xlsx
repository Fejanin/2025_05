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151D7905-9292-456D-824C-620DCE0483A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Y245" i="1"/>
  <c r="X245" i="1"/>
  <c r="Z244" i="1"/>
  <c r="X244" i="1"/>
  <c r="BO243" i="1"/>
  <c r="BM243" i="1"/>
  <c r="Z243" i="1"/>
  <c r="Y243" i="1"/>
  <c r="P243" i="1"/>
  <c r="BP242" i="1"/>
  <c r="BO242" i="1"/>
  <c r="BN242" i="1"/>
  <c r="BM242" i="1"/>
  <c r="Z242" i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Y163" i="1" s="1"/>
  <c r="P161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Y153" i="1" s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Y147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Z141" i="1" s="1"/>
  <c r="Y139" i="1"/>
  <c r="Y142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Z135" i="1" s="1"/>
  <c r="Y133" i="1"/>
  <c r="Y135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Z73" i="1"/>
  <c r="Z76" i="1" s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Y46" i="1"/>
  <c r="P46" i="1"/>
  <c r="BO45" i="1"/>
  <c r="BM45" i="1"/>
  <c r="Z45" i="1"/>
  <c r="Z48" i="1" s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70" i="1" s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X271" i="1"/>
  <c r="X272" i="1"/>
  <c r="BN23" i="1"/>
  <c r="BN25" i="1"/>
  <c r="Y271" i="1" s="1"/>
  <c r="BN27" i="1"/>
  <c r="Y28" i="1"/>
  <c r="BN32" i="1"/>
  <c r="BP32" i="1"/>
  <c r="F9" i="1"/>
  <c r="J9" i="1"/>
  <c r="Y34" i="1"/>
  <c r="Y42" i="1"/>
  <c r="Y270" i="1" s="1"/>
  <c r="Y49" i="1"/>
  <c r="Y56" i="1"/>
  <c r="Y71" i="1"/>
  <c r="Y77" i="1"/>
  <c r="Y82" i="1"/>
  <c r="Y94" i="1"/>
  <c r="Y103" i="1"/>
  <c r="Y110" i="1"/>
  <c r="Y121" i="1"/>
  <c r="Y125" i="1"/>
  <c r="BN128" i="1"/>
  <c r="BP128" i="1"/>
  <c r="Y129" i="1"/>
  <c r="BN133" i="1"/>
  <c r="BP133" i="1"/>
  <c r="Y136" i="1"/>
  <c r="BN140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BN40" i="1"/>
  <c r="BN45" i="1"/>
  <c r="BP45" i="1"/>
  <c r="Y272" i="1" s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BN139" i="1"/>
  <c r="BP139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Z275" i="1" s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3" i="1" l="1"/>
  <c r="A283" i="1"/>
  <c r="Y274" i="1"/>
  <c r="B283" i="1" s="1"/>
  <c r="X273" i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<sst xmlns="http://schemas.openxmlformats.org/spreadsheetml/2006/main" count="1222" uniqueCount="394">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</sst>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59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48</v>
      </c>
      <c r="Y24" s="269">
        <f t="shared" si="0"/>
        <v>48</v>
      </c>
      <c r="Z24" s="36">
        <f t="shared" si="1"/>
        <v>0.74399999999999999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358.56</v>
      </c>
      <c r="BN24" s="67">
        <f t="shared" si="3"/>
        <v>358.56</v>
      </c>
      <c r="BO24" s="67">
        <f t="shared" si="4"/>
        <v>0.5714285714285714</v>
      </c>
      <c r="BP24" s="67">
        <f t="shared" si="5"/>
        <v>0.5714285714285714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36</v>
      </c>
      <c r="Y26" s="269">
        <f t="shared" si="0"/>
        <v>36</v>
      </c>
      <c r="Z26" s="36">
        <f t="shared" si="1"/>
        <v>0.55800000000000005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268.92</v>
      </c>
      <c r="BN26" s="67">
        <f t="shared" si="3"/>
        <v>268.92</v>
      </c>
      <c r="BO26" s="67">
        <f t="shared" si="4"/>
        <v>0.42857142857142855</v>
      </c>
      <c r="BP26" s="67">
        <f t="shared" si="5"/>
        <v>0.42857142857142855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84</v>
      </c>
      <c r="Y28" s="270">
        <f>IFERROR(SUM(Y22:Y27),"0")</f>
        <v>84</v>
      </c>
      <c r="Z28" s="270">
        <f>IFERROR(IF(Z22="",0,Z22),"0")+IFERROR(IF(Z23="",0,Z23),"0")+IFERROR(IF(Z24="",0,Z24),"0")+IFERROR(IF(Z25="",0,Z25),"0")+IFERROR(IF(Z26="",0,Z26),"0")+IFERROR(IF(Z27="",0,Z27),"0")</f>
        <v>1.302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604.79999999999995</v>
      </c>
      <c r="Y29" s="270">
        <f>IFERROR(SUMPRODUCT(Y22:Y27*H22:H27),"0")</f>
        <v>604.79999999999995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210</v>
      </c>
      <c r="Y39" s="269">
        <f>IFERROR(IF(X39="","",X39),"")</f>
        <v>210</v>
      </c>
      <c r="Z39" s="36">
        <f>IFERROR(IF(X39="","",X39*0.00941),"")</f>
        <v>1.9761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403.57799999999997</v>
      </c>
      <c r="BN39" s="67">
        <f>IFERROR(Y39*I39,"0")</f>
        <v>403.57799999999997</v>
      </c>
      <c r="BO39" s="67">
        <f>IFERROR(X39/J39,"0")</f>
        <v>1.5</v>
      </c>
      <c r="BP39" s="67">
        <f>IFERROR(Y39/J39,"0")</f>
        <v>1.5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14</v>
      </c>
      <c r="Y40" s="269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224</v>
      </c>
      <c r="Y41" s="270">
        <f>IFERROR(SUM(Y39:Y40),"0")</f>
        <v>224</v>
      </c>
      <c r="Z41" s="270">
        <f>IFERROR(IF(Z39="",0,Z39),"0")+IFERROR(IF(Z40="",0,Z40),"0")</f>
        <v>2.1078399999999999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336</v>
      </c>
      <c r="Y42" s="270">
        <f>IFERROR(SUMPRODUCT(Y39:Y40*H39:H40),"0")</f>
        <v>336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12</v>
      </c>
      <c r="Y45" s="269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36</v>
      </c>
      <c r="Y47" s="269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60</v>
      </c>
      <c r="Y48" s="270">
        <f>IFERROR(SUM(Y45:Y47),"0")</f>
        <v>60</v>
      </c>
      <c r="Z48" s="270">
        <f>IFERROR(IF(Z45="",0,Z45),"0")+IFERROR(IF(Z46="",0,Z46),"0")+IFERROR(IF(Z47="",0,Z47),"0")</f>
        <v>0.93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336</v>
      </c>
      <c r="Y49" s="270">
        <f>IFERROR(SUMPRODUCT(Y45:Y47*H45:H47),"0")</f>
        <v>336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60</v>
      </c>
      <c r="Y52" s="269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72</v>
      </c>
      <c r="Y53" s="269">
        <f>IFERROR(IF(X53="","",X53),"")</f>
        <v>72</v>
      </c>
      <c r="Z53" s="36">
        <f>IFERROR(IF(X53="","",X53*0.0155),"")</f>
        <v>1.1160000000000001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524.59199999999998</v>
      </c>
      <c r="BN53" s="67">
        <f>IFERROR(Y53*I53,"0")</f>
        <v>524.59199999999998</v>
      </c>
      <c r="BO53" s="67">
        <f>IFERROR(X53/J53,"0")</f>
        <v>0.8571428571428571</v>
      </c>
      <c r="BP53" s="67">
        <f>IFERROR(Y53/J53,"0")</f>
        <v>0.8571428571428571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132</v>
      </c>
      <c r="Y56" s="270">
        <f>IFERROR(SUM(Y52:Y55),"0")</f>
        <v>132</v>
      </c>
      <c r="Z56" s="270">
        <f>IFERROR(IF(Z52="",0,Z52),"0")+IFERROR(IF(Z53="",0,Z53),"0")+IFERROR(IF(Z54="",0,Z54),"0")+IFERROR(IF(Z55="",0,Z55),"0")</f>
        <v>2.0460000000000003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924</v>
      </c>
      <c r="Y57" s="270">
        <f>IFERROR(SUMPRODUCT(Y52:Y55*H52:H55),"0")</f>
        <v>924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146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60</v>
      </c>
      <c r="Y81" s="269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60</v>
      </c>
      <c r="Y82" s="270">
        <f>IFERROR(SUM(Y80:Y81),"0")</f>
        <v>60</v>
      </c>
      <c r="Z82" s="270">
        <f>IFERROR(IF(Z80="",0,Z80),"0")+IFERROR(IF(Z81="",0,Z81),"0")</f>
        <v>0.51959999999999995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300</v>
      </c>
      <c r="Y83" s="270">
        <f>IFERROR(SUMPRODUCT(Y80:Y81*H80:H81),"0")</f>
        <v>300</v>
      </c>
      <c r="Z83" s="37"/>
      <c r="AA83" s="271"/>
      <c r="AB83" s="271"/>
      <c r="AC83" s="271"/>
    </row>
    <row r="84" spans="1:68" ht="16.5" customHeight="1" x14ac:dyDescent="0.25">
      <c r="A84" s="284" t="s">
        <v>153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42</v>
      </c>
      <c r="Y86" s="269">
        <f>IFERROR(IF(X86="","",X86),"")</f>
        <v>42</v>
      </c>
      <c r="Z86" s="36">
        <f>IFERROR(IF(X86="","",X86*0.01788),"")</f>
        <v>0.75095999999999996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42</v>
      </c>
      <c r="Y87" s="270">
        <f>IFERROR(SUM(Y86:Y86),"0")</f>
        <v>42</v>
      </c>
      <c r="Z87" s="270">
        <f>IFERROR(IF(Z86="",0,Z86),"0")</f>
        <v>0.75095999999999996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151.20000000000002</v>
      </c>
      <c r="Y88" s="270">
        <f>IFERROR(SUMPRODUCT(Y86:Y86*H86:H86),"0")</f>
        <v>151.20000000000002</v>
      </c>
      <c r="Z88" s="37"/>
      <c r="AA88" s="271"/>
      <c r="AB88" s="271"/>
      <c r="AC88" s="271"/>
    </row>
    <row r="89" spans="1:68" ht="16.5" customHeight="1" x14ac:dyDescent="0.25">
      <c r="A89" s="284" t="s">
        <v>157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158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126</v>
      </c>
      <c r="Y91" s="269">
        <f>IFERROR(IF(X91="","",X91),"")</f>
        <v>126</v>
      </c>
      <c r="Z91" s="36">
        <f>IFERROR(IF(X91="","",X91*0.01788),"")</f>
        <v>2.2528800000000002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542.25360000000001</v>
      </c>
      <c r="BN91" s="67">
        <f>IFERROR(Y91*I91,"0")</f>
        <v>542.25360000000001</v>
      </c>
      <c r="BO91" s="67">
        <f>IFERROR(X91/J91,"0")</f>
        <v>1.8</v>
      </c>
      <c r="BP91" s="67">
        <f>IFERROR(Y91/J91,"0")</f>
        <v>1.8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42</v>
      </c>
      <c r="Y92" s="269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168</v>
      </c>
      <c r="Y93" s="270">
        <f>IFERROR(SUM(Y91:Y92),"0")</f>
        <v>168</v>
      </c>
      <c r="Z93" s="270">
        <f>IFERROR(IF(Z91="",0,Z91),"0")+IFERROR(IF(Z92="",0,Z92),"0")</f>
        <v>3.0038400000000003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604.80000000000007</v>
      </c>
      <c r="Y94" s="270">
        <f>IFERROR(SUMPRODUCT(Y91:Y92*H91:H92),"0")</f>
        <v>604.80000000000007</v>
      </c>
      <c r="Z94" s="37"/>
      <c r="AA94" s="271"/>
      <c r="AB94" s="271"/>
      <c r="AC94" s="271"/>
    </row>
    <row r="95" spans="1:68" ht="16.5" customHeight="1" x14ac:dyDescent="0.25">
      <c r="A95" s="284" t="s">
        <v>165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70</v>
      </c>
      <c r="Y97" s="269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98</v>
      </c>
      <c r="Y98" s="269">
        <f t="shared" si="6"/>
        <v>98</v>
      </c>
      <c r="Z98" s="36">
        <f t="shared" si="7"/>
        <v>1.75224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351.19280000000003</v>
      </c>
      <c r="BN98" s="67">
        <f t="shared" si="9"/>
        <v>351.19280000000003</v>
      </c>
      <c r="BO98" s="67">
        <f t="shared" si="10"/>
        <v>1.4</v>
      </c>
      <c r="BP98" s="67">
        <f t="shared" si="11"/>
        <v>1.4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28</v>
      </c>
      <c r="Y99" s="269">
        <f t="shared" si="6"/>
        <v>28</v>
      </c>
      <c r="Z99" s="36">
        <f t="shared" si="7"/>
        <v>0.50063999999999997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28</v>
      </c>
      <c r="Y100" s="269">
        <f t="shared" si="6"/>
        <v>28</v>
      </c>
      <c r="Z100" s="36">
        <f t="shared" si="7"/>
        <v>0.50063999999999997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100.3408</v>
      </c>
      <c r="BN100" s="67">
        <f t="shared" si="9"/>
        <v>100.3408</v>
      </c>
      <c r="BO100" s="67">
        <f t="shared" si="10"/>
        <v>0.4</v>
      </c>
      <c r="BP100" s="67">
        <f t="shared" si="11"/>
        <v>0.4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28</v>
      </c>
      <c r="Y101" s="269">
        <f t="shared" si="6"/>
        <v>28</v>
      </c>
      <c r="Z101" s="36">
        <f t="shared" si="7"/>
        <v>0.50063999999999997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252</v>
      </c>
      <c r="Y103" s="270">
        <f>IFERROR(SUM(Y97:Y102),"0")</f>
        <v>252</v>
      </c>
      <c r="Z103" s="270">
        <f>IFERROR(IF(Z97="",0,Z97),"0")+IFERROR(IF(Z98="",0,Z98),"0")+IFERROR(IF(Z99="",0,Z99),"0")+IFERROR(IF(Z100="",0,Z100),"0")+IFERROR(IF(Z101="",0,Z101),"0")+IFERROR(IF(Z102="",0,Z102),"0")</f>
        <v>4.5057599999999995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752.64</v>
      </c>
      <c r="Y104" s="270">
        <f>IFERROR(SUMPRODUCT(Y97:Y102*H97:H102),"0")</f>
        <v>752.64</v>
      </c>
      <c r="Z104" s="37"/>
      <c r="AA104" s="271"/>
      <c r="AB104" s="271"/>
      <c r="AC104" s="271"/>
    </row>
    <row r="105" spans="1:68" ht="16.5" customHeight="1" x14ac:dyDescent="0.25">
      <c r="A105" s="284" t="s">
        <v>180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84</v>
      </c>
      <c r="Y108" s="269">
        <f>IFERROR(IF(X108="","",X108),"")</f>
        <v>84</v>
      </c>
      <c r="Z108" s="36">
        <f>IFERROR(IF(X108="","",X108*0.01788),"")</f>
        <v>1.5019199999999999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356.49599999999998</v>
      </c>
      <c r="BN108" s="67">
        <f>IFERROR(Y108*I108,"0")</f>
        <v>356.49599999999998</v>
      </c>
      <c r="BO108" s="67">
        <f>IFERROR(X108/J108,"0")</f>
        <v>1.2</v>
      </c>
      <c r="BP108" s="67">
        <f>IFERROR(Y108/J108,"0")</f>
        <v>1.2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84</v>
      </c>
      <c r="Y109" s="270">
        <f>IFERROR(SUM(Y107:Y108),"0")</f>
        <v>84</v>
      </c>
      <c r="Z109" s="270">
        <f>IFERROR(IF(Z107="",0,Z107),"0")+IFERROR(IF(Z108="",0,Z108),"0")</f>
        <v>1.5019199999999999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302.40000000000003</v>
      </c>
      <c r="Y110" s="270">
        <f>IFERROR(SUMPRODUCT(Y107:Y108*H107:H108),"0")</f>
        <v>302.40000000000003</v>
      </c>
      <c r="Z110" s="37"/>
      <c r="AA110" s="271"/>
      <c r="AB110" s="271"/>
      <c r="AC110" s="271"/>
    </row>
    <row r="111" spans="1:68" ht="16.5" customHeight="1" x14ac:dyDescent="0.25">
      <c r="A111" s="284" t="s">
        <v>186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36</v>
      </c>
      <c r="Y115" s="269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144</v>
      </c>
      <c r="Y116" s="269">
        <f t="shared" si="12"/>
        <v>144</v>
      </c>
      <c r="Z116" s="36">
        <f t="shared" si="13"/>
        <v>2.2320000000000002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1051.2</v>
      </c>
      <c r="BN116" s="67">
        <f t="shared" si="15"/>
        <v>1051.2</v>
      </c>
      <c r="BO116" s="67">
        <f t="shared" si="16"/>
        <v>1.7142857142857142</v>
      </c>
      <c r="BP116" s="67">
        <f t="shared" si="17"/>
        <v>1.7142857142857142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48</v>
      </c>
      <c r="Y118" s="269">
        <f t="shared" si="12"/>
        <v>48</v>
      </c>
      <c r="Z118" s="36">
        <f t="shared" si="13"/>
        <v>0.74399999999999999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144</v>
      </c>
      <c r="Y119" s="269">
        <f t="shared" si="12"/>
        <v>144</v>
      </c>
      <c r="Z119" s="36">
        <f t="shared" si="13"/>
        <v>2.2320000000000002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1051.2</v>
      </c>
      <c r="BN119" s="67">
        <f t="shared" si="15"/>
        <v>1051.2</v>
      </c>
      <c r="BO119" s="67">
        <f t="shared" si="16"/>
        <v>1.7142857142857142</v>
      </c>
      <c r="BP119" s="67">
        <f t="shared" si="17"/>
        <v>1.7142857142857142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372</v>
      </c>
      <c r="Y121" s="270">
        <f>IFERROR(SUM(Y113:Y120),"0")</f>
        <v>372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5.766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2553.6000000000004</v>
      </c>
      <c r="Y122" s="270">
        <f>IFERROR(SUMPRODUCT(Y113:Y120*H113:H120),"0")</f>
        <v>2553.6000000000004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211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212</v>
      </c>
      <c r="B128" s="54" t="s">
        <v>213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215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154</v>
      </c>
      <c r="Y133" s="269">
        <f>IFERROR(IF(X133="","",X133),"")</f>
        <v>154</v>
      </c>
      <c r="Z133" s="36">
        <f>IFERROR(IF(X133="","",X133*0.01788),"")</f>
        <v>2.75352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570.35439999999994</v>
      </c>
      <c r="BN133" s="67">
        <f>IFERROR(Y133*I133,"0")</f>
        <v>570.35439999999994</v>
      </c>
      <c r="BO133" s="67">
        <f>IFERROR(X133/J133,"0")</f>
        <v>2.2000000000000002</v>
      </c>
      <c r="BP133" s="67">
        <f>IFERROR(Y133/J133,"0")</f>
        <v>2.2000000000000002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98</v>
      </c>
      <c r="Y134" s="269">
        <f>IFERROR(IF(X134="","",X134),"")</f>
        <v>98</v>
      </c>
      <c r="Z134" s="36">
        <f>IFERROR(IF(X134="","",X134*0.01788),"")</f>
        <v>1.75224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362.95279999999997</v>
      </c>
      <c r="BN134" s="67">
        <f>IFERROR(Y134*I134,"0")</f>
        <v>362.95279999999997</v>
      </c>
      <c r="BO134" s="67">
        <f>IFERROR(X134/J134,"0")</f>
        <v>1.4</v>
      </c>
      <c r="BP134" s="67">
        <f>IFERROR(Y134/J134,"0")</f>
        <v>1.4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252</v>
      </c>
      <c r="Y135" s="270">
        <f>IFERROR(SUM(Y133:Y134),"0")</f>
        <v>252</v>
      </c>
      <c r="Z135" s="270">
        <f>IFERROR(IF(Z133="",0,Z133),"0")+IFERROR(IF(Z134="",0,Z134),"0")</f>
        <v>4.5057600000000004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756</v>
      </c>
      <c r="Y136" s="270">
        <f>IFERROR(SUMPRODUCT(Y133:Y134*H133:H134),"0")</f>
        <v>756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42</v>
      </c>
      <c r="Y140" s="269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155.55119999999999</v>
      </c>
      <c r="BN140" s="67">
        <f>IFERROR(Y140*I140,"0")</f>
        <v>155.55119999999999</v>
      </c>
      <c r="BO140" s="67">
        <f>IFERROR(X140/J140,"0")</f>
        <v>0.6</v>
      </c>
      <c r="BP140" s="67">
        <f>IFERROR(Y140/J140,"0")</f>
        <v>0.6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42</v>
      </c>
      <c r="Y141" s="270">
        <f>IFERROR(SUM(Y139:Y140),"0")</f>
        <v>42</v>
      </c>
      <c r="Z141" s="270">
        <f>IFERROR(IF(Z139="",0,Z139),"0")+IFERROR(IF(Z140="",0,Z140),"0")</f>
        <v>0.75095999999999996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126</v>
      </c>
      <c r="Y142" s="270">
        <f>IFERROR(SUMPRODUCT(Y139:Y140*H139:H140),"0")</f>
        <v>126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56</v>
      </c>
      <c r="Y145" s="269">
        <f>IFERROR(IF(X145="","",X145),"")</f>
        <v>56</v>
      </c>
      <c r="Z145" s="36">
        <f>IFERROR(IF(X145="","",X145*0.01788),"")</f>
        <v>1.0012799999999999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150.08000000000001</v>
      </c>
      <c r="BN145" s="67">
        <f>IFERROR(Y145*I145,"0")</f>
        <v>150.08000000000001</v>
      </c>
      <c r="BO145" s="67">
        <f>IFERROR(X145/J145,"0")</f>
        <v>0.8</v>
      </c>
      <c r="BP145" s="67">
        <f>IFERROR(Y145/J145,"0")</f>
        <v>0.8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56</v>
      </c>
      <c r="Y147" s="270">
        <f>IFERROR(SUM(Y145:Y146),"0")</f>
        <v>56</v>
      </c>
      <c r="Z147" s="270">
        <f>IFERROR(IF(Z145="",0,Z145),"0")+IFERROR(IF(Z146="",0,Z146),"0")</f>
        <v>1.0012799999999999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134.4</v>
      </c>
      <c r="Y148" s="270">
        <f>IFERROR(SUMPRODUCT(Y145:Y146*H145:H146),"0")</f>
        <v>134.4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211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112</v>
      </c>
      <c r="Y166" s="269">
        <f>IFERROR(IF(X166="","",X166),"")</f>
        <v>112</v>
      </c>
      <c r="Z166" s="36">
        <f>IFERROR(IF(X166="","",X166*0.00941),"")</f>
        <v>1.05392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235.40159999999997</v>
      </c>
      <c r="BN166" s="67">
        <f>IFERROR(Y166*I166,"0")</f>
        <v>235.40159999999997</v>
      </c>
      <c r="BO166" s="67">
        <f>IFERROR(X166/J166,"0")</f>
        <v>0.8</v>
      </c>
      <c r="BP166" s="67">
        <f>IFERROR(Y166/J166,"0")</f>
        <v>0.8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112</v>
      </c>
      <c r="Y167" s="270">
        <f>IFERROR(SUM(Y166:Y166),"0")</f>
        <v>112</v>
      </c>
      <c r="Z167" s="270">
        <f>IFERROR(IF(Z166="",0,Z166),"0")</f>
        <v>1.05392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188.16</v>
      </c>
      <c r="Y168" s="270">
        <f>IFERROR(SUMPRODUCT(Y166:Y166*H166:H166),"0")</f>
        <v>188.16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60</v>
      </c>
      <c r="Y173" s="269">
        <f>IFERROR(IF(X173="","",X173),"")</f>
        <v>60</v>
      </c>
      <c r="Z173" s="36">
        <f>IFERROR(IF(X173="","",X173*0.00866),"")</f>
        <v>0.51959999999999995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312.79199999999997</v>
      </c>
      <c r="BN173" s="67">
        <f>IFERROR(Y173*I173,"0")</f>
        <v>312.79199999999997</v>
      </c>
      <c r="BO173" s="67">
        <f>IFERROR(X173/J173,"0")</f>
        <v>0.41666666666666669</v>
      </c>
      <c r="BP173" s="67">
        <f>IFERROR(Y173/J173,"0")</f>
        <v>0.41666666666666669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60</v>
      </c>
      <c r="Y174" s="270">
        <f>IFERROR(SUM(Y172:Y173),"0")</f>
        <v>60</v>
      </c>
      <c r="Z174" s="270">
        <f>IFERROR(IF(Z172="",0,Z172),"0")+IFERROR(IF(Z173="",0,Z173),"0")</f>
        <v>0.51959999999999995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300</v>
      </c>
      <c r="Y175" s="270">
        <f>IFERROR(SUMPRODUCT(Y172:Y173*H172:H173),"0")</f>
        <v>300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56</v>
      </c>
      <c r="Y179" s="269">
        <f>IFERROR(IF(X179="","",X179),"")</f>
        <v>56</v>
      </c>
      <c r="Z179" s="36">
        <f>IFERROR(IF(X179="","",X179*0.01788),"")</f>
        <v>1.0012799999999999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189.72800000000001</v>
      </c>
      <c r="BN179" s="67">
        <f>IFERROR(Y179*I179,"0")</f>
        <v>189.72800000000001</v>
      </c>
      <c r="BO179" s="67">
        <f>IFERROR(X179/J179,"0")</f>
        <v>0.8</v>
      </c>
      <c r="BP179" s="67">
        <f>IFERROR(Y179/J179,"0")</f>
        <v>0.8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84</v>
      </c>
      <c r="Y180" s="269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284.59199999999998</v>
      </c>
      <c r="BN180" s="67">
        <f>IFERROR(Y180*I180,"0")</f>
        <v>284.59199999999998</v>
      </c>
      <c r="BO180" s="67">
        <f>IFERROR(X180/J180,"0")</f>
        <v>1.2</v>
      </c>
      <c r="BP180" s="67">
        <f>IFERROR(Y180/J180,"0")</f>
        <v>1.2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98</v>
      </c>
      <c r="Y181" s="269">
        <f>IFERROR(IF(X181="","",X181),"")</f>
        <v>98</v>
      </c>
      <c r="Z181" s="36">
        <f>IFERROR(IF(X181="","",X181*0.01788),"")</f>
        <v>1.75224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366.12800000000004</v>
      </c>
      <c r="BN181" s="67">
        <f>IFERROR(Y181*I181,"0")</f>
        <v>366.12800000000004</v>
      </c>
      <c r="BO181" s="67">
        <f>IFERROR(X181/J181,"0")</f>
        <v>1.4</v>
      </c>
      <c r="BP181" s="67">
        <f>IFERROR(Y181/J181,"0")</f>
        <v>1.4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238</v>
      </c>
      <c r="Y182" s="270">
        <f>IFERROR(SUM(Y179:Y181),"0")</f>
        <v>238</v>
      </c>
      <c r="Z182" s="270">
        <f>IFERROR(IF(Z179="",0,Z179),"0")+IFERROR(IF(Z180="",0,Z180),"0")+IFERROR(IF(Z181="",0,Z181),"0")</f>
        <v>4.2554400000000001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714</v>
      </c>
      <c r="Y183" s="270">
        <f>IFERROR(SUMPRODUCT(Y179:Y181*H179:H181),"0")</f>
        <v>714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14</v>
      </c>
      <c r="Y195" s="26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43.450400000000002</v>
      </c>
      <c r="BN195" s="67">
        <f>IFERROR(Y195*I195,"0")</f>
        <v>43.450400000000002</v>
      </c>
      <c r="BO195" s="67">
        <f>IFERROR(X195/J195,"0")</f>
        <v>0.2</v>
      </c>
      <c r="BP195" s="67">
        <f>IFERROR(Y195/J195,"0")</f>
        <v>0.2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72</v>
      </c>
      <c r="Y204" s="269">
        <f>IFERROR(IF(X204="","",X204),"")</f>
        <v>72</v>
      </c>
      <c r="Z204" s="36">
        <f>IFERROR(IF(X204="","",X204*0.0155),"")</f>
        <v>1.1160000000000001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376.56000000000006</v>
      </c>
      <c r="BN204" s="67">
        <f>IFERROR(Y204*I204,"0")</f>
        <v>376.56000000000006</v>
      </c>
      <c r="BO204" s="67">
        <f>IFERROR(X204/J204,"0")</f>
        <v>0.8571428571428571</v>
      </c>
      <c r="BP204" s="67">
        <f>IFERROR(Y204/J204,"0")</f>
        <v>0.8571428571428571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72</v>
      </c>
      <c r="Y205" s="270">
        <f>IFERROR(SUM(Y204:Y204),"0")</f>
        <v>72</v>
      </c>
      <c r="Z205" s="270">
        <f>IFERROR(IF(Z204="",0,Z204),"0")</f>
        <v>1.1160000000000001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360</v>
      </c>
      <c r="Y206" s="270">
        <f>IFERROR(SUMPRODUCT(Y204:Y204*H204:H204),"0")</f>
        <v>360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276</v>
      </c>
      <c r="Y226" s="269">
        <f>IFERROR(IF(X226="","",X226),"")</f>
        <v>276</v>
      </c>
      <c r="Z226" s="36">
        <f>IFERROR(IF(X226="","",X226*0.0155),"")</f>
        <v>4.2779999999999996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1452.3119999999999</v>
      </c>
      <c r="BN226" s="67">
        <f>IFERROR(Y226*I226,"0")</f>
        <v>1452.3119999999999</v>
      </c>
      <c r="BO226" s="67">
        <f>IFERROR(X226/J226,"0")</f>
        <v>3.2857142857142856</v>
      </c>
      <c r="BP226" s="67">
        <f>IFERROR(Y226/J226,"0")</f>
        <v>3.2857142857142856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276</v>
      </c>
      <c r="Y227" s="270">
        <f>IFERROR(SUM(Y226:Y226),"0")</f>
        <v>276</v>
      </c>
      <c r="Z227" s="270">
        <f>IFERROR(IF(Z226="",0,Z226),"0")</f>
        <v>4.2779999999999996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1380</v>
      </c>
      <c r="Y228" s="270">
        <f>IFERROR(SUMPRODUCT(Y226:Y226*H226:H226),"0")</f>
        <v>1380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36</v>
      </c>
      <c r="Y243" s="269">
        <f>IFERROR(IF(X243="","",X243),"")</f>
        <v>36</v>
      </c>
      <c r="Z243" s="36">
        <f>IFERROR(IF(X243="","",X243*0.0155),"")</f>
        <v>0.55800000000000005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262.08</v>
      </c>
      <c r="BN243" s="67">
        <f>IFERROR(Y243*I243,"0")</f>
        <v>262.08</v>
      </c>
      <c r="BO243" s="67">
        <f>IFERROR(X243/J243,"0")</f>
        <v>0.42857142857142855</v>
      </c>
      <c r="BP243" s="67">
        <f>IFERROR(Y243/J243,"0")</f>
        <v>0.42857142857142855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36</v>
      </c>
      <c r="Y244" s="270">
        <f>IFERROR(SUM(Y242:Y243),"0")</f>
        <v>36</v>
      </c>
      <c r="Z244" s="270">
        <f>IFERROR(IF(Z242="",0,Z242),"0")+IFERROR(IF(Z243="",0,Z243),"0")</f>
        <v>0.55800000000000005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252</v>
      </c>
      <c r="Y245" s="270">
        <f>IFERROR(SUMPRODUCT(Y242:Y243*H242:H243),"0")</f>
        <v>252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36</v>
      </c>
      <c r="Y247" s="269">
        <f>IFERROR(IF(X247="","",X247),"")</f>
        <v>36</v>
      </c>
      <c r="Z247" s="36">
        <f>IFERROR(IF(X247="","",X247*0.0155),"")</f>
        <v>0.55800000000000005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225.35999999999999</v>
      </c>
      <c r="BN247" s="67">
        <f>IFERROR(Y247*I247,"0")</f>
        <v>225.35999999999999</v>
      </c>
      <c r="BO247" s="67">
        <f>IFERROR(X247/J247,"0")</f>
        <v>0.42857142857142855</v>
      </c>
      <c r="BP247" s="67">
        <f>IFERROR(Y247/J247,"0")</f>
        <v>0.42857142857142855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36</v>
      </c>
      <c r="Y249" s="270">
        <f>IFERROR(SUM(Y247:Y248),"0")</f>
        <v>36</v>
      </c>
      <c r="Z249" s="270">
        <f>IFERROR(IF(Z247="",0,Z247),"0")+IFERROR(IF(Z248="",0,Z248),"0")</f>
        <v>0.55800000000000005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216</v>
      </c>
      <c r="Y250" s="270">
        <f>IFERROR(SUMPRODUCT(Y247:Y248*H247:H248),"0")</f>
        <v>216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168</v>
      </c>
      <c r="Y253" s="269">
        <f>IFERROR(IF(X253="","",X253),"")</f>
        <v>168</v>
      </c>
      <c r="Z253" s="36">
        <f>IFERROR(IF(X253="","",X253*0.0155),"")</f>
        <v>2.6040000000000001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879.48</v>
      </c>
      <c r="BN253" s="67">
        <f>IFERROR(Y253*I253,"0")</f>
        <v>879.48</v>
      </c>
      <c r="BO253" s="67">
        <f>IFERROR(X253/J253,"0")</f>
        <v>2</v>
      </c>
      <c r="BP253" s="67">
        <f>IFERROR(Y253/J253,"0")</f>
        <v>2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168</v>
      </c>
      <c r="Y255" s="270">
        <f>IFERROR(SUM(Y252:Y254),"0")</f>
        <v>168</v>
      </c>
      <c r="Z255" s="270">
        <f>IFERROR(IF(Z252="",0,Z252),"0")+IFERROR(IF(Z253="",0,Z253),"0")+IFERROR(IF(Z254="",0,Z254),"0")</f>
        <v>2.6040000000000001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840</v>
      </c>
      <c r="Y256" s="270">
        <f>IFERROR(SUMPRODUCT(Y252:Y254*H252:H254),"0")</f>
        <v>840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14</v>
      </c>
      <c r="Y268" s="270">
        <f>IFERROR(SUM(Y258:Y267),"0")</f>
        <v>14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0.13103999999999999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42</v>
      </c>
      <c r="Y269" s="270">
        <f>IFERROR(SUMPRODUCT(Y258:Y267*H258:H267),"0")</f>
        <v>42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12207.6</v>
      </c>
      <c r="Y270" s="270">
        <f>IFERROR(Y29+Y35+Y42+Y49+Y57+Y62+Y66+Y71+Y77+Y83+Y88+Y94+Y104+Y110+Y122+Y126+Y130+Y136+Y142+Y148+Y153+Y158+Y163+Y168+Y175+Y183+Y187+Y193+Y201+Y206+Y211+Y216+Y222+Y228+Y234+Y238+Y245+Y250+Y256+Y269,"0")</f>
        <v>12207.6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13451.448799999996</v>
      </c>
      <c r="Y271" s="270">
        <f>IFERROR(SUM(BN22:BN267),"0")</f>
        <v>13451.448799999996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35</v>
      </c>
      <c r="Y272" s="38">
        <f>ROUNDUP(SUM(BP22:BP267),0)</f>
        <v>35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14326.448799999996</v>
      </c>
      <c r="Y273" s="270">
        <f>GrossWeightTotalR+PalletQtyTotalR*25</f>
        <v>14326.448799999996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2854</v>
      </c>
      <c r="Y274" s="270">
        <f>IFERROR(Y28+Y34+Y41+Y48+Y56+Y61+Y65+Y70+Y76+Y82+Y87+Y93+Y103+Y109+Y121+Y125+Y129+Y135+Y141+Y147+Y152+Y157+Y162+Y167+Y174+Y182+Y186+Y192+Y200+Y205+Y210+Y215+Y221+Y227+Y233+Y237+Y244+Y249+Y255+Y268,"0")</f>
        <v>2854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44.016240000000003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146</v>
      </c>
      <c r="I278" s="289" t="s">
        <v>153</v>
      </c>
      <c r="J278" s="289" t="s">
        <v>157</v>
      </c>
      <c r="K278" s="289" t="s">
        <v>165</v>
      </c>
      <c r="L278" s="289" t="s">
        <v>180</v>
      </c>
      <c r="M278" s="289" t="s">
        <v>186</v>
      </c>
      <c r="N278" s="266"/>
      <c r="O278" s="289" t="s">
        <v>215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604.79999999999995</v>
      </c>
      <c r="C280" s="46">
        <f>IFERROR(X32*H32,"0")+IFERROR(X33*H33,"0")</f>
        <v>0</v>
      </c>
      <c r="D280" s="46">
        <f>IFERROR(X39*H39,"0")+IFERROR(X40*H40,"0")</f>
        <v>336</v>
      </c>
      <c r="E280" s="46">
        <f>IFERROR(X45*H45,"0")+IFERROR(X46*H46,"0")+IFERROR(X47*H47,"0")</f>
        <v>336</v>
      </c>
      <c r="F280" s="46">
        <f>IFERROR(X52*H52,"0")+IFERROR(X53*H53,"0")+IFERROR(X54*H54,"0")+IFERROR(X55*H55,"0")</f>
        <v>924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300</v>
      </c>
      <c r="I280" s="46">
        <f>IFERROR(X86*H86,"0")</f>
        <v>151.20000000000002</v>
      </c>
      <c r="J280" s="46">
        <f>IFERROR(X91*H91,"0")+IFERROR(X92*H92,"0")</f>
        <v>604.80000000000007</v>
      </c>
      <c r="K280" s="46">
        <f>IFERROR(X97*H97,"0")+IFERROR(X98*H98,"0")+IFERROR(X99*H99,"0")+IFERROR(X100*H100,"0")+IFERROR(X101*H101,"0")+IFERROR(X102*H102,"0")</f>
        <v>752.64</v>
      </c>
      <c r="L280" s="46">
        <f>IFERROR(X107*H107,"0")+IFERROR(X108*H108,"0")</f>
        <v>302.40000000000003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2553.6000000000004</v>
      </c>
      <c r="N280" s="266"/>
      <c r="O280" s="46">
        <f>IFERROR(X133*H133,"0")+IFERROR(X134*H134,"0")</f>
        <v>756</v>
      </c>
      <c r="P280" s="46">
        <f>IFERROR(X139*H139,"0")+IFERROR(X140*H140,"0")</f>
        <v>126</v>
      </c>
      <c r="Q280" s="46">
        <f>IFERROR(X145*H145,"0")+IFERROR(X146*H146,"0")</f>
        <v>134.4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188.16</v>
      </c>
      <c r="V280" s="46">
        <f>IFERROR(X172*H172,"0")+IFERROR(X173*H173,"0")</f>
        <v>300</v>
      </c>
      <c r="W280" s="46">
        <f>IFERROR(X179*H179,"0")+IFERROR(X180*H180,"0")+IFERROR(X181*H181,"0")+IFERROR(X185*H185,"0")</f>
        <v>714</v>
      </c>
      <c r="X280" s="46">
        <f>IFERROR(X191*H191,"0")+IFERROR(X195*H195,"0")+IFERROR(X196*H196,"0")+IFERROR(X197*H197,"0")+IFERROR(X198*H198,"0")+IFERROR(X199*H199,"0")</f>
        <v>33.6</v>
      </c>
      <c r="Y280" s="46">
        <f>IFERROR(X204*H204,"0")</f>
        <v>360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1380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1350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7010.4000000000005</v>
      </c>
      <c r="B283" s="60">
        <f>SUMPRODUCT(--(BB:BB="ПГП"),--(W:W="кор"),H:H,Y:Y)+SUMPRODUCT(--(BB:BB="ПГП"),--(W:W="кг"),Y:Y)</f>
        <v>5197.2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2025-12-05T09:16:46Z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