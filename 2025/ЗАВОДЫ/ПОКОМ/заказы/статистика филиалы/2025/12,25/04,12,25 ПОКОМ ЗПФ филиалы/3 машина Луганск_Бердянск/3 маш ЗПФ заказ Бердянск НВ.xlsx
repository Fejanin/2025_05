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E809365A-F816-4D6A-89FF-CFBA6375AE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<sst xmlns="http://schemas.openxmlformats.org/spreadsheetml/2006/main" count="1222" uniqueCount="394">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</sst>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60</v>
      </c>
      <c r="Y28" s="270">
        <f>IFERROR(SUM(Y22:Y27),"0")</f>
        <v>60</v>
      </c>
      <c r="Z28" s="270">
        <f>IFERROR(IF(Z22="",0,Z22),"0")+IFERROR(IF(Z23="",0,Z23),"0")+IFERROR(IF(Z24="",0,Z24),"0")+IFERROR(IF(Z25="",0,Z25),"0")+IFERROR(IF(Z26="",0,Z26),"0")+IFERROR(IF(Z27="",0,Z27),"0")</f>
        <v>0.93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432</v>
      </c>
      <c r="Y29" s="270">
        <f>IFERROR(SUMPRODUCT(Y22:Y27*H22:H27),"0")</f>
        <v>432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168</v>
      </c>
      <c r="Y39" s="269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182</v>
      </c>
      <c r="Y41" s="270">
        <f>IFERROR(SUM(Y39:Y40),"0")</f>
        <v>182</v>
      </c>
      <c r="Z41" s="270">
        <f>IFERROR(IF(Z39="",0,Z39),"0")+IFERROR(IF(Z40="",0,Z40),"0")</f>
        <v>1.71262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273</v>
      </c>
      <c r="Y42" s="270">
        <f>IFERROR(SUMPRODUCT(Y39:Y40*H39:H40),"0")</f>
        <v>273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24</v>
      </c>
      <c r="Y52" s="269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84</v>
      </c>
      <c r="Y53" s="269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132</v>
      </c>
      <c r="Y56" s="270">
        <f>IFERROR(SUM(Y52:Y55),"0")</f>
        <v>132</v>
      </c>
      <c r="Z56" s="270">
        <f>IFERROR(IF(Z52="",0,Z52),"0")+IFERROR(IF(Z53="",0,Z53),"0")+IFERROR(IF(Z54="",0,Z54),"0")+IFERROR(IF(Z55="",0,Z55),"0")</f>
        <v>2.0459999999999998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924</v>
      </c>
      <c r="Y57" s="270">
        <f>IFERROR(SUMPRODUCT(Y52:Y55*H52:H55),"0")</f>
        <v>924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28</v>
      </c>
      <c r="Y91" s="269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42</v>
      </c>
      <c r="Y100" s="269">
        <f t="shared" si="6"/>
        <v>42</v>
      </c>
      <c r="Z100" s="36">
        <f t="shared" si="7"/>
        <v>0.75095999999999996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3.7547999999999999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618.24</v>
      </c>
      <c r="Y104" s="270">
        <f>IFERROR(SUMPRODUCT(Y97:Y102*H97:H102),"0")</f>
        <v>618.24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0.25031999999999999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50.4</v>
      </c>
      <c r="Y110" s="270">
        <f>IFERROR(SUMPRODUCT(Y107:Y108*H107:H108),"0")</f>
        <v>50.4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132</v>
      </c>
      <c r="Y116" s="269">
        <f t="shared" si="12"/>
        <v>132</v>
      </c>
      <c r="Z116" s="36">
        <f t="shared" si="13"/>
        <v>2.0459999999999998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288</v>
      </c>
      <c r="Y121" s="270">
        <f>IFERROR(SUM(Y113:Y120),"0")</f>
        <v>288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4.4640000000000004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1994.3999999999999</v>
      </c>
      <c r="Y122" s="270">
        <f>IFERROR(SUMPRODUCT(Y113:Y120*H113:H120),"0")</f>
        <v>1994.3999999999999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112</v>
      </c>
      <c r="Y133" s="269">
        <f>IFERROR(IF(X133="","",X133),"")</f>
        <v>112</v>
      </c>
      <c r="Z133" s="36">
        <f>IFERROR(IF(X133="","",X133*0.01788),"")</f>
        <v>2.0025599999999999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414.80319999999995</v>
      </c>
      <c r="BN133" s="67">
        <f>IFERROR(Y133*I133,"0")</f>
        <v>414.80319999999995</v>
      </c>
      <c r="BO133" s="67">
        <f>IFERROR(X133/J133,"0")</f>
        <v>1.6</v>
      </c>
      <c r="BP133" s="67">
        <f>IFERROR(Y133/J133,"0")</f>
        <v>1.6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126</v>
      </c>
      <c r="Y134" s="269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28</v>
      </c>
      <c r="Y139" s="269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98</v>
      </c>
      <c r="Y140" s="269">
        <f>IFERROR(IF(X140="","",X140),"")</f>
        <v>98</v>
      </c>
      <c r="Z140" s="36">
        <f>IFERROR(IF(X140="","",X140*0.01788),"")</f>
        <v>1.75224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362.95279999999997</v>
      </c>
      <c r="BN140" s="67">
        <f>IFERROR(Y140*I140,"0")</f>
        <v>362.95279999999997</v>
      </c>
      <c r="BO140" s="67">
        <f>IFERROR(X140/J140,"0")</f>
        <v>1.4</v>
      </c>
      <c r="BP140" s="67">
        <f>IFERROR(Y140/J140,"0")</f>
        <v>1.4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126</v>
      </c>
      <c r="Y141" s="270">
        <f>IFERROR(SUM(Y139:Y140),"0")</f>
        <v>126</v>
      </c>
      <c r="Z141" s="270">
        <f>IFERROR(IF(Z139="",0,Z139),"0")+IFERROR(IF(Z140="",0,Z140),"0")</f>
        <v>2.2528800000000002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378</v>
      </c>
      <c r="Y142" s="270">
        <f>IFERROR(SUMPRODUCT(Y139:Y140*H139:H140),"0")</f>
        <v>378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42</v>
      </c>
      <c r="Y147" s="270">
        <f>IFERROR(SUM(Y145:Y146),"0")</f>
        <v>42</v>
      </c>
      <c r="Z147" s="270">
        <f>IFERROR(IF(Z145="",0,Z145),"0")+IFERROR(IF(Z146="",0,Z146),"0")</f>
        <v>0.75095999999999996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100.80000000000001</v>
      </c>
      <c r="Y148" s="270">
        <f>IFERROR(SUMPRODUCT(Y145:Y146*H145:H146),"0")</f>
        <v>100.80000000000001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84</v>
      </c>
      <c r="Y166" s="269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84</v>
      </c>
      <c r="Y167" s="270">
        <f>IFERROR(SUM(Y166:Y166),"0")</f>
        <v>84</v>
      </c>
      <c r="Z167" s="270">
        <f>IFERROR(IF(Z166="",0,Z166),"0")</f>
        <v>0.79044000000000003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141.12</v>
      </c>
      <c r="Y168" s="270">
        <f>IFERROR(SUMPRODUCT(Y166:Y166*H166:H166),"0")</f>
        <v>141.12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108</v>
      </c>
      <c r="Y173" s="269">
        <f>IFERROR(IF(X173="","",X173),"")</f>
        <v>108</v>
      </c>
      <c r="Z173" s="36">
        <f>IFERROR(IF(X173="","",X173*0.00866),"")</f>
        <v>0.93527999999999989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563.02559999999994</v>
      </c>
      <c r="BN173" s="67">
        <f>IFERROR(Y173*I173,"0")</f>
        <v>563.02559999999994</v>
      </c>
      <c r="BO173" s="67">
        <f>IFERROR(X173/J173,"0")</f>
        <v>0.75</v>
      </c>
      <c r="BP173" s="67">
        <f>IFERROR(Y173/J173,"0")</f>
        <v>0.75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108</v>
      </c>
      <c r="Y174" s="270">
        <f>IFERROR(SUM(Y172:Y173),"0")</f>
        <v>108</v>
      </c>
      <c r="Z174" s="270">
        <f>IFERROR(IF(Z172="",0,Z172),"0")+IFERROR(IF(Z173="",0,Z173),"0")</f>
        <v>0.93527999999999989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540</v>
      </c>
      <c r="Y175" s="270">
        <f>IFERROR(SUMPRODUCT(Y172:Y173*H172:H173),"0")</f>
        <v>540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56</v>
      </c>
      <c r="Y181" s="269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209.21600000000001</v>
      </c>
      <c r="BN181" s="67">
        <f>IFERROR(Y181*I181,"0")</f>
        <v>209.21600000000001</v>
      </c>
      <c r="BO181" s="67">
        <f>IFERROR(X181/J181,"0")</f>
        <v>0.8</v>
      </c>
      <c r="BP181" s="67">
        <f>IFERROR(Y181/J181,"0")</f>
        <v>0.8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154</v>
      </c>
      <c r="Y182" s="270">
        <f>IFERROR(SUM(Y179:Y181),"0")</f>
        <v>154</v>
      </c>
      <c r="Z182" s="270">
        <f>IFERROR(IF(Z179="",0,Z179),"0")+IFERROR(IF(Z180="",0,Z180),"0")+IFERROR(IF(Z181="",0,Z181),"0")</f>
        <v>2.75352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462</v>
      </c>
      <c r="Y183" s="270">
        <f>IFERROR(SUMPRODUCT(Y179:Y181*H179:H181),"0")</f>
        <v>462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60</v>
      </c>
      <c r="Y243" s="269">
        <f>IFERROR(IF(X243="","",X243),"")</f>
        <v>60</v>
      </c>
      <c r="Z243" s="36">
        <f>IFERROR(IF(X243="","",X243*0.0155),"")</f>
        <v>0.92999999999999994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436.8</v>
      </c>
      <c r="BN243" s="67">
        <f>IFERROR(Y243*I243,"0")</f>
        <v>436.8</v>
      </c>
      <c r="BO243" s="67">
        <f>IFERROR(X243/J243,"0")</f>
        <v>0.7142857142857143</v>
      </c>
      <c r="BP243" s="67">
        <f>IFERROR(Y243/J243,"0")</f>
        <v>0.7142857142857143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60</v>
      </c>
      <c r="Y244" s="270">
        <f>IFERROR(SUM(Y242:Y243),"0")</f>
        <v>60</v>
      </c>
      <c r="Z244" s="270">
        <f>IFERROR(IF(Z242="",0,Z242),"0")+IFERROR(IF(Z243="",0,Z243),"0")</f>
        <v>0.92999999999999994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420</v>
      </c>
      <c r="Y245" s="270">
        <f>IFERROR(SUMPRODUCT(Y242:Y243*H242:H243),"0")</f>
        <v>420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24</v>
      </c>
      <c r="Y247" s="269">
        <f>IFERROR(IF(X247="","",X247),"")</f>
        <v>24</v>
      </c>
      <c r="Z247" s="36">
        <f>IFERROR(IF(X247="","",X247*0.0155),"")</f>
        <v>0.372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150.24</v>
      </c>
      <c r="BN247" s="67">
        <f>IFERROR(Y247*I247,"0")</f>
        <v>150.24</v>
      </c>
      <c r="BO247" s="67">
        <f>IFERROR(X247/J247,"0")</f>
        <v>0.2857142857142857</v>
      </c>
      <c r="BP247" s="67">
        <f>IFERROR(Y247/J247,"0")</f>
        <v>0.2857142857142857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24</v>
      </c>
      <c r="Y249" s="270">
        <f>IFERROR(SUM(Y247:Y248),"0")</f>
        <v>24</v>
      </c>
      <c r="Z249" s="270">
        <f>IFERROR(IF(Z247="",0,Z247),"0")+IFERROR(IF(Z248="",0,Z248),"0")</f>
        <v>0.372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144</v>
      </c>
      <c r="Y250" s="270">
        <f>IFERROR(SUMPRODUCT(Y247:Y248*H247:H248),"0")</f>
        <v>144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48</v>
      </c>
      <c r="Y253" s="269">
        <f>IFERROR(IF(X253="","",X253),"")</f>
        <v>48</v>
      </c>
      <c r="Z253" s="36">
        <f>IFERROR(IF(X253="","",X253*0.0155),"")</f>
        <v>0.74399999999999999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251.28000000000003</v>
      </c>
      <c r="BN253" s="67">
        <f>IFERROR(Y253*I253,"0")</f>
        <v>251.28000000000003</v>
      </c>
      <c r="BO253" s="67">
        <f>IFERROR(X253/J253,"0")</f>
        <v>0.5714285714285714</v>
      </c>
      <c r="BP253" s="67">
        <f>IFERROR(Y253/J253,"0")</f>
        <v>0.5714285714285714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48</v>
      </c>
      <c r="Y255" s="270">
        <f>IFERROR(SUM(Y252:Y254),"0")</f>
        <v>48</v>
      </c>
      <c r="Z255" s="270">
        <f>IFERROR(IF(Z252="",0,Z252),"0")+IFERROR(IF(Z253="",0,Z253),"0")+IFERROR(IF(Z254="",0,Z254),"0")</f>
        <v>0.74399999999999999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240</v>
      </c>
      <c r="Y256" s="270">
        <f>IFERROR(SUMPRODUCT(Y252:Y254*H252:H254),"0")</f>
        <v>240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28</v>
      </c>
      <c r="Y268" s="270">
        <f>IFERROR(SUM(Y258:Y267),"0")</f>
        <v>28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0.26207999999999998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103.60000000000001</v>
      </c>
      <c r="Y269" s="270">
        <f>IFERROR(SUMPRODUCT(Y258:Y267*H258:H267),"0")</f>
        <v>103.60000000000001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8609.3200000000015</v>
      </c>
      <c r="Y270" s="270">
        <f>IFERROR(Y29+Y35+Y42+Y49+Y57+Y62+Y66+Y71+Y77+Y83+Y88+Y94+Y104+Y110+Y122+Y126+Y130+Y136+Y142+Y148+Y153+Y158+Y163+Y168+Y175+Y183+Y187+Y193+Y201+Y206+Y211+Y216+Y222+Y228+Y234+Y238+Y245+Y250+Y256+Y269,"0")</f>
        <v>8609.3200000000015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9531.1500000000015</v>
      </c>
      <c r="Y271" s="270">
        <f>IFERROR(SUM(BN22:BN267),"0")</f>
        <v>9531.1500000000015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10156.150000000001</v>
      </c>
      <c r="Y273" s="270">
        <f>GrossWeightTotalR+PalletQtyTotalR*25</f>
        <v>10156.150000000001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2040</v>
      </c>
      <c r="Y274" s="270">
        <f>IFERROR(Y28+Y34+Y41+Y48+Y56+Y61+Y65+Y70+Y76+Y82+Y87+Y93+Y103+Y109+Y121+Y125+Y129+Y135+Y141+Y147+Y152+Y157+Y162+Y167+Y174+Y182+Y186+Y192+Y200+Y205+Y210+Y215+Y221+Y227+Y233+Y237+Y244+Y249+Y255+Y268,"0")</f>
        <v>2040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30.61402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432</v>
      </c>
      <c r="C280" s="46">
        <f>IFERROR(X32*H32,"0")+IFERROR(X33*H33,"0")</f>
        <v>0</v>
      </c>
      <c r="D280" s="46">
        <f>IFERROR(X39*H39,"0")+IFERROR(X40*H40,"0")</f>
        <v>273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924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618.24</v>
      </c>
      <c r="L280" s="46">
        <f>IFERROR(X107*H107,"0")+IFERROR(X108*H108,"0")</f>
        <v>50.4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2031.36</v>
      </c>
      <c r="N280" s="266"/>
      <c r="O280" s="46">
        <f>IFERROR(X133*H133,"0")+IFERROR(X134*H134,"0")</f>
        <v>714</v>
      </c>
      <c r="P280" s="46">
        <f>IFERROR(X139*H139,"0")+IFERROR(X140*H140,"0")</f>
        <v>378</v>
      </c>
      <c r="Q280" s="46">
        <f>IFERROR(X145*H145,"0")+IFERROR(X146*H146,"0")</f>
        <v>100.80000000000001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141.12</v>
      </c>
      <c r="V280" s="46">
        <f>IFERROR(X172*H172,"0")+IFERROR(X173*H173,"0")</f>
        <v>540</v>
      </c>
      <c r="W280" s="46">
        <f>IFERROR(X179*H179,"0")+IFERROR(X180*H180,"0")+IFERROR(X181*H181,"0")+IFERROR(X185*H185,"0")</f>
        <v>462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907.6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5044.8</v>
      </c>
      <c r="B283" s="60">
        <f>SUMPRODUCT(--(BB:BB="ПГП"),--(W:W="кор"),H:H,Y:Y)+SUMPRODUCT(--(BB:BB="ПГП"),--(W:W="кг"),Y:Y)</f>
        <v>3564.5199999999995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