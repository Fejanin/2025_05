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AB5D8F51-F9EA-4988-BB48-954CA84F6B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R7" i="1" s="1"/>
  <c r="Q8" i="1"/>
  <c r="R8" i="1" s="1"/>
  <c r="Q9" i="1"/>
  <c r="Q10" i="1"/>
  <c r="Q11" i="1"/>
  <c r="Q12" i="1"/>
  <c r="Q13" i="1"/>
  <c r="R13" i="1" s="1"/>
  <c r="Q14" i="1"/>
  <c r="R14" i="1" s="1"/>
  <c r="Q15" i="1"/>
  <c r="Q16" i="1"/>
  <c r="R16" i="1" s="1"/>
  <c r="Q17" i="1"/>
  <c r="Q18" i="1"/>
  <c r="Q19" i="1"/>
  <c r="R19" i="1" s="1"/>
  <c r="Q20" i="1"/>
  <c r="R20" i="1" s="1"/>
  <c r="Q21" i="1"/>
  <c r="Q22" i="1"/>
  <c r="Q23" i="1"/>
  <c r="Q24" i="1"/>
  <c r="R24" i="1" s="1"/>
  <c r="Q25" i="1"/>
  <c r="Q26" i="1"/>
  <c r="R26" i="1" s="1"/>
  <c r="Q27" i="1"/>
  <c r="R27" i="1" s="1"/>
  <c r="Q28" i="1"/>
  <c r="Q29" i="1"/>
  <c r="R29" i="1" s="1"/>
  <c r="Q30" i="1"/>
  <c r="Q31" i="1"/>
  <c r="Q32" i="1"/>
  <c r="Q33" i="1"/>
  <c r="Q34" i="1"/>
  <c r="R34" i="1" s="1"/>
  <c r="Q35" i="1"/>
  <c r="Q36" i="1"/>
  <c r="Q37" i="1"/>
  <c r="Q38" i="1"/>
  <c r="R38" i="1" s="1"/>
  <c r="Q39" i="1"/>
  <c r="R39" i="1" s="1"/>
  <c r="Q40" i="1"/>
  <c r="R40" i="1" s="1"/>
  <c r="Q41" i="1"/>
  <c r="R41" i="1" s="1"/>
  <c r="Q42" i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Q51" i="1"/>
  <c r="Q52" i="1"/>
  <c r="Q53" i="1"/>
  <c r="R53" i="1" s="1"/>
  <c r="Q54" i="1"/>
  <c r="Q55" i="1"/>
  <c r="Q56" i="1"/>
  <c r="R56" i="1" s="1"/>
  <c r="Q57" i="1"/>
  <c r="Q58" i="1"/>
  <c r="Q59" i="1"/>
  <c r="Q60" i="1"/>
  <c r="R60" i="1" s="1"/>
  <c r="Q61" i="1"/>
  <c r="R61" i="1" s="1"/>
  <c r="Q62" i="1"/>
  <c r="R62" i="1" s="1"/>
  <c r="Q63" i="1"/>
  <c r="Q64" i="1"/>
  <c r="R64" i="1" s="1"/>
  <c r="Q65" i="1"/>
  <c r="R65" i="1" s="1"/>
  <c r="Q66" i="1"/>
  <c r="Q67" i="1"/>
  <c r="Q68" i="1"/>
  <c r="Q69" i="1"/>
  <c r="Q70" i="1"/>
  <c r="Q71" i="1"/>
  <c r="Q72" i="1"/>
  <c r="Q73" i="1"/>
  <c r="Q74" i="1"/>
  <c r="R74" i="1" s="1"/>
  <c r="Q75" i="1"/>
  <c r="Q76" i="1"/>
  <c r="Q77" i="1"/>
  <c r="R77" i="1" s="1"/>
  <c r="Q78" i="1"/>
  <c r="Q79" i="1"/>
  <c r="R79" i="1" s="1"/>
  <c r="Q80" i="1"/>
  <c r="R80" i="1" s="1"/>
  <c r="Q81" i="1"/>
  <c r="R81" i="1" s="1"/>
  <c r="Q82" i="1"/>
  <c r="Q83" i="1"/>
  <c r="Q84" i="1"/>
  <c r="Q85" i="1"/>
  <c r="R85" i="1" s="1"/>
  <c r="Q86" i="1"/>
  <c r="R86" i="1" s="1"/>
  <c r="Q87" i="1"/>
  <c r="Q88" i="1"/>
  <c r="Q89" i="1"/>
  <c r="R89" i="1" s="1"/>
  <c r="Q90" i="1"/>
  <c r="Q91" i="1"/>
  <c r="R91" i="1" s="1"/>
  <c r="Q92" i="1"/>
  <c r="R92" i="1" s="1"/>
  <c r="Q93" i="1"/>
  <c r="Q6" i="1"/>
  <c r="R6" i="1" s="1"/>
  <c r="U5" i="1"/>
  <c r="W93" i="1" l="1"/>
  <c r="V93" i="1"/>
  <c r="V91" i="1"/>
  <c r="W91" i="1"/>
  <c r="V89" i="1"/>
  <c r="W89" i="1"/>
  <c r="V87" i="1"/>
  <c r="W87" i="1"/>
  <c r="V85" i="1"/>
  <c r="W85" i="1"/>
  <c r="V83" i="1"/>
  <c r="W83" i="1"/>
  <c r="V81" i="1"/>
  <c r="W81" i="1"/>
  <c r="V79" i="1"/>
  <c r="W79" i="1"/>
  <c r="V77" i="1"/>
  <c r="W77" i="1"/>
  <c r="V75" i="1"/>
  <c r="W75" i="1"/>
  <c r="V73" i="1"/>
  <c r="W73" i="1"/>
  <c r="V71" i="1"/>
  <c r="W71" i="1"/>
  <c r="V69" i="1"/>
  <c r="W69" i="1"/>
  <c r="V67" i="1"/>
  <c r="W67" i="1"/>
  <c r="V65" i="1"/>
  <c r="W65" i="1"/>
  <c r="V63" i="1"/>
  <c r="W63" i="1"/>
  <c r="V61" i="1"/>
  <c r="W61" i="1"/>
  <c r="V59" i="1"/>
  <c r="W59" i="1"/>
  <c r="V57" i="1"/>
  <c r="W57" i="1"/>
  <c r="V55" i="1"/>
  <c r="W55" i="1"/>
  <c r="V53" i="1"/>
  <c r="W53" i="1"/>
  <c r="V51" i="1"/>
  <c r="W51" i="1"/>
  <c r="V49" i="1"/>
  <c r="W49" i="1"/>
  <c r="V47" i="1"/>
  <c r="W47" i="1"/>
  <c r="V45" i="1"/>
  <c r="W45" i="1"/>
  <c r="V43" i="1"/>
  <c r="W43" i="1"/>
  <c r="V41" i="1"/>
  <c r="W41" i="1"/>
  <c r="V39" i="1"/>
  <c r="W39" i="1"/>
  <c r="V37" i="1"/>
  <c r="W37" i="1"/>
  <c r="V35" i="1"/>
  <c r="W35" i="1"/>
  <c r="V33" i="1"/>
  <c r="W33" i="1"/>
  <c r="V31" i="1"/>
  <c r="W31" i="1"/>
  <c r="V29" i="1"/>
  <c r="W29" i="1"/>
  <c r="V27" i="1"/>
  <c r="W27" i="1"/>
  <c r="V25" i="1"/>
  <c r="W25" i="1"/>
  <c r="V23" i="1"/>
  <c r="W23" i="1"/>
  <c r="V21" i="1"/>
  <c r="W21" i="1"/>
  <c r="V19" i="1"/>
  <c r="W19" i="1"/>
  <c r="V17" i="1"/>
  <c r="W17" i="1"/>
  <c r="V15" i="1"/>
  <c r="W15" i="1"/>
  <c r="V13" i="1"/>
  <c r="W13" i="1"/>
  <c r="V11" i="1"/>
  <c r="W11" i="1"/>
  <c r="V9" i="1"/>
  <c r="W9" i="1"/>
  <c r="V7" i="1"/>
  <c r="W7" i="1"/>
  <c r="V6" i="1"/>
  <c r="W6" i="1"/>
  <c r="W92" i="1"/>
  <c r="V92" i="1"/>
  <c r="V90" i="1"/>
  <c r="W90" i="1"/>
  <c r="V88" i="1"/>
  <c r="W88" i="1"/>
  <c r="V86" i="1"/>
  <c r="W86" i="1"/>
  <c r="V84" i="1"/>
  <c r="W84" i="1"/>
  <c r="V82" i="1"/>
  <c r="W82" i="1"/>
  <c r="V80" i="1"/>
  <c r="W80" i="1"/>
  <c r="V78" i="1"/>
  <c r="W78" i="1"/>
  <c r="V76" i="1"/>
  <c r="W76" i="1"/>
  <c r="V74" i="1"/>
  <c r="W74" i="1"/>
  <c r="V72" i="1"/>
  <c r="W72" i="1"/>
  <c r="V70" i="1"/>
  <c r="W70" i="1"/>
  <c r="V68" i="1"/>
  <c r="W68" i="1"/>
  <c r="V66" i="1"/>
  <c r="W66" i="1"/>
  <c r="V64" i="1"/>
  <c r="W64" i="1"/>
  <c r="V62" i="1"/>
  <c r="W62" i="1"/>
  <c r="V60" i="1"/>
  <c r="W60" i="1"/>
  <c r="V58" i="1"/>
  <c r="W58" i="1"/>
  <c r="V56" i="1"/>
  <c r="W56" i="1"/>
  <c r="V54" i="1"/>
  <c r="W54" i="1"/>
  <c r="V52" i="1"/>
  <c r="W52" i="1"/>
  <c r="V50" i="1"/>
  <c r="W50" i="1"/>
  <c r="V48" i="1"/>
  <c r="W48" i="1"/>
  <c r="V46" i="1"/>
  <c r="W46" i="1"/>
  <c r="V44" i="1"/>
  <c r="W44" i="1"/>
  <c r="V42" i="1"/>
  <c r="W42" i="1"/>
  <c r="V40" i="1"/>
  <c r="W40" i="1"/>
  <c r="V38" i="1"/>
  <c r="W38" i="1"/>
  <c r="V36" i="1"/>
  <c r="W36" i="1"/>
  <c r="V34" i="1"/>
  <c r="W34" i="1"/>
  <c r="V32" i="1"/>
  <c r="W32" i="1"/>
  <c r="V30" i="1"/>
  <c r="W30" i="1"/>
  <c r="V28" i="1"/>
  <c r="W28" i="1"/>
  <c r="V26" i="1"/>
  <c r="W26" i="1"/>
  <c r="V24" i="1"/>
  <c r="W24" i="1"/>
  <c r="V22" i="1"/>
  <c r="W22" i="1"/>
  <c r="V20" i="1"/>
  <c r="W20" i="1"/>
  <c r="V18" i="1"/>
  <c r="W18" i="1"/>
  <c r="V16" i="1"/>
  <c r="W16" i="1"/>
  <c r="V14" i="1"/>
  <c r="W14" i="1"/>
  <c r="V12" i="1"/>
  <c r="W12" i="1"/>
  <c r="V10" i="1"/>
  <c r="W10" i="1"/>
  <c r="V8" i="1"/>
  <c r="W8" i="1"/>
  <c r="AG93" i="1"/>
  <c r="L93" i="1"/>
  <c r="AG92" i="1"/>
  <c r="L92" i="1"/>
  <c r="AG91" i="1"/>
  <c r="L91" i="1"/>
  <c r="AG90" i="1"/>
  <c r="L90" i="1"/>
  <c r="AG89" i="1"/>
  <c r="L89" i="1"/>
  <c r="AG88" i="1"/>
  <c r="L88" i="1"/>
  <c r="AG87" i="1"/>
  <c r="L87" i="1"/>
  <c r="AG86" i="1"/>
  <c r="L86" i="1"/>
  <c r="AG85" i="1"/>
  <c r="L85" i="1"/>
  <c r="AG84" i="1"/>
  <c r="L84" i="1"/>
  <c r="AG83" i="1"/>
  <c r="L83" i="1"/>
  <c r="AG82" i="1"/>
  <c r="L82" i="1"/>
  <c r="AG81" i="1"/>
  <c r="L81" i="1"/>
  <c r="AG80" i="1"/>
  <c r="L80" i="1"/>
  <c r="AG79" i="1"/>
  <c r="L79" i="1"/>
  <c r="L78" i="1"/>
  <c r="AG77" i="1"/>
  <c r="L77" i="1"/>
  <c r="AG76" i="1"/>
  <c r="L76" i="1"/>
  <c r="AG75" i="1"/>
  <c r="L75" i="1"/>
  <c r="AG74" i="1"/>
  <c r="L74" i="1"/>
  <c r="AG73" i="1"/>
  <c r="L73" i="1"/>
  <c r="AG72" i="1"/>
  <c r="L72" i="1"/>
  <c r="AG71" i="1"/>
  <c r="L71" i="1"/>
  <c r="L70" i="1"/>
  <c r="L69" i="1"/>
  <c r="L68" i="1"/>
  <c r="AG67" i="1"/>
  <c r="L67" i="1"/>
  <c r="L66" i="1"/>
  <c r="AG65" i="1"/>
  <c r="L65" i="1"/>
  <c r="AG64" i="1"/>
  <c r="L64" i="1"/>
  <c r="AG63" i="1"/>
  <c r="L63" i="1"/>
  <c r="AG62" i="1"/>
  <c r="L62" i="1"/>
  <c r="AG61" i="1"/>
  <c r="L61" i="1"/>
  <c r="AG60" i="1"/>
  <c r="L60" i="1"/>
  <c r="AG59" i="1"/>
  <c r="L59" i="1"/>
  <c r="AG58" i="1"/>
  <c r="L58" i="1"/>
  <c r="AG57" i="1"/>
  <c r="L57" i="1"/>
  <c r="AG56" i="1"/>
  <c r="L56" i="1"/>
  <c r="AG55" i="1"/>
  <c r="L55" i="1"/>
  <c r="AG54" i="1"/>
  <c r="L54" i="1"/>
  <c r="AG53" i="1"/>
  <c r="L53" i="1"/>
  <c r="L52" i="1"/>
  <c r="AG51" i="1"/>
  <c r="L51" i="1"/>
  <c r="AG50" i="1"/>
  <c r="L50" i="1"/>
  <c r="AG49" i="1"/>
  <c r="L49" i="1"/>
  <c r="AG48" i="1"/>
  <c r="L48" i="1"/>
  <c r="AG47" i="1"/>
  <c r="L47" i="1"/>
  <c r="AG46" i="1"/>
  <c r="L46" i="1"/>
  <c r="AG45" i="1"/>
  <c r="L45" i="1"/>
  <c r="AG44" i="1"/>
  <c r="L44" i="1"/>
  <c r="AG43" i="1"/>
  <c r="L43" i="1"/>
  <c r="AG42" i="1"/>
  <c r="L42" i="1"/>
  <c r="AG41" i="1"/>
  <c r="L41" i="1"/>
  <c r="AG40" i="1"/>
  <c r="L40" i="1"/>
  <c r="AG39" i="1"/>
  <c r="L39" i="1"/>
  <c r="AG38" i="1"/>
  <c r="L38" i="1"/>
  <c r="L37" i="1"/>
  <c r="AG36" i="1"/>
  <c r="L36" i="1"/>
  <c r="AG35" i="1"/>
  <c r="L35" i="1"/>
  <c r="AG34" i="1"/>
  <c r="L34" i="1"/>
  <c r="AG33" i="1"/>
  <c r="L33" i="1"/>
  <c r="AG32" i="1"/>
  <c r="L32" i="1"/>
  <c r="AG31" i="1"/>
  <c r="L31" i="1"/>
  <c r="AG30" i="1"/>
  <c r="L30" i="1"/>
  <c r="AG29" i="1"/>
  <c r="L29" i="1"/>
  <c r="L28" i="1"/>
  <c r="AG27" i="1"/>
  <c r="L27" i="1"/>
  <c r="AG26" i="1"/>
  <c r="L26" i="1"/>
  <c r="AG25" i="1"/>
  <c r="L25" i="1"/>
  <c r="AG24" i="1"/>
  <c r="L24" i="1"/>
  <c r="AG23" i="1"/>
  <c r="L23" i="1"/>
  <c r="AG22" i="1"/>
  <c r="L22" i="1"/>
  <c r="AG21" i="1"/>
  <c r="L21" i="1"/>
  <c r="AG20" i="1"/>
  <c r="L20" i="1"/>
  <c r="AG19" i="1"/>
  <c r="L19" i="1"/>
  <c r="L18" i="1"/>
  <c r="AG17" i="1"/>
  <c r="L17" i="1"/>
  <c r="AG16" i="1"/>
  <c r="L16" i="1"/>
  <c r="AG15" i="1"/>
  <c r="L15" i="1"/>
  <c r="AG14" i="1"/>
  <c r="L14" i="1"/>
  <c r="AG13" i="1"/>
  <c r="L13" i="1"/>
  <c r="AG12" i="1"/>
  <c r="L12" i="1"/>
  <c r="L11" i="1"/>
  <c r="AG10" i="1"/>
  <c r="L10" i="1"/>
  <c r="AG9" i="1"/>
  <c r="L9" i="1"/>
  <c r="AG8" i="1"/>
  <c r="L8" i="1"/>
  <c r="AG7" i="1"/>
  <c r="L7" i="1"/>
  <c r="AG6" i="1"/>
  <c r="L6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E5" i="1"/>
  <c r="L5" i="1" l="1"/>
  <c r="AG5" i="1"/>
</calcChain>
</file>

<file path=xl/sharedStrings.xml><?xml version="1.0" encoding="utf-8"?>
<sst xmlns="http://schemas.openxmlformats.org/spreadsheetml/2006/main" count="347" uniqueCount="138">
  <si>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</si>
  <si>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</si>
  <si>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</si>
  <si>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</si>
  <si>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</si>
  <si>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</si>
  <si>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</si>
  <si>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</si>
  <si>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</si>
  <si>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</si>
  <si>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</si>
  <si>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</si>
  <si>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</si>
  <si>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</si>
  <si>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</si>
  <si>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</si>
  <si>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</si>
  <si>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</si>
  <si>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</si>
  <si>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</si>
  <si>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</si>
  <si>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</si>
  <si>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</si>
  <si>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</si>
  <si>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01,12,(2)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</si>
  <si>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</si>
  <si>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</si>
  <si>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</si>
  <si>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</si>
  <si>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</si>
  <si>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</si>
  <si>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</si>
  <si>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</si>
  <si>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</si>
  <si>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</si>
  <si>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</si>
  <si>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</si>
  <si>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</si>
  <si>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</si>
  <si>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</si>
  <si>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</si>
  <si>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</si>
  <si>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</si>
  <si>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</si>
  <si>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</si>
  <si>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</si>
  <si>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</si>
  <si>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</si>
  <si>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</si>
  <si>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</si>
  <si>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</si>
  <si>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</si>
  <si>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</si>
  <si>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</si>
  <si>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</si>
  <si>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</si>
  <si>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</si>
  <si>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</si>
  <si>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</si>
  <si>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</si>
  <si>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</si>
  <si>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</si>
  <si>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</si>
  <si>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</si>
  <si>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</si>
  <si>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</si>
  <si>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</si>
  <si>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</si>
  <si>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</si>
  <si>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</si>
  <si>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</si>
  <si>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</si>
  <si>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</si>
  <si>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</si>
  <si>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</si>
  <si>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</si>
  <si>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</si>
  <si>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</si>
  <si>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</si>
  <si>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</si>
  <si>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</si>
  <si>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</si>
  <si>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</si>
  <si>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</si>
  <si>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</si>
  <si>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</si>
  <si>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</si>
  <si>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</si>
  <si>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</si>
  <si>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</si>
  <si>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</si>
  <si>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</si>
  <si>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</si>
  <si>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</si>
  <si>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</si>
  <si>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</si>
  <si>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</si>
  <si>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</si>
  <si>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</si>
  <si>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</si>
  <si>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</si>
  <si>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</si>
  <si>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</si>
  <si>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</si>
  <si>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</si>
  <si>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</si>
  <si>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</si>
  <si>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</si>
  <si>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</si>
  <si>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</si>
  <si>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</si>
  <si>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</si>
  <si>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нужно увеличить продажи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</si>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</sst>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1" width="7" customWidth="1"/>
    <col min="22" max="23" width="5" customWidth="1"/>
    <col min="24" max="31" width="6" customWidth="1"/>
    <col min="32" max="32" width="38.140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137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10178.657999999999</v>
      </c>
      <c r="F5" s="4">
        <f>SUM(F6:F500)</f>
        <v>10734.602999999997</v>
      </c>
      <c r="G5" s="8"/>
      <c r="H5" s="1"/>
      <c r="I5" s="1"/>
      <c r="J5" s="1"/>
      <c r="K5" s="4">
        <f t="shared" ref="K5:U5" si="0">SUM(K6:K500)</f>
        <v>10389.143</v>
      </c>
      <c r="L5" s="4">
        <f t="shared" si="0"/>
        <v>-210.48499999999999</v>
      </c>
      <c r="M5" s="4">
        <f t="shared" si="0"/>
        <v>0</v>
      </c>
      <c r="N5" s="4">
        <f t="shared" si="0"/>
        <v>0</v>
      </c>
      <c r="O5" s="4">
        <f t="shared" si="0"/>
        <v>4339.6555400000007</v>
      </c>
      <c r="P5" s="4">
        <f t="shared" si="0"/>
        <v>8376.0877599999967</v>
      </c>
      <c r="Q5" s="4">
        <f t="shared" si="0"/>
        <v>2035.7315999999998</v>
      </c>
      <c r="R5" s="4">
        <f t="shared" si="0"/>
        <v>2782.7021799999984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2084.4382000000001</v>
      </c>
      <c r="Y5" s="4">
        <f t="shared" si="1"/>
        <v>1914.4588000000008</v>
      </c>
      <c r="Z5" s="4">
        <f t="shared" si="1"/>
        <v>1896.8953999999999</v>
      </c>
      <c r="AA5" s="4">
        <f t="shared" si="1"/>
        <v>1945.3320000000003</v>
      </c>
      <c r="AB5" s="4">
        <f t="shared" si="1"/>
        <v>2136.6345999999999</v>
      </c>
      <c r="AC5" s="4">
        <f t="shared" si="1"/>
        <v>1903.8986000000002</v>
      </c>
      <c r="AD5" s="4">
        <f t="shared" si="1"/>
        <v>1805.4178000000002</v>
      </c>
      <c r="AE5" s="4">
        <f t="shared" si="1"/>
        <v>1738.4447999999998</v>
      </c>
      <c r="AF5" s="1"/>
      <c r="AG5" s="4">
        <f>SUM(AG6:AG500)</f>
        <v>1920.3201799999997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121.005</v>
      </c>
      <c r="D6" s="1">
        <v>220.947</v>
      </c>
      <c r="E6" s="1">
        <v>68.793000000000006</v>
      </c>
      <c r="F6" s="1">
        <v>159.012</v>
      </c>
      <c r="G6" s="8">
        <v>1</v>
      </c>
      <c r="H6" s="1">
        <v>50</v>
      </c>
      <c r="I6" s="1" t="s">
        <v>37</v>
      </c>
      <c r="J6" s="1"/>
      <c r="K6" s="1">
        <v>68.849999999999994</v>
      </c>
      <c r="L6" s="1">
        <f t="shared" ref="L6:L37" si="2">E6-K6</f>
        <v>-5.6999999999987949E-2</v>
      </c>
      <c r="M6" s="1"/>
      <c r="N6" s="1"/>
      <c r="O6" s="1">
        <v>0</v>
      </c>
      <c r="P6" s="1">
        <v>0</v>
      </c>
      <c r="Q6" s="1">
        <f>E6/5</f>
        <v>13.758600000000001</v>
      </c>
      <c r="R6" s="5">
        <f>12*Q6-P6-O6-F6</f>
        <v>6.0912000000000148</v>
      </c>
      <c r="S6" s="5"/>
      <c r="T6" s="1"/>
      <c r="U6" s="1"/>
      <c r="V6" s="1">
        <f>(F6+O6+P6+R6)/Q6</f>
        <v>12</v>
      </c>
      <c r="W6" s="1">
        <f>(F6+O6+P6)/Q6</f>
        <v>11.557280537263965</v>
      </c>
      <c r="X6" s="1">
        <v>15.615399999999999</v>
      </c>
      <c r="Y6" s="1">
        <v>11.59</v>
      </c>
      <c r="Z6" s="1">
        <v>16.427199999999999</v>
      </c>
      <c r="AA6" s="1">
        <v>22.405799999999999</v>
      </c>
      <c r="AB6" s="1">
        <v>18.869399999999999</v>
      </c>
      <c r="AC6" s="1">
        <v>17.432200000000002</v>
      </c>
      <c r="AD6" s="1">
        <v>15.0502</v>
      </c>
      <c r="AE6" s="1">
        <v>10.6066</v>
      </c>
      <c r="AF6" s="1"/>
      <c r="AG6" s="1">
        <f>G6*R6</f>
        <v>6.0912000000000148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217.73599999999999</v>
      </c>
      <c r="D7" s="1">
        <v>61.606999999999999</v>
      </c>
      <c r="E7" s="1">
        <v>173.90100000000001</v>
      </c>
      <c r="F7" s="1">
        <v>64.438999999999993</v>
      </c>
      <c r="G7" s="8">
        <v>1</v>
      </c>
      <c r="H7" s="1">
        <v>45</v>
      </c>
      <c r="I7" s="1" t="s">
        <v>37</v>
      </c>
      <c r="J7" s="1"/>
      <c r="K7" s="1">
        <v>173</v>
      </c>
      <c r="L7" s="1">
        <f t="shared" si="2"/>
        <v>0.90100000000001046</v>
      </c>
      <c r="M7" s="1"/>
      <c r="N7" s="1"/>
      <c r="O7" s="1">
        <v>0</v>
      </c>
      <c r="P7" s="1">
        <v>182.47800000000001</v>
      </c>
      <c r="Q7" s="1">
        <f t="shared" ref="Q7:Q70" si="3">E7/5</f>
        <v>34.780200000000001</v>
      </c>
      <c r="R7" s="5">
        <f t="shared" ref="R7:R10" si="4">12*Q7-P7-O7-F7</f>
        <v>170.44539999999998</v>
      </c>
      <c r="S7" s="5"/>
      <c r="T7" s="1"/>
      <c r="U7" s="1"/>
      <c r="V7" s="1">
        <f t="shared" ref="V7:V70" si="5">(F7+O7+P7+R7)/Q7</f>
        <v>12</v>
      </c>
      <c r="W7" s="1">
        <f t="shared" ref="W7:W70" si="6">(F7+O7+P7)/Q7</f>
        <v>7.0993553803600902</v>
      </c>
      <c r="X7" s="1">
        <v>31.786200000000001</v>
      </c>
      <c r="Y7" s="1">
        <v>18.124600000000001</v>
      </c>
      <c r="Z7" s="1">
        <v>15.088200000000001</v>
      </c>
      <c r="AA7" s="1">
        <v>26.0062</v>
      </c>
      <c r="AB7" s="1">
        <v>30.057600000000001</v>
      </c>
      <c r="AC7" s="1">
        <v>21.827999999999999</v>
      </c>
      <c r="AD7" s="1">
        <v>22.3264</v>
      </c>
      <c r="AE7" s="1">
        <v>28.544</v>
      </c>
      <c r="AF7" s="1" t="s">
        <v>39</v>
      </c>
      <c r="AG7" s="1">
        <f>G7*R7</f>
        <v>170.44539999999998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36</v>
      </c>
      <c r="C8" s="1">
        <v>105.702</v>
      </c>
      <c r="D8" s="1">
        <v>171.023</v>
      </c>
      <c r="E8" s="1">
        <v>101.48</v>
      </c>
      <c r="F8" s="1">
        <v>88.228999999999999</v>
      </c>
      <c r="G8" s="8">
        <v>1</v>
      </c>
      <c r="H8" s="1">
        <v>45</v>
      </c>
      <c r="I8" s="1" t="s">
        <v>37</v>
      </c>
      <c r="J8" s="1"/>
      <c r="K8" s="1">
        <v>105.968</v>
      </c>
      <c r="L8" s="1">
        <f t="shared" si="2"/>
        <v>-4.4879999999999995</v>
      </c>
      <c r="M8" s="1"/>
      <c r="N8" s="1"/>
      <c r="O8" s="1">
        <v>26.844999999999999</v>
      </c>
      <c r="P8" s="1">
        <v>60.621799999999979</v>
      </c>
      <c r="Q8" s="1">
        <f t="shared" si="3"/>
        <v>20.295999999999999</v>
      </c>
      <c r="R8" s="5">
        <f t="shared" si="4"/>
        <v>67.856200000000015</v>
      </c>
      <c r="S8" s="5"/>
      <c r="T8" s="1"/>
      <c r="U8" s="1"/>
      <c r="V8" s="1">
        <f t="shared" si="5"/>
        <v>11.999999999999998</v>
      </c>
      <c r="W8" s="1">
        <f t="shared" si="6"/>
        <v>8.6566712652739444</v>
      </c>
      <c r="X8" s="1">
        <v>20.936800000000002</v>
      </c>
      <c r="Y8" s="1">
        <v>17.07</v>
      </c>
      <c r="Z8" s="1">
        <v>15.868600000000001</v>
      </c>
      <c r="AA8" s="1">
        <v>23.098400000000002</v>
      </c>
      <c r="AB8" s="1">
        <v>21.492000000000001</v>
      </c>
      <c r="AC8" s="1">
        <v>20.203600000000002</v>
      </c>
      <c r="AD8" s="1">
        <v>20.889199999999999</v>
      </c>
      <c r="AE8" s="1">
        <v>20.616</v>
      </c>
      <c r="AF8" s="1"/>
      <c r="AG8" s="1">
        <f>G8*R8</f>
        <v>67.856200000000015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42</v>
      </c>
      <c r="C9" s="1">
        <v>264</v>
      </c>
      <c r="D9" s="1">
        <v>223</v>
      </c>
      <c r="E9" s="1">
        <v>266</v>
      </c>
      <c r="F9" s="1">
        <v>183</v>
      </c>
      <c r="G9" s="8">
        <v>0.45</v>
      </c>
      <c r="H9" s="1">
        <v>45</v>
      </c>
      <c r="I9" s="1" t="s">
        <v>37</v>
      </c>
      <c r="J9" s="1"/>
      <c r="K9" s="1">
        <v>263</v>
      </c>
      <c r="L9" s="1">
        <f t="shared" si="2"/>
        <v>3</v>
      </c>
      <c r="M9" s="1"/>
      <c r="N9" s="1"/>
      <c r="O9" s="1">
        <v>103</v>
      </c>
      <c r="P9" s="1">
        <v>426.15999999999991</v>
      </c>
      <c r="Q9" s="1">
        <f t="shared" si="3"/>
        <v>53.2</v>
      </c>
      <c r="R9" s="5"/>
      <c r="S9" s="5"/>
      <c r="T9" s="1"/>
      <c r="U9" s="1"/>
      <c r="V9" s="1">
        <f t="shared" si="5"/>
        <v>13.38646616541353</v>
      </c>
      <c r="W9" s="1">
        <f t="shared" si="6"/>
        <v>13.38646616541353</v>
      </c>
      <c r="X9" s="1">
        <v>53.6</v>
      </c>
      <c r="Y9" s="1">
        <v>41.2</v>
      </c>
      <c r="Z9" s="1">
        <v>39.200000000000003</v>
      </c>
      <c r="AA9" s="1">
        <v>29.2</v>
      </c>
      <c r="AB9" s="1">
        <v>43.2</v>
      </c>
      <c r="AC9" s="1">
        <v>37.799999999999997</v>
      </c>
      <c r="AD9" s="1">
        <v>30.4</v>
      </c>
      <c r="AE9" s="1">
        <v>34.799999999999997</v>
      </c>
      <c r="AF9" s="1" t="s">
        <v>39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42</v>
      </c>
      <c r="C10" s="1">
        <v>236</v>
      </c>
      <c r="D10" s="1">
        <v>289</v>
      </c>
      <c r="E10" s="1">
        <v>248</v>
      </c>
      <c r="F10" s="1">
        <v>255</v>
      </c>
      <c r="G10" s="8">
        <v>0.45</v>
      </c>
      <c r="H10" s="1">
        <v>45</v>
      </c>
      <c r="I10" s="1" t="s">
        <v>37</v>
      </c>
      <c r="J10" s="1"/>
      <c r="K10" s="1">
        <v>245</v>
      </c>
      <c r="L10" s="1">
        <f t="shared" si="2"/>
        <v>3</v>
      </c>
      <c r="M10" s="1"/>
      <c r="N10" s="1"/>
      <c r="O10" s="1">
        <v>90.599999999999895</v>
      </c>
      <c r="P10" s="1">
        <v>336.98</v>
      </c>
      <c r="Q10" s="1">
        <f t="shared" si="3"/>
        <v>49.6</v>
      </c>
      <c r="R10" s="5"/>
      <c r="S10" s="5"/>
      <c r="T10" s="1"/>
      <c r="U10" s="1"/>
      <c r="V10" s="1">
        <f t="shared" si="5"/>
        <v>13.761693548387095</v>
      </c>
      <c r="W10" s="1">
        <f t="shared" si="6"/>
        <v>13.761693548387095</v>
      </c>
      <c r="X10" s="1">
        <v>51.8</v>
      </c>
      <c r="Y10" s="1">
        <v>44.8</v>
      </c>
      <c r="Z10" s="1">
        <v>43.6</v>
      </c>
      <c r="AA10" s="1">
        <v>30.8</v>
      </c>
      <c r="AB10" s="1">
        <v>41.6</v>
      </c>
      <c r="AC10" s="1">
        <v>34.200000000000003</v>
      </c>
      <c r="AD10" s="1">
        <v>26.2</v>
      </c>
      <c r="AE10" s="1">
        <v>28</v>
      </c>
      <c r="AF10" s="1"/>
      <c r="AG10" s="1">
        <f>G10*R10</f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>
        <v>0</v>
      </c>
      <c r="Q11" s="12">
        <f t="shared" si="3"/>
        <v>0</v>
      </c>
      <c r="R11" s="14"/>
      <c r="S11" s="14"/>
      <c r="T11" s="12"/>
      <c r="U11" s="12"/>
      <c r="V11" s="12" t="e">
        <f t="shared" si="5"/>
        <v>#DIV/0!</v>
      </c>
      <c r="W11" s="12" t="e">
        <f t="shared" si="6"/>
        <v>#DIV/0!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 t="s">
        <v>45</v>
      </c>
      <c r="AG11" s="12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42</v>
      </c>
      <c r="C12" s="1">
        <v>15</v>
      </c>
      <c r="D12" s="1">
        <v>9</v>
      </c>
      <c r="E12" s="1">
        <v>11</v>
      </c>
      <c r="F12" s="1">
        <v>6</v>
      </c>
      <c r="G12" s="8">
        <v>0.3</v>
      </c>
      <c r="H12" s="1">
        <v>40</v>
      </c>
      <c r="I12" s="1" t="s">
        <v>37</v>
      </c>
      <c r="J12" s="1"/>
      <c r="K12" s="1">
        <v>19</v>
      </c>
      <c r="L12" s="1">
        <f t="shared" si="2"/>
        <v>-8</v>
      </c>
      <c r="M12" s="1"/>
      <c r="N12" s="1"/>
      <c r="O12" s="1">
        <v>35.4</v>
      </c>
      <c r="P12" s="1">
        <v>30.599999999999991</v>
      </c>
      <c r="Q12" s="1">
        <f t="shared" si="3"/>
        <v>2.2000000000000002</v>
      </c>
      <c r="R12" s="5"/>
      <c r="S12" s="5"/>
      <c r="T12" s="1"/>
      <c r="U12" s="1"/>
      <c r="V12" s="1">
        <f t="shared" si="5"/>
        <v>32.72727272727272</v>
      </c>
      <c r="W12" s="1">
        <f t="shared" si="6"/>
        <v>32.72727272727272</v>
      </c>
      <c r="X12" s="1">
        <v>6.6</v>
      </c>
      <c r="Y12" s="1">
        <v>5.4</v>
      </c>
      <c r="Z12" s="1">
        <v>3.6</v>
      </c>
      <c r="AA12" s="1">
        <v>3.6</v>
      </c>
      <c r="AB12" s="1">
        <v>4.2</v>
      </c>
      <c r="AC12" s="1">
        <v>4.8</v>
      </c>
      <c r="AD12" s="1">
        <v>4</v>
      </c>
      <c r="AE12" s="1">
        <v>2.6</v>
      </c>
      <c r="AF12" s="1"/>
      <c r="AG12" s="1">
        <f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42</v>
      </c>
      <c r="C13" s="1">
        <v>62</v>
      </c>
      <c r="D13" s="1">
        <v>41</v>
      </c>
      <c r="E13" s="1">
        <v>42</v>
      </c>
      <c r="F13" s="1">
        <v>62</v>
      </c>
      <c r="G13" s="8">
        <v>0.17</v>
      </c>
      <c r="H13" s="1">
        <v>180</v>
      </c>
      <c r="I13" s="1" t="s">
        <v>37</v>
      </c>
      <c r="J13" s="1"/>
      <c r="K13" s="1">
        <v>42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8.4</v>
      </c>
      <c r="R13" s="5">
        <f t="shared" ref="R12:R17" si="7">12*Q13-P13-O13-F13</f>
        <v>38.800000000000011</v>
      </c>
      <c r="S13" s="5"/>
      <c r="T13" s="1"/>
      <c r="U13" s="1"/>
      <c r="V13" s="1">
        <f t="shared" si="5"/>
        <v>12</v>
      </c>
      <c r="W13" s="1">
        <f t="shared" si="6"/>
        <v>7.3809523809523805</v>
      </c>
      <c r="X13" s="1">
        <v>6.4</v>
      </c>
      <c r="Y13" s="1">
        <v>3.8</v>
      </c>
      <c r="Z13" s="1">
        <v>4.2</v>
      </c>
      <c r="AA13" s="1">
        <v>9.8000000000000007</v>
      </c>
      <c r="AB13" s="1">
        <v>9.1999999999999993</v>
      </c>
      <c r="AC13" s="1">
        <v>5.6</v>
      </c>
      <c r="AD13" s="1">
        <v>5</v>
      </c>
      <c r="AE13" s="1">
        <v>2.2000000000000002</v>
      </c>
      <c r="AF13" s="1"/>
      <c r="AG13" s="1">
        <f>G13*R13</f>
        <v>6.5960000000000027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36</v>
      </c>
      <c r="C14" s="1">
        <v>161.024</v>
      </c>
      <c r="D14" s="1">
        <v>325.42</v>
      </c>
      <c r="E14" s="1">
        <v>161.489</v>
      </c>
      <c r="F14" s="1">
        <v>158.923</v>
      </c>
      <c r="G14" s="8">
        <v>1</v>
      </c>
      <c r="H14" s="1">
        <v>55</v>
      </c>
      <c r="I14" s="1" t="s">
        <v>37</v>
      </c>
      <c r="J14" s="1"/>
      <c r="K14" s="1">
        <v>154.4</v>
      </c>
      <c r="L14" s="1">
        <f t="shared" si="2"/>
        <v>7.0889999999999986</v>
      </c>
      <c r="M14" s="1"/>
      <c r="N14" s="1"/>
      <c r="O14" s="1">
        <v>56.529599999999952</v>
      </c>
      <c r="P14" s="1">
        <v>65.666400000000067</v>
      </c>
      <c r="Q14" s="1">
        <f t="shared" si="3"/>
        <v>32.297800000000002</v>
      </c>
      <c r="R14" s="5">
        <f t="shared" si="7"/>
        <v>106.45460000000003</v>
      </c>
      <c r="S14" s="5"/>
      <c r="T14" s="1"/>
      <c r="U14" s="1"/>
      <c r="V14" s="1">
        <f t="shared" si="5"/>
        <v>12</v>
      </c>
      <c r="W14" s="1">
        <f t="shared" si="6"/>
        <v>8.7039674528915292</v>
      </c>
      <c r="X14" s="1">
        <v>29.584599999999998</v>
      </c>
      <c r="Y14" s="1">
        <v>31.9054</v>
      </c>
      <c r="Z14" s="1">
        <v>31.13</v>
      </c>
      <c r="AA14" s="1">
        <v>30.973600000000001</v>
      </c>
      <c r="AB14" s="1">
        <v>32.347200000000001</v>
      </c>
      <c r="AC14" s="1">
        <v>26.408200000000001</v>
      </c>
      <c r="AD14" s="1">
        <v>28.3474</v>
      </c>
      <c r="AE14" s="1">
        <v>28.171399999999998</v>
      </c>
      <c r="AF14" s="1" t="s">
        <v>49</v>
      </c>
      <c r="AG14" s="1">
        <f>G14*R14</f>
        <v>106.45460000000003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36</v>
      </c>
      <c r="C15" s="1">
        <v>945.50199999999995</v>
      </c>
      <c r="D15" s="1">
        <v>1329.61</v>
      </c>
      <c r="E15" s="1">
        <v>578.14400000000001</v>
      </c>
      <c r="F15" s="1">
        <v>888.16300000000001</v>
      </c>
      <c r="G15" s="8">
        <v>1</v>
      </c>
      <c r="H15" s="1">
        <v>50</v>
      </c>
      <c r="I15" s="1" t="s">
        <v>37</v>
      </c>
      <c r="J15" s="1"/>
      <c r="K15" s="1">
        <v>581</v>
      </c>
      <c r="L15" s="1">
        <f t="shared" si="2"/>
        <v>-2.8559999999999945</v>
      </c>
      <c r="M15" s="1"/>
      <c r="N15" s="1"/>
      <c r="O15" s="1">
        <v>115.48739999999989</v>
      </c>
      <c r="P15" s="1">
        <v>411.50401999999991</v>
      </c>
      <c r="Q15" s="1">
        <f t="shared" si="3"/>
        <v>115.6288</v>
      </c>
      <c r="R15" s="5"/>
      <c r="S15" s="5"/>
      <c r="T15" s="1"/>
      <c r="U15" s="1"/>
      <c r="V15" s="1">
        <f t="shared" si="5"/>
        <v>12.238771136602644</v>
      </c>
      <c r="W15" s="1">
        <f t="shared" si="6"/>
        <v>12.238771136602644</v>
      </c>
      <c r="X15" s="1">
        <v>114.50620000000001</v>
      </c>
      <c r="Y15" s="1">
        <v>113.3258</v>
      </c>
      <c r="Z15" s="1">
        <v>113.04300000000001</v>
      </c>
      <c r="AA15" s="1">
        <v>135.5318</v>
      </c>
      <c r="AB15" s="1">
        <v>137.45599999999999</v>
      </c>
      <c r="AC15" s="1">
        <v>134.53919999999999</v>
      </c>
      <c r="AD15" s="1">
        <v>141.08619999999999</v>
      </c>
      <c r="AE15" s="1">
        <v>112.262</v>
      </c>
      <c r="AF15" s="1" t="s">
        <v>51</v>
      </c>
      <c r="AG15" s="1">
        <f>G15*R15</f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52</v>
      </c>
      <c r="B16" s="1" t="s">
        <v>36</v>
      </c>
      <c r="C16" s="1">
        <v>189.30600000000001</v>
      </c>
      <c r="D16" s="1">
        <v>205.322</v>
      </c>
      <c r="E16" s="1">
        <v>141.05000000000001</v>
      </c>
      <c r="F16" s="1">
        <v>69.468999999999994</v>
      </c>
      <c r="G16" s="8">
        <v>1</v>
      </c>
      <c r="H16" s="1">
        <v>60</v>
      </c>
      <c r="I16" s="1" t="s">
        <v>37</v>
      </c>
      <c r="J16" s="1"/>
      <c r="K16" s="1">
        <v>142.28</v>
      </c>
      <c r="L16" s="1">
        <f t="shared" si="2"/>
        <v>-1.2299999999999898</v>
      </c>
      <c r="M16" s="1"/>
      <c r="N16" s="1"/>
      <c r="O16" s="1">
        <v>0</v>
      </c>
      <c r="P16" s="1">
        <v>163.77440000000001</v>
      </c>
      <c r="Q16" s="1">
        <f t="shared" si="3"/>
        <v>28.21</v>
      </c>
      <c r="R16" s="5">
        <f t="shared" si="7"/>
        <v>105.27659999999997</v>
      </c>
      <c r="S16" s="5"/>
      <c r="T16" s="1"/>
      <c r="U16" s="1"/>
      <c r="V16" s="1">
        <f t="shared" si="5"/>
        <v>11.999999999999998</v>
      </c>
      <c r="W16" s="1">
        <f t="shared" si="6"/>
        <v>8.2681105990783408</v>
      </c>
      <c r="X16" s="1">
        <v>25.863399999999999</v>
      </c>
      <c r="Y16" s="1">
        <v>14.7568</v>
      </c>
      <c r="Z16" s="1">
        <v>13.9038</v>
      </c>
      <c r="AA16" s="1">
        <v>24.167400000000001</v>
      </c>
      <c r="AB16" s="1">
        <v>27.85</v>
      </c>
      <c r="AC16" s="1">
        <v>16.5398</v>
      </c>
      <c r="AD16" s="1">
        <v>14.776</v>
      </c>
      <c r="AE16" s="1">
        <v>22.8096</v>
      </c>
      <c r="AF16" s="1"/>
      <c r="AG16" s="1">
        <f>G16*R16</f>
        <v>105.27659999999997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53</v>
      </c>
      <c r="B17" s="1" t="s">
        <v>36</v>
      </c>
      <c r="C17" s="1">
        <v>676.29700000000003</v>
      </c>
      <c r="D17" s="1">
        <v>531.779</v>
      </c>
      <c r="E17" s="1">
        <v>453.178</v>
      </c>
      <c r="F17" s="1">
        <v>500.64100000000002</v>
      </c>
      <c r="G17" s="8">
        <v>1</v>
      </c>
      <c r="H17" s="1">
        <v>60</v>
      </c>
      <c r="I17" s="1" t="s">
        <v>37</v>
      </c>
      <c r="J17" s="1"/>
      <c r="K17" s="1">
        <v>465.995</v>
      </c>
      <c r="L17" s="1">
        <f t="shared" si="2"/>
        <v>-12.817000000000007</v>
      </c>
      <c r="M17" s="1"/>
      <c r="N17" s="1"/>
      <c r="O17" s="1">
        <v>278.32159999999988</v>
      </c>
      <c r="P17" s="1">
        <v>442.30142000000029</v>
      </c>
      <c r="Q17" s="1">
        <f t="shared" si="3"/>
        <v>90.635599999999997</v>
      </c>
      <c r="R17" s="5"/>
      <c r="S17" s="5"/>
      <c r="T17" s="1"/>
      <c r="U17" s="1"/>
      <c r="V17" s="1">
        <f t="shared" si="5"/>
        <v>13.474440727484566</v>
      </c>
      <c r="W17" s="1">
        <f t="shared" si="6"/>
        <v>13.474440727484566</v>
      </c>
      <c r="X17" s="1">
        <v>98.152200000000008</v>
      </c>
      <c r="Y17" s="1">
        <v>92.115200000000002</v>
      </c>
      <c r="Z17" s="1">
        <v>68.263800000000003</v>
      </c>
      <c r="AA17" s="1">
        <v>77.330200000000005</v>
      </c>
      <c r="AB17" s="1">
        <v>97.294399999999996</v>
      </c>
      <c r="AC17" s="1">
        <v>87.770399999999995</v>
      </c>
      <c r="AD17" s="1">
        <v>79.153999999999996</v>
      </c>
      <c r="AE17" s="1">
        <v>75.395399999999995</v>
      </c>
      <c r="AF17" s="1"/>
      <c r="AG17" s="1">
        <f>G17*R17</f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54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>
        <v>0</v>
      </c>
      <c r="Q18" s="12">
        <f t="shared" si="3"/>
        <v>0</v>
      </c>
      <c r="R18" s="14"/>
      <c r="S18" s="14"/>
      <c r="T18" s="12"/>
      <c r="U18" s="12"/>
      <c r="V18" s="12" t="e">
        <f t="shared" si="5"/>
        <v>#DIV/0!</v>
      </c>
      <c r="W18" s="12" t="e">
        <f t="shared" si="6"/>
        <v>#DIV/0!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 t="s">
        <v>45</v>
      </c>
      <c r="AG18" s="12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55</v>
      </c>
      <c r="B19" s="1" t="s">
        <v>36</v>
      </c>
      <c r="C19" s="1">
        <v>6.6959999999999997</v>
      </c>
      <c r="D19" s="1">
        <v>0.20699999999999999</v>
      </c>
      <c r="E19" s="1">
        <v>6.6689999999999996</v>
      </c>
      <c r="F19" s="1">
        <v>-0.16</v>
      </c>
      <c r="G19" s="8">
        <v>1</v>
      </c>
      <c r="H19" s="1">
        <v>180</v>
      </c>
      <c r="I19" s="1" t="s">
        <v>37</v>
      </c>
      <c r="J19" s="1"/>
      <c r="K19" s="1">
        <v>7.38</v>
      </c>
      <c r="L19" s="1">
        <f t="shared" si="2"/>
        <v>-0.7110000000000003</v>
      </c>
      <c r="M19" s="1"/>
      <c r="N19" s="1"/>
      <c r="O19" s="1">
        <v>0</v>
      </c>
      <c r="P19" s="1">
        <v>4</v>
      </c>
      <c r="Q19" s="1">
        <f t="shared" si="3"/>
        <v>1.3337999999999999</v>
      </c>
      <c r="R19" s="5">
        <f t="shared" ref="R19:R27" si="8">12*Q19-P19-O19-F19</f>
        <v>12.165599999999998</v>
      </c>
      <c r="S19" s="5"/>
      <c r="T19" s="1"/>
      <c r="U19" s="1"/>
      <c r="V19" s="1">
        <f t="shared" si="5"/>
        <v>12</v>
      </c>
      <c r="W19" s="1">
        <f t="shared" si="6"/>
        <v>2.8789923526765633</v>
      </c>
      <c r="X19" s="1">
        <v>1.1761999999999999</v>
      </c>
      <c r="Y19" s="1">
        <v>1.1919999999999999</v>
      </c>
      <c r="Z19" s="1">
        <v>1.4008</v>
      </c>
      <c r="AA19" s="1">
        <v>0.92360000000000009</v>
      </c>
      <c r="AB19" s="1">
        <v>0.71639999999999993</v>
      </c>
      <c r="AC19" s="1">
        <v>0.318</v>
      </c>
      <c r="AD19" s="1">
        <v>0.37840000000000001</v>
      </c>
      <c r="AE19" s="1">
        <v>0.37080000000000002</v>
      </c>
      <c r="AF19" s="1"/>
      <c r="AG19" s="1">
        <f>G19*R19</f>
        <v>12.165599999999998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56</v>
      </c>
      <c r="B20" s="1" t="s">
        <v>36</v>
      </c>
      <c r="C20" s="1">
        <v>321.94</v>
      </c>
      <c r="D20" s="1">
        <v>528.33799999999997</v>
      </c>
      <c r="E20" s="1">
        <v>274.47699999999998</v>
      </c>
      <c r="F20" s="1">
        <v>328.13799999999998</v>
      </c>
      <c r="G20" s="8">
        <v>1</v>
      </c>
      <c r="H20" s="1">
        <v>60</v>
      </c>
      <c r="I20" s="1" t="s">
        <v>37</v>
      </c>
      <c r="J20" s="1"/>
      <c r="K20" s="1">
        <v>256.81</v>
      </c>
      <c r="L20" s="1">
        <f t="shared" si="2"/>
        <v>17.666999999999973</v>
      </c>
      <c r="M20" s="1"/>
      <c r="N20" s="1"/>
      <c r="O20" s="1">
        <v>94.868340000000074</v>
      </c>
      <c r="P20" s="1">
        <v>151.81134</v>
      </c>
      <c r="Q20" s="1">
        <f t="shared" si="3"/>
        <v>54.895399999999995</v>
      </c>
      <c r="R20" s="5">
        <f t="shared" si="8"/>
        <v>83.927119999999888</v>
      </c>
      <c r="S20" s="5"/>
      <c r="T20" s="1"/>
      <c r="U20" s="1"/>
      <c r="V20" s="1">
        <f t="shared" si="5"/>
        <v>12</v>
      </c>
      <c r="W20" s="1">
        <f t="shared" si="6"/>
        <v>10.471144758941552</v>
      </c>
      <c r="X20" s="1">
        <v>48.971400000000003</v>
      </c>
      <c r="Y20" s="1">
        <v>51.834600000000002</v>
      </c>
      <c r="Z20" s="1">
        <v>52.747599999999998</v>
      </c>
      <c r="AA20" s="1">
        <v>55.054400000000001</v>
      </c>
      <c r="AB20" s="1">
        <v>55.499000000000002</v>
      </c>
      <c r="AC20" s="1">
        <v>47.890799999999999</v>
      </c>
      <c r="AD20" s="1">
        <v>47.2258</v>
      </c>
      <c r="AE20" s="1">
        <v>43.8322</v>
      </c>
      <c r="AF20" s="1" t="s">
        <v>51</v>
      </c>
      <c r="AG20" s="1">
        <f>G20*R20</f>
        <v>83.927119999999888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57</v>
      </c>
      <c r="B21" s="1" t="s">
        <v>36</v>
      </c>
      <c r="C21" s="1">
        <v>-10.266999999999999</v>
      </c>
      <c r="D21" s="1">
        <v>174.56700000000001</v>
      </c>
      <c r="E21" s="1">
        <v>54.384999999999998</v>
      </c>
      <c r="F21" s="1">
        <v>107.279</v>
      </c>
      <c r="G21" s="8">
        <v>1</v>
      </c>
      <c r="H21" s="1">
        <v>60</v>
      </c>
      <c r="I21" s="1" t="s">
        <v>37</v>
      </c>
      <c r="J21" s="1"/>
      <c r="K21" s="1">
        <v>52.2</v>
      </c>
      <c r="L21" s="1">
        <f t="shared" si="2"/>
        <v>2.1849999999999952</v>
      </c>
      <c r="M21" s="1"/>
      <c r="N21" s="1"/>
      <c r="O21" s="1">
        <v>125.7906</v>
      </c>
      <c r="P21" s="1">
        <v>0</v>
      </c>
      <c r="Q21" s="1">
        <f t="shared" si="3"/>
        <v>10.876999999999999</v>
      </c>
      <c r="R21" s="5"/>
      <c r="S21" s="5"/>
      <c r="T21" s="1"/>
      <c r="U21" s="1"/>
      <c r="V21" s="1">
        <f t="shared" si="5"/>
        <v>21.427746621311023</v>
      </c>
      <c r="W21" s="1">
        <f t="shared" si="6"/>
        <v>21.427746621311023</v>
      </c>
      <c r="X21" s="1">
        <v>11.7576</v>
      </c>
      <c r="Y21" s="1">
        <v>18.473600000000001</v>
      </c>
      <c r="Z21" s="1">
        <v>16.8368</v>
      </c>
      <c r="AA21" s="1">
        <v>6.8116000000000003</v>
      </c>
      <c r="AB21" s="1">
        <v>6.6465999999999994</v>
      </c>
      <c r="AC21" s="1">
        <v>12.141400000000001</v>
      </c>
      <c r="AD21" s="1">
        <v>16.499600000000001</v>
      </c>
      <c r="AE21" s="1">
        <v>14.8064</v>
      </c>
      <c r="AF21" s="1"/>
      <c r="AG21" s="1">
        <f>G21*R21</f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58</v>
      </c>
      <c r="B22" s="1" t="s">
        <v>36</v>
      </c>
      <c r="C22" s="1">
        <v>34.128</v>
      </c>
      <c r="D22" s="1">
        <v>131.721</v>
      </c>
      <c r="E22" s="1">
        <v>52.332000000000001</v>
      </c>
      <c r="F22" s="1">
        <v>89.501000000000005</v>
      </c>
      <c r="G22" s="8">
        <v>1</v>
      </c>
      <c r="H22" s="1">
        <v>60</v>
      </c>
      <c r="I22" s="1" t="s">
        <v>37</v>
      </c>
      <c r="J22" s="1"/>
      <c r="K22" s="1">
        <v>58.5</v>
      </c>
      <c r="L22" s="1">
        <f t="shared" si="2"/>
        <v>-6.1679999999999993</v>
      </c>
      <c r="M22" s="1"/>
      <c r="N22" s="1"/>
      <c r="O22" s="1">
        <v>38.887600000000063</v>
      </c>
      <c r="P22" s="1">
        <v>12.84099999999996</v>
      </c>
      <c r="Q22" s="1">
        <f t="shared" si="3"/>
        <v>10.4664</v>
      </c>
      <c r="R22" s="5"/>
      <c r="S22" s="5"/>
      <c r="T22" s="1"/>
      <c r="U22" s="1"/>
      <c r="V22" s="1">
        <f t="shared" si="5"/>
        <v>13.493617671787817</v>
      </c>
      <c r="W22" s="1">
        <f t="shared" si="6"/>
        <v>13.493617671787817</v>
      </c>
      <c r="X22" s="1">
        <v>13.158200000000001</v>
      </c>
      <c r="Y22" s="1">
        <v>14.781599999999999</v>
      </c>
      <c r="Z22" s="1">
        <v>14.4458</v>
      </c>
      <c r="AA22" s="1">
        <v>10.848599999999999</v>
      </c>
      <c r="AB22" s="1">
        <v>9.6117999999999988</v>
      </c>
      <c r="AC22" s="1">
        <v>10.335000000000001</v>
      </c>
      <c r="AD22" s="1">
        <v>15.6046</v>
      </c>
      <c r="AE22" s="1">
        <v>13.000999999999999</v>
      </c>
      <c r="AF22" s="1"/>
      <c r="AG22" s="1">
        <f>G22*R22</f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59</v>
      </c>
      <c r="B23" s="1" t="s">
        <v>36</v>
      </c>
      <c r="C23" s="1">
        <v>9.6709999999999994</v>
      </c>
      <c r="D23" s="1">
        <v>8.5030000000000001</v>
      </c>
      <c r="E23" s="1">
        <v>6.5670000000000002</v>
      </c>
      <c r="F23" s="1">
        <v>10.138999999999999</v>
      </c>
      <c r="G23" s="8">
        <v>1</v>
      </c>
      <c r="H23" s="1">
        <v>180</v>
      </c>
      <c r="I23" s="1" t="s">
        <v>37</v>
      </c>
      <c r="J23" s="1"/>
      <c r="K23" s="1">
        <v>6.7</v>
      </c>
      <c r="L23" s="1">
        <f t="shared" si="2"/>
        <v>-0.13300000000000001</v>
      </c>
      <c r="M23" s="1"/>
      <c r="N23" s="1"/>
      <c r="O23" s="1">
        <v>0</v>
      </c>
      <c r="P23" s="1">
        <v>4</v>
      </c>
      <c r="Q23" s="1">
        <f t="shared" si="3"/>
        <v>1.3134000000000001</v>
      </c>
      <c r="R23" s="5">
        <v>4</v>
      </c>
      <c r="S23" s="5"/>
      <c r="T23" s="1"/>
      <c r="U23" s="1"/>
      <c r="V23" s="1">
        <f t="shared" si="5"/>
        <v>13.810720268006698</v>
      </c>
      <c r="W23" s="1">
        <f t="shared" si="6"/>
        <v>10.765189584285061</v>
      </c>
      <c r="X23" s="1">
        <v>1.1698</v>
      </c>
      <c r="Y23" s="1">
        <v>1.175</v>
      </c>
      <c r="Z23" s="1">
        <v>1.4066000000000001</v>
      </c>
      <c r="AA23" s="1">
        <v>0.81479999999999997</v>
      </c>
      <c r="AB23" s="1">
        <v>0.43680000000000002</v>
      </c>
      <c r="AC23" s="1">
        <v>0.36159999999999998</v>
      </c>
      <c r="AD23" s="1">
        <v>0.43559999999999999</v>
      </c>
      <c r="AE23" s="1">
        <v>0.2944</v>
      </c>
      <c r="AF23" s="1"/>
      <c r="AG23" s="1">
        <f>G23*R23</f>
        <v>4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36</v>
      </c>
      <c r="C24" s="1">
        <v>71.8</v>
      </c>
      <c r="D24" s="1">
        <v>197.74600000000001</v>
      </c>
      <c r="E24" s="1">
        <v>111.366</v>
      </c>
      <c r="F24" s="1">
        <v>121.199</v>
      </c>
      <c r="G24" s="8">
        <v>1</v>
      </c>
      <c r="H24" s="1">
        <v>60</v>
      </c>
      <c r="I24" s="1" t="s">
        <v>37</v>
      </c>
      <c r="J24" s="1"/>
      <c r="K24" s="1">
        <v>108.99</v>
      </c>
      <c r="L24" s="1">
        <f t="shared" si="2"/>
        <v>2.3760000000000048</v>
      </c>
      <c r="M24" s="1"/>
      <c r="N24" s="1"/>
      <c r="O24" s="1">
        <v>45.192599999999999</v>
      </c>
      <c r="P24" s="1">
        <v>0</v>
      </c>
      <c r="Q24" s="1">
        <f t="shared" si="3"/>
        <v>22.273199999999999</v>
      </c>
      <c r="R24" s="5">
        <f t="shared" si="8"/>
        <v>100.88679999999998</v>
      </c>
      <c r="S24" s="5"/>
      <c r="T24" s="1"/>
      <c r="U24" s="1"/>
      <c r="V24" s="1">
        <f t="shared" si="5"/>
        <v>12</v>
      </c>
      <c r="W24" s="1">
        <f t="shared" si="6"/>
        <v>7.470484708079665</v>
      </c>
      <c r="X24" s="1">
        <v>18.735600000000002</v>
      </c>
      <c r="Y24" s="1">
        <v>22.119399999999999</v>
      </c>
      <c r="Z24" s="1">
        <v>23.171800000000001</v>
      </c>
      <c r="AA24" s="1">
        <v>17.504799999999999</v>
      </c>
      <c r="AB24" s="1">
        <v>18.215</v>
      </c>
      <c r="AC24" s="1">
        <v>22.4634</v>
      </c>
      <c r="AD24" s="1">
        <v>19.662600000000001</v>
      </c>
      <c r="AE24" s="1">
        <v>13.6778</v>
      </c>
      <c r="AF24" s="1" t="s">
        <v>51</v>
      </c>
      <c r="AG24" s="1">
        <f>G24*R24</f>
        <v>100.88679999999998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36</v>
      </c>
      <c r="C25" s="1">
        <v>17.298999999999999</v>
      </c>
      <c r="D25" s="1">
        <v>49.268000000000001</v>
      </c>
      <c r="E25" s="1">
        <v>22.408999999999999</v>
      </c>
      <c r="F25" s="1">
        <v>0.70499999999999996</v>
      </c>
      <c r="G25" s="8">
        <v>1</v>
      </c>
      <c r="H25" s="1">
        <v>30</v>
      </c>
      <c r="I25" s="1" t="s">
        <v>37</v>
      </c>
      <c r="J25" s="1"/>
      <c r="K25" s="1">
        <v>36.6</v>
      </c>
      <c r="L25" s="1">
        <f t="shared" si="2"/>
        <v>-14.191000000000003</v>
      </c>
      <c r="M25" s="1"/>
      <c r="N25" s="1"/>
      <c r="O25" s="1">
        <v>28.1416</v>
      </c>
      <c r="P25" s="1">
        <v>32.848600000000012</v>
      </c>
      <c r="Q25" s="1">
        <f t="shared" si="3"/>
        <v>4.4817999999999998</v>
      </c>
      <c r="R25" s="5"/>
      <c r="S25" s="5"/>
      <c r="T25" s="1"/>
      <c r="U25" s="1"/>
      <c r="V25" s="1">
        <f t="shared" si="5"/>
        <v>13.765719130706417</v>
      </c>
      <c r="W25" s="1">
        <f t="shared" si="6"/>
        <v>13.765719130706417</v>
      </c>
      <c r="X25" s="1">
        <v>6.4792000000000014</v>
      </c>
      <c r="Y25" s="1">
        <v>5.0358000000000001</v>
      </c>
      <c r="Z25" s="1">
        <v>2.8468</v>
      </c>
      <c r="AA25" s="1">
        <v>4.6814</v>
      </c>
      <c r="AB25" s="1">
        <v>4.5476000000000001</v>
      </c>
      <c r="AC25" s="1">
        <v>4.2598000000000003</v>
      </c>
      <c r="AD25" s="1">
        <v>3.5922000000000001</v>
      </c>
      <c r="AE25" s="1">
        <v>4.4442000000000004</v>
      </c>
      <c r="AF25" s="1"/>
      <c r="AG25" s="1">
        <f>G25*R25</f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36</v>
      </c>
      <c r="C26" s="1">
        <v>79.563999999999993</v>
      </c>
      <c r="D26" s="1">
        <v>188.221</v>
      </c>
      <c r="E26" s="1">
        <v>122.596</v>
      </c>
      <c r="F26" s="1">
        <v>88.424000000000007</v>
      </c>
      <c r="G26" s="8">
        <v>1</v>
      </c>
      <c r="H26" s="1">
        <v>30</v>
      </c>
      <c r="I26" s="1" t="s">
        <v>37</v>
      </c>
      <c r="J26" s="1"/>
      <c r="K26" s="1">
        <v>115.7</v>
      </c>
      <c r="L26" s="1">
        <f t="shared" si="2"/>
        <v>6.8960000000000008</v>
      </c>
      <c r="M26" s="1"/>
      <c r="N26" s="1"/>
      <c r="O26" s="1">
        <v>36.863</v>
      </c>
      <c r="P26" s="1">
        <v>130.46900000000011</v>
      </c>
      <c r="Q26" s="1">
        <f t="shared" si="3"/>
        <v>24.519200000000001</v>
      </c>
      <c r="R26" s="5">
        <f t="shared" si="8"/>
        <v>38.474399999999918</v>
      </c>
      <c r="S26" s="5"/>
      <c r="T26" s="1"/>
      <c r="U26" s="1"/>
      <c r="V26" s="1">
        <f t="shared" si="5"/>
        <v>12</v>
      </c>
      <c r="W26" s="1">
        <f t="shared" si="6"/>
        <v>10.430846030865611</v>
      </c>
      <c r="X26" s="1">
        <v>24.551600000000001</v>
      </c>
      <c r="Y26" s="1">
        <v>19.8628</v>
      </c>
      <c r="Z26" s="1">
        <v>19.8872</v>
      </c>
      <c r="AA26" s="1">
        <v>17.8294</v>
      </c>
      <c r="AB26" s="1">
        <v>20.827000000000002</v>
      </c>
      <c r="AC26" s="1">
        <v>17.749400000000001</v>
      </c>
      <c r="AD26" s="1">
        <v>17.247199999999999</v>
      </c>
      <c r="AE26" s="1">
        <v>16.131</v>
      </c>
      <c r="AF26" s="1"/>
      <c r="AG26" s="1">
        <f>G26*R26</f>
        <v>38.474399999999918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36</v>
      </c>
      <c r="C27" s="1">
        <v>139.096</v>
      </c>
      <c r="D27" s="1">
        <v>93.289000000000001</v>
      </c>
      <c r="E27" s="1">
        <v>81.308999999999997</v>
      </c>
      <c r="F27" s="1">
        <v>48.704999999999998</v>
      </c>
      <c r="G27" s="8">
        <v>1</v>
      </c>
      <c r="H27" s="1">
        <v>30</v>
      </c>
      <c r="I27" s="1" t="s">
        <v>37</v>
      </c>
      <c r="J27" s="1"/>
      <c r="K27" s="1">
        <v>88.05</v>
      </c>
      <c r="L27" s="1">
        <f t="shared" si="2"/>
        <v>-6.7409999999999997</v>
      </c>
      <c r="M27" s="1"/>
      <c r="N27" s="1"/>
      <c r="O27" s="1">
        <v>65.626999999999981</v>
      </c>
      <c r="P27" s="1">
        <v>0</v>
      </c>
      <c r="Q27" s="1">
        <f t="shared" si="3"/>
        <v>16.261800000000001</v>
      </c>
      <c r="R27" s="5">
        <f t="shared" si="8"/>
        <v>80.809600000000032</v>
      </c>
      <c r="S27" s="5"/>
      <c r="T27" s="1"/>
      <c r="U27" s="1"/>
      <c r="V27" s="1">
        <f t="shared" si="5"/>
        <v>12</v>
      </c>
      <c r="W27" s="1">
        <f t="shared" si="6"/>
        <v>7.0307100075022433</v>
      </c>
      <c r="X27" s="1">
        <v>15.2302</v>
      </c>
      <c r="Y27" s="1">
        <v>16.292999999999999</v>
      </c>
      <c r="Z27" s="1">
        <v>12.535600000000001</v>
      </c>
      <c r="AA27" s="1">
        <v>15.572800000000001</v>
      </c>
      <c r="AB27" s="1">
        <v>21.7758</v>
      </c>
      <c r="AC27" s="1">
        <v>22.566400000000002</v>
      </c>
      <c r="AD27" s="1">
        <v>18.023</v>
      </c>
      <c r="AE27" s="1">
        <v>14.3504</v>
      </c>
      <c r="AF27" s="1" t="s">
        <v>51</v>
      </c>
      <c r="AG27" s="1">
        <f>G27*R27</f>
        <v>80.809600000000032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2" t="s">
        <v>64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>
        <v>0</v>
      </c>
      <c r="Q28" s="12">
        <f t="shared" si="3"/>
        <v>0</v>
      </c>
      <c r="R28" s="14"/>
      <c r="S28" s="14"/>
      <c r="T28" s="12"/>
      <c r="U28" s="12"/>
      <c r="V28" s="12" t="e">
        <f t="shared" si="5"/>
        <v>#DIV/0!</v>
      </c>
      <c r="W28" s="12" t="e">
        <f t="shared" si="6"/>
        <v>#DIV/0!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 t="s">
        <v>45</v>
      </c>
      <c r="AG28" s="12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36</v>
      </c>
      <c r="C29" s="1">
        <v>143.36099999999999</v>
      </c>
      <c r="D29" s="1">
        <v>38.813000000000002</v>
      </c>
      <c r="E29" s="1">
        <v>82.611000000000004</v>
      </c>
      <c r="F29" s="1">
        <v>55.506999999999998</v>
      </c>
      <c r="G29" s="8">
        <v>1</v>
      </c>
      <c r="H29" s="1">
        <v>40</v>
      </c>
      <c r="I29" s="1" t="s">
        <v>37</v>
      </c>
      <c r="J29" s="1"/>
      <c r="K29" s="1">
        <v>76.099999999999994</v>
      </c>
      <c r="L29" s="1">
        <f t="shared" si="2"/>
        <v>6.5110000000000099</v>
      </c>
      <c r="M29" s="1"/>
      <c r="N29" s="1"/>
      <c r="O29" s="1">
        <v>0</v>
      </c>
      <c r="P29" s="1">
        <v>60.142600000000002</v>
      </c>
      <c r="Q29" s="1">
        <f t="shared" si="3"/>
        <v>16.522200000000002</v>
      </c>
      <c r="R29" s="5">
        <f t="shared" ref="R29:R36" si="9">12*Q29-P29-O29-F29</f>
        <v>82.616800000000012</v>
      </c>
      <c r="S29" s="5"/>
      <c r="T29" s="1"/>
      <c r="U29" s="1"/>
      <c r="V29" s="1">
        <f t="shared" si="5"/>
        <v>12</v>
      </c>
      <c r="W29" s="1">
        <f t="shared" si="6"/>
        <v>6.9996489571606677</v>
      </c>
      <c r="X29" s="1">
        <v>13.6046</v>
      </c>
      <c r="Y29" s="1">
        <v>9.2058</v>
      </c>
      <c r="Z29" s="1">
        <v>12.486800000000001</v>
      </c>
      <c r="AA29" s="1">
        <v>15.904199999999999</v>
      </c>
      <c r="AB29" s="1">
        <v>17.322800000000001</v>
      </c>
      <c r="AC29" s="1">
        <v>15.470599999999999</v>
      </c>
      <c r="AD29" s="1">
        <v>15.2462</v>
      </c>
      <c r="AE29" s="1">
        <v>17.609000000000002</v>
      </c>
      <c r="AF29" s="1"/>
      <c r="AG29" s="1">
        <f>G29*R29</f>
        <v>82.616800000000012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36</v>
      </c>
      <c r="C30" s="1">
        <v>13.695</v>
      </c>
      <c r="D30" s="1">
        <v>14.715</v>
      </c>
      <c r="E30" s="1">
        <v>13.048</v>
      </c>
      <c r="F30" s="1">
        <v>5.9279999999999999</v>
      </c>
      <c r="G30" s="8">
        <v>1</v>
      </c>
      <c r="H30" s="1">
        <v>30</v>
      </c>
      <c r="I30" s="1" t="s">
        <v>37</v>
      </c>
      <c r="J30" s="1"/>
      <c r="K30" s="1">
        <v>17.5</v>
      </c>
      <c r="L30" s="1">
        <f t="shared" si="2"/>
        <v>-4.452</v>
      </c>
      <c r="M30" s="1"/>
      <c r="N30" s="1"/>
      <c r="O30" s="1">
        <v>25.48579999999999</v>
      </c>
      <c r="P30" s="1">
        <v>0</v>
      </c>
      <c r="Q30" s="1">
        <f t="shared" si="3"/>
        <v>2.6095999999999999</v>
      </c>
      <c r="R30" s="5"/>
      <c r="S30" s="5"/>
      <c r="T30" s="1"/>
      <c r="U30" s="1"/>
      <c r="V30" s="1">
        <f t="shared" si="5"/>
        <v>12.037783568362965</v>
      </c>
      <c r="W30" s="1">
        <f t="shared" si="6"/>
        <v>12.037783568362965</v>
      </c>
      <c r="X30" s="1">
        <v>3.3153999999999999</v>
      </c>
      <c r="Y30" s="1">
        <v>3.923</v>
      </c>
      <c r="Z30" s="1">
        <v>2.7642000000000002</v>
      </c>
      <c r="AA30" s="1">
        <v>2.4586000000000001</v>
      </c>
      <c r="AB30" s="1">
        <v>2.7709999999999999</v>
      </c>
      <c r="AC30" s="1">
        <v>2.4022000000000001</v>
      </c>
      <c r="AD30" s="1">
        <v>2.2694000000000001</v>
      </c>
      <c r="AE30" s="1">
        <v>2.8191999999999999</v>
      </c>
      <c r="AF30" s="1"/>
      <c r="AG30" s="1">
        <f>G30*R30</f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36</v>
      </c>
      <c r="C31" s="1">
        <v>66.272999999999996</v>
      </c>
      <c r="D31" s="1">
        <v>93.335999999999999</v>
      </c>
      <c r="E31" s="1">
        <v>71.231999999999999</v>
      </c>
      <c r="F31" s="1">
        <v>65.319999999999993</v>
      </c>
      <c r="G31" s="8">
        <v>1</v>
      </c>
      <c r="H31" s="1">
        <v>50</v>
      </c>
      <c r="I31" s="1" t="s">
        <v>37</v>
      </c>
      <c r="J31" s="1"/>
      <c r="K31" s="1">
        <v>76.599999999999994</v>
      </c>
      <c r="L31" s="1">
        <f t="shared" si="2"/>
        <v>-5.367999999999995</v>
      </c>
      <c r="M31" s="1"/>
      <c r="N31" s="1"/>
      <c r="O31" s="1">
        <v>73.930600000000013</v>
      </c>
      <c r="P31" s="1">
        <v>60.696999999999981</v>
      </c>
      <c r="Q31" s="1">
        <f t="shared" si="3"/>
        <v>14.2464</v>
      </c>
      <c r="R31" s="5"/>
      <c r="S31" s="5"/>
      <c r="T31" s="1"/>
      <c r="U31" s="1"/>
      <c r="V31" s="1">
        <f t="shared" si="5"/>
        <v>14.034956199460916</v>
      </c>
      <c r="W31" s="1">
        <f t="shared" si="6"/>
        <v>14.034956199460916</v>
      </c>
      <c r="X31" s="1">
        <v>18.599799999999998</v>
      </c>
      <c r="Y31" s="1">
        <v>17.170400000000001</v>
      </c>
      <c r="Z31" s="1">
        <v>14.8132</v>
      </c>
      <c r="AA31" s="1">
        <v>10.3552</v>
      </c>
      <c r="AB31" s="1">
        <v>15.049799999999999</v>
      </c>
      <c r="AC31" s="1">
        <v>11.4298</v>
      </c>
      <c r="AD31" s="1">
        <v>9.2218</v>
      </c>
      <c r="AE31" s="1">
        <v>12.353</v>
      </c>
      <c r="AF31" s="1"/>
      <c r="AG31" s="1">
        <f>G31*R31</f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36</v>
      </c>
      <c r="C32" s="1">
        <v>34.404000000000003</v>
      </c>
      <c r="D32" s="1">
        <v>33.356000000000002</v>
      </c>
      <c r="E32" s="1">
        <v>34.640999999999998</v>
      </c>
      <c r="F32" s="1">
        <v>17.25</v>
      </c>
      <c r="G32" s="8">
        <v>1</v>
      </c>
      <c r="H32" s="1">
        <v>50</v>
      </c>
      <c r="I32" s="1" t="s">
        <v>37</v>
      </c>
      <c r="J32" s="1"/>
      <c r="K32" s="1">
        <v>41.2</v>
      </c>
      <c r="L32" s="1">
        <f t="shared" si="2"/>
        <v>-6.5590000000000046</v>
      </c>
      <c r="M32" s="1"/>
      <c r="N32" s="1"/>
      <c r="O32" s="1">
        <v>75.054599999999994</v>
      </c>
      <c r="P32" s="1">
        <v>16.649000000000019</v>
      </c>
      <c r="Q32" s="1">
        <f t="shared" si="3"/>
        <v>6.9281999999999995</v>
      </c>
      <c r="R32" s="5"/>
      <c r="S32" s="5"/>
      <c r="T32" s="1"/>
      <c r="U32" s="1"/>
      <c r="V32" s="1">
        <f t="shared" si="5"/>
        <v>15.726104904592827</v>
      </c>
      <c r="W32" s="1">
        <f t="shared" si="6"/>
        <v>15.726104904592827</v>
      </c>
      <c r="X32" s="1">
        <v>10.534800000000001</v>
      </c>
      <c r="Y32" s="1">
        <v>10.087400000000001</v>
      </c>
      <c r="Z32" s="1">
        <v>7.1971999999999996</v>
      </c>
      <c r="AA32" s="1">
        <v>6.9955999999999996</v>
      </c>
      <c r="AB32" s="1">
        <v>8.5993999999999993</v>
      </c>
      <c r="AC32" s="1">
        <v>7.5263999999999998</v>
      </c>
      <c r="AD32" s="1">
        <v>5.7656000000000001</v>
      </c>
      <c r="AE32" s="1">
        <v>6.3411999999999997</v>
      </c>
      <c r="AF32" s="1"/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42</v>
      </c>
      <c r="C33" s="1">
        <v>385</v>
      </c>
      <c r="D33" s="1">
        <v>828</v>
      </c>
      <c r="E33" s="1">
        <v>443</v>
      </c>
      <c r="F33" s="1">
        <v>391</v>
      </c>
      <c r="G33" s="8">
        <v>0.4</v>
      </c>
      <c r="H33" s="1">
        <v>45</v>
      </c>
      <c r="I33" s="1" t="s">
        <v>37</v>
      </c>
      <c r="J33" s="1"/>
      <c r="K33" s="1">
        <v>443</v>
      </c>
      <c r="L33" s="1">
        <f t="shared" si="2"/>
        <v>0</v>
      </c>
      <c r="M33" s="1"/>
      <c r="N33" s="1"/>
      <c r="O33" s="1">
        <v>251.9999999999996</v>
      </c>
      <c r="P33" s="1">
        <v>533.70000000000016</v>
      </c>
      <c r="Q33" s="1">
        <f t="shared" si="3"/>
        <v>88.6</v>
      </c>
      <c r="R33" s="5"/>
      <c r="S33" s="5"/>
      <c r="T33" s="1"/>
      <c r="U33" s="1"/>
      <c r="V33" s="1">
        <f t="shared" si="5"/>
        <v>13.281038374717832</v>
      </c>
      <c r="W33" s="1">
        <f t="shared" si="6"/>
        <v>13.281038374717832</v>
      </c>
      <c r="X33" s="1">
        <v>91</v>
      </c>
      <c r="Y33" s="1">
        <v>81.8</v>
      </c>
      <c r="Z33" s="1">
        <v>74.599999999999994</v>
      </c>
      <c r="AA33" s="1">
        <v>71.8</v>
      </c>
      <c r="AB33" s="1">
        <v>73.400000000000006</v>
      </c>
      <c r="AC33" s="1">
        <v>51.4</v>
      </c>
      <c r="AD33" s="1">
        <v>56.2</v>
      </c>
      <c r="AE33" s="1">
        <v>70.400000000000006</v>
      </c>
      <c r="AF33" s="1" t="s">
        <v>70</v>
      </c>
      <c r="AG33" s="1">
        <f>G33*R33</f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42</v>
      </c>
      <c r="C34" s="1">
        <v>222</v>
      </c>
      <c r="D34" s="1">
        <v>51</v>
      </c>
      <c r="E34" s="1">
        <v>232</v>
      </c>
      <c r="F34" s="1">
        <v>37</v>
      </c>
      <c r="G34" s="8">
        <v>0.45</v>
      </c>
      <c r="H34" s="1">
        <v>50</v>
      </c>
      <c r="I34" s="11" t="s">
        <v>72</v>
      </c>
      <c r="J34" s="1"/>
      <c r="K34" s="1">
        <v>228</v>
      </c>
      <c r="L34" s="1">
        <f t="shared" si="2"/>
        <v>4</v>
      </c>
      <c r="M34" s="1"/>
      <c r="N34" s="1"/>
      <c r="O34" s="1">
        <v>200</v>
      </c>
      <c r="P34" s="1">
        <v>270.80000000000013</v>
      </c>
      <c r="Q34" s="1">
        <f t="shared" si="3"/>
        <v>46.4</v>
      </c>
      <c r="R34" s="5">
        <f t="shared" si="9"/>
        <v>48.999999999999829</v>
      </c>
      <c r="S34" s="5"/>
      <c r="T34" s="1"/>
      <c r="U34" s="1"/>
      <c r="V34" s="1">
        <f t="shared" si="5"/>
        <v>12</v>
      </c>
      <c r="W34" s="1">
        <f t="shared" si="6"/>
        <v>10.943965517241383</v>
      </c>
      <c r="X34" s="1">
        <v>48.2</v>
      </c>
      <c r="Y34" s="1">
        <v>28.4</v>
      </c>
      <c r="Z34" s="1">
        <v>27.4</v>
      </c>
      <c r="AA34" s="1">
        <v>21.6</v>
      </c>
      <c r="AB34" s="1">
        <v>34</v>
      </c>
      <c r="AC34" s="1">
        <v>32.6</v>
      </c>
      <c r="AD34" s="1">
        <v>28.8</v>
      </c>
      <c r="AE34" s="1">
        <v>37.4</v>
      </c>
      <c r="AF34" s="1" t="s">
        <v>39</v>
      </c>
      <c r="AG34" s="1">
        <f>G34*R34</f>
        <v>22.049999999999923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42</v>
      </c>
      <c r="C35" s="1">
        <v>258</v>
      </c>
      <c r="D35" s="1">
        <v>558</v>
      </c>
      <c r="E35" s="1">
        <v>311</v>
      </c>
      <c r="F35" s="1">
        <v>346</v>
      </c>
      <c r="G35" s="8">
        <v>0.4</v>
      </c>
      <c r="H35" s="1">
        <v>45</v>
      </c>
      <c r="I35" s="1" t="s">
        <v>37</v>
      </c>
      <c r="J35" s="1"/>
      <c r="K35" s="1">
        <v>341</v>
      </c>
      <c r="L35" s="1">
        <f t="shared" si="2"/>
        <v>-30</v>
      </c>
      <c r="M35" s="1"/>
      <c r="N35" s="1"/>
      <c r="O35" s="1">
        <v>132.79999999999981</v>
      </c>
      <c r="P35" s="1">
        <v>451.99999999999989</v>
      </c>
      <c r="Q35" s="1">
        <f t="shared" si="3"/>
        <v>62.2</v>
      </c>
      <c r="R35" s="5"/>
      <c r="S35" s="5"/>
      <c r="T35" s="1"/>
      <c r="U35" s="1"/>
      <c r="V35" s="1">
        <f t="shared" si="5"/>
        <v>14.964630225080381</v>
      </c>
      <c r="W35" s="1">
        <f t="shared" si="6"/>
        <v>14.964630225080381</v>
      </c>
      <c r="X35" s="1">
        <v>70</v>
      </c>
      <c r="Y35" s="1">
        <v>59</v>
      </c>
      <c r="Z35" s="1">
        <v>57.6</v>
      </c>
      <c r="AA35" s="1">
        <v>48.8</v>
      </c>
      <c r="AB35" s="1">
        <v>53.2</v>
      </c>
      <c r="AC35" s="1">
        <v>50.8</v>
      </c>
      <c r="AD35" s="1">
        <v>58.8</v>
      </c>
      <c r="AE35" s="1">
        <v>61.2</v>
      </c>
      <c r="AF35" s="1"/>
      <c r="AG35" s="1">
        <f>G35*R35</f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42</v>
      </c>
      <c r="C36" s="1">
        <v>42</v>
      </c>
      <c r="D36" s="1">
        <v>83</v>
      </c>
      <c r="E36" s="1">
        <v>14</v>
      </c>
      <c r="F36" s="1">
        <v>70</v>
      </c>
      <c r="G36" s="8">
        <v>0.4</v>
      </c>
      <c r="H36" s="1">
        <v>40</v>
      </c>
      <c r="I36" s="1" t="s">
        <v>37</v>
      </c>
      <c r="J36" s="1"/>
      <c r="K36" s="1">
        <v>14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2.8</v>
      </c>
      <c r="R36" s="5"/>
      <c r="S36" s="5"/>
      <c r="T36" s="1"/>
      <c r="U36" s="1"/>
      <c r="V36" s="1">
        <f t="shared" si="5"/>
        <v>25</v>
      </c>
      <c r="W36" s="1">
        <f t="shared" si="6"/>
        <v>25</v>
      </c>
      <c r="X36" s="1">
        <v>2.8</v>
      </c>
      <c r="Y36" s="1">
        <v>6</v>
      </c>
      <c r="Z36" s="1">
        <v>7.8</v>
      </c>
      <c r="AA36" s="1">
        <v>9</v>
      </c>
      <c r="AB36" s="1">
        <v>6.8</v>
      </c>
      <c r="AC36" s="1">
        <v>0.6</v>
      </c>
      <c r="AD36" s="1">
        <v>0</v>
      </c>
      <c r="AE36" s="1">
        <v>0</v>
      </c>
      <c r="AF36" s="17" t="s">
        <v>114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75</v>
      </c>
      <c r="B37" s="12" t="s">
        <v>36</v>
      </c>
      <c r="C37" s="12"/>
      <c r="D37" s="12"/>
      <c r="E37" s="12"/>
      <c r="F37" s="12"/>
      <c r="G37" s="13">
        <v>0</v>
      </c>
      <c r="H37" s="12">
        <v>45</v>
      </c>
      <c r="I37" s="12" t="s">
        <v>37</v>
      </c>
      <c r="J37" s="12"/>
      <c r="K37" s="12"/>
      <c r="L37" s="12">
        <f t="shared" si="2"/>
        <v>0</v>
      </c>
      <c r="M37" s="12"/>
      <c r="N37" s="12"/>
      <c r="O37" s="12">
        <v>0</v>
      </c>
      <c r="P37" s="12">
        <v>0</v>
      </c>
      <c r="Q37" s="12">
        <f t="shared" si="3"/>
        <v>0</v>
      </c>
      <c r="R37" s="14"/>
      <c r="S37" s="14"/>
      <c r="T37" s="12"/>
      <c r="U37" s="12"/>
      <c r="V37" s="12" t="e">
        <f t="shared" si="5"/>
        <v>#DIV/0!</v>
      </c>
      <c r="W37" s="12" t="e">
        <f t="shared" si="6"/>
        <v>#DIV/0!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45</v>
      </c>
      <c r="AG37" s="12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42</v>
      </c>
      <c r="C38" s="1">
        <v>101</v>
      </c>
      <c r="D38" s="1">
        <v>5</v>
      </c>
      <c r="E38" s="1">
        <v>43</v>
      </c>
      <c r="F38" s="1">
        <v>51</v>
      </c>
      <c r="G38" s="8">
        <v>0.1</v>
      </c>
      <c r="H38" s="1">
        <v>730</v>
      </c>
      <c r="I38" s="1" t="s">
        <v>37</v>
      </c>
      <c r="J38" s="1"/>
      <c r="K38" s="1">
        <v>43</v>
      </c>
      <c r="L38" s="1">
        <f t="shared" ref="L38:L69" si="10">E38-K38</f>
        <v>0</v>
      </c>
      <c r="M38" s="1"/>
      <c r="N38" s="1"/>
      <c r="O38" s="1">
        <v>0</v>
      </c>
      <c r="P38" s="1">
        <v>0</v>
      </c>
      <c r="Q38" s="1">
        <f t="shared" si="3"/>
        <v>8.6</v>
      </c>
      <c r="R38" s="5">
        <f t="shared" ref="R38:R51" si="11">12*Q38-P38-O38-F38</f>
        <v>52.199999999999989</v>
      </c>
      <c r="S38" s="5"/>
      <c r="T38" s="1"/>
      <c r="U38" s="1"/>
      <c r="V38" s="1">
        <f t="shared" si="5"/>
        <v>12</v>
      </c>
      <c r="W38" s="1">
        <f t="shared" si="6"/>
        <v>5.9302325581395348</v>
      </c>
      <c r="X38" s="1">
        <v>5.8</v>
      </c>
      <c r="Y38" s="1">
        <v>5.8</v>
      </c>
      <c r="Z38" s="1">
        <v>8.6</v>
      </c>
      <c r="AA38" s="1">
        <v>11</v>
      </c>
      <c r="AB38" s="1">
        <v>8.4</v>
      </c>
      <c r="AC38" s="1">
        <v>11.2</v>
      </c>
      <c r="AD38" s="1">
        <v>17.2</v>
      </c>
      <c r="AE38" s="1">
        <v>9.1999999999999993</v>
      </c>
      <c r="AF38" s="1"/>
      <c r="AG38" s="1">
        <f>G38*R38</f>
        <v>5.2199999999999989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42</v>
      </c>
      <c r="C39" s="1">
        <v>224</v>
      </c>
      <c r="D39" s="1">
        <v>209</v>
      </c>
      <c r="E39" s="1">
        <v>161</v>
      </c>
      <c r="F39" s="1">
        <v>136</v>
      </c>
      <c r="G39" s="8">
        <v>0.35</v>
      </c>
      <c r="H39" s="1">
        <v>40</v>
      </c>
      <c r="I39" s="1" t="s">
        <v>37</v>
      </c>
      <c r="J39" s="1"/>
      <c r="K39" s="1">
        <v>164</v>
      </c>
      <c r="L39" s="1">
        <f t="shared" si="10"/>
        <v>-3</v>
      </c>
      <c r="M39" s="1"/>
      <c r="N39" s="1"/>
      <c r="O39" s="1">
        <v>49.200000000000053</v>
      </c>
      <c r="P39" s="1">
        <v>122.4</v>
      </c>
      <c r="Q39" s="1">
        <f t="shared" si="3"/>
        <v>32.200000000000003</v>
      </c>
      <c r="R39" s="5">
        <f t="shared" si="11"/>
        <v>78.799999999999955</v>
      </c>
      <c r="S39" s="5"/>
      <c r="T39" s="1"/>
      <c r="U39" s="1"/>
      <c r="V39" s="1">
        <f t="shared" si="5"/>
        <v>11.999999999999998</v>
      </c>
      <c r="W39" s="1">
        <f t="shared" si="6"/>
        <v>9.5527950310559007</v>
      </c>
      <c r="X39" s="1">
        <v>31</v>
      </c>
      <c r="Y39" s="1">
        <v>28.8</v>
      </c>
      <c r="Z39" s="1">
        <v>30.4</v>
      </c>
      <c r="AA39" s="1">
        <v>26</v>
      </c>
      <c r="AB39" s="1">
        <v>36.6</v>
      </c>
      <c r="AC39" s="1">
        <v>30.2</v>
      </c>
      <c r="AD39" s="1">
        <v>14.8</v>
      </c>
      <c r="AE39" s="1">
        <v>20.6</v>
      </c>
      <c r="AF39" s="1" t="s">
        <v>39</v>
      </c>
      <c r="AG39" s="1">
        <f>G39*R39</f>
        <v>27.579999999999984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36</v>
      </c>
      <c r="C40" s="1">
        <v>77.296000000000006</v>
      </c>
      <c r="D40" s="1">
        <v>148.071</v>
      </c>
      <c r="E40" s="1">
        <v>82.352999999999994</v>
      </c>
      <c r="F40" s="1">
        <v>80.55</v>
      </c>
      <c r="G40" s="8">
        <v>1</v>
      </c>
      <c r="H40" s="1">
        <v>40</v>
      </c>
      <c r="I40" s="1" t="s">
        <v>37</v>
      </c>
      <c r="J40" s="1"/>
      <c r="K40" s="1">
        <v>95.4</v>
      </c>
      <c r="L40" s="1">
        <f t="shared" si="10"/>
        <v>-13.047000000000011</v>
      </c>
      <c r="M40" s="1"/>
      <c r="N40" s="1"/>
      <c r="O40" s="1">
        <v>98.970600000000005</v>
      </c>
      <c r="P40" s="1">
        <v>0</v>
      </c>
      <c r="Q40" s="1">
        <f t="shared" si="3"/>
        <v>16.470599999999997</v>
      </c>
      <c r="R40" s="5">
        <f t="shared" si="11"/>
        <v>18.126599999999968</v>
      </c>
      <c r="S40" s="5"/>
      <c r="T40" s="1"/>
      <c r="U40" s="1"/>
      <c r="V40" s="1">
        <f t="shared" si="5"/>
        <v>12</v>
      </c>
      <c r="W40" s="1">
        <f t="shared" si="6"/>
        <v>10.89945721467342</v>
      </c>
      <c r="X40" s="1">
        <v>18.725200000000001</v>
      </c>
      <c r="Y40" s="1">
        <v>21.203600000000002</v>
      </c>
      <c r="Z40" s="1">
        <v>18.925999999999998</v>
      </c>
      <c r="AA40" s="1">
        <v>18.822399999999998</v>
      </c>
      <c r="AB40" s="1">
        <v>18.551200000000001</v>
      </c>
      <c r="AC40" s="1">
        <v>16.038399999999999</v>
      </c>
      <c r="AD40" s="1">
        <v>14.5976</v>
      </c>
      <c r="AE40" s="1">
        <v>13.2904</v>
      </c>
      <c r="AF40" s="1"/>
      <c r="AG40" s="1">
        <f>G40*R40</f>
        <v>18.126599999999968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42</v>
      </c>
      <c r="C41" s="1">
        <v>135</v>
      </c>
      <c r="D41" s="1">
        <v>10</v>
      </c>
      <c r="E41" s="1">
        <v>112</v>
      </c>
      <c r="F41" s="1">
        <v>29</v>
      </c>
      <c r="G41" s="8">
        <v>0.4</v>
      </c>
      <c r="H41" s="1">
        <v>40</v>
      </c>
      <c r="I41" s="1" t="s">
        <v>37</v>
      </c>
      <c r="J41" s="1"/>
      <c r="K41" s="1">
        <v>112</v>
      </c>
      <c r="L41" s="1">
        <f t="shared" si="10"/>
        <v>0</v>
      </c>
      <c r="M41" s="1"/>
      <c r="N41" s="1"/>
      <c r="O41" s="1">
        <v>84.999999999999972</v>
      </c>
      <c r="P41" s="1">
        <v>129.80000000000001</v>
      </c>
      <c r="Q41" s="1">
        <f t="shared" si="3"/>
        <v>22.4</v>
      </c>
      <c r="R41" s="5">
        <f t="shared" si="11"/>
        <v>24.999999999999972</v>
      </c>
      <c r="S41" s="5"/>
      <c r="T41" s="1"/>
      <c r="U41" s="1"/>
      <c r="V41" s="1">
        <f t="shared" si="5"/>
        <v>11.999999999999998</v>
      </c>
      <c r="W41" s="1">
        <f t="shared" si="6"/>
        <v>10.883928571428571</v>
      </c>
      <c r="X41" s="1">
        <v>23.6</v>
      </c>
      <c r="Y41" s="1">
        <v>18.399999999999999</v>
      </c>
      <c r="Z41" s="1">
        <v>14.8</v>
      </c>
      <c r="AA41" s="1">
        <v>13</v>
      </c>
      <c r="AB41" s="1">
        <v>22.6</v>
      </c>
      <c r="AC41" s="1">
        <v>17.600000000000001</v>
      </c>
      <c r="AD41" s="1">
        <v>11.2</v>
      </c>
      <c r="AE41" s="1">
        <v>14.2</v>
      </c>
      <c r="AF41" s="1"/>
      <c r="AG41" s="1">
        <f>G41*R41</f>
        <v>9.9999999999999893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42</v>
      </c>
      <c r="C42" s="1">
        <v>276</v>
      </c>
      <c r="D42" s="1">
        <v>232</v>
      </c>
      <c r="E42" s="1">
        <v>272</v>
      </c>
      <c r="F42" s="1">
        <v>184</v>
      </c>
      <c r="G42" s="8">
        <v>0.4</v>
      </c>
      <c r="H42" s="1">
        <v>45</v>
      </c>
      <c r="I42" s="1" t="s">
        <v>37</v>
      </c>
      <c r="J42" s="1"/>
      <c r="K42" s="1">
        <v>272</v>
      </c>
      <c r="L42" s="1">
        <f t="shared" si="10"/>
        <v>0</v>
      </c>
      <c r="M42" s="1"/>
      <c r="N42" s="1"/>
      <c r="O42" s="1">
        <v>68.800000000000026</v>
      </c>
      <c r="P42" s="1">
        <v>443.04</v>
      </c>
      <c r="Q42" s="1">
        <f t="shared" si="3"/>
        <v>54.4</v>
      </c>
      <c r="R42" s="5"/>
      <c r="S42" s="5"/>
      <c r="T42" s="1"/>
      <c r="U42" s="1"/>
      <c r="V42" s="1">
        <f t="shared" si="5"/>
        <v>12.791176470588237</v>
      </c>
      <c r="W42" s="1">
        <f t="shared" si="6"/>
        <v>12.791176470588237</v>
      </c>
      <c r="X42" s="1">
        <v>50.4</v>
      </c>
      <c r="Y42" s="1">
        <v>39.200000000000003</v>
      </c>
      <c r="Z42" s="1">
        <v>36.6</v>
      </c>
      <c r="AA42" s="1">
        <v>28.2</v>
      </c>
      <c r="AB42" s="1">
        <v>40.200000000000003</v>
      </c>
      <c r="AC42" s="1">
        <v>21.2</v>
      </c>
      <c r="AD42" s="1">
        <v>12.8</v>
      </c>
      <c r="AE42" s="1">
        <v>33.6</v>
      </c>
      <c r="AF42" s="1"/>
      <c r="AG42" s="1">
        <f>G42*R42</f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36</v>
      </c>
      <c r="C43" s="1">
        <v>37.36</v>
      </c>
      <c r="D43" s="1">
        <v>134.52500000000001</v>
      </c>
      <c r="E43" s="1">
        <v>67.849999999999994</v>
      </c>
      <c r="F43" s="1">
        <v>66.661000000000001</v>
      </c>
      <c r="G43" s="8">
        <v>1</v>
      </c>
      <c r="H43" s="1">
        <v>40</v>
      </c>
      <c r="I43" s="1" t="s">
        <v>37</v>
      </c>
      <c r="J43" s="1"/>
      <c r="K43" s="1">
        <v>78.8</v>
      </c>
      <c r="L43" s="1">
        <f t="shared" si="10"/>
        <v>-10.950000000000003</v>
      </c>
      <c r="M43" s="1"/>
      <c r="N43" s="1"/>
      <c r="O43" s="1">
        <v>73.007399999999947</v>
      </c>
      <c r="P43" s="1">
        <v>0</v>
      </c>
      <c r="Q43" s="1">
        <f t="shared" si="3"/>
        <v>13.569999999999999</v>
      </c>
      <c r="R43" s="5">
        <f t="shared" si="11"/>
        <v>23.171600000000026</v>
      </c>
      <c r="S43" s="5"/>
      <c r="T43" s="1"/>
      <c r="U43" s="1"/>
      <c r="V43" s="1">
        <f t="shared" si="5"/>
        <v>12</v>
      </c>
      <c r="W43" s="1">
        <f t="shared" si="6"/>
        <v>10.292439204126749</v>
      </c>
      <c r="X43" s="1">
        <v>14.661</v>
      </c>
      <c r="Y43" s="1">
        <v>17.441400000000002</v>
      </c>
      <c r="Z43" s="1">
        <v>16.0746</v>
      </c>
      <c r="AA43" s="1">
        <v>14.2468</v>
      </c>
      <c r="AB43" s="1">
        <v>12.8028</v>
      </c>
      <c r="AC43" s="1">
        <v>13.9732</v>
      </c>
      <c r="AD43" s="1">
        <v>14.8506</v>
      </c>
      <c r="AE43" s="1">
        <v>12.0688</v>
      </c>
      <c r="AF43" s="1"/>
      <c r="AG43" s="1">
        <f>G43*R43</f>
        <v>23.171600000000026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42</v>
      </c>
      <c r="C44" s="1">
        <v>266</v>
      </c>
      <c r="D44" s="1">
        <v>202</v>
      </c>
      <c r="E44" s="1">
        <v>177</v>
      </c>
      <c r="F44" s="1">
        <v>84</v>
      </c>
      <c r="G44" s="8">
        <v>0.35</v>
      </c>
      <c r="H44" s="1">
        <v>40</v>
      </c>
      <c r="I44" s="1" t="s">
        <v>37</v>
      </c>
      <c r="J44" s="1"/>
      <c r="K44" s="1">
        <v>178</v>
      </c>
      <c r="L44" s="1">
        <f t="shared" si="10"/>
        <v>-1</v>
      </c>
      <c r="M44" s="1"/>
      <c r="N44" s="1"/>
      <c r="O44" s="1">
        <v>167.6</v>
      </c>
      <c r="P44" s="1">
        <v>73.799999999999983</v>
      </c>
      <c r="Q44" s="1">
        <f t="shared" si="3"/>
        <v>35.4</v>
      </c>
      <c r="R44" s="5">
        <f t="shared" si="11"/>
        <v>99.4</v>
      </c>
      <c r="S44" s="5"/>
      <c r="T44" s="1"/>
      <c r="U44" s="1"/>
      <c r="V44" s="1">
        <f t="shared" si="5"/>
        <v>12</v>
      </c>
      <c r="W44" s="1">
        <f t="shared" si="6"/>
        <v>9.1920903954802249</v>
      </c>
      <c r="X44" s="1">
        <v>36.4</v>
      </c>
      <c r="Y44" s="1">
        <v>34.799999999999997</v>
      </c>
      <c r="Z44" s="1">
        <v>30.2</v>
      </c>
      <c r="AA44" s="1">
        <v>30.2</v>
      </c>
      <c r="AB44" s="1">
        <v>44.4</v>
      </c>
      <c r="AC44" s="1">
        <v>40.799999999999997</v>
      </c>
      <c r="AD44" s="1">
        <v>33.200000000000003</v>
      </c>
      <c r="AE44" s="1">
        <v>25.6</v>
      </c>
      <c r="AF44" s="1" t="s">
        <v>51</v>
      </c>
      <c r="AG44" s="1">
        <f>G44*R44</f>
        <v>34.79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42</v>
      </c>
      <c r="C45" s="1">
        <v>283</v>
      </c>
      <c r="D45" s="1">
        <v>456</v>
      </c>
      <c r="E45" s="1">
        <v>334</v>
      </c>
      <c r="F45" s="1">
        <v>207</v>
      </c>
      <c r="G45" s="8">
        <v>0.4</v>
      </c>
      <c r="H45" s="1">
        <v>40</v>
      </c>
      <c r="I45" s="1" t="s">
        <v>37</v>
      </c>
      <c r="J45" s="1"/>
      <c r="K45" s="1">
        <v>341</v>
      </c>
      <c r="L45" s="1">
        <f t="shared" si="10"/>
        <v>-7</v>
      </c>
      <c r="M45" s="1"/>
      <c r="N45" s="1"/>
      <c r="O45" s="1">
        <v>45.000000000000107</v>
      </c>
      <c r="P45" s="1">
        <v>294.99999999999989</v>
      </c>
      <c r="Q45" s="1">
        <f t="shared" si="3"/>
        <v>66.8</v>
      </c>
      <c r="R45" s="5">
        <f t="shared" si="11"/>
        <v>254.59999999999991</v>
      </c>
      <c r="S45" s="5"/>
      <c r="T45" s="1"/>
      <c r="U45" s="1"/>
      <c r="V45" s="1">
        <f t="shared" si="5"/>
        <v>12</v>
      </c>
      <c r="W45" s="1">
        <f t="shared" si="6"/>
        <v>8.1886227544910177</v>
      </c>
      <c r="X45" s="1">
        <v>59.4</v>
      </c>
      <c r="Y45" s="1">
        <v>47.2</v>
      </c>
      <c r="Z45" s="1">
        <v>55.4</v>
      </c>
      <c r="AA45" s="1">
        <v>55.4</v>
      </c>
      <c r="AB45" s="1">
        <v>56.6</v>
      </c>
      <c r="AC45" s="1">
        <v>52.4</v>
      </c>
      <c r="AD45" s="1">
        <v>50.6</v>
      </c>
      <c r="AE45" s="1">
        <v>48</v>
      </c>
      <c r="AF45" s="1" t="s">
        <v>39</v>
      </c>
      <c r="AG45" s="1">
        <f>G45*R45</f>
        <v>101.83999999999997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36</v>
      </c>
      <c r="C46" s="1">
        <v>32.255000000000003</v>
      </c>
      <c r="D46" s="1">
        <v>54.148000000000003</v>
      </c>
      <c r="E46" s="1">
        <v>30.972000000000001</v>
      </c>
      <c r="F46" s="1">
        <v>35.213000000000001</v>
      </c>
      <c r="G46" s="8">
        <v>1</v>
      </c>
      <c r="H46" s="1">
        <v>50</v>
      </c>
      <c r="I46" s="1" t="s">
        <v>37</v>
      </c>
      <c r="J46" s="1"/>
      <c r="K46" s="1">
        <v>31.3</v>
      </c>
      <c r="L46" s="1">
        <f t="shared" si="10"/>
        <v>-0.3279999999999994</v>
      </c>
      <c r="M46" s="1"/>
      <c r="N46" s="1"/>
      <c r="O46" s="1">
        <v>27.116399999999981</v>
      </c>
      <c r="P46" s="1">
        <v>7.2599999999999909</v>
      </c>
      <c r="Q46" s="1">
        <f t="shared" si="3"/>
        <v>6.1943999999999999</v>
      </c>
      <c r="R46" s="5">
        <f t="shared" si="11"/>
        <v>4.7434000000000154</v>
      </c>
      <c r="S46" s="5"/>
      <c r="T46" s="1"/>
      <c r="U46" s="1"/>
      <c r="V46" s="1">
        <f t="shared" si="5"/>
        <v>11.999999999999998</v>
      </c>
      <c r="W46" s="1">
        <f t="shared" si="6"/>
        <v>11.234243833139605</v>
      </c>
      <c r="X46" s="1">
        <v>6.4640000000000004</v>
      </c>
      <c r="Y46" s="1">
        <v>6.1959999999999997</v>
      </c>
      <c r="Z46" s="1">
        <v>5.8084000000000007</v>
      </c>
      <c r="AA46" s="1">
        <v>5.3073999999999986</v>
      </c>
      <c r="AB46" s="1">
        <v>4.9085999999999999</v>
      </c>
      <c r="AC46" s="1">
        <v>5.6554000000000002</v>
      </c>
      <c r="AD46" s="1">
        <v>5.3805999999999994</v>
      </c>
      <c r="AE46" s="1">
        <v>4.0739999999999998</v>
      </c>
      <c r="AF46" s="1"/>
      <c r="AG46" s="1">
        <f>G46*R46</f>
        <v>4.7434000000000154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36</v>
      </c>
      <c r="C47" s="1">
        <v>76.311999999999998</v>
      </c>
      <c r="D47" s="1">
        <v>170.65799999999999</v>
      </c>
      <c r="E47" s="1">
        <v>79.522000000000006</v>
      </c>
      <c r="F47" s="1">
        <v>94.531000000000006</v>
      </c>
      <c r="G47" s="8">
        <v>1</v>
      </c>
      <c r="H47" s="1">
        <v>50</v>
      </c>
      <c r="I47" s="1" t="s">
        <v>37</v>
      </c>
      <c r="J47" s="1"/>
      <c r="K47" s="1">
        <v>77.849999999999994</v>
      </c>
      <c r="L47" s="1">
        <f t="shared" si="10"/>
        <v>1.6720000000000113</v>
      </c>
      <c r="M47" s="1"/>
      <c r="N47" s="1"/>
      <c r="O47" s="1">
        <v>63.795800000000007</v>
      </c>
      <c r="P47" s="1">
        <v>9.9279999999999831</v>
      </c>
      <c r="Q47" s="1">
        <f t="shared" si="3"/>
        <v>15.904400000000001</v>
      </c>
      <c r="R47" s="5">
        <f t="shared" si="11"/>
        <v>22.597999999999985</v>
      </c>
      <c r="S47" s="5"/>
      <c r="T47" s="1"/>
      <c r="U47" s="1"/>
      <c r="V47" s="1">
        <f t="shared" si="5"/>
        <v>11.999999999999998</v>
      </c>
      <c r="W47" s="1">
        <f t="shared" si="6"/>
        <v>10.579135333618369</v>
      </c>
      <c r="X47" s="1">
        <v>18.180399999999999</v>
      </c>
      <c r="Y47" s="1">
        <v>18.5212</v>
      </c>
      <c r="Z47" s="1">
        <v>19.061599999999999</v>
      </c>
      <c r="AA47" s="1">
        <v>19.158799999999999</v>
      </c>
      <c r="AB47" s="1">
        <v>17.422999999999998</v>
      </c>
      <c r="AC47" s="1">
        <v>17.433199999999999</v>
      </c>
      <c r="AD47" s="1">
        <v>14.489599999999999</v>
      </c>
      <c r="AE47" s="1">
        <v>14.255599999999999</v>
      </c>
      <c r="AF47" s="1"/>
      <c r="AG47" s="1">
        <f>G47*R47</f>
        <v>22.597999999999985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36</v>
      </c>
      <c r="C48" s="1">
        <v>108.974</v>
      </c>
      <c r="D48" s="1">
        <v>186.27099999999999</v>
      </c>
      <c r="E48" s="1">
        <v>112.99</v>
      </c>
      <c r="F48" s="1">
        <v>117.861</v>
      </c>
      <c r="G48" s="8">
        <v>1</v>
      </c>
      <c r="H48" s="1">
        <v>40</v>
      </c>
      <c r="I48" s="1" t="s">
        <v>37</v>
      </c>
      <c r="J48" s="1"/>
      <c r="K48" s="1">
        <v>96.4</v>
      </c>
      <c r="L48" s="1">
        <f t="shared" si="10"/>
        <v>16.589999999999989</v>
      </c>
      <c r="M48" s="1"/>
      <c r="N48" s="1"/>
      <c r="O48" s="1">
        <v>0</v>
      </c>
      <c r="P48" s="1">
        <v>99.714400000000012</v>
      </c>
      <c r="Q48" s="1">
        <f t="shared" si="3"/>
        <v>22.597999999999999</v>
      </c>
      <c r="R48" s="5">
        <f t="shared" si="11"/>
        <v>53.600599999999972</v>
      </c>
      <c r="S48" s="5"/>
      <c r="T48" s="1"/>
      <c r="U48" s="1"/>
      <c r="V48" s="1">
        <f t="shared" si="5"/>
        <v>12</v>
      </c>
      <c r="W48" s="1">
        <f t="shared" si="6"/>
        <v>9.628082131162051</v>
      </c>
      <c r="X48" s="1">
        <v>22.935400000000001</v>
      </c>
      <c r="Y48" s="1">
        <v>15.862</v>
      </c>
      <c r="Z48" s="1">
        <v>15.1358</v>
      </c>
      <c r="AA48" s="1">
        <v>26.546399999999998</v>
      </c>
      <c r="AB48" s="1">
        <v>29.293399999999998</v>
      </c>
      <c r="AC48" s="1">
        <v>19.555399999999999</v>
      </c>
      <c r="AD48" s="1">
        <v>17.773599999999998</v>
      </c>
      <c r="AE48" s="1">
        <v>23.061800000000002</v>
      </c>
      <c r="AF48" s="1"/>
      <c r="AG48" s="1">
        <f>G48*R48</f>
        <v>53.600599999999972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42</v>
      </c>
      <c r="C49" s="1">
        <v>265</v>
      </c>
      <c r="D49" s="1">
        <v>95</v>
      </c>
      <c r="E49" s="1">
        <v>199</v>
      </c>
      <c r="F49" s="1">
        <v>45</v>
      </c>
      <c r="G49" s="8">
        <v>0.45</v>
      </c>
      <c r="H49" s="1">
        <v>50</v>
      </c>
      <c r="I49" s="1" t="s">
        <v>37</v>
      </c>
      <c r="J49" s="1"/>
      <c r="K49" s="1">
        <v>207</v>
      </c>
      <c r="L49" s="1">
        <f t="shared" si="10"/>
        <v>-8</v>
      </c>
      <c r="M49" s="1"/>
      <c r="N49" s="1"/>
      <c r="O49" s="1">
        <v>87.799999999999955</v>
      </c>
      <c r="P49" s="1">
        <v>265.2</v>
      </c>
      <c r="Q49" s="1">
        <f t="shared" si="3"/>
        <v>39.799999999999997</v>
      </c>
      <c r="R49" s="5">
        <f t="shared" si="11"/>
        <v>79.600000000000023</v>
      </c>
      <c r="S49" s="5"/>
      <c r="T49" s="1"/>
      <c r="U49" s="1"/>
      <c r="V49" s="1">
        <f t="shared" si="5"/>
        <v>12</v>
      </c>
      <c r="W49" s="1">
        <f t="shared" si="6"/>
        <v>10</v>
      </c>
      <c r="X49" s="1">
        <v>43.6</v>
      </c>
      <c r="Y49" s="1">
        <v>28.4</v>
      </c>
      <c r="Z49" s="1">
        <v>26.2</v>
      </c>
      <c r="AA49" s="1">
        <v>22.6</v>
      </c>
      <c r="AB49" s="1">
        <v>37.799999999999997</v>
      </c>
      <c r="AC49" s="1">
        <v>31</v>
      </c>
      <c r="AD49" s="1">
        <v>25.6</v>
      </c>
      <c r="AE49" s="1">
        <v>31</v>
      </c>
      <c r="AF49" s="1"/>
      <c r="AG49" s="1">
        <f>G49*R49</f>
        <v>35.820000000000014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42</v>
      </c>
      <c r="C50" s="1">
        <v>111</v>
      </c>
      <c r="D50" s="1">
        <v>48</v>
      </c>
      <c r="E50" s="1">
        <v>95</v>
      </c>
      <c r="F50" s="1">
        <v>45</v>
      </c>
      <c r="G50" s="8">
        <v>0.4</v>
      </c>
      <c r="H50" s="1">
        <v>40</v>
      </c>
      <c r="I50" s="1" t="s">
        <v>37</v>
      </c>
      <c r="J50" s="1"/>
      <c r="K50" s="1">
        <v>142</v>
      </c>
      <c r="L50" s="1">
        <f t="shared" si="10"/>
        <v>-47</v>
      </c>
      <c r="M50" s="1"/>
      <c r="N50" s="1"/>
      <c r="O50" s="1">
        <v>58.200000000000017</v>
      </c>
      <c r="P50" s="1">
        <v>165.8</v>
      </c>
      <c r="Q50" s="1">
        <f t="shared" si="3"/>
        <v>19</v>
      </c>
      <c r="R50" s="5"/>
      <c r="S50" s="5"/>
      <c r="T50" s="1"/>
      <c r="U50" s="1"/>
      <c r="V50" s="1">
        <f t="shared" si="5"/>
        <v>14.157894736842104</v>
      </c>
      <c r="W50" s="1">
        <f t="shared" si="6"/>
        <v>14.157894736842104</v>
      </c>
      <c r="X50" s="1">
        <v>27.2</v>
      </c>
      <c r="Y50" s="1">
        <v>17.600000000000001</v>
      </c>
      <c r="Z50" s="1">
        <v>17</v>
      </c>
      <c r="AA50" s="1">
        <v>17.399999999999999</v>
      </c>
      <c r="AB50" s="1">
        <v>21</v>
      </c>
      <c r="AC50" s="1">
        <v>12.4</v>
      </c>
      <c r="AD50" s="1">
        <v>5.4</v>
      </c>
      <c r="AE50" s="1">
        <v>5.6</v>
      </c>
      <c r="AF50" s="1"/>
      <c r="AG50" s="1">
        <f>G50*R50</f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42</v>
      </c>
      <c r="C51" s="1"/>
      <c r="D51" s="1">
        <v>233</v>
      </c>
      <c r="E51" s="1">
        <v>-6</v>
      </c>
      <c r="F51" s="1">
        <v>201</v>
      </c>
      <c r="G51" s="8">
        <v>0.4</v>
      </c>
      <c r="H51" s="1">
        <v>40</v>
      </c>
      <c r="I51" s="1" t="s">
        <v>37</v>
      </c>
      <c r="J51" s="1"/>
      <c r="K51" s="1">
        <v>15</v>
      </c>
      <c r="L51" s="1">
        <f t="shared" si="10"/>
        <v>-21</v>
      </c>
      <c r="M51" s="1"/>
      <c r="N51" s="1"/>
      <c r="O51" s="1">
        <v>106.8</v>
      </c>
      <c r="P51" s="1">
        <v>0</v>
      </c>
      <c r="Q51" s="1">
        <f t="shared" si="3"/>
        <v>-1.2</v>
      </c>
      <c r="R51" s="5"/>
      <c r="S51" s="5"/>
      <c r="T51" s="1"/>
      <c r="U51" s="1"/>
      <c r="V51" s="1">
        <f t="shared" si="5"/>
        <v>-256.5</v>
      </c>
      <c r="W51" s="1">
        <f t="shared" si="6"/>
        <v>-256.5</v>
      </c>
      <c r="X51" s="1">
        <v>-0.8</v>
      </c>
      <c r="Y51" s="1">
        <v>25.8</v>
      </c>
      <c r="Z51" s="1">
        <v>33.799999999999997</v>
      </c>
      <c r="AA51" s="1">
        <v>10.6</v>
      </c>
      <c r="AB51" s="1">
        <v>8.6</v>
      </c>
      <c r="AC51" s="1">
        <v>15.6</v>
      </c>
      <c r="AD51" s="1">
        <v>17</v>
      </c>
      <c r="AE51" s="1">
        <v>14.4</v>
      </c>
      <c r="AF51" s="1" t="s">
        <v>51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2" t="s">
        <v>90</v>
      </c>
      <c r="B52" s="12" t="s">
        <v>36</v>
      </c>
      <c r="C52" s="12"/>
      <c r="D52" s="12"/>
      <c r="E52" s="12"/>
      <c r="F52" s="12"/>
      <c r="G52" s="13">
        <v>0</v>
      </c>
      <c r="H52" s="12">
        <v>50</v>
      </c>
      <c r="I52" s="12" t="s">
        <v>37</v>
      </c>
      <c r="J52" s="12"/>
      <c r="K52" s="12"/>
      <c r="L52" s="12">
        <f t="shared" si="10"/>
        <v>0</v>
      </c>
      <c r="M52" s="12"/>
      <c r="N52" s="12"/>
      <c r="O52" s="12">
        <v>0</v>
      </c>
      <c r="P52" s="12">
        <v>0</v>
      </c>
      <c r="Q52" s="12">
        <f t="shared" si="3"/>
        <v>0</v>
      </c>
      <c r="R52" s="14"/>
      <c r="S52" s="14"/>
      <c r="T52" s="12"/>
      <c r="U52" s="12"/>
      <c r="V52" s="12" t="e">
        <f t="shared" si="5"/>
        <v>#DIV/0!</v>
      </c>
      <c r="W52" s="12" t="e">
        <f t="shared" si="6"/>
        <v>#DIV/0!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 t="s">
        <v>45</v>
      </c>
      <c r="AG52" s="1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91</v>
      </c>
      <c r="B53" s="1" t="s">
        <v>42</v>
      </c>
      <c r="C53" s="1">
        <v>89</v>
      </c>
      <c r="D53" s="1">
        <v>2</v>
      </c>
      <c r="E53" s="1">
        <v>40</v>
      </c>
      <c r="F53" s="1">
        <v>47</v>
      </c>
      <c r="G53" s="8">
        <v>0.1</v>
      </c>
      <c r="H53" s="1">
        <v>730</v>
      </c>
      <c r="I53" s="1" t="s">
        <v>37</v>
      </c>
      <c r="J53" s="1"/>
      <c r="K53" s="1">
        <v>40</v>
      </c>
      <c r="L53" s="1">
        <f t="shared" si="10"/>
        <v>0</v>
      </c>
      <c r="M53" s="1"/>
      <c r="N53" s="1"/>
      <c r="O53" s="1">
        <v>0</v>
      </c>
      <c r="P53" s="1">
        <v>0</v>
      </c>
      <c r="Q53" s="1">
        <f t="shared" si="3"/>
        <v>8</v>
      </c>
      <c r="R53" s="5">
        <f t="shared" ref="R53:R65" si="12">12*Q53-P53-O53-F53</f>
        <v>49</v>
      </c>
      <c r="S53" s="5"/>
      <c r="T53" s="1"/>
      <c r="U53" s="1"/>
      <c r="V53" s="1">
        <f t="shared" si="5"/>
        <v>12</v>
      </c>
      <c r="W53" s="1">
        <f t="shared" si="6"/>
        <v>5.875</v>
      </c>
      <c r="X53" s="1">
        <v>5.6</v>
      </c>
      <c r="Y53" s="1">
        <v>6.4</v>
      </c>
      <c r="Z53" s="1">
        <v>8.1999999999999993</v>
      </c>
      <c r="AA53" s="1">
        <v>8.8000000000000007</v>
      </c>
      <c r="AB53" s="1">
        <v>7</v>
      </c>
      <c r="AC53" s="1">
        <v>10</v>
      </c>
      <c r="AD53" s="1">
        <v>15</v>
      </c>
      <c r="AE53" s="1">
        <v>7.6</v>
      </c>
      <c r="AF53" s="1"/>
      <c r="AG53" s="1">
        <f>G53*R53</f>
        <v>4.9000000000000004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36</v>
      </c>
      <c r="C54" s="1">
        <v>145.18299999999999</v>
      </c>
      <c r="D54" s="1">
        <v>24.396000000000001</v>
      </c>
      <c r="E54" s="1">
        <v>55.44</v>
      </c>
      <c r="F54" s="1">
        <v>88.602000000000004</v>
      </c>
      <c r="G54" s="8">
        <v>1</v>
      </c>
      <c r="H54" s="1">
        <v>50</v>
      </c>
      <c r="I54" s="1" t="s">
        <v>37</v>
      </c>
      <c r="J54" s="1"/>
      <c r="K54" s="1">
        <v>55.2</v>
      </c>
      <c r="L54" s="1">
        <f t="shared" si="10"/>
        <v>0.23999999999999488</v>
      </c>
      <c r="M54" s="1"/>
      <c r="N54" s="1"/>
      <c r="O54" s="1">
        <v>62.751799999999967</v>
      </c>
      <c r="P54" s="1">
        <v>0</v>
      </c>
      <c r="Q54" s="1">
        <f t="shared" si="3"/>
        <v>11.087999999999999</v>
      </c>
      <c r="R54" s="5"/>
      <c r="S54" s="5"/>
      <c r="T54" s="1"/>
      <c r="U54" s="1"/>
      <c r="V54" s="1">
        <f t="shared" si="5"/>
        <v>13.650234487734487</v>
      </c>
      <c r="W54" s="1">
        <f t="shared" si="6"/>
        <v>13.650234487734487</v>
      </c>
      <c r="X54" s="1">
        <v>15.3454</v>
      </c>
      <c r="Y54" s="1">
        <v>16.656400000000001</v>
      </c>
      <c r="Z54" s="1">
        <v>12.8786</v>
      </c>
      <c r="AA54" s="1">
        <v>18.8232</v>
      </c>
      <c r="AB54" s="1">
        <v>21.261399999999998</v>
      </c>
      <c r="AC54" s="1">
        <v>16.172000000000001</v>
      </c>
      <c r="AD54" s="1">
        <v>13.966200000000001</v>
      </c>
      <c r="AE54" s="1">
        <v>11.992000000000001</v>
      </c>
      <c r="AF54" s="1"/>
      <c r="AG54" s="1">
        <f>G54*R54</f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93</v>
      </c>
      <c r="B55" s="1" t="s">
        <v>36</v>
      </c>
      <c r="C55" s="1">
        <v>20.166</v>
      </c>
      <c r="D55" s="1">
        <v>44.713000000000001</v>
      </c>
      <c r="E55" s="1">
        <v>16.155000000000001</v>
      </c>
      <c r="F55" s="1">
        <v>36.423000000000002</v>
      </c>
      <c r="G55" s="8">
        <v>1</v>
      </c>
      <c r="H55" s="1">
        <v>50</v>
      </c>
      <c r="I55" s="1" t="s">
        <v>37</v>
      </c>
      <c r="J55" s="1"/>
      <c r="K55" s="1">
        <v>16.149999999999999</v>
      </c>
      <c r="L55" s="1">
        <f t="shared" si="10"/>
        <v>5.000000000002558E-3</v>
      </c>
      <c r="M55" s="1"/>
      <c r="N55" s="1"/>
      <c r="O55" s="1">
        <v>0</v>
      </c>
      <c r="P55" s="1">
        <v>9.2836000000000034</v>
      </c>
      <c r="Q55" s="1">
        <f t="shared" si="3"/>
        <v>3.2310000000000003</v>
      </c>
      <c r="R55" s="5"/>
      <c r="S55" s="5"/>
      <c r="T55" s="1"/>
      <c r="U55" s="1"/>
      <c r="V55" s="1">
        <f t="shared" si="5"/>
        <v>14.146270504487775</v>
      </c>
      <c r="W55" s="1">
        <f t="shared" si="6"/>
        <v>14.146270504487775</v>
      </c>
      <c r="X55" s="1">
        <v>3.7675999999999998</v>
      </c>
      <c r="Y55" s="1">
        <v>3.2342</v>
      </c>
      <c r="Z55" s="1">
        <v>4.3137999999999996</v>
      </c>
      <c r="AA55" s="1">
        <v>4.5877999999999997</v>
      </c>
      <c r="AB55" s="1">
        <v>2.9767999999999999</v>
      </c>
      <c r="AC55" s="1">
        <v>4.3293999999999997</v>
      </c>
      <c r="AD55" s="1">
        <v>4.3230000000000004</v>
      </c>
      <c r="AE55" s="1">
        <v>1.3442000000000001</v>
      </c>
      <c r="AF55" s="1"/>
      <c r="AG55" s="1">
        <f>G55*R55</f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94</v>
      </c>
      <c r="B56" s="1" t="s">
        <v>42</v>
      </c>
      <c r="C56" s="1">
        <v>101</v>
      </c>
      <c r="D56" s="1"/>
      <c r="E56" s="1">
        <v>40</v>
      </c>
      <c r="F56" s="1">
        <v>59</v>
      </c>
      <c r="G56" s="8">
        <v>0.1</v>
      </c>
      <c r="H56" s="1">
        <v>730</v>
      </c>
      <c r="I56" s="1" t="s">
        <v>37</v>
      </c>
      <c r="J56" s="1"/>
      <c r="K56" s="1">
        <v>40</v>
      </c>
      <c r="L56" s="1">
        <f t="shared" si="10"/>
        <v>0</v>
      </c>
      <c r="M56" s="1"/>
      <c r="N56" s="1"/>
      <c r="O56" s="1">
        <v>0</v>
      </c>
      <c r="P56" s="1">
        <v>0</v>
      </c>
      <c r="Q56" s="1">
        <f t="shared" si="3"/>
        <v>8</v>
      </c>
      <c r="R56" s="5">
        <f t="shared" si="12"/>
        <v>37</v>
      </c>
      <c r="S56" s="5"/>
      <c r="T56" s="1"/>
      <c r="U56" s="1"/>
      <c r="V56" s="1">
        <f t="shared" si="5"/>
        <v>12</v>
      </c>
      <c r="W56" s="1">
        <f t="shared" si="6"/>
        <v>7.375</v>
      </c>
      <c r="X56" s="1">
        <v>5.6</v>
      </c>
      <c r="Y56" s="1">
        <v>6.4</v>
      </c>
      <c r="Z56" s="1">
        <v>8.8000000000000007</v>
      </c>
      <c r="AA56" s="1">
        <v>9.4</v>
      </c>
      <c r="AB56" s="1">
        <v>7.4</v>
      </c>
      <c r="AC56" s="1">
        <v>10.199999999999999</v>
      </c>
      <c r="AD56" s="1">
        <v>15.6</v>
      </c>
      <c r="AE56" s="1">
        <v>8.6</v>
      </c>
      <c r="AF56" s="1"/>
      <c r="AG56" s="1">
        <f>G56*R56</f>
        <v>3.7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95</v>
      </c>
      <c r="B57" s="1" t="s">
        <v>42</v>
      </c>
      <c r="C57" s="1">
        <v>64</v>
      </c>
      <c r="D57" s="1">
        <v>140</v>
      </c>
      <c r="E57" s="1">
        <v>60</v>
      </c>
      <c r="F57" s="1">
        <v>140</v>
      </c>
      <c r="G57" s="8">
        <v>0.4</v>
      </c>
      <c r="H57" s="1">
        <v>50</v>
      </c>
      <c r="I57" s="1" t="s">
        <v>37</v>
      </c>
      <c r="J57" s="1"/>
      <c r="K57" s="1">
        <v>88</v>
      </c>
      <c r="L57" s="1">
        <f t="shared" si="10"/>
        <v>-28</v>
      </c>
      <c r="M57" s="1"/>
      <c r="N57" s="1"/>
      <c r="O57" s="1">
        <v>70.399999999999977</v>
      </c>
      <c r="P57" s="1">
        <v>0</v>
      </c>
      <c r="Q57" s="1">
        <f t="shared" si="3"/>
        <v>12</v>
      </c>
      <c r="R57" s="5"/>
      <c r="S57" s="5"/>
      <c r="T57" s="1"/>
      <c r="U57" s="1"/>
      <c r="V57" s="1">
        <f t="shared" si="5"/>
        <v>17.533333333333331</v>
      </c>
      <c r="W57" s="1">
        <f t="shared" si="6"/>
        <v>17.533333333333331</v>
      </c>
      <c r="X57" s="1">
        <v>14.4</v>
      </c>
      <c r="Y57" s="1">
        <v>22.2</v>
      </c>
      <c r="Z57" s="1">
        <v>20.8</v>
      </c>
      <c r="AA57" s="1">
        <v>6</v>
      </c>
      <c r="AB57" s="1">
        <v>11.8</v>
      </c>
      <c r="AC57" s="1">
        <v>11.8</v>
      </c>
      <c r="AD57" s="1">
        <v>14.8</v>
      </c>
      <c r="AE57" s="1">
        <v>19.2</v>
      </c>
      <c r="AF57" s="1"/>
      <c r="AG57" s="1">
        <f>G57*R57</f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96</v>
      </c>
      <c r="B58" s="1" t="s">
        <v>36</v>
      </c>
      <c r="C58" s="1">
        <v>25.652000000000001</v>
      </c>
      <c r="D58" s="1">
        <v>42.18</v>
      </c>
      <c r="E58" s="1">
        <v>5.61</v>
      </c>
      <c r="F58" s="1">
        <v>29.19</v>
      </c>
      <c r="G58" s="8">
        <v>1</v>
      </c>
      <c r="H58" s="1">
        <v>40</v>
      </c>
      <c r="I58" s="1" t="s">
        <v>37</v>
      </c>
      <c r="J58" s="1"/>
      <c r="K58" s="1">
        <v>5.2</v>
      </c>
      <c r="L58" s="1">
        <f t="shared" si="10"/>
        <v>0.41000000000000014</v>
      </c>
      <c r="M58" s="1"/>
      <c r="N58" s="1"/>
      <c r="O58" s="1">
        <v>0</v>
      </c>
      <c r="P58" s="1">
        <v>0</v>
      </c>
      <c r="Q58" s="1">
        <f t="shared" si="3"/>
        <v>1.1220000000000001</v>
      </c>
      <c r="R58" s="5"/>
      <c r="S58" s="5"/>
      <c r="T58" s="1"/>
      <c r="U58" s="1"/>
      <c r="V58" s="1">
        <f t="shared" si="5"/>
        <v>26.016042780748663</v>
      </c>
      <c r="W58" s="1">
        <f t="shared" si="6"/>
        <v>26.016042780748663</v>
      </c>
      <c r="X58" s="1">
        <v>1.956</v>
      </c>
      <c r="Y58" s="1">
        <v>2.5106000000000002</v>
      </c>
      <c r="Z58" s="1">
        <v>2.1991999999999998</v>
      </c>
      <c r="AA58" s="1">
        <v>4.1167999999999996</v>
      </c>
      <c r="AB58" s="1">
        <v>4.1332000000000004</v>
      </c>
      <c r="AC58" s="1">
        <v>1.3812</v>
      </c>
      <c r="AD58" s="1">
        <v>0</v>
      </c>
      <c r="AE58" s="1">
        <v>0</v>
      </c>
      <c r="AF58" s="17" t="s">
        <v>114</v>
      </c>
      <c r="AG58" s="1">
        <f>G58*R58</f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97</v>
      </c>
      <c r="B59" s="1" t="s">
        <v>36</v>
      </c>
      <c r="C59" s="1">
        <v>23.539000000000001</v>
      </c>
      <c r="D59" s="1">
        <v>32.970999999999997</v>
      </c>
      <c r="E59" s="1">
        <v>7.5510000000000002</v>
      </c>
      <c r="F59" s="1">
        <v>31.878</v>
      </c>
      <c r="G59" s="8">
        <v>1</v>
      </c>
      <c r="H59" s="1">
        <v>40</v>
      </c>
      <c r="I59" s="1" t="s">
        <v>37</v>
      </c>
      <c r="J59" s="1"/>
      <c r="K59" s="1">
        <v>7.9</v>
      </c>
      <c r="L59" s="1">
        <f t="shared" si="10"/>
        <v>-0.3490000000000002</v>
      </c>
      <c r="M59" s="1"/>
      <c r="N59" s="1"/>
      <c r="O59" s="1">
        <v>0</v>
      </c>
      <c r="P59" s="1">
        <v>0</v>
      </c>
      <c r="Q59" s="1">
        <f t="shared" si="3"/>
        <v>1.5102</v>
      </c>
      <c r="R59" s="5"/>
      <c r="S59" s="5"/>
      <c r="T59" s="1"/>
      <c r="U59" s="1"/>
      <c r="V59" s="1">
        <f t="shared" si="5"/>
        <v>21.108462455303933</v>
      </c>
      <c r="W59" s="1">
        <f t="shared" si="6"/>
        <v>21.108462455303933</v>
      </c>
      <c r="X59" s="1">
        <v>2.036</v>
      </c>
      <c r="Y59" s="1">
        <v>2.1518000000000002</v>
      </c>
      <c r="Z59" s="1">
        <v>1.3895999999999999</v>
      </c>
      <c r="AA59" s="1">
        <v>4.1614000000000004</v>
      </c>
      <c r="AB59" s="1">
        <v>4.4405999999999999</v>
      </c>
      <c r="AC59" s="1">
        <v>1.6668000000000001</v>
      </c>
      <c r="AD59" s="1">
        <v>0</v>
      </c>
      <c r="AE59" s="1">
        <v>0</v>
      </c>
      <c r="AF59" s="17" t="s">
        <v>114</v>
      </c>
      <c r="AG59" s="1">
        <f>G59*R59</f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98</v>
      </c>
      <c r="B60" s="1" t="s">
        <v>42</v>
      </c>
      <c r="C60" s="1">
        <v>372</v>
      </c>
      <c r="D60" s="1">
        <v>631</v>
      </c>
      <c r="E60" s="1">
        <v>466</v>
      </c>
      <c r="F60" s="1">
        <v>287</v>
      </c>
      <c r="G60" s="8">
        <v>0.4</v>
      </c>
      <c r="H60" s="1">
        <v>40</v>
      </c>
      <c r="I60" s="1" t="s">
        <v>37</v>
      </c>
      <c r="J60" s="1"/>
      <c r="K60" s="1">
        <v>492</v>
      </c>
      <c r="L60" s="1">
        <f t="shared" si="10"/>
        <v>-26</v>
      </c>
      <c r="M60" s="1"/>
      <c r="N60" s="1"/>
      <c r="O60" s="1">
        <v>254.39999999999989</v>
      </c>
      <c r="P60" s="1">
        <v>462.60000000000008</v>
      </c>
      <c r="Q60" s="1">
        <f t="shared" si="3"/>
        <v>93.2</v>
      </c>
      <c r="R60" s="5">
        <f t="shared" si="12"/>
        <v>114.40000000000009</v>
      </c>
      <c r="S60" s="5"/>
      <c r="T60" s="1"/>
      <c r="U60" s="1"/>
      <c r="V60" s="1">
        <f t="shared" si="5"/>
        <v>12</v>
      </c>
      <c r="W60" s="1">
        <f t="shared" si="6"/>
        <v>10.772532188841202</v>
      </c>
      <c r="X60" s="1">
        <v>101.8</v>
      </c>
      <c r="Y60" s="1">
        <v>82.6</v>
      </c>
      <c r="Z60" s="1">
        <v>82.8</v>
      </c>
      <c r="AA60" s="1">
        <v>70.2</v>
      </c>
      <c r="AB60" s="1">
        <v>82.4</v>
      </c>
      <c r="AC60" s="1">
        <v>80</v>
      </c>
      <c r="AD60" s="1">
        <v>69.599999999999994</v>
      </c>
      <c r="AE60" s="1">
        <v>70.599999999999994</v>
      </c>
      <c r="AF60" s="1"/>
      <c r="AG60" s="1">
        <f>G60*R60</f>
        <v>45.760000000000041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99</v>
      </c>
      <c r="B61" s="1" t="s">
        <v>42</v>
      </c>
      <c r="C61" s="1">
        <v>370</v>
      </c>
      <c r="D61" s="1">
        <v>338</v>
      </c>
      <c r="E61" s="1">
        <v>387</v>
      </c>
      <c r="F61" s="1">
        <v>145</v>
      </c>
      <c r="G61" s="8">
        <v>0.4</v>
      </c>
      <c r="H61" s="1">
        <v>40</v>
      </c>
      <c r="I61" s="1" t="s">
        <v>37</v>
      </c>
      <c r="J61" s="1"/>
      <c r="K61" s="1">
        <v>400</v>
      </c>
      <c r="L61" s="1">
        <f t="shared" si="10"/>
        <v>-13</v>
      </c>
      <c r="M61" s="1"/>
      <c r="N61" s="1"/>
      <c r="O61" s="1">
        <v>103.6</v>
      </c>
      <c r="P61" s="1">
        <v>448.2</v>
      </c>
      <c r="Q61" s="1">
        <f t="shared" si="3"/>
        <v>77.400000000000006</v>
      </c>
      <c r="R61" s="5">
        <f t="shared" si="12"/>
        <v>232.00000000000011</v>
      </c>
      <c r="S61" s="5"/>
      <c r="T61" s="1"/>
      <c r="U61" s="1"/>
      <c r="V61" s="1">
        <f t="shared" si="5"/>
        <v>12</v>
      </c>
      <c r="W61" s="1">
        <f t="shared" si="6"/>
        <v>9.0025839793281648</v>
      </c>
      <c r="X61" s="1">
        <v>77.599999999999994</v>
      </c>
      <c r="Y61" s="1">
        <v>52.4</v>
      </c>
      <c r="Z61" s="1">
        <v>56.2</v>
      </c>
      <c r="AA61" s="1">
        <v>52</v>
      </c>
      <c r="AB61" s="1">
        <v>63.8</v>
      </c>
      <c r="AC61" s="1">
        <v>58.4</v>
      </c>
      <c r="AD61" s="1">
        <v>53</v>
      </c>
      <c r="AE61" s="1">
        <v>59.8</v>
      </c>
      <c r="AF61" s="1" t="s">
        <v>39</v>
      </c>
      <c r="AG61" s="1">
        <f>G61*R61</f>
        <v>92.800000000000054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100</v>
      </c>
      <c r="B62" s="1" t="s">
        <v>36</v>
      </c>
      <c r="C62" s="1">
        <v>208.99700000000001</v>
      </c>
      <c r="D62" s="1">
        <v>372.99299999999999</v>
      </c>
      <c r="E62" s="1">
        <v>184.70500000000001</v>
      </c>
      <c r="F62" s="1">
        <v>227.09200000000001</v>
      </c>
      <c r="G62" s="8">
        <v>1</v>
      </c>
      <c r="H62" s="1">
        <v>40</v>
      </c>
      <c r="I62" s="1" t="s">
        <v>37</v>
      </c>
      <c r="J62" s="1"/>
      <c r="K62" s="1">
        <v>170.1</v>
      </c>
      <c r="L62" s="1">
        <f t="shared" si="10"/>
        <v>14.605000000000018</v>
      </c>
      <c r="M62" s="1"/>
      <c r="N62" s="1"/>
      <c r="O62" s="1">
        <v>119.9196000000001</v>
      </c>
      <c r="P62" s="1">
        <v>55.05699999999996</v>
      </c>
      <c r="Q62" s="1">
        <f t="shared" si="3"/>
        <v>36.941000000000003</v>
      </c>
      <c r="R62" s="5">
        <f t="shared" si="12"/>
        <v>41.223399999999941</v>
      </c>
      <c r="S62" s="5"/>
      <c r="T62" s="1"/>
      <c r="U62" s="1"/>
      <c r="V62" s="1">
        <f t="shared" si="5"/>
        <v>12</v>
      </c>
      <c r="W62" s="1">
        <f t="shared" si="6"/>
        <v>10.884074605451938</v>
      </c>
      <c r="X62" s="1">
        <v>43.912199999999999</v>
      </c>
      <c r="Y62" s="1">
        <v>43.654600000000002</v>
      </c>
      <c r="Z62" s="1">
        <v>38.603200000000001</v>
      </c>
      <c r="AA62" s="1">
        <v>42.333799999999997</v>
      </c>
      <c r="AB62" s="1">
        <v>43.986800000000002</v>
      </c>
      <c r="AC62" s="1">
        <v>37.209400000000002</v>
      </c>
      <c r="AD62" s="1">
        <v>30.4376</v>
      </c>
      <c r="AE62" s="1">
        <v>28.7898</v>
      </c>
      <c r="AF62" s="1"/>
      <c r="AG62" s="1">
        <f>G62*R62</f>
        <v>41.223399999999941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101</v>
      </c>
      <c r="B63" s="1" t="s">
        <v>36</v>
      </c>
      <c r="C63" s="1">
        <v>252.637</v>
      </c>
      <c r="D63" s="1">
        <v>385.17099999999999</v>
      </c>
      <c r="E63" s="1">
        <v>117.43600000000001</v>
      </c>
      <c r="F63" s="1">
        <v>270.96300000000002</v>
      </c>
      <c r="G63" s="8">
        <v>1</v>
      </c>
      <c r="H63" s="1">
        <v>40</v>
      </c>
      <c r="I63" s="1" t="s">
        <v>37</v>
      </c>
      <c r="J63" s="1"/>
      <c r="K63" s="1">
        <v>107</v>
      </c>
      <c r="L63" s="1">
        <f t="shared" si="10"/>
        <v>10.436000000000007</v>
      </c>
      <c r="M63" s="1"/>
      <c r="N63" s="1"/>
      <c r="O63" s="1">
        <v>102.6324</v>
      </c>
      <c r="P63" s="1">
        <v>0</v>
      </c>
      <c r="Q63" s="1">
        <f t="shared" si="3"/>
        <v>23.487200000000001</v>
      </c>
      <c r="R63" s="5"/>
      <c r="S63" s="5"/>
      <c r="T63" s="1"/>
      <c r="U63" s="1"/>
      <c r="V63" s="1">
        <f t="shared" si="5"/>
        <v>15.906340474811813</v>
      </c>
      <c r="W63" s="1">
        <f t="shared" si="6"/>
        <v>15.906340474811813</v>
      </c>
      <c r="X63" s="1">
        <v>32.866799999999998</v>
      </c>
      <c r="Y63" s="1">
        <v>41.1252</v>
      </c>
      <c r="Z63" s="1">
        <v>30.4114</v>
      </c>
      <c r="AA63" s="1">
        <v>31.087599999999998</v>
      </c>
      <c r="AB63" s="1">
        <v>43.9026</v>
      </c>
      <c r="AC63" s="1">
        <v>43.043599999999998</v>
      </c>
      <c r="AD63" s="1">
        <v>36.085000000000001</v>
      </c>
      <c r="AE63" s="1">
        <v>28.142399999999999</v>
      </c>
      <c r="AF63" s="1"/>
      <c r="AG63" s="1">
        <f>G63*R63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102</v>
      </c>
      <c r="B64" s="1" t="s">
        <v>36</v>
      </c>
      <c r="C64" s="1">
        <v>125.694</v>
      </c>
      <c r="D64" s="1">
        <v>269.339</v>
      </c>
      <c r="E64" s="1">
        <v>192.39099999999999</v>
      </c>
      <c r="F64" s="1">
        <v>148.37899999999999</v>
      </c>
      <c r="G64" s="8">
        <v>1</v>
      </c>
      <c r="H64" s="1">
        <v>40</v>
      </c>
      <c r="I64" s="1" t="s">
        <v>37</v>
      </c>
      <c r="J64" s="1"/>
      <c r="K64" s="1">
        <v>177.9</v>
      </c>
      <c r="L64" s="1">
        <f t="shared" si="10"/>
        <v>14.490999999999985</v>
      </c>
      <c r="M64" s="1"/>
      <c r="N64" s="1"/>
      <c r="O64" s="1">
        <v>42.532799999999952</v>
      </c>
      <c r="P64" s="1">
        <v>75.437399999999997</v>
      </c>
      <c r="Q64" s="1">
        <f t="shared" si="3"/>
        <v>38.478200000000001</v>
      </c>
      <c r="R64" s="5">
        <f t="shared" si="12"/>
        <v>195.3892000000001</v>
      </c>
      <c r="S64" s="5"/>
      <c r="T64" s="1"/>
      <c r="U64" s="1"/>
      <c r="V64" s="1">
        <f t="shared" si="5"/>
        <v>12.000000000000002</v>
      </c>
      <c r="W64" s="1">
        <f t="shared" si="6"/>
        <v>6.922080554703701</v>
      </c>
      <c r="X64" s="1">
        <v>32.153399999999998</v>
      </c>
      <c r="Y64" s="1">
        <v>31.513000000000002</v>
      </c>
      <c r="Z64" s="1">
        <v>35.6464</v>
      </c>
      <c r="AA64" s="1">
        <v>35.776200000000003</v>
      </c>
      <c r="AB64" s="1">
        <v>30.697399999999998</v>
      </c>
      <c r="AC64" s="1">
        <v>24.968800000000002</v>
      </c>
      <c r="AD64" s="1">
        <v>31.4742</v>
      </c>
      <c r="AE64" s="1">
        <v>36.189399999999999</v>
      </c>
      <c r="AF64" s="1"/>
      <c r="AG64" s="1">
        <f>G64*R64</f>
        <v>195.3892000000001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103</v>
      </c>
      <c r="B65" s="1" t="s">
        <v>36</v>
      </c>
      <c r="C65" s="1">
        <v>74.527000000000001</v>
      </c>
      <c r="D65" s="1">
        <v>32.805</v>
      </c>
      <c r="E65" s="1">
        <v>26.359000000000002</v>
      </c>
      <c r="F65" s="1">
        <v>49.027999999999999</v>
      </c>
      <c r="G65" s="8">
        <v>1</v>
      </c>
      <c r="H65" s="1">
        <v>30</v>
      </c>
      <c r="I65" s="1" t="s">
        <v>37</v>
      </c>
      <c r="J65" s="1"/>
      <c r="K65" s="1">
        <v>27.6</v>
      </c>
      <c r="L65" s="1">
        <f t="shared" si="10"/>
        <v>-1.2409999999999997</v>
      </c>
      <c r="M65" s="1"/>
      <c r="N65" s="1"/>
      <c r="O65" s="1">
        <v>0</v>
      </c>
      <c r="P65" s="1">
        <v>10.2836</v>
      </c>
      <c r="Q65" s="1">
        <f t="shared" si="3"/>
        <v>5.2718000000000007</v>
      </c>
      <c r="R65" s="5">
        <f t="shared" si="12"/>
        <v>3.9500000000000099</v>
      </c>
      <c r="S65" s="5"/>
      <c r="T65" s="1"/>
      <c r="U65" s="1"/>
      <c r="V65" s="1">
        <f t="shared" si="5"/>
        <v>12</v>
      </c>
      <c r="W65" s="1">
        <f t="shared" si="6"/>
        <v>11.250730300846008</v>
      </c>
      <c r="X65" s="1">
        <v>5.8475999999999999</v>
      </c>
      <c r="Y65" s="1">
        <v>3.7094</v>
      </c>
      <c r="Z65" s="1">
        <v>5.0692000000000004</v>
      </c>
      <c r="AA65" s="1">
        <v>8.1430000000000007</v>
      </c>
      <c r="AB65" s="1">
        <v>8.3493999999999993</v>
      </c>
      <c r="AC65" s="1">
        <v>8.206999999999999</v>
      </c>
      <c r="AD65" s="1">
        <v>7.0842000000000001</v>
      </c>
      <c r="AE65" s="1">
        <v>5.7518000000000002</v>
      </c>
      <c r="AF65" s="1"/>
      <c r="AG65" s="1">
        <f>G65*R65</f>
        <v>3.9500000000000099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2" t="s">
        <v>104</v>
      </c>
      <c r="B66" s="12" t="s">
        <v>42</v>
      </c>
      <c r="C66" s="12"/>
      <c r="D66" s="12"/>
      <c r="E66" s="12"/>
      <c r="F66" s="12"/>
      <c r="G66" s="13">
        <v>0</v>
      </c>
      <c r="H66" s="12">
        <v>60</v>
      </c>
      <c r="I66" s="12" t="s">
        <v>37</v>
      </c>
      <c r="J66" s="12"/>
      <c r="K66" s="12"/>
      <c r="L66" s="12">
        <f t="shared" si="10"/>
        <v>0</v>
      </c>
      <c r="M66" s="12"/>
      <c r="N66" s="12"/>
      <c r="O66" s="12">
        <v>0</v>
      </c>
      <c r="P66" s="12">
        <v>0</v>
      </c>
      <c r="Q66" s="12">
        <f t="shared" si="3"/>
        <v>0</v>
      </c>
      <c r="R66" s="14"/>
      <c r="S66" s="14"/>
      <c r="T66" s="12"/>
      <c r="U66" s="12"/>
      <c r="V66" s="12" t="e">
        <f t="shared" si="5"/>
        <v>#DIV/0!</v>
      </c>
      <c r="W66" s="12" t="e">
        <f t="shared" si="6"/>
        <v>#DIV/0!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 t="s">
        <v>45</v>
      </c>
      <c r="AG66" s="12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105</v>
      </c>
      <c r="B67" s="1" t="s">
        <v>42</v>
      </c>
      <c r="C67" s="1">
        <v>188</v>
      </c>
      <c r="D67" s="1">
        <v>60</v>
      </c>
      <c r="E67" s="1">
        <v>113</v>
      </c>
      <c r="F67" s="1">
        <v>134</v>
      </c>
      <c r="G67" s="8">
        <v>0.37</v>
      </c>
      <c r="H67" s="1">
        <v>50</v>
      </c>
      <c r="I67" s="11" t="s">
        <v>72</v>
      </c>
      <c r="J67" s="1"/>
      <c r="K67" s="1">
        <v>110</v>
      </c>
      <c r="L67" s="1">
        <f t="shared" si="10"/>
        <v>3</v>
      </c>
      <c r="M67" s="1"/>
      <c r="N67" s="1"/>
      <c r="O67" s="1">
        <v>150</v>
      </c>
      <c r="P67" s="1">
        <v>0</v>
      </c>
      <c r="Q67" s="1">
        <f t="shared" si="3"/>
        <v>22.6</v>
      </c>
      <c r="R67" s="5"/>
      <c r="S67" s="5"/>
      <c r="T67" s="1"/>
      <c r="U67" s="1"/>
      <c r="V67" s="1">
        <f t="shared" si="5"/>
        <v>12.566371681415928</v>
      </c>
      <c r="W67" s="1">
        <f t="shared" si="6"/>
        <v>12.566371681415928</v>
      </c>
      <c r="X67" s="1">
        <v>22.2</v>
      </c>
      <c r="Y67" s="1">
        <v>23</v>
      </c>
      <c r="Z67" s="1">
        <v>23.8</v>
      </c>
      <c r="AA67" s="1">
        <v>12.4</v>
      </c>
      <c r="AB67" s="1">
        <v>15.4</v>
      </c>
      <c r="AC67" s="1">
        <v>18</v>
      </c>
      <c r="AD67" s="1">
        <v>21.2</v>
      </c>
      <c r="AE67" s="1">
        <v>23.2</v>
      </c>
      <c r="AF67" s="1" t="s">
        <v>39</v>
      </c>
      <c r="AG67" s="1">
        <f>G67*R67</f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2" t="s">
        <v>106</v>
      </c>
      <c r="B68" s="12" t="s">
        <v>42</v>
      </c>
      <c r="C68" s="12"/>
      <c r="D68" s="12"/>
      <c r="E68" s="12"/>
      <c r="F68" s="12"/>
      <c r="G68" s="13">
        <v>0</v>
      </c>
      <c r="H68" s="12">
        <v>30</v>
      </c>
      <c r="I68" s="12" t="s">
        <v>37</v>
      </c>
      <c r="J68" s="12"/>
      <c r="K68" s="12"/>
      <c r="L68" s="12">
        <f t="shared" si="10"/>
        <v>0</v>
      </c>
      <c r="M68" s="12"/>
      <c r="N68" s="12"/>
      <c r="O68" s="12">
        <v>0</v>
      </c>
      <c r="P68" s="12">
        <v>0</v>
      </c>
      <c r="Q68" s="12">
        <f t="shared" si="3"/>
        <v>0</v>
      </c>
      <c r="R68" s="14"/>
      <c r="S68" s="14"/>
      <c r="T68" s="12"/>
      <c r="U68" s="12"/>
      <c r="V68" s="12" t="e">
        <f t="shared" si="5"/>
        <v>#DIV/0!</v>
      </c>
      <c r="W68" s="12" t="e">
        <f t="shared" si="6"/>
        <v>#DIV/0!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 t="s">
        <v>45</v>
      </c>
      <c r="AG68" s="1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2" t="s">
        <v>107</v>
      </c>
      <c r="B69" s="12" t="s">
        <v>42</v>
      </c>
      <c r="C69" s="12"/>
      <c r="D69" s="12"/>
      <c r="E69" s="12"/>
      <c r="F69" s="12"/>
      <c r="G69" s="13">
        <v>0</v>
      </c>
      <c r="H69" s="12">
        <v>55</v>
      </c>
      <c r="I69" s="12" t="s">
        <v>37</v>
      </c>
      <c r="J69" s="12"/>
      <c r="K69" s="12"/>
      <c r="L69" s="12">
        <f t="shared" si="10"/>
        <v>0</v>
      </c>
      <c r="M69" s="12"/>
      <c r="N69" s="12"/>
      <c r="O69" s="12">
        <v>0</v>
      </c>
      <c r="P69" s="12">
        <v>0</v>
      </c>
      <c r="Q69" s="12">
        <f t="shared" si="3"/>
        <v>0</v>
      </c>
      <c r="R69" s="14"/>
      <c r="S69" s="14"/>
      <c r="T69" s="12"/>
      <c r="U69" s="12"/>
      <c r="V69" s="12" t="e">
        <f t="shared" si="5"/>
        <v>#DIV/0!</v>
      </c>
      <c r="W69" s="12" t="e">
        <f t="shared" si="6"/>
        <v>#DIV/0!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 t="s">
        <v>45</v>
      </c>
      <c r="AG69" s="12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2" t="s">
        <v>108</v>
      </c>
      <c r="B70" s="12" t="s">
        <v>42</v>
      </c>
      <c r="C70" s="12"/>
      <c r="D70" s="12"/>
      <c r="E70" s="12"/>
      <c r="F70" s="12"/>
      <c r="G70" s="13">
        <v>0</v>
      </c>
      <c r="H70" s="12">
        <v>40</v>
      </c>
      <c r="I70" s="12" t="s">
        <v>37</v>
      </c>
      <c r="J70" s="12"/>
      <c r="K70" s="12"/>
      <c r="L70" s="12">
        <f t="shared" ref="L70:L93" si="13">E70-K70</f>
        <v>0</v>
      </c>
      <c r="M70" s="12"/>
      <c r="N70" s="12"/>
      <c r="O70" s="12">
        <v>0</v>
      </c>
      <c r="P70" s="12">
        <v>0</v>
      </c>
      <c r="Q70" s="12">
        <f t="shared" si="3"/>
        <v>0</v>
      </c>
      <c r="R70" s="14"/>
      <c r="S70" s="14"/>
      <c r="T70" s="12"/>
      <c r="U70" s="12"/>
      <c r="V70" s="12" t="e">
        <f t="shared" si="5"/>
        <v>#DIV/0!</v>
      </c>
      <c r="W70" s="12" t="e">
        <f t="shared" si="6"/>
        <v>#DIV/0!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 t="s">
        <v>109</v>
      </c>
      <c r="AG70" s="12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110</v>
      </c>
      <c r="B71" s="1" t="s">
        <v>42</v>
      </c>
      <c r="C71" s="1">
        <v>84</v>
      </c>
      <c r="D71" s="1">
        <v>216</v>
      </c>
      <c r="E71" s="1">
        <v>61</v>
      </c>
      <c r="F71" s="1">
        <v>157</v>
      </c>
      <c r="G71" s="8">
        <v>0.4</v>
      </c>
      <c r="H71" s="1">
        <v>50</v>
      </c>
      <c r="I71" s="1" t="s">
        <v>37</v>
      </c>
      <c r="J71" s="1"/>
      <c r="K71" s="1">
        <v>63</v>
      </c>
      <c r="L71" s="1">
        <f t="shared" si="13"/>
        <v>-2</v>
      </c>
      <c r="M71" s="1"/>
      <c r="N71" s="1"/>
      <c r="O71" s="1">
        <v>4.7999999999999829</v>
      </c>
      <c r="P71" s="1">
        <v>0</v>
      </c>
      <c r="Q71" s="1">
        <f t="shared" ref="Q71:Q93" si="14">E71/5</f>
        <v>12.2</v>
      </c>
      <c r="R71" s="5"/>
      <c r="S71" s="5"/>
      <c r="T71" s="1"/>
      <c r="U71" s="1"/>
      <c r="V71" s="1">
        <f t="shared" ref="V71:V93" si="15">(F71+O71+P71+R71)/Q71</f>
        <v>13.262295081967212</v>
      </c>
      <c r="W71" s="1">
        <f t="shared" ref="W71:W93" si="16">(F71+O71+P71)/Q71</f>
        <v>13.262295081967212</v>
      </c>
      <c r="X71" s="1">
        <v>13</v>
      </c>
      <c r="Y71" s="1">
        <v>18.399999999999999</v>
      </c>
      <c r="Z71" s="1">
        <v>20</v>
      </c>
      <c r="AA71" s="1">
        <v>15.8</v>
      </c>
      <c r="AB71" s="1">
        <v>17.600000000000001</v>
      </c>
      <c r="AC71" s="1">
        <v>7.6</v>
      </c>
      <c r="AD71" s="1">
        <v>8.1999999999999993</v>
      </c>
      <c r="AE71" s="1">
        <v>14.4</v>
      </c>
      <c r="AF71" s="1"/>
      <c r="AG71" s="1">
        <f>G71*R71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111</v>
      </c>
      <c r="B72" s="1" t="s">
        <v>42</v>
      </c>
      <c r="C72" s="1">
        <v>20</v>
      </c>
      <c r="D72" s="1">
        <v>70</v>
      </c>
      <c r="E72" s="1">
        <v>10</v>
      </c>
      <c r="F72" s="1">
        <v>80</v>
      </c>
      <c r="G72" s="8">
        <v>0.4</v>
      </c>
      <c r="H72" s="1">
        <v>55</v>
      </c>
      <c r="I72" s="1" t="s">
        <v>37</v>
      </c>
      <c r="J72" s="1"/>
      <c r="K72" s="1">
        <v>10</v>
      </c>
      <c r="L72" s="1">
        <f t="shared" si="13"/>
        <v>0</v>
      </c>
      <c r="M72" s="1"/>
      <c r="N72" s="1"/>
      <c r="O72" s="1">
        <v>73.799999999999983</v>
      </c>
      <c r="P72" s="1">
        <v>0</v>
      </c>
      <c r="Q72" s="1">
        <f t="shared" si="14"/>
        <v>2</v>
      </c>
      <c r="R72" s="5"/>
      <c r="S72" s="5"/>
      <c r="T72" s="1"/>
      <c r="U72" s="1"/>
      <c r="V72" s="1">
        <f t="shared" si="15"/>
        <v>76.899999999999991</v>
      </c>
      <c r="W72" s="1">
        <f t="shared" si="16"/>
        <v>76.899999999999991</v>
      </c>
      <c r="X72" s="1">
        <v>3.2</v>
      </c>
      <c r="Y72" s="1">
        <v>13.2</v>
      </c>
      <c r="Z72" s="1">
        <v>12.2</v>
      </c>
      <c r="AA72" s="1">
        <v>4.2</v>
      </c>
      <c r="AB72" s="1">
        <v>7.2</v>
      </c>
      <c r="AC72" s="1">
        <v>7.4</v>
      </c>
      <c r="AD72" s="1">
        <v>8.8000000000000007</v>
      </c>
      <c r="AE72" s="1">
        <v>7.4</v>
      </c>
      <c r="AF72" s="17" t="s">
        <v>114</v>
      </c>
      <c r="AG72" s="1">
        <f>G72*R72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113</v>
      </c>
      <c r="B73" s="1" t="s">
        <v>36</v>
      </c>
      <c r="C73" s="1">
        <v>35.753999999999998</v>
      </c>
      <c r="D73" s="1">
        <v>46.167000000000002</v>
      </c>
      <c r="E73" s="1">
        <v>8.6240000000000006</v>
      </c>
      <c r="F73" s="1">
        <v>38.045000000000002</v>
      </c>
      <c r="G73" s="8">
        <v>1</v>
      </c>
      <c r="H73" s="1">
        <v>55</v>
      </c>
      <c r="I73" s="1" t="s">
        <v>37</v>
      </c>
      <c r="J73" s="1"/>
      <c r="K73" s="1">
        <v>7.8</v>
      </c>
      <c r="L73" s="1">
        <f t="shared" si="13"/>
        <v>0.82400000000000073</v>
      </c>
      <c r="M73" s="1"/>
      <c r="N73" s="1"/>
      <c r="O73" s="1">
        <v>0</v>
      </c>
      <c r="P73" s="1">
        <v>0</v>
      </c>
      <c r="Q73" s="1">
        <f t="shared" si="14"/>
        <v>1.7248000000000001</v>
      </c>
      <c r="R73" s="5"/>
      <c r="S73" s="5"/>
      <c r="T73" s="1"/>
      <c r="U73" s="1"/>
      <c r="V73" s="1">
        <f t="shared" si="15"/>
        <v>22.057629870129869</v>
      </c>
      <c r="W73" s="1">
        <f t="shared" si="16"/>
        <v>22.057629870129869</v>
      </c>
      <c r="X73" s="1">
        <v>1.1496</v>
      </c>
      <c r="Y73" s="1">
        <v>0.86499999999999999</v>
      </c>
      <c r="Z73" s="1">
        <v>2.0182000000000002</v>
      </c>
      <c r="AA73" s="1">
        <v>3.1703999999999999</v>
      </c>
      <c r="AB73" s="1">
        <v>2.59</v>
      </c>
      <c r="AC73" s="1">
        <v>2.3031999999999999</v>
      </c>
      <c r="AD73" s="1">
        <v>1.7314000000000001</v>
      </c>
      <c r="AE73" s="1">
        <v>0.57679999999999998</v>
      </c>
      <c r="AF73" s="17" t="s">
        <v>114</v>
      </c>
      <c r="AG73" s="1">
        <f>G73*R73</f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115</v>
      </c>
      <c r="B74" s="1" t="s">
        <v>36</v>
      </c>
      <c r="C74" s="1">
        <v>45.058</v>
      </c>
      <c r="D74" s="1">
        <v>262.59800000000001</v>
      </c>
      <c r="E74" s="1">
        <v>100.70099999999999</v>
      </c>
      <c r="F74" s="1">
        <v>130.89599999999999</v>
      </c>
      <c r="G74" s="8">
        <v>1</v>
      </c>
      <c r="H74" s="1">
        <v>60</v>
      </c>
      <c r="I74" s="1" t="s">
        <v>37</v>
      </c>
      <c r="J74" s="1"/>
      <c r="K74" s="1">
        <v>115.27</v>
      </c>
      <c r="L74" s="1">
        <f t="shared" si="13"/>
        <v>-14.569000000000003</v>
      </c>
      <c r="M74" s="1"/>
      <c r="N74" s="1"/>
      <c r="O74" s="1">
        <v>67.843600000000038</v>
      </c>
      <c r="P74" s="1">
        <v>0</v>
      </c>
      <c r="Q74" s="1">
        <f t="shared" si="14"/>
        <v>20.1402</v>
      </c>
      <c r="R74" s="5">
        <f t="shared" ref="R71:R77" si="17">12*Q74-P74-O74-F74</f>
        <v>42.942799999999977</v>
      </c>
      <c r="S74" s="5"/>
      <c r="T74" s="1"/>
      <c r="U74" s="1"/>
      <c r="V74" s="1">
        <f t="shared" si="15"/>
        <v>12</v>
      </c>
      <c r="W74" s="1">
        <f t="shared" si="16"/>
        <v>9.8678066752068023</v>
      </c>
      <c r="X74" s="1">
        <v>20.0914</v>
      </c>
      <c r="Y74" s="1">
        <v>24.339400000000001</v>
      </c>
      <c r="Z74" s="1">
        <v>23.350200000000001</v>
      </c>
      <c r="AA74" s="1">
        <v>18.059200000000001</v>
      </c>
      <c r="AB74" s="1">
        <v>17.348400000000002</v>
      </c>
      <c r="AC74" s="1">
        <v>16.360800000000001</v>
      </c>
      <c r="AD74" s="1">
        <v>20.611599999999999</v>
      </c>
      <c r="AE74" s="1">
        <v>21.7546</v>
      </c>
      <c r="AF74" s="1" t="s">
        <v>51</v>
      </c>
      <c r="AG74" s="1">
        <f>G74*R74</f>
        <v>42.942799999999977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116</v>
      </c>
      <c r="B75" s="1" t="s">
        <v>36</v>
      </c>
      <c r="C75" s="1">
        <v>736.01400000000001</v>
      </c>
      <c r="D75" s="1">
        <v>595.05600000000004</v>
      </c>
      <c r="E75" s="1">
        <v>386.82400000000001</v>
      </c>
      <c r="F75" s="1">
        <v>375.51600000000002</v>
      </c>
      <c r="G75" s="8">
        <v>1</v>
      </c>
      <c r="H75" s="1">
        <v>60</v>
      </c>
      <c r="I75" s="1" t="s">
        <v>37</v>
      </c>
      <c r="J75" s="1"/>
      <c r="K75" s="1">
        <v>391</v>
      </c>
      <c r="L75" s="1">
        <f t="shared" si="13"/>
        <v>-4.1759999999999877</v>
      </c>
      <c r="M75" s="1"/>
      <c r="N75" s="1"/>
      <c r="O75" s="1">
        <v>71.833000000000027</v>
      </c>
      <c r="P75" s="1">
        <v>519.16111999999976</v>
      </c>
      <c r="Q75" s="1">
        <f t="shared" si="14"/>
        <v>77.364800000000002</v>
      </c>
      <c r="R75" s="5"/>
      <c r="S75" s="5"/>
      <c r="T75" s="1"/>
      <c r="U75" s="1"/>
      <c r="V75" s="1">
        <f t="shared" si="15"/>
        <v>12.492892374826791</v>
      </c>
      <c r="W75" s="1">
        <f t="shared" si="16"/>
        <v>12.492892374826791</v>
      </c>
      <c r="X75" s="1">
        <v>77.063199999999995</v>
      </c>
      <c r="Y75" s="1">
        <v>59.982999999999997</v>
      </c>
      <c r="Z75" s="1">
        <v>66.432400000000001</v>
      </c>
      <c r="AA75" s="1">
        <v>88.71459999999999</v>
      </c>
      <c r="AB75" s="1">
        <v>92.206600000000009</v>
      </c>
      <c r="AC75" s="1">
        <v>82.032799999999995</v>
      </c>
      <c r="AD75" s="1">
        <v>81.185400000000001</v>
      </c>
      <c r="AE75" s="1">
        <v>80.368200000000002</v>
      </c>
      <c r="AF75" s="1"/>
      <c r="AG75" s="1">
        <f>G75*R75</f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117</v>
      </c>
      <c r="B76" s="1" t="s">
        <v>36</v>
      </c>
      <c r="C76" s="1">
        <v>714.85799999999995</v>
      </c>
      <c r="D76" s="1">
        <v>714.48900000000003</v>
      </c>
      <c r="E76" s="1">
        <v>429.334</v>
      </c>
      <c r="F76" s="1">
        <v>454.05399999999997</v>
      </c>
      <c r="G76" s="8">
        <v>1</v>
      </c>
      <c r="H76" s="1">
        <v>60</v>
      </c>
      <c r="I76" s="1" t="s">
        <v>37</v>
      </c>
      <c r="J76" s="1"/>
      <c r="K76" s="1">
        <v>432.5</v>
      </c>
      <c r="L76" s="1">
        <f t="shared" si="13"/>
        <v>-3.1659999999999968</v>
      </c>
      <c r="M76" s="1"/>
      <c r="N76" s="1"/>
      <c r="O76" s="1">
        <v>0</v>
      </c>
      <c r="P76" s="1">
        <v>581.65652</v>
      </c>
      <c r="Q76" s="1">
        <f t="shared" si="14"/>
        <v>85.866799999999998</v>
      </c>
      <c r="R76" s="5"/>
      <c r="S76" s="5"/>
      <c r="T76" s="1"/>
      <c r="U76" s="1"/>
      <c r="V76" s="1">
        <f t="shared" si="15"/>
        <v>12.061827388466789</v>
      </c>
      <c r="W76" s="1">
        <f t="shared" si="16"/>
        <v>12.061827388466789</v>
      </c>
      <c r="X76" s="1">
        <v>82.857200000000006</v>
      </c>
      <c r="Y76" s="1">
        <v>64.6614</v>
      </c>
      <c r="Z76" s="1">
        <v>75.81280000000001</v>
      </c>
      <c r="AA76" s="1">
        <v>100.6258</v>
      </c>
      <c r="AB76" s="1">
        <v>95.500399999999999</v>
      </c>
      <c r="AC76" s="1">
        <v>87.543599999999998</v>
      </c>
      <c r="AD76" s="1">
        <v>90.793199999999999</v>
      </c>
      <c r="AE76" s="1">
        <v>90.9178</v>
      </c>
      <c r="AF76" s="1" t="s">
        <v>51</v>
      </c>
      <c r="AG76" s="1">
        <f>G76*R76</f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118</v>
      </c>
      <c r="B77" s="1" t="s">
        <v>36</v>
      </c>
      <c r="C77" s="1">
        <v>1487.7460000000001</v>
      </c>
      <c r="D77" s="1">
        <v>644.46600000000001</v>
      </c>
      <c r="E77" s="1">
        <v>676.07299999999998</v>
      </c>
      <c r="F77" s="1">
        <v>1051.8820000000001</v>
      </c>
      <c r="G77" s="8">
        <v>1</v>
      </c>
      <c r="H77" s="1">
        <v>60</v>
      </c>
      <c r="I77" s="1" t="s">
        <v>37</v>
      </c>
      <c r="J77" s="1"/>
      <c r="K77" s="1">
        <v>676</v>
      </c>
      <c r="L77" s="1">
        <f t="shared" si="13"/>
        <v>7.2999999999979082E-2</v>
      </c>
      <c r="M77" s="1"/>
      <c r="N77" s="1"/>
      <c r="O77" s="1">
        <v>90.26380000000006</v>
      </c>
      <c r="P77" s="1">
        <v>396.38893999999999</v>
      </c>
      <c r="Q77" s="1">
        <f t="shared" si="14"/>
        <v>135.21459999999999</v>
      </c>
      <c r="R77" s="5">
        <f t="shared" si="17"/>
        <v>84.040459999999712</v>
      </c>
      <c r="S77" s="5"/>
      <c r="T77" s="1"/>
      <c r="U77" s="1"/>
      <c r="V77" s="1">
        <f t="shared" si="15"/>
        <v>12</v>
      </c>
      <c r="W77" s="1">
        <f t="shared" si="16"/>
        <v>11.378466082804671</v>
      </c>
      <c r="X77" s="1">
        <v>127.8674</v>
      </c>
      <c r="Y77" s="1">
        <v>134.45060000000001</v>
      </c>
      <c r="Z77" s="1">
        <v>145.1</v>
      </c>
      <c r="AA77" s="1">
        <v>189.547</v>
      </c>
      <c r="AB77" s="1">
        <v>193.5958</v>
      </c>
      <c r="AC77" s="1">
        <v>151.4682</v>
      </c>
      <c r="AD77" s="1">
        <v>148.5754</v>
      </c>
      <c r="AE77" s="1">
        <v>125.7666</v>
      </c>
      <c r="AF77" s="1" t="s">
        <v>51</v>
      </c>
      <c r="AG77" s="1">
        <f>G77*R77</f>
        <v>84.040459999999712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2" t="s">
        <v>119</v>
      </c>
      <c r="B78" s="12" t="s">
        <v>36</v>
      </c>
      <c r="C78" s="12"/>
      <c r="D78" s="12"/>
      <c r="E78" s="12"/>
      <c r="F78" s="12"/>
      <c r="G78" s="13">
        <v>0</v>
      </c>
      <c r="H78" s="12">
        <v>60</v>
      </c>
      <c r="I78" s="12" t="s">
        <v>37</v>
      </c>
      <c r="J78" s="12"/>
      <c r="K78" s="12"/>
      <c r="L78" s="12">
        <f t="shared" si="13"/>
        <v>0</v>
      </c>
      <c r="M78" s="12"/>
      <c r="N78" s="12"/>
      <c r="O78" s="12">
        <v>0</v>
      </c>
      <c r="P78" s="12">
        <v>0</v>
      </c>
      <c r="Q78" s="12">
        <f t="shared" si="14"/>
        <v>0</v>
      </c>
      <c r="R78" s="14"/>
      <c r="S78" s="14"/>
      <c r="T78" s="12"/>
      <c r="U78" s="12"/>
      <c r="V78" s="12" t="e">
        <f t="shared" si="15"/>
        <v>#DIV/0!</v>
      </c>
      <c r="W78" s="12" t="e">
        <f t="shared" si="16"/>
        <v>#DIV/0!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 t="s">
        <v>45</v>
      </c>
      <c r="AG78" s="12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120</v>
      </c>
      <c r="B79" s="1" t="s">
        <v>42</v>
      </c>
      <c r="C79" s="1">
        <v>114</v>
      </c>
      <c r="D79" s="1">
        <v>78</v>
      </c>
      <c r="E79" s="1">
        <v>54</v>
      </c>
      <c r="F79" s="1">
        <v>68</v>
      </c>
      <c r="G79" s="8">
        <v>0.3</v>
      </c>
      <c r="H79" s="1">
        <v>40</v>
      </c>
      <c r="I79" s="1" t="s">
        <v>37</v>
      </c>
      <c r="J79" s="1"/>
      <c r="K79" s="1">
        <v>55</v>
      </c>
      <c r="L79" s="1">
        <f t="shared" si="13"/>
        <v>-1</v>
      </c>
      <c r="M79" s="1"/>
      <c r="N79" s="1"/>
      <c r="O79" s="1">
        <v>0</v>
      </c>
      <c r="P79" s="1">
        <v>6</v>
      </c>
      <c r="Q79" s="1">
        <f t="shared" si="14"/>
        <v>10.8</v>
      </c>
      <c r="R79" s="5">
        <f t="shared" ref="R79:R93" si="18">12*Q79-P79-O79-F79</f>
        <v>55.600000000000023</v>
      </c>
      <c r="S79" s="5"/>
      <c r="T79" s="1"/>
      <c r="U79" s="1"/>
      <c r="V79" s="1">
        <f t="shared" si="15"/>
        <v>12.000000000000002</v>
      </c>
      <c r="W79" s="1">
        <f t="shared" si="16"/>
        <v>6.8518518518518512</v>
      </c>
      <c r="X79" s="1">
        <v>9.6</v>
      </c>
      <c r="Y79" s="1">
        <v>8.1999999999999993</v>
      </c>
      <c r="Z79" s="1">
        <v>10.8</v>
      </c>
      <c r="AA79" s="1">
        <v>14</v>
      </c>
      <c r="AB79" s="1">
        <v>14.4</v>
      </c>
      <c r="AC79" s="1">
        <v>12.8</v>
      </c>
      <c r="AD79" s="1">
        <v>9.8000000000000007</v>
      </c>
      <c r="AE79" s="1">
        <v>8.8000000000000007</v>
      </c>
      <c r="AF79" s="1"/>
      <c r="AG79" s="1">
        <f>G79*R79</f>
        <v>16.680000000000007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121</v>
      </c>
      <c r="B80" s="1" t="s">
        <v>42</v>
      </c>
      <c r="C80" s="1">
        <v>34</v>
      </c>
      <c r="D80" s="1">
        <v>40</v>
      </c>
      <c r="E80" s="1">
        <v>31</v>
      </c>
      <c r="F80" s="1">
        <v>17</v>
      </c>
      <c r="G80" s="8">
        <v>7.0000000000000007E-2</v>
      </c>
      <c r="H80" s="1">
        <v>90</v>
      </c>
      <c r="I80" s="1" t="s">
        <v>37</v>
      </c>
      <c r="J80" s="1"/>
      <c r="K80" s="1">
        <v>31</v>
      </c>
      <c r="L80" s="1">
        <f t="shared" si="13"/>
        <v>0</v>
      </c>
      <c r="M80" s="1"/>
      <c r="N80" s="1"/>
      <c r="O80" s="1">
        <v>0</v>
      </c>
      <c r="P80" s="1">
        <v>34.200000000000003</v>
      </c>
      <c r="Q80" s="1">
        <f t="shared" si="14"/>
        <v>6.2</v>
      </c>
      <c r="R80" s="5">
        <f t="shared" si="18"/>
        <v>23.200000000000003</v>
      </c>
      <c r="S80" s="5"/>
      <c r="T80" s="1"/>
      <c r="U80" s="1"/>
      <c r="V80" s="1">
        <f t="shared" si="15"/>
        <v>12</v>
      </c>
      <c r="W80" s="1">
        <f t="shared" si="16"/>
        <v>8.258064516129032</v>
      </c>
      <c r="X80" s="1">
        <v>6.2</v>
      </c>
      <c r="Y80" s="1">
        <v>4.2</v>
      </c>
      <c r="Z80" s="1">
        <v>4.4000000000000004</v>
      </c>
      <c r="AA80" s="1">
        <v>5.8</v>
      </c>
      <c r="AB80" s="1">
        <v>3.2</v>
      </c>
      <c r="AC80" s="1">
        <v>5.4</v>
      </c>
      <c r="AD80" s="1">
        <v>6.2</v>
      </c>
      <c r="AE80" s="1">
        <v>3.6</v>
      </c>
      <c r="AF80" s="1"/>
      <c r="AG80" s="1">
        <f>G80*R80</f>
        <v>1.6240000000000003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122</v>
      </c>
      <c r="B81" s="1" t="s">
        <v>42</v>
      </c>
      <c r="C81" s="1">
        <v>11</v>
      </c>
      <c r="D81" s="1">
        <v>77</v>
      </c>
      <c r="E81" s="1">
        <v>28</v>
      </c>
      <c r="F81" s="1">
        <v>55</v>
      </c>
      <c r="G81" s="8">
        <v>7.0000000000000007E-2</v>
      </c>
      <c r="H81" s="1">
        <v>90</v>
      </c>
      <c r="I81" s="1" t="s">
        <v>37</v>
      </c>
      <c r="J81" s="1"/>
      <c r="K81" s="1">
        <v>29</v>
      </c>
      <c r="L81" s="1">
        <f t="shared" si="13"/>
        <v>-1</v>
      </c>
      <c r="M81" s="1"/>
      <c r="N81" s="1"/>
      <c r="O81" s="1">
        <v>0</v>
      </c>
      <c r="P81" s="1">
        <v>0</v>
      </c>
      <c r="Q81" s="1">
        <f t="shared" si="14"/>
        <v>5.6</v>
      </c>
      <c r="R81" s="5">
        <f t="shared" si="18"/>
        <v>12.199999999999989</v>
      </c>
      <c r="S81" s="5"/>
      <c r="T81" s="1"/>
      <c r="U81" s="1"/>
      <c r="V81" s="1">
        <f t="shared" si="15"/>
        <v>11.999999999999998</v>
      </c>
      <c r="W81" s="1">
        <f t="shared" si="16"/>
        <v>9.8214285714285712</v>
      </c>
      <c r="X81" s="1">
        <v>5.6</v>
      </c>
      <c r="Y81" s="1">
        <v>6.2</v>
      </c>
      <c r="Z81" s="1">
        <v>7.6</v>
      </c>
      <c r="AA81" s="1">
        <v>8.1999999999999993</v>
      </c>
      <c r="AB81" s="1">
        <v>5.6</v>
      </c>
      <c r="AC81" s="1">
        <v>6.4</v>
      </c>
      <c r="AD81" s="1">
        <v>6.4</v>
      </c>
      <c r="AE81" s="1">
        <v>3.4</v>
      </c>
      <c r="AF81" s="1"/>
      <c r="AG81" s="1">
        <f>G81*R81</f>
        <v>0.85399999999999932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123</v>
      </c>
      <c r="B82" s="1" t="s">
        <v>42</v>
      </c>
      <c r="C82" s="1">
        <v>34</v>
      </c>
      <c r="D82" s="1">
        <v>116</v>
      </c>
      <c r="E82" s="1">
        <v>32</v>
      </c>
      <c r="F82" s="1">
        <v>74</v>
      </c>
      <c r="G82" s="8">
        <v>7.0000000000000007E-2</v>
      </c>
      <c r="H82" s="1">
        <v>90</v>
      </c>
      <c r="I82" s="1" t="s">
        <v>37</v>
      </c>
      <c r="J82" s="1"/>
      <c r="K82" s="1">
        <v>32</v>
      </c>
      <c r="L82" s="1">
        <f t="shared" si="13"/>
        <v>0</v>
      </c>
      <c r="M82" s="1"/>
      <c r="N82" s="1"/>
      <c r="O82" s="1">
        <v>0</v>
      </c>
      <c r="P82" s="1">
        <v>0</v>
      </c>
      <c r="Q82" s="1">
        <f t="shared" si="14"/>
        <v>6.4</v>
      </c>
      <c r="R82" s="5">
        <v>6</v>
      </c>
      <c r="S82" s="5"/>
      <c r="T82" s="1"/>
      <c r="U82" s="1"/>
      <c r="V82" s="1">
        <f t="shared" si="15"/>
        <v>12.5</v>
      </c>
      <c r="W82" s="1">
        <f t="shared" si="16"/>
        <v>11.5625</v>
      </c>
      <c r="X82" s="1">
        <v>5.6</v>
      </c>
      <c r="Y82" s="1">
        <v>5.4</v>
      </c>
      <c r="Z82" s="1">
        <v>6.4</v>
      </c>
      <c r="AA82" s="1">
        <v>8.4</v>
      </c>
      <c r="AB82" s="1">
        <v>5.4</v>
      </c>
      <c r="AC82" s="1">
        <v>6.8</v>
      </c>
      <c r="AD82" s="1">
        <v>5.2</v>
      </c>
      <c r="AE82" s="1">
        <v>2.2000000000000002</v>
      </c>
      <c r="AF82" s="1"/>
      <c r="AG82" s="1">
        <f>G82*R82</f>
        <v>0.42000000000000004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124</v>
      </c>
      <c r="B83" s="1" t="s">
        <v>42</v>
      </c>
      <c r="C83" s="1">
        <v>64</v>
      </c>
      <c r="D83" s="1">
        <v>38</v>
      </c>
      <c r="E83" s="1">
        <v>28</v>
      </c>
      <c r="F83" s="1">
        <v>72</v>
      </c>
      <c r="G83" s="8">
        <v>0.05</v>
      </c>
      <c r="H83" s="1">
        <v>90</v>
      </c>
      <c r="I83" s="1" t="s">
        <v>37</v>
      </c>
      <c r="J83" s="1"/>
      <c r="K83" s="1">
        <v>28</v>
      </c>
      <c r="L83" s="1">
        <f t="shared" si="13"/>
        <v>0</v>
      </c>
      <c r="M83" s="1"/>
      <c r="N83" s="1"/>
      <c r="O83" s="1">
        <v>0</v>
      </c>
      <c r="P83" s="1">
        <v>0</v>
      </c>
      <c r="Q83" s="1">
        <f t="shared" si="14"/>
        <v>5.6</v>
      </c>
      <c r="R83" s="5"/>
      <c r="S83" s="5"/>
      <c r="T83" s="1"/>
      <c r="U83" s="1"/>
      <c r="V83" s="1">
        <f t="shared" si="15"/>
        <v>12.857142857142858</v>
      </c>
      <c r="W83" s="1">
        <f t="shared" si="16"/>
        <v>12.857142857142858</v>
      </c>
      <c r="X83" s="1">
        <v>6.8</v>
      </c>
      <c r="Y83" s="1">
        <v>7.4</v>
      </c>
      <c r="Z83" s="1">
        <v>8.8000000000000007</v>
      </c>
      <c r="AA83" s="1">
        <v>10</v>
      </c>
      <c r="AB83" s="1">
        <v>7.8</v>
      </c>
      <c r="AC83" s="1">
        <v>9.1999999999999993</v>
      </c>
      <c r="AD83" s="1">
        <v>9</v>
      </c>
      <c r="AE83" s="1">
        <v>6</v>
      </c>
      <c r="AF83" s="1"/>
      <c r="AG83" s="1">
        <f>G83*R83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125</v>
      </c>
      <c r="B84" s="1" t="s">
        <v>42</v>
      </c>
      <c r="C84" s="1">
        <v>50</v>
      </c>
      <c r="D84" s="1">
        <v>134</v>
      </c>
      <c r="E84" s="1">
        <v>40</v>
      </c>
      <c r="F84" s="1">
        <v>100</v>
      </c>
      <c r="G84" s="8">
        <v>0.05</v>
      </c>
      <c r="H84" s="1">
        <v>90</v>
      </c>
      <c r="I84" s="1" t="s">
        <v>37</v>
      </c>
      <c r="J84" s="1"/>
      <c r="K84" s="1">
        <v>40</v>
      </c>
      <c r="L84" s="1">
        <f t="shared" si="13"/>
        <v>0</v>
      </c>
      <c r="M84" s="1"/>
      <c r="N84" s="1"/>
      <c r="O84" s="1">
        <v>0</v>
      </c>
      <c r="P84" s="1">
        <v>0</v>
      </c>
      <c r="Q84" s="1">
        <f t="shared" si="14"/>
        <v>8</v>
      </c>
      <c r="R84" s="5"/>
      <c r="S84" s="5"/>
      <c r="T84" s="1"/>
      <c r="U84" s="1"/>
      <c r="V84" s="1">
        <f t="shared" si="15"/>
        <v>12.5</v>
      </c>
      <c r="W84" s="1">
        <f t="shared" si="16"/>
        <v>12.5</v>
      </c>
      <c r="X84" s="1">
        <v>7.4</v>
      </c>
      <c r="Y84" s="1">
        <v>8.8000000000000007</v>
      </c>
      <c r="Z84" s="1">
        <v>10.199999999999999</v>
      </c>
      <c r="AA84" s="1">
        <v>10.8</v>
      </c>
      <c r="AB84" s="1">
        <v>8.1999999999999993</v>
      </c>
      <c r="AC84" s="1">
        <v>9.8000000000000007</v>
      </c>
      <c r="AD84" s="1">
        <v>10.4</v>
      </c>
      <c r="AE84" s="1">
        <v>5</v>
      </c>
      <c r="AF84" s="1"/>
      <c r="AG84" s="1">
        <f>G84*R84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126</v>
      </c>
      <c r="B85" s="1" t="s">
        <v>42</v>
      </c>
      <c r="C85" s="1">
        <v>107</v>
      </c>
      <c r="D85" s="1">
        <v>8</v>
      </c>
      <c r="E85" s="1">
        <v>40</v>
      </c>
      <c r="F85" s="1">
        <v>49</v>
      </c>
      <c r="G85" s="8">
        <v>5.5E-2</v>
      </c>
      <c r="H85" s="1">
        <v>90</v>
      </c>
      <c r="I85" s="1" t="s">
        <v>37</v>
      </c>
      <c r="J85" s="1"/>
      <c r="K85" s="1">
        <v>40</v>
      </c>
      <c r="L85" s="1">
        <f t="shared" si="13"/>
        <v>0</v>
      </c>
      <c r="M85" s="1"/>
      <c r="N85" s="1"/>
      <c r="O85" s="1">
        <v>10.80000000000001</v>
      </c>
      <c r="P85" s="1">
        <v>11.399999999999981</v>
      </c>
      <c r="Q85" s="1">
        <f t="shared" si="14"/>
        <v>8</v>
      </c>
      <c r="R85" s="5">
        <f t="shared" si="18"/>
        <v>24.800000000000011</v>
      </c>
      <c r="S85" s="5"/>
      <c r="T85" s="1"/>
      <c r="U85" s="1"/>
      <c r="V85" s="1">
        <f t="shared" si="15"/>
        <v>12</v>
      </c>
      <c r="W85" s="1">
        <f t="shared" si="16"/>
        <v>8.8999999999999986</v>
      </c>
      <c r="X85" s="1">
        <v>8.1999999999999993</v>
      </c>
      <c r="Y85" s="1">
        <v>9.4</v>
      </c>
      <c r="Z85" s="1">
        <v>9</v>
      </c>
      <c r="AA85" s="1">
        <v>9.8000000000000007</v>
      </c>
      <c r="AB85" s="1">
        <v>9.8000000000000007</v>
      </c>
      <c r="AC85" s="1">
        <v>10.199999999999999</v>
      </c>
      <c r="AD85" s="1">
        <v>8.4</v>
      </c>
      <c r="AE85" s="1">
        <v>4</v>
      </c>
      <c r="AF85" s="1"/>
      <c r="AG85" s="1">
        <f>G85*R85</f>
        <v>1.3640000000000005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127</v>
      </c>
      <c r="B86" s="1" t="s">
        <v>36</v>
      </c>
      <c r="C86" s="1">
        <v>530.69799999999998</v>
      </c>
      <c r="D86" s="1">
        <v>770.56899999999996</v>
      </c>
      <c r="E86" s="1">
        <v>376.197</v>
      </c>
      <c r="F86" s="1">
        <v>470.334</v>
      </c>
      <c r="G86" s="8">
        <v>1</v>
      </c>
      <c r="H86" s="1">
        <v>40</v>
      </c>
      <c r="I86" s="1" t="s">
        <v>37</v>
      </c>
      <c r="J86" s="1"/>
      <c r="K86" s="1">
        <v>342.1</v>
      </c>
      <c r="L86" s="1">
        <f t="shared" si="13"/>
        <v>34.09699999999998</v>
      </c>
      <c r="M86" s="1"/>
      <c r="N86" s="1"/>
      <c r="O86" s="1">
        <v>108.1630000000001</v>
      </c>
      <c r="P86" s="1">
        <v>188.864</v>
      </c>
      <c r="Q86" s="1">
        <f t="shared" si="14"/>
        <v>75.239400000000003</v>
      </c>
      <c r="R86" s="5">
        <f t="shared" si="18"/>
        <v>135.51179999999994</v>
      </c>
      <c r="S86" s="5"/>
      <c r="T86" s="1"/>
      <c r="U86" s="1"/>
      <c r="V86" s="1">
        <f t="shared" si="15"/>
        <v>12</v>
      </c>
      <c r="W86" s="1">
        <f t="shared" si="16"/>
        <v>10.198925031300091</v>
      </c>
      <c r="X86" s="1">
        <v>78.774599999999992</v>
      </c>
      <c r="Y86" s="1">
        <v>76.481799999999993</v>
      </c>
      <c r="Z86" s="1">
        <v>73.070799999999991</v>
      </c>
      <c r="AA86" s="1">
        <v>81.353800000000007</v>
      </c>
      <c r="AB86" s="1">
        <v>88.741399999999999</v>
      </c>
      <c r="AC86" s="1">
        <v>88.093600000000009</v>
      </c>
      <c r="AD86" s="1">
        <v>89.101599999999991</v>
      </c>
      <c r="AE86" s="1">
        <v>67.333399999999997</v>
      </c>
      <c r="AF86" s="1" t="s">
        <v>51</v>
      </c>
      <c r="AG86" s="1">
        <f>G86*R86</f>
        <v>135.51179999999994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128</v>
      </c>
      <c r="B87" s="1" t="s">
        <v>36</v>
      </c>
      <c r="C87" s="1"/>
      <c r="D87" s="1"/>
      <c r="E87" s="1"/>
      <c r="F87" s="1"/>
      <c r="G87" s="8">
        <v>1</v>
      </c>
      <c r="H87" s="1">
        <v>60</v>
      </c>
      <c r="I87" s="1" t="s">
        <v>37</v>
      </c>
      <c r="J87" s="1"/>
      <c r="K87" s="1"/>
      <c r="L87" s="1">
        <f t="shared" si="13"/>
        <v>0</v>
      </c>
      <c r="M87" s="1"/>
      <c r="N87" s="1"/>
      <c r="O87" s="1"/>
      <c r="P87" s="11"/>
      <c r="Q87" s="1">
        <f t="shared" si="14"/>
        <v>0</v>
      </c>
      <c r="R87" s="15">
        <v>4</v>
      </c>
      <c r="S87" s="5"/>
      <c r="T87" s="1"/>
      <c r="U87" s="1"/>
      <c r="V87" s="1" t="e">
        <f t="shared" si="15"/>
        <v>#DIV/0!</v>
      </c>
      <c r="W87" s="1" t="e">
        <f t="shared" si="16"/>
        <v>#DIV/0!</v>
      </c>
      <c r="X87" s="1">
        <v>-0.186</v>
      </c>
      <c r="Y87" s="1">
        <v>-2.9481999999999999</v>
      </c>
      <c r="Z87" s="1">
        <v>-2.7622</v>
      </c>
      <c r="AA87" s="1">
        <v>0</v>
      </c>
      <c r="AB87" s="1">
        <v>0</v>
      </c>
      <c r="AC87" s="1">
        <v>3.6375999999999999</v>
      </c>
      <c r="AD87" s="1">
        <v>4.3696000000000002</v>
      </c>
      <c r="AE87" s="1">
        <v>7.793000000000001</v>
      </c>
      <c r="AF87" s="11" t="s">
        <v>129</v>
      </c>
      <c r="AG87" s="1">
        <f>G87*R87</f>
        <v>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130</v>
      </c>
      <c r="B88" s="1" t="s">
        <v>42</v>
      </c>
      <c r="C88" s="1">
        <v>99</v>
      </c>
      <c r="D88" s="1">
        <v>149</v>
      </c>
      <c r="E88" s="1">
        <v>97</v>
      </c>
      <c r="F88" s="1">
        <v>141</v>
      </c>
      <c r="G88" s="8">
        <v>0.3</v>
      </c>
      <c r="H88" s="1">
        <v>40</v>
      </c>
      <c r="I88" s="1" t="s">
        <v>37</v>
      </c>
      <c r="J88" s="1"/>
      <c r="K88" s="1">
        <v>135</v>
      </c>
      <c r="L88" s="1">
        <f t="shared" si="13"/>
        <v>-38</v>
      </c>
      <c r="M88" s="1"/>
      <c r="N88" s="1"/>
      <c r="O88" s="1">
        <v>66.000000000000028</v>
      </c>
      <c r="P88" s="1">
        <v>79.399999999999977</v>
      </c>
      <c r="Q88" s="1">
        <f t="shared" si="14"/>
        <v>19.399999999999999</v>
      </c>
      <c r="R88" s="5"/>
      <c r="S88" s="5"/>
      <c r="T88" s="1"/>
      <c r="U88" s="1"/>
      <c r="V88" s="1">
        <f t="shared" si="15"/>
        <v>14.762886597938143</v>
      </c>
      <c r="W88" s="1">
        <f t="shared" si="16"/>
        <v>14.762886597938143</v>
      </c>
      <c r="X88" s="1">
        <v>26</v>
      </c>
      <c r="Y88" s="1">
        <v>24.8</v>
      </c>
      <c r="Z88" s="1">
        <v>24.6</v>
      </c>
      <c r="AA88" s="1">
        <v>16.8</v>
      </c>
      <c r="AB88" s="1">
        <v>23.2</v>
      </c>
      <c r="AC88" s="1">
        <v>19</v>
      </c>
      <c r="AD88" s="1">
        <v>3.2</v>
      </c>
      <c r="AE88" s="1">
        <v>7</v>
      </c>
      <c r="AF88" s="1"/>
      <c r="AG88" s="1">
        <f>G88*R88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131</v>
      </c>
      <c r="B89" s="1" t="s">
        <v>42</v>
      </c>
      <c r="C89" s="1">
        <v>67</v>
      </c>
      <c r="D89" s="1">
        <v>64</v>
      </c>
      <c r="E89" s="1">
        <v>48</v>
      </c>
      <c r="F89" s="1">
        <v>33</v>
      </c>
      <c r="G89" s="8">
        <v>0.3</v>
      </c>
      <c r="H89" s="1">
        <v>40</v>
      </c>
      <c r="I89" s="1" t="s">
        <v>37</v>
      </c>
      <c r="J89" s="1"/>
      <c r="K89" s="1">
        <v>53</v>
      </c>
      <c r="L89" s="1">
        <f t="shared" si="13"/>
        <v>-5</v>
      </c>
      <c r="M89" s="1"/>
      <c r="N89" s="1"/>
      <c r="O89" s="1">
        <v>58.200000000000017</v>
      </c>
      <c r="P89" s="1">
        <v>8.7999999999999829</v>
      </c>
      <c r="Q89" s="1">
        <f t="shared" si="14"/>
        <v>9.6</v>
      </c>
      <c r="R89" s="5">
        <f t="shared" si="18"/>
        <v>15.199999999999989</v>
      </c>
      <c r="S89" s="5"/>
      <c r="T89" s="1"/>
      <c r="U89" s="1"/>
      <c r="V89" s="1">
        <f t="shared" si="15"/>
        <v>12</v>
      </c>
      <c r="W89" s="1">
        <f t="shared" si="16"/>
        <v>10.416666666666668</v>
      </c>
      <c r="X89" s="1">
        <v>11.4</v>
      </c>
      <c r="Y89" s="1">
        <v>11.8</v>
      </c>
      <c r="Z89" s="1">
        <v>10.4</v>
      </c>
      <c r="AA89" s="1">
        <v>9.8000000000000007</v>
      </c>
      <c r="AB89" s="1">
        <v>12.8</v>
      </c>
      <c r="AC89" s="1">
        <v>11.8</v>
      </c>
      <c r="AD89" s="1">
        <v>9</v>
      </c>
      <c r="AE89" s="1">
        <v>9.6</v>
      </c>
      <c r="AF89" s="1" t="s">
        <v>132</v>
      </c>
      <c r="AG89" s="1">
        <f>G89*R89</f>
        <v>4.5599999999999961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133</v>
      </c>
      <c r="B90" s="1" t="s">
        <v>36</v>
      </c>
      <c r="C90" s="1">
        <v>17.198</v>
      </c>
      <c r="D90" s="1">
        <v>12.585000000000001</v>
      </c>
      <c r="E90" s="1">
        <v>7.8940000000000001</v>
      </c>
      <c r="F90" s="1">
        <v>17.693999999999999</v>
      </c>
      <c r="G90" s="8">
        <v>1</v>
      </c>
      <c r="H90" s="1">
        <v>50</v>
      </c>
      <c r="I90" s="1" t="s">
        <v>37</v>
      </c>
      <c r="J90" s="1"/>
      <c r="K90" s="1">
        <v>7.85</v>
      </c>
      <c r="L90" s="1">
        <f t="shared" si="13"/>
        <v>4.4000000000000483E-2</v>
      </c>
      <c r="M90" s="1"/>
      <c r="N90" s="1"/>
      <c r="O90" s="1">
        <v>0</v>
      </c>
      <c r="P90" s="1">
        <v>8.3685999999999972</v>
      </c>
      <c r="Q90" s="1">
        <f t="shared" si="14"/>
        <v>1.5788</v>
      </c>
      <c r="R90" s="5"/>
      <c r="S90" s="5"/>
      <c r="T90" s="1"/>
      <c r="U90" s="1"/>
      <c r="V90" s="1">
        <f t="shared" si="15"/>
        <v>16.507854066379526</v>
      </c>
      <c r="W90" s="1">
        <f t="shared" si="16"/>
        <v>16.507854066379526</v>
      </c>
      <c r="X90" s="1">
        <v>1.8406</v>
      </c>
      <c r="Y90" s="1">
        <v>1.6042000000000001</v>
      </c>
      <c r="Z90" s="1">
        <v>1.8904000000000001</v>
      </c>
      <c r="AA90" s="1">
        <v>1.8812</v>
      </c>
      <c r="AB90" s="1">
        <v>1.3391999999999999</v>
      </c>
      <c r="AC90" s="1">
        <v>2.1888000000000001</v>
      </c>
      <c r="AD90" s="1">
        <v>2.1859999999999999</v>
      </c>
      <c r="AE90" s="1">
        <v>0.53859999999999997</v>
      </c>
      <c r="AF90" s="16" t="s">
        <v>112</v>
      </c>
      <c r="AG90" s="1">
        <f>G90*R90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134</v>
      </c>
      <c r="B91" s="1" t="s">
        <v>42</v>
      </c>
      <c r="C91" s="1">
        <v>24</v>
      </c>
      <c r="D91" s="1">
        <v>80</v>
      </c>
      <c r="E91" s="1">
        <v>53</v>
      </c>
      <c r="F91" s="1">
        <v>24</v>
      </c>
      <c r="G91" s="8">
        <v>0.3</v>
      </c>
      <c r="H91" s="1">
        <v>40</v>
      </c>
      <c r="I91" s="1" t="s">
        <v>37</v>
      </c>
      <c r="J91" s="1"/>
      <c r="K91" s="1">
        <v>54</v>
      </c>
      <c r="L91" s="1">
        <f t="shared" si="13"/>
        <v>-1</v>
      </c>
      <c r="M91" s="1"/>
      <c r="N91" s="1"/>
      <c r="O91" s="1">
        <v>49.599999999999987</v>
      </c>
      <c r="P91" s="1">
        <v>19</v>
      </c>
      <c r="Q91" s="1">
        <f t="shared" si="14"/>
        <v>10.6</v>
      </c>
      <c r="R91" s="5">
        <f t="shared" si="18"/>
        <v>34.6</v>
      </c>
      <c r="S91" s="5"/>
      <c r="T91" s="1"/>
      <c r="U91" s="1"/>
      <c r="V91" s="1">
        <f t="shared" si="15"/>
        <v>12</v>
      </c>
      <c r="W91" s="1">
        <f t="shared" si="16"/>
        <v>8.7358490566037741</v>
      </c>
      <c r="X91" s="1">
        <v>10.8</v>
      </c>
      <c r="Y91" s="1">
        <v>10.4</v>
      </c>
      <c r="Z91" s="1">
        <v>9.4</v>
      </c>
      <c r="AA91" s="1">
        <v>7.8</v>
      </c>
      <c r="AB91" s="1">
        <v>7.6</v>
      </c>
      <c r="AC91" s="1">
        <v>8.6</v>
      </c>
      <c r="AD91" s="1">
        <v>6.8</v>
      </c>
      <c r="AE91" s="1">
        <v>5.6</v>
      </c>
      <c r="AF91" s="1"/>
      <c r="AG91" s="1">
        <f>G91*R91</f>
        <v>10.38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135</v>
      </c>
      <c r="B92" s="1" t="s">
        <v>42</v>
      </c>
      <c r="C92" s="1">
        <v>66</v>
      </c>
      <c r="D92" s="1">
        <v>14</v>
      </c>
      <c r="E92" s="1">
        <v>20</v>
      </c>
      <c r="F92" s="1">
        <v>39</v>
      </c>
      <c r="G92" s="8">
        <v>0.12</v>
      </c>
      <c r="H92" s="1">
        <v>45</v>
      </c>
      <c r="I92" s="1" t="s">
        <v>37</v>
      </c>
      <c r="J92" s="1"/>
      <c r="K92" s="1">
        <v>27</v>
      </c>
      <c r="L92" s="1">
        <f t="shared" si="13"/>
        <v>-7</v>
      </c>
      <c r="M92" s="1"/>
      <c r="N92" s="1"/>
      <c r="O92" s="1">
        <v>0</v>
      </c>
      <c r="P92" s="1">
        <v>0</v>
      </c>
      <c r="Q92" s="1">
        <f t="shared" si="14"/>
        <v>4</v>
      </c>
      <c r="R92" s="5">
        <f t="shared" si="18"/>
        <v>9</v>
      </c>
      <c r="S92" s="5"/>
      <c r="T92" s="1"/>
      <c r="U92" s="1"/>
      <c r="V92" s="1">
        <f t="shared" si="15"/>
        <v>12</v>
      </c>
      <c r="W92" s="1">
        <f t="shared" si="16"/>
        <v>9.75</v>
      </c>
      <c r="X92" s="1">
        <v>4.4000000000000004</v>
      </c>
      <c r="Y92" s="1">
        <v>3.6</v>
      </c>
      <c r="Z92" s="1">
        <v>4.8</v>
      </c>
      <c r="AA92" s="1">
        <v>4.4000000000000004</v>
      </c>
      <c r="AB92" s="1">
        <v>2.8</v>
      </c>
      <c r="AC92" s="1">
        <v>7.4</v>
      </c>
      <c r="AD92" s="1">
        <v>5.8</v>
      </c>
      <c r="AE92" s="1">
        <v>1.2</v>
      </c>
      <c r="AF92" s="16" t="s">
        <v>112</v>
      </c>
      <c r="AG92" s="1">
        <f>G92*R92</f>
        <v>1.08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1" t="s">
        <v>136</v>
      </c>
      <c r="B93" s="1" t="s">
        <v>36</v>
      </c>
      <c r="C93" s="1"/>
      <c r="D93" s="1"/>
      <c r="E93" s="1"/>
      <c r="F93" s="1"/>
      <c r="G93" s="8">
        <v>1</v>
      </c>
      <c r="H93" s="1">
        <v>180</v>
      </c>
      <c r="I93" s="1" t="s">
        <v>37</v>
      </c>
      <c r="J93" s="1"/>
      <c r="K93" s="1"/>
      <c r="L93" s="1">
        <f t="shared" si="13"/>
        <v>0</v>
      </c>
      <c r="M93" s="1"/>
      <c r="N93" s="1"/>
      <c r="O93" s="1"/>
      <c r="P93" s="11"/>
      <c r="Q93" s="1">
        <f t="shared" si="14"/>
        <v>0</v>
      </c>
      <c r="R93" s="15">
        <v>4</v>
      </c>
      <c r="S93" s="5"/>
      <c r="T93" s="1"/>
      <c r="U93" s="1"/>
      <c r="V93" s="1" t="e">
        <f t="shared" si="15"/>
        <v>#DIV/0!</v>
      </c>
      <c r="W93" s="1" t="e">
        <f t="shared" si="16"/>
        <v>#DIV/0!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1" t="s">
        <v>129</v>
      </c>
      <c r="AG93" s="1">
        <f>G93*R93</f>
        <v>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G93" xr:uid="{538AEC7D-88A2-45B3-B1F7-8FC991384A4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2025-12-04T10:54:49Z</dcterms:created>
  <dcterms:modified xsi:type="dcterms:W3CDTF">2025-12-04T11:10:21Z</dcterms:modified>
</cp:coreProperties>
</file>