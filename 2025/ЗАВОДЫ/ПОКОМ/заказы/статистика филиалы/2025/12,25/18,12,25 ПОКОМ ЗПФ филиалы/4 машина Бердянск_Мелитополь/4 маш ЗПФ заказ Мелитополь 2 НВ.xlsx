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6B9CC075-696C-4627-8620-3F067EA69F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<sst xmlns="http://schemas.openxmlformats.org/spreadsheetml/2006/main" count="1222" uniqueCount="394">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</sst>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5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36</v>
      </c>
      <c r="Y46" s="269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201.6</v>
      </c>
      <c r="Y49" s="270">
        <f>IFERROR(SUMPRODUCT(Y45:Y47*H45:H47),"0")</f>
        <v>201.6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146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153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157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158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1.2516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customHeight="1" x14ac:dyDescent="0.25">
      <c r="A95" s="284" t="s">
        <v>165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70</v>
      </c>
      <c r="Y103" s="270">
        <f>IFERROR(SUM(Y97:Y102),"0")</f>
        <v>70</v>
      </c>
      <c r="Z103" s="270">
        <f>IFERROR(IF(Z97="",0,Z97),"0")+IFERROR(IF(Z98="",0,Z98),"0")+IFERROR(IF(Z99="",0,Z99),"0")+IFERROR(IF(Z100="",0,Z100),"0")+IFERROR(IF(Z101="",0,Z101),"0")+IFERROR(IF(Z102="",0,Z102),"0")</f>
        <v>1.2516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201.6</v>
      </c>
      <c r="Y104" s="270">
        <f>IFERROR(SUMPRODUCT(Y97:Y102*H97:H102),"0")</f>
        <v>201.6</v>
      </c>
      <c r="Z104" s="37"/>
      <c r="AA104" s="271"/>
      <c r="AB104" s="271"/>
      <c r="AC104" s="271"/>
    </row>
    <row r="105" spans="1:68" ht="16.5" customHeight="1" x14ac:dyDescent="0.25">
      <c r="A105" s="284" t="s">
        <v>180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70</v>
      </c>
      <c r="Y108" s="269">
        <f>IFERROR(IF(X108="","",X108),"")</f>
        <v>70</v>
      </c>
      <c r="Z108" s="36">
        <f>IFERROR(IF(X108="","",X108*0.01788),"")</f>
        <v>1.2516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297.08</v>
      </c>
      <c r="BN108" s="67">
        <f>IFERROR(Y108*I108,"0")</f>
        <v>297.08</v>
      </c>
      <c r="BO108" s="67">
        <f>IFERROR(X108/J108,"0")</f>
        <v>1</v>
      </c>
      <c r="BP108" s="67">
        <f>IFERROR(Y108/J108,"0")</f>
        <v>1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70</v>
      </c>
      <c r="Y109" s="270">
        <f>IFERROR(SUM(Y107:Y108),"0")</f>
        <v>70</v>
      </c>
      <c r="Z109" s="270">
        <f>IFERROR(IF(Z107="",0,Z107),"0")+IFERROR(IF(Z108="",0,Z108),"0")</f>
        <v>1.2516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252</v>
      </c>
      <c r="Y110" s="270">
        <f>IFERROR(SUMPRODUCT(Y107:Y108*H107:H108),"0")</f>
        <v>252</v>
      </c>
      <c r="Z110" s="37"/>
      <c r="AA110" s="271"/>
      <c r="AB110" s="271"/>
      <c r="AC110" s="271"/>
    </row>
    <row r="111" spans="1:68" ht="16.5" customHeight="1" x14ac:dyDescent="0.25">
      <c r="A111" s="284" t="s">
        <v>186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84</v>
      </c>
      <c r="Y119" s="269">
        <f t="shared" si="12"/>
        <v>84</v>
      </c>
      <c r="Z119" s="36">
        <f t="shared" si="13"/>
        <v>1.302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84</v>
      </c>
      <c r="Y121" s="270">
        <f>IFERROR(SUM(Y113:Y120),"0")</f>
        <v>84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1.302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588</v>
      </c>
      <c r="Y122" s="270">
        <f>IFERROR(SUMPRODUCT(Y113:Y120*H113:H120),"0")</f>
        <v>588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208</v>
      </c>
      <c r="B124" s="54" t="s">
        <v>209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211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212</v>
      </c>
      <c r="B128" s="54" t="s">
        <v>213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215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70</v>
      </c>
      <c r="Y133" s="269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140</v>
      </c>
      <c r="Y135" s="270">
        <f>IFERROR(SUM(Y133:Y134),"0")</f>
        <v>140</v>
      </c>
      <c r="Z135" s="270">
        <f>IFERROR(IF(Z133="",0,Z133),"0")+IFERROR(IF(Z134="",0,Z134),"0")</f>
        <v>2.5032000000000001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420</v>
      </c>
      <c r="Y136" s="270">
        <f>IFERROR(SUMPRODUCT(Y133:Y134*H133:H134),"0")</f>
        <v>420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211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140</v>
      </c>
      <c r="Y166" s="269">
        <f>IFERROR(IF(X166="","",X166),"")</f>
        <v>140</v>
      </c>
      <c r="Z166" s="36">
        <f>IFERROR(IF(X166="","",X166*0.00941),"")</f>
        <v>1.3173999999999999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294.25200000000001</v>
      </c>
      <c r="BN166" s="67">
        <f>IFERROR(Y166*I166,"0")</f>
        <v>294.25200000000001</v>
      </c>
      <c r="BO166" s="67">
        <f>IFERROR(X166/J166,"0")</f>
        <v>1</v>
      </c>
      <c r="BP166" s="67">
        <f>IFERROR(Y166/J166,"0")</f>
        <v>1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140</v>
      </c>
      <c r="Y167" s="270">
        <f>IFERROR(SUM(Y166:Y166),"0")</f>
        <v>140</v>
      </c>
      <c r="Z167" s="270">
        <f>IFERROR(IF(Z166="",0,Z166),"0")</f>
        <v>1.3173999999999999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235.2</v>
      </c>
      <c r="Y168" s="270">
        <f>IFERROR(SUMPRODUCT(Y166:Y166*H166:H166),"0")</f>
        <v>235.2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2150.4</v>
      </c>
      <c r="Y270" s="270">
        <f>IFERROR(Y29+Y35+Y42+Y49+Y57+Y62+Y66+Y71+Y77+Y83+Y88+Y94+Y104+Y110+Y122+Y126+Y130+Y136+Y142+Y148+Y153+Y158+Y163+Y168+Y175+Y183+Y187+Y193+Y201+Y206+Y211+Y216+Y222+Y228+Y234+Y238+Y245+Y250+Y256+Y269,"0")</f>
        <v>2150.4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2486.4599999999996</v>
      </c>
      <c r="Y271" s="270">
        <f>IFERROR(SUM(BN22:BN267),"0")</f>
        <v>2486.4599999999996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8</v>
      </c>
      <c r="Y272" s="38">
        <f>ROUNDUP(SUM(BP22:BP267),0)</f>
        <v>8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2686.4599999999996</v>
      </c>
      <c r="Y273" s="270">
        <f>GrossWeightTotalR+PalletQtyTotalR*25</f>
        <v>2686.4599999999996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610</v>
      </c>
      <c r="Y274" s="270">
        <f>IFERROR(Y28+Y34+Y41+Y48+Y56+Y61+Y65+Y70+Y76+Y82+Y87+Y93+Y103+Y109+Y121+Y125+Y129+Y135+Y141+Y147+Y152+Y157+Y162+Y167+Y174+Y182+Y186+Y192+Y200+Y205+Y210+Y215+Y221+Y227+Y233+Y237+Y244+Y249+Y255+Y268,"0")</f>
        <v>610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9.4353999999999996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146</v>
      </c>
      <c r="I278" s="289" t="s">
        <v>153</v>
      </c>
      <c r="J278" s="289" t="s">
        <v>157</v>
      </c>
      <c r="K278" s="289" t="s">
        <v>165</v>
      </c>
      <c r="L278" s="289" t="s">
        <v>180</v>
      </c>
      <c r="M278" s="289" t="s">
        <v>186</v>
      </c>
      <c r="N278" s="266"/>
      <c r="O278" s="289" t="s">
        <v>215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201.6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201.6</v>
      </c>
      <c r="L280" s="46">
        <f>IFERROR(X107*H107,"0")+IFERROR(X108*H108,"0")</f>
        <v>252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588</v>
      </c>
      <c r="N280" s="266"/>
      <c r="O280" s="46">
        <f>IFERROR(X133*H133,"0")+IFERROR(X134*H134,"0")</f>
        <v>420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235.2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789.6</v>
      </c>
      <c r="B283" s="60">
        <f>SUMPRODUCT(--(BB:BB="ПГП"),--(W:W="кор"),H:H,Y:Y)+SUMPRODUCT(--(BB:BB="ПГП"),--(W:W="кг"),Y:Y)</f>
        <v>1360.8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