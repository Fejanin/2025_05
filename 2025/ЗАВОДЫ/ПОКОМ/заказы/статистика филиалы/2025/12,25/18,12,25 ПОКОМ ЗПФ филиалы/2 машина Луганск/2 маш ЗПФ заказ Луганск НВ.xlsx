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Lug\"/>
    </mc:Choice>
  </mc:AlternateContent>
  <xr:revisionPtr revIDLastSave="0" documentId="13_ncr:1_{905E41F6-D549-4BD6-A8FB-3D0908ED63E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заказа'!$X$273:$X$273</definedName>
    <definedName name="GrossWeightTotalR">'Бланк заказа'!$Y$273:$Y$273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заказа'!$X$274:$X$274</definedName>
    <definedName name="PalletQtyTotalR">'Бланк заказа'!$Y$274:$Y$274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заказа'!$B$158:$B$158</definedName>
    <definedName name="ProductId58">'Бланк заказа'!$B$163:$B$163</definedName>
    <definedName name="ProductId59">'Бланк заказа'!$B$168:$B$168</definedName>
    <definedName name="ProductId6">'Бланк заказа'!$B$27:$B$27</definedName>
    <definedName name="ProductId60">'Бланк заказа'!$B$174:$B$174</definedName>
    <definedName name="ProductId61">'Бланк заказа'!$B$175:$B$175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заказа'!$B$215:$B$215</definedName>
    <definedName name="ProductId75">'Бланк заказа'!$B$216:$B$216</definedName>
    <definedName name="ProductId76">'Бланк заказа'!$B$222:$B$222</definedName>
    <definedName name="ProductId77">'Бланк заказа'!$B$228:$B$228</definedName>
    <definedName name="ProductId78">'Бланк заказа'!$B$234:$B$234</definedName>
    <definedName name="ProductId79">'Бланк заказа'!$B$238:$B$238</definedName>
    <definedName name="ProductId8">'Бланк заказа'!$B$33:$B$33</definedName>
    <definedName name="ProductId80">'Бланк заказа'!$B$244:$B$244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ductId96">'Бланк заказа'!$B$269:$B$269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заказа'!$X$158:$X$158</definedName>
    <definedName name="SalesQty58">'Бланк заказа'!$X$163:$X$163</definedName>
    <definedName name="SalesQty59">'Бланк заказа'!$X$168:$X$168</definedName>
    <definedName name="SalesQty6">'Бланк заказа'!$X$27:$X$27</definedName>
    <definedName name="SalesQty60">'Бланк заказа'!$X$174:$X$174</definedName>
    <definedName name="SalesQty61">'Бланк заказа'!$X$175:$X$175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заказа'!$X$215:$X$215</definedName>
    <definedName name="SalesQty75">'Бланк заказа'!$X$216:$X$216</definedName>
    <definedName name="SalesQty76">'Бланк заказа'!$X$222:$X$222</definedName>
    <definedName name="SalesQty77">'Бланк заказа'!$X$228:$X$228</definedName>
    <definedName name="SalesQty78">'Бланк заказа'!$X$234:$X$234</definedName>
    <definedName name="SalesQty79">'Бланк заказа'!$X$238:$X$238</definedName>
    <definedName name="SalesQty8">'Бланк заказа'!$X$33:$X$33</definedName>
    <definedName name="SalesQty80">'Бланк заказа'!$X$244:$X$244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Qty96">'Бланк заказа'!$X$269:$X$269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заказа'!$Y$158:$Y$158</definedName>
    <definedName name="SalesRoundBox58">'Бланк заказа'!$Y$163:$Y$163</definedName>
    <definedName name="SalesRoundBox59">'Бланк заказа'!$Y$168:$Y$168</definedName>
    <definedName name="SalesRoundBox6">'Бланк заказа'!$Y$27:$Y$27</definedName>
    <definedName name="SalesRoundBox60">'Бланк заказа'!$Y$174:$Y$174</definedName>
    <definedName name="SalesRoundBox61">'Бланк заказа'!$Y$175:$Y$175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заказа'!$Y$215:$Y$215</definedName>
    <definedName name="SalesRoundBox75">'Бланк заказа'!$Y$216:$Y$216</definedName>
    <definedName name="SalesRoundBox76">'Бланк заказа'!$Y$222:$Y$222</definedName>
    <definedName name="SalesRoundBox77">'Бланк заказа'!$Y$228:$Y$228</definedName>
    <definedName name="SalesRoundBox78">'Бланк заказа'!$Y$234:$Y$234</definedName>
    <definedName name="SalesRoundBox79">'Бланк заказа'!$Y$238:$Y$238</definedName>
    <definedName name="SalesRoundBox8">'Бланк заказа'!$Y$33:$Y$33</definedName>
    <definedName name="SalesRoundBox80">'Бланк заказа'!$Y$244:$Y$244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SalesRoundBox96">'Бланк заказа'!$Y$269:$Y$269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заказа'!$W$158:$W$158</definedName>
    <definedName name="UnitOfMeasure58">'Бланк заказа'!$W$163:$W$163</definedName>
    <definedName name="UnitOfMeasure59">'Бланк заказа'!$W$168:$W$168</definedName>
    <definedName name="UnitOfMeasure6">'Бланк заказа'!$W$27:$W$27</definedName>
    <definedName name="UnitOfMeasure60">'Бланк заказа'!$W$174:$W$174</definedName>
    <definedName name="UnitOfMeasure61">'Бланк заказа'!$W$175:$W$175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заказа'!$W$215:$W$215</definedName>
    <definedName name="UnitOfMeasure75">'Бланк заказа'!$W$216:$W$216</definedName>
    <definedName name="UnitOfMeasure76">'Бланк заказа'!$W$222:$W$222</definedName>
    <definedName name="UnitOfMeasure77">'Бланк заказа'!$W$228:$W$228</definedName>
    <definedName name="UnitOfMeasure78">'Бланк заказа'!$W$234:$W$234</definedName>
    <definedName name="UnitOfMeasure79">'Бланк заказа'!$W$238:$W$238</definedName>
    <definedName name="UnitOfMeasure8">'Бланк заказа'!$W$33:$W$33</definedName>
    <definedName name="UnitOfMeasure80">'Бланк заказа'!$W$244:$W$244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itOfMeasure96">'Бланк заказа'!$W$269:$W$269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2" i="1" l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Y271" i="1"/>
  <c r="X271" i="1"/>
  <c r="Z270" i="1"/>
  <c r="X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Y270" i="1" s="1"/>
  <c r="P260" i="1"/>
  <c r="X258" i="1"/>
  <c r="X257" i="1"/>
  <c r="BP256" i="1"/>
  <c r="BO256" i="1"/>
  <c r="BN256" i="1"/>
  <c r="BM256" i="1"/>
  <c r="Z256" i="1"/>
  <c r="Y256" i="1"/>
  <c r="P256" i="1"/>
  <c r="BO255" i="1"/>
  <c r="BM255" i="1"/>
  <c r="Z255" i="1"/>
  <c r="Y255" i="1"/>
  <c r="P255" i="1"/>
  <c r="BP254" i="1"/>
  <c r="BO254" i="1"/>
  <c r="BN254" i="1"/>
  <c r="BM254" i="1"/>
  <c r="Z254" i="1"/>
  <c r="Z257" i="1" s="1"/>
  <c r="Y254" i="1"/>
  <c r="Y258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Z249" i="1"/>
  <c r="Z251" i="1" s="1"/>
  <c r="Y249" i="1"/>
  <c r="P249" i="1"/>
  <c r="X247" i="1"/>
  <c r="X246" i="1"/>
  <c r="BO245" i="1"/>
  <c r="BM245" i="1"/>
  <c r="Z245" i="1"/>
  <c r="Y245" i="1"/>
  <c r="P245" i="1"/>
  <c r="BP244" i="1"/>
  <c r="BO244" i="1"/>
  <c r="BN244" i="1"/>
  <c r="BM244" i="1"/>
  <c r="Z244" i="1"/>
  <c r="Z246" i="1" s="1"/>
  <c r="Y244" i="1"/>
  <c r="P244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Y235" i="1"/>
  <c r="X235" i="1"/>
  <c r="BP234" i="1"/>
  <c r="BO234" i="1"/>
  <c r="BN234" i="1"/>
  <c r="BM234" i="1"/>
  <c r="Z234" i="1"/>
  <c r="Z235" i="1" s="1"/>
  <c r="Y234" i="1"/>
  <c r="Y236" i="1" s="1"/>
  <c r="P234" i="1"/>
  <c r="X230" i="1"/>
  <c r="Y229" i="1"/>
  <c r="X229" i="1"/>
  <c r="BP228" i="1"/>
  <c r="BO228" i="1"/>
  <c r="BN228" i="1"/>
  <c r="BM228" i="1"/>
  <c r="Z228" i="1"/>
  <c r="Z229" i="1" s="1"/>
  <c r="Y228" i="1"/>
  <c r="Y230" i="1" s="1"/>
  <c r="P228" i="1"/>
  <c r="X224" i="1"/>
  <c r="Y223" i="1"/>
  <c r="X223" i="1"/>
  <c r="BP222" i="1"/>
  <c r="BO222" i="1"/>
  <c r="BN222" i="1"/>
  <c r="BM222" i="1"/>
  <c r="Z222" i="1"/>
  <c r="Z223" i="1" s="1"/>
  <c r="Y222" i="1"/>
  <c r="Y224" i="1" s="1"/>
  <c r="P222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P215" i="1"/>
  <c r="Y213" i="1"/>
  <c r="X213" i="1"/>
  <c r="Z212" i="1"/>
  <c r="X212" i="1"/>
  <c r="BO211" i="1"/>
  <c r="BM211" i="1"/>
  <c r="Z211" i="1"/>
  <c r="Y211" i="1"/>
  <c r="P211" i="1"/>
  <c r="X208" i="1"/>
  <c r="Z207" i="1"/>
  <c r="X207" i="1"/>
  <c r="BO206" i="1"/>
  <c r="BM206" i="1"/>
  <c r="Z206" i="1"/>
  <c r="Y206" i="1"/>
  <c r="P206" i="1"/>
  <c r="Y203" i="1"/>
  <c r="X203" i="1"/>
  <c r="Z202" i="1"/>
  <c r="X202" i="1"/>
  <c r="BO201" i="1"/>
  <c r="BM201" i="1"/>
  <c r="Z201" i="1"/>
  <c r="Y201" i="1"/>
  <c r="P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X195" i="1"/>
  <c r="Z194" i="1"/>
  <c r="X194" i="1"/>
  <c r="BO193" i="1"/>
  <c r="BM193" i="1"/>
  <c r="Z193" i="1"/>
  <c r="Y193" i="1"/>
  <c r="P193" i="1"/>
  <c r="Y189" i="1"/>
  <c r="X189" i="1"/>
  <c r="Z188" i="1"/>
  <c r="X188" i="1"/>
  <c r="BO187" i="1"/>
  <c r="BM187" i="1"/>
  <c r="Z187" i="1"/>
  <c r="Y187" i="1"/>
  <c r="X185" i="1"/>
  <c r="X184" i="1"/>
  <c r="BP183" i="1"/>
  <c r="BO183" i="1"/>
  <c r="BN183" i="1"/>
  <c r="BM183" i="1"/>
  <c r="Z183" i="1"/>
  <c r="Y183" i="1"/>
  <c r="P183" i="1"/>
  <c r="BO182" i="1"/>
  <c r="BM182" i="1"/>
  <c r="Z182" i="1"/>
  <c r="Y182" i="1"/>
  <c r="P182" i="1"/>
  <c r="BP181" i="1"/>
  <c r="BO181" i="1"/>
  <c r="BN181" i="1"/>
  <c r="BM181" i="1"/>
  <c r="Z181" i="1"/>
  <c r="Z184" i="1" s="1"/>
  <c r="Y181" i="1"/>
  <c r="Y185" i="1" s="1"/>
  <c r="P181" i="1"/>
  <c r="X177" i="1"/>
  <c r="X176" i="1"/>
  <c r="BP175" i="1"/>
  <c r="BO175" i="1"/>
  <c r="BN175" i="1"/>
  <c r="BM175" i="1"/>
  <c r="Z175" i="1"/>
  <c r="Y175" i="1"/>
  <c r="P175" i="1"/>
  <c r="BO174" i="1"/>
  <c r="BM174" i="1"/>
  <c r="Z174" i="1"/>
  <c r="Z176" i="1" s="1"/>
  <c r="Y174" i="1"/>
  <c r="P174" i="1"/>
  <c r="X170" i="1"/>
  <c r="Z169" i="1"/>
  <c r="X169" i="1"/>
  <c r="BO168" i="1"/>
  <c r="BM168" i="1"/>
  <c r="Z168" i="1"/>
  <c r="Y168" i="1"/>
  <c r="P168" i="1"/>
  <c r="Y165" i="1"/>
  <c r="X165" i="1"/>
  <c r="Z164" i="1"/>
  <c r="X164" i="1"/>
  <c r="BO163" i="1"/>
  <c r="BM163" i="1"/>
  <c r="Z163" i="1"/>
  <c r="Y163" i="1"/>
  <c r="P163" i="1"/>
  <c r="X160" i="1"/>
  <c r="Z159" i="1"/>
  <c r="X159" i="1"/>
  <c r="BO158" i="1"/>
  <c r="BM158" i="1"/>
  <c r="Z158" i="1"/>
  <c r="Y158" i="1"/>
  <c r="P158" i="1"/>
  <c r="Y155" i="1"/>
  <c r="X155" i="1"/>
  <c r="Z154" i="1"/>
  <c r="X154" i="1"/>
  <c r="BO153" i="1"/>
  <c r="BM153" i="1"/>
  <c r="Z153" i="1"/>
  <c r="Y153" i="1"/>
  <c r="P153" i="1"/>
  <c r="X150" i="1"/>
  <c r="X149" i="1"/>
  <c r="BO148" i="1"/>
  <c r="BM148" i="1"/>
  <c r="Z148" i="1"/>
  <c r="Y148" i="1"/>
  <c r="P148" i="1"/>
  <c r="BP147" i="1"/>
  <c r="BO147" i="1"/>
  <c r="BN147" i="1"/>
  <c r="BM147" i="1"/>
  <c r="Z147" i="1"/>
  <c r="Z149" i="1" s="1"/>
  <c r="Y147" i="1"/>
  <c r="P147" i="1"/>
  <c r="X144" i="1"/>
  <c r="X143" i="1"/>
  <c r="BP142" i="1"/>
  <c r="BO142" i="1"/>
  <c r="BN142" i="1"/>
  <c r="BM142" i="1"/>
  <c r="Z142" i="1"/>
  <c r="Y142" i="1"/>
  <c r="P142" i="1"/>
  <c r="BO141" i="1"/>
  <c r="BM141" i="1"/>
  <c r="Z141" i="1"/>
  <c r="Y141" i="1"/>
  <c r="Y144" i="1" s="1"/>
  <c r="P141" i="1"/>
  <c r="X138" i="1"/>
  <c r="X137" i="1"/>
  <c r="BO136" i="1"/>
  <c r="BM136" i="1"/>
  <c r="Z136" i="1"/>
  <c r="Y136" i="1"/>
  <c r="BP136" i="1" s="1"/>
  <c r="P136" i="1"/>
  <c r="BP135" i="1"/>
  <c r="BO135" i="1"/>
  <c r="BN135" i="1"/>
  <c r="BM135" i="1"/>
  <c r="Z135" i="1"/>
  <c r="Z137" i="1" s="1"/>
  <c r="Y135" i="1"/>
  <c r="Y137" i="1" s="1"/>
  <c r="P135" i="1"/>
  <c r="X132" i="1"/>
  <c r="Y131" i="1"/>
  <c r="X131" i="1"/>
  <c r="BP130" i="1"/>
  <c r="BO130" i="1"/>
  <c r="BN130" i="1"/>
  <c r="BM130" i="1"/>
  <c r="Z130" i="1"/>
  <c r="Z131" i="1" s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Z125" i="1"/>
  <c r="Z127" i="1" s="1"/>
  <c r="Y125" i="1"/>
  <c r="Y128" i="1" s="1"/>
  <c r="P125" i="1"/>
  <c r="X123" i="1"/>
  <c r="X122" i="1"/>
  <c r="BO121" i="1"/>
  <c r="BM121" i="1"/>
  <c r="Z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Z122" i="1" s="1"/>
  <c r="Y114" i="1"/>
  <c r="Y122" i="1" s="1"/>
  <c r="P114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Z110" i="1" s="1"/>
  <c r="Y108" i="1"/>
  <c r="Y111" i="1" s="1"/>
  <c r="P108" i="1"/>
  <c r="X105" i="1"/>
  <c r="X104" i="1"/>
  <c r="BO103" i="1"/>
  <c r="BM103" i="1"/>
  <c r="Z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Z104" i="1" s="1"/>
  <c r="Y98" i="1"/>
  <c r="P98" i="1"/>
  <c r="BO97" i="1"/>
  <c r="BM97" i="1"/>
  <c r="Z97" i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6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276" i="1" s="1"/>
  <c r="Y42" i="1"/>
  <c r="Y49" i="1"/>
  <c r="Y56" i="1"/>
  <c r="Y71" i="1"/>
  <c r="Y77" i="1"/>
  <c r="Y82" i="1"/>
  <c r="Y94" i="1"/>
  <c r="Y105" i="1"/>
  <c r="Y110" i="1"/>
  <c r="Y123" i="1"/>
  <c r="Y127" i="1"/>
  <c r="Y138" i="1"/>
  <c r="Y143" i="1"/>
  <c r="BP148" i="1"/>
  <c r="BN148" i="1"/>
  <c r="Y159" i="1"/>
  <c r="BP158" i="1"/>
  <c r="BN158" i="1"/>
  <c r="Y169" i="1"/>
  <c r="BP168" i="1"/>
  <c r="BN168" i="1"/>
  <c r="Y194" i="1"/>
  <c r="BP193" i="1"/>
  <c r="BN193" i="1"/>
  <c r="Y207" i="1"/>
  <c r="BP206" i="1"/>
  <c r="BN206" i="1"/>
  <c r="Y218" i="1"/>
  <c r="BP215" i="1"/>
  <c r="BN215" i="1"/>
  <c r="Y217" i="1"/>
  <c r="BP245" i="1"/>
  <c r="BN245" i="1"/>
  <c r="H9" i="1"/>
  <c r="X273" i="1"/>
  <c r="X274" i="1"/>
  <c r="BN23" i="1"/>
  <c r="Y273" i="1" s="1"/>
  <c r="BN25" i="1"/>
  <c r="BN27" i="1"/>
  <c r="X272" i="1"/>
  <c r="BN32" i="1"/>
  <c r="BP32" i="1"/>
  <c r="Y274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3" i="1"/>
  <c r="BN108" i="1"/>
  <c r="BP108" i="1"/>
  <c r="BN115" i="1"/>
  <c r="BN117" i="1"/>
  <c r="BN119" i="1"/>
  <c r="BN121" i="1"/>
  <c r="BN125" i="1"/>
  <c r="BP125" i="1"/>
  <c r="BN136" i="1"/>
  <c r="Z143" i="1"/>
  <c r="Z277" i="1" s="1"/>
  <c r="BN141" i="1"/>
  <c r="BP141" i="1"/>
  <c r="Y149" i="1"/>
  <c r="Y150" i="1"/>
  <c r="Y154" i="1"/>
  <c r="BP153" i="1"/>
  <c r="BN153" i="1"/>
  <c r="Y160" i="1"/>
  <c r="Y164" i="1"/>
  <c r="BP163" i="1"/>
  <c r="BN163" i="1"/>
  <c r="Y170" i="1"/>
  <c r="Y177" i="1"/>
  <c r="BP174" i="1"/>
  <c r="BN174" i="1"/>
  <c r="Y176" i="1"/>
  <c r="BP182" i="1"/>
  <c r="BN182" i="1"/>
  <c r="Y184" i="1"/>
  <c r="Y188" i="1"/>
  <c r="BP187" i="1"/>
  <c r="BN187" i="1"/>
  <c r="Y195" i="1"/>
  <c r="Y202" i="1"/>
  <c r="BP197" i="1"/>
  <c r="BN197" i="1"/>
  <c r="BP199" i="1"/>
  <c r="BN199" i="1"/>
  <c r="BP201" i="1"/>
  <c r="BN201" i="1"/>
  <c r="Y208" i="1"/>
  <c r="Y212" i="1"/>
  <c r="BP211" i="1"/>
  <c r="BN211" i="1"/>
  <c r="Z217" i="1"/>
  <c r="Y246" i="1"/>
  <c r="Y247" i="1"/>
  <c r="Y252" i="1"/>
  <c r="BP249" i="1"/>
  <c r="BN249" i="1"/>
  <c r="Y251" i="1"/>
  <c r="BP255" i="1"/>
  <c r="BN255" i="1"/>
  <c r="Y257" i="1"/>
  <c r="BP261" i="1"/>
  <c r="BN261" i="1"/>
  <c r="BP263" i="1"/>
  <c r="BN263" i="1"/>
  <c r="BP265" i="1"/>
  <c r="BN265" i="1"/>
  <c r="BP267" i="1"/>
  <c r="BN267" i="1"/>
  <c r="BP269" i="1"/>
  <c r="BN269" i="1"/>
  <c r="C285" i="1" l="1"/>
  <c r="Y275" i="1"/>
  <c r="A285" i="1"/>
  <c r="X275" i="1"/>
  <c r="B285" i="1"/>
  <c r="Y272" i="1"/>
</calcChain>
</file>

<file path=xl/sharedStrings.xml><?xml version="1.0" encoding="utf-8"?>
<sst xmlns="http://schemas.openxmlformats.org/spreadsheetml/2006/main" count="1240" uniqueCount="398">
  <si>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</si>
  <si>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</si>
  <si>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</si>
  <si>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</si>
  <si>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</si>
  <si>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</si>
  <si>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</si>
  <si>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</si>
  <si>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</si>
  <si>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</si>
  <si>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</si>
  <si>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</si>
  <si>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</si>
  <si>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</si>
  <si>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</si>
  <si>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</si>
  <si>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</si>
  <si>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</si>
  <si>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</si>
  <si>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</si>
  <si>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</si>
  <si>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</si>
  <si>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</si>
  <si>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</si>
  <si>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</si>
  <si>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</si>
  <si>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</si>
  <si>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</si>
  <si>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</si>
  <si>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</si>
  <si>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</si>
  <si>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</si>
  <si>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</si>
  <si>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</si>
  <si>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</si>
  <si>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</si>
  <si>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</si>
  <si>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</si>
  <si>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</si>
  <si>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</si>
  <si>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</si>
  <si>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</si>
  <si>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</si>
  <si>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</si>
  <si>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</si>
  <si>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</si>
  <si>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</si>
  <si>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</si>
  <si>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</si>
  <si>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</si>
  <si>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</si>
  <si>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</si>
  <si>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</si>
  <si>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</si>
  <si>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</si>
  <si>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</si>
  <si>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</si>
  <si>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</si>
  <si>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</si>
  <si>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</si>
  <si>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</si>
  <si>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</si>
  <si>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</si>
  <si>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</si>
  <si>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</si>
  <si>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</si>
  <si>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</si>
  <si>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</si>
  <si>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</si>
  <si>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</si>
  <si>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</si>
  <si>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</si>
  <si>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</si>
  <si>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</si>
  <si>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</si>
  <si>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</si>
  <si>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</si>
  <si>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</si>
  <si>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</si>
  <si>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</si>
  <si>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</si>
  <si>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</si>
  <si>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</si>
  <si>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</si>
  <si>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</si>
  <si>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</si>
  <si>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</si>
  <si>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</si>
  <si>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</si>
  <si>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</si>
  <si>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</si>
  <si>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</si>
  <si>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</si>
  <si>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</si>
  <si>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</si>
  <si>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</si>
  <si>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</si>
  <si>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</si>
  <si>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</si>
  <si>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</si>
  <si>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</si>
  <si>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</si>
  <si>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</si>
  <si>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</si>
  <si>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</si>
  <si>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</si>
  <si>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</si>
  <si>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</si>
  <si>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</si>
  <si>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</si>
  <si>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</si>
  <si>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</si>
  <si>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</si>
  <si>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</si>
  <si>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</si>
  <si>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</si>
  <si>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</si>
  <si>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</si>
  <si>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</si>
  <si>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</si>
  <si>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</si>
  <si>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</si>
  <si>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</si>
  <si>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</si>
  <si>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</si>
  <si>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</si>
  <si>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</si>
  <si>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</si>
  <si>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</si>
  <si>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</si>
  <si>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</si>
  <si>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</si>
  <si>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</si>
  <si>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</si>
  <si>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</si>
  <si>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</si>
  <si>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</si>
  <si>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</si>
  <si>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</si>
  <si>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</si>
  <si>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</si>
  <si>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</si>
  <si>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</si>
  <si>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</si>
  <si>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</si>
  <si>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</si>
  <si>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</si>
  <si>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</si>
  <si>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</si>
  <si>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</si>
  <si>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</si>
  <si>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</si>
  <si>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</si>
  <si>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</si>
  <si>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</si>
  <si>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</si>
  <si>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</si>
  <si>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</si>
  <si>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</si>
  <si>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</si>
  <si>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</si>
  <si>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</si>
  <si>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</si>
  <si>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</si>
  <si>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</si>
  <si>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</si>
  <si>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</si>
  <si>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</si>
  <si>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</si>
  <si>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</si>
  <si>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</si>
  <si>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</si>
  <si>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</si>
  <si>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P005044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</si>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</sst>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2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9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5"/>
  <sheetViews>
    <sheetView showGridLines="0" tabSelected="1" topLeftCell="A264" zoomScaleNormal="100" zoomScaleSheetLayoutView="100" workbookViewId="0">
      <selection activeCell="AA278" sqref="AA278"/>
    </sheetView>
  </sheetViews>
  <sheetFormatPr defaultColWidth="9.140625" defaultRowHeight="12.75" x14ac:dyDescent="0.2"/>
  <cols>
    <col min="1" max="1" width="9.140625" style="27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0" customWidth="1"/>
    <col min="19" max="19" width="6.140625" style="27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0" customWidth="1"/>
    <col min="25" max="25" width="11" style="270" customWidth="1"/>
    <col min="26" max="26" width="10" style="270" customWidth="1"/>
    <col min="27" max="27" width="11.5703125" style="270" customWidth="1"/>
    <col min="28" max="28" width="10.42578125" style="270" customWidth="1"/>
    <col min="29" max="29" width="30" style="27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0" customWidth="1"/>
    <col min="34" max="34" width="9.140625" style="270" customWidth="1"/>
    <col min="35" max="16384" width="9.140625" style="270"/>
  </cols>
  <sheetData>
    <row r="1" spans="1:32" s="266" customFormat="1" ht="45" customHeight="1" x14ac:dyDescent="0.2">
      <c r="A1" s="41"/>
      <c r="B1" s="41"/>
      <c r="C1" s="41"/>
      <c r="D1" s="320" t="s">
        <v>0</v>
      </c>
      <c r="E1" s="299"/>
      <c r="F1" s="299"/>
      <c r="G1" s="12" t="s">
        <v>1</v>
      </c>
      <c r="H1" s="320" t="s">
        <v>2</v>
      </c>
      <c r="I1" s="299"/>
      <c r="J1" s="299"/>
      <c r="K1" s="299"/>
      <c r="L1" s="299"/>
      <c r="M1" s="299"/>
      <c r="N1" s="299"/>
      <c r="O1" s="299"/>
      <c r="P1" s="299"/>
      <c r="Q1" s="299"/>
      <c r="R1" s="298" t="s">
        <v>3</v>
      </c>
      <c r="S1" s="299"/>
      <c r="T1" s="29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6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6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6" customFormat="1" ht="23.45" customHeight="1" x14ac:dyDescent="0.2">
      <c r="A5" s="351" t="s">
        <v>7</v>
      </c>
      <c r="B5" s="322"/>
      <c r="C5" s="323"/>
      <c r="D5" s="325"/>
      <c r="E5" s="326"/>
      <c r="F5" s="444" t="s">
        <v>8</v>
      </c>
      <c r="G5" s="323"/>
      <c r="H5" s="325"/>
      <c r="I5" s="417"/>
      <c r="J5" s="417"/>
      <c r="K5" s="417"/>
      <c r="L5" s="417"/>
      <c r="M5" s="326"/>
      <c r="N5" s="61"/>
      <c r="P5" s="24" t="s">
        <v>9</v>
      </c>
      <c r="Q5" s="449">
        <v>45999</v>
      </c>
      <c r="R5" s="350"/>
      <c r="T5" s="372" t="s">
        <v>10</v>
      </c>
      <c r="U5" s="373"/>
      <c r="V5" s="374" t="s">
        <v>11</v>
      </c>
      <c r="W5" s="350"/>
      <c r="AB5" s="51"/>
      <c r="AC5" s="51"/>
      <c r="AD5" s="51"/>
      <c r="AE5" s="51"/>
    </row>
    <row r="6" spans="1:32" s="266" customFormat="1" ht="24" customHeight="1" x14ac:dyDescent="0.2">
      <c r="A6" s="351" t="s">
        <v>12</v>
      </c>
      <c r="B6" s="322"/>
      <c r="C6" s="323"/>
      <c r="D6" s="419" t="s">
        <v>13</v>
      </c>
      <c r="E6" s="420"/>
      <c r="F6" s="420"/>
      <c r="G6" s="420"/>
      <c r="H6" s="420"/>
      <c r="I6" s="420"/>
      <c r="J6" s="420"/>
      <c r="K6" s="420"/>
      <c r="L6" s="420"/>
      <c r="M6" s="350"/>
      <c r="N6" s="62"/>
      <c r="P6" s="24" t="s">
        <v>14</v>
      </c>
      <c r="Q6" s="454" t="str">
        <f>IF(Q5=0," ",CHOOSE(WEEKDAY(Q5,2),"Понедельник","Вторник","Среда","Четверг","Пятница","Суббота","Воскресенье"))</f>
        <v>Понедельник</v>
      </c>
      <c r="R6" s="277"/>
      <c r="T6" s="377" t="s">
        <v>15</v>
      </c>
      <c r="U6" s="373"/>
      <c r="V6" s="404" t="s">
        <v>16</v>
      </c>
      <c r="W6" s="305"/>
      <c r="AB6" s="51"/>
      <c r="AC6" s="51"/>
      <c r="AD6" s="51"/>
      <c r="AE6" s="51"/>
    </row>
    <row r="7" spans="1:32" s="266" customFormat="1" ht="21.75" hidden="1" customHeight="1" x14ac:dyDescent="0.2">
      <c r="A7" s="55"/>
      <c r="B7" s="55"/>
      <c r="C7" s="55"/>
      <c r="D7" s="309" t="str">
        <f>IFERROR(VLOOKUP(DeliveryAddress,Table,3,0),1)</f>
        <v>1</v>
      </c>
      <c r="E7" s="310"/>
      <c r="F7" s="310"/>
      <c r="G7" s="310"/>
      <c r="H7" s="310"/>
      <c r="I7" s="310"/>
      <c r="J7" s="310"/>
      <c r="K7" s="310"/>
      <c r="L7" s="310"/>
      <c r="M7" s="311"/>
      <c r="N7" s="63"/>
      <c r="P7" s="24"/>
      <c r="Q7" s="42"/>
      <c r="R7" s="42"/>
      <c r="T7" s="290"/>
      <c r="U7" s="373"/>
      <c r="V7" s="405"/>
      <c r="W7" s="406"/>
      <c r="AB7" s="51"/>
      <c r="AC7" s="51"/>
      <c r="AD7" s="51"/>
      <c r="AE7" s="51"/>
    </row>
    <row r="8" spans="1:32" s="266" customFormat="1" ht="25.5" customHeight="1" x14ac:dyDescent="0.2">
      <c r="A8" s="462" t="s">
        <v>17</v>
      </c>
      <c r="B8" s="283"/>
      <c r="C8" s="284"/>
      <c r="D8" s="315" t="s">
        <v>18</v>
      </c>
      <c r="E8" s="316"/>
      <c r="F8" s="316"/>
      <c r="G8" s="316"/>
      <c r="H8" s="316"/>
      <c r="I8" s="316"/>
      <c r="J8" s="316"/>
      <c r="K8" s="316"/>
      <c r="L8" s="316"/>
      <c r="M8" s="317"/>
      <c r="N8" s="64"/>
      <c r="P8" s="24" t="s">
        <v>19</v>
      </c>
      <c r="Q8" s="357">
        <v>0.41666666666666669</v>
      </c>
      <c r="R8" s="311"/>
      <c r="T8" s="290"/>
      <c r="U8" s="373"/>
      <c r="V8" s="405"/>
      <c r="W8" s="406"/>
      <c r="AB8" s="51"/>
      <c r="AC8" s="51"/>
      <c r="AD8" s="51"/>
      <c r="AE8" s="51"/>
    </row>
    <row r="9" spans="1:32" s="266" customFormat="1" ht="39.950000000000003" customHeight="1" x14ac:dyDescent="0.2">
      <c r="A9" s="3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0"/>
      <c r="E9" s="286"/>
      <c r="F9" s="3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5" t="str">
        <f>IF(AND($A$9="Тип доверенности/получателя при получении в адресе перегруза:",$D$9="Разовая доверенность"),"Введите ФИО","")</f>
        <v/>
      </c>
      <c r="I9" s="286"/>
      <c r="J9" s="2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6"/>
      <c r="L9" s="286"/>
      <c r="M9" s="286"/>
      <c r="N9" s="264"/>
      <c r="P9" s="26" t="s">
        <v>20</v>
      </c>
      <c r="Q9" s="347"/>
      <c r="R9" s="348"/>
      <c r="T9" s="290"/>
      <c r="U9" s="373"/>
      <c r="V9" s="407"/>
      <c r="W9" s="408"/>
      <c r="X9" s="43"/>
      <c r="Y9" s="43"/>
      <c r="Z9" s="43"/>
      <c r="AA9" s="43"/>
      <c r="AB9" s="51"/>
      <c r="AC9" s="51"/>
      <c r="AD9" s="51"/>
      <c r="AE9" s="51"/>
    </row>
    <row r="10" spans="1:32" s="266" customFormat="1" ht="26.45" customHeight="1" x14ac:dyDescent="0.2">
      <c r="A10" s="3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0"/>
      <c r="E10" s="286"/>
      <c r="F10" s="3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399" t="str">
        <f>IFERROR(VLOOKUP($D$10,Proxy,2,FALSE),"")</f>
        <v/>
      </c>
      <c r="I10" s="290"/>
      <c r="J10" s="290"/>
      <c r="K10" s="290"/>
      <c r="L10" s="290"/>
      <c r="M10" s="290"/>
      <c r="N10" s="265"/>
      <c r="P10" s="26" t="s">
        <v>21</v>
      </c>
      <c r="Q10" s="378"/>
      <c r="R10" s="379"/>
      <c r="U10" s="24" t="s">
        <v>22</v>
      </c>
      <c r="V10" s="304" t="s">
        <v>23</v>
      </c>
      <c r="W10" s="305"/>
      <c r="X10" s="44"/>
      <c r="Y10" s="44"/>
      <c r="Z10" s="44"/>
      <c r="AA10" s="44"/>
      <c r="AB10" s="51"/>
      <c r="AC10" s="51"/>
      <c r="AD10" s="51"/>
      <c r="AE10" s="51"/>
    </row>
    <row r="11" spans="1:32" s="266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9"/>
      <c r="R11" s="350"/>
      <c r="U11" s="24" t="s">
        <v>26</v>
      </c>
      <c r="V11" s="427" t="s">
        <v>27</v>
      </c>
      <c r="W11" s="348"/>
      <c r="X11" s="45"/>
      <c r="Y11" s="45"/>
      <c r="Z11" s="45"/>
      <c r="AA11" s="45"/>
      <c r="AB11" s="51"/>
      <c r="AC11" s="51"/>
      <c r="AD11" s="51"/>
      <c r="AE11" s="51"/>
    </row>
    <row r="12" spans="1:32" s="266" customFormat="1" ht="18.600000000000001" customHeight="1" x14ac:dyDescent="0.2">
      <c r="A12" s="369" t="s">
        <v>28</v>
      </c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3"/>
      <c r="N12" s="65"/>
      <c r="P12" s="24" t="s">
        <v>29</v>
      </c>
      <c r="Q12" s="357"/>
      <c r="R12" s="311"/>
      <c r="S12" s="23"/>
      <c r="U12" s="24"/>
      <c r="V12" s="299"/>
      <c r="W12" s="290"/>
      <c r="AB12" s="51"/>
      <c r="AC12" s="51"/>
      <c r="AD12" s="51"/>
      <c r="AE12" s="51"/>
    </row>
    <row r="13" spans="1:32" s="266" customFormat="1" ht="23.25" customHeight="1" x14ac:dyDescent="0.2">
      <c r="A13" s="369" t="s">
        <v>30</v>
      </c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3"/>
      <c r="N13" s="65"/>
      <c r="O13" s="26"/>
      <c r="P13" s="26" t="s">
        <v>31</v>
      </c>
      <c r="Q13" s="427"/>
      <c r="R13" s="34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6" customFormat="1" ht="18.600000000000001" customHeight="1" x14ac:dyDescent="0.2">
      <c r="A14" s="369" t="s">
        <v>32</v>
      </c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3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6" customFormat="1" ht="22.5" customHeight="1" x14ac:dyDescent="0.2">
      <c r="A15" s="390" t="s">
        <v>33</v>
      </c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3"/>
      <c r="N15" s="66"/>
      <c r="P15" s="366" t="s">
        <v>34</v>
      </c>
      <c r="Q15" s="299"/>
      <c r="R15" s="299"/>
      <c r="S15" s="299"/>
      <c r="T15" s="29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1" t="s">
        <v>35</v>
      </c>
      <c r="B17" s="301" t="s">
        <v>36</v>
      </c>
      <c r="C17" s="359" t="s">
        <v>37</v>
      </c>
      <c r="D17" s="301" t="s">
        <v>38</v>
      </c>
      <c r="E17" s="340"/>
      <c r="F17" s="301" t="s">
        <v>39</v>
      </c>
      <c r="G17" s="301" t="s">
        <v>40</v>
      </c>
      <c r="H17" s="301" t="s">
        <v>41</v>
      </c>
      <c r="I17" s="301" t="s">
        <v>42</v>
      </c>
      <c r="J17" s="301" t="s">
        <v>43</v>
      </c>
      <c r="K17" s="301" t="s">
        <v>44</v>
      </c>
      <c r="L17" s="301" t="s">
        <v>45</v>
      </c>
      <c r="M17" s="301" t="s">
        <v>46</v>
      </c>
      <c r="N17" s="301" t="s">
        <v>47</v>
      </c>
      <c r="O17" s="301" t="s">
        <v>48</v>
      </c>
      <c r="P17" s="301" t="s">
        <v>49</v>
      </c>
      <c r="Q17" s="339"/>
      <c r="R17" s="339"/>
      <c r="S17" s="339"/>
      <c r="T17" s="340"/>
      <c r="U17" s="459" t="s">
        <v>50</v>
      </c>
      <c r="V17" s="323"/>
      <c r="W17" s="301" t="s">
        <v>51</v>
      </c>
      <c r="X17" s="301" t="s">
        <v>52</v>
      </c>
      <c r="Y17" s="460" t="s">
        <v>53</v>
      </c>
      <c r="Z17" s="415" t="s">
        <v>54</v>
      </c>
      <c r="AA17" s="397" t="s">
        <v>55</v>
      </c>
      <c r="AB17" s="397" t="s">
        <v>56</v>
      </c>
      <c r="AC17" s="397" t="s">
        <v>57</v>
      </c>
      <c r="AD17" s="397" t="s">
        <v>58</v>
      </c>
      <c r="AE17" s="439"/>
      <c r="AF17" s="440"/>
      <c r="AG17" s="69"/>
      <c r="BD17" s="68" t="s">
        <v>59</v>
      </c>
    </row>
    <row r="18" spans="1:68" ht="14.25" customHeight="1" x14ac:dyDescent="0.2">
      <c r="A18" s="302"/>
      <c r="B18" s="302"/>
      <c r="C18" s="302"/>
      <c r="D18" s="341"/>
      <c r="E18" s="343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41"/>
      <c r="Q18" s="342"/>
      <c r="R18" s="342"/>
      <c r="S18" s="342"/>
      <c r="T18" s="343"/>
      <c r="U18" s="70" t="s">
        <v>60</v>
      </c>
      <c r="V18" s="70" t="s">
        <v>61</v>
      </c>
      <c r="W18" s="302"/>
      <c r="X18" s="302"/>
      <c r="Y18" s="461"/>
      <c r="Z18" s="416"/>
      <c r="AA18" s="398"/>
      <c r="AB18" s="398"/>
      <c r="AC18" s="398"/>
      <c r="AD18" s="441"/>
      <c r="AE18" s="442"/>
      <c r="AF18" s="443"/>
      <c r="AG18" s="69"/>
      <c r="BD18" s="68"/>
    </row>
    <row r="19" spans="1:68" ht="27.75" customHeight="1" x14ac:dyDescent="0.2">
      <c r="A19" s="287" t="s">
        <v>62</v>
      </c>
      <c r="B19" s="288"/>
      <c r="C19" s="288"/>
      <c r="D19" s="288"/>
      <c r="E19" s="288"/>
      <c r="F19" s="288"/>
      <c r="G19" s="288"/>
      <c r="H19" s="288"/>
      <c r="I19" s="288"/>
      <c r="J19" s="288"/>
      <c r="K19" s="288"/>
      <c r="L19" s="288"/>
      <c r="M19" s="288"/>
      <c r="N19" s="288"/>
      <c r="O19" s="288"/>
      <c r="P19" s="288"/>
      <c r="Q19" s="288"/>
      <c r="R19" s="288"/>
      <c r="S19" s="288"/>
      <c r="T19" s="288"/>
      <c r="U19" s="288"/>
      <c r="V19" s="288"/>
      <c r="W19" s="288"/>
      <c r="X19" s="288"/>
      <c r="Y19" s="288"/>
      <c r="Z19" s="288"/>
      <c r="AA19" s="48"/>
      <c r="AB19" s="48"/>
      <c r="AC19" s="48"/>
    </row>
    <row r="20" spans="1:68" ht="16.5" customHeight="1" x14ac:dyDescent="0.25">
      <c r="A20" s="289" t="s">
        <v>62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67"/>
      <c r="AB20" s="267"/>
      <c r="AC20" s="267"/>
    </row>
    <row r="21" spans="1:68" ht="14.25" customHeight="1" x14ac:dyDescent="0.25">
      <c r="A21" s="293" t="s">
        <v>63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68"/>
      <c r="AB21" s="268"/>
      <c r="AC21" s="268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6">
        <v>4607111035912</v>
      </c>
      <c r="E22" s="277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1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9"/>
      <c r="R22" s="279"/>
      <c r="S22" s="279"/>
      <c r="T22" s="280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6">
        <v>4607111035103</v>
      </c>
      <c r="E23" s="277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9"/>
      <c r="R23" s="279"/>
      <c r="S23" s="279"/>
      <c r="T23" s="280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6">
        <v>4607111035929</v>
      </c>
      <c r="E24" s="277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9"/>
      <c r="R24" s="279"/>
      <c r="S24" s="279"/>
      <c r="T24" s="280"/>
      <c r="U24" s="34"/>
      <c r="V24" s="34"/>
      <c r="W24" s="35" t="s">
        <v>69</v>
      </c>
      <c r="X24" s="272">
        <v>12</v>
      </c>
      <c r="Y24" s="273">
        <f t="shared" si="0"/>
        <v>12</v>
      </c>
      <c r="Z24" s="36">
        <f t="shared" si="1"/>
        <v>0.186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89.64</v>
      </c>
      <c r="BN24" s="67">
        <f t="shared" si="3"/>
        <v>89.64</v>
      </c>
      <c r="BO24" s="67">
        <f t="shared" si="4"/>
        <v>0.14285714285714285</v>
      </c>
      <c r="BP24" s="67">
        <f t="shared" si="5"/>
        <v>0.14285714285714285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6">
        <v>4607111035882</v>
      </c>
      <c r="E25" s="277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9"/>
      <c r="R25" s="279"/>
      <c r="S25" s="279"/>
      <c r="T25" s="280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6">
        <v>4607111035110</v>
      </c>
      <c r="E26" s="277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7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9"/>
      <c r="R26" s="279"/>
      <c r="S26" s="279"/>
      <c r="T26" s="280"/>
      <c r="U26" s="34"/>
      <c r="V26" s="34"/>
      <c r="W26" s="35" t="s">
        <v>69</v>
      </c>
      <c r="X26" s="272">
        <v>12</v>
      </c>
      <c r="Y26" s="273">
        <f t="shared" si="0"/>
        <v>12</v>
      </c>
      <c r="Z26" s="36">
        <f t="shared" si="1"/>
        <v>0.186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89.64</v>
      </c>
      <c r="BN26" s="67">
        <f t="shared" si="3"/>
        <v>89.64</v>
      </c>
      <c r="BO26" s="67">
        <f t="shared" si="4"/>
        <v>0.14285714285714285</v>
      </c>
      <c r="BP26" s="67">
        <f t="shared" si="5"/>
        <v>0.14285714285714285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6">
        <v>4607111035905</v>
      </c>
      <c r="E27" s="277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9"/>
      <c r="R27" s="279"/>
      <c r="S27" s="279"/>
      <c r="T27" s="280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4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5"/>
      <c r="P28" s="282" t="s">
        <v>82</v>
      </c>
      <c r="Q28" s="283"/>
      <c r="R28" s="283"/>
      <c r="S28" s="283"/>
      <c r="T28" s="283"/>
      <c r="U28" s="283"/>
      <c r="V28" s="284"/>
      <c r="W28" s="37" t="s">
        <v>69</v>
      </c>
      <c r="X28" s="274">
        <f>IFERROR(SUM(X22:X27),"0")</f>
        <v>24</v>
      </c>
      <c r="Y28" s="274">
        <f>IFERROR(SUM(Y22:Y27),"0")</f>
        <v>24</v>
      </c>
      <c r="Z28" s="274">
        <f>IFERROR(IF(Z22="",0,Z22),"0")+IFERROR(IF(Z23="",0,Z23),"0")+IFERROR(IF(Z24="",0,Z24),"0")+IFERROR(IF(Z25="",0,Z25),"0")+IFERROR(IF(Z26="",0,Z26),"0")+IFERROR(IF(Z27="",0,Z27),"0")</f>
        <v>0.372</v>
      </c>
      <c r="AA28" s="275"/>
      <c r="AB28" s="275"/>
      <c r="AC28" s="275"/>
    </row>
    <row r="29" spans="1:68" x14ac:dyDescent="0.2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5"/>
      <c r="P29" s="282" t="s">
        <v>82</v>
      </c>
      <c r="Q29" s="283"/>
      <c r="R29" s="283"/>
      <c r="S29" s="283"/>
      <c r="T29" s="283"/>
      <c r="U29" s="283"/>
      <c r="V29" s="284"/>
      <c r="W29" s="37" t="s">
        <v>83</v>
      </c>
      <c r="X29" s="274">
        <f>IFERROR(SUMPRODUCT(X22:X27*H22:H27),"0")</f>
        <v>172.8</v>
      </c>
      <c r="Y29" s="274">
        <f>IFERROR(SUMPRODUCT(Y22:Y27*H22:H27),"0")</f>
        <v>172.8</v>
      </c>
      <c r="Z29" s="37"/>
      <c r="AA29" s="275"/>
      <c r="AB29" s="275"/>
      <c r="AC29" s="275"/>
    </row>
    <row r="30" spans="1:68" ht="16.5" customHeight="1" x14ac:dyDescent="0.25">
      <c r="A30" s="289" t="s">
        <v>84</v>
      </c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67"/>
      <c r="AB30" s="267"/>
      <c r="AC30" s="267"/>
    </row>
    <row r="31" spans="1:68" ht="14.25" customHeight="1" x14ac:dyDescent="0.25">
      <c r="A31" s="293" t="s">
        <v>63</v>
      </c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68"/>
      <c r="AB31" s="268"/>
      <c r="AC31" s="268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6">
        <v>4607111039019</v>
      </c>
      <c r="E32" s="277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9"/>
      <c r="R32" s="279"/>
      <c r="S32" s="279"/>
      <c r="T32" s="280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6">
        <v>4607111038708</v>
      </c>
      <c r="E33" s="277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2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9"/>
      <c r="R33" s="279"/>
      <c r="S33" s="279"/>
      <c r="T33" s="280"/>
      <c r="U33" s="34"/>
      <c r="V33" s="34"/>
      <c r="W33" s="35" t="s">
        <v>69</v>
      </c>
      <c r="X33" s="272">
        <v>0</v>
      </c>
      <c r="Y33" s="273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94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5"/>
      <c r="P34" s="282" t="s">
        <v>82</v>
      </c>
      <c r="Q34" s="283"/>
      <c r="R34" s="283"/>
      <c r="S34" s="283"/>
      <c r="T34" s="283"/>
      <c r="U34" s="283"/>
      <c r="V34" s="284"/>
      <c r="W34" s="37" t="s">
        <v>69</v>
      </c>
      <c r="X34" s="274">
        <f>IFERROR(SUM(X32:X33),"0")</f>
        <v>0</v>
      </c>
      <c r="Y34" s="274">
        <f>IFERROR(SUM(Y32:Y33),"0")</f>
        <v>0</v>
      </c>
      <c r="Z34" s="274">
        <f>IFERROR(IF(Z32="",0,Z32),"0")+IFERROR(IF(Z33="",0,Z33),"0")</f>
        <v>0</v>
      </c>
      <c r="AA34" s="275"/>
      <c r="AB34" s="275"/>
      <c r="AC34" s="275"/>
    </row>
    <row r="35" spans="1:68" x14ac:dyDescent="0.2">
      <c r="A35" s="290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5"/>
      <c r="P35" s="282" t="s">
        <v>82</v>
      </c>
      <c r="Q35" s="283"/>
      <c r="R35" s="283"/>
      <c r="S35" s="283"/>
      <c r="T35" s="283"/>
      <c r="U35" s="283"/>
      <c r="V35" s="284"/>
      <c r="W35" s="37" t="s">
        <v>83</v>
      </c>
      <c r="X35" s="274">
        <f>IFERROR(SUMPRODUCT(X32:X33*H32:H33),"0")</f>
        <v>0</v>
      </c>
      <c r="Y35" s="274">
        <f>IFERROR(SUMPRODUCT(Y32:Y33*H32:H33),"0")</f>
        <v>0</v>
      </c>
      <c r="Z35" s="37"/>
      <c r="AA35" s="275"/>
      <c r="AB35" s="275"/>
      <c r="AC35" s="275"/>
    </row>
    <row r="36" spans="1:68" ht="27.75" customHeight="1" x14ac:dyDescent="0.2">
      <c r="A36" s="287" t="s">
        <v>90</v>
      </c>
      <c r="B36" s="288"/>
      <c r="C36" s="288"/>
      <c r="D36" s="288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  <c r="AA36" s="48"/>
      <c r="AB36" s="48"/>
      <c r="AC36" s="48"/>
    </row>
    <row r="37" spans="1:68" ht="16.5" customHeight="1" x14ac:dyDescent="0.25">
      <c r="A37" s="289" t="s">
        <v>91</v>
      </c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67"/>
      <c r="AB37" s="267"/>
      <c r="AC37" s="267"/>
    </row>
    <row r="38" spans="1:68" ht="14.25" customHeight="1" x14ac:dyDescent="0.25">
      <c r="A38" s="293" t="s">
        <v>92</v>
      </c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  <c r="AA38" s="268"/>
      <c r="AB38" s="268"/>
      <c r="AC38" s="268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6">
        <v>4607111036537</v>
      </c>
      <c r="E39" s="277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9"/>
      <c r="R39" s="279"/>
      <c r="S39" s="279"/>
      <c r="T39" s="280"/>
      <c r="U39" s="34"/>
      <c r="V39" s="34"/>
      <c r="W39" s="35" t="s">
        <v>69</v>
      </c>
      <c r="X39" s="272">
        <v>168</v>
      </c>
      <c r="Y39" s="273">
        <f>IFERROR(IF(X39="","",X39),"")</f>
        <v>168</v>
      </c>
      <c r="Z39" s="36">
        <f>IFERROR(IF(X39="","",X39*0.00941),"")</f>
        <v>1.5808800000000001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322.86239999999998</v>
      </c>
      <c r="BN39" s="67">
        <f>IFERROR(Y39*I39,"0")</f>
        <v>322.86239999999998</v>
      </c>
      <c r="BO39" s="67">
        <f>IFERROR(X39/J39,"0")</f>
        <v>1.2</v>
      </c>
      <c r="BP39" s="67">
        <f>IFERROR(Y39/J39,"0")</f>
        <v>1.2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6">
        <v>4607111036605</v>
      </c>
      <c r="E40" s="277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1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9"/>
      <c r="R40" s="279"/>
      <c r="S40" s="279"/>
      <c r="T40" s="280"/>
      <c r="U40" s="34"/>
      <c r="V40" s="34"/>
      <c r="W40" s="35" t="s">
        <v>69</v>
      </c>
      <c r="X40" s="272">
        <v>0</v>
      </c>
      <c r="Y40" s="273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94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5"/>
      <c r="P41" s="282" t="s">
        <v>82</v>
      </c>
      <c r="Q41" s="283"/>
      <c r="R41" s="283"/>
      <c r="S41" s="283"/>
      <c r="T41" s="283"/>
      <c r="U41" s="283"/>
      <c r="V41" s="284"/>
      <c r="W41" s="37" t="s">
        <v>69</v>
      </c>
      <c r="X41" s="274">
        <f>IFERROR(SUM(X39:X40),"0")</f>
        <v>168</v>
      </c>
      <c r="Y41" s="274">
        <f>IFERROR(SUM(Y39:Y40),"0")</f>
        <v>168</v>
      </c>
      <c r="Z41" s="274">
        <f>IFERROR(IF(Z39="",0,Z39),"0")+IFERROR(IF(Z40="",0,Z40),"0")</f>
        <v>1.5808800000000001</v>
      </c>
      <c r="AA41" s="275"/>
      <c r="AB41" s="275"/>
      <c r="AC41" s="275"/>
    </row>
    <row r="42" spans="1:68" x14ac:dyDescent="0.2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5"/>
      <c r="P42" s="282" t="s">
        <v>82</v>
      </c>
      <c r="Q42" s="283"/>
      <c r="R42" s="283"/>
      <c r="S42" s="283"/>
      <c r="T42" s="283"/>
      <c r="U42" s="283"/>
      <c r="V42" s="284"/>
      <c r="W42" s="37" t="s">
        <v>83</v>
      </c>
      <c r="X42" s="274">
        <f>IFERROR(SUMPRODUCT(X39:X40*H39:H40),"0")</f>
        <v>252</v>
      </c>
      <c r="Y42" s="274">
        <f>IFERROR(SUMPRODUCT(Y39:Y40*H39:H40),"0")</f>
        <v>252</v>
      </c>
      <c r="Z42" s="37"/>
      <c r="AA42" s="275"/>
      <c r="AB42" s="275"/>
      <c r="AC42" s="275"/>
    </row>
    <row r="43" spans="1:68" ht="16.5" customHeight="1" x14ac:dyDescent="0.25">
      <c r="A43" s="289" t="s">
        <v>102</v>
      </c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67"/>
      <c r="AB43" s="267"/>
      <c r="AC43" s="267"/>
    </row>
    <row r="44" spans="1:68" ht="14.25" customHeight="1" x14ac:dyDescent="0.25">
      <c r="A44" s="293" t="s">
        <v>63</v>
      </c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68"/>
      <c r="AB44" s="268"/>
      <c r="AC44" s="268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6">
        <v>4620207490075</v>
      </c>
      <c r="E45" s="277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9"/>
      <c r="R45" s="279"/>
      <c r="S45" s="279"/>
      <c r="T45" s="280"/>
      <c r="U45" s="34"/>
      <c r="V45" s="34"/>
      <c r="W45" s="35" t="s">
        <v>69</v>
      </c>
      <c r="X45" s="272">
        <v>12</v>
      </c>
      <c r="Y45" s="273">
        <f>IFERROR(IF(X45="","",X45),"")</f>
        <v>12</v>
      </c>
      <c r="Z45" s="36">
        <f>IFERROR(IF(X45="","",X45*0.0155),"")</f>
        <v>0.186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70.44</v>
      </c>
      <c r="BN45" s="67">
        <f>IFERROR(Y45*I45,"0")</f>
        <v>70.44</v>
      </c>
      <c r="BO45" s="67">
        <f>IFERROR(X45/J45,"0")</f>
        <v>0.14285714285714285</v>
      </c>
      <c r="BP45" s="67">
        <f>IFERROR(Y45/J45,"0")</f>
        <v>0.14285714285714285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6">
        <v>4620207490174</v>
      </c>
      <c r="E46" s="277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2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9"/>
      <c r="R46" s="279"/>
      <c r="S46" s="279"/>
      <c r="T46" s="280"/>
      <c r="U46" s="34"/>
      <c r="V46" s="34"/>
      <c r="W46" s="35" t="s">
        <v>69</v>
      </c>
      <c r="X46" s="272">
        <v>12</v>
      </c>
      <c r="Y46" s="273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6">
        <v>4620207490044</v>
      </c>
      <c r="E47" s="277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9"/>
      <c r="R47" s="279"/>
      <c r="S47" s="279"/>
      <c r="T47" s="280"/>
      <c r="U47" s="34"/>
      <c r="V47" s="34"/>
      <c r="W47" s="35" t="s">
        <v>69</v>
      </c>
      <c r="X47" s="272">
        <v>36</v>
      </c>
      <c r="Y47" s="273">
        <f>IFERROR(IF(X47="","",X47),"")</f>
        <v>36</v>
      </c>
      <c r="Z47" s="36">
        <f>IFERROR(IF(X47="","",X47*0.0155),"")</f>
        <v>0.55800000000000005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211.32</v>
      </c>
      <c r="BN47" s="67">
        <f>IFERROR(Y47*I47,"0")</f>
        <v>211.32</v>
      </c>
      <c r="BO47" s="67">
        <f>IFERROR(X47/J47,"0")</f>
        <v>0.42857142857142855</v>
      </c>
      <c r="BP47" s="67">
        <f>IFERROR(Y47/J47,"0")</f>
        <v>0.42857142857142855</v>
      </c>
    </row>
    <row r="48" spans="1:68" x14ac:dyDescent="0.2">
      <c r="A48" s="294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5"/>
      <c r="P48" s="282" t="s">
        <v>82</v>
      </c>
      <c r="Q48" s="283"/>
      <c r="R48" s="283"/>
      <c r="S48" s="283"/>
      <c r="T48" s="283"/>
      <c r="U48" s="283"/>
      <c r="V48" s="284"/>
      <c r="W48" s="37" t="s">
        <v>69</v>
      </c>
      <c r="X48" s="274">
        <f>IFERROR(SUM(X45:X47),"0")</f>
        <v>60</v>
      </c>
      <c r="Y48" s="274">
        <f>IFERROR(SUM(Y45:Y47),"0")</f>
        <v>60</v>
      </c>
      <c r="Z48" s="274">
        <f>IFERROR(IF(Z45="",0,Z45),"0")+IFERROR(IF(Z46="",0,Z46),"0")+IFERROR(IF(Z47="",0,Z47),"0")</f>
        <v>0.93</v>
      </c>
      <c r="AA48" s="275"/>
      <c r="AB48" s="275"/>
      <c r="AC48" s="275"/>
    </row>
    <row r="49" spans="1:68" x14ac:dyDescent="0.2">
      <c r="A49" s="290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5"/>
      <c r="P49" s="282" t="s">
        <v>82</v>
      </c>
      <c r="Q49" s="283"/>
      <c r="R49" s="283"/>
      <c r="S49" s="283"/>
      <c r="T49" s="283"/>
      <c r="U49" s="283"/>
      <c r="V49" s="284"/>
      <c r="W49" s="37" t="s">
        <v>83</v>
      </c>
      <c r="X49" s="274">
        <f>IFERROR(SUMPRODUCT(X45:X47*H45:H47),"0")</f>
        <v>336</v>
      </c>
      <c r="Y49" s="274">
        <f>IFERROR(SUMPRODUCT(Y45:Y47*H45:H47),"0")</f>
        <v>336</v>
      </c>
      <c r="Z49" s="37"/>
      <c r="AA49" s="275"/>
      <c r="AB49" s="275"/>
      <c r="AC49" s="275"/>
    </row>
    <row r="50" spans="1:68" ht="16.5" customHeight="1" x14ac:dyDescent="0.25">
      <c r="A50" s="289" t="s">
        <v>112</v>
      </c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67"/>
      <c r="AB50" s="267"/>
      <c r="AC50" s="267"/>
    </row>
    <row r="51" spans="1:68" ht="14.25" customHeight="1" x14ac:dyDescent="0.25">
      <c r="A51" s="293" t="s">
        <v>63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68"/>
      <c r="AB51" s="268"/>
      <c r="AC51" s="268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6">
        <v>4607111039385</v>
      </c>
      <c r="E52" s="277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9"/>
      <c r="R52" s="279"/>
      <c r="S52" s="279"/>
      <c r="T52" s="280"/>
      <c r="U52" s="34"/>
      <c r="V52" s="34"/>
      <c r="W52" s="35" t="s">
        <v>69</v>
      </c>
      <c r="X52" s="272">
        <v>0</v>
      </c>
      <c r="Y52" s="273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6">
        <v>4607111038982</v>
      </c>
      <c r="E53" s="277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9"/>
      <c r="R53" s="279"/>
      <c r="S53" s="279"/>
      <c r="T53" s="280"/>
      <c r="U53" s="34"/>
      <c r="V53" s="34"/>
      <c r="W53" s="35" t="s">
        <v>69</v>
      </c>
      <c r="X53" s="272">
        <v>12</v>
      </c>
      <c r="Y53" s="273">
        <f>IFERROR(IF(X53="","",X53),"")</f>
        <v>12</v>
      </c>
      <c r="Z53" s="36">
        <f>IFERROR(IF(X53="","",X53*0.0155),"")</f>
        <v>0.186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87.431999999999988</v>
      </c>
      <c r="BN53" s="67">
        <f>IFERROR(Y53*I53,"0")</f>
        <v>87.431999999999988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6">
        <v>4607111039354</v>
      </c>
      <c r="E54" s="277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43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9"/>
      <c r="R54" s="279"/>
      <c r="S54" s="279"/>
      <c r="T54" s="280"/>
      <c r="U54" s="34"/>
      <c r="V54" s="34"/>
      <c r="W54" s="35" t="s">
        <v>69</v>
      </c>
      <c r="X54" s="272">
        <v>0</v>
      </c>
      <c r="Y54" s="273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6">
        <v>4607111039330</v>
      </c>
      <c r="E55" s="277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9"/>
      <c r="R55" s="279"/>
      <c r="S55" s="279"/>
      <c r="T55" s="280"/>
      <c r="U55" s="34"/>
      <c r="V55" s="34"/>
      <c r="W55" s="35" t="s">
        <v>69</v>
      </c>
      <c r="X55" s="272">
        <v>24</v>
      </c>
      <c r="Y55" s="273">
        <f>IFERROR(IF(X55="","",X55),"")</f>
        <v>24</v>
      </c>
      <c r="Z55" s="36">
        <f>IFERROR(IF(X55="","",X55*0.0155),"")</f>
        <v>0.372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175.2</v>
      </c>
      <c r="BN55" s="67">
        <f>IFERROR(Y55*I55,"0")</f>
        <v>175.2</v>
      </c>
      <c r="BO55" s="67">
        <f>IFERROR(X55/J55,"0")</f>
        <v>0.2857142857142857</v>
      </c>
      <c r="BP55" s="67">
        <f>IFERROR(Y55/J55,"0")</f>
        <v>0.2857142857142857</v>
      </c>
    </row>
    <row r="56" spans="1:68" x14ac:dyDescent="0.2">
      <c r="A56" s="294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5"/>
      <c r="P56" s="282" t="s">
        <v>82</v>
      </c>
      <c r="Q56" s="283"/>
      <c r="R56" s="283"/>
      <c r="S56" s="283"/>
      <c r="T56" s="283"/>
      <c r="U56" s="283"/>
      <c r="V56" s="284"/>
      <c r="W56" s="37" t="s">
        <v>69</v>
      </c>
      <c r="X56" s="274">
        <f>IFERROR(SUM(X52:X55),"0")</f>
        <v>36</v>
      </c>
      <c r="Y56" s="274">
        <f>IFERROR(SUM(Y52:Y55),"0")</f>
        <v>36</v>
      </c>
      <c r="Z56" s="274">
        <f>IFERROR(IF(Z52="",0,Z52),"0")+IFERROR(IF(Z53="",0,Z53),"0")+IFERROR(IF(Z54="",0,Z54),"0")+IFERROR(IF(Z55="",0,Z55),"0")</f>
        <v>0.55800000000000005</v>
      </c>
      <c r="AA56" s="275"/>
      <c r="AB56" s="275"/>
      <c r="AC56" s="275"/>
    </row>
    <row r="57" spans="1:68" x14ac:dyDescent="0.2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5"/>
      <c r="P57" s="282" t="s">
        <v>82</v>
      </c>
      <c r="Q57" s="283"/>
      <c r="R57" s="283"/>
      <c r="S57" s="283"/>
      <c r="T57" s="283"/>
      <c r="U57" s="283"/>
      <c r="V57" s="284"/>
      <c r="W57" s="37" t="s">
        <v>83</v>
      </c>
      <c r="X57" s="274">
        <f>IFERROR(SUMPRODUCT(X52:X55*H52:H55),"0")</f>
        <v>252</v>
      </c>
      <c r="Y57" s="274">
        <f>IFERROR(SUMPRODUCT(Y52:Y55*H52:H55),"0")</f>
        <v>252</v>
      </c>
      <c r="Z57" s="37"/>
      <c r="AA57" s="275"/>
      <c r="AB57" s="275"/>
      <c r="AC57" s="275"/>
    </row>
    <row r="58" spans="1:68" ht="16.5" customHeight="1" x14ac:dyDescent="0.25">
      <c r="A58" s="289" t="s">
        <v>123</v>
      </c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  <c r="AA58" s="267"/>
      <c r="AB58" s="267"/>
      <c r="AC58" s="267"/>
    </row>
    <row r="59" spans="1:68" ht="14.25" customHeight="1" x14ac:dyDescent="0.25">
      <c r="A59" s="293" t="s">
        <v>63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68"/>
      <c r="AB59" s="268"/>
      <c r="AC59" s="268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6">
        <v>4620207490822</v>
      </c>
      <c r="E60" s="277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9"/>
      <c r="R60" s="279"/>
      <c r="S60" s="279"/>
      <c r="T60" s="280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4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5"/>
      <c r="P61" s="282" t="s">
        <v>82</v>
      </c>
      <c r="Q61" s="283"/>
      <c r="R61" s="283"/>
      <c r="S61" s="283"/>
      <c r="T61" s="283"/>
      <c r="U61" s="283"/>
      <c r="V61" s="284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x14ac:dyDescent="0.2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5"/>
      <c r="P62" s="282" t="s">
        <v>82</v>
      </c>
      <c r="Q62" s="283"/>
      <c r="R62" s="283"/>
      <c r="S62" s="283"/>
      <c r="T62" s="283"/>
      <c r="U62" s="283"/>
      <c r="V62" s="284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customHeight="1" x14ac:dyDescent="0.25">
      <c r="A63" s="293" t="s">
        <v>92</v>
      </c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68"/>
      <c r="AB63" s="268"/>
      <c r="AC63" s="268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6">
        <v>4607111039712</v>
      </c>
      <c r="E64" s="277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9"/>
      <c r="R64" s="279"/>
      <c r="S64" s="279"/>
      <c r="T64" s="280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94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5"/>
      <c r="P65" s="282" t="s">
        <v>82</v>
      </c>
      <c r="Q65" s="283"/>
      <c r="R65" s="283"/>
      <c r="S65" s="283"/>
      <c r="T65" s="283"/>
      <c r="U65" s="283"/>
      <c r="V65" s="284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x14ac:dyDescent="0.2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5"/>
      <c r="P66" s="282" t="s">
        <v>82</v>
      </c>
      <c r="Q66" s="283"/>
      <c r="R66" s="283"/>
      <c r="S66" s="283"/>
      <c r="T66" s="283"/>
      <c r="U66" s="283"/>
      <c r="V66" s="284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customHeight="1" x14ac:dyDescent="0.25">
      <c r="A67" s="293" t="s">
        <v>130</v>
      </c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90"/>
      <c r="Z67" s="290"/>
      <c r="AA67" s="268"/>
      <c r="AB67" s="268"/>
      <c r="AC67" s="268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6">
        <v>4607111037008</v>
      </c>
      <c r="E68" s="277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9"/>
      <c r="R68" s="279"/>
      <c r="S68" s="279"/>
      <c r="T68" s="280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6">
        <v>4607111037398</v>
      </c>
      <c r="E69" s="277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9"/>
      <c r="R69" s="279"/>
      <c r="S69" s="279"/>
      <c r="T69" s="280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4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5"/>
      <c r="P70" s="282" t="s">
        <v>82</v>
      </c>
      <c r="Q70" s="283"/>
      <c r="R70" s="283"/>
      <c r="S70" s="283"/>
      <c r="T70" s="283"/>
      <c r="U70" s="283"/>
      <c r="V70" s="284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x14ac:dyDescent="0.2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5"/>
      <c r="P71" s="282" t="s">
        <v>82</v>
      </c>
      <c r="Q71" s="283"/>
      <c r="R71" s="283"/>
      <c r="S71" s="283"/>
      <c r="T71" s="283"/>
      <c r="U71" s="283"/>
      <c r="V71" s="284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customHeight="1" x14ac:dyDescent="0.25">
      <c r="A72" s="293" t="s">
        <v>136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90"/>
      <c r="Z72" s="290"/>
      <c r="AA72" s="268"/>
      <c r="AB72" s="268"/>
      <c r="AC72" s="268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6">
        <v>4607111039705</v>
      </c>
      <c r="E73" s="277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9"/>
      <c r="R73" s="279"/>
      <c r="S73" s="279"/>
      <c r="T73" s="280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6">
        <v>4607111039729</v>
      </c>
      <c r="E74" s="277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7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9"/>
      <c r="R74" s="279"/>
      <c r="S74" s="279"/>
      <c r="T74" s="280"/>
      <c r="U74" s="34"/>
      <c r="V74" s="34"/>
      <c r="W74" s="35" t="s">
        <v>69</v>
      </c>
      <c r="X74" s="272">
        <v>0</v>
      </c>
      <c r="Y74" s="273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6">
        <v>4620207490228</v>
      </c>
      <c r="E75" s="277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4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9"/>
      <c r="R75" s="279"/>
      <c r="S75" s="279"/>
      <c r="T75" s="280"/>
      <c r="U75" s="34"/>
      <c r="V75" s="34"/>
      <c r="W75" s="35" t="s">
        <v>69</v>
      </c>
      <c r="X75" s="272">
        <v>0</v>
      </c>
      <c r="Y75" s="273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94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5"/>
      <c r="P76" s="282" t="s">
        <v>82</v>
      </c>
      <c r="Q76" s="283"/>
      <c r="R76" s="283"/>
      <c r="S76" s="283"/>
      <c r="T76" s="283"/>
      <c r="U76" s="283"/>
      <c r="V76" s="284"/>
      <c r="W76" s="37" t="s">
        <v>69</v>
      </c>
      <c r="X76" s="274">
        <f>IFERROR(SUM(X73:X75),"0")</f>
        <v>0</v>
      </c>
      <c r="Y76" s="274">
        <f>IFERROR(SUM(Y73:Y75),"0")</f>
        <v>0</v>
      </c>
      <c r="Z76" s="274">
        <f>IFERROR(IF(Z73="",0,Z73),"0")+IFERROR(IF(Z74="",0,Z74),"0")+IFERROR(IF(Z75="",0,Z75),"0")</f>
        <v>0</v>
      </c>
      <c r="AA76" s="275"/>
      <c r="AB76" s="275"/>
      <c r="AC76" s="275"/>
    </row>
    <row r="77" spans="1:68" x14ac:dyDescent="0.2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5"/>
      <c r="P77" s="282" t="s">
        <v>82</v>
      </c>
      <c r="Q77" s="283"/>
      <c r="R77" s="283"/>
      <c r="S77" s="283"/>
      <c r="T77" s="283"/>
      <c r="U77" s="283"/>
      <c r="V77" s="284"/>
      <c r="W77" s="37" t="s">
        <v>83</v>
      </c>
      <c r="X77" s="274">
        <f>IFERROR(SUMPRODUCT(X73:X75*H73:H75),"0")</f>
        <v>0</v>
      </c>
      <c r="Y77" s="274">
        <f>IFERROR(SUMPRODUCT(Y73:Y75*H73:H75),"0")</f>
        <v>0</v>
      </c>
      <c r="Z77" s="37"/>
      <c r="AA77" s="275"/>
      <c r="AB77" s="275"/>
      <c r="AC77" s="275"/>
    </row>
    <row r="78" spans="1:68" ht="16.5" customHeight="1" x14ac:dyDescent="0.25">
      <c r="A78" s="289" t="s">
        <v>144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67"/>
      <c r="AB78" s="267"/>
      <c r="AC78" s="267"/>
    </row>
    <row r="79" spans="1:68" ht="14.25" customHeight="1" x14ac:dyDescent="0.25">
      <c r="A79" s="293" t="s">
        <v>63</v>
      </c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68"/>
      <c r="AB79" s="268"/>
      <c r="AC79" s="268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6">
        <v>4607111037411</v>
      </c>
      <c r="E80" s="277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41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9"/>
      <c r="R80" s="279"/>
      <c r="S80" s="279"/>
      <c r="T80" s="280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6">
        <v>4607111036728</v>
      </c>
      <c r="E81" s="277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9"/>
      <c r="R81" s="279"/>
      <c r="S81" s="279"/>
      <c r="T81" s="280"/>
      <c r="U81" s="34"/>
      <c r="V81" s="34"/>
      <c r="W81" s="35" t="s">
        <v>69</v>
      </c>
      <c r="X81" s="272">
        <v>12</v>
      </c>
      <c r="Y81" s="273">
        <f>IFERROR(IF(X81="","",X81),"")</f>
        <v>12</v>
      </c>
      <c r="Z81" s="36">
        <f>IFERROR(IF(X81="","",X81*0.00866),"")</f>
        <v>0.10391999999999998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62.558399999999992</v>
      </c>
      <c r="BN81" s="67">
        <f>IFERROR(Y81*I81,"0")</f>
        <v>62.558399999999992</v>
      </c>
      <c r="BO81" s="67">
        <f>IFERROR(X81/J81,"0")</f>
        <v>8.3333333333333329E-2</v>
      </c>
      <c r="BP81" s="67">
        <f>IFERROR(Y81/J81,"0")</f>
        <v>8.3333333333333329E-2</v>
      </c>
    </row>
    <row r="82" spans="1:68" x14ac:dyDescent="0.2">
      <c r="A82" s="294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5"/>
      <c r="P82" s="282" t="s">
        <v>82</v>
      </c>
      <c r="Q82" s="283"/>
      <c r="R82" s="283"/>
      <c r="S82" s="283"/>
      <c r="T82" s="283"/>
      <c r="U82" s="283"/>
      <c r="V82" s="284"/>
      <c r="W82" s="37" t="s">
        <v>69</v>
      </c>
      <c r="X82" s="274">
        <f>IFERROR(SUM(X80:X81),"0")</f>
        <v>12</v>
      </c>
      <c r="Y82" s="274">
        <f>IFERROR(SUM(Y80:Y81),"0")</f>
        <v>12</v>
      </c>
      <c r="Z82" s="274">
        <f>IFERROR(IF(Z80="",0,Z80),"0")+IFERROR(IF(Z81="",0,Z81),"0")</f>
        <v>0.10391999999999998</v>
      </c>
      <c r="AA82" s="275"/>
      <c r="AB82" s="275"/>
      <c r="AC82" s="275"/>
    </row>
    <row r="83" spans="1:68" x14ac:dyDescent="0.2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5"/>
      <c r="P83" s="282" t="s">
        <v>82</v>
      </c>
      <c r="Q83" s="283"/>
      <c r="R83" s="283"/>
      <c r="S83" s="283"/>
      <c r="T83" s="283"/>
      <c r="U83" s="283"/>
      <c r="V83" s="284"/>
      <c r="W83" s="37" t="s">
        <v>83</v>
      </c>
      <c r="X83" s="274">
        <f>IFERROR(SUMPRODUCT(X80:X81*H80:H81),"0")</f>
        <v>60</v>
      </c>
      <c r="Y83" s="274">
        <f>IFERROR(SUMPRODUCT(Y80:Y81*H80:H81),"0")</f>
        <v>60</v>
      </c>
      <c r="Z83" s="37"/>
      <c r="AA83" s="275"/>
      <c r="AB83" s="275"/>
      <c r="AC83" s="275"/>
    </row>
    <row r="84" spans="1:68" ht="16.5" customHeight="1" x14ac:dyDescent="0.25">
      <c r="A84" s="289" t="s">
        <v>151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Z84" s="290"/>
      <c r="AA84" s="267"/>
      <c r="AB84" s="267"/>
      <c r="AC84" s="267"/>
    </row>
    <row r="85" spans="1:68" ht="14.25" customHeight="1" x14ac:dyDescent="0.25">
      <c r="A85" s="293" t="s">
        <v>136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68"/>
      <c r="AB85" s="268"/>
      <c r="AC85" s="268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6">
        <v>4607111033659</v>
      </c>
      <c r="E86" s="277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9"/>
      <c r="R86" s="279"/>
      <c r="S86" s="279"/>
      <c r="T86" s="280"/>
      <c r="U86" s="34"/>
      <c r="V86" s="34"/>
      <c r="W86" s="35" t="s">
        <v>69</v>
      </c>
      <c r="X86" s="272">
        <v>14</v>
      </c>
      <c r="Y86" s="273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94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5"/>
      <c r="P87" s="282" t="s">
        <v>82</v>
      </c>
      <c r="Q87" s="283"/>
      <c r="R87" s="283"/>
      <c r="S87" s="283"/>
      <c r="T87" s="283"/>
      <c r="U87" s="283"/>
      <c r="V87" s="284"/>
      <c r="W87" s="37" t="s">
        <v>69</v>
      </c>
      <c r="X87" s="274">
        <f>IFERROR(SUM(X86:X86),"0")</f>
        <v>14</v>
      </c>
      <c r="Y87" s="274">
        <f>IFERROR(SUM(Y86:Y86),"0")</f>
        <v>14</v>
      </c>
      <c r="Z87" s="274">
        <f>IFERROR(IF(Z86="",0,Z86),"0")</f>
        <v>0.25031999999999999</v>
      </c>
      <c r="AA87" s="275"/>
      <c r="AB87" s="275"/>
      <c r="AC87" s="275"/>
    </row>
    <row r="88" spans="1:68" x14ac:dyDescent="0.2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5"/>
      <c r="P88" s="282" t="s">
        <v>82</v>
      </c>
      <c r="Q88" s="283"/>
      <c r="R88" s="283"/>
      <c r="S88" s="283"/>
      <c r="T88" s="283"/>
      <c r="U88" s="283"/>
      <c r="V88" s="284"/>
      <c r="W88" s="37" t="s">
        <v>83</v>
      </c>
      <c r="X88" s="274">
        <f>IFERROR(SUMPRODUCT(X86:X86*H86:H86),"0")</f>
        <v>50.4</v>
      </c>
      <c r="Y88" s="274">
        <f>IFERROR(SUMPRODUCT(Y86:Y86*H86:H86),"0")</f>
        <v>50.4</v>
      </c>
      <c r="Z88" s="37"/>
      <c r="AA88" s="275"/>
      <c r="AB88" s="275"/>
      <c r="AC88" s="275"/>
    </row>
    <row r="89" spans="1:68" ht="16.5" customHeight="1" x14ac:dyDescent="0.25">
      <c r="A89" s="289" t="s">
        <v>155</v>
      </c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290"/>
      <c r="S89" s="290"/>
      <c r="T89" s="290"/>
      <c r="U89" s="290"/>
      <c r="V89" s="290"/>
      <c r="W89" s="290"/>
      <c r="X89" s="290"/>
      <c r="Y89" s="290"/>
      <c r="Z89" s="290"/>
      <c r="AA89" s="267"/>
      <c r="AB89" s="267"/>
      <c r="AC89" s="267"/>
    </row>
    <row r="90" spans="1:68" ht="14.25" customHeight="1" x14ac:dyDescent="0.25">
      <c r="A90" s="293" t="s">
        <v>156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Z90" s="290"/>
      <c r="AA90" s="268"/>
      <c r="AB90" s="268"/>
      <c r="AC90" s="268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6">
        <v>4607111034120</v>
      </c>
      <c r="E91" s="277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9"/>
      <c r="R91" s="279"/>
      <c r="S91" s="279"/>
      <c r="T91" s="280"/>
      <c r="U91" s="34"/>
      <c r="V91" s="34"/>
      <c r="W91" s="35" t="s">
        <v>69</v>
      </c>
      <c r="X91" s="272">
        <v>70</v>
      </c>
      <c r="Y91" s="273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6">
        <v>4607111034137</v>
      </c>
      <c r="E92" s="277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9"/>
      <c r="R92" s="279"/>
      <c r="S92" s="279"/>
      <c r="T92" s="280"/>
      <c r="U92" s="34"/>
      <c r="V92" s="34"/>
      <c r="W92" s="35" t="s">
        <v>69</v>
      </c>
      <c r="X92" s="272">
        <v>42</v>
      </c>
      <c r="Y92" s="273">
        <f>IFERROR(IF(X92="","",X92),"")</f>
        <v>42</v>
      </c>
      <c r="Z92" s="36">
        <f>IFERROR(IF(X92="","",X92*0.01788),"")</f>
        <v>0.75095999999999996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180.75120000000001</v>
      </c>
      <c r="BN92" s="67">
        <f>IFERROR(Y92*I92,"0")</f>
        <v>180.75120000000001</v>
      </c>
      <c r="BO92" s="67">
        <f>IFERROR(X92/J92,"0")</f>
        <v>0.6</v>
      </c>
      <c r="BP92" s="67">
        <f>IFERROR(Y92/J92,"0")</f>
        <v>0.6</v>
      </c>
    </row>
    <row r="93" spans="1:68" x14ac:dyDescent="0.2">
      <c r="A93" s="294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5"/>
      <c r="P93" s="282" t="s">
        <v>82</v>
      </c>
      <c r="Q93" s="283"/>
      <c r="R93" s="283"/>
      <c r="S93" s="283"/>
      <c r="T93" s="283"/>
      <c r="U93" s="283"/>
      <c r="V93" s="284"/>
      <c r="W93" s="37" t="s">
        <v>69</v>
      </c>
      <c r="X93" s="274">
        <f>IFERROR(SUM(X91:X92),"0")</f>
        <v>112</v>
      </c>
      <c r="Y93" s="274">
        <f>IFERROR(SUM(Y91:Y92),"0")</f>
        <v>112</v>
      </c>
      <c r="Z93" s="274">
        <f>IFERROR(IF(Z91="",0,Z91),"0")+IFERROR(IF(Z92="",0,Z92),"0")</f>
        <v>2.0025599999999999</v>
      </c>
      <c r="AA93" s="275"/>
      <c r="AB93" s="275"/>
      <c r="AC93" s="275"/>
    </row>
    <row r="94" spans="1:68" x14ac:dyDescent="0.2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5"/>
      <c r="P94" s="282" t="s">
        <v>82</v>
      </c>
      <c r="Q94" s="283"/>
      <c r="R94" s="283"/>
      <c r="S94" s="283"/>
      <c r="T94" s="283"/>
      <c r="U94" s="283"/>
      <c r="V94" s="284"/>
      <c r="W94" s="37" t="s">
        <v>83</v>
      </c>
      <c r="X94" s="274">
        <f>IFERROR(SUMPRODUCT(X91:X92*H91:H92),"0")</f>
        <v>403.20000000000005</v>
      </c>
      <c r="Y94" s="274">
        <f>IFERROR(SUMPRODUCT(Y91:Y92*H91:H92),"0")</f>
        <v>403.20000000000005</v>
      </c>
      <c r="Z94" s="37"/>
      <c r="AA94" s="275"/>
      <c r="AB94" s="275"/>
      <c r="AC94" s="275"/>
    </row>
    <row r="95" spans="1:68" ht="16.5" customHeight="1" x14ac:dyDescent="0.25">
      <c r="A95" s="289" t="s">
        <v>163</v>
      </c>
      <c r="B95" s="290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0"/>
      <c r="S95" s="290"/>
      <c r="T95" s="290"/>
      <c r="U95" s="290"/>
      <c r="V95" s="290"/>
      <c r="W95" s="290"/>
      <c r="X95" s="290"/>
      <c r="Y95" s="290"/>
      <c r="Z95" s="290"/>
      <c r="AA95" s="267"/>
      <c r="AB95" s="267"/>
      <c r="AC95" s="267"/>
    </row>
    <row r="96" spans="1:68" ht="14.25" customHeight="1" x14ac:dyDescent="0.25">
      <c r="A96" s="293" t="s">
        <v>136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68"/>
      <c r="AB96" s="268"/>
      <c r="AC96" s="268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6">
        <v>4620207491027</v>
      </c>
      <c r="E97" s="277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9"/>
      <c r="R97" s="279"/>
      <c r="S97" s="279"/>
      <c r="T97" s="280"/>
      <c r="U97" s="34"/>
      <c r="V97" s="34"/>
      <c r="W97" s="35" t="s">
        <v>69</v>
      </c>
      <c r="X97" s="272">
        <v>14</v>
      </c>
      <c r="Y97" s="273">
        <f t="shared" ref="Y97:Y103" si="6">IFERROR(IF(X97="","",X97),"")</f>
        <v>14</v>
      </c>
      <c r="Z97" s="36">
        <f t="shared" ref="Z97:Z103" si="7">IFERROR(IF(X97="","",X97*0.01788),"")</f>
        <v>0.25031999999999999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3" si="8">IFERROR(X97*I97,"0")</f>
        <v>50.170400000000001</v>
      </c>
      <c r="BN97" s="67">
        <f t="shared" ref="BN97:BN103" si="9">IFERROR(Y97*I97,"0")</f>
        <v>50.170400000000001</v>
      </c>
      <c r="BO97" s="67">
        <f t="shared" ref="BO97:BO103" si="10">IFERROR(X97/J97,"0")</f>
        <v>0.2</v>
      </c>
      <c r="BP97" s="67">
        <f t="shared" ref="BP97:BP103" si="11">IFERROR(Y97/J97,"0")</f>
        <v>0.2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6">
        <v>4620207491003</v>
      </c>
      <c r="E98" s="277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9"/>
      <c r="R98" s="279"/>
      <c r="S98" s="279"/>
      <c r="T98" s="280"/>
      <c r="U98" s="34"/>
      <c r="V98" s="34"/>
      <c r="W98" s="35" t="s">
        <v>69</v>
      </c>
      <c r="X98" s="272">
        <v>0</v>
      </c>
      <c r="Y98" s="273">
        <f t="shared" si="6"/>
        <v>0</v>
      </c>
      <c r="Z98" s="36">
        <f t="shared" si="7"/>
        <v>0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6">
        <v>4620207491034</v>
      </c>
      <c r="E99" s="277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9"/>
      <c r="R99" s="279"/>
      <c r="S99" s="279"/>
      <c r="T99" s="280"/>
      <c r="U99" s="34"/>
      <c r="V99" s="34"/>
      <c r="W99" s="35" t="s">
        <v>69</v>
      </c>
      <c r="X99" s="272">
        <v>98</v>
      </c>
      <c r="Y99" s="273">
        <f t="shared" si="6"/>
        <v>98</v>
      </c>
      <c r="Z99" s="36">
        <f t="shared" si="7"/>
        <v>1.75224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351.19280000000003</v>
      </c>
      <c r="BN99" s="67">
        <f t="shared" si="9"/>
        <v>351.19280000000003</v>
      </c>
      <c r="BO99" s="67">
        <f t="shared" si="10"/>
        <v>1.4</v>
      </c>
      <c r="BP99" s="67">
        <f t="shared" si="11"/>
        <v>1.4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6">
        <v>4620207491010</v>
      </c>
      <c r="E100" s="277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9"/>
      <c r="R100" s="279"/>
      <c r="S100" s="279"/>
      <c r="T100" s="280"/>
      <c r="U100" s="34"/>
      <c r="V100" s="34"/>
      <c r="W100" s="35" t="s">
        <v>69</v>
      </c>
      <c r="X100" s="272">
        <v>126</v>
      </c>
      <c r="Y100" s="273">
        <f t="shared" si="6"/>
        <v>126</v>
      </c>
      <c r="Z100" s="36">
        <f t="shared" si="7"/>
        <v>2.2528800000000002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451.53360000000004</v>
      </c>
      <c r="BN100" s="67">
        <f t="shared" si="9"/>
        <v>451.53360000000004</v>
      </c>
      <c r="BO100" s="67">
        <f t="shared" si="10"/>
        <v>1.8</v>
      </c>
      <c r="BP100" s="67">
        <f t="shared" si="11"/>
        <v>1.8</v>
      </c>
    </row>
    <row r="101" spans="1:68" ht="27" customHeight="1" x14ac:dyDescent="0.25">
      <c r="A101" s="54" t="s">
        <v>171</v>
      </c>
      <c r="B101" s="54" t="s">
        <v>173</v>
      </c>
      <c r="C101" s="31">
        <v>4301135818</v>
      </c>
      <c r="D101" s="276">
        <v>4620207491010</v>
      </c>
      <c r="E101" s="277"/>
      <c r="F101" s="271">
        <v>0.24</v>
      </c>
      <c r="G101" s="32">
        <v>12</v>
      </c>
      <c r="H101" s="271">
        <v>2.88</v>
      </c>
      <c r="I101" s="271">
        <v>3.5836000000000001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30" t="str">
        <f>HYPERLINK("https://abi.ru/products/Замороженные/Горячая штучка/Чебупели/Снеки/P005044/","Снеки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279"/>
      <c r="R101" s="279"/>
      <c r="S101" s="279"/>
      <c r="T101" s="280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174</v>
      </c>
      <c r="B102" s="54" t="s">
        <v>175</v>
      </c>
      <c r="C102" s="31">
        <v>4301135571</v>
      </c>
      <c r="D102" s="276">
        <v>4607111035028</v>
      </c>
      <c r="E102" s="277"/>
      <c r="F102" s="271">
        <v>0.48</v>
      </c>
      <c r="G102" s="32">
        <v>8</v>
      </c>
      <c r="H102" s="271">
        <v>3.84</v>
      </c>
      <c r="I102" s="271">
        <v>4.4488000000000003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3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279"/>
      <c r="R102" s="279"/>
      <c r="S102" s="279"/>
      <c r="T102" s="280"/>
      <c r="U102" s="34"/>
      <c r="V102" s="34"/>
      <c r="W102" s="35" t="s">
        <v>69</v>
      </c>
      <c r="X102" s="272">
        <v>14</v>
      </c>
      <c r="Y102" s="273">
        <f t="shared" si="6"/>
        <v>14</v>
      </c>
      <c r="Z102" s="36">
        <f t="shared" si="7"/>
        <v>0.25031999999999999</v>
      </c>
      <c r="AA102" s="56"/>
      <c r="AB102" s="57"/>
      <c r="AC102" s="140" t="s">
        <v>154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62.283200000000008</v>
      </c>
      <c r="BN102" s="67">
        <f t="shared" si="9"/>
        <v>62.283200000000008</v>
      </c>
      <c r="BO102" s="67">
        <f t="shared" si="10"/>
        <v>0.2</v>
      </c>
      <c r="BP102" s="67">
        <f t="shared" si="11"/>
        <v>0.2</v>
      </c>
    </row>
    <row r="103" spans="1:68" ht="27" customHeight="1" x14ac:dyDescent="0.25">
      <c r="A103" s="54" t="s">
        <v>176</v>
      </c>
      <c r="B103" s="54" t="s">
        <v>177</v>
      </c>
      <c r="C103" s="31">
        <v>4301135285</v>
      </c>
      <c r="D103" s="276">
        <v>4607111036407</v>
      </c>
      <c r="E103" s="277"/>
      <c r="F103" s="271">
        <v>0.3</v>
      </c>
      <c r="G103" s="32">
        <v>14</v>
      </c>
      <c r="H103" s="271">
        <v>4.2</v>
      </c>
      <c r="I103" s="271">
        <v>4.5292000000000003</v>
      </c>
      <c r="J103" s="32">
        <v>70</v>
      </c>
      <c r="K103" s="32" t="s">
        <v>95</v>
      </c>
      <c r="L103" s="32" t="s">
        <v>96</v>
      </c>
      <c r="M103" s="33" t="s">
        <v>68</v>
      </c>
      <c r="N103" s="33"/>
      <c r="O103" s="32">
        <v>180</v>
      </c>
      <c r="P103" s="33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279"/>
      <c r="R103" s="279"/>
      <c r="S103" s="279"/>
      <c r="T103" s="280"/>
      <c r="U103" s="34"/>
      <c r="V103" s="34"/>
      <c r="W103" s="35" t="s">
        <v>69</v>
      </c>
      <c r="X103" s="272">
        <v>14</v>
      </c>
      <c r="Y103" s="273">
        <f t="shared" si="6"/>
        <v>14</v>
      </c>
      <c r="Z103" s="36">
        <f t="shared" si="7"/>
        <v>0.25031999999999999</v>
      </c>
      <c r="AA103" s="56"/>
      <c r="AB103" s="57"/>
      <c r="AC103" s="142" t="s">
        <v>178</v>
      </c>
      <c r="AG103" s="67"/>
      <c r="AJ103" s="71" t="s">
        <v>98</v>
      </c>
      <c r="AK103" s="71">
        <v>14</v>
      </c>
      <c r="BB103" s="143" t="s">
        <v>99</v>
      </c>
      <c r="BM103" s="67">
        <f t="shared" si="8"/>
        <v>63.408800000000006</v>
      </c>
      <c r="BN103" s="67">
        <f t="shared" si="9"/>
        <v>63.408800000000006</v>
      </c>
      <c r="BO103" s="67">
        <f t="shared" si="10"/>
        <v>0.2</v>
      </c>
      <c r="BP103" s="67">
        <f t="shared" si="11"/>
        <v>0.2</v>
      </c>
    </row>
    <row r="104" spans="1:68" x14ac:dyDescent="0.2">
      <c r="A104" s="294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5"/>
      <c r="P104" s="282" t="s">
        <v>82</v>
      </c>
      <c r="Q104" s="283"/>
      <c r="R104" s="283"/>
      <c r="S104" s="283"/>
      <c r="T104" s="283"/>
      <c r="U104" s="283"/>
      <c r="V104" s="284"/>
      <c r="W104" s="37" t="s">
        <v>69</v>
      </c>
      <c r="X104" s="274">
        <f>IFERROR(SUM(X97:X103),"0")</f>
        <v>266</v>
      </c>
      <c r="Y104" s="274">
        <f>IFERROR(SUM(Y97:Y103),"0")</f>
        <v>266</v>
      </c>
      <c r="Z104" s="274">
        <f>IFERROR(IF(Z97="",0,Z97),"0")+IFERROR(IF(Z98="",0,Z98),"0")+IFERROR(IF(Z99="",0,Z99),"0")+IFERROR(IF(Z100="",0,Z100),"0")+IFERROR(IF(Z101="",0,Z101),"0")+IFERROR(IF(Z102="",0,Z102),"0")+IFERROR(IF(Z103="",0,Z103),"0")</f>
        <v>4.7560800000000008</v>
      </c>
      <c r="AA104" s="275"/>
      <c r="AB104" s="275"/>
      <c r="AC104" s="275"/>
    </row>
    <row r="105" spans="1:68" x14ac:dyDescent="0.2">
      <c r="A105" s="290"/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5"/>
      <c r="P105" s="282" t="s">
        <v>82</v>
      </c>
      <c r="Q105" s="283"/>
      <c r="R105" s="283"/>
      <c r="S105" s="283"/>
      <c r="T105" s="283"/>
      <c r="U105" s="283"/>
      <c r="V105" s="284"/>
      <c r="W105" s="37" t="s">
        <v>83</v>
      </c>
      <c r="X105" s="274">
        <f>IFERROR(SUMPRODUCT(X97:X103*H97:H103),"0")</f>
        <v>798</v>
      </c>
      <c r="Y105" s="274">
        <f>IFERROR(SUMPRODUCT(Y97:Y103*H97:H103),"0")</f>
        <v>798</v>
      </c>
      <c r="Z105" s="37"/>
      <c r="AA105" s="275"/>
      <c r="AB105" s="275"/>
      <c r="AC105" s="275"/>
    </row>
    <row r="106" spans="1:68" ht="16.5" customHeight="1" x14ac:dyDescent="0.25">
      <c r="A106" s="289" t="s">
        <v>179</v>
      </c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0"/>
      <c r="U106" s="290"/>
      <c r="V106" s="290"/>
      <c r="W106" s="290"/>
      <c r="X106" s="290"/>
      <c r="Y106" s="290"/>
      <c r="Z106" s="290"/>
      <c r="AA106" s="267"/>
      <c r="AB106" s="267"/>
      <c r="AC106" s="267"/>
    </row>
    <row r="107" spans="1:68" ht="14.25" customHeight="1" x14ac:dyDescent="0.25">
      <c r="A107" s="293" t="s">
        <v>130</v>
      </c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0"/>
      <c r="P107" s="290"/>
      <c r="Q107" s="290"/>
      <c r="R107" s="290"/>
      <c r="S107" s="290"/>
      <c r="T107" s="290"/>
      <c r="U107" s="290"/>
      <c r="V107" s="290"/>
      <c r="W107" s="290"/>
      <c r="X107" s="290"/>
      <c r="Y107" s="290"/>
      <c r="Z107" s="290"/>
      <c r="AA107" s="268"/>
      <c r="AB107" s="268"/>
      <c r="AC107" s="268"/>
    </row>
    <row r="108" spans="1:68" ht="27" customHeight="1" x14ac:dyDescent="0.25">
      <c r="A108" s="54" t="s">
        <v>180</v>
      </c>
      <c r="B108" s="54" t="s">
        <v>181</v>
      </c>
      <c r="C108" s="31">
        <v>4301136070</v>
      </c>
      <c r="D108" s="276">
        <v>4607025784012</v>
      </c>
      <c r="E108" s="277"/>
      <c r="F108" s="271">
        <v>0.09</v>
      </c>
      <c r="G108" s="32">
        <v>24</v>
      </c>
      <c r="H108" s="271">
        <v>2.16</v>
      </c>
      <c r="I108" s="271">
        <v>2.4912000000000001</v>
      </c>
      <c r="J108" s="32">
        <v>126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79"/>
      <c r="R108" s="279"/>
      <c r="S108" s="279"/>
      <c r="T108" s="280"/>
      <c r="U108" s="34"/>
      <c r="V108" s="34"/>
      <c r="W108" s="35" t="s">
        <v>69</v>
      </c>
      <c r="X108" s="272">
        <v>28</v>
      </c>
      <c r="Y108" s="273">
        <f>IFERROR(IF(X108="","",X108),"")</f>
        <v>28</v>
      </c>
      <c r="Z108" s="36">
        <f>IFERROR(IF(X108="","",X108*0.00936),"")</f>
        <v>0.26207999999999998</v>
      </c>
      <c r="AA108" s="56"/>
      <c r="AB108" s="57"/>
      <c r="AC108" s="144" t="s">
        <v>182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69.753600000000006</v>
      </c>
      <c r="BN108" s="67">
        <f>IFERROR(Y108*I108,"0")</f>
        <v>69.753600000000006</v>
      </c>
      <c r="BO108" s="67">
        <f>IFERROR(X108/J108,"0")</f>
        <v>0.22222222222222221</v>
      </c>
      <c r="BP108" s="67">
        <f>IFERROR(Y108/J108,"0")</f>
        <v>0.22222222222222221</v>
      </c>
    </row>
    <row r="109" spans="1:68" ht="27" customHeight="1" x14ac:dyDescent="0.25">
      <c r="A109" s="54" t="s">
        <v>183</v>
      </c>
      <c r="B109" s="54" t="s">
        <v>184</v>
      </c>
      <c r="C109" s="31">
        <v>4301136079</v>
      </c>
      <c r="D109" s="276">
        <v>4607025784319</v>
      </c>
      <c r="E109" s="277"/>
      <c r="F109" s="271">
        <v>0.36</v>
      </c>
      <c r="G109" s="32">
        <v>10</v>
      </c>
      <c r="H109" s="271">
        <v>3.6</v>
      </c>
      <c r="I109" s="271">
        <v>4.2439999999999998</v>
      </c>
      <c r="J109" s="32">
        <v>70</v>
      </c>
      <c r="K109" s="32" t="s">
        <v>95</v>
      </c>
      <c r="L109" s="32" t="s">
        <v>96</v>
      </c>
      <c r="M109" s="33" t="s">
        <v>68</v>
      </c>
      <c r="N109" s="33"/>
      <c r="O109" s="32">
        <v>180</v>
      </c>
      <c r="P109" s="40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79"/>
      <c r="R109" s="279"/>
      <c r="S109" s="279"/>
      <c r="T109" s="280"/>
      <c r="U109" s="34"/>
      <c r="V109" s="34"/>
      <c r="W109" s="35" t="s">
        <v>69</v>
      </c>
      <c r="X109" s="272">
        <v>154</v>
      </c>
      <c r="Y109" s="273">
        <f>IFERROR(IF(X109="","",X109),"")</f>
        <v>154</v>
      </c>
      <c r="Z109" s="36">
        <f>IFERROR(IF(X109="","",X109*0.01788),"")</f>
        <v>2.75352</v>
      </c>
      <c r="AA109" s="56"/>
      <c r="AB109" s="57"/>
      <c r="AC109" s="146" t="s">
        <v>154</v>
      </c>
      <c r="AG109" s="67"/>
      <c r="AJ109" s="71" t="s">
        <v>98</v>
      </c>
      <c r="AK109" s="71">
        <v>14</v>
      </c>
      <c r="BB109" s="147" t="s">
        <v>99</v>
      </c>
      <c r="BM109" s="67">
        <f>IFERROR(X109*I109,"0")</f>
        <v>653.57600000000002</v>
      </c>
      <c r="BN109" s="67">
        <f>IFERROR(Y109*I109,"0")</f>
        <v>653.57600000000002</v>
      </c>
      <c r="BO109" s="67">
        <f>IFERROR(X109/J109,"0")</f>
        <v>2.2000000000000002</v>
      </c>
      <c r="BP109" s="67">
        <f>IFERROR(Y109/J109,"0")</f>
        <v>2.2000000000000002</v>
      </c>
    </row>
    <row r="110" spans="1:68" x14ac:dyDescent="0.2">
      <c r="A110" s="294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5"/>
      <c r="P110" s="282" t="s">
        <v>82</v>
      </c>
      <c r="Q110" s="283"/>
      <c r="R110" s="283"/>
      <c r="S110" s="283"/>
      <c r="T110" s="283"/>
      <c r="U110" s="283"/>
      <c r="V110" s="284"/>
      <c r="W110" s="37" t="s">
        <v>69</v>
      </c>
      <c r="X110" s="274">
        <f>IFERROR(SUM(X108:X109),"0")</f>
        <v>182</v>
      </c>
      <c r="Y110" s="274">
        <f>IFERROR(SUM(Y108:Y109),"0")</f>
        <v>182</v>
      </c>
      <c r="Z110" s="274">
        <f>IFERROR(IF(Z108="",0,Z108),"0")+IFERROR(IF(Z109="",0,Z109),"0")</f>
        <v>3.0156000000000001</v>
      </c>
      <c r="AA110" s="275"/>
      <c r="AB110" s="275"/>
      <c r="AC110" s="275"/>
    </row>
    <row r="111" spans="1:68" x14ac:dyDescent="0.2">
      <c r="A111" s="290"/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5"/>
      <c r="P111" s="282" t="s">
        <v>82</v>
      </c>
      <c r="Q111" s="283"/>
      <c r="R111" s="283"/>
      <c r="S111" s="283"/>
      <c r="T111" s="283"/>
      <c r="U111" s="283"/>
      <c r="V111" s="284"/>
      <c r="W111" s="37" t="s">
        <v>83</v>
      </c>
      <c r="X111" s="274">
        <f>IFERROR(SUMPRODUCT(X108:X109*H108:H109),"0")</f>
        <v>614.88</v>
      </c>
      <c r="Y111" s="274">
        <f>IFERROR(SUMPRODUCT(Y108:Y109*H108:H109),"0")</f>
        <v>614.88</v>
      </c>
      <c r="Z111" s="37"/>
      <c r="AA111" s="275"/>
      <c r="AB111" s="275"/>
      <c r="AC111" s="275"/>
    </row>
    <row r="112" spans="1:68" ht="16.5" customHeight="1" x14ac:dyDescent="0.25">
      <c r="A112" s="289" t="s">
        <v>185</v>
      </c>
      <c r="B112" s="290"/>
      <c r="C112" s="290"/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90"/>
      <c r="Q112" s="290"/>
      <c r="R112" s="290"/>
      <c r="S112" s="290"/>
      <c r="T112" s="290"/>
      <c r="U112" s="290"/>
      <c r="V112" s="290"/>
      <c r="W112" s="290"/>
      <c r="X112" s="290"/>
      <c r="Y112" s="290"/>
      <c r="Z112" s="290"/>
      <c r="AA112" s="267"/>
      <c r="AB112" s="267"/>
      <c r="AC112" s="267"/>
    </row>
    <row r="113" spans="1:68" ht="14.25" customHeight="1" x14ac:dyDescent="0.25">
      <c r="A113" s="293" t="s">
        <v>63</v>
      </c>
      <c r="B113" s="290"/>
      <c r="C113" s="290"/>
      <c r="D113" s="290"/>
      <c r="E113" s="290"/>
      <c r="F113" s="290"/>
      <c r="G113" s="290"/>
      <c r="H113" s="290"/>
      <c r="I113" s="290"/>
      <c r="J113" s="290"/>
      <c r="K113" s="290"/>
      <c r="L113" s="290"/>
      <c r="M113" s="290"/>
      <c r="N113" s="290"/>
      <c r="O113" s="290"/>
      <c r="P113" s="290"/>
      <c r="Q113" s="290"/>
      <c r="R113" s="290"/>
      <c r="S113" s="290"/>
      <c r="T113" s="290"/>
      <c r="U113" s="290"/>
      <c r="V113" s="290"/>
      <c r="W113" s="290"/>
      <c r="X113" s="290"/>
      <c r="Y113" s="290"/>
      <c r="Z113" s="290"/>
      <c r="AA113" s="268"/>
      <c r="AB113" s="268"/>
      <c r="AC113" s="268"/>
    </row>
    <row r="114" spans="1:68" ht="27" customHeight="1" x14ac:dyDescent="0.25">
      <c r="A114" s="54" t="s">
        <v>186</v>
      </c>
      <c r="B114" s="54" t="s">
        <v>187</v>
      </c>
      <c r="C114" s="31">
        <v>4301071121</v>
      </c>
      <c r="D114" s="276">
        <v>4620207491393</v>
      </c>
      <c r="E114" s="277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2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9"/>
      <c r="R114" s="279"/>
      <c r="S114" s="279"/>
      <c r="T114" s="280"/>
      <c r="U114" s="34"/>
      <c r="V114" s="34"/>
      <c r="W114" s="35" t="s">
        <v>69</v>
      </c>
      <c r="X114" s="272">
        <v>0</v>
      </c>
      <c r="Y114" s="273">
        <f t="shared" ref="Y114:Y121" si="12">IFERROR(IF(X114="","",X114),"")</f>
        <v>0</v>
      </c>
      <c r="Z114" s="36">
        <f t="shared" ref="Z114:Z121" si="13">IFERROR(IF(X114="","",X114*0.0155),"")</f>
        <v>0</v>
      </c>
      <c r="AA114" s="56"/>
      <c r="AB114" s="57" t="s">
        <v>188</v>
      </c>
      <c r="AC114" s="148" t="s">
        <v>189</v>
      </c>
      <c r="AG114" s="67"/>
      <c r="AJ114" s="71" t="s">
        <v>71</v>
      </c>
      <c r="AK114" s="71">
        <v>1</v>
      </c>
      <c r="BB114" s="149" t="s">
        <v>1</v>
      </c>
      <c r="BM114" s="67">
        <f t="shared" ref="BM114:BM121" si="14">IFERROR(X114*I114,"0")</f>
        <v>0</v>
      </c>
      <c r="BN114" s="67">
        <f t="shared" ref="BN114:BN121" si="15">IFERROR(Y114*I114,"0")</f>
        <v>0</v>
      </c>
      <c r="BO114" s="67">
        <f t="shared" ref="BO114:BO121" si="16">IFERROR(X114/J114,"0")</f>
        <v>0</v>
      </c>
      <c r="BP114" s="67">
        <f t="shared" ref="BP114:BP121" si="17">IFERROR(Y114/J114,"0")</f>
        <v>0</v>
      </c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76">
        <v>4620207491157</v>
      </c>
      <c r="E115" s="277"/>
      <c r="F115" s="271">
        <v>0.7</v>
      </c>
      <c r="G115" s="32">
        <v>10</v>
      </c>
      <c r="H115" s="271">
        <v>7</v>
      </c>
      <c r="I115" s="271">
        <v>7.28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79"/>
      <c r="R115" s="279"/>
      <c r="S115" s="279"/>
      <c r="T115" s="280"/>
      <c r="U115" s="34"/>
      <c r="V115" s="34"/>
      <c r="W115" s="35" t="s">
        <v>69</v>
      </c>
      <c r="X115" s="272">
        <v>12</v>
      </c>
      <c r="Y115" s="273">
        <f t="shared" si="12"/>
        <v>12</v>
      </c>
      <c r="Z115" s="36">
        <f t="shared" si="13"/>
        <v>0.186</v>
      </c>
      <c r="AA115" s="56"/>
      <c r="AB115" s="57"/>
      <c r="AC115" s="150" t="s">
        <v>192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87.36</v>
      </c>
      <c r="BN115" s="67">
        <f t="shared" si="15"/>
        <v>87.36</v>
      </c>
      <c r="BO115" s="67">
        <f t="shared" si="16"/>
        <v>0.14285714285714285</v>
      </c>
      <c r="BP115" s="67">
        <f t="shared" si="17"/>
        <v>0.14285714285714285</v>
      </c>
    </row>
    <row r="116" spans="1:68" ht="27" customHeight="1" x14ac:dyDescent="0.25">
      <c r="A116" s="54" t="s">
        <v>193</v>
      </c>
      <c r="B116" s="54" t="s">
        <v>194</v>
      </c>
      <c r="C116" s="31">
        <v>4301071051</v>
      </c>
      <c r="D116" s="276">
        <v>4607111039262</v>
      </c>
      <c r="E116" s="277"/>
      <c r="F116" s="271">
        <v>0.4</v>
      </c>
      <c r="G116" s="32">
        <v>16</v>
      </c>
      <c r="H116" s="271">
        <v>6.4</v>
      </c>
      <c r="I116" s="271">
        <v>6.7195999999999998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79"/>
      <c r="R116" s="279"/>
      <c r="S116" s="279"/>
      <c r="T116" s="280"/>
      <c r="U116" s="34"/>
      <c r="V116" s="34"/>
      <c r="W116" s="35" t="s">
        <v>69</v>
      </c>
      <c r="X116" s="272">
        <v>0</v>
      </c>
      <c r="Y116" s="273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195</v>
      </c>
      <c r="B117" s="54" t="s">
        <v>196</v>
      </c>
      <c r="C117" s="31">
        <v>4301071038</v>
      </c>
      <c r="D117" s="276">
        <v>4607111039248</v>
      </c>
      <c r="E117" s="277"/>
      <c r="F117" s="271">
        <v>0.7</v>
      </c>
      <c r="G117" s="32">
        <v>10</v>
      </c>
      <c r="H117" s="271">
        <v>7</v>
      </c>
      <c r="I117" s="271">
        <v>7.3</v>
      </c>
      <c r="J117" s="32">
        <v>84</v>
      </c>
      <c r="K117" s="32" t="s">
        <v>66</v>
      </c>
      <c r="L117" s="32" t="s">
        <v>96</v>
      </c>
      <c r="M117" s="33" t="s">
        <v>68</v>
      </c>
      <c r="N117" s="33"/>
      <c r="O117" s="32">
        <v>180</v>
      </c>
      <c r="P117" s="35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79"/>
      <c r="R117" s="279"/>
      <c r="S117" s="279"/>
      <c r="T117" s="280"/>
      <c r="U117" s="34"/>
      <c r="V117" s="34"/>
      <c r="W117" s="35" t="s">
        <v>69</v>
      </c>
      <c r="X117" s="272">
        <v>12</v>
      </c>
      <c r="Y117" s="273">
        <f t="shared" si="12"/>
        <v>12</v>
      </c>
      <c r="Z117" s="36">
        <f t="shared" si="13"/>
        <v>0.186</v>
      </c>
      <c r="AA117" s="56"/>
      <c r="AB117" s="57"/>
      <c r="AC117" s="154" t="s">
        <v>148</v>
      </c>
      <c r="AG117" s="67"/>
      <c r="AJ117" s="71" t="s">
        <v>98</v>
      </c>
      <c r="AK117" s="71">
        <v>12</v>
      </c>
      <c r="BB117" s="155" t="s">
        <v>1</v>
      </c>
      <c r="BM117" s="67">
        <f t="shared" si="14"/>
        <v>87.6</v>
      </c>
      <c r="BN117" s="67">
        <f t="shared" si="15"/>
        <v>87.6</v>
      </c>
      <c r="BO117" s="67">
        <f t="shared" si="16"/>
        <v>0.14285714285714285</v>
      </c>
      <c r="BP117" s="67">
        <f t="shared" si="17"/>
        <v>0.14285714285714285</v>
      </c>
    </row>
    <row r="118" spans="1:68" ht="27" customHeight="1" x14ac:dyDescent="0.25">
      <c r="A118" s="54" t="s">
        <v>197</v>
      </c>
      <c r="B118" s="54" t="s">
        <v>198</v>
      </c>
      <c r="C118" s="31">
        <v>4301070979</v>
      </c>
      <c r="D118" s="276">
        <v>4607111037145</v>
      </c>
      <c r="E118" s="277"/>
      <c r="F118" s="271">
        <v>0.8</v>
      </c>
      <c r="G118" s="32">
        <v>8</v>
      </c>
      <c r="H118" s="271">
        <v>6.4</v>
      </c>
      <c r="I118" s="271">
        <v>6.6748000000000003</v>
      </c>
      <c r="J118" s="32">
        <v>84</v>
      </c>
      <c r="K118" s="32" t="s">
        <v>66</v>
      </c>
      <c r="L118" s="32" t="s">
        <v>67</v>
      </c>
      <c r="M118" s="33" t="s">
        <v>68</v>
      </c>
      <c r="N118" s="33"/>
      <c r="O118" s="32">
        <v>180</v>
      </c>
      <c r="P118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79"/>
      <c r="R118" s="279"/>
      <c r="S118" s="279"/>
      <c r="T118" s="280"/>
      <c r="U118" s="34"/>
      <c r="V118" s="34"/>
      <c r="W118" s="35" t="s">
        <v>69</v>
      </c>
      <c r="X118" s="272">
        <v>0</v>
      </c>
      <c r="Y118" s="273">
        <f t="shared" si="12"/>
        <v>0</v>
      </c>
      <c r="Z118" s="36">
        <f t="shared" si="13"/>
        <v>0</v>
      </c>
      <c r="AA118" s="56"/>
      <c r="AB118" s="57"/>
      <c r="AC118" s="156" t="s">
        <v>199</v>
      </c>
      <c r="AG118" s="67"/>
      <c r="AJ118" s="71" t="s">
        <v>71</v>
      </c>
      <c r="AK118" s="71">
        <v>1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200</v>
      </c>
      <c r="B119" s="54" t="s">
        <v>201</v>
      </c>
      <c r="C119" s="31">
        <v>4301071049</v>
      </c>
      <c r="D119" s="276">
        <v>4607111039293</v>
      </c>
      <c r="E119" s="277"/>
      <c r="F119" s="271">
        <v>0.4</v>
      </c>
      <c r="G119" s="32">
        <v>16</v>
      </c>
      <c r="H119" s="271">
        <v>6.4</v>
      </c>
      <c r="I119" s="271">
        <v>6.7195999999999998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79"/>
      <c r="R119" s="279"/>
      <c r="S119" s="279"/>
      <c r="T119" s="280"/>
      <c r="U119" s="34"/>
      <c r="V119" s="34"/>
      <c r="W119" s="35" t="s">
        <v>69</v>
      </c>
      <c r="X119" s="272">
        <v>0</v>
      </c>
      <c r="Y119" s="273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202</v>
      </c>
      <c r="B120" s="54" t="s">
        <v>203</v>
      </c>
      <c r="C120" s="31">
        <v>4301071039</v>
      </c>
      <c r="D120" s="276">
        <v>4607111039279</v>
      </c>
      <c r="E120" s="277"/>
      <c r="F120" s="271">
        <v>0.7</v>
      </c>
      <c r="G120" s="32">
        <v>10</v>
      </c>
      <c r="H120" s="271">
        <v>7</v>
      </c>
      <c r="I120" s="271">
        <v>7.3</v>
      </c>
      <c r="J120" s="32">
        <v>84</v>
      </c>
      <c r="K120" s="32" t="s">
        <v>66</v>
      </c>
      <c r="L120" s="32" t="s">
        <v>96</v>
      </c>
      <c r="M120" s="33" t="s">
        <v>68</v>
      </c>
      <c r="N120" s="33"/>
      <c r="O120" s="32">
        <v>180</v>
      </c>
      <c r="P120" s="32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79"/>
      <c r="R120" s="279"/>
      <c r="S120" s="279"/>
      <c r="T120" s="280"/>
      <c r="U120" s="34"/>
      <c r="V120" s="34"/>
      <c r="W120" s="35" t="s">
        <v>69</v>
      </c>
      <c r="X120" s="272">
        <v>12</v>
      </c>
      <c r="Y120" s="273">
        <f t="shared" si="12"/>
        <v>12</v>
      </c>
      <c r="Z120" s="36">
        <f t="shared" si="13"/>
        <v>0.186</v>
      </c>
      <c r="AA120" s="56"/>
      <c r="AB120" s="57"/>
      <c r="AC120" s="160" t="s">
        <v>148</v>
      </c>
      <c r="AG120" s="67"/>
      <c r="AJ120" s="71" t="s">
        <v>98</v>
      </c>
      <c r="AK120" s="71">
        <v>12</v>
      </c>
      <c r="BB120" s="161" t="s">
        <v>1</v>
      </c>
      <c r="BM120" s="67">
        <f t="shared" si="14"/>
        <v>87.6</v>
      </c>
      <c r="BN120" s="67">
        <f t="shared" si="15"/>
        <v>87.6</v>
      </c>
      <c r="BO120" s="67">
        <f t="shared" si="16"/>
        <v>0.14285714285714285</v>
      </c>
      <c r="BP120" s="67">
        <f t="shared" si="17"/>
        <v>0.14285714285714285</v>
      </c>
    </row>
    <row r="121" spans="1:68" ht="27" customHeight="1" x14ac:dyDescent="0.25">
      <c r="A121" s="54" t="s">
        <v>204</v>
      </c>
      <c r="B121" s="54" t="s">
        <v>205</v>
      </c>
      <c r="C121" s="31">
        <v>4301070978</v>
      </c>
      <c r="D121" s="276">
        <v>4607111037435</v>
      </c>
      <c r="E121" s="277"/>
      <c r="F121" s="271">
        <v>0.8</v>
      </c>
      <c r="G121" s="32">
        <v>8</v>
      </c>
      <c r="H121" s="271">
        <v>6.4</v>
      </c>
      <c r="I121" s="271">
        <v>6.6859999999999999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46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1" s="279"/>
      <c r="R121" s="279"/>
      <c r="S121" s="279"/>
      <c r="T121" s="280"/>
      <c r="U121" s="34"/>
      <c r="V121" s="34"/>
      <c r="W121" s="35" t="s">
        <v>69</v>
      </c>
      <c r="X121" s="272">
        <v>0</v>
      </c>
      <c r="Y121" s="273">
        <f t="shared" si="12"/>
        <v>0</v>
      </c>
      <c r="Z121" s="36">
        <f t="shared" si="13"/>
        <v>0</v>
      </c>
      <c r="AA121" s="56"/>
      <c r="AB121" s="57"/>
      <c r="AC121" s="162" t="s">
        <v>206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0</v>
      </c>
      <c r="BN121" s="67">
        <f t="shared" si="15"/>
        <v>0</v>
      </c>
      <c r="BO121" s="67">
        <f t="shared" si="16"/>
        <v>0</v>
      </c>
      <c r="BP121" s="67">
        <f t="shared" si="17"/>
        <v>0</v>
      </c>
    </row>
    <row r="122" spans="1:68" x14ac:dyDescent="0.2">
      <c r="A122" s="294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5"/>
      <c r="P122" s="282" t="s">
        <v>82</v>
      </c>
      <c r="Q122" s="283"/>
      <c r="R122" s="283"/>
      <c r="S122" s="283"/>
      <c r="T122" s="283"/>
      <c r="U122" s="283"/>
      <c r="V122" s="284"/>
      <c r="W122" s="37" t="s">
        <v>69</v>
      </c>
      <c r="X122" s="274">
        <f>IFERROR(SUM(X114:X121),"0")</f>
        <v>36</v>
      </c>
      <c r="Y122" s="274">
        <f>IFERROR(SUM(Y114:Y121),"0")</f>
        <v>36</v>
      </c>
      <c r="Z122" s="274">
        <f>IFERROR(IF(Z114="",0,Z114),"0")+IFERROR(IF(Z115="",0,Z115),"0")+IFERROR(IF(Z116="",0,Z116),"0")+IFERROR(IF(Z117="",0,Z117),"0")+IFERROR(IF(Z118="",0,Z118),"0")+IFERROR(IF(Z119="",0,Z119),"0")+IFERROR(IF(Z120="",0,Z120),"0")+IFERROR(IF(Z121="",0,Z121),"0")</f>
        <v>0.55800000000000005</v>
      </c>
      <c r="AA122" s="275"/>
      <c r="AB122" s="275"/>
      <c r="AC122" s="275"/>
    </row>
    <row r="123" spans="1:68" x14ac:dyDescent="0.2">
      <c r="A123" s="290"/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5"/>
      <c r="P123" s="282" t="s">
        <v>82</v>
      </c>
      <c r="Q123" s="283"/>
      <c r="R123" s="283"/>
      <c r="S123" s="283"/>
      <c r="T123" s="283"/>
      <c r="U123" s="283"/>
      <c r="V123" s="284"/>
      <c r="W123" s="37" t="s">
        <v>83</v>
      </c>
      <c r="X123" s="274">
        <f>IFERROR(SUMPRODUCT(X114:X121*H114:H121),"0")</f>
        <v>252</v>
      </c>
      <c r="Y123" s="274">
        <f>IFERROR(SUMPRODUCT(Y114:Y121*H114:H121),"0")</f>
        <v>252</v>
      </c>
      <c r="Z123" s="37"/>
      <c r="AA123" s="275"/>
      <c r="AB123" s="275"/>
      <c r="AC123" s="275"/>
    </row>
    <row r="124" spans="1:68" ht="14.25" customHeight="1" x14ac:dyDescent="0.25">
      <c r="A124" s="293" t="s">
        <v>136</v>
      </c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0"/>
      <c r="P124" s="290"/>
      <c r="Q124" s="290"/>
      <c r="R124" s="290"/>
      <c r="S124" s="290"/>
      <c r="T124" s="290"/>
      <c r="U124" s="290"/>
      <c r="V124" s="290"/>
      <c r="W124" s="290"/>
      <c r="X124" s="290"/>
      <c r="Y124" s="290"/>
      <c r="Z124" s="290"/>
      <c r="AA124" s="268"/>
      <c r="AB124" s="268"/>
      <c r="AC124" s="268"/>
    </row>
    <row r="125" spans="1:68" ht="27" customHeight="1" x14ac:dyDescent="0.25">
      <c r="A125" s="54" t="s">
        <v>207</v>
      </c>
      <c r="B125" s="54" t="s">
        <v>208</v>
      </c>
      <c r="C125" s="31">
        <v>4301135670</v>
      </c>
      <c r="D125" s="276">
        <v>4620207490983</v>
      </c>
      <c r="E125" s="277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96</v>
      </c>
      <c r="M125" s="33" t="s">
        <v>68</v>
      </c>
      <c r="N125" s="33"/>
      <c r="O125" s="32">
        <v>180</v>
      </c>
      <c r="P125" s="426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9"/>
      <c r="R125" s="279"/>
      <c r="S125" s="279"/>
      <c r="T125" s="280"/>
      <c r="U125" s="34"/>
      <c r="V125" s="34"/>
      <c r="W125" s="35" t="s">
        <v>69</v>
      </c>
      <c r="X125" s="272">
        <v>0</v>
      </c>
      <c r="Y125" s="273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98</v>
      </c>
      <c r="AK125" s="71">
        <v>14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t="27" customHeight="1" x14ac:dyDescent="0.25">
      <c r="A126" s="54" t="s">
        <v>210</v>
      </c>
      <c r="B126" s="54" t="s">
        <v>211</v>
      </c>
      <c r="C126" s="31">
        <v>4301135826</v>
      </c>
      <c r="D126" s="276">
        <v>4620207490983</v>
      </c>
      <c r="E126" s="277"/>
      <c r="F126" s="271">
        <v>0.22</v>
      </c>
      <c r="G126" s="32">
        <v>12</v>
      </c>
      <c r="H126" s="271">
        <v>2.64</v>
      </c>
      <c r="I126" s="271">
        <v>3.3435999999999999</v>
      </c>
      <c r="J126" s="32">
        <v>70</v>
      </c>
      <c r="K126" s="32" t="s">
        <v>95</v>
      </c>
      <c r="L126" s="32" t="s">
        <v>67</v>
      </c>
      <c r="M126" s="33" t="s">
        <v>68</v>
      </c>
      <c r="N126" s="33"/>
      <c r="O126" s="32">
        <v>180</v>
      </c>
      <c r="P126" s="46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79"/>
      <c r="R126" s="279"/>
      <c r="S126" s="279"/>
      <c r="T126" s="280"/>
      <c r="U126" s="34"/>
      <c r="V126" s="34"/>
      <c r="W126" s="35" t="s">
        <v>69</v>
      </c>
      <c r="X126" s="272">
        <v>14</v>
      </c>
      <c r="Y126" s="273">
        <f>IFERROR(IF(X126="","",X126),"")</f>
        <v>14</v>
      </c>
      <c r="Z126" s="36">
        <f>IFERROR(IF(X126="","",X126*0.01788),"")</f>
        <v>0.25031999999999999</v>
      </c>
      <c r="AA126" s="56"/>
      <c r="AB126" s="57"/>
      <c r="AC126" s="166" t="s">
        <v>212</v>
      </c>
      <c r="AG126" s="67"/>
      <c r="AJ126" s="71" t="s">
        <v>71</v>
      </c>
      <c r="AK126" s="71">
        <v>1</v>
      </c>
      <c r="BB126" s="167" t="s">
        <v>99</v>
      </c>
      <c r="BM126" s="67">
        <f>IFERROR(X126*I126,"0")</f>
        <v>46.810400000000001</v>
      </c>
      <c r="BN126" s="67">
        <f>IFERROR(Y126*I126,"0")</f>
        <v>46.810400000000001</v>
      </c>
      <c r="BO126" s="67">
        <f>IFERROR(X126/J126,"0")</f>
        <v>0.2</v>
      </c>
      <c r="BP126" s="67">
        <f>IFERROR(Y126/J126,"0")</f>
        <v>0.2</v>
      </c>
    </row>
    <row r="127" spans="1:68" x14ac:dyDescent="0.2">
      <c r="A127" s="294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5"/>
      <c r="P127" s="282" t="s">
        <v>82</v>
      </c>
      <c r="Q127" s="283"/>
      <c r="R127" s="283"/>
      <c r="S127" s="283"/>
      <c r="T127" s="283"/>
      <c r="U127" s="283"/>
      <c r="V127" s="284"/>
      <c r="W127" s="37" t="s">
        <v>69</v>
      </c>
      <c r="X127" s="274">
        <f>IFERROR(SUM(X125:X126),"0")</f>
        <v>14</v>
      </c>
      <c r="Y127" s="274">
        <f>IFERROR(SUM(Y125:Y126),"0")</f>
        <v>14</v>
      </c>
      <c r="Z127" s="274">
        <f>IFERROR(IF(Z125="",0,Z125),"0")+IFERROR(IF(Z126="",0,Z126),"0")</f>
        <v>0.25031999999999999</v>
      </c>
      <c r="AA127" s="275"/>
      <c r="AB127" s="275"/>
      <c r="AC127" s="275"/>
    </row>
    <row r="128" spans="1:68" x14ac:dyDescent="0.2">
      <c r="A128" s="290"/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5"/>
      <c r="P128" s="282" t="s">
        <v>82</v>
      </c>
      <c r="Q128" s="283"/>
      <c r="R128" s="283"/>
      <c r="S128" s="283"/>
      <c r="T128" s="283"/>
      <c r="U128" s="283"/>
      <c r="V128" s="284"/>
      <c r="W128" s="37" t="s">
        <v>83</v>
      </c>
      <c r="X128" s="274">
        <f>IFERROR(SUMPRODUCT(X125:X126*H125:H126),"0")</f>
        <v>36.96</v>
      </c>
      <c r="Y128" s="274">
        <f>IFERROR(SUMPRODUCT(Y125:Y126*H125:H126),"0")</f>
        <v>36.96</v>
      </c>
      <c r="Z128" s="37"/>
      <c r="AA128" s="275"/>
      <c r="AB128" s="275"/>
      <c r="AC128" s="275"/>
    </row>
    <row r="129" spans="1:68" ht="14.25" customHeight="1" x14ac:dyDescent="0.25">
      <c r="A129" s="293" t="s">
        <v>213</v>
      </c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0"/>
      <c r="P129" s="290"/>
      <c r="Q129" s="290"/>
      <c r="R129" s="290"/>
      <c r="S129" s="290"/>
      <c r="T129" s="290"/>
      <c r="U129" s="290"/>
      <c r="V129" s="290"/>
      <c r="W129" s="290"/>
      <c r="X129" s="290"/>
      <c r="Y129" s="290"/>
      <c r="Z129" s="290"/>
      <c r="AA129" s="268"/>
      <c r="AB129" s="268"/>
      <c r="AC129" s="268"/>
    </row>
    <row r="130" spans="1:68" ht="27" customHeight="1" x14ac:dyDescent="0.25">
      <c r="A130" s="54" t="s">
        <v>214</v>
      </c>
      <c r="B130" s="54" t="s">
        <v>215</v>
      </c>
      <c r="C130" s="31">
        <v>4301071094</v>
      </c>
      <c r="D130" s="276">
        <v>4620207491140</v>
      </c>
      <c r="E130" s="277"/>
      <c r="F130" s="271">
        <v>0.6</v>
      </c>
      <c r="G130" s="32">
        <v>10</v>
      </c>
      <c r="H130" s="271">
        <v>6</v>
      </c>
      <c r="I130" s="271">
        <v>6.28</v>
      </c>
      <c r="J130" s="32">
        <v>84</v>
      </c>
      <c r="K130" s="32" t="s">
        <v>66</v>
      </c>
      <c r="L130" s="32" t="s">
        <v>67</v>
      </c>
      <c r="M130" s="33" t="s">
        <v>68</v>
      </c>
      <c r="N130" s="33"/>
      <c r="O130" s="32">
        <v>180</v>
      </c>
      <c r="P130" s="42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79"/>
      <c r="R130" s="279"/>
      <c r="S130" s="279"/>
      <c r="T130" s="280"/>
      <c r="U130" s="34"/>
      <c r="V130" s="34"/>
      <c r="W130" s="35" t="s">
        <v>69</v>
      </c>
      <c r="X130" s="272">
        <v>0</v>
      </c>
      <c r="Y130" s="273">
        <f>IFERROR(IF(X130="","",X130),"")</f>
        <v>0</v>
      </c>
      <c r="Z130" s="36">
        <f>IFERROR(IF(X130="","",X130*0.0155),"")</f>
        <v>0</v>
      </c>
      <c r="AA130" s="56"/>
      <c r="AB130" s="57"/>
      <c r="AC130" s="168" t="s">
        <v>216</v>
      </c>
      <c r="AG130" s="67"/>
      <c r="AJ130" s="71" t="s">
        <v>71</v>
      </c>
      <c r="AK130" s="71">
        <v>1</v>
      </c>
      <c r="BB130" s="169" t="s">
        <v>99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x14ac:dyDescent="0.2">
      <c r="A131" s="294"/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5"/>
      <c r="P131" s="282" t="s">
        <v>82</v>
      </c>
      <c r="Q131" s="283"/>
      <c r="R131" s="283"/>
      <c r="S131" s="283"/>
      <c r="T131" s="283"/>
      <c r="U131" s="283"/>
      <c r="V131" s="284"/>
      <c r="W131" s="37" t="s">
        <v>69</v>
      </c>
      <c r="X131" s="274">
        <f>IFERROR(SUM(X130:X130),"0")</f>
        <v>0</v>
      </c>
      <c r="Y131" s="274">
        <f>IFERROR(SUM(Y130:Y130),"0")</f>
        <v>0</v>
      </c>
      <c r="Z131" s="274">
        <f>IFERROR(IF(Z130="",0,Z130),"0")</f>
        <v>0</v>
      </c>
      <c r="AA131" s="275"/>
      <c r="AB131" s="275"/>
      <c r="AC131" s="275"/>
    </row>
    <row r="132" spans="1:68" x14ac:dyDescent="0.2">
      <c r="A132" s="290"/>
      <c r="B132" s="290"/>
      <c r="C132" s="290"/>
      <c r="D132" s="290"/>
      <c r="E132" s="290"/>
      <c r="F132" s="290"/>
      <c r="G132" s="290"/>
      <c r="H132" s="290"/>
      <c r="I132" s="290"/>
      <c r="J132" s="290"/>
      <c r="K132" s="290"/>
      <c r="L132" s="290"/>
      <c r="M132" s="290"/>
      <c r="N132" s="290"/>
      <c r="O132" s="295"/>
      <c r="P132" s="282" t="s">
        <v>82</v>
      </c>
      <c r="Q132" s="283"/>
      <c r="R132" s="283"/>
      <c r="S132" s="283"/>
      <c r="T132" s="283"/>
      <c r="U132" s="283"/>
      <c r="V132" s="284"/>
      <c r="W132" s="37" t="s">
        <v>83</v>
      </c>
      <c r="X132" s="274">
        <f>IFERROR(SUMPRODUCT(X130:X130*H130:H130),"0")</f>
        <v>0</v>
      </c>
      <c r="Y132" s="274">
        <f>IFERROR(SUMPRODUCT(Y130:Y130*H130:H130),"0")</f>
        <v>0</v>
      </c>
      <c r="Z132" s="37"/>
      <c r="AA132" s="275"/>
      <c r="AB132" s="275"/>
      <c r="AC132" s="275"/>
    </row>
    <row r="133" spans="1:68" ht="16.5" customHeight="1" x14ac:dyDescent="0.25">
      <c r="A133" s="289" t="s">
        <v>217</v>
      </c>
      <c r="B133" s="290"/>
      <c r="C133" s="290"/>
      <c r="D133" s="290"/>
      <c r="E133" s="290"/>
      <c r="F133" s="290"/>
      <c r="G133" s="290"/>
      <c r="H133" s="290"/>
      <c r="I133" s="290"/>
      <c r="J133" s="290"/>
      <c r="K133" s="290"/>
      <c r="L133" s="290"/>
      <c r="M133" s="290"/>
      <c r="N133" s="290"/>
      <c r="O133" s="290"/>
      <c r="P133" s="290"/>
      <c r="Q133" s="290"/>
      <c r="R133" s="290"/>
      <c r="S133" s="290"/>
      <c r="T133" s="290"/>
      <c r="U133" s="290"/>
      <c r="V133" s="290"/>
      <c r="W133" s="290"/>
      <c r="X133" s="290"/>
      <c r="Y133" s="290"/>
      <c r="Z133" s="290"/>
      <c r="AA133" s="267"/>
      <c r="AB133" s="267"/>
      <c r="AC133" s="267"/>
    </row>
    <row r="134" spans="1:68" ht="14.25" customHeight="1" x14ac:dyDescent="0.25">
      <c r="A134" s="293" t="s">
        <v>136</v>
      </c>
      <c r="B134" s="290"/>
      <c r="C134" s="290"/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0"/>
      <c r="P134" s="290"/>
      <c r="Q134" s="290"/>
      <c r="R134" s="290"/>
      <c r="S134" s="290"/>
      <c r="T134" s="290"/>
      <c r="U134" s="290"/>
      <c r="V134" s="290"/>
      <c r="W134" s="290"/>
      <c r="X134" s="290"/>
      <c r="Y134" s="290"/>
      <c r="Z134" s="290"/>
      <c r="AA134" s="268"/>
      <c r="AB134" s="268"/>
      <c r="AC134" s="268"/>
    </row>
    <row r="135" spans="1:68" ht="27" customHeight="1" x14ac:dyDescent="0.25">
      <c r="A135" s="54" t="s">
        <v>218</v>
      </c>
      <c r="B135" s="54" t="s">
        <v>219</v>
      </c>
      <c r="C135" s="31">
        <v>4301135555</v>
      </c>
      <c r="D135" s="276">
        <v>4607111034014</v>
      </c>
      <c r="E135" s="277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5" s="279"/>
      <c r="R135" s="279"/>
      <c r="S135" s="279"/>
      <c r="T135" s="280"/>
      <c r="U135" s="34"/>
      <c r="V135" s="34"/>
      <c r="W135" s="35" t="s">
        <v>69</v>
      </c>
      <c r="X135" s="272">
        <v>406</v>
      </c>
      <c r="Y135" s="273">
        <f>IFERROR(IF(X135="","",X135),"")</f>
        <v>406</v>
      </c>
      <c r="Z135" s="36">
        <f>IFERROR(IF(X135="","",X135*0.01788),"")</f>
        <v>7.2592800000000004</v>
      </c>
      <c r="AA135" s="56"/>
      <c r="AB135" s="57"/>
      <c r="AC135" s="170" t="s">
        <v>220</v>
      </c>
      <c r="AG135" s="67"/>
      <c r="AJ135" s="71" t="s">
        <v>98</v>
      </c>
      <c r="AK135" s="71">
        <v>14</v>
      </c>
      <c r="BB135" s="171" t="s">
        <v>99</v>
      </c>
      <c r="BM135" s="67">
        <f>IFERROR(X135*I135,"0")</f>
        <v>1503.6615999999999</v>
      </c>
      <c r="BN135" s="67">
        <f>IFERROR(Y135*I135,"0")</f>
        <v>1503.6615999999999</v>
      </c>
      <c r="BO135" s="67">
        <f>IFERROR(X135/J135,"0")</f>
        <v>5.8</v>
      </c>
      <c r="BP135" s="67">
        <f>IFERROR(Y135/J135,"0")</f>
        <v>5.8</v>
      </c>
    </row>
    <row r="136" spans="1:68" ht="27" customHeight="1" x14ac:dyDescent="0.25">
      <c r="A136" s="54" t="s">
        <v>221</v>
      </c>
      <c r="B136" s="54" t="s">
        <v>222</v>
      </c>
      <c r="C136" s="31">
        <v>4301135532</v>
      </c>
      <c r="D136" s="276">
        <v>4607111033994</v>
      </c>
      <c r="E136" s="277"/>
      <c r="F136" s="271">
        <v>0.25</v>
      </c>
      <c r="G136" s="32">
        <v>12</v>
      </c>
      <c r="H136" s="271">
        <v>3</v>
      </c>
      <c r="I136" s="271">
        <v>3.7035999999999998</v>
      </c>
      <c r="J136" s="32">
        <v>70</v>
      </c>
      <c r="K136" s="32" t="s">
        <v>95</v>
      </c>
      <c r="L136" s="32" t="s">
        <v>223</v>
      </c>
      <c r="M136" s="33" t="s">
        <v>68</v>
      </c>
      <c r="N136" s="33"/>
      <c r="O136" s="32">
        <v>180</v>
      </c>
      <c r="P136" s="45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6" s="279"/>
      <c r="R136" s="279"/>
      <c r="S136" s="279"/>
      <c r="T136" s="280"/>
      <c r="U136" s="34"/>
      <c r="V136" s="34"/>
      <c r="W136" s="35" t="s">
        <v>69</v>
      </c>
      <c r="X136" s="272">
        <v>308</v>
      </c>
      <c r="Y136" s="273">
        <f>IFERROR(IF(X136="","",X136),"")</f>
        <v>308</v>
      </c>
      <c r="Z136" s="36">
        <f>IFERROR(IF(X136="","",X136*0.01788),"")</f>
        <v>5.5070399999999999</v>
      </c>
      <c r="AA136" s="56"/>
      <c r="AB136" s="57"/>
      <c r="AC136" s="172" t="s">
        <v>154</v>
      </c>
      <c r="AG136" s="67"/>
      <c r="AJ136" s="71" t="s">
        <v>224</v>
      </c>
      <c r="AK136" s="71">
        <v>70</v>
      </c>
      <c r="BB136" s="173" t="s">
        <v>99</v>
      </c>
      <c r="BM136" s="67">
        <f>IFERROR(X136*I136,"0")</f>
        <v>1140.7087999999999</v>
      </c>
      <c r="BN136" s="67">
        <f>IFERROR(Y136*I136,"0")</f>
        <v>1140.7087999999999</v>
      </c>
      <c r="BO136" s="67">
        <f>IFERROR(X136/J136,"0")</f>
        <v>4.4000000000000004</v>
      </c>
      <c r="BP136" s="67">
        <f>IFERROR(Y136/J136,"0")</f>
        <v>4.4000000000000004</v>
      </c>
    </row>
    <row r="137" spans="1:68" x14ac:dyDescent="0.2">
      <c r="A137" s="294"/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5"/>
      <c r="P137" s="282" t="s">
        <v>82</v>
      </c>
      <c r="Q137" s="283"/>
      <c r="R137" s="283"/>
      <c r="S137" s="283"/>
      <c r="T137" s="283"/>
      <c r="U137" s="283"/>
      <c r="V137" s="284"/>
      <c r="W137" s="37" t="s">
        <v>69</v>
      </c>
      <c r="X137" s="274">
        <f>IFERROR(SUM(X135:X136),"0")</f>
        <v>714</v>
      </c>
      <c r="Y137" s="274">
        <f>IFERROR(SUM(Y135:Y136),"0")</f>
        <v>714</v>
      </c>
      <c r="Z137" s="274">
        <f>IFERROR(IF(Z135="",0,Z135),"0")+IFERROR(IF(Z136="",0,Z136),"0")</f>
        <v>12.76632</v>
      </c>
      <c r="AA137" s="275"/>
      <c r="AB137" s="275"/>
      <c r="AC137" s="275"/>
    </row>
    <row r="138" spans="1:68" x14ac:dyDescent="0.2">
      <c r="A138" s="290"/>
      <c r="B138" s="290"/>
      <c r="C138" s="290"/>
      <c r="D138" s="290"/>
      <c r="E138" s="290"/>
      <c r="F138" s="290"/>
      <c r="G138" s="290"/>
      <c r="H138" s="290"/>
      <c r="I138" s="290"/>
      <c r="J138" s="290"/>
      <c r="K138" s="290"/>
      <c r="L138" s="290"/>
      <c r="M138" s="290"/>
      <c r="N138" s="290"/>
      <c r="O138" s="295"/>
      <c r="P138" s="282" t="s">
        <v>82</v>
      </c>
      <c r="Q138" s="283"/>
      <c r="R138" s="283"/>
      <c r="S138" s="283"/>
      <c r="T138" s="283"/>
      <c r="U138" s="283"/>
      <c r="V138" s="284"/>
      <c r="W138" s="37" t="s">
        <v>83</v>
      </c>
      <c r="X138" s="274">
        <f>IFERROR(SUMPRODUCT(X135:X136*H135:H136),"0")</f>
        <v>2142</v>
      </c>
      <c r="Y138" s="274">
        <f>IFERROR(SUMPRODUCT(Y135:Y136*H135:H136),"0")</f>
        <v>2142</v>
      </c>
      <c r="Z138" s="37"/>
      <c r="AA138" s="275"/>
      <c r="AB138" s="275"/>
      <c r="AC138" s="275"/>
    </row>
    <row r="139" spans="1:68" ht="16.5" customHeight="1" x14ac:dyDescent="0.25">
      <c r="A139" s="289" t="s">
        <v>225</v>
      </c>
      <c r="B139" s="290"/>
      <c r="C139" s="290"/>
      <c r="D139" s="290"/>
      <c r="E139" s="290"/>
      <c r="F139" s="290"/>
      <c r="G139" s="290"/>
      <c r="H139" s="290"/>
      <c r="I139" s="290"/>
      <c r="J139" s="290"/>
      <c r="K139" s="290"/>
      <c r="L139" s="290"/>
      <c r="M139" s="290"/>
      <c r="N139" s="290"/>
      <c r="O139" s="290"/>
      <c r="P139" s="290"/>
      <c r="Q139" s="290"/>
      <c r="R139" s="290"/>
      <c r="S139" s="290"/>
      <c r="T139" s="290"/>
      <c r="U139" s="290"/>
      <c r="V139" s="290"/>
      <c r="W139" s="290"/>
      <c r="X139" s="290"/>
      <c r="Y139" s="290"/>
      <c r="Z139" s="290"/>
      <c r="AA139" s="267"/>
      <c r="AB139" s="267"/>
      <c r="AC139" s="267"/>
    </row>
    <row r="140" spans="1:68" ht="14.25" customHeight="1" x14ac:dyDescent="0.25">
      <c r="A140" s="293" t="s">
        <v>136</v>
      </c>
      <c r="B140" s="290"/>
      <c r="C140" s="290"/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0"/>
      <c r="P140" s="290"/>
      <c r="Q140" s="290"/>
      <c r="R140" s="290"/>
      <c r="S140" s="290"/>
      <c r="T140" s="290"/>
      <c r="U140" s="290"/>
      <c r="V140" s="290"/>
      <c r="W140" s="290"/>
      <c r="X140" s="290"/>
      <c r="Y140" s="290"/>
      <c r="Z140" s="290"/>
      <c r="AA140" s="268"/>
      <c r="AB140" s="268"/>
      <c r="AC140" s="268"/>
    </row>
    <row r="141" spans="1:68" ht="27" customHeight="1" x14ac:dyDescent="0.25">
      <c r="A141" s="54" t="s">
        <v>226</v>
      </c>
      <c r="B141" s="54" t="s">
        <v>227</v>
      </c>
      <c r="C141" s="31">
        <v>4301135824</v>
      </c>
      <c r="D141" s="276">
        <v>4607111039095</v>
      </c>
      <c r="E141" s="277"/>
      <c r="F141" s="271">
        <v>0.25</v>
      </c>
      <c r="G141" s="32">
        <v>12</v>
      </c>
      <c r="H141" s="271">
        <v>3</v>
      </c>
      <c r="I141" s="271">
        <v>3.7480000000000002</v>
      </c>
      <c r="J141" s="32">
        <v>70</v>
      </c>
      <c r="K141" s="32" t="s">
        <v>95</v>
      </c>
      <c r="L141" s="32" t="s">
        <v>67</v>
      </c>
      <c r="M141" s="33" t="s">
        <v>68</v>
      </c>
      <c r="N141" s="33"/>
      <c r="O141" s="32">
        <v>180</v>
      </c>
      <c r="P141" s="39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1" s="279"/>
      <c r="R141" s="279"/>
      <c r="S141" s="279"/>
      <c r="T141" s="280"/>
      <c r="U141" s="34"/>
      <c r="V141" s="34"/>
      <c r="W141" s="35" t="s">
        <v>69</v>
      </c>
      <c r="X141" s="272">
        <v>42</v>
      </c>
      <c r="Y141" s="273">
        <f>IFERROR(IF(X141="","",X141),"")</f>
        <v>42</v>
      </c>
      <c r="Z141" s="36">
        <f>IFERROR(IF(X141="","",X141*0.01788),"")</f>
        <v>0.75095999999999996</v>
      </c>
      <c r="AA141" s="56"/>
      <c r="AB141" s="57"/>
      <c r="AC141" s="174" t="s">
        <v>228</v>
      </c>
      <c r="AG141" s="67"/>
      <c r="AJ141" s="71" t="s">
        <v>71</v>
      </c>
      <c r="AK141" s="71">
        <v>1</v>
      </c>
      <c r="BB141" s="175" t="s">
        <v>99</v>
      </c>
      <c r="BM141" s="67">
        <f>IFERROR(X141*I141,"0")</f>
        <v>157.416</v>
      </c>
      <c r="BN141" s="67">
        <f>IFERROR(Y141*I141,"0")</f>
        <v>157.416</v>
      </c>
      <c r="BO141" s="67">
        <f>IFERROR(X141/J141,"0")</f>
        <v>0.6</v>
      </c>
      <c r="BP141" s="67">
        <f>IFERROR(Y141/J141,"0")</f>
        <v>0.6</v>
      </c>
    </row>
    <row r="142" spans="1:68" ht="16.5" customHeight="1" x14ac:dyDescent="0.25">
      <c r="A142" s="54" t="s">
        <v>229</v>
      </c>
      <c r="B142" s="54" t="s">
        <v>230</v>
      </c>
      <c r="C142" s="31">
        <v>4301135550</v>
      </c>
      <c r="D142" s="276">
        <v>4607111034199</v>
      </c>
      <c r="E142" s="277"/>
      <c r="F142" s="271">
        <v>0.25</v>
      </c>
      <c r="G142" s="32">
        <v>12</v>
      </c>
      <c r="H142" s="271">
        <v>3</v>
      </c>
      <c r="I142" s="271">
        <v>3.7035999999999998</v>
      </c>
      <c r="J142" s="32">
        <v>70</v>
      </c>
      <c r="K142" s="32" t="s">
        <v>95</v>
      </c>
      <c r="L142" s="32" t="s">
        <v>96</v>
      </c>
      <c r="M142" s="33" t="s">
        <v>68</v>
      </c>
      <c r="N142" s="33"/>
      <c r="O142" s="32">
        <v>180</v>
      </c>
      <c r="P142" s="35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2" s="279"/>
      <c r="R142" s="279"/>
      <c r="S142" s="279"/>
      <c r="T142" s="280"/>
      <c r="U142" s="34"/>
      <c r="V142" s="34"/>
      <c r="W142" s="35" t="s">
        <v>69</v>
      </c>
      <c r="X142" s="272">
        <v>42</v>
      </c>
      <c r="Y142" s="273">
        <f>IFERROR(IF(X142="","",X142),"")</f>
        <v>42</v>
      </c>
      <c r="Z142" s="36">
        <f>IFERROR(IF(X142="","",X142*0.01788),"")</f>
        <v>0.75095999999999996</v>
      </c>
      <c r="AA142" s="56"/>
      <c r="AB142" s="57"/>
      <c r="AC142" s="176" t="s">
        <v>231</v>
      </c>
      <c r="AG142" s="67"/>
      <c r="AJ142" s="71" t="s">
        <v>98</v>
      </c>
      <c r="AK142" s="71">
        <v>14</v>
      </c>
      <c r="BB142" s="177" t="s">
        <v>99</v>
      </c>
      <c r="BM142" s="67">
        <f>IFERROR(X142*I142,"0")</f>
        <v>155.55119999999999</v>
      </c>
      <c r="BN142" s="67">
        <f>IFERROR(Y142*I142,"0")</f>
        <v>155.55119999999999</v>
      </c>
      <c r="BO142" s="67">
        <f>IFERROR(X142/J142,"0")</f>
        <v>0.6</v>
      </c>
      <c r="BP142" s="67">
        <f>IFERROR(Y142/J142,"0")</f>
        <v>0.6</v>
      </c>
    </row>
    <row r="143" spans="1:68" x14ac:dyDescent="0.2">
      <c r="A143" s="294"/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5"/>
      <c r="P143" s="282" t="s">
        <v>82</v>
      </c>
      <c r="Q143" s="283"/>
      <c r="R143" s="283"/>
      <c r="S143" s="283"/>
      <c r="T143" s="283"/>
      <c r="U143" s="283"/>
      <c r="V143" s="284"/>
      <c r="W143" s="37" t="s">
        <v>69</v>
      </c>
      <c r="X143" s="274">
        <f>IFERROR(SUM(X141:X142),"0")</f>
        <v>84</v>
      </c>
      <c r="Y143" s="274">
        <f>IFERROR(SUM(Y141:Y142),"0")</f>
        <v>84</v>
      </c>
      <c r="Z143" s="274">
        <f>IFERROR(IF(Z141="",0,Z141),"0")+IFERROR(IF(Z142="",0,Z142),"0")</f>
        <v>1.5019199999999999</v>
      </c>
      <c r="AA143" s="275"/>
      <c r="AB143" s="275"/>
      <c r="AC143" s="275"/>
    </row>
    <row r="144" spans="1:68" x14ac:dyDescent="0.2">
      <c r="A144" s="290"/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5"/>
      <c r="P144" s="282" t="s">
        <v>82</v>
      </c>
      <c r="Q144" s="283"/>
      <c r="R144" s="283"/>
      <c r="S144" s="283"/>
      <c r="T144" s="283"/>
      <c r="U144" s="283"/>
      <c r="V144" s="284"/>
      <c r="W144" s="37" t="s">
        <v>83</v>
      </c>
      <c r="X144" s="274">
        <f>IFERROR(SUMPRODUCT(X141:X142*H141:H142),"0")</f>
        <v>252</v>
      </c>
      <c r="Y144" s="274">
        <f>IFERROR(SUMPRODUCT(Y141:Y142*H141:H142),"0")</f>
        <v>252</v>
      </c>
      <c r="Z144" s="37"/>
      <c r="AA144" s="275"/>
      <c r="AB144" s="275"/>
      <c r="AC144" s="275"/>
    </row>
    <row r="145" spans="1:68" ht="16.5" customHeight="1" x14ac:dyDescent="0.25">
      <c r="A145" s="289" t="s">
        <v>232</v>
      </c>
      <c r="B145" s="290"/>
      <c r="C145" s="290"/>
      <c r="D145" s="290"/>
      <c r="E145" s="290"/>
      <c r="F145" s="290"/>
      <c r="G145" s="290"/>
      <c r="H145" s="290"/>
      <c r="I145" s="290"/>
      <c r="J145" s="290"/>
      <c r="K145" s="290"/>
      <c r="L145" s="290"/>
      <c r="M145" s="290"/>
      <c r="N145" s="290"/>
      <c r="O145" s="290"/>
      <c r="P145" s="290"/>
      <c r="Q145" s="290"/>
      <c r="R145" s="290"/>
      <c r="S145" s="290"/>
      <c r="T145" s="290"/>
      <c r="U145" s="290"/>
      <c r="V145" s="290"/>
      <c r="W145" s="290"/>
      <c r="X145" s="290"/>
      <c r="Y145" s="290"/>
      <c r="Z145" s="290"/>
      <c r="AA145" s="267"/>
      <c r="AB145" s="267"/>
      <c r="AC145" s="267"/>
    </row>
    <row r="146" spans="1:68" ht="14.25" customHeight="1" x14ac:dyDescent="0.25">
      <c r="A146" s="293" t="s">
        <v>136</v>
      </c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0"/>
      <c r="P146" s="290"/>
      <c r="Q146" s="290"/>
      <c r="R146" s="290"/>
      <c r="S146" s="290"/>
      <c r="T146" s="290"/>
      <c r="U146" s="290"/>
      <c r="V146" s="290"/>
      <c r="W146" s="290"/>
      <c r="X146" s="290"/>
      <c r="Y146" s="290"/>
      <c r="Z146" s="290"/>
      <c r="AA146" s="268"/>
      <c r="AB146" s="268"/>
      <c r="AC146" s="268"/>
    </row>
    <row r="147" spans="1:68" ht="27" customHeight="1" x14ac:dyDescent="0.25">
      <c r="A147" s="54" t="s">
        <v>233</v>
      </c>
      <c r="B147" s="54" t="s">
        <v>234</v>
      </c>
      <c r="C147" s="31">
        <v>4301135753</v>
      </c>
      <c r="D147" s="276">
        <v>4620207490914</v>
      </c>
      <c r="E147" s="277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67</v>
      </c>
      <c r="M147" s="33" t="s">
        <v>68</v>
      </c>
      <c r="N147" s="33"/>
      <c r="O147" s="32">
        <v>180</v>
      </c>
      <c r="P147" s="30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7" s="279"/>
      <c r="R147" s="279"/>
      <c r="S147" s="279"/>
      <c r="T147" s="280"/>
      <c r="U147" s="34"/>
      <c r="V147" s="34"/>
      <c r="W147" s="35" t="s">
        <v>69</v>
      </c>
      <c r="X147" s="272">
        <v>28</v>
      </c>
      <c r="Y147" s="273">
        <f>IFERROR(IF(X147="","",X147),"")</f>
        <v>28</v>
      </c>
      <c r="Z147" s="36">
        <f>IFERROR(IF(X147="","",X147*0.01788),"")</f>
        <v>0.50063999999999997</v>
      </c>
      <c r="AA147" s="56"/>
      <c r="AB147" s="57"/>
      <c r="AC147" s="178" t="s">
        <v>220</v>
      </c>
      <c r="AG147" s="67"/>
      <c r="AJ147" s="71" t="s">
        <v>71</v>
      </c>
      <c r="AK147" s="71">
        <v>1</v>
      </c>
      <c r="BB147" s="179" t="s">
        <v>99</v>
      </c>
      <c r="BM147" s="67">
        <f>IFERROR(X147*I147,"0")</f>
        <v>75.040000000000006</v>
      </c>
      <c r="BN147" s="67">
        <f>IFERROR(Y147*I147,"0")</f>
        <v>75.040000000000006</v>
      </c>
      <c r="BO147" s="67">
        <f>IFERROR(X147/J147,"0")</f>
        <v>0.4</v>
      </c>
      <c r="BP147" s="67">
        <f>IFERROR(Y147/J147,"0")</f>
        <v>0.4</v>
      </c>
    </row>
    <row r="148" spans="1:68" ht="27" customHeight="1" x14ac:dyDescent="0.25">
      <c r="A148" s="54" t="s">
        <v>235</v>
      </c>
      <c r="B148" s="54" t="s">
        <v>236</v>
      </c>
      <c r="C148" s="31">
        <v>4301135778</v>
      </c>
      <c r="D148" s="276">
        <v>4620207490853</v>
      </c>
      <c r="E148" s="277"/>
      <c r="F148" s="271">
        <v>0.2</v>
      </c>
      <c r="G148" s="32">
        <v>12</v>
      </c>
      <c r="H148" s="271">
        <v>2.4</v>
      </c>
      <c r="I148" s="271">
        <v>2.68</v>
      </c>
      <c r="J148" s="32">
        <v>70</v>
      </c>
      <c r="K148" s="32" t="s">
        <v>95</v>
      </c>
      <c r="L148" s="32" t="s">
        <v>96</v>
      </c>
      <c r="M148" s="33" t="s">
        <v>68</v>
      </c>
      <c r="N148" s="33"/>
      <c r="O148" s="32">
        <v>180</v>
      </c>
      <c r="P148" s="32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8" s="279"/>
      <c r="R148" s="279"/>
      <c r="S148" s="279"/>
      <c r="T148" s="280"/>
      <c r="U148" s="34"/>
      <c r="V148" s="34"/>
      <c r="W148" s="35" t="s">
        <v>69</v>
      </c>
      <c r="X148" s="272">
        <v>14</v>
      </c>
      <c r="Y148" s="273">
        <f>IFERROR(IF(X148="","",X148),"")</f>
        <v>14</v>
      </c>
      <c r="Z148" s="36">
        <f>IFERROR(IF(X148="","",X148*0.01788),"")</f>
        <v>0.25031999999999999</v>
      </c>
      <c r="AA148" s="56"/>
      <c r="AB148" s="57"/>
      <c r="AC148" s="180" t="s">
        <v>220</v>
      </c>
      <c r="AG148" s="67"/>
      <c r="AJ148" s="71" t="s">
        <v>98</v>
      </c>
      <c r="AK148" s="71">
        <v>14</v>
      </c>
      <c r="BB148" s="181" t="s">
        <v>99</v>
      </c>
      <c r="BM148" s="67">
        <f>IFERROR(X148*I148,"0")</f>
        <v>37.520000000000003</v>
      </c>
      <c r="BN148" s="67">
        <f>IFERROR(Y148*I148,"0")</f>
        <v>37.520000000000003</v>
      </c>
      <c r="BO148" s="67">
        <f>IFERROR(X148/J148,"0")</f>
        <v>0.2</v>
      </c>
      <c r="BP148" s="67">
        <f>IFERROR(Y148/J148,"0")</f>
        <v>0.2</v>
      </c>
    </row>
    <row r="149" spans="1:68" x14ac:dyDescent="0.2">
      <c r="A149" s="294"/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5"/>
      <c r="P149" s="282" t="s">
        <v>82</v>
      </c>
      <c r="Q149" s="283"/>
      <c r="R149" s="283"/>
      <c r="S149" s="283"/>
      <c r="T149" s="283"/>
      <c r="U149" s="283"/>
      <c r="V149" s="284"/>
      <c r="W149" s="37" t="s">
        <v>69</v>
      </c>
      <c r="X149" s="274">
        <f>IFERROR(SUM(X147:X148),"0")</f>
        <v>42</v>
      </c>
      <c r="Y149" s="274">
        <f>IFERROR(SUM(Y147:Y148),"0")</f>
        <v>42</v>
      </c>
      <c r="Z149" s="274">
        <f>IFERROR(IF(Z147="",0,Z147),"0")+IFERROR(IF(Z148="",0,Z148),"0")</f>
        <v>0.75095999999999996</v>
      </c>
      <c r="AA149" s="275"/>
      <c r="AB149" s="275"/>
      <c r="AC149" s="275"/>
    </row>
    <row r="150" spans="1:68" x14ac:dyDescent="0.2">
      <c r="A150" s="290"/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5"/>
      <c r="P150" s="282" t="s">
        <v>82</v>
      </c>
      <c r="Q150" s="283"/>
      <c r="R150" s="283"/>
      <c r="S150" s="283"/>
      <c r="T150" s="283"/>
      <c r="U150" s="283"/>
      <c r="V150" s="284"/>
      <c r="W150" s="37" t="s">
        <v>83</v>
      </c>
      <c r="X150" s="274">
        <f>IFERROR(SUMPRODUCT(X147:X148*H147:H148),"0")</f>
        <v>100.80000000000001</v>
      </c>
      <c r="Y150" s="274">
        <f>IFERROR(SUMPRODUCT(Y147:Y148*H147:H148),"0")</f>
        <v>100.80000000000001</v>
      </c>
      <c r="Z150" s="37"/>
      <c r="AA150" s="275"/>
      <c r="AB150" s="275"/>
      <c r="AC150" s="275"/>
    </row>
    <row r="151" spans="1:68" ht="16.5" customHeight="1" x14ac:dyDescent="0.25">
      <c r="A151" s="289" t="s">
        <v>237</v>
      </c>
      <c r="B151" s="290"/>
      <c r="C151" s="290"/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0"/>
      <c r="P151" s="290"/>
      <c r="Q151" s="290"/>
      <c r="R151" s="290"/>
      <c r="S151" s="290"/>
      <c r="T151" s="290"/>
      <c r="U151" s="290"/>
      <c r="V151" s="290"/>
      <c r="W151" s="290"/>
      <c r="X151" s="290"/>
      <c r="Y151" s="290"/>
      <c r="Z151" s="290"/>
      <c r="AA151" s="267"/>
      <c r="AB151" s="267"/>
      <c r="AC151" s="267"/>
    </row>
    <row r="152" spans="1:68" ht="14.25" customHeight="1" x14ac:dyDescent="0.25">
      <c r="A152" s="293" t="s">
        <v>136</v>
      </c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0"/>
      <c r="P152" s="290"/>
      <c r="Q152" s="290"/>
      <c r="R152" s="290"/>
      <c r="S152" s="290"/>
      <c r="T152" s="290"/>
      <c r="U152" s="290"/>
      <c r="V152" s="290"/>
      <c r="W152" s="290"/>
      <c r="X152" s="290"/>
      <c r="Y152" s="290"/>
      <c r="Z152" s="290"/>
      <c r="AA152" s="268"/>
      <c r="AB152" s="268"/>
      <c r="AC152" s="268"/>
    </row>
    <row r="153" spans="1:68" ht="27" customHeight="1" x14ac:dyDescent="0.25">
      <c r="A153" s="54" t="s">
        <v>238</v>
      </c>
      <c r="B153" s="54" t="s">
        <v>239</v>
      </c>
      <c r="C153" s="31">
        <v>4301135570</v>
      </c>
      <c r="D153" s="276">
        <v>4607111035806</v>
      </c>
      <c r="E153" s="277"/>
      <c r="F153" s="271">
        <v>0.25</v>
      </c>
      <c r="G153" s="32">
        <v>12</v>
      </c>
      <c r="H153" s="271">
        <v>3</v>
      </c>
      <c r="I153" s="271">
        <v>3.7035999999999998</v>
      </c>
      <c r="J153" s="32">
        <v>70</v>
      </c>
      <c r="K153" s="32" t="s">
        <v>95</v>
      </c>
      <c r="L153" s="32" t="s">
        <v>96</v>
      </c>
      <c r="M153" s="33" t="s">
        <v>68</v>
      </c>
      <c r="N153" s="33"/>
      <c r="O153" s="32">
        <v>180</v>
      </c>
      <c r="P153" s="38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3" s="279"/>
      <c r="R153" s="279"/>
      <c r="S153" s="279"/>
      <c r="T153" s="280"/>
      <c r="U153" s="34"/>
      <c r="V153" s="34"/>
      <c r="W153" s="35" t="s">
        <v>69</v>
      </c>
      <c r="X153" s="272">
        <v>0</v>
      </c>
      <c r="Y153" s="273">
        <f>IFERROR(IF(X153="","",X153),"")</f>
        <v>0</v>
      </c>
      <c r="Z153" s="36">
        <f>IFERROR(IF(X153="","",X153*0.01788),"")</f>
        <v>0</v>
      </c>
      <c r="AA153" s="56"/>
      <c r="AB153" s="57"/>
      <c r="AC153" s="182" t="s">
        <v>240</v>
      </c>
      <c r="AG153" s="67"/>
      <c r="AJ153" s="71" t="s">
        <v>98</v>
      </c>
      <c r="AK153" s="71">
        <v>14</v>
      </c>
      <c r="BB153" s="183" t="s">
        <v>99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x14ac:dyDescent="0.2">
      <c r="A154" s="294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5"/>
      <c r="P154" s="282" t="s">
        <v>82</v>
      </c>
      <c r="Q154" s="283"/>
      <c r="R154" s="283"/>
      <c r="S154" s="283"/>
      <c r="T154" s="283"/>
      <c r="U154" s="283"/>
      <c r="V154" s="284"/>
      <c r="W154" s="37" t="s">
        <v>69</v>
      </c>
      <c r="X154" s="274">
        <f>IFERROR(SUM(X153:X153),"0")</f>
        <v>0</v>
      </c>
      <c r="Y154" s="274">
        <f>IFERROR(SUM(Y153:Y153),"0")</f>
        <v>0</v>
      </c>
      <c r="Z154" s="274">
        <f>IFERROR(IF(Z153="",0,Z153),"0")</f>
        <v>0</v>
      </c>
      <c r="AA154" s="275"/>
      <c r="AB154" s="275"/>
      <c r="AC154" s="275"/>
    </row>
    <row r="155" spans="1:68" x14ac:dyDescent="0.2">
      <c r="A155" s="290"/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5"/>
      <c r="P155" s="282" t="s">
        <v>82</v>
      </c>
      <c r="Q155" s="283"/>
      <c r="R155" s="283"/>
      <c r="S155" s="283"/>
      <c r="T155" s="283"/>
      <c r="U155" s="283"/>
      <c r="V155" s="284"/>
      <c r="W155" s="37" t="s">
        <v>83</v>
      </c>
      <c r="X155" s="274">
        <f>IFERROR(SUMPRODUCT(X153:X153*H153:H153),"0")</f>
        <v>0</v>
      </c>
      <c r="Y155" s="274">
        <f>IFERROR(SUMPRODUCT(Y153:Y153*H153:H153),"0")</f>
        <v>0</v>
      </c>
      <c r="Z155" s="37"/>
      <c r="AA155" s="275"/>
      <c r="AB155" s="275"/>
      <c r="AC155" s="275"/>
    </row>
    <row r="156" spans="1:68" ht="16.5" customHeight="1" x14ac:dyDescent="0.25">
      <c r="A156" s="289" t="s">
        <v>241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67"/>
      <c r="AB156" s="267"/>
      <c r="AC156" s="267"/>
    </row>
    <row r="157" spans="1:68" ht="14.25" customHeight="1" x14ac:dyDescent="0.25">
      <c r="A157" s="293" t="s">
        <v>136</v>
      </c>
      <c r="B157" s="290"/>
      <c r="C157" s="290"/>
      <c r="D157" s="290"/>
      <c r="E157" s="290"/>
      <c r="F157" s="290"/>
      <c r="G157" s="290"/>
      <c r="H157" s="290"/>
      <c r="I157" s="290"/>
      <c r="J157" s="290"/>
      <c r="K157" s="290"/>
      <c r="L157" s="290"/>
      <c r="M157" s="290"/>
      <c r="N157" s="290"/>
      <c r="O157" s="290"/>
      <c r="P157" s="290"/>
      <c r="Q157" s="290"/>
      <c r="R157" s="290"/>
      <c r="S157" s="290"/>
      <c r="T157" s="290"/>
      <c r="U157" s="290"/>
      <c r="V157" s="290"/>
      <c r="W157" s="290"/>
      <c r="X157" s="290"/>
      <c r="Y157" s="290"/>
      <c r="Z157" s="290"/>
      <c r="AA157" s="268"/>
      <c r="AB157" s="268"/>
      <c r="AC157" s="268"/>
    </row>
    <row r="158" spans="1:68" ht="16.5" customHeight="1" x14ac:dyDescent="0.25">
      <c r="A158" s="54" t="s">
        <v>242</v>
      </c>
      <c r="B158" s="54" t="s">
        <v>243</v>
      </c>
      <c r="C158" s="31">
        <v>4301135607</v>
      </c>
      <c r="D158" s="276">
        <v>4607111039613</v>
      </c>
      <c r="E158" s="277"/>
      <c r="F158" s="271">
        <v>0.09</v>
      </c>
      <c r="G158" s="32">
        <v>30</v>
      </c>
      <c r="H158" s="271">
        <v>2.7</v>
      </c>
      <c r="I158" s="271">
        <v>3.09</v>
      </c>
      <c r="J158" s="32">
        <v>126</v>
      </c>
      <c r="K158" s="32" t="s">
        <v>95</v>
      </c>
      <c r="L158" s="32" t="s">
        <v>96</v>
      </c>
      <c r="M158" s="33" t="s">
        <v>68</v>
      </c>
      <c r="N158" s="33"/>
      <c r="O158" s="32">
        <v>180</v>
      </c>
      <c r="P158" s="31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8" s="279"/>
      <c r="R158" s="279"/>
      <c r="S158" s="279"/>
      <c r="T158" s="280"/>
      <c r="U158" s="34"/>
      <c r="V158" s="34"/>
      <c r="W158" s="35" t="s">
        <v>69</v>
      </c>
      <c r="X158" s="272">
        <v>0</v>
      </c>
      <c r="Y158" s="273">
        <f>IFERROR(IF(X158="","",X158),"")</f>
        <v>0</v>
      </c>
      <c r="Z158" s="36">
        <f>IFERROR(IF(X158="","",X158*0.00936),"")</f>
        <v>0</v>
      </c>
      <c r="AA158" s="56"/>
      <c r="AB158" s="57"/>
      <c r="AC158" s="184" t="s">
        <v>228</v>
      </c>
      <c r="AG158" s="67"/>
      <c r="AJ158" s="71" t="s">
        <v>98</v>
      </c>
      <c r="AK158" s="71">
        <v>14</v>
      </c>
      <c r="BB158" s="185" t="s">
        <v>99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x14ac:dyDescent="0.2">
      <c r="A159" s="294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5"/>
      <c r="P159" s="282" t="s">
        <v>82</v>
      </c>
      <c r="Q159" s="283"/>
      <c r="R159" s="283"/>
      <c r="S159" s="283"/>
      <c r="T159" s="283"/>
      <c r="U159" s="283"/>
      <c r="V159" s="284"/>
      <c r="W159" s="37" t="s">
        <v>69</v>
      </c>
      <c r="X159" s="274">
        <f>IFERROR(SUM(X158:X158),"0")</f>
        <v>0</v>
      </c>
      <c r="Y159" s="274">
        <f>IFERROR(SUM(Y158:Y158),"0")</f>
        <v>0</v>
      </c>
      <c r="Z159" s="274">
        <f>IFERROR(IF(Z158="",0,Z158),"0")</f>
        <v>0</v>
      </c>
      <c r="AA159" s="275"/>
      <c r="AB159" s="275"/>
      <c r="AC159" s="275"/>
    </row>
    <row r="160" spans="1:68" x14ac:dyDescent="0.2">
      <c r="A160" s="290"/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5"/>
      <c r="P160" s="282" t="s">
        <v>82</v>
      </c>
      <c r="Q160" s="283"/>
      <c r="R160" s="283"/>
      <c r="S160" s="283"/>
      <c r="T160" s="283"/>
      <c r="U160" s="283"/>
      <c r="V160" s="284"/>
      <c r="W160" s="37" t="s">
        <v>83</v>
      </c>
      <c r="X160" s="274">
        <f>IFERROR(SUMPRODUCT(X158:X158*H158:H158),"0")</f>
        <v>0</v>
      </c>
      <c r="Y160" s="274">
        <f>IFERROR(SUMPRODUCT(Y158:Y158*H158:H158),"0")</f>
        <v>0</v>
      </c>
      <c r="Z160" s="37"/>
      <c r="AA160" s="275"/>
      <c r="AB160" s="275"/>
      <c r="AC160" s="275"/>
    </row>
    <row r="161" spans="1:68" ht="16.5" customHeight="1" x14ac:dyDescent="0.25">
      <c r="A161" s="289" t="s">
        <v>244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67"/>
      <c r="AB161" s="267"/>
      <c r="AC161" s="267"/>
    </row>
    <row r="162" spans="1:68" ht="14.25" customHeight="1" x14ac:dyDescent="0.25">
      <c r="A162" s="293" t="s">
        <v>213</v>
      </c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0"/>
      <c r="T162" s="290"/>
      <c r="U162" s="290"/>
      <c r="V162" s="290"/>
      <c r="W162" s="290"/>
      <c r="X162" s="290"/>
      <c r="Y162" s="290"/>
      <c r="Z162" s="290"/>
      <c r="AA162" s="268"/>
      <c r="AB162" s="268"/>
      <c r="AC162" s="268"/>
    </row>
    <row r="163" spans="1:68" ht="27" customHeight="1" x14ac:dyDescent="0.25">
      <c r="A163" s="54" t="s">
        <v>245</v>
      </c>
      <c r="B163" s="54" t="s">
        <v>246</v>
      </c>
      <c r="C163" s="31">
        <v>4301135540</v>
      </c>
      <c r="D163" s="276">
        <v>4607111035646</v>
      </c>
      <c r="E163" s="277"/>
      <c r="F163" s="271">
        <v>0.2</v>
      </c>
      <c r="G163" s="32">
        <v>8</v>
      </c>
      <c r="H163" s="271">
        <v>1.6</v>
      </c>
      <c r="I163" s="271">
        <v>2.12</v>
      </c>
      <c r="J163" s="32">
        <v>72</v>
      </c>
      <c r="K163" s="32" t="s">
        <v>247</v>
      </c>
      <c r="L163" s="32" t="s">
        <v>96</v>
      </c>
      <c r="M163" s="33" t="s">
        <v>68</v>
      </c>
      <c r="N163" s="33"/>
      <c r="O163" s="32">
        <v>180</v>
      </c>
      <c r="P163" s="37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3" s="279"/>
      <c r="R163" s="279"/>
      <c r="S163" s="279"/>
      <c r="T163" s="280"/>
      <c r="U163" s="34"/>
      <c r="V163" s="34"/>
      <c r="W163" s="35" t="s">
        <v>69</v>
      </c>
      <c r="X163" s="272">
        <v>12</v>
      </c>
      <c r="Y163" s="273">
        <f>IFERROR(IF(X163="","",X163),"")</f>
        <v>12</v>
      </c>
      <c r="Z163" s="36">
        <f>IFERROR(IF(X163="","",X163*0.01157),"")</f>
        <v>0.13884000000000002</v>
      </c>
      <c r="AA163" s="56"/>
      <c r="AB163" s="57"/>
      <c r="AC163" s="186" t="s">
        <v>248</v>
      </c>
      <c r="AG163" s="67"/>
      <c r="AJ163" s="71" t="s">
        <v>98</v>
      </c>
      <c r="AK163" s="71">
        <v>6</v>
      </c>
      <c r="BB163" s="187" t="s">
        <v>99</v>
      </c>
      <c r="BM163" s="67">
        <f>IFERROR(X163*I163,"0")</f>
        <v>25.44</v>
      </c>
      <c r="BN163" s="67">
        <f>IFERROR(Y163*I163,"0")</f>
        <v>25.44</v>
      </c>
      <c r="BO163" s="67">
        <f>IFERROR(X163/J163,"0")</f>
        <v>0.16666666666666666</v>
      </c>
      <c r="BP163" s="67">
        <f>IFERROR(Y163/J163,"0")</f>
        <v>0.16666666666666666</v>
      </c>
    </row>
    <row r="164" spans="1:68" x14ac:dyDescent="0.2">
      <c r="A164" s="294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5"/>
      <c r="P164" s="282" t="s">
        <v>82</v>
      </c>
      <c r="Q164" s="283"/>
      <c r="R164" s="283"/>
      <c r="S164" s="283"/>
      <c r="T164" s="283"/>
      <c r="U164" s="283"/>
      <c r="V164" s="284"/>
      <c r="W164" s="37" t="s">
        <v>69</v>
      </c>
      <c r="X164" s="274">
        <f>IFERROR(SUM(X163:X163),"0")</f>
        <v>12</v>
      </c>
      <c r="Y164" s="274">
        <f>IFERROR(SUM(Y163:Y163),"0")</f>
        <v>12</v>
      </c>
      <c r="Z164" s="274">
        <f>IFERROR(IF(Z163="",0,Z163),"0")</f>
        <v>0.13884000000000002</v>
      </c>
      <c r="AA164" s="275"/>
      <c r="AB164" s="275"/>
      <c r="AC164" s="275"/>
    </row>
    <row r="165" spans="1:68" x14ac:dyDescent="0.2">
      <c r="A165" s="290"/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5"/>
      <c r="P165" s="282" t="s">
        <v>82</v>
      </c>
      <c r="Q165" s="283"/>
      <c r="R165" s="283"/>
      <c r="S165" s="283"/>
      <c r="T165" s="283"/>
      <c r="U165" s="283"/>
      <c r="V165" s="284"/>
      <c r="W165" s="37" t="s">
        <v>83</v>
      </c>
      <c r="X165" s="274">
        <f>IFERROR(SUMPRODUCT(X163:X163*H163:H163),"0")</f>
        <v>19.200000000000003</v>
      </c>
      <c r="Y165" s="274">
        <f>IFERROR(SUMPRODUCT(Y163:Y163*H163:H163),"0")</f>
        <v>19.200000000000003</v>
      </c>
      <c r="Z165" s="37"/>
      <c r="AA165" s="275"/>
      <c r="AB165" s="275"/>
      <c r="AC165" s="275"/>
    </row>
    <row r="166" spans="1:68" ht="16.5" customHeight="1" x14ac:dyDescent="0.25">
      <c r="A166" s="289" t="s">
        <v>249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67"/>
      <c r="AB166" s="267"/>
      <c r="AC166" s="267"/>
    </row>
    <row r="167" spans="1:68" ht="14.25" customHeight="1" x14ac:dyDescent="0.25">
      <c r="A167" s="293" t="s">
        <v>136</v>
      </c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0"/>
      <c r="P167" s="290"/>
      <c r="Q167" s="290"/>
      <c r="R167" s="290"/>
      <c r="S167" s="290"/>
      <c r="T167" s="290"/>
      <c r="U167" s="290"/>
      <c r="V167" s="290"/>
      <c r="W167" s="290"/>
      <c r="X167" s="290"/>
      <c r="Y167" s="290"/>
      <c r="Z167" s="290"/>
      <c r="AA167" s="268"/>
      <c r="AB167" s="268"/>
      <c r="AC167" s="268"/>
    </row>
    <row r="168" spans="1:68" ht="27" customHeight="1" x14ac:dyDescent="0.25">
      <c r="A168" s="54" t="s">
        <v>250</v>
      </c>
      <c r="B168" s="54" t="s">
        <v>251</v>
      </c>
      <c r="C168" s="31">
        <v>4301135591</v>
      </c>
      <c r="D168" s="276">
        <v>4607111036568</v>
      </c>
      <c r="E168" s="277"/>
      <c r="F168" s="271">
        <v>0.28000000000000003</v>
      </c>
      <c r="G168" s="32">
        <v>6</v>
      </c>
      <c r="H168" s="271">
        <v>1.68</v>
      </c>
      <c r="I168" s="271">
        <v>2.1017999999999999</v>
      </c>
      <c r="J168" s="32">
        <v>140</v>
      </c>
      <c r="K168" s="32" t="s">
        <v>95</v>
      </c>
      <c r="L168" s="32" t="s">
        <v>96</v>
      </c>
      <c r="M168" s="33" t="s">
        <v>68</v>
      </c>
      <c r="N168" s="33"/>
      <c r="O168" s="32">
        <v>180</v>
      </c>
      <c r="P168" s="33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8" s="279"/>
      <c r="R168" s="279"/>
      <c r="S168" s="279"/>
      <c r="T168" s="280"/>
      <c r="U168" s="34"/>
      <c r="V168" s="34"/>
      <c r="W168" s="35" t="s">
        <v>69</v>
      </c>
      <c r="X168" s="272">
        <v>84</v>
      </c>
      <c r="Y168" s="273">
        <f>IFERROR(IF(X168="","",X168),"")</f>
        <v>84</v>
      </c>
      <c r="Z168" s="36">
        <f>IFERROR(IF(X168="","",X168*0.00941),"")</f>
        <v>0.79044000000000003</v>
      </c>
      <c r="AA168" s="56"/>
      <c r="AB168" s="57"/>
      <c r="AC168" s="188" t="s">
        <v>252</v>
      </c>
      <c r="AG168" s="67"/>
      <c r="AJ168" s="71" t="s">
        <v>98</v>
      </c>
      <c r="AK168" s="71">
        <v>14</v>
      </c>
      <c r="BB168" s="189" t="s">
        <v>99</v>
      </c>
      <c r="BM168" s="67">
        <f>IFERROR(X168*I168,"0")</f>
        <v>176.55119999999999</v>
      </c>
      <c r="BN168" s="67">
        <f>IFERROR(Y168*I168,"0")</f>
        <v>176.55119999999999</v>
      </c>
      <c r="BO168" s="67">
        <f>IFERROR(X168/J168,"0")</f>
        <v>0.6</v>
      </c>
      <c r="BP168" s="67">
        <f>IFERROR(Y168/J168,"0")</f>
        <v>0.6</v>
      </c>
    </row>
    <row r="169" spans="1:68" x14ac:dyDescent="0.2">
      <c r="A169" s="294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5"/>
      <c r="P169" s="282" t="s">
        <v>82</v>
      </c>
      <c r="Q169" s="283"/>
      <c r="R169" s="283"/>
      <c r="S169" s="283"/>
      <c r="T169" s="283"/>
      <c r="U169" s="283"/>
      <c r="V169" s="284"/>
      <c r="W169" s="37" t="s">
        <v>69</v>
      </c>
      <c r="X169" s="274">
        <f>IFERROR(SUM(X168:X168),"0")</f>
        <v>84</v>
      </c>
      <c r="Y169" s="274">
        <f>IFERROR(SUM(Y168:Y168),"0")</f>
        <v>84</v>
      </c>
      <c r="Z169" s="274">
        <f>IFERROR(IF(Z168="",0,Z168),"0")</f>
        <v>0.79044000000000003</v>
      </c>
      <c r="AA169" s="275"/>
      <c r="AB169" s="275"/>
      <c r="AC169" s="275"/>
    </row>
    <row r="170" spans="1:68" x14ac:dyDescent="0.2">
      <c r="A170" s="290"/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5"/>
      <c r="P170" s="282" t="s">
        <v>82</v>
      </c>
      <c r="Q170" s="283"/>
      <c r="R170" s="283"/>
      <c r="S170" s="283"/>
      <c r="T170" s="283"/>
      <c r="U170" s="283"/>
      <c r="V170" s="284"/>
      <c r="W170" s="37" t="s">
        <v>83</v>
      </c>
      <c r="X170" s="274">
        <f>IFERROR(SUMPRODUCT(X168:X168*H168:H168),"0")</f>
        <v>141.12</v>
      </c>
      <c r="Y170" s="274">
        <f>IFERROR(SUMPRODUCT(Y168:Y168*H168:H168),"0")</f>
        <v>141.12</v>
      </c>
      <c r="Z170" s="37"/>
      <c r="AA170" s="275"/>
      <c r="AB170" s="275"/>
      <c r="AC170" s="275"/>
    </row>
    <row r="171" spans="1:68" ht="27.75" customHeight="1" x14ac:dyDescent="0.2">
      <c r="A171" s="287" t="s">
        <v>253</v>
      </c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48"/>
      <c r="AB171" s="48"/>
      <c r="AC171" s="48"/>
    </row>
    <row r="172" spans="1:68" ht="16.5" customHeight="1" x14ac:dyDescent="0.25">
      <c r="A172" s="289" t="s">
        <v>254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67"/>
      <c r="AB172" s="267"/>
      <c r="AC172" s="267"/>
    </row>
    <row r="173" spans="1:68" ht="14.25" customHeight="1" x14ac:dyDescent="0.25">
      <c r="A173" s="293" t="s">
        <v>63</v>
      </c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0"/>
      <c r="P173" s="290"/>
      <c r="Q173" s="290"/>
      <c r="R173" s="290"/>
      <c r="S173" s="290"/>
      <c r="T173" s="290"/>
      <c r="U173" s="290"/>
      <c r="V173" s="290"/>
      <c r="W173" s="290"/>
      <c r="X173" s="290"/>
      <c r="Y173" s="290"/>
      <c r="Z173" s="290"/>
      <c r="AA173" s="268"/>
      <c r="AB173" s="268"/>
      <c r="AC173" s="268"/>
    </row>
    <row r="174" spans="1:68" ht="16.5" customHeight="1" x14ac:dyDescent="0.25">
      <c r="A174" s="54" t="s">
        <v>255</v>
      </c>
      <c r="B174" s="54" t="s">
        <v>256</v>
      </c>
      <c r="C174" s="31">
        <v>4301071062</v>
      </c>
      <c r="D174" s="276">
        <v>4607111036384</v>
      </c>
      <c r="E174" s="277"/>
      <c r="F174" s="271">
        <v>5</v>
      </c>
      <c r="G174" s="32">
        <v>1</v>
      </c>
      <c r="H174" s="271">
        <v>5</v>
      </c>
      <c r="I174" s="271">
        <v>5.2106000000000003</v>
      </c>
      <c r="J174" s="32">
        <v>144</v>
      </c>
      <c r="K174" s="32" t="s">
        <v>66</v>
      </c>
      <c r="L174" s="32" t="s">
        <v>67</v>
      </c>
      <c r="M174" s="33" t="s">
        <v>68</v>
      </c>
      <c r="N174" s="33"/>
      <c r="O174" s="32">
        <v>180</v>
      </c>
      <c r="P174" s="45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4" s="279"/>
      <c r="R174" s="279"/>
      <c r="S174" s="279"/>
      <c r="T174" s="280"/>
      <c r="U174" s="34"/>
      <c r="V174" s="34"/>
      <c r="W174" s="35" t="s">
        <v>69</v>
      </c>
      <c r="X174" s="272">
        <v>0</v>
      </c>
      <c r="Y174" s="273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257</v>
      </c>
      <c r="AG174" s="67"/>
      <c r="AJ174" s="71" t="s">
        <v>71</v>
      </c>
      <c r="AK174" s="71">
        <v>1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t="27" customHeight="1" x14ac:dyDescent="0.25">
      <c r="A175" s="54" t="s">
        <v>258</v>
      </c>
      <c r="B175" s="54" t="s">
        <v>259</v>
      </c>
      <c r="C175" s="31">
        <v>4301071050</v>
      </c>
      <c r="D175" s="276">
        <v>4607111036216</v>
      </c>
      <c r="E175" s="277"/>
      <c r="F175" s="271">
        <v>5</v>
      </c>
      <c r="G175" s="32">
        <v>1</v>
      </c>
      <c r="H175" s="271">
        <v>5</v>
      </c>
      <c r="I175" s="271">
        <v>5.2131999999999996</v>
      </c>
      <c r="J175" s="32">
        <v>144</v>
      </c>
      <c r="K175" s="32" t="s">
        <v>66</v>
      </c>
      <c r="L175" s="32" t="s">
        <v>96</v>
      </c>
      <c r="M175" s="33" t="s">
        <v>68</v>
      </c>
      <c r="N175" s="33"/>
      <c r="O175" s="32">
        <v>180</v>
      </c>
      <c r="P175" s="42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279"/>
      <c r="R175" s="279"/>
      <c r="S175" s="279"/>
      <c r="T175" s="280"/>
      <c r="U175" s="34"/>
      <c r="V175" s="34"/>
      <c r="W175" s="35" t="s">
        <v>69</v>
      </c>
      <c r="X175" s="272">
        <v>84</v>
      </c>
      <c r="Y175" s="273">
        <f>IFERROR(IF(X175="","",X175),"")</f>
        <v>84</v>
      </c>
      <c r="Z175" s="36">
        <f>IFERROR(IF(X175="","",X175*0.00866),"")</f>
        <v>0.72743999999999998</v>
      </c>
      <c r="AA175" s="56"/>
      <c r="AB175" s="57"/>
      <c r="AC175" s="192" t="s">
        <v>260</v>
      </c>
      <c r="AG175" s="67"/>
      <c r="AJ175" s="71" t="s">
        <v>98</v>
      </c>
      <c r="AK175" s="71">
        <v>12</v>
      </c>
      <c r="BB175" s="193" t="s">
        <v>1</v>
      </c>
      <c r="BM175" s="67">
        <f>IFERROR(X175*I175,"0")</f>
        <v>437.90879999999999</v>
      </c>
      <c r="BN175" s="67">
        <f>IFERROR(Y175*I175,"0")</f>
        <v>437.90879999999999</v>
      </c>
      <c r="BO175" s="67">
        <f>IFERROR(X175/J175,"0")</f>
        <v>0.58333333333333337</v>
      </c>
      <c r="BP175" s="67">
        <f>IFERROR(Y175/J175,"0")</f>
        <v>0.58333333333333337</v>
      </c>
    </row>
    <row r="176" spans="1:68" x14ac:dyDescent="0.2">
      <c r="A176" s="294"/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5"/>
      <c r="P176" s="282" t="s">
        <v>82</v>
      </c>
      <c r="Q176" s="283"/>
      <c r="R176" s="283"/>
      <c r="S176" s="283"/>
      <c r="T176" s="283"/>
      <c r="U176" s="283"/>
      <c r="V176" s="284"/>
      <c r="W176" s="37" t="s">
        <v>69</v>
      </c>
      <c r="X176" s="274">
        <f>IFERROR(SUM(X174:X175),"0")</f>
        <v>84</v>
      </c>
      <c r="Y176" s="274">
        <f>IFERROR(SUM(Y174:Y175),"0")</f>
        <v>84</v>
      </c>
      <c r="Z176" s="274">
        <f>IFERROR(IF(Z174="",0,Z174),"0")+IFERROR(IF(Z175="",0,Z175),"0")</f>
        <v>0.72743999999999998</v>
      </c>
      <c r="AA176" s="275"/>
      <c r="AB176" s="275"/>
      <c r="AC176" s="275"/>
    </row>
    <row r="177" spans="1:68" x14ac:dyDescent="0.2">
      <c r="A177" s="290"/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5"/>
      <c r="P177" s="282" t="s">
        <v>82</v>
      </c>
      <c r="Q177" s="283"/>
      <c r="R177" s="283"/>
      <c r="S177" s="283"/>
      <c r="T177" s="283"/>
      <c r="U177" s="283"/>
      <c r="V177" s="284"/>
      <c r="W177" s="37" t="s">
        <v>83</v>
      </c>
      <c r="X177" s="274">
        <f>IFERROR(SUMPRODUCT(X174:X175*H174:H175),"0")</f>
        <v>420</v>
      </c>
      <c r="Y177" s="274">
        <f>IFERROR(SUMPRODUCT(Y174:Y175*H174:H175),"0")</f>
        <v>420</v>
      </c>
      <c r="Z177" s="37"/>
      <c r="AA177" s="275"/>
      <c r="AB177" s="275"/>
      <c r="AC177" s="275"/>
    </row>
    <row r="178" spans="1:68" ht="27.75" customHeight="1" x14ac:dyDescent="0.2">
      <c r="A178" s="287" t="s">
        <v>261</v>
      </c>
      <c r="B178" s="288"/>
      <c r="C178" s="288"/>
      <c r="D178" s="288"/>
      <c r="E178" s="288"/>
      <c r="F178" s="288"/>
      <c r="G178" s="288"/>
      <c r="H178" s="288"/>
      <c r="I178" s="288"/>
      <c r="J178" s="288"/>
      <c r="K178" s="288"/>
      <c r="L178" s="288"/>
      <c r="M178" s="288"/>
      <c r="N178" s="288"/>
      <c r="O178" s="288"/>
      <c r="P178" s="288"/>
      <c r="Q178" s="288"/>
      <c r="R178" s="288"/>
      <c r="S178" s="288"/>
      <c r="T178" s="288"/>
      <c r="U178" s="288"/>
      <c r="V178" s="288"/>
      <c r="W178" s="288"/>
      <c r="X178" s="288"/>
      <c r="Y178" s="288"/>
      <c r="Z178" s="288"/>
      <c r="AA178" s="48"/>
      <c r="AB178" s="48"/>
      <c r="AC178" s="48"/>
    </row>
    <row r="179" spans="1:68" ht="16.5" customHeight="1" x14ac:dyDescent="0.25">
      <c r="A179" s="289" t="s">
        <v>262</v>
      </c>
      <c r="B179" s="290"/>
      <c r="C179" s="290"/>
      <c r="D179" s="290"/>
      <c r="E179" s="290"/>
      <c r="F179" s="290"/>
      <c r="G179" s="290"/>
      <c r="H179" s="290"/>
      <c r="I179" s="290"/>
      <c r="J179" s="290"/>
      <c r="K179" s="290"/>
      <c r="L179" s="290"/>
      <c r="M179" s="290"/>
      <c r="N179" s="290"/>
      <c r="O179" s="290"/>
      <c r="P179" s="290"/>
      <c r="Q179" s="290"/>
      <c r="R179" s="290"/>
      <c r="S179" s="290"/>
      <c r="T179" s="290"/>
      <c r="U179" s="290"/>
      <c r="V179" s="290"/>
      <c r="W179" s="290"/>
      <c r="X179" s="290"/>
      <c r="Y179" s="290"/>
      <c r="Z179" s="290"/>
      <c r="AA179" s="267"/>
      <c r="AB179" s="267"/>
      <c r="AC179" s="267"/>
    </row>
    <row r="180" spans="1:68" ht="14.25" customHeight="1" x14ac:dyDescent="0.25">
      <c r="A180" s="293" t="s">
        <v>92</v>
      </c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0"/>
      <c r="P180" s="290"/>
      <c r="Q180" s="290"/>
      <c r="R180" s="290"/>
      <c r="S180" s="290"/>
      <c r="T180" s="290"/>
      <c r="U180" s="290"/>
      <c r="V180" s="290"/>
      <c r="W180" s="290"/>
      <c r="X180" s="290"/>
      <c r="Y180" s="290"/>
      <c r="Z180" s="290"/>
      <c r="AA180" s="268"/>
      <c r="AB180" s="268"/>
      <c r="AC180" s="268"/>
    </row>
    <row r="181" spans="1:68" ht="16.5" customHeight="1" x14ac:dyDescent="0.25">
      <c r="A181" s="54" t="s">
        <v>263</v>
      </c>
      <c r="B181" s="54" t="s">
        <v>264</v>
      </c>
      <c r="C181" s="31">
        <v>4301132179</v>
      </c>
      <c r="D181" s="276">
        <v>4607111035691</v>
      </c>
      <c r="E181" s="277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4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1" s="279"/>
      <c r="R181" s="279"/>
      <c r="S181" s="279"/>
      <c r="T181" s="280"/>
      <c r="U181" s="34"/>
      <c r="V181" s="34"/>
      <c r="W181" s="35" t="s">
        <v>69</v>
      </c>
      <c r="X181" s="272">
        <v>70</v>
      </c>
      <c r="Y181" s="273">
        <f>IFERROR(IF(X181="","",X181),"")</f>
        <v>70</v>
      </c>
      <c r="Z181" s="36">
        <f>IFERROR(IF(X181="","",X181*0.01788),"")</f>
        <v>1.2516</v>
      </c>
      <c r="AA181" s="56"/>
      <c r="AB181" s="57"/>
      <c r="AC181" s="194" t="s">
        <v>265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237.16</v>
      </c>
      <c r="BN181" s="67">
        <f>IFERROR(Y181*I181,"0")</f>
        <v>237.16</v>
      </c>
      <c r="BO181" s="67">
        <f>IFERROR(X181/J181,"0")</f>
        <v>1</v>
      </c>
      <c r="BP181" s="67">
        <f>IFERROR(Y181/J181,"0")</f>
        <v>1</v>
      </c>
    </row>
    <row r="182" spans="1:68" ht="27" customHeight="1" x14ac:dyDescent="0.25">
      <c r="A182" s="54" t="s">
        <v>266</v>
      </c>
      <c r="B182" s="54" t="s">
        <v>267</v>
      </c>
      <c r="C182" s="31">
        <v>4301132182</v>
      </c>
      <c r="D182" s="276">
        <v>4607111035721</v>
      </c>
      <c r="E182" s="277"/>
      <c r="F182" s="271">
        <v>0.25</v>
      </c>
      <c r="G182" s="32">
        <v>12</v>
      </c>
      <c r="H182" s="271">
        <v>3</v>
      </c>
      <c r="I182" s="271">
        <v>3.3879999999999999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365</v>
      </c>
      <c r="P182" s="35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2" s="279"/>
      <c r="R182" s="279"/>
      <c r="S182" s="279"/>
      <c r="T182" s="280"/>
      <c r="U182" s="34"/>
      <c r="V182" s="34"/>
      <c r="W182" s="35" t="s">
        <v>69</v>
      </c>
      <c r="X182" s="272">
        <v>28</v>
      </c>
      <c r="Y182" s="273">
        <f>IFERROR(IF(X182="","",X182),"")</f>
        <v>28</v>
      </c>
      <c r="Z182" s="36">
        <f>IFERROR(IF(X182="","",X182*0.01788),"")</f>
        <v>0.50063999999999997</v>
      </c>
      <c r="AA182" s="56"/>
      <c r="AB182" s="57"/>
      <c r="AC182" s="196" t="s">
        <v>268</v>
      </c>
      <c r="AG182" s="67"/>
      <c r="AJ182" s="71" t="s">
        <v>98</v>
      </c>
      <c r="AK182" s="71">
        <v>14</v>
      </c>
      <c r="BB182" s="197" t="s">
        <v>99</v>
      </c>
      <c r="BM182" s="67">
        <f>IFERROR(X182*I182,"0")</f>
        <v>94.864000000000004</v>
      </c>
      <c r="BN182" s="67">
        <f>IFERROR(Y182*I182,"0")</f>
        <v>94.864000000000004</v>
      </c>
      <c r="BO182" s="67">
        <f>IFERROR(X182/J182,"0")</f>
        <v>0.4</v>
      </c>
      <c r="BP182" s="67">
        <f>IFERROR(Y182/J182,"0")</f>
        <v>0.4</v>
      </c>
    </row>
    <row r="183" spans="1:68" ht="27" customHeight="1" x14ac:dyDescent="0.25">
      <c r="A183" s="54" t="s">
        <v>269</v>
      </c>
      <c r="B183" s="54" t="s">
        <v>270</v>
      </c>
      <c r="C183" s="31">
        <v>4301132170</v>
      </c>
      <c r="D183" s="276">
        <v>4607111038487</v>
      </c>
      <c r="E183" s="277"/>
      <c r="F183" s="271">
        <v>0.25</v>
      </c>
      <c r="G183" s="32">
        <v>12</v>
      </c>
      <c r="H183" s="271">
        <v>3</v>
      </c>
      <c r="I183" s="271">
        <v>3.7360000000000002</v>
      </c>
      <c r="J183" s="32">
        <v>70</v>
      </c>
      <c r="K183" s="32" t="s">
        <v>95</v>
      </c>
      <c r="L183" s="32" t="s">
        <v>96</v>
      </c>
      <c r="M183" s="33" t="s">
        <v>68</v>
      </c>
      <c r="N183" s="33"/>
      <c r="O183" s="32">
        <v>180</v>
      </c>
      <c r="P183" s="4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3" s="279"/>
      <c r="R183" s="279"/>
      <c r="S183" s="279"/>
      <c r="T183" s="280"/>
      <c r="U183" s="34"/>
      <c r="V183" s="34"/>
      <c r="W183" s="35" t="s">
        <v>69</v>
      </c>
      <c r="X183" s="272">
        <v>42</v>
      </c>
      <c r="Y183" s="273">
        <f>IFERROR(IF(X183="","",X183),"")</f>
        <v>42</v>
      </c>
      <c r="Z183" s="36">
        <f>IFERROR(IF(X183="","",X183*0.01788),"")</f>
        <v>0.75095999999999996</v>
      </c>
      <c r="AA183" s="56"/>
      <c r="AB183" s="57"/>
      <c r="AC183" s="198" t="s">
        <v>271</v>
      </c>
      <c r="AG183" s="67"/>
      <c r="AJ183" s="71" t="s">
        <v>98</v>
      </c>
      <c r="AK183" s="71">
        <v>14</v>
      </c>
      <c r="BB183" s="199" t="s">
        <v>99</v>
      </c>
      <c r="BM183" s="67">
        <f>IFERROR(X183*I183,"0")</f>
        <v>156.91200000000001</v>
      </c>
      <c r="BN183" s="67">
        <f>IFERROR(Y183*I183,"0")</f>
        <v>156.91200000000001</v>
      </c>
      <c r="BO183" s="67">
        <f>IFERROR(X183/J183,"0")</f>
        <v>0.6</v>
      </c>
      <c r="BP183" s="67">
        <f>IFERROR(Y183/J183,"0")</f>
        <v>0.6</v>
      </c>
    </row>
    <row r="184" spans="1:68" x14ac:dyDescent="0.2">
      <c r="A184" s="294"/>
      <c r="B184" s="290"/>
      <c r="C184" s="290"/>
      <c r="D184" s="290"/>
      <c r="E184" s="290"/>
      <c r="F184" s="290"/>
      <c r="G184" s="290"/>
      <c r="H184" s="290"/>
      <c r="I184" s="290"/>
      <c r="J184" s="290"/>
      <c r="K184" s="290"/>
      <c r="L184" s="290"/>
      <c r="M184" s="290"/>
      <c r="N184" s="290"/>
      <c r="O184" s="295"/>
      <c r="P184" s="282" t="s">
        <v>82</v>
      </c>
      <c r="Q184" s="283"/>
      <c r="R184" s="283"/>
      <c r="S184" s="283"/>
      <c r="T184" s="283"/>
      <c r="U184" s="283"/>
      <c r="V184" s="284"/>
      <c r="W184" s="37" t="s">
        <v>69</v>
      </c>
      <c r="X184" s="274">
        <f>IFERROR(SUM(X181:X183),"0")</f>
        <v>140</v>
      </c>
      <c r="Y184" s="274">
        <f>IFERROR(SUM(Y181:Y183),"0")</f>
        <v>140</v>
      </c>
      <c r="Z184" s="274">
        <f>IFERROR(IF(Z181="",0,Z181),"0")+IFERROR(IF(Z182="",0,Z182),"0")+IFERROR(IF(Z183="",0,Z183),"0")</f>
        <v>2.5032000000000001</v>
      </c>
      <c r="AA184" s="275"/>
      <c r="AB184" s="275"/>
      <c r="AC184" s="275"/>
    </row>
    <row r="185" spans="1:68" x14ac:dyDescent="0.2">
      <c r="A185" s="290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5"/>
      <c r="P185" s="282" t="s">
        <v>82</v>
      </c>
      <c r="Q185" s="283"/>
      <c r="R185" s="283"/>
      <c r="S185" s="283"/>
      <c r="T185" s="283"/>
      <c r="U185" s="283"/>
      <c r="V185" s="284"/>
      <c r="W185" s="37" t="s">
        <v>83</v>
      </c>
      <c r="X185" s="274">
        <f>IFERROR(SUMPRODUCT(X181:X183*H181:H183),"0")</f>
        <v>420</v>
      </c>
      <c r="Y185" s="274">
        <f>IFERROR(SUMPRODUCT(Y181:Y183*H181:H183),"0")</f>
        <v>420</v>
      </c>
      <c r="Z185" s="37"/>
      <c r="AA185" s="275"/>
      <c r="AB185" s="275"/>
      <c r="AC185" s="275"/>
    </row>
    <row r="186" spans="1:68" ht="14.25" customHeight="1" x14ac:dyDescent="0.25">
      <c r="A186" s="293" t="s">
        <v>272</v>
      </c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0"/>
      <c r="P186" s="290"/>
      <c r="Q186" s="290"/>
      <c r="R186" s="290"/>
      <c r="S186" s="290"/>
      <c r="T186" s="290"/>
      <c r="U186" s="290"/>
      <c r="V186" s="290"/>
      <c r="W186" s="290"/>
      <c r="X186" s="290"/>
      <c r="Y186" s="290"/>
      <c r="Z186" s="290"/>
      <c r="AA186" s="268"/>
      <c r="AB186" s="268"/>
      <c r="AC186" s="268"/>
    </row>
    <row r="187" spans="1:68" ht="27" customHeight="1" x14ac:dyDescent="0.25">
      <c r="A187" s="54" t="s">
        <v>273</v>
      </c>
      <c r="B187" s="54" t="s">
        <v>274</v>
      </c>
      <c r="C187" s="31">
        <v>4301051855</v>
      </c>
      <c r="D187" s="276">
        <v>4680115885875</v>
      </c>
      <c r="E187" s="277"/>
      <c r="F187" s="271">
        <v>1</v>
      </c>
      <c r="G187" s="32">
        <v>9</v>
      </c>
      <c r="H187" s="271">
        <v>9</v>
      </c>
      <c r="I187" s="271">
        <v>9.41</v>
      </c>
      <c r="J187" s="32">
        <v>64</v>
      </c>
      <c r="K187" s="32" t="s">
        <v>275</v>
      </c>
      <c r="L187" s="32" t="s">
        <v>67</v>
      </c>
      <c r="M187" s="33" t="s">
        <v>276</v>
      </c>
      <c r="N187" s="33"/>
      <c r="O187" s="32">
        <v>365</v>
      </c>
      <c r="P187" s="345" t="s">
        <v>277</v>
      </c>
      <c r="Q187" s="279"/>
      <c r="R187" s="279"/>
      <c r="S187" s="279"/>
      <c r="T187" s="280"/>
      <c r="U187" s="34"/>
      <c r="V187" s="34"/>
      <c r="W187" s="35" t="s">
        <v>69</v>
      </c>
      <c r="X187" s="272">
        <v>0</v>
      </c>
      <c r="Y187" s="273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278</v>
      </c>
      <c r="AG187" s="67"/>
      <c r="AJ187" s="71" t="s">
        <v>71</v>
      </c>
      <c r="AK187" s="71">
        <v>1</v>
      </c>
      <c r="BB187" s="201" t="s">
        <v>279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94"/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5"/>
      <c r="P188" s="282" t="s">
        <v>82</v>
      </c>
      <c r="Q188" s="283"/>
      <c r="R188" s="283"/>
      <c r="S188" s="283"/>
      <c r="T188" s="283"/>
      <c r="U188" s="283"/>
      <c r="V188" s="284"/>
      <c r="W188" s="37" t="s">
        <v>69</v>
      </c>
      <c r="X188" s="274">
        <f>IFERROR(SUM(X187:X187),"0")</f>
        <v>0</v>
      </c>
      <c r="Y188" s="274">
        <f>IFERROR(SUM(Y187:Y187),"0")</f>
        <v>0</v>
      </c>
      <c r="Z188" s="274">
        <f>IFERROR(IF(Z187="",0,Z187),"0")</f>
        <v>0</v>
      </c>
      <c r="AA188" s="275"/>
      <c r="AB188" s="275"/>
      <c r="AC188" s="275"/>
    </row>
    <row r="189" spans="1:68" x14ac:dyDescent="0.2">
      <c r="A189" s="290"/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5"/>
      <c r="P189" s="282" t="s">
        <v>82</v>
      </c>
      <c r="Q189" s="283"/>
      <c r="R189" s="283"/>
      <c r="S189" s="283"/>
      <c r="T189" s="283"/>
      <c r="U189" s="283"/>
      <c r="V189" s="284"/>
      <c r="W189" s="37" t="s">
        <v>83</v>
      </c>
      <c r="X189" s="274">
        <f>IFERROR(SUMPRODUCT(X187:X187*H187:H187),"0")</f>
        <v>0</v>
      </c>
      <c r="Y189" s="274">
        <f>IFERROR(SUMPRODUCT(Y187:Y187*H187:H187),"0")</f>
        <v>0</v>
      </c>
      <c r="Z189" s="37"/>
      <c r="AA189" s="275"/>
      <c r="AB189" s="275"/>
      <c r="AC189" s="275"/>
    </row>
    <row r="190" spans="1:68" ht="27.75" customHeight="1" x14ac:dyDescent="0.2">
      <c r="A190" s="287" t="s">
        <v>280</v>
      </c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88"/>
      <c r="P190" s="288"/>
      <c r="Q190" s="288"/>
      <c r="R190" s="288"/>
      <c r="S190" s="288"/>
      <c r="T190" s="288"/>
      <c r="U190" s="288"/>
      <c r="V190" s="288"/>
      <c r="W190" s="288"/>
      <c r="X190" s="288"/>
      <c r="Y190" s="288"/>
      <c r="Z190" s="288"/>
      <c r="AA190" s="48"/>
      <c r="AB190" s="48"/>
      <c r="AC190" s="48"/>
    </row>
    <row r="191" spans="1:68" ht="16.5" customHeight="1" x14ac:dyDescent="0.25">
      <c r="A191" s="289" t="s">
        <v>281</v>
      </c>
      <c r="B191" s="290"/>
      <c r="C191" s="290"/>
      <c r="D191" s="290"/>
      <c r="E191" s="290"/>
      <c r="F191" s="290"/>
      <c r="G191" s="290"/>
      <c r="H191" s="290"/>
      <c r="I191" s="290"/>
      <c r="J191" s="290"/>
      <c r="K191" s="290"/>
      <c r="L191" s="290"/>
      <c r="M191" s="290"/>
      <c r="N191" s="290"/>
      <c r="O191" s="290"/>
      <c r="P191" s="290"/>
      <c r="Q191" s="290"/>
      <c r="R191" s="290"/>
      <c r="S191" s="290"/>
      <c r="T191" s="290"/>
      <c r="U191" s="290"/>
      <c r="V191" s="290"/>
      <c r="W191" s="290"/>
      <c r="X191" s="290"/>
      <c r="Y191" s="290"/>
      <c r="Z191" s="290"/>
      <c r="AA191" s="267"/>
      <c r="AB191" s="267"/>
      <c r="AC191" s="267"/>
    </row>
    <row r="192" spans="1:68" ht="14.25" customHeight="1" x14ac:dyDescent="0.25">
      <c r="A192" s="293" t="s">
        <v>92</v>
      </c>
      <c r="B192" s="290"/>
      <c r="C192" s="290"/>
      <c r="D192" s="290"/>
      <c r="E192" s="290"/>
      <c r="F192" s="290"/>
      <c r="G192" s="290"/>
      <c r="H192" s="290"/>
      <c r="I192" s="290"/>
      <c r="J192" s="290"/>
      <c r="K192" s="290"/>
      <c r="L192" s="290"/>
      <c r="M192" s="290"/>
      <c r="N192" s="290"/>
      <c r="O192" s="290"/>
      <c r="P192" s="290"/>
      <c r="Q192" s="290"/>
      <c r="R192" s="290"/>
      <c r="S192" s="290"/>
      <c r="T192" s="290"/>
      <c r="U192" s="290"/>
      <c r="V192" s="290"/>
      <c r="W192" s="290"/>
      <c r="X192" s="290"/>
      <c r="Y192" s="290"/>
      <c r="Z192" s="290"/>
      <c r="AA192" s="268"/>
      <c r="AB192" s="268"/>
      <c r="AC192" s="268"/>
    </row>
    <row r="193" spans="1:68" ht="27" customHeight="1" x14ac:dyDescent="0.25">
      <c r="A193" s="54" t="s">
        <v>282</v>
      </c>
      <c r="B193" s="54" t="s">
        <v>283</v>
      </c>
      <c r="C193" s="31">
        <v>4301132227</v>
      </c>
      <c r="D193" s="276">
        <v>4620207491133</v>
      </c>
      <c r="E193" s="277"/>
      <c r="F193" s="271">
        <v>0.23</v>
      </c>
      <c r="G193" s="32">
        <v>12</v>
      </c>
      <c r="H193" s="271">
        <v>2.76</v>
      </c>
      <c r="I193" s="271">
        <v>2.98</v>
      </c>
      <c r="J193" s="32">
        <v>70</v>
      </c>
      <c r="K193" s="32" t="s">
        <v>95</v>
      </c>
      <c r="L193" s="32" t="s">
        <v>96</v>
      </c>
      <c r="M193" s="33" t="s">
        <v>68</v>
      </c>
      <c r="N193" s="33"/>
      <c r="O193" s="32">
        <v>180</v>
      </c>
      <c r="P193" s="41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79"/>
      <c r="R193" s="279"/>
      <c r="S193" s="279"/>
      <c r="T193" s="280"/>
      <c r="U193" s="34"/>
      <c r="V193" s="34"/>
      <c r="W193" s="35" t="s">
        <v>69</v>
      </c>
      <c r="X193" s="272">
        <v>14</v>
      </c>
      <c r="Y193" s="273">
        <f>IFERROR(IF(X193="","",X193),"")</f>
        <v>14</v>
      </c>
      <c r="Z193" s="36">
        <f>IFERROR(IF(X193="","",X193*0.01788),"")</f>
        <v>0.25031999999999999</v>
      </c>
      <c r="AA193" s="56"/>
      <c r="AB193" s="57"/>
      <c r="AC193" s="202" t="s">
        <v>284</v>
      </c>
      <c r="AG193" s="67"/>
      <c r="AJ193" s="71" t="s">
        <v>98</v>
      </c>
      <c r="AK193" s="71">
        <v>14</v>
      </c>
      <c r="BB193" s="203" t="s">
        <v>99</v>
      </c>
      <c r="BM193" s="67">
        <f>IFERROR(X193*I193,"0")</f>
        <v>41.72</v>
      </c>
      <c r="BN193" s="67">
        <f>IFERROR(Y193*I193,"0")</f>
        <v>41.72</v>
      </c>
      <c r="BO193" s="67">
        <f>IFERROR(X193/J193,"0")</f>
        <v>0.2</v>
      </c>
      <c r="BP193" s="67">
        <f>IFERROR(Y193/J193,"0")</f>
        <v>0.2</v>
      </c>
    </row>
    <row r="194" spans="1:68" x14ac:dyDescent="0.2">
      <c r="A194" s="294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5"/>
      <c r="P194" s="282" t="s">
        <v>82</v>
      </c>
      <c r="Q194" s="283"/>
      <c r="R194" s="283"/>
      <c r="S194" s="283"/>
      <c r="T194" s="283"/>
      <c r="U194" s="283"/>
      <c r="V194" s="284"/>
      <c r="W194" s="37" t="s">
        <v>69</v>
      </c>
      <c r="X194" s="274">
        <f>IFERROR(SUM(X193:X193),"0")</f>
        <v>14</v>
      </c>
      <c r="Y194" s="274">
        <f>IFERROR(SUM(Y193:Y193),"0")</f>
        <v>14</v>
      </c>
      <c r="Z194" s="274">
        <f>IFERROR(IF(Z193="",0,Z193),"0")</f>
        <v>0.25031999999999999</v>
      </c>
      <c r="AA194" s="275"/>
      <c r="AB194" s="275"/>
      <c r="AC194" s="275"/>
    </row>
    <row r="195" spans="1:68" x14ac:dyDescent="0.2">
      <c r="A195" s="290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5"/>
      <c r="P195" s="282" t="s">
        <v>82</v>
      </c>
      <c r="Q195" s="283"/>
      <c r="R195" s="283"/>
      <c r="S195" s="283"/>
      <c r="T195" s="283"/>
      <c r="U195" s="283"/>
      <c r="V195" s="284"/>
      <c r="W195" s="37" t="s">
        <v>83</v>
      </c>
      <c r="X195" s="274">
        <f>IFERROR(SUMPRODUCT(X193:X193*H193:H193),"0")</f>
        <v>38.64</v>
      </c>
      <c r="Y195" s="274">
        <f>IFERROR(SUMPRODUCT(Y193:Y193*H193:H193),"0")</f>
        <v>38.64</v>
      </c>
      <c r="Z195" s="37"/>
      <c r="AA195" s="275"/>
      <c r="AB195" s="275"/>
      <c r="AC195" s="275"/>
    </row>
    <row r="196" spans="1:68" ht="14.25" customHeight="1" x14ac:dyDescent="0.25">
      <c r="A196" s="293" t="s">
        <v>136</v>
      </c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0"/>
      <c r="P196" s="290"/>
      <c r="Q196" s="290"/>
      <c r="R196" s="290"/>
      <c r="S196" s="290"/>
      <c r="T196" s="290"/>
      <c r="U196" s="290"/>
      <c r="V196" s="290"/>
      <c r="W196" s="290"/>
      <c r="X196" s="290"/>
      <c r="Y196" s="290"/>
      <c r="Z196" s="290"/>
      <c r="AA196" s="268"/>
      <c r="AB196" s="268"/>
      <c r="AC196" s="268"/>
    </row>
    <row r="197" spans="1:68" ht="27" customHeight="1" x14ac:dyDescent="0.25">
      <c r="A197" s="54" t="s">
        <v>285</v>
      </c>
      <c r="B197" s="54" t="s">
        <v>286</v>
      </c>
      <c r="C197" s="31">
        <v>4301135834</v>
      </c>
      <c r="D197" s="276">
        <v>4620207491188</v>
      </c>
      <c r="E197" s="277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6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79"/>
      <c r="R197" s="279"/>
      <c r="S197" s="279"/>
      <c r="T197" s="280"/>
      <c r="U197" s="34"/>
      <c r="V197" s="34"/>
      <c r="W197" s="35" t="s">
        <v>69</v>
      </c>
      <c r="X197" s="272">
        <v>0</v>
      </c>
      <c r="Y197" s="273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287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288</v>
      </c>
      <c r="B198" s="54" t="s">
        <v>289</v>
      </c>
      <c r="C198" s="31">
        <v>4301135707</v>
      </c>
      <c r="D198" s="276">
        <v>4620207490198</v>
      </c>
      <c r="E198" s="277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3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79"/>
      <c r="R198" s="279"/>
      <c r="S198" s="279"/>
      <c r="T198" s="280"/>
      <c r="U198" s="34"/>
      <c r="V198" s="34"/>
      <c r="W198" s="35" t="s">
        <v>69</v>
      </c>
      <c r="X198" s="272">
        <v>14</v>
      </c>
      <c r="Y198" s="273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06" t="s">
        <v>290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43.450400000000002</v>
      </c>
      <c r="BN198" s="67">
        <f>IFERROR(Y198*I198,"0")</f>
        <v>43.450400000000002</v>
      </c>
      <c r="BO198" s="67">
        <f>IFERROR(X198/J198,"0")</f>
        <v>0.2</v>
      </c>
      <c r="BP198" s="67">
        <f>IFERROR(Y198/J198,"0")</f>
        <v>0.2</v>
      </c>
    </row>
    <row r="199" spans="1:68" ht="27" customHeight="1" x14ac:dyDescent="0.25">
      <c r="A199" s="54" t="s">
        <v>291</v>
      </c>
      <c r="B199" s="54" t="s">
        <v>292</v>
      </c>
      <c r="C199" s="31">
        <v>4301135829</v>
      </c>
      <c r="D199" s="276">
        <v>4620207490235</v>
      </c>
      <c r="E199" s="277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50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79"/>
      <c r="R199" s="279"/>
      <c r="S199" s="279"/>
      <c r="T199" s="280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293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294</v>
      </c>
      <c r="B200" s="54" t="s">
        <v>295</v>
      </c>
      <c r="C200" s="31">
        <v>4301135697</v>
      </c>
      <c r="D200" s="276">
        <v>4620207490259</v>
      </c>
      <c r="E200" s="277"/>
      <c r="F200" s="271">
        <v>0.2</v>
      </c>
      <c r="G200" s="32">
        <v>12</v>
      </c>
      <c r="H200" s="271">
        <v>2.4</v>
      </c>
      <c r="I200" s="271">
        <v>3.1036000000000001</v>
      </c>
      <c r="J200" s="32">
        <v>70</v>
      </c>
      <c r="K200" s="32" t="s">
        <v>95</v>
      </c>
      <c r="L200" s="32" t="s">
        <v>96</v>
      </c>
      <c r="M200" s="33" t="s">
        <v>68</v>
      </c>
      <c r="N200" s="33"/>
      <c r="O200" s="32">
        <v>180</v>
      </c>
      <c r="P200" s="45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79"/>
      <c r="R200" s="279"/>
      <c r="S200" s="279"/>
      <c r="T200" s="280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290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customHeight="1" x14ac:dyDescent="0.25">
      <c r="A201" s="54" t="s">
        <v>296</v>
      </c>
      <c r="B201" s="54" t="s">
        <v>297</v>
      </c>
      <c r="C201" s="31">
        <v>4301135681</v>
      </c>
      <c r="D201" s="276">
        <v>4620207490143</v>
      </c>
      <c r="E201" s="277"/>
      <c r="F201" s="271">
        <v>0.22</v>
      </c>
      <c r="G201" s="32">
        <v>12</v>
      </c>
      <c r="H201" s="271">
        <v>2.64</v>
      </c>
      <c r="I201" s="271">
        <v>3.3435999999999999</v>
      </c>
      <c r="J201" s="32">
        <v>70</v>
      </c>
      <c r="K201" s="32" t="s">
        <v>95</v>
      </c>
      <c r="L201" s="32" t="s">
        <v>67</v>
      </c>
      <c r="M201" s="33" t="s">
        <v>68</v>
      </c>
      <c r="N201" s="33"/>
      <c r="O201" s="32">
        <v>180</v>
      </c>
      <c r="P201" s="428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79"/>
      <c r="R201" s="279"/>
      <c r="S201" s="279"/>
      <c r="T201" s="280"/>
      <c r="U201" s="34"/>
      <c r="V201" s="34"/>
      <c r="W201" s="35" t="s">
        <v>69</v>
      </c>
      <c r="X201" s="272">
        <v>0</v>
      </c>
      <c r="Y201" s="273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298</v>
      </c>
      <c r="AG201" s="67"/>
      <c r="AJ201" s="71" t="s">
        <v>71</v>
      </c>
      <c r="AK201" s="71">
        <v>1</v>
      </c>
      <c r="BB201" s="213" t="s">
        <v>99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294"/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5"/>
      <c r="P202" s="282" t="s">
        <v>82</v>
      </c>
      <c r="Q202" s="283"/>
      <c r="R202" s="283"/>
      <c r="S202" s="283"/>
      <c r="T202" s="283"/>
      <c r="U202" s="283"/>
      <c r="V202" s="284"/>
      <c r="W202" s="37" t="s">
        <v>69</v>
      </c>
      <c r="X202" s="274">
        <f>IFERROR(SUM(X197:X201),"0")</f>
        <v>14</v>
      </c>
      <c r="Y202" s="274">
        <f>IFERROR(SUM(Y197:Y201),"0")</f>
        <v>14</v>
      </c>
      <c r="Z202" s="274">
        <f>IFERROR(IF(Z197="",0,Z197),"0")+IFERROR(IF(Z198="",0,Z198),"0")+IFERROR(IF(Z199="",0,Z199),"0")+IFERROR(IF(Z200="",0,Z200),"0")+IFERROR(IF(Z201="",0,Z201),"0")</f>
        <v>0.25031999999999999</v>
      </c>
      <c r="AA202" s="275"/>
      <c r="AB202" s="275"/>
      <c r="AC202" s="275"/>
    </row>
    <row r="203" spans="1:68" x14ac:dyDescent="0.2">
      <c r="A203" s="290"/>
      <c r="B203" s="290"/>
      <c r="C203" s="290"/>
      <c r="D203" s="290"/>
      <c r="E203" s="290"/>
      <c r="F203" s="290"/>
      <c r="G203" s="290"/>
      <c r="H203" s="290"/>
      <c r="I203" s="290"/>
      <c r="J203" s="290"/>
      <c r="K203" s="290"/>
      <c r="L203" s="290"/>
      <c r="M203" s="290"/>
      <c r="N203" s="290"/>
      <c r="O203" s="295"/>
      <c r="P203" s="282" t="s">
        <v>82</v>
      </c>
      <c r="Q203" s="283"/>
      <c r="R203" s="283"/>
      <c r="S203" s="283"/>
      <c r="T203" s="283"/>
      <c r="U203" s="283"/>
      <c r="V203" s="284"/>
      <c r="W203" s="37" t="s">
        <v>83</v>
      </c>
      <c r="X203" s="274">
        <f>IFERROR(SUMPRODUCT(X197:X201*H197:H201),"0")</f>
        <v>33.6</v>
      </c>
      <c r="Y203" s="274">
        <f>IFERROR(SUMPRODUCT(Y197:Y201*H197:H201),"0")</f>
        <v>33.6</v>
      </c>
      <c r="Z203" s="37"/>
      <c r="AA203" s="275"/>
      <c r="AB203" s="275"/>
      <c r="AC203" s="275"/>
    </row>
    <row r="204" spans="1:68" ht="16.5" customHeight="1" x14ac:dyDescent="0.25">
      <c r="A204" s="289" t="s">
        <v>299</v>
      </c>
      <c r="B204" s="290"/>
      <c r="C204" s="290"/>
      <c r="D204" s="290"/>
      <c r="E204" s="290"/>
      <c r="F204" s="290"/>
      <c r="G204" s="290"/>
      <c r="H204" s="290"/>
      <c r="I204" s="290"/>
      <c r="J204" s="290"/>
      <c r="K204" s="290"/>
      <c r="L204" s="290"/>
      <c r="M204" s="290"/>
      <c r="N204" s="290"/>
      <c r="O204" s="290"/>
      <c r="P204" s="290"/>
      <c r="Q204" s="290"/>
      <c r="R204" s="290"/>
      <c r="S204" s="290"/>
      <c r="T204" s="290"/>
      <c r="U204" s="290"/>
      <c r="V204" s="290"/>
      <c r="W204" s="290"/>
      <c r="X204" s="290"/>
      <c r="Y204" s="290"/>
      <c r="Z204" s="290"/>
      <c r="AA204" s="267"/>
      <c r="AB204" s="267"/>
      <c r="AC204" s="267"/>
    </row>
    <row r="205" spans="1:68" ht="14.25" customHeight="1" x14ac:dyDescent="0.25">
      <c r="A205" s="293" t="s">
        <v>63</v>
      </c>
      <c r="B205" s="290"/>
      <c r="C205" s="290"/>
      <c r="D205" s="290"/>
      <c r="E205" s="290"/>
      <c r="F205" s="290"/>
      <c r="G205" s="290"/>
      <c r="H205" s="290"/>
      <c r="I205" s="290"/>
      <c r="J205" s="290"/>
      <c r="K205" s="290"/>
      <c r="L205" s="290"/>
      <c r="M205" s="290"/>
      <c r="N205" s="290"/>
      <c r="O205" s="290"/>
      <c r="P205" s="290"/>
      <c r="Q205" s="290"/>
      <c r="R205" s="290"/>
      <c r="S205" s="290"/>
      <c r="T205" s="290"/>
      <c r="U205" s="290"/>
      <c r="V205" s="290"/>
      <c r="W205" s="290"/>
      <c r="X205" s="290"/>
      <c r="Y205" s="290"/>
      <c r="Z205" s="290"/>
      <c r="AA205" s="268"/>
      <c r="AB205" s="268"/>
      <c r="AC205" s="268"/>
    </row>
    <row r="206" spans="1:68" ht="27" customHeight="1" x14ac:dyDescent="0.25">
      <c r="A206" s="54" t="s">
        <v>300</v>
      </c>
      <c r="B206" s="54" t="s">
        <v>301</v>
      </c>
      <c r="C206" s="31">
        <v>4301071097</v>
      </c>
      <c r="D206" s="276">
        <v>4620207491096</v>
      </c>
      <c r="E206" s="277"/>
      <c r="F206" s="271">
        <v>1</v>
      </c>
      <c r="G206" s="32">
        <v>5</v>
      </c>
      <c r="H206" s="271">
        <v>5</v>
      </c>
      <c r="I206" s="271">
        <v>5.23</v>
      </c>
      <c r="J206" s="32">
        <v>84</v>
      </c>
      <c r="K206" s="32" t="s">
        <v>66</v>
      </c>
      <c r="L206" s="32" t="s">
        <v>96</v>
      </c>
      <c r="M206" s="33" t="s">
        <v>68</v>
      </c>
      <c r="N206" s="33"/>
      <c r="O206" s="32">
        <v>180</v>
      </c>
      <c r="P206" s="39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79"/>
      <c r="R206" s="279"/>
      <c r="S206" s="279"/>
      <c r="T206" s="280"/>
      <c r="U206" s="34"/>
      <c r="V206" s="34"/>
      <c r="W206" s="35" t="s">
        <v>69</v>
      </c>
      <c r="X206" s="272">
        <v>84</v>
      </c>
      <c r="Y206" s="273">
        <f>IFERROR(IF(X206="","",X206),"")</f>
        <v>84</v>
      </c>
      <c r="Z206" s="36">
        <f>IFERROR(IF(X206="","",X206*0.0155),"")</f>
        <v>1.302</v>
      </c>
      <c r="AA206" s="56"/>
      <c r="AB206" s="57"/>
      <c r="AC206" s="214" t="s">
        <v>302</v>
      </c>
      <c r="AG206" s="67"/>
      <c r="AJ206" s="71" t="s">
        <v>98</v>
      </c>
      <c r="AK206" s="71">
        <v>12</v>
      </c>
      <c r="BB206" s="215" t="s">
        <v>1</v>
      </c>
      <c r="BM206" s="67">
        <f>IFERROR(X206*I206,"0")</f>
        <v>439.32000000000005</v>
      </c>
      <c r="BN206" s="67">
        <f>IFERROR(Y206*I206,"0")</f>
        <v>439.32000000000005</v>
      </c>
      <c r="BO206" s="67">
        <f>IFERROR(X206/J206,"0")</f>
        <v>1</v>
      </c>
      <c r="BP206" s="67">
        <f>IFERROR(Y206/J206,"0")</f>
        <v>1</v>
      </c>
    </row>
    <row r="207" spans="1:68" x14ac:dyDescent="0.2">
      <c r="A207" s="294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5"/>
      <c r="P207" s="282" t="s">
        <v>82</v>
      </c>
      <c r="Q207" s="283"/>
      <c r="R207" s="283"/>
      <c r="S207" s="283"/>
      <c r="T207" s="283"/>
      <c r="U207" s="283"/>
      <c r="V207" s="284"/>
      <c r="W207" s="37" t="s">
        <v>69</v>
      </c>
      <c r="X207" s="274">
        <f>IFERROR(SUM(X206:X206),"0")</f>
        <v>84</v>
      </c>
      <c r="Y207" s="274">
        <f>IFERROR(SUM(Y206:Y206),"0")</f>
        <v>84</v>
      </c>
      <c r="Z207" s="274">
        <f>IFERROR(IF(Z206="",0,Z206),"0")</f>
        <v>1.302</v>
      </c>
      <c r="AA207" s="275"/>
      <c r="AB207" s="275"/>
      <c r="AC207" s="275"/>
    </row>
    <row r="208" spans="1:68" x14ac:dyDescent="0.2">
      <c r="A208" s="290"/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5"/>
      <c r="P208" s="282" t="s">
        <v>82</v>
      </c>
      <c r="Q208" s="283"/>
      <c r="R208" s="283"/>
      <c r="S208" s="283"/>
      <c r="T208" s="283"/>
      <c r="U208" s="283"/>
      <c r="V208" s="284"/>
      <c r="W208" s="37" t="s">
        <v>83</v>
      </c>
      <c r="X208" s="274">
        <f>IFERROR(SUMPRODUCT(X206:X206*H206:H206),"0")</f>
        <v>420</v>
      </c>
      <c r="Y208" s="274">
        <f>IFERROR(SUMPRODUCT(Y206:Y206*H206:H206),"0")</f>
        <v>420</v>
      </c>
      <c r="Z208" s="37"/>
      <c r="AA208" s="275"/>
      <c r="AB208" s="275"/>
      <c r="AC208" s="275"/>
    </row>
    <row r="209" spans="1:68" ht="16.5" customHeight="1" x14ac:dyDescent="0.25">
      <c r="A209" s="289" t="s">
        <v>303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67"/>
      <c r="AB209" s="267"/>
      <c r="AC209" s="267"/>
    </row>
    <row r="210" spans="1:68" ht="14.25" customHeight="1" x14ac:dyDescent="0.25">
      <c r="A210" s="293" t="s">
        <v>63</v>
      </c>
      <c r="B210" s="290"/>
      <c r="C210" s="290"/>
      <c r="D210" s="290"/>
      <c r="E210" s="290"/>
      <c r="F210" s="290"/>
      <c r="G210" s="290"/>
      <c r="H210" s="290"/>
      <c r="I210" s="290"/>
      <c r="J210" s="290"/>
      <c r="K210" s="290"/>
      <c r="L210" s="290"/>
      <c r="M210" s="290"/>
      <c r="N210" s="290"/>
      <c r="O210" s="290"/>
      <c r="P210" s="290"/>
      <c r="Q210" s="290"/>
      <c r="R210" s="290"/>
      <c r="S210" s="290"/>
      <c r="T210" s="290"/>
      <c r="U210" s="290"/>
      <c r="V210" s="290"/>
      <c r="W210" s="290"/>
      <c r="X210" s="290"/>
      <c r="Y210" s="290"/>
      <c r="Z210" s="290"/>
      <c r="AA210" s="268"/>
      <c r="AB210" s="268"/>
      <c r="AC210" s="268"/>
    </row>
    <row r="211" spans="1:68" ht="27" customHeight="1" x14ac:dyDescent="0.25">
      <c r="A211" s="54" t="s">
        <v>304</v>
      </c>
      <c r="B211" s="54" t="s">
        <v>305</v>
      </c>
      <c r="C211" s="31">
        <v>4301071093</v>
      </c>
      <c r="D211" s="276">
        <v>4620207490709</v>
      </c>
      <c r="E211" s="277"/>
      <c r="F211" s="271">
        <v>0.65</v>
      </c>
      <c r="G211" s="32">
        <v>8</v>
      </c>
      <c r="H211" s="271">
        <v>5.2</v>
      </c>
      <c r="I211" s="271">
        <v>5.47</v>
      </c>
      <c r="J211" s="32">
        <v>84</v>
      </c>
      <c r="K211" s="32" t="s">
        <v>66</v>
      </c>
      <c r="L211" s="32" t="s">
        <v>67</v>
      </c>
      <c r="M211" s="33" t="s">
        <v>68</v>
      </c>
      <c r="N211" s="33"/>
      <c r="O211" s="32">
        <v>180</v>
      </c>
      <c r="P211" s="386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1" s="279"/>
      <c r="R211" s="279"/>
      <c r="S211" s="279"/>
      <c r="T211" s="280"/>
      <c r="U211" s="34"/>
      <c r="V211" s="34"/>
      <c r="W211" s="35" t="s">
        <v>69</v>
      </c>
      <c r="X211" s="272">
        <v>0</v>
      </c>
      <c r="Y211" s="273">
        <f>IFERROR(IF(X211="","",X211),"")</f>
        <v>0</v>
      </c>
      <c r="Z211" s="36">
        <f>IFERROR(IF(X211="","",X211*0.0155),"")</f>
        <v>0</v>
      </c>
      <c r="AA211" s="56"/>
      <c r="AB211" s="57"/>
      <c r="AC211" s="216" t="s">
        <v>306</v>
      </c>
      <c r="AG211" s="67"/>
      <c r="AJ211" s="71" t="s">
        <v>71</v>
      </c>
      <c r="AK211" s="71">
        <v>1</v>
      </c>
      <c r="BB211" s="217" t="s">
        <v>1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94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5"/>
      <c r="P212" s="282" t="s">
        <v>82</v>
      </c>
      <c r="Q212" s="283"/>
      <c r="R212" s="283"/>
      <c r="S212" s="283"/>
      <c r="T212" s="283"/>
      <c r="U212" s="283"/>
      <c r="V212" s="284"/>
      <c r="W212" s="37" t="s">
        <v>69</v>
      </c>
      <c r="X212" s="274">
        <f>IFERROR(SUM(X211:X211),"0")</f>
        <v>0</v>
      </c>
      <c r="Y212" s="274">
        <f>IFERROR(SUM(Y211:Y211),"0")</f>
        <v>0</v>
      </c>
      <c r="Z212" s="274">
        <f>IFERROR(IF(Z211="",0,Z211),"0")</f>
        <v>0</v>
      </c>
      <c r="AA212" s="275"/>
      <c r="AB212" s="275"/>
      <c r="AC212" s="275"/>
    </row>
    <row r="213" spans="1:68" x14ac:dyDescent="0.2">
      <c r="A213" s="290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5"/>
      <c r="P213" s="282" t="s">
        <v>82</v>
      </c>
      <c r="Q213" s="283"/>
      <c r="R213" s="283"/>
      <c r="S213" s="283"/>
      <c r="T213" s="283"/>
      <c r="U213" s="283"/>
      <c r="V213" s="284"/>
      <c r="W213" s="37" t="s">
        <v>83</v>
      </c>
      <c r="X213" s="274">
        <f>IFERROR(SUMPRODUCT(X211:X211*H211:H211),"0")</f>
        <v>0</v>
      </c>
      <c r="Y213" s="274">
        <f>IFERROR(SUMPRODUCT(Y211:Y211*H211:H211),"0")</f>
        <v>0</v>
      </c>
      <c r="Z213" s="37"/>
      <c r="AA213" s="275"/>
      <c r="AB213" s="275"/>
      <c r="AC213" s="275"/>
    </row>
    <row r="214" spans="1:68" ht="14.25" customHeight="1" x14ac:dyDescent="0.25">
      <c r="A214" s="293" t="s">
        <v>136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68"/>
      <c r="AB214" s="268"/>
      <c r="AC214" s="268"/>
    </row>
    <row r="215" spans="1:68" ht="27" customHeight="1" x14ac:dyDescent="0.25">
      <c r="A215" s="54" t="s">
        <v>307</v>
      </c>
      <c r="B215" s="54" t="s">
        <v>308</v>
      </c>
      <c r="C215" s="31">
        <v>4301135691</v>
      </c>
      <c r="D215" s="276">
        <v>4620207490549</v>
      </c>
      <c r="E215" s="277"/>
      <c r="F215" s="271">
        <v>0.2</v>
      </c>
      <c r="G215" s="32">
        <v>12</v>
      </c>
      <c r="H215" s="271">
        <v>2.4</v>
      </c>
      <c r="I215" s="271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300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279"/>
      <c r="R215" s="279"/>
      <c r="S215" s="279"/>
      <c r="T215" s="280"/>
      <c r="U215" s="34"/>
      <c r="V215" s="34"/>
      <c r="W215" s="35" t="s">
        <v>69</v>
      </c>
      <c r="X215" s="272">
        <v>0</v>
      </c>
      <c r="Y215" s="273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309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customHeight="1" x14ac:dyDescent="0.25">
      <c r="A216" s="54" t="s">
        <v>310</v>
      </c>
      <c r="B216" s="54" t="s">
        <v>311</v>
      </c>
      <c r="C216" s="31">
        <v>4301135694</v>
      </c>
      <c r="D216" s="276">
        <v>4620207490501</v>
      </c>
      <c r="E216" s="277"/>
      <c r="F216" s="271">
        <v>0.2</v>
      </c>
      <c r="G216" s="32">
        <v>12</v>
      </c>
      <c r="H216" s="271">
        <v>2.4</v>
      </c>
      <c r="I216" s="271">
        <v>3.1036000000000001</v>
      </c>
      <c r="J216" s="32">
        <v>70</v>
      </c>
      <c r="K216" s="32" t="s">
        <v>95</v>
      </c>
      <c r="L216" s="32" t="s">
        <v>67</v>
      </c>
      <c r="M216" s="33" t="s">
        <v>68</v>
      </c>
      <c r="N216" s="33"/>
      <c r="O216" s="32">
        <v>180</v>
      </c>
      <c r="P216" s="38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279"/>
      <c r="R216" s="279"/>
      <c r="S216" s="279"/>
      <c r="T216" s="280"/>
      <c r="U216" s="34"/>
      <c r="V216" s="34"/>
      <c r="W216" s="35" t="s">
        <v>69</v>
      </c>
      <c r="X216" s="272">
        <v>0</v>
      </c>
      <c r="Y216" s="273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309</v>
      </c>
      <c r="AG216" s="67"/>
      <c r="AJ216" s="71" t="s">
        <v>71</v>
      </c>
      <c r="AK216" s="71">
        <v>1</v>
      </c>
      <c r="BB216" s="221" t="s">
        <v>99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x14ac:dyDescent="0.2">
      <c r="A217" s="294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5"/>
      <c r="P217" s="282" t="s">
        <v>82</v>
      </c>
      <c r="Q217" s="283"/>
      <c r="R217" s="283"/>
      <c r="S217" s="283"/>
      <c r="T217" s="283"/>
      <c r="U217" s="283"/>
      <c r="V217" s="284"/>
      <c r="W217" s="37" t="s">
        <v>69</v>
      </c>
      <c r="X217" s="274">
        <f>IFERROR(SUM(X215:X216),"0")</f>
        <v>0</v>
      </c>
      <c r="Y217" s="274">
        <f>IFERROR(SUM(Y215:Y216),"0")</f>
        <v>0</v>
      </c>
      <c r="Z217" s="274">
        <f>IFERROR(IF(Z215="",0,Z215),"0")+IFERROR(IF(Z216="",0,Z216),"0")</f>
        <v>0</v>
      </c>
      <c r="AA217" s="275"/>
      <c r="AB217" s="275"/>
      <c r="AC217" s="275"/>
    </row>
    <row r="218" spans="1:68" x14ac:dyDescent="0.2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5"/>
      <c r="P218" s="282" t="s">
        <v>82</v>
      </c>
      <c r="Q218" s="283"/>
      <c r="R218" s="283"/>
      <c r="S218" s="283"/>
      <c r="T218" s="283"/>
      <c r="U218" s="283"/>
      <c r="V218" s="284"/>
      <c r="W218" s="37" t="s">
        <v>83</v>
      </c>
      <c r="X218" s="274">
        <f>IFERROR(SUMPRODUCT(X215:X216*H215:H216),"0")</f>
        <v>0</v>
      </c>
      <c r="Y218" s="274">
        <f>IFERROR(SUMPRODUCT(Y215:Y216*H215:H216),"0")</f>
        <v>0</v>
      </c>
      <c r="Z218" s="37"/>
      <c r="AA218" s="275"/>
      <c r="AB218" s="275"/>
      <c r="AC218" s="275"/>
    </row>
    <row r="219" spans="1:68" ht="27.75" customHeight="1" x14ac:dyDescent="0.2">
      <c r="A219" s="287" t="s">
        <v>312</v>
      </c>
      <c r="B219" s="288"/>
      <c r="C219" s="288"/>
      <c r="D219" s="288"/>
      <c r="E219" s="288"/>
      <c r="F219" s="288"/>
      <c r="G219" s="288"/>
      <c r="H219" s="288"/>
      <c r="I219" s="288"/>
      <c r="J219" s="288"/>
      <c r="K219" s="288"/>
      <c r="L219" s="288"/>
      <c r="M219" s="288"/>
      <c r="N219" s="288"/>
      <c r="O219" s="288"/>
      <c r="P219" s="288"/>
      <c r="Q219" s="288"/>
      <c r="R219" s="288"/>
      <c r="S219" s="288"/>
      <c r="T219" s="288"/>
      <c r="U219" s="288"/>
      <c r="V219" s="288"/>
      <c r="W219" s="288"/>
      <c r="X219" s="288"/>
      <c r="Y219" s="288"/>
      <c r="Z219" s="288"/>
      <c r="AA219" s="48"/>
      <c r="AB219" s="48"/>
      <c r="AC219" s="48"/>
    </row>
    <row r="220" spans="1:68" ht="16.5" customHeight="1" x14ac:dyDescent="0.25">
      <c r="A220" s="289" t="s">
        <v>313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67"/>
      <c r="AB220" s="267"/>
      <c r="AC220" s="267"/>
    </row>
    <row r="221" spans="1:68" ht="14.25" customHeight="1" x14ac:dyDescent="0.25">
      <c r="A221" s="293" t="s">
        <v>63</v>
      </c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0"/>
      <c r="P221" s="290"/>
      <c r="Q221" s="290"/>
      <c r="R221" s="290"/>
      <c r="S221" s="290"/>
      <c r="T221" s="290"/>
      <c r="U221" s="290"/>
      <c r="V221" s="290"/>
      <c r="W221" s="290"/>
      <c r="X221" s="290"/>
      <c r="Y221" s="290"/>
      <c r="Z221" s="290"/>
      <c r="AA221" s="268"/>
      <c r="AB221" s="268"/>
      <c r="AC221" s="268"/>
    </row>
    <row r="222" spans="1:68" ht="27" customHeight="1" x14ac:dyDescent="0.25">
      <c r="A222" s="54" t="s">
        <v>314</v>
      </c>
      <c r="B222" s="54" t="s">
        <v>315</v>
      </c>
      <c r="C222" s="31">
        <v>4301071036</v>
      </c>
      <c r="D222" s="276">
        <v>4607111036162</v>
      </c>
      <c r="E222" s="277"/>
      <c r="F222" s="271">
        <v>0.8</v>
      </c>
      <c r="G222" s="32">
        <v>8</v>
      </c>
      <c r="H222" s="271">
        <v>6.4</v>
      </c>
      <c r="I222" s="271">
        <v>6.6811999999999996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90</v>
      </c>
      <c r="P222" s="41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79"/>
      <c r="R222" s="279"/>
      <c r="S222" s="279"/>
      <c r="T222" s="280"/>
      <c r="U222" s="34"/>
      <c r="V222" s="34"/>
      <c r="W222" s="35" t="s">
        <v>69</v>
      </c>
      <c r="X222" s="272">
        <v>0</v>
      </c>
      <c r="Y222" s="273">
        <f>IFERROR(IF(X222="","",X222),"")</f>
        <v>0</v>
      </c>
      <c r="Z222" s="36">
        <f>IFERROR(IF(X222="","",X222*0.0155),"")</f>
        <v>0</v>
      </c>
      <c r="AA222" s="56"/>
      <c r="AB222" s="57"/>
      <c r="AC222" s="222" t="s">
        <v>316</v>
      </c>
      <c r="AG222" s="67"/>
      <c r="AJ222" s="71" t="s">
        <v>71</v>
      </c>
      <c r="AK222" s="71">
        <v>1</v>
      </c>
      <c r="BB222" s="223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94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5"/>
      <c r="P223" s="282" t="s">
        <v>82</v>
      </c>
      <c r="Q223" s="283"/>
      <c r="R223" s="283"/>
      <c r="S223" s="283"/>
      <c r="T223" s="283"/>
      <c r="U223" s="283"/>
      <c r="V223" s="284"/>
      <c r="W223" s="37" t="s">
        <v>69</v>
      </c>
      <c r="X223" s="274">
        <f>IFERROR(SUM(X222:X222),"0")</f>
        <v>0</v>
      </c>
      <c r="Y223" s="274">
        <f>IFERROR(SUM(Y222:Y222),"0")</f>
        <v>0</v>
      </c>
      <c r="Z223" s="274">
        <f>IFERROR(IF(Z222="",0,Z222),"0")</f>
        <v>0</v>
      </c>
      <c r="AA223" s="275"/>
      <c r="AB223" s="275"/>
      <c r="AC223" s="275"/>
    </row>
    <row r="224" spans="1:68" x14ac:dyDescent="0.2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5"/>
      <c r="P224" s="282" t="s">
        <v>82</v>
      </c>
      <c r="Q224" s="283"/>
      <c r="R224" s="283"/>
      <c r="S224" s="283"/>
      <c r="T224" s="283"/>
      <c r="U224" s="283"/>
      <c r="V224" s="284"/>
      <c r="W224" s="37" t="s">
        <v>83</v>
      </c>
      <c r="X224" s="274">
        <f>IFERROR(SUMPRODUCT(X222:X222*H222:H222),"0")</f>
        <v>0</v>
      </c>
      <c r="Y224" s="274">
        <f>IFERROR(SUMPRODUCT(Y222:Y222*H222:H222),"0")</f>
        <v>0</v>
      </c>
      <c r="Z224" s="37"/>
      <c r="AA224" s="275"/>
      <c r="AB224" s="275"/>
      <c r="AC224" s="275"/>
    </row>
    <row r="225" spans="1:68" ht="27.75" customHeight="1" x14ac:dyDescent="0.2">
      <c r="A225" s="287" t="s">
        <v>317</v>
      </c>
      <c r="B225" s="288"/>
      <c r="C225" s="288"/>
      <c r="D225" s="288"/>
      <c r="E225" s="288"/>
      <c r="F225" s="288"/>
      <c r="G225" s="288"/>
      <c r="H225" s="288"/>
      <c r="I225" s="288"/>
      <c r="J225" s="288"/>
      <c r="K225" s="288"/>
      <c r="L225" s="288"/>
      <c r="M225" s="288"/>
      <c r="N225" s="288"/>
      <c r="O225" s="288"/>
      <c r="P225" s="288"/>
      <c r="Q225" s="288"/>
      <c r="R225" s="288"/>
      <c r="S225" s="288"/>
      <c r="T225" s="288"/>
      <c r="U225" s="288"/>
      <c r="V225" s="288"/>
      <c r="W225" s="288"/>
      <c r="X225" s="288"/>
      <c r="Y225" s="288"/>
      <c r="Z225" s="288"/>
      <c r="AA225" s="48"/>
      <c r="AB225" s="48"/>
      <c r="AC225" s="48"/>
    </row>
    <row r="226" spans="1:68" ht="16.5" customHeight="1" x14ac:dyDescent="0.25">
      <c r="A226" s="289" t="s">
        <v>318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67"/>
      <c r="AB226" s="267"/>
      <c r="AC226" s="267"/>
    </row>
    <row r="227" spans="1:68" ht="14.25" customHeight="1" x14ac:dyDescent="0.25">
      <c r="A227" s="293" t="s">
        <v>63</v>
      </c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0"/>
      <c r="P227" s="290"/>
      <c r="Q227" s="290"/>
      <c r="R227" s="290"/>
      <c r="S227" s="290"/>
      <c r="T227" s="290"/>
      <c r="U227" s="290"/>
      <c r="V227" s="290"/>
      <c r="W227" s="290"/>
      <c r="X227" s="290"/>
      <c r="Y227" s="290"/>
      <c r="Z227" s="290"/>
      <c r="AA227" s="268"/>
      <c r="AB227" s="268"/>
      <c r="AC227" s="268"/>
    </row>
    <row r="228" spans="1:68" ht="27" customHeight="1" x14ac:dyDescent="0.25">
      <c r="A228" s="54" t="s">
        <v>319</v>
      </c>
      <c r="B228" s="54" t="s">
        <v>320</v>
      </c>
      <c r="C228" s="31">
        <v>4301071029</v>
      </c>
      <c r="D228" s="276">
        <v>4607111035899</v>
      </c>
      <c r="E228" s="277"/>
      <c r="F228" s="271">
        <v>1</v>
      </c>
      <c r="G228" s="32">
        <v>5</v>
      </c>
      <c r="H228" s="271">
        <v>5</v>
      </c>
      <c r="I228" s="271">
        <v>5.2619999999999996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180</v>
      </c>
      <c r="P228" s="45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79"/>
      <c r="R228" s="279"/>
      <c r="S228" s="279"/>
      <c r="T228" s="280"/>
      <c r="U228" s="34"/>
      <c r="V228" s="34"/>
      <c r="W228" s="35" t="s">
        <v>69</v>
      </c>
      <c r="X228" s="272">
        <v>0</v>
      </c>
      <c r="Y228" s="273">
        <f>IFERROR(IF(X228="","",X228),"")</f>
        <v>0</v>
      </c>
      <c r="Z228" s="36">
        <f>IFERROR(IF(X228="","",X228*0.0155),"")</f>
        <v>0</v>
      </c>
      <c r="AA228" s="56"/>
      <c r="AB228" s="57"/>
      <c r="AC228" s="224" t="s">
        <v>260</v>
      </c>
      <c r="AG228" s="67"/>
      <c r="AJ228" s="71" t="s">
        <v>71</v>
      </c>
      <c r="AK228" s="71">
        <v>1</v>
      </c>
      <c r="BB228" s="225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94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5"/>
      <c r="P229" s="282" t="s">
        <v>82</v>
      </c>
      <c r="Q229" s="283"/>
      <c r="R229" s="283"/>
      <c r="S229" s="283"/>
      <c r="T229" s="283"/>
      <c r="U229" s="283"/>
      <c r="V229" s="284"/>
      <c r="W229" s="37" t="s">
        <v>69</v>
      </c>
      <c r="X229" s="274">
        <f>IFERROR(SUM(X228:X228),"0")</f>
        <v>0</v>
      </c>
      <c r="Y229" s="274">
        <f>IFERROR(SUM(Y228:Y228),"0")</f>
        <v>0</v>
      </c>
      <c r="Z229" s="274">
        <f>IFERROR(IF(Z228="",0,Z228),"0")</f>
        <v>0</v>
      </c>
      <c r="AA229" s="275"/>
      <c r="AB229" s="275"/>
      <c r="AC229" s="275"/>
    </row>
    <row r="230" spans="1:68" x14ac:dyDescent="0.2">
      <c r="A230" s="290"/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5"/>
      <c r="P230" s="282" t="s">
        <v>82</v>
      </c>
      <c r="Q230" s="283"/>
      <c r="R230" s="283"/>
      <c r="S230" s="283"/>
      <c r="T230" s="283"/>
      <c r="U230" s="283"/>
      <c r="V230" s="284"/>
      <c r="W230" s="37" t="s">
        <v>83</v>
      </c>
      <c r="X230" s="274">
        <f>IFERROR(SUMPRODUCT(X228:X228*H228:H228),"0")</f>
        <v>0</v>
      </c>
      <c r="Y230" s="274">
        <f>IFERROR(SUMPRODUCT(Y228:Y228*H228:H228),"0")</f>
        <v>0</v>
      </c>
      <c r="Z230" s="37"/>
      <c r="AA230" s="275"/>
      <c r="AB230" s="275"/>
      <c r="AC230" s="275"/>
    </row>
    <row r="231" spans="1:68" ht="27.75" customHeight="1" x14ac:dyDescent="0.2">
      <c r="A231" s="287" t="s">
        <v>321</v>
      </c>
      <c r="B231" s="288"/>
      <c r="C231" s="288"/>
      <c r="D231" s="288"/>
      <c r="E231" s="288"/>
      <c r="F231" s="288"/>
      <c r="G231" s="288"/>
      <c r="H231" s="288"/>
      <c r="I231" s="288"/>
      <c r="J231" s="288"/>
      <c r="K231" s="288"/>
      <c r="L231" s="288"/>
      <c r="M231" s="288"/>
      <c r="N231" s="288"/>
      <c r="O231" s="288"/>
      <c r="P231" s="288"/>
      <c r="Q231" s="288"/>
      <c r="R231" s="288"/>
      <c r="S231" s="288"/>
      <c r="T231" s="288"/>
      <c r="U231" s="288"/>
      <c r="V231" s="288"/>
      <c r="W231" s="288"/>
      <c r="X231" s="288"/>
      <c r="Y231" s="288"/>
      <c r="Z231" s="288"/>
      <c r="AA231" s="48"/>
      <c r="AB231" s="48"/>
      <c r="AC231" s="48"/>
    </row>
    <row r="232" spans="1:68" ht="16.5" customHeight="1" x14ac:dyDescent="0.25">
      <c r="A232" s="289" t="s">
        <v>322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67"/>
      <c r="AB232" s="267"/>
      <c r="AC232" s="267"/>
    </row>
    <row r="233" spans="1:68" ht="14.25" customHeight="1" x14ac:dyDescent="0.25">
      <c r="A233" s="293" t="s">
        <v>323</v>
      </c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0"/>
      <c r="P233" s="290"/>
      <c r="Q233" s="290"/>
      <c r="R233" s="290"/>
      <c r="S233" s="290"/>
      <c r="T233" s="290"/>
      <c r="U233" s="290"/>
      <c r="V233" s="290"/>
      <c r="W233" s="290"/>
      <c r="X233" s="290"/>
      <c r="Y233" s="290"/>
      <c r="Z233" s="290"/>
      <c r="AA233" s="268"/>
      <c r="AB233" s="268"/>
      <c r="AC233" s="268"/>
    </row>
    <row r="234" spans="1:68" ht="27" customHeight="1" x14ac:dyDescent="0.25">
      <c r="A234" s="54" t="s">
        <v>324</v>
      </c>
      <c r="B234" s="54" t="s">
        <v>325</v>
      </c>
      <c r="C234" s="31">
        <v>4301133004</v>
      </c>
      <c r="D234" s="276">
        <v>4607111039774</v>
      </c>
      <c r="E234" s="277"/>
      <c r="F234" s="271">
        <v>0.25</v>
      </c>
      <c r="G234" s="32">
        <v>12</v>
      </c>
      <c r="H234" s="271">
        <v>3</v>
      </c>
      <c r="I234" s="271">
        <v>3.22</v>
      </c>
      <c r="J234" s="32">
        <v>70</v>
      </c>
      <c r="K234" s="32" t="s">
        <v>95</v>
      </c>
      <c r="L234" s="32" t="s">
        <v>67</v>
      </c>
      <c r="M234" s="33" t="s">
        <v>68</v>
      </c>
      <c r="N234" s="33"/>
      <c r="O234" s="32">
        <v>180</v>
      </c>
      <c r="P234" s="30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79"/>
      <c r="R234" s="279"/>
      <c r="S234" s="279"/>
      <c r="T234" s="280"/>
      <c r="U234" s="34"/>
      <c r="V234" s="34"/>
      <c r="W234" s="35" t="s">
        <v>69</v>
      </c>
      <c r="X234" s="272">
        <v>0</v>
      </c>
      <c r="Y234" s="273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326</v>
      </c>
      <c r="AG234" s="67"/>
      <c r="AJ234" s="71" t="s">
        <v>71</v>
      </c>
      <c r="AK234" s="71">
        <v>1</v>
      </c>
      <c r="BB234" s="227" t="s">
        <v>99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94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5"/>
      <c r="P235" s="282" t="s">
        <v>82</v>
      </c>
      <c r="Q235" s="283"/>
      <c r="R235" s="283"/>
      <c r="S235" s="283"/>
      <c r="T235" s="283"/>
      <c r="U235" s="283"/>
      <c r="V235" s="284"/>
      <c r="W235" s="37" t="s">
        <v>69</v>
      </c>
      <c r="X235" s="274">
        <f>IFERROR(SUM(X234:X234),"0")</f>
        <v>0</v>
      </c>
      <c r="Y235" s="274">
        <f>IFERROR(SUM(Y234:Y234),"0")</f>
        <v>0</v>
      </c>
      <c r="Z235" s="274">
        <f>IFERROR(IF(Z234="",0,Z234),"0")</f>
        <v>0</v>
      </c>
      <c r="AA235" s="275"/>
      <c r="AB235" s="275"/>
      <c r="AC235" s="275"/>
    </row>
    <row r="236" spans="1:68" x14ac:dyDescent="0.2">
      <c r="A236" s="290"/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5"/>
      <c r="P236" s="282" t="s">
        <v>82</v>
      </c>
      <c r="Q236" s="283"/>
      <c r="R236" s="283"/>
      <c r="S236" s="283"/>
      <c r="T236" s="283"/>
      <c r="U236" s="283"/>
      <c r="V236" s="284"/>
      <c r="W236" s="37" t="s">
        <v>83</v>
      </c>
      <c r="X236" s="274">
        <f>IFERROR(SUMPRODUCT(X234:X234*H234:H234),"0")</f>
        <v>0</v>
      </c>
      <c r="Y236" s="274">
        <f>IFERROR(SUMPRODUCT(Y234:Y234*H234:H234),"0")</f>
        <v>0</v>
      </c>
      <c r="Z236" s="37"/>
      <c r="AA236" s="275"/>
      <c r="AB236" s="275"/>
      <c r="AC236" s="275"/>
    </row>
    <row r="237" spans="1:68" ht="14.25" customHeight="1" x14ac:dyDescent="0.25">
      <c r="A237" s="293" t="s">
        <v>136</v>
      </c>
      <c r="B237" s="290"/>
      <c r="C237" s="290"/>
      <c r="D237" s="290"/>
      <c r="E237" s="290"/>
      <c r="F237" s="290"/>
      <c r="G237" s="290"/>
      <c r="H237" s="290"/>
      <c r="I237" s="290"/>
      <c r="J237" s="290"/>
      <c r="K237" s="290"/>
      <c r="L237" s="290"/>
      <c r="M237" s="290"/>
      <c r="N237" s="290"/>
      <c r="O237" s="290"/>
      <c r="P237" s="290"/>
      <c r="Q237" s="290"/>
      <c r="R237" s="290"/>
      <c r="S237" s="290"/>
      <c r="T237" s="290"/>
      <c r="U237" s="290"/>
      <c r="V237" s="290"/>
      <c r="W237" s="290"/>
      <c r="X237" s="290"/>
      <c r="Y237" s="290"/>
      <c r="Z237" s="290"/>
      <c r="AA237" s="268"/>
      <c r="AB237" s="268"/>
      <c r="AC237" s="268"/>
    </row>
    <row r="238" spans="1:68" ht="37.5" customHeight="1" x14ac:dyDescent="0.25">
      <c r="A238" s="54" t="s">
        <v>327</v>
      </c>
      <c r="B238" s="54" t="s">
        <v>328</v>
      </c>
      <c r="C238" s="31">
        <v>4301135400</v>
      </c>
      <c r="D238" s="276">
        <v>4607111039361</v>
      </c>
      <c r="E238" s="277"/>
      <c r="F238" s="271">
        <v>0.25</v>
      </c>
      <c r="G238" s="32">
        <v>12</v>
      </c>
      <c r="H238" s="271">
        <v>3</v>
      </c>
      <c r="I238" s="271">
        <v>3.7035999999999998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9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79"/>
      <c r="R238" s="279"/>
      <c r="S238" s="279"/>
      <c r="T238" s="280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8" t="s">
        <v>326</v>
      </c>
      <c r="AG238" s="67"/>
      <c r="AJ238" s="71" t="s">
        <v>71</v>
      </c>
      <c r="AK238" s="71">
        <v>1</v>
      </c>
      <c r="BB238" s="229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x14ac:dyDescent="0.2">
      <c r="A239" s="294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5"/>
      <c r="P239" s="282" t="s">
        <v>82</v>
      </c>
      <c r="Q239" s="283"/>
      <c r="R239" s="283"/>
      <c r="S239" s="283"/>
      <c r="T239" s="283"/>
      <c r="U239" s="283"/>
      <c r="V239" s="284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x14ac:dyDescent="0.2">
      <c r="A240" s="290"/>
      <c r="B240" s="290"/>
      <c r="C240" s="290"/>
      <c r="D240" s="290"/>
      <c r="E240" s="290"/>
      <c r="F240" s="290"/>
      <c r="G240" s="290"/>
      <c r="H240" s="290"/>
      <c r="I240" s="290"/>
      <c r="J240" s="290"/>
      <c r="K240" s="290"/>
      <c r="L240" s="290"/>
      <c r="M240" s="290"/>
      <c r="N240" s="290"/>
      <c r="O240" s="295"/>
      <c r="P240" s="282" t="s">
        <v>82</v>
      </c>
      <c r="Q240" s="283"/>
      <c r="R240" s="283"/>
      <c r="S240" s="283"/>
      <c r="T240" s="283"/>
      <c r="U240" s="283"/>
      <c r="V240" s="284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27.75" customHeight="1" x14ac:dyDescent="0.2">
      <c r="A241" s="287" t="s">
        <v>329</v>
      </c>
      <c r="B241" s="288"/>
      <c r="C241" s="288"/>
      <c r="D241" s="288"/>
      <c r="E241" s="288"/>
      <c r="F241" s="288"/>
      <c r="G241" s="288"/>
      <c r="H241" s="288"/>
      <c r="I241" s="288"/>
      <c r="J241" s="288"/>
      <c r="K241" s="288"/>
      <c r="L241" s="288"/>
      <c r="M241" s="288"/>
      <c r="N241" s="288"/>
      <c r="O241" s="288"/>
      <c r="P241" s="288"/>
      <c r="Q241" s="288"/>
      <c r="R241" s="288"/>
      <c r="S241" s="288"/>
      <c r="T241" s="288"/>
      <c r="U241" s="288"/>
      <c r="V241" s="288"/>
      <c r="W241" s="288"/>
      <c r="X241" s="288"/>
      <c r="Y241" s="288"/>
      <c r="Z241" s="288"/>
      <c r="AA241" s="48"/>
      <c r="AB241" s="48"/>
      <c r="AC241" s="48"/>
    </row>
    <row r="242" spans="1:68" ht="16.5" customHeight="1" x14ac:dyDescent="0.25">
      <c r="A242" s="289" t="s">
        <v>329</v>
      </c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0"/>
      <c r="P242" s="290"/>
      <c r="Q242" s="290"/>
      <c r="R242" s="290"/>
      <c r="S242" s="290"/>
      <c r="T242" s="290"/>
      <c r="U242" s="290"/>
      <c r="V242" s="290"/>
      <c r="W242" s="290"/>
      <c r="X242" s="290"/>
      <c r="Y242" s="290"/>
      <c r="Z242" s="290"/>
      <c r="AA242" s="267"/>
      <c r="AB242" s="267"/>
      <c r="AC242" s="267"/>
    </row>
    <row r="243" spans="1:68" ht="14.25" customHeight="1" x14ac:dyDescent="0.25">
      <c r="A243" s="293" t="s">
        <v>63</v>
      </c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0"/>
      <c r="P243" s="290"/>
      <c r="Q243" s="290"/>
      <c r="R243" s="290"/>
      <c r="S243" s="290"/>
      <c r="T243" s="290"/>
      <c r="U243" s="290"/>
      <c r="V243" s="290"/>
      <c r="W243" s="290"/>
      <c r="X243" s="290"/>
      <c r="Y243" s="290"/>
      <c r="Z243" s="290"/>
      <c r="AA243" s="268"/>
      <c r="AB243" s="268"/>
      <c r="AC243" s="268"/>
    </row>
    <row r="244" spans="1:68" ht="27" customHeight="1" x14ac:dyDescent="0.25">
      <c r="A244" s="54" t="s">
        <v>330</v>
      </c>
      <c r="B244" s="54" t="s">
        <v>331</v>
      </c>
      <c r="C244" s="31">
        <v>4301071014</v>
      </c>
      <c r="D244" s="276">
        <v>4640242181264</v>
      </c>
      <c r="E244" s="277"/>
      <c r="F244" s="271">
        <v>0.7</v>
      </c>
      <c r="G244" s="32">
        <v>10</v>
      </c>
      <c r="H244" s="271">
        <v>7</v>
      </c>
      <c r="I244" s="271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27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79"/>
      <c r="R244" s="279"/>
      <c r="S244" s="279"/>
      <c r="T244" s="280"/>
      <c r="U244" s="34"/>
      <c r="V244" s="34"/>
      <c r="W244" s="35" t="s">
        <v>69</v>
      </c>
      <c r="X244" s="272">
        <v>0</v>
      </c>
      <c r="Y244" s="273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332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t="27" customHeight="1" x14ac:dyDescent="0.25">
      <c r="A245" s="54" t="s">
        <v>333</v>
      </c>
      <c r="B245" s="54" t="s">
        <v>334</v>
      </c>
      <c r="C245" s="31">
        <v>4301071021</v>
      </c>
      <c r="D245" s="276">
        <v>4640242181325</v>
      </c>
      <c r="E245" s="277"/>
      <c r="F245" s="271">
        <v>0.7</v>
      </c>
      <c r="G245" s="32">
        <v>10</v>
      </c>
      <c r="H245" s="271">
        <v>7</v>
      </c>
      <c r="I245" s="271">
        <v>7.28</v>
      </c>
      <c r="J245" s="32">
        <v>84</v>
      </c>
      <c r="K245" s="32" t="s">
        <v>66</v>
      </c>
      <c r="L245" s="32" t="s">
        <v>96</v>
      </c>
      <c r="M245" s="33" t="s">
        <v>68</v>
      </c>
      <c r="N245" s="33"/>
      <c r="O245" s="32">
        <v>180</v>
      </c>
      <c r="P245" s="38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79"/>
      <c r="R245" s="279"/>
      <c r="S245" s="279"/>
      <c r="T245" s="280"/>
      <c r="U245" s="34"/>
      <c r="V245" s="34"/>
      <c r="W245" s="35" t="s">
        <v>69</v>
      </c>
      <c r="X245" s="272">
        <v>12</v>
      </c>
      <c r="Y245" s="273">
        <f>IFERROR(IF(X245="","",X245),"")</f>
        <v>12</v>
      </c>
      <c r="Z245" s="36">
        <f>IFERROR(IF(X245="","",X245*0.0155),"")</f>
        <v>0.186</v>
      </c>
      <c r="AA245" s="56"/>
      <c r="AB245" s="57"/>
      <c r="AC245" s="232" t="s">
        <v>332</v>
      </c>
      <c r="AG245" s="67"/>
      <c r="AJ245" s="71" t="s">
        <v>98</v>
      </c>
      <c r="AK245" s="71">
        <v>12</v>
      </c>
      <c r="BB245" s="233" t="s">
        <v>1</v>
      </c>
      <c r="BM245" s="67">
        <f>IFERROR(X245*I245,"0")</f>
        <v>87.36</v>
      </c>
      <c r="BN245" s="67">
        <f>IFERROR(Y245*I245,"0")</f>
        <v>87.36</v>
      </c>
      <c r="BO245" s="67">
        <f>IFERROR(X245/J245,"0")</f>
        <v>0.14285714285714285</v>
      </c>
      <c r="BP245" s="67">
        <f>IFERROR(Y245/J245,"0")</f>
        <v>0.14285714285714285</v>
      </c>
    </row>
    <row r="246" spans="1:68" x14ac:dyDescent="0.2">
      <c r="A246" s="294"/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5"/>
      <c r="P246" s="282" t="s">
        <v>82</v>
      </c>
      <c r="Q246" s="283"/>
      <c r="R246" s="283"/>
      <c r="S246" s="283"/>
      <c r="T246" s="283"/>
      <c r="U246" s="283"/>
      <c r="V246" s="284"/>
      <c r="W246" s="37" t="s">
        <v>69</v>
      </c>
      <c r="X246" s="274">
        <f>IFERROR(SUM(X244:X245),"0")</f>
        <v>12</v>
      </c>
      <c r="Y246" s="274">
        <f>IFERROR(SUM(Y244:Y245),"0")</f>
        <v>12</v>
      </c>
      <c r="Z246" s="274">
        <f>IFERROR(IF(Z244="",0,Z244),"0")+IFERROR(IF(Z245="",0,Z245),"0")</f>
        <v>0.186</v>
      </c>
      <c r="AA246" s="275"/>
      <c r="AB246" s="275"/>
      <c r="AC246" s="275"/>
    </row>
    <row r="247" spans="1:68" x14ac:dyDescent="0.2">
      <c r="A247" s="290"/>
      <c r="B247" s="290"/>
      <c r="C247" s="290"/>
      <c r="D247" s="290"/>
      <c r="E247" s="290"/>
      <c r="F247" s="290"/>
      <c r="G247" s="290"/>
      <c r="H247" s="290"/>
      <c r="I247" s="290"/>
      <c r="J247" s="290"/>
      <c r="K247" s="290"/>
      <c r="L247" s="290"/>
      <c r="M247" s="290"/>
      <c r="N247" s="290"/>
      <c r="O247" s="295"/>
      <c r="P247" s="282" t="s">
        <v>82</v>
      </c>
      <c r="Q247" s="283"/>
      <c r="R247" s="283"/>
      <c r="S247" s="283"/>
      <c r="T247" s="283"/>
      <c r="U247" s="283"/>
      <c r="V247" s="284"/>
      <c r="W247" s="37" t="s">
        <v>83</v>
      </c>
      <c r="X247" s="274">
        <f>IFERROR(SUMPRODUCT(X244:X245*H244:H245),"0")</f>
        <v>84</v>
      </c>
      <c r="Y247" s="274">
        <f>IFERROR(SUMPRODUCT(Y244:Y245*H244:H245),"0")</f>
        <v>84</v>
      </c>
      <c r="Z247" s="37"/>
      <c r="AA247" s="275"/>
      <c r="AB247" s="275"/>
      <c r="AC247" s="275"/>
    </row>
    <row r="248" spans="1:68" ht="14.25" customHeight="1" x14ac:dyDescent="0.25">
      <c r="A248" s="293" t="s">
        <v>92</v>
      </c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0"/>
      <c r="P248" s="290"/>
      <c r="Q248" s="290"/>
      <c r="R248" s="290"/>
      <c r="S248" s="290"/>
      <c r="T248" s="290"/>
      <c r="U248" s="290"/>
      <c r="V248" s="290"/>
      <c r="W248" s="290"/>
      <c r="X248" s="290"/>
      <c r="Y248" s="290"/>
      <c r="Z248" s="290"/>
      <c r="AA248" s="268"/>
      <c r="AB248" s="268"/>
      <c r="AC248" s="268"/>
    </row>
    <row r="249" spans="1:68" ht="27" customHeight="1" x14ac:dyDescent="0.25">
      <c r="A249" s="54" t="s">
        <v>335</v>
      </c>
      <c r="B249" s="54" t="s">
        <v>336</v>
      </c>
      <c r="C249" s="31">
        <v>4301132080</v>
      </c>
      <c r="D249" s="276">
        <v>4640242180397</v>
      </c>
      <c r="E249" s="277"/>
      <c r="F249" s="271">
        <v>1</v>
      </c>
      <c r="G249" s="32">
        <v>6</v>
      </c>
      <c r="H249" s="271">
        <v>6</v>
      </c>
      <c r="I249" s="271">
        <v>6.26</v>
      </c>
      <c r="J249" s="32">
        <v>84</v>
      </c>
      <c r="K249" s="32" t="s">
        <v>66</v>
      </c>
      <c r="L249" s="32" t="s">
        <v>96</v>
      </c>
      <c r="M249" s="33" t="s">
        <v>68</v>
      </c>
      <c r="N249" s="33"/>
      <c r="O249" s="32">
        <v>180</v>
      </c>
      <c r="P249" s="29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279"/>
      <c r="R249" s="279"/>
      <c r="S249" s="279"/>
      <c r="T249" s="280"/>
      <c r="U249" s="34"/>
      <c r="V249" s="34"/>
      <c r="W249" s="35" t="s">
        <v>69</v>
      </c>
      <c r="X249" s="272">
        <v>0</v>
      </c>
      <c r="Y249" s="273">
        <f>IFERROR(IF(X249="","",X249),"")</f>
        <v>0</v>
      </c>
      <c r="Z249" s="36">
        <f>IFERROR(IF(X249="","",X249*0.0155),"")</f>
        <v>0</v>
      </c>
      <c r="AA249" s="56"/>
      <c r="AB249" s="57"/>
      <c r="AC249" s="234" t="s">
        <v>337</v>
      </c>
      <c r="AG249" s="67"/>
      <c r="AJ249" s="71" t="s">
        <v>98</v>
      </c>
      <c r="AK249" s="71">
        <v>12</v>
      </c>
      <c r="BB249" s="235" t="s">
        <v>99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customHeight="1" x14ac:dyDescent="0.25">
      <c r="A250" s="54" t="s">
        <v>338</v>
      </c>
      <c r="B250" s="54" t="s">
        <v>339</v>
      </c>
      <c r="C250" s="31">
        <v>4301132104</v>
      </c>
      <c r="D250" s="276">
        <v>4640242181219</v>
      </c>
      <c r="E250" s="277"/>
      <c r="F250" s="271">
        <v>0.3</v>
      </c>
      <c r="G250" s="32">
        <v>9</v>
      </c>
      <c r="H250" s="271">
        <v>2.7</v>
      </c>
      <c r="I250" s="271">
        <v>2.8450000000000002</v>
      </c>
      <c r="J250" s="32">
        <v>234</v>
      </c>
      <c r="K250" s="32" t="s">
        <v>147</v>
      </c>
      <c r="L250" s="32" t="s">
        <v>67</v>
      </c>
      <c r="M250" s="33" t="s">
        <v>68</v>
      </c>
      <c r="N250" s="33"/>
      <c r="O250" s="32">
        <v>180</v>
      </c>
      <c r="P250" s="344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0" s="279"/>
      <c r="R250" s="279"/>
      <c r="S250" s="279"/>
      <c r="T250" s="280"/>
      <c r="U250" s="34"/>
      <c r="V250" s="34"/>
      <c r="W250" s="35" t="s">
        <v>69</v>
      </c>
      <c r="X250" s="272">
        <v>0</v>
      </c>
      <c r="Y250" s="273">
        <f>IFERROR(IF(X250="","",X250),"")</f>
        <v>0</v>
      </c>
      <c r="Z250" s="36">
        <f>IFERROR(IF(X250="","",X250*0.00502),"")</f>
        <v>0</v>
      </c>
      <c r="AA250" s="56"/>
      <c r="AB250" s="57"/>
      <c r="AC250" s="236" t="s">
        <v>337</v>
      </c>
      <c r="AG250" s="67"/>
      <c r="AJ250" s="71" t="s">
        <v>71</v>
      </c>
      <c r="AK250" s="71">
        <v>1</v>
      </c>
      <c r="BB250" s="237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94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5"/>
      <c r="P251" s="282" t="s">
        <v>82</v>
      </c>
      <c r="Q251" s="283"/>
      <c r="R251" s="283"/>
      <c r="S251" s="283"/>
      <c r="T251" s="283"/>
      <c r="U251" s="283"/>
      <c r="V251" s="284"/>
      <c r="W251" s="37" t="s">
        <v>69</v>
      </c>
      <c r="X251" s="274">
        <f>IFERROR(SUM(X249:X250),"0")</f>
        <v>0</v>
      </c>
      <c r="Y251" s="274">
        <f>IFERROR(SUM(Y249:Y250),"0")</f>
        <v>0</v>
      </c>
      <c r="Z251" s="274">
        <f>IFERROR(IF(Z249="",0,Z249),"0")+IFERROR(IF(Z250="",0,Z250),"0")</f>
        <v>0</v>
      </c>
      <c r="AA251" s="275"/>
      <c r="AB251" s="275"/>
      <c r="AC251" s="275"/>
    </row>
    <row r="252" spans="1:68" x14ac:dyDescent="0.2">
      <c r="A252" s="290"/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5"/>
      <c r="P252" s="282" t="s">
        <v>82</v>
      </c>
      <c r="Q252" s="283"/>
      <c r="R252" s="283"/>
      <c r="S252" s="283"/>
      <c r="T252" s="283"/>
      <c r="U252" s="283"/>
      <c r="V252" s="284"/>
      <c r="W252" s="37" t="s">
        <v>83</v>
      </c>
      <c r="X252" s="274">
        <f>IFERROR(SUMPRODUCT(X249:X250*H249:H250),"0")</f>
        <v>0</v>
      </c>
      <c r="Y252" s="274">
        <f>IFERROR(SUMPRODUCT(Y249:Y250*H249:H250),"0")</f>
        <v>0</v>
      </c>
      <c r="Z252" s="37"/>
      <c r="AA252" s="275"/>
      <c r="AB252" s="275"/>
      <c r="AC252" s="275"/>
    </row>
    <row r="253" spans="1:68" ht="14.25" customHeight="1" x14ac:dyDescent="0.25">
      <c r="A253" s="293" t="s">
        <v>130</v>
      </c>
      <c r="B253" s="290"/>
      <c r="C253" s="290"/>
      <c r="D253" s="290"/>
      <c r="E253" s="290"/>
      <c r="F253" s="290"/>
      <c r="G253" s="290"/>
      <c r="H253" s="290"/>
      <c r="I253" s="290"/>
      <c r="J253" s="290"/>
      <c r="K253" s="290"/>
      <c r="L253" s="290"/>
      <c r="M253" s="290"/>
      <c r="N253" s="290"/>
      <c r="O253" s="290"/>
      <c r="P253" s="290"/>
      <c r="Q253" s="290"/>
      <c r="R253" s="290"/>
      <c r="S253" s="290"/>
      <c r="T253" s="290"/>
      <c r="U253" s="290"/>
      <c r="V253" s="290"/>
      <c r="W253" s="290"/>
      <c r="X253" s="290"/>
      <c r="Y253" s="290"/>
      <c r="Z253" s="290"/>
      <c r="AA253" s="268"/>
      <c r="AB253" s="268"/>
      <c r="AC253" s="268"/>
    </row>
    <row r="254" spans="1:68" ht="27" customHeight="1" x14ac:dyDescent="0.25">
      <c r="A254" s="54" t="s">
        <v>340</v>
      </c>
      <c r="B254" s="54" t="s">
        <v>341</v>
      </c>
      <c r="C254" s="31">
        <v>4301136051</v>
      </c>
      <c r="D254" s="276">
        <v>4640242180304</v>
      </c>
      <c r="E254" s="277"/>
      <c r="F254" s="271">
        <v>2.7</v>
      </c>
      <c r="G254" s="32">
        <v>1</v>
      </c>
      <c r="H254" s="271">
        <v>2.7</v>
      </c>
      <c r="I254" s="271">
        <v>2.8906000000000001</v>
      </c>
      <c r="J254" s="32">
        <v>126</v>
      </c>
      <c r="K254" s="32" t="s">
        <v>95</v>
      </c>
      <c r="L254" s="32" t="s">
        <v>96</v>
      </c>
      <c r="M254" s="33" t="s">
        <v>68</v>
      </c>
      <c r="N254" s="33"/>
      <c r="O254" s="32">
        <v>180</v>
      </c>
      <c r="P254" s="40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4" s="279"/>
      <c r="R254" s="279"/>
      <c r="S254" s="279"/>
      <c r="T254" s="280"/>
      <c r="U254" s="34"/>
      <c r="V254" s="34"/>
      <c r="W254" s="35" t="s">
        <v>69</v>
      </c>
      <c r="X254" s="272">
        <v>126</v>
      </c>
      <c r="Y254" s="273">
        <f>IFERROR(IF(X254="","",X254),"")</f>
        <v>126</v>
      </c>
      <c r="Z254" s="36">
        <f>IFERROR(IF(X254="","",X254*0.00936),"")</f>
        <v>1.17936</v>
      </c>
      <c r="AA254" s="56"/>
      <c r="AB254" s="57"/>
      <c r="AC254" s="238" t="s">
        <v>342</v>
      </c>
      <c r="AG254" s="67"/>
      <c r="AJ254" s="71" t="s">
        <v>98</v>
      </c>
      <c r="AK254" s="71">
        <v>14</v>
      </c>
      <c r="BB254" s="239" t="s">
        <v>99</v>
      </c>
      <c r="BM254" s="67">
        <f>IFERROR(X254*I254,"0")</f>
        <v>364.21559999999999</v>
      </c>
      <c r="BN254" s="67">
        <f>IFERROR(Y254*I254,"0")</f>
        <v>364.21559999999999</v>
      </c>
      <c r="BO254" s="67">
        <f>IFERROR(X254/J254,"0")</f>
        <v>1</v>
      </c>
      <c r="BP254" s="67">
        <f>IFERROR(Y254/J254,"0")</f>
        <v>1</v>
      </c>
    </row>
    <row r="255" spans="1:68" ht="27" customHeight="1" x14ac:dyDescent="0.25">
      <c r="A255" s="54" t="s">
        <v>343</v>
      </c>
      <c r="B255" s="54" t="s">
        <v>344</v>
      </c>
      <c r="C255" s="31">
        <v>4301136053</v>
      </c>
      <c r="D255" s="276">
        <v>4640242180236</v>
      </c>
      <c r="E255" s="277"/>
      <c r="F255" s="271">
        <v>5</v>
      </c>
      <c r="G255" s="32">
        <v>1</v>
      </c>
      <c r="H255" s="271">
        <v>5</v>
      </c>
      <c r="I255" s="271">
        <v>5.2350000000000003</v>
      </c>
      <c r="J255" s="32">
        <v>84</v>
      </c>
      <c r="K255" s="32" t="s">
        <v>66</v>
      </c>
      <c r="L255" s="32" t="s">
        <v>96</v>
      </c>
      <c r="M255" s="33" t="s">
        <v>68</v>
      </c>
      <c r="N255" s="33"/>
      <c r="O255" s="32">
        <v>180</v>
      </c>
      <c r="P255" s="3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5" s="279"/>
      <c r="R255" s="279"/>
      <c r="S255" s="279"/>
      <c r="T255" s="280"/>
      <c r="U255" s="34"/>
      <c r="V255" s="34"/>
      <c r="W255" s="35" t="s">
        <v>69</v>
      </c>
      <c r="X255" s="272">
        <v>36</v>
      </c>
      <c r="Y255" s="273">
        <f>IFERROR(IF(X255="","",X255),"")</f>
        <v>36</v>
      </c>
      <c r="Z255" s="36">
        <f>IFERROR(IF(X255="","",X255*0.0155),"")</f>
        <v>0.55800000000000005</v>
      </c>
      <c r="AA255" s="56"/>
      <c r="AB255" s="57"/>
      <c r="AC255" s="240" t="s">
        <v>342</v>
      </c>
      <c r="AG255" s="67"/>
      <c r="AJ255" s="71" t="s">
        <v>98</v>
      </c>
      <c r="AK255" s="71">
        <v>12</v>
      </c>
      <c r="BB255" s="241" t="s">
        <v>99</v>
      </c>
      <c r="BM255" s="67">
        <f>IFERROR(X255*I255,"0")</f>
        <v>188.46</v>
      </c>
      <c r="BN255" s="67">
        <f>IFERROR(Y255*I255,"0")</f>
        <v>188.46</v>
      </c>
      <c r="BO255" s="67">
        <f>IFERROR(X255/J255,"0")</f>
        <v>0.42857142857142855</v>
      </c>
      <c r="BP255" s="67">
        <f>IFERROR(Y255/J255,"0")</f>
        <v>0.42857142857142855</v>
      </c>
    </row>
    <row r="256" spans="1:68" ht="27" customHeight="1" x14ac:dyDescent="0.25">
      <c r="A256" s="54" t="s">
        <v>345</v>
      </c>
      <c r="B256" s="54" t="s">
        <v>346</v>
      </c>
      <c r="C256" s="31">
        <v>4301136052</v>
      </c>
      <c r="D256" s="276">
        <v>4640242180410</v>
      </c>
      <c r="E256" s="277"/>
      <c r="F256" s="271">
        <v>2.2400000000000002</v>
      </c>
      <c r="G256" s="32">
        <v>1</v>
      </c>
      <c r="H256" s="271">
        <v>2.2400000000000002</v>
      </c>
      <c r="I256" s="271">
        <v>2.4319999999999999</v>
      </c>
      <c r="J256" s="32">
        <v>126</v>
      </c>
      <c r="K256" s="32" t="s">
        <v>95</v>
      </c>
      <c r="L256" s="32" t="s">
        <v>67</v>
      </c>
      <c r="M256" s="33" t="s">
        <v>68</v>
      </c>
      <c r="N256" s="33"/>
      <c r="O256" s="32">
        <v>180</v>
      </c>
      <c r="P256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6" s="279"/>
      <c r="R256" s="279"/>
      <c r="S256" s="279"/>
      <c r="T256" s="280"/>
      <c r="U256" s="34"/>
      <c r="V256" s="34"/>
      <c r="W256" s="35" t="s">
        <v>69</v>
      </c>
      <c r="X256" s="272">
        <v>0</v>
      </c>
      <c r="Y256" s="273">
        <f>IFERROR(IF(X256="","",X256),"")</f>
        <v>0</v>
      </c>
      <c r="Z256" s="36">
        <f>IFERROR(IF(X256="","",X256*0.00936),"")</f>
        <v>0</v>
      </c>
      <c r="AA256" s="56"/>
      <c r="AB256" s="57"/>
      <c r="AC256" s="242" t="s">
        <v>342</v>
      </c>
      <c r="AG256" s="67"/>
      <c r="AJ256" s="71" t="s">
        <v>71</v>
      </c>
      <c r="AK256" s="71">
        <v>1</v>
      </c>
      <c r="BB256" s="243" t="s">
        <v>99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x14ac:dyDescent="0.2">
      <c r="A257" s="294"/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5"/>
      <c r="P257" s="282" t="s">
        <v>82</v>
      </c>
      <c r="Q257" s="283"/>
      <c r="R257" s="283"/>
      <c r="S257" s="283"/>
      <c r="T257" s="283"/>
      <c r="U257" s="283"/>
      <c r="V257" s="284"/>
      <c r="W257" s="37" t="s">
        <v>69</v>
      </c>
      <c r="X257" s="274">
        <f>IFERROR(SUM(X254:X256),"0")</f>
        <v>162</v>
      </c>
      <c r="Y257" s="274">
        <f>IFERROR(SUM(Y254:Y256),"0")</f>
        <v>162</v>
      </c>
      <c r="Z257" s="274">
        <f>IFERROR(IF(Z254="",0,Z254),"0")+IFERROR(IF(Z255="",0,Z255),"0")+IFERROR(IF(Z256="",0,Z256),"0")</f>
        <v>1.73736</v>
      </c>
      <c r="AA257" s="275"/>
      <c r="AB257" s="275"/>
      <c r="AC257" s="275"/>
    </row>
    <row r="258" spans="1:68" x14ac:dyDescent="0.2">
      <c r="A258" s="290"/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5"/>
      <c r="P258" s="282" t="s">
        <v>82</v>
      </c>
      <c r="Q258" s="283"/>
      <c r="R258" s="283"/>
      <c r="S258" s="283"/>
      <c r="T258" s="283"/>
      <c r="U258" s="283"/>
      <c r="V258" s="284"/>
      <c r="W258" s="37" t="s">
        <v>83</v>
      </c>
      <c r="X258" s="274">
        <f>IFERROR(SUMPRODUCT(X254:X256*H254:H256),"0")</f>
        <v>520.20000000000005</v>
      </c>
      <c r="Y258" s="274">
        <f>IFERROR(SUMPRODUCT(Y254:Y256*H254:H256),"0")</f>
        <v>520.20000000000005</v>
      </c>
      <c r="Z258" s="37"/>
      <c r="AA258" s="275"/>
      <c r="AB258" s="275"/>
      <c r="AC258" s="275"/>
    </row>
    <row r="259" spans="1:68" ht="14.25" customHeight="1" x14ac:dyDescent="0.25">
      <c r="A259" s="293" t="s">
        <v>136</v>
      </c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0"/>
      <c r="P259" s="290"/>
      <c r="Q259" s="290"/>
      <c r="R259" s="290"/>
      <c r="S259" s="290"/>
      <c r="T259" s="290"/>
      <c r="U259" s="290"/>
      <c r="V259" s="290"/>
      <c r="W259" s="290"/>
      <c r="X259" s="290"/>
      <c r="Y259" s="290"/>
      <c r="Z259" s="290"/>
      <c r="AA259" s="268"/>
      <c r="AB259" s="268"/>
      <c r="AC259" s="268"/>
    </row>
    <row r="260" spans="1:68" ht="37.5" customHeight="1" x14ac:dyDescent="0.25">
      <c r="A260" s="54" t="s">
        <v>347</v>
      </c>
      <c r="B260" s="54" t="s">
        <v>348</v>
      </c>
      <c r="C260" s="31">
        <v>4301135504</v>
      </c>
      <c r="D260" s="276">
        <v>4640242181554</v>
      </c>
      <c r="E260" s="277"/>
      <c r="F260" s="271">
        <v>3</v>
      </c>
      <c r="G260" s="32">
        <v>1</v>
      </c>
      <c r="H260" s="271">
        <v>3</v>
      </c>
      <c r="I260" s="271">
        <v>3.1920000000000002</v>
      </c>
      <c r="J260" s="32">
        <v>126</v>
      </c>
      <c r="K260" s="32" t="s">
        <v>95</v>
      </c>
      <c r="L260" s="32" t="s">
        <v>67</v>
      </c>
      <c r="M260" s="33" t="s">
        <v>68</v>
      </c>
      <c r="N260" s="33"/>
      <c r="O260" s="32">
        <v>180</v>
      </c>
      <c r="P260" s="38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0" s="279"/>
      <c r="R260" s="279"/>
      <c r="S260" s="279"/>
      <c r="T260" s="280"/>
      <c r="U260" s="34"/>
      <c r="V260" s="34"/>
      <c r="W260" s="35" t="s">
        <v>69</v>
      </c>
      <c r="X260" s="272">
        <v>0</v>
      </c>
      <c r="Y260" s="273">
        <f t="shared" ref="Y260:Y269" si="18">IFERROR(IF(X260="","",X260),"")</f>
        <v>0</v>
      </c>
      <c r="Z260" s="36">
        <f>IFERROR(IF(X260="","",X260*0.00936),"")</f>
        <v>0</v>
      </c>
      <c r="AA260" s="56"/>
      <c r="AB260" s="57"/>
      <c r="AC260" s="244" t="s">
        <v>349</v>
      </c>
      <c r="AG260" s="67"/>
      <c r="AJ260" s="71" t="s">
        <v>71</v>
      </c>
      <c r="AK260" s="71">
        <v>1</v>
      </c>
      <c r="BB260" s="245" t="s">
        <v>99</v>
      </c>
      <c r="BM260" s="67">
        <f t="shared" ref="BM260:BM269" si="19">IFERROR(X260*I260,"0")</f>
        <v>0</v>
      </c>
      <c r="BN260" s="67">
        <f t="shared" ref="BN260:BN269" si="20">IFERROR(Y260*I260,"0")</f>
        <v>0</v>
      </c>
      <c r="BO260" s="67">
        <f t="shared" ref="BO260:BO269" si="21">IFERROR(X260/J260,"0")</f>
        <v>0</v>
      </c>
      <c r="BP260" s="67">
        <f t="shared" ref="BP260:BP269" si="22">IFERROR(Y260/J260,"0")</f>
        <v>0</v>
      </c>
    </row>
    <row r="261" spans="1:68" ht="27" customHeight="1" x14ac:dyDescent="0.25">
      <c r="A261" s="54" t="s">
        <v>350</v>
      </c>
      <c r="B261" s="54" t="s">
        <v>351</v>
      </c>
      <c r="C261" s="31">
        <v>4301135518</v>
      </c>
      <c r="D261" s="276">
        <v>4640242181561</v>
      </c>
      <c r="E261" s="277"/>
      <c r="F261" s="271">
        <v>3.7</v>
      </c>
      <c r="G261" s="32">
        <v>1</v>
      </c>
      <c r="H261" s="271">
        <v>3.7</v>
      </c>
      <c r="I261" s="271">
        <v>3.8919999999999999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1" s="279"/>
      <c r="R261" s="279"/>
      <c r="S261" s="279"/>
      <c r="T261" s="280"/>
      <c r="U261" s="34"/>
      <c r="V261" s="34"/>
      <c r="W261" s="35" t="s">
        <v>69</v>
      </c>
      <c r="X261" s="272">
        <v>56</v>
      </c>
      <c r="Y261" s="273">
        <f t="shared" si="18"/>
        <v>56</v>
      </c>
      <c r="Z261" s="36">
        <f>IFERROR(IF(X261="","",X261*0.00936),"")</f>
        <v>0.52415999999999996</v>
      </c>
      <c r="AA261" s="56"/>
      <c r="AB261" s="57"/>
      <c r="AC261" s="246" t="s">
        <v>352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217.952</v>
      </c>
      <c r="BN261" s="67">
        <f t="shared" si="20"/>
        <v>217.952</v>
      </c>
      <c r="BO261" s="67">
        <f t="shared" si="21"/>
        <v>0.44444444444444442</v>
      </c>
      <c r="BP261" s="67">
        <f t="shared" si="22"/>
        <v>0.44444444444444442</v>
      </c>
    </row>
    <row r="262" spans="1:68" ht="27" customHeight="1" x14ac:dyDescent="0.25">
      <c r="A262" s="54" t="s">
        <v>353</v>
      </c>
      <c r="B262" s="54" t="s">
        <v>354</v>
      </c>
      <c r="C262" s="31">
        <v>4301135374</v>
      </c>
      <c r="D262" s="276">
        <v>4640242181424</v>
      </c>
      <c r="E262" s="277"/>
      <c r="F262" s="271">
        <v>5.5</v>
      </c>
      <c r="G262" s="32">
        <v>1</v>
      </c>
      <c r="H262" s="271">
        <v>5.5</v>
      </c>
      <c r="I262" s="271">
        <v>5.7350000000000003</v>
      </c>
      <c r="J262" s="32">
        <v>84</v>
      </c>
      <c r="K262" s="32" t="s">
        <v>66</v>
      </c>
      <c r="L262" s="32" t="s">
        <v>96</v>
      </c>
      <c r="M262" s="33" t="s">
        <v>68</v>
      </c>
      <c r="N262" s="33"/>
      <c r="O262" s="32">
        <v>180</v>
      </c>
      <c r="P262" s="44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2" s="279"/>
      <c r="R262" s="279"/>
      <c r="S262" s="279"/>
      <c r="T262" s="280"/>
      <c r="U262" s="34"/>
      <c r="V262" s="34"/>
      <c r="W262" s="35" t="s">
        <v>69</v>
      </c>
      <c r="X262" s="272">
        <v>72</v>
      </c>
      <c r="Y262" s="273">
        <f t="shared" si="18"/>
        <v>72</v>
      </c>
      <c r="Z262" s="36">
        <f>IFERROR(IF(X262="","",X262*0.0155),"")</f>
        <v>1.1160000000000001</v>
      </c>
      <c r="AA262" s="56"/>
      <c r="AB262" s="57"/>
      <c r="AC262" s="248" t="s">
        <v>349</v>
      </c>
      <c r="AG262" s="67"/>
      <c r="AJ262" s="71" t="s">
        <v>98</v>
      </c>
      <c r="AK262" s="71">
        <v>12</v>
      </c>
      <c r="BB262" s="249" t="s">
        <v>99</v>
      </c>
      <c r="BM262" s="67">
        <f t="shared" si="19"/>
        <v>412.92</v>
      </c>
      <c r="BN262" s="67">
        <f t="shared" si="20"/>
        <v>412.92</v>
      </c>
      <c r="BO262" s="67">
        <f t="shared" si="21"/>
        <v>0.8571428571428571</v>
      </c>
      <c r="BP262" s="67">
        <f t="shared" si="22"/>
        <v>0.8571428571428571</v>
      </c>
    </row>
    <row r="263" spans="1:68" ht="27" customHeight="1" x14ac:dyDescent="0.25">
      <c r="A263" s="54" t="s">
        <v>355</v>
      </c>
      <c r="B263" s="54" t="s">
        <v>356</v>
      </c>
      <c r="C263" s="31">
        <v>4301135405</v>
      </c>
      <c r="D263" s="276">
        <v>4640242181523</v>
      </c>
      <c r="E263" s="277"/>
      <c r="F263" s="271">
        <v>3</v>
      </c>
      <c r="G263" s="32">
        <v>1</v>
      </c>
      <c r="H263" s="271">
        <v>3</v>
      </c>
      <c r="I263" s="271">
        <v>3.1920000000000002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3" s="279"/>
      <c r="R263" s="279"/>
      <c r="S263" s="279"/>
      <c r="T263" s="280"/>
      <c r="U263" s="34"/>
      <c r="V263" s="34"/>
      <c r="W263" s="35" t="s">
        <v>69</v>
      </c>
      <c r="X263" s="272">
        <v>70</v>
      </c>
      <c r="Y263" s="273">
        <f t="shared" si="18"/>
        <v>70</v>
      </c>
      <c r="Z263" s="36">
        <f t="shared" ref="Z263:Z268" si="23">IFERROR(IF(X263="","",X263*0.00936),"")</f>
        <v>0.6552</v>
      </c>
      <c r="AA263" s="56"/>
      <c r="AB263" s="57"/>
      <c r="AC263" s="250" t="s">
        <v>352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223.44</v>
      </c>
      <c r="BN263" s="67">
        <f t="shared" si="20"/>
        <v>223.44</v>
      </c>
      <c r="BO263" s="67">
        <f t="shared" si="21"/>
        <v>0.55555555555555558</v>
      </c>
      <c r="BP263" s="67">
        <f t="shared" si="22"/>
        <v>0.55555555555555558</v>
      </c>
    </row>
    <row r="264" spans="1:68" ht="27" customHeight="1" x14ac:dyDescent="0.25">
      <c r="A264" s="54" t="s">
        <v>357</v>
      </c>
      <c r="B264" s="54" t="s">
        <v>358</v>
      </c>
      <c r="C264" s="31">
        <v>4301135375</v>
      </c>
      <c r="D264" s="276">
        <v>4640242181486</v>
      </c>
      <c r="E264" s="277"/>
      <c r="F264" s="271">
        <v>3.7</v>
      </c>
      <c r="G264" s="32">
        <v>1</v>
      </c>
      <c r="H264" s="271">
        <v>3.7</v>
      </c>
      <c r="I264" s="271">
        <v>3.8919999999999999</v>
      </c>
      <c r="J264" s="32">
        <v>126</v>
      </c>
      <c r="K264" s="32" t="s">
        <v>95</v>
      </c>
      <c r="L264" s="32" t="s">
        <v>223</v>
      </c>
      <c r="M264" s="33" t="s">
        <v>68</v>
      </c>
      <c r="N264" s="33"/>
      <c r="O264" s="32">
        <v>180</v>
      </c>
      <c r="P264" s="36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4" s="279"/>
      <c r="R264" s="279"/>
      <c r="S264" s="279"/>
      <c r="T264" s="280"/>
      <c r="U264" s="34"/>
      <c r="V264" s="34"/>
      <c r="W264" s="35" t="s">
        <v>69</v>
      </c>
      <c r="X264" s="272">
        <v>112</v>
      </c>
      <c r="Y264" s="273">
        <f t="shared" si="18"/>
        <v>112</v>
      </c>
      <c r="Z264" s="36">
        <f t="shared" si="23"/>
        <v>1.0483199999999999</v>
      </c>
      <c r="AA264" s="56"/>
      <c r="AB264" s="57"/>
      <c r="AC264" s="252" t="s">
        <v>349</v>
      </c>
      <c r="AG264" s="67"/>
      <c r="AJ264" s="71" t="s">
        <v>224</v>
      </c>
      <c r="AK264" s="71">
        <v>126</v>
      </c>
      <c r="BB264" s="253" t="s">
        <v>99</v>
      </c>
      <c r="BM264" s="67">
        <f t="shared" si="19"/>
        <v>435.904</v>
      </c>
      <c r="BN264" s="67">
        <f t="shared" si="20"/>
        <v>435.904</v>
      </c>
      <c r="BO264" s="67">
        <f t="shared" si="21"/>
        <v>0.88888888888888884</v>
      </c>
      <c r="BP264" s="67">
        <f t="shared" si="22"/>
        <v>0.88888888888888884</v>
      </c>
    </row>
    <row r="265" spans="1:68" ht="37.5" customHeight="1" x14ac:dyDescent="0.25">
      <c r="A265" s="54" t="s">
        <v>359</v>
      </c>
      <c r="B265" s="54" t="s">
        <v>360</v>
      </c>
      <c r="C265" s="31">
        <v>4301135402</v>
      </c>
      <c r="D265" s="276">
        <v>4640242181493</v>
      </c>
      <c r="E265" s="277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5" s="279"/>
      <c r="R265" s="279"/>
      <c r="S265" s="279"/>
      <c r="T265" s="280"/>
      <c r="U265" s="34"/>
      <c r="V265" s="34"/>
      <c r="W265" s="35" t="s">
        <v>69</v>
      </c>
      <c r="X265" s="272">
        <v>0</v>
      </c>
      <c r="Y265" s="273">
        <f t="shared" si="18"/>
        <v>0</v>
      </c>
      <c r="Z265" s="36">
        <f t="shared" si="23"/>
        <v>0</v>
      </c>
      <c r="AA265" s="56"/>
      <c r="AB265" s="57"/>
      <c r="AC265" s="254" t="s">
        <v>349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37.5" customHeight="1" x14ac:dyDescent="0.25">
      <c r="A266" s="54" t="s">
        <v>361</v>
      </c>
      <c r="B266" s="54" t="s">
        <v>362</v>
      </c>
      <c r="C266" s="31">
        <v>4301135403</v>
      </c>
      <c r="D266" s="276">
        <v>4640242181509</v>
      </c>
      <c r="E266" s="277"/>
      <c r="F266" s="271">
        <v>3.7</v>
      </c>
      <c r="G266" s="32">
        <v>1</v>
      </c>
      <c r="H266" s="271">
        <v>3.7</v>
      </c>
      <c r="I266" s="271">
        <v>3.8919999999999999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6" s="279"/>
      <c r="R266" s="279"/>
      <c r="S266" s="279"/>
      <c r="T266" s="280"/>
      <c r="U266" s="34"/>
      <c r="V266" s="34"/>
      <c r="W266" s="35" t="s">
        <v>69</v>
      </c>
      <c r="X266" s="272">
        <v>0</v>
      </c>
      <c r="Y266" s="273">
        <f t="shared" si="18"/>
        <v>0</v>
      </c>
      <c r="Z266" s="36">
        <f t="shared" si="23"/>
        <v>0</v>
      </c>
      <c r="AA266" s="56"/>
      <c r="AB266" s="57"/>
      <c r="AC266" s="256" t="s">
        <v>349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4301135304</v>
      </c>
      <c r="D267" s="276">
        <v>4640242181240</v>
      </c>
      <c r="E267" s="277"/>
      <c r="F267" s="271">
        <v>0.3</v>
      </c>
      <c r="G267" s="32">
        <v>9</v>
      </c>
      <c r="H267" s="271">
        <v>2.7</v>
      </c>
      <c r="I267" s="271">
        <v>2.88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7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7" s="279"/>
      <c r="R267" s="279"/>
      <c r="S267" s="279"/>
      <c r="T267" s="280"/>
      <c r="U267" s="34"/>
      <c r="V267" s="34"/>
      <c r="W267" s="35" t="s">
        <v>69</v>
      </c>
      <c r="X267" s="272">
        <v>0</v>
      </c>
      <c r="Y267" s="273">
        <f t="shared" si="18"/>
        <v>0</v>
      </c>
      <c r="Z267" s="36">
        <f t="shared" si="23"/>
        <v>0</v>
      </c>
      <c r="AA267" s="56"/>
      <c r="AB267" s="57"/>
      <c r="AC267" s="258" t="s">
        <v>349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customHeight="1" x14ac:dyDescent="0.25">
      <c r="A268" s="54" t="s">
        <v>365</v>
      </c>
      <c r="B268" s="54" t="s">
        <v>366</v>
      </c>
      <c r="C268" s="31">
        <v>4301135610</v>
      </c>
      <c r="D268" s="276">
        <v>4640242181318</v>
      </c>
      <c r="E268" s="277"/>
      <c r="F268" s="271">
        <v>0.3</v>
      </c>
      <c r="G268" s="32">
        <v>9</v>
      </c>
      <c r="H268" s="271">
        <v>2.7</v>
      </c>
      <c r="I268" s="271">
        <v>2.988</v>
      </c>
      <c r="J268" s="32">
        <v>126</v>
      </c>
      <c r="K268" s="32" t="s">
        <v>95</v>
      </c>
      <c r="L268" s="32" t="s">
        <v>67</v>
      </c>
      <c r="M268" s="33" t="s">
        <v>68</v>
      </c>
      <c r="N268" s="33"/>
      <c r="O268" s="32">
        <v>180</v>
      </c>
      <c r="P268" s="33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8" s="279"/>
      <c r="R268" s="279"/>
      <c r="S268" s="279"/>
      <c r="T268" s="280"/>
      <c r="U268" s="34"/>
      <c r="V268" s="34"/>
      <c r="W268" s="35" t="s">
        <v>69</v>
      </c>
      <c r="X268" s="272">
        <v>0</v>
      </c>
      <c r="Y268" s="273">
        <f t="shared" si="18"/>
        <v>0</v>
      </c>
      <c r="Z268" s="36">
        <f t="shared" si="23"/>
        <v>0</v>
      </c>
      <c r="AA268" s="56"/>
      <c r="AB268" s="57"/>
      <c r="AC268" s="260" t="s">
        <v>352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customHeight="1" x14ac:dyDescent="0.25">
      <c r="A269" s="54" t="s">
        <v>367</v>
      </c>
      <c r="B269" s="54" t="s">
        <v>368</v>
      </c>
      <c r="C269" s="31">
        <v>4301135306</v>
      </c>
      <c r="D269" s="276">
        <v>4640242181387</v>
      </c>
      <c r="E269" s="277"/>
      <c r="F269" s="271">
        <v>0.3</v>
      </c>
      <c r="G269" s="32">
        <v>9</v>
      </c>
      <c r="H269" s="271">
        <v>2.7</v>
      </c>
      <c r="I269" s="271">
        <v>2.8450000000000002</v>
      </c>
      <c r="J269" s="32">
        <v>234</v>
      </c>
      <c r="K269" s="32" t="s">
        <v>147</v>
      </c>
      <c r="L269" s="32" t="s">
        <v>67</v>
      </c>
      <c r="M269" s="33" t="s">
        <v>68</v>
      </c>
      <c r="N269" s="33"/>
      <c r="O269" s="32">
        <v>180</v>
      </c>
      <c r="P269" s="42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9" s="279"/>
      <c r="R269" s="279"/>
      <c r="S269" s="279"/>
      <c r="T269" s="280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>IFERROR(IF(X269="","",X269*0.00502),"")</f>
        <v>0</v>
      </c>
      <c r="AA269" s="56"/>
      <c r="AB269" s="57"/>
      <c r="AC269" s="262" t="s">
        <v>349</v>
      </c>
      <c r="AG269" s="67"/>
      <c r="AJ269" s="71" t="s">
        <v>71</v>
      </c>
      <c r="AK269" s="71">
        <v>1</v>
      </c>
      <c r="BB269" s="263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x14ac:dyDescent="0.2">
      <c r="A270" s="294"/>
      <c r="B270" s="290"/>
      <c r="C270" s="290"/>
      <c r="D270" s="290"/>
      <c r="E270" s="290"/>
      <c r="F270" s="290"/>
      <c r="G270" s="290"/>
      <c r="H270" s="290"/>
      <c r="I270" s="290"/>
      <c r="J270" s="290"/>
      <c r="K270" s="290"/>
      <c r="L270" s="290"/>
      <c r="M270" s="290"/>
      <c r="N270" s="290"/>
      <c r="O270" s="295"/>
      <c r="P270" s="282" t="s">
        <v>82</v>
      </c>
      <c r="Q270" s="283"/>
      <c r="R270" s="283"/>
      <c r="S270" s="283"/>
      <c r="T270" s="283"/>
      <c r="U270" s="283"/>
      <c r="V270" s="284"/>
      <c r="W270" s="37" t="s">
        <v>69</v>
      </c>
      <c r="X270" s="274">
        <f>IFERROR(SUM(X260:X269),"0")</f>
        <v>310</v>
      </c>
      <c r="Y270" s="274">
        <f>IFERROR(SUM(Y260:Y269),"0")</f>
        <v>310</v>
      </c>
      <c r="Z270" s="274">
        <f>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</f>
        <v>3.34368</v>
      </c>
      <c r="AA270" s="275"/>
      <c r="AB270" s="275"/>
      <c r="AC270" s="275"/>
    </row>
    <row r="271" spans="1:68" x14ac:dyDescent="0.2">
      <c r="A271" s="290"/>
      <c r="B271" s="290"/>
      <c r="C271" s="290"/>
      <c r="D271" s="290"/>
      <c r="E271" s="290"/>
      <c r="F271" s="290"/>
      <c r="G271" s="290"/>
      <c r="H271" s="290"/>
      <c r="I271" s="290"/>
      <c r="J271" s="290"/>
      <c r="K271" s="290"/>
      <c r="L271" s="290"/>
      <c r="M271" s="290"/>
      <c r="N271" s="290"/>
      <c r="O271" s="295"/>
      <c r="P271" s="282" t="s">
        <v>82</v>
      </c>
      <c r="Q271" s="283"/>
      <c r="R271" s="283"/>
      <c r="S271" s="283"/>
      <c r="T271" s="283"/>
      <c r="U271" s="283"/>
      <c r="V271" s="284"/>
      <c r="W271" s="37" t="s">
        <v>83</v>
      </c>
      <c r="X271" s="274">
        <f>IFERROR(SUMPRODUCT(X260:X269*H260:H269),"0")</f>
        <v>1227.6000000000001</v>
      </c>
      <c r="Y271" s="274">
        <f>IFERROR(SUMPRODUCT(Y260:Y269*H260:H269),"0")</f>
        <v>1227.6000000000001</v>
      </c>
      <c r="Z271" s="37"/>
      <c r="AA271" s="275"/>
      <c r="AB271" s="275"/>
      <c r="AC271" s="275"/>
    </row>
    <row r="272" spans="1:68" ht="15" customHeight="1" x14ac:dyDescent="0.2">
      <c r="A272" s="436"/>
      <c r="B272" s="290"/>
      <c r="C272" s="290"/>
      <c r="D272" s="290"/>
      <c r="E272" s="290"/>
      <c r="F272" s="290"/>
      <c r="G272" s="290"/>
      <c r="H272" s="290"/>
      <c r="I272" s="290"/>
      <c r="J272" s="290"/>
      <c r="K272" s="290"/>
      <c r="L272" s="290"/>
      <c r="M272" s="290"/>
      <c r="N272" s="290"/>
      <c r="O272" s="373"/>
      <c r="P272" s="321" t="s">
        <v>369</v>
      </c>
      <c r="Q272" s="322"/>
      <c r="R272" s="322"/>
      <c r="S272" s="322"/>
      <c r="T272" s="322"/>
      <c r="U272" s="322"/>
      <c r="V272" s="323"/>
      <c r="W272" s="37" t="s">
        <v>83</v>
      </c>
      <c r="X272" s="274">
        <f>IFERROR(X29+X35+X42+X49+X57+X62+X66+X71+X77+X83+X88+X94+X105+X111+X123+X128+X132+X138+X144+X150+X155+X160+X165+X170+X177+X185+X189+X195+X203+X208+X213+X218+X224+X230+X236+X240+X247+X252+X258+X271,"0")</f>
        <v>9047.4</v>
      </c>
      <c r="Y272" s="274">
        <f>IFERROR(Y29+Y35+Y42+Y49+Y57+Y62+Y66+Y71+Y77+Y83+Y88+Y94+Y105+Y111+Y123+Y128+Y132+Y138+Y144+Y150+Y155+Y160+Y165+Y170+Y177+Y185+Y189+Y195+Y203+Y208+Y213+Y218+Y224+Y230+Y236+Y240+Y247+Y252+Y258+Y271,"0")</f>
        <v>9047.4</v>
      </c>
      <c r="Z272" s="37"/>
      <c r="AA272" s="275"/>
      <c r="AB272" s="275"/>
      <c r="AC272" s="275"/>
    </row>
    <row r="273" spans="1:32" x14ac:dyDescent="0.2">
      <c r="A273" s="290"/>
      <c r="B273" s="290"/>
      <c r="C273" s="290"/>
      <c r="D273" s="290"/>
      <c r="E273" s="290"/>
      <c r="F273" s="290"/>
      <c r="G273" s="290"/>
      <c r="H273" s="290"/>
      <c r="I273" s="290"/>
      <c r="J273" s="290"/>
      <c r="K273" s="290"/>
      <c r="L273" s="290"/>
      <c r="M273" s="290"/>
      <c r="N273" s="290"/>
      <c r="O273" s="373"/>
      <c r="P273" s="321" t="s">
        <v>370</v>
      </c>
      <c r="Q273" s="322"/>
      <c r="R273" s="322"/>
      <c r="S273" s="322"/>
      <c r="T273" s="322"/>
      <c r="U273" s="322"/>
      <c r="V273" s="323"/>
      <c r="W273" s="37" t="s">
        <v>83</v>
      </c>
      <c r="X273" s="274">
        <f>IFERROR(SUM(BM22:BM269),"0")</f>
        <v>10386.550799999999</v>
      </c>
      <c r="Y273" s="274">
        <f>IFERROR(SUM(BN22:BN269),"0")</f>
        <v>10386.550799999999</v>
      </c>
      <c r="Z273" s="37"/>
      <c r="AA273" s="275"/>
      <c r="AB273" s="275"/>
      <c r="AC273" s="275"/>
    </row>
    <row r="274" spans="1:32" x14ac:dyDescent="0.2">
      <c r="A274" s="290"/>
      <c r="B274" s="290"/>
      <c r="C274" s="290"/>
      <c r="D274" s="290"/>
      <c r="E274" s="290"/>
      <c r="F274" s="290"/>
      <c r="G274" s="290"/>
      <c r="H274" s="290"/>
      <c r="I274" s="290"/>
      <c r="J274" s="290"/>
      <c r="K274" s="290"/>
      <c r="L274" s="290"/>
      <c r="M274" s="290"/>
      <c r="N274" s="290"/>
      <c r="O274" s="373"/>
      <c r="P274" s="321" t="s">
        <v>371</v>
      </c>
      <c r="Q274" s="322"/>
      <c r="R274" s="322"/>
      <c r="S274" s="322"/>
      <c r="T274" s="322"/>
      <c r="U274" s="322"/>
      <c r="V274" s="323"/>
      <c r="W274" s="37" t="s">
        <v>372</v>
      </c>
      <c r="X274" s="38">
        <f>ROUNDUP(SUM(BO22:BO269),0)</f>
        <v>33</v>
      </c>
      <c r="Y274" s="38">
        <f>ROUNDUP(SUM(BP22:BP269),0)</f>
        <v>33</v>
      </c>
      <c r="Z274" s="37"/>
      <c r="AA274" s="275"/>
      <c r="AB274" s="275"/>
      <c r="AC274" s="275"/>
    </row>
    <row r="275" spans="1:32" x14ac:dyDescent="0.2">
      <c r="A275" s="290"/>
      <c r="B275" s="290"/>
      <c r="C275" s="290"/>
      <c r="D275" s="290"/>
      <c r="E275" s="290"/>
      <c r="F275" s="290"/>
      <c r="G275" s="290"/>
      <c r="H275" s="290"/>
      <c r="I275" s="290"/>
      <c r="J275" s="290"/>
      <c r="K275" s="290"/>
      <c r="L275" s="290"/>
      <c r="M275" s="290"/>
      <c r="N275" s="290"/>
      <c r="O275" s="373"/>
      <c r="P275" s="321" t="s">
        <v>373</v>
      </c>
      <c r="Q275" s="322"/>
      <c r="R275" s="322"/>
      <c r="S275" s="322"/>
      <c r="T275" s="322"/>
      <c r="U275" s="322"/>
      <c r="V275" s="323"/>
      <c r="W275" s="37" t="s">
        <v>83</v>
      </c>
      <c r="X275" s="274">
        <f>GrossWeightTotal+PalletQtyTotal*25</f>
        <v>11211.550799999999</v>
      </c>
      <c r="Y275" s="274">
        <f>GrossWeightTotalR+PalletQtyTotalR*25</f>
        <v>11211.550799999999</v>
      </c>
      <c r="Z275" s="37"/>
      <c r="AA275" s="275"/>
      <c r="AB275" s="275"/>
      <c r="AC275" s="275"/>
    </row>
    <row r="276" spans="1:32" x14ac:dyDescent="0.2">
      <c r="A276" s="290"/>
      <c r="B276" s="290"/>
      <c r="C276" s="290"/>
      <c r="D276" s="290"/>
      <c r="E276" s="290"/>
      <c r="F276" s="290"/>
      <c r="G276" s="290"/>
      <c r="H276" s="290"/>
      <c r="I276" s="290"/>
      <c r="J276" s="290"/>
      <c r="K276" s="290"/>
      <c r="L276" s="290"/>
      <c r="M276" s="290"/>
      <c r="N276" s="290"/>
      <c r="O276" s="373"/>
      <c r="P276" s="321" t="s">
        <v>374</v>
      </c>
      <c r="Q276" s="322"/>
      <c r="R276" s="322"/>
      <c r="S276" s="322"/>
      <c r="T276" s="322"/>
      <c r="U276" s="322"/>
      <c r="V276" s="323"/>
      <c r="W276" s="37" t="s">
        <v>372</v>
      </c>
      <c r="X276" s="274">
        <f>IFERROR(X28+X34+X41+X48+X56+X61+X65+X70+X76+X82+X87+X93+X104+X110+X122+X127+X131+X137+X143+X149+X154+X159+X164+X169+X176+X184+X188+X194+X202+X207+X212+X217+X223+X229+X235+X239+X246+X251+X257+X270,"0")</f>
        <v>2680</v>
      </c>
      <c r="Y276" s="274">
        <f>IFERROR(Y28+Y34+Y41+Y48+Y56+Y61+Y65+Y70+Y76+Y82+Y87+Y93+Y104+Y110+Y122+Y127+Y131+Y137+Y143+Y149+Y154+Y159+Y164+Y169+Y176+Y184+Y188+Y194+Y202+Y207+Y212+Y217+Y223+Y229+Y235+Y239+Y246+Y251+Y257+Y270,"0")</f>
        <v>2680</v>
      </c>
      <c r="Z276" s="37"/>
      <c r="AA276" s="275"/>
      <c r="AB276" s="275"/>
      <c r="AC276" s="275"/>
    </row>
    <row r="277" spans="1:32" ht="14.25" customHeight="1" x14ac:dyDescent="0.2">
      <c r="A277" s="290"/>
      <c r="B277" s="290"/>
      <c r="C277" s="290"/>
      <c r="D277" s="290"/>
      <c r="E277" s="290"/>
      <c r="F277" s="290"/>
      <c r="G277" s="290"/>
      <c r="H277" s="290"/>
      <c r="I277" s="290"/>
      <c r="J277" s="290"/>
      <c r="K277" s="290"/>
      <c r="L277" s="290"/>
      <c r="M277" s="290"/>
      <c r="N277" s="290"/>
      <c r="O277" s="373"/>
      <c r="P277" s="321" t="s">
        <v>375</v>
      </c>
      <c r="Q277" s="322"/>
      <c r="R277" s="322"/>
      <c r="S277" s="322"/>
      <c r="T277" s="322"/>
      <c r="U277" s="322"/>
      <c r="V277" s="323"/>
      <c r="W277" s="39" t="s">
        <v>376</v>
      </c>
      <c r="X277" s="37"/>
      <c r="Y277" s="37"/>
      <c r="Z277" s="37">
        <f>IFERROR(Z28+Z34+Z41+Z48+Z56+Z61+Z65+Z70+Z76+Z82+Z87+Z93+Z104+Z110+Z122+Z127+Z131+Z137+Z143+Z149+Z154+Z159+Z164+Z169+Z176+Z184+Z188+Z194+Z202+Z207+Z212+Z217+Z223+Z229+Z235+Z239+Z246+Z251+Z257+Z270,"0")</f>
        <v>40.626480000000001</v>
      </c>
      <c r="AA277" s="275"/>
      <c r="AB277" s="275"/>
      <c r="AC277" s="275"/>
    </row>
    <row r="278" spans="1:32" ht="13.5" customHeight="1" thickBot="1" x14ac:dyDescent="0.25"/>
    <row r="279" spans="1:32" ht="27" customHeight="1" thickTop="1" thickBot="1" x14ac:dyDescent="0.25">
      <c r="A279" s="40" t="s">
        <v>377</v>
      </c>
      <c r="B279" s="291" t="s">
        <v>62</v>
      </c>
      <c r="C279" s="329"/>
      <c r="D279" s="291" t="s">
        <v>90</v>
      </c>
      <c r="E279" s="328"/>
      <c r="F279" s="328"/>
      <c r="G279" s="328"/>
      <c r="H279" s="328"/>
      <c r="I279" s="328"/>
      <c r="J279" s="328"/>
      <c r="K279" s="328"/>
      <c r="L279" s="328"/>
      <c r="M279" s="328"/>
      <c r="N279" s="328"/>
      <c r="O279" s="328"/>
      <c r="P279" s="328"/>
      <c r="Q279" s="328"/>
      <c r="R279" s="328"/>
      <c r="S279" s="328"/>
      <c r="T279" s="328"/>
      <c r="U279" s="329"/>
      <c r="V279" s="269" t="s">
        <v>253</v>
      </c>
      <c r="W279" s="269" t="s">
        <v>261</v>
      </c>
      <c r="X279" s="291" t="s">
        <v>280</v>
      </c>
      <c r="Y279" s="328"/>
      <c r="Z279" s="329"/>
      <c r="AA279" s="269" t="s">
        <v>312</v>
      </c>
      <c r="AB279" s="269" t="s">
        <v>317</v>
      </c>
      <c r="AC279" s="269" t="s">
        <v>321</v>
      </c>
      <c r="AD279" s="269" t="s">
        <v>329</v>
      </c>
      <c r="AF279" s="270"/>
    </row>
    <row r="280" spans="1:32" ht="14.25" customHeight="1" thickTop="1" x14ac:dyDescent="0.2">
      <c r="A280" s="381" t="s">
        <v>378</v>
      </c>
      <c r="B280" s="291" t="s">
        <v>62</v>
      </c>
      <c r="C280" s="291" t="s">
        <v>84</v>
      </c>
      <c r="D280" s="291" t="s">
        <v>91</v>
      </c>
      <c r="E280" s="291" t="s">
        <v>102</v>
      </c>
      <c r="F280" s="291" t="s">
        <v>112</v>
      </c>
      <c r="G280" s="291" t="s">
        <v>123</v>
      </c>
      <c r="H280" s="291" t="s">
        <v>144</v>
      </c>
      <c r="I280" s="291" t="s">
        <v>151</v>
      </c>
      <c r="J280" s="291" t="s">
        <v>155</v>
      </c>
      <c r="K280" s="291" t="s">
        <v>163</v>
      </c>
      <c r="L280" s="291" t="s">
        <v>179</v>
      </c>
      <c r="M280" s="291" t="s">
        <v>185</v>
      </c>
      <c r="N280" s="270"/>
      <c r="O280" s="291" t="s">
        <v>217</v>
      </c>
      <c r="P280" s="291" t="s">
        <v>225</v>
      </c>
      <c r="Q280" s="291" t="s">
        <v>232</v>
      </c>
      <c r="R280" s="291" t="s">
        <v>237</v>
      </c>
      <c r="S280" s="291" t="s">
        <v>241</v>
      </c>
      <c r="T280" s="291" t="s">
        <v>244</v>
      </c>
      <c r="U280" s="291" t="s">
        <v>249</v>
      </c>
      <c r="V280" s="291" t="s">
        <v>254</v>
      </c>
      <c r="W280" s="291" t="s">
        <v>262</v>
      </c>
      <c r="X280" s="291" t="s">
        <v>281</v>
      </c>
      <c r="Y280" s="291" t="s">
        <v>299</v>
      </c>
      <c r="Z280" s="291" t="s">
        <v>303</v>
      </c>
      <c r="AA280" s="291" t="s">
        <v>313</v>
      </c>
      <c r="AB280" s="291" t="s">
        <v>318</v>
      </c>
      <c r="AC280" s="291" t="s">
        <v>322</v>
      </c>
      <c r="AD280" s="291" t="s">
        <v>329</v>
      </c>
      <c r="AF280" s="270"/>
    </row>
    <row r="281" spans="1:32" ht="13.5" customHeight="1" thickBot="1" x14ac:dyDescent="0.25">
      <c r="A281" s="38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70"/>
      <c r="O281" s="292"/>
      <c r="P281" s="292"/>
      <c r="Q281" s="292"/>
      <c r="R281" s="292"/>
      <c r="S281" s="292"/>
      <c r="T281" s="292"/>
      <c r="U281" s="292"/>
      <c r="V281" s="292"/>
      <c r="W281" s="292"/>
      <c r="X281" s="292"/>
      <c r="Y281" s="292"/>
      <c r="Z281" s="292"/>
      <c r="AA281" s="292"/>
      <c r="AB281" s="292"/>
      <c r="AC281" s="292"/>
      <c r="AD281" s="292"/>
      <c r="AF281" s="270"/>
    </row>
    <row r="282" spans="1:32" ht="18" customHeight="1" thickTop="1" thickBot="1" x14ac:dyDescent="0.25">
      <c r="A282" s="40" t="s">
        <v>379</v>
      </c>
      <c r="B282" s="46">
        <f>IFERROR(X22*H22,"0")+IFERROR(X23*H23,"0")+IFERROR(X24*H24,"0")+IFERROR(X25*H25,"0")+IFERROR(X26*H26,"0")+IFERROR(X27*H27,"0")</f>
        <v>172.8</v>
      </c>
      <c r="C282" s="46">
        <f>IFERROR(X32*H32,"0")+IFERROR(X33*H33,"0")</f>
        <v>0</v>
      </c>
      <c r="D282" s="46">
        <f>IFERROR(X39*H39,"0")+IFERROR(X40*H40,"0")</f>
        <v>252</v>
      </c>
      <c r="E282" s="46">
        <f>IFERROR(X45*H45,"0")+IFERROR(X46*H46,"0")+IFERROR(X47*H47,"0")</f>
        <v>336</v>
      </c>
      <c r="F282" s="46">
        <f>IFERROR(X52*H52,"0")+IFERROR(X53*H53,"0")+IFERROR(X54*H54,"0")+IFERROR(X55*H55,"0")</f>
        <v>252</v>
      </c>
      <c r="G282" s="46">
        <f>IFERROR(X60*H60,"0")+IFERROR(X64*H64,"0")+IFERROR(X68*H68,"0")+IFERROR(X69*H69,"0")+IFERROR(X73*H73,"0")+IFERROR(X74*H74,"0")+IFERROR(X75*H75,"0")</f>
        <v>0</v>
      </c>
      <c r="H282" s="46">
        <f>IFERROR(X80*H80,"0")+IFERROR(X81*H81,"0")</f>
        <v>60</v>
      </c>
      <c r="I282" s="46">
        <f>IFERROR(X86*H86,"0")</f>
        <v>50.4</v>
      </c>
      <c r="J282" s="46">
        <f>IFERROR(X91*H91,"0")+IFERROR(X92*H92,"0")</f>
        <v>403.20000000000005</v>
      </c>
      <c r="K282" s="46">
        <f>IFERROR(X97*H97,"0")+IFERROR(X98*H98,"0")+IFERROR(X99*H99,"0")+IFERROR(X100*H100,"0")+IFERROR(X101*H101,"0")+IFERROR(X102*H102,"0")+IFERROR(X103*H103,"0")</f>
        <v>798</v>
      </c>
      <c r="L282" s="46">
        <f>IFERROR(X108*H108,"0")+IFERROR(X109*H109,"0")</f>
        <v>614.88</v>
      </c>
      <c r="M282" s="46">
        <f>IFERROR(X114*H114,"0")+IFERROR(X115*H115,"0")+IFERROR(X116*H116,"0")+IFERROR(X117*H117,"0")+IFERROR(X118*H118,"0")+IFERROR(X119*H119,"0")+IFERROR(X120*H120,"0")+IFERROR(X121*H121,"0")+IFERROR(X125*H125,"0")+IFERROR(X126*H126,"0")+IFERROR(X130*H130,"0")</f>
        <v>288.95999999999998</v>
      </c>
      <c r="N282" s="270"/>
      <c r="O282" s="46">
        <f>IFERROR(X135*H135,"0")+IFERROR(X136*H136,"0")</f>
        <v>2142</v>
      </c>
      <c r="P282" s="46">
        <f>IFERROR(X141*H141,"0")+IFERROR(X142*H142,"0")</f>
        <v>252</v>
      </c>
      <c r="Q282" s="46">
        <f>IFERROR(X147*H147,"0")+IFERROR(X148*H148,"0")</f>
        <v>100.80000000000001</v>
      </c>
      <c r="R282" s="46">
        <f>IFERROR(X153*H153,"0")</f>
        <v>0</v>
      </c>
      <c r="S282" s="46">
        <f>IFERROR(X158*H158,"0")</f>
        <v>0</v>
      </c>
      <c r="T282" s="46">
        <f>IFERROR(X163*H163,"0")</f>
        <v>19.200000000000003</v>
      </c>
      <c r="U282" s="46">
        <f>IFERROR(X168*H168,"0")</f>
        <v>141.12</v>
      </c>
      <c r="V282" s="46">
        <f>IFERROR(X174*H174,"0")+IFERROR(X175*H175,"0")</f>
        <v>420</v>
      </c>
      <c r="W282" s="46">
        <f>IFERROR(X181*H181,"0")+IFERROR(X182*H182,"0")+IFERROR(X183*H183,"0")+IFERROR(X187*H187,"0")</f>
        <v>420</v>
      </c>
      <c r="X282" s="46">
        <f>IFERROR(X193*H193,"0")+IFERROR(X197*H197,"0")+IFERROR(X198*H198,"0")+IFERROR(X199*H199,"0")+IFERROR(X200*H200,"0")+IFERROR(X201*H201,"0")</f>
        <v>72.240000000000009</v>
      </c>
      <c r="Y282" s="46">
        <f>IFERROR(X206*H206,"0")</f>
        <v>420</v>
      </c>
      <c r="Z282" s="46">
        <f>IFERROR(X211*H211,"0")+IFERROR(X215*H215,"0")+IFERROR(X216*H216,"0")</f>
        <v>0</v>
      </c>
      <c r="AA282" s="46">
        <f>IFERROR(X222*H222,"0")</f>
        <v>0</v>
      </c>
      <c r="AB282" s="46">
        <f>IFERROR(X228*H228,"0")</f>
        <v>0</v>
      </c>
      <c r="AC282" s="46">
        <f>IFERROR(X234*H234,"0")+IFERROR(X238*H238,"0")</f>
        <v>0</v>
      </c>
      <c r="AD282" s="46">
        <f>IFERROR(X244*H244,"0")+IFERROR(X245*H245,"0")+IFERROR(X249*H249,"0")+IFERROR(X250*H250,"0")+IFERROR(X254*H254,"0")+IFERROR(X255*H255,"0")+IFERROR(X256*H256,"0")+IFERROR(X260*H260,"0")+IFERROR(X261*H261,"0")+IFERROR(X262*H262,"0")+IFERROR(X263*H263,"0")+IFERROR(X264*H264,"0")+IFERROR(X265*H265,"0")+IFERROR(X266*H266,"0")+IFERROR(X267*H267,"0")+IFERROR(X268*H268,"0")+IFERROR(X269*H269,"0")</f>
        <v>1831.8000000000002</v>
      </c>
      <c r="AF282" s="270"/>
    </row>
    <row r="283" spans="1:32" ht="13.5" customHeight="1" thickTop="1" x14ac:dyDescent="0.2">
      <c r="C283" s="270"/>
    </row>
    <row r="284" spans="1:32" ht="19.5" customHeight="1" x14ac:dyDescent="0.2">
      <c r="A284" s="58" t="s">
        <v>380</v>
      </c>
      <c r="B284" s="58" t="s">
        <v>381</v>
      </c>
      <c r="C284" s="58" t="s">
        <v>382</v>
      </c>
    </row>
    <row r="285" spans="1:32" x14ac:dyDescent="0.2">
      <c r="A285" s="59">
        <f>SUMPRODUCT(--(BB:BB="ЗПФ"),--(W:W="кор"),H:H,Y:Y)+SUMPRODUCT(--(BB:BB="ЗПФ"),--(W:W="кг"),Y:Y)</f>
        <v>1996.8</v>
      </c>
      <c r="B285" s="60">
        <f>SUMPRODUCT(--(BB:BB="ПГП"),--(W:W="кор"),H:H,Y:Y)+SUMPRODUCT(--(BB:BB="ПГП"),--(W:W="кг"),Y:Y)</f>
        <v>7050.6</v>
      </c>
      <c r="C285" s="60">
        <f>SUMPRODUCT(--(BB:BB="КИЗ"),--(W:W="кор"),H:H,Y:Y)+SUMPRODUCT(--(BB:BB="КИЗ"),--(W:W="кг"),Y:Y)</f>
        <v>0</v>
      </c>
    </row>
  </sheetData>
  <sheetProtection algorithmName="SHA-512" hashValue="/imCzvuuYsVut28S/bmH2iEhiItc0H+pz1Wor+id287ThISoZF+byQA/edfqhfsvehyeIeR2DxIMJoTwfR8BBw==" saltValue="1dOsMfUxIlb5aX3R/sFw/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4">
    <mergeCell ref="A8:C8"/>
    <mergeCell ref="D32:E32"/>
    <mergeCell ref="D268:E268"/>
    <mergeCell ref="P138:V138"/>
    <mergeCell ref="A137:O138"/>
    <mergeCell ref="D97:E97"/>
    <mergeCell ref="P76:V76"/>
    <mergeCell ref="A10:C10"/>
    <mergeCell ref="P126:T126"/>
    <mergeCell ref="A192:Z192"/>
    <mergeCell ref="A21:Z21"/>
    <mergeCell ref="A129:Z129"/>
    <mergeCell ref="D121:E121"/>
    <mergeCell ref="D17:E18"/>
    <mergeCell ref="X17:X18"/>
    <mergeCell ref="A188:O189"/>
    <mergeCell ref="D250:E250"/>
    <mergeCell ref="Q6:R6"/>
    <mergeCell ref="P200:T200"/>
    <mergeCell ref="A251:O252"/>
    <mergeCell ref="D102:E102"/>
    <mergeCell ref="P208:V208"/>
    <mergeCell ref="A204:Z204"/>
    <mergeCell ref="D25:E25"/>
    <mergeCell ref="B280:B281"/>
    <mergeCell ref="D280:D281"/>
    <mergeCell ref="P272:V272"/>
    <mergeCell ref="A231:Z231"/>
    <mergeCell ref="D54:E54"/>
    <mergeCell ref="P185:V185"/>
    <mergeCell ref="P160:V160"/>
    <mergeCell ref="V12:W12"/>
    <mergeCell ref="D262:E262"/>
    <mergeCell ref="P122:V122"/>
    <mergeCell ref="P25:T25"/>
    <mergeCell ref="A30:Z30"/>
    <mergeCell ref="A202:O203"/>
    <mergeCell ref="P60:T60"/>
    <mergeCell ref="D266:E266"/>
    <mergeCell ref="P174:T174"/>
    <mergeCell ref="U17:V17"/>
    <mergeCell ref="AD17:AF18"/>
    <mergeCell ref="D101:E101"/>
    <mergeCell ref="F5:G5"/>
    <mergeCell ref="A172:Z172"/>
    <mergeCell ref="P169:V169"/>
    <mergeCell ref="P144:V144"/>
    <mergeCell ref="A221:Z221"/>
    <mergeCell ref="D175:E175"/>
    <mergeCell ref="V11:W11"/>
    <mergeCell ref="P75:T75"/>
    <mergeCell ref="P121:T121"/>
    <mergeCell ref="P181:T181"/>
    <mergeCell ref="D23:E23"/>
    <mergeCell ref="D216:E216"/>
    <mergeCell ref="P195:V195"/>
    <mergeCell ref="A20:Z20"/>
    <mergeCell ref="A194:O195"/>
    <mergeCell ref="A112:Z112"/>
    <mergeCell ref="P66:V66"/>
    <mergeCell ref="P137:V137"/>
    <mergeCell ref="A191:Z191"/>
    <mergeCell ref="A107:Z107"/>
    <mergeCell ref="A51:Z51"/>
    <mergeCell ref="A178:Z178"/>
    <mergeCell ref="P2:W3"/>
    <mergeCell ref="P218:V218"/>
    <mergeCell ref="P198:T198"/>
    <mergeCell ref="P54:T54"/>
    <mergeCell ref="A43:Z43"/>
    <mergeCell ref="D228:E228"/>
    <mergeCell ref="A272:O277"/>
    <mergeCell ref="D10:E10"/>
    <mergeCell ref="P64:T64"/>
    <mergeCell ref="P135:T135"/>
    <mergeCell ref="F10:G10"/>
    <mergeCell ref="D99:E99"/>
    <mergeCell ref="D265:E265"/>
    <mergeCell ref="P239:V239"/>
    <mergeCell ref="D249:E249"/>
    <mergeCell ref="P262:T262"/>
    <mergeCell ref="P132:V132"/>
    <mergeCell ref="N17:N18"/>
    <mergeCell ref="Q5:R5"/>
    <mergeCell ref="P199:T199"/>
    <mergeCell ref="D120:E120"/>
    <mergeCell ref="F17:F18"/>
    <mergeCell ref="D163:E163"/>
    <mergeCell ref="D234:E234"/>
    <mergeCell ref="O17:O18"/>
    <mergeCell ref="P131:V131"/>
    <mergeCell ref="P258:V258"/>
    <mergeCell ref="A248:Z248"/>
    <mergeCell ref="P223:V223"/>
    <mergeCell ref="P102:T102"/>
    <mergeCell ref="V280:V281"/>
    <mergeCell ref="X280:X281"/>
    <mergeCell ref="P189:V189"/>
    <mergeCell ref="D33:E33"/>
    <mergeCell ref="P183:T183"/>
    <mergeCell ref="A106:Z106"/>
    <mergeCell ref="E280:E281"/>
    <mergeCell ref="Z280:Z281"/>
    <mergeCell ref="W280:W281"/>
    <mergeCell ref="P136:T136"/>
    <mergeCell ref="P263:T263"/>
    <mergeCell ref="D244:E244"/>
    <mergeCell ref="P228:T228"/>
    <mergeCell ref="A149:O150"/>
    <mergeCell ref="Y17:Y18"/>
    <mergeCell ref="H5:M5"/>
    <mergeCell ref="P98:T98"/>
    <mergeCell ref="A214:Z214"/>
    <mergeCell ref="D6:M6"/>
    <mergeCell ref="P175:T175"/>
    <mergeCell ref="A85:Z85"/>
    <mergeCell ref="P33:T33"/>
    <mergeCell ref="A223:O224"/>
    <mergeCell ref="D256:E256"/>
    <mergeCell ref="D222:E222"/>
    <mergeCell ref="P57:V57"/>
    <mergeCell ref="G17:G18"/>
    <mergeCell ref="P184:V184"/>
    <mergeCell ref="A167:Z167"/>
    <mergeCell ref="A232:Z232"/>
    <mergeCell ref="D80:E80"/>
    <mergeCell ref="P42:V42"/>
    <mergeCell ref="A225:Z225"/>
    <mergeCell ref="P123:V123"/>
    <mergeCell ref="P130:T130"/>
    <mergeCell ref="D136:E136"/>
    <mergeCell ref="A176:O177"/>
    <mergeCell ref="P240:V240"/>
    <mergeCell ref="P46:T46"/>
    <mergeCell ref="F280:F281"/>
    <mergeCell ref="P256:T256"/>
    <mergeCell ref="V6:W9"/>
    <mergeCell ref="D199:E199"/>
    <mergeCell ref="P109:T109"/>
    <mergeCell ref="A59:Z59"/>
    <mergeCell ref="A93:O94"/>
    <mergeCell ref="P222:T222"/>
    <mergeCell ref="P193:T193"/>
    <mergeCell ref="P22:T22"/>
    <mergeCell ref="P40:T40"/>
    <mergeCell ref="P236:V236"/>
    <mergeCell ref="Q280:Q281"/>
    <mergeCell ref="P80:T80"/>
    <mergeCell ref="Z17:Z18"/>
    <mergeCell ref="P29:V29"/>
    <mergeCell ref="P271:V271"/>
    <mergeCell ref="P94:V94"/>
    <mergeCell ref="A90:Z90"/>
    <mergeCell ref="D279:U279"/>
    <mergeCell ref="P269:T269"/>
    <mergeCell ref="P280:P281"/>
    <mergeCell ref="Y280:Y281"/>
    <mergeCell ref="A227:Z227"/>
    <mergeCell ref="AA17:AA18"/>
    <mergeCell ref="H10:M10"/>
    <mergeCell ref="AC17:AC18"/>
    <mergeCell ref="P108:T108"/>
    <mergeCell ref="A72:Z72"/>
    <mergeCell ref="P254:T254"/>
    <mergeCell ref="A104:O105"/>
    <mergeCell ref="P45:T45"/>
    <mergeCell ref="A235:O236"/>
    <mergeCell ref="D153:E153"/>
    <mergeCell ref="AB17:AB18"/>
    <mergeCell ref="D200:E200"/>
    <mergeCell ref="P125:T125"/>
    <mergeCell ref="A179:Z179"/>
    <mergeCell ref="P70:V70"/>
    <mergeCell ref="A156:Z156"/>
    <mergeCell ref="Q13:R13"/>
    <mergeCell ref="P201:T201"/>
    <mergeCell ref="A220:Z220"/>
    <mergeCell ref="P114:T114"/>
    <mergeCell ref="A157:Z157"/>
    <mergeCell ref="D22:E22"/>
    <mergeCell ref="A127:O128"/>
    <mergeCell ref="D86:E86"/>
    <mergeCell ref="D267:E267"/>
    <mergeCell ref="H17:H18"/>
    <mergeCell ref="P261:T261"/>
    <mergeCell ref="A146:Z146"/>
    <mergeCell ref="A207:O208"/>
    <mergeCell ref="D198:E198"/>
    <mergeCell ref="D269:E269"/>
    <mergeCell ref="P275:V275"/>
    <mergeCell ref="P104:V104"/>
    <mergeCell ref="P27:T27"/>
    <mergeCell ref="D75:E75"/>
    <mergeCell ref="P247:V247"/>
    <mergeCell ref="D206:E206"/>
    <mergeCell ref="P41:V41"/>
    <mergeCell ref="D181:E181"/>
    <mergeCell ref="P91:T91"/>
    <mergeCell ref="P252:V252"/>
    <mergeCell ref="P56:V56"/>
    <mergeCell ref="P105:V105"/>
    <mergeCell ref="P170:V170"/>
    <mergeCell ref="D39:E39"/>
    <mergeCell ref="P273:V273"/>
    <mergeCell ref="A110:O111"/>
    <mergeCell ref="P101:T101"/>
    <mergeCell ref="P260:T260"/>
    <mergeCell ref="P211:T211"/>
    <mergeCell ref="A63:Z63"/>
    <mergeCell ref="P26:T26"/>
    <mergeCell ref="P153:T153"/>
    <mergeCell ref="A143:O144"/>
    <mergeCell ref="A270:O271"/>
    <mergeCell ref="AB280:AB281"/>
    <mergeCell ref="P71:V71"/>
    <mergeCell ref="P202:V202"/>
    <mergeCell ref="O280:O281"/>
    <mergeCell ref="A196:Z196"/>
    <mergeCell ref="P115:T115"/>
    <mergeCell ref="D254:E254"/>
    <mergeCell ref="P238:T238"/>
    <mergeCell ref="A61:O62"/>
    <mergeCell ref="A133:Z133"/>
    <mergeCell ref="D125:E125"/>
    <mergeCell ref="P141:T141"/>
    <mergeCell ref="A65:O66"/>
    <mergeCell ref="D193:E193"/>
    <mergeCell ref="P206:T206"/>
    <mergeCell ref="A56:O57"/>
    <mergeCell ref="P155:V155"/>
    <mergeCell ref="R280:R281"/>
    <mergeCell ref="P267:T267"/>
    <mergeCell ref="T280:T281"/>
    <mergeCell ref="A257:O258"/>
    <mergeCell ref="P83:V83"/>
    <mergeCell ref="A79:Z79"/>
    <mergeCell ref="A82:O83"/>
    <mergeCell ref="T6:U9"/>
    <mergeCell ref="Q10:R10"/>
    <mergeCell ref="A37:Z37"/>
    <mergeCell ref="G280:G281"/>
    <mergeCell ref="A145:Z145"/>
    <mergeCell ref="P149:V149"/>
    <mergeCell ref="I280:I281"/>
    <mergeCell ref="A139:Z139"/>
    <mergeCell ref="P216:T216"/>
    <mergeCell ref="A280:A281"/>
    <mergeCell ref="A210:Z210"/>
    <mergeCell ref="A217:O218"/>
    <mergeCell ref="D130:E130"/>
    <mergeCell ref="D74:E74"/>
    <mergeCell ref="D201:E201"/>
    <mergeCell ref="D68:E68"/>
    <mergeCell ref="P245:T245"/>
    <mergeCell ref="T5:U5"/>
    <mergeCell ref="D119:E119"/>
    <mergeCell ref="V5:W5"/>
    <mergeCell ref="D46:E46"/>
    <mergeCell ref="D40:E40"/>
    <mergeCell ref="P212:V212"/>
    <mergeCell ref="A34:O35"/>
    <mergeCell ref="A28:O29"/>
    <mergeCell ref="P69:T69"/>
    <mergeCell ref="Q8:R8"/>
    <mergeCell ref="D183:E183"/>
    <mergeCell ref="P24:T24"/>
    <mergeCell ref="A13:M13"/>
    <mergeCell ref="A15:M15"/>
    <mergeCell ref="J9:M9"/>
    <mergeCell ref="D114:E114"/>
    <mergeCell ref="A154:O155"/>
    <mergeCell ref="D64:E64"/>
    <mergeCell ref="A209:Z209"/>
    <mergeCell ref="A38:Z38"/>
    <mergeCell ref="A131:O132"/>
    <mergeCell ref="P150:V150"/>
    <mergeCell ref="P28:V28"/>
    <mergeCell ref="A67:Z67"/>
    <mergeCell ref="A5:C5"/>
    <mergeCell ref="A237:Z237"/>
    <mergeCell ref="AA280:AA281"/>
    <mergeCell ref="P128:V128"/>
    <mergeCell ref="AC280:AC281"/>
    <mergeCell ref="A17:A18"/>
    <mergeCell ref="K17:K18"/>
    <mergeCell ref="C17:C18"/>
    <mergeCell ref="B279:C279"/>
    <mergeCell ref="D103:E103"/>
    <mergeCell ref="D168:E168"/>
    <mergeCell ref="D9:E9"/>
    <mergeCell ref="P197:T197"/>
    <mergeCell ref="D118:E118"/>
    <mergeCell ref="P53:T53"/>
    <mergeCell ref="F9:G9"/>
    <mergeCell ref="P264:T264"/>
    <mergeCell ref="P68:T68"/>
    <mergeCell ref="H280:H281"/>
    <mergeCell ref="P82:V82"/>
    <mergeCell ref="A134:Z134"/>
    <mergeCell ref="A122:O123"/>
    <mergeCell ref="A44:Z44"/>
    <mergeCell ref="A31:Z31"/>
    <mergeCell ref="A6:C6"/>
    <mergeCell ref="M280:M281"/>
    <mergeCell ref="P118:T118"/>
    <mergeCell ref="A96:Z96"/>
    <mergeCell ref="P142:T142"/>
    <mergeCell ref="A161:Z161"/>
    <mergeCell ref="D148:E148"/>
    <mergeCell ref="D26:E26"/>
    <mergeCell ref="P117:T117"/>
    <mergeCell ref="P55:T55"/>
    <mergeCell ref="D115:E115"/>
    <mergeCell ref="P182:T182"/>
    <mergeCell ref="Q12:R12"/>
    <mergeCell ref="D261:E261"/>
    <mergeCell ref="P119:T119"/>
    <mergeCell ref="P62:V62"/>
    <mergeCell ref="P127:V127"/>
    <mergeCell ref="D52:E52"/>
    <mergeCell ref="P110:V110"/>
    <mergeCell ref="A162:Z162"/>
    <mergeCell ref="D27:E27"/>
    <mergeCell ref="P15:T16"/>
    <mergeCell ref="D116:E116"/>
    <mergeCell ref="D91:E91"/>
    <mergeCell ref="J280:J281"/>
    <mergeCell ref="P34:V34"/>
    <mergeCell ref="P276:V276"/>
    <mergeCell ref="P270:V270"/>
    <mergeCell ref="A95:Z95"/>
    <mergeCell ref="Q9:R9"/>
    <mergeCell ref="D255:E255"/>
    <mergeCell ref="A113:Z113"/>
    <mergeCell ref="P49:V49"/>
    <mergeCell ref="D24:E24"/>
    <mergeCell ref="A219:Z219"/>
    <mergeCell ref="Q11:R11"/>
    <mergeCell ref="D260:E260"/>
    <mergeCell ref="P23:T23"/>
    <mergeCell ref="A41:O42"/>
    <mergeCell ref="D264:E264"/>
    <mergeCell ref="P65:V65"/>
    <mergeCell ref="A259:Z259"/>
    <mergeCell ref="A253:Z253"/>
    <mergeCell ref="A12:M12"/>
    <mergeCell ref="A180:Z180"/>
    <mergeCell ref="P74:T74"/>
    <mergeCell ref="A190:Z190"/>
    <mergeCell ref="A19:Z19"/>
    <mergeCell ref="D1:F1"/>
    <mergeCell ref="U280:U281"/>
    <mergeCell ref="A242:Z242"/>
    <mergeCell ref="P47:T47"/>
    <mergeCell ref="P111:V111"/>
    <mergeCell ref="A164:O165"/>
    <mergeCell ref="J17:J18"/>
    <mergeCell ref="AD280:AD281"/>
    <mergeCell ref="P61:V61"/>
    <mergeCell ref="L17:L18"/>
    <mergeCell ref="P48:V48"/>
    <mergeCell ref="P255:T255"/>
    <mergeCell ref="A171:Z171"/>
    <mergeCell ref="P277:V277"/>
    <mergeCell ref="D100:E100"/>
    <mergeCell ref="A173:Z173"/>
    <mergeCell ref="P17:T18"/>
    <mergeCell ref="P250:T250"/>
    <mergeCell ref="A166:Z166"/>
    <mergeCell ref="D158:E158"/>
    <mergeCell ref="P187:T187"/>
    <mergeCell ref="D108:E108"/>
    <mergeCell ref="P52:T52"/>
    <mergeCell ref="I17:I18"/>
    <mergeCell ref="H1:Q1"/>
    <mergeCell ref="A243:Z243"/>
    <mergeCell ref="P274:V274"/>
    <mergeCell ref="P246:V246"/>
    <mergeCell ref="P120:T120"/>
    <mergeCell ref="P257:V257"/>
    <mergeCell ref="D117:E117"/>
    <mergeCell ref="D92:E92"/>
    <mergeCell ref="A239:O240"/>
    <mergeCell ref="D55:E55"/>
    <mergeCell ref="A140:Z140"/>
    <mergeCell ref="D5:E5"/>
    <mergeCell ref="P148:T148"/>
    <mergeCell ref="D69:E69"/>
    <mergeCell ref="P177:V177"/>
    <mergeCell ref="P93:V93"/>
    <mergeCell ref="P164:V164"/>
    <mergeCell ref="P35:V35"/>
    <mergeCell ref="A169:O170"/>
    <mergeCell ref="P39:T39"/>
    <mergeCell ref="A89:Z89"/>
    <mergeCell ref="P188:V188"/>
    <mergeCell ref="D147:E147"/>
    <mergeCell ref="D245:E245"/>
    <mergeCell ref="P265:T265"/>
    <mergeCell ref="D8:M8"/>
    <mergeCell ref="C280:C281"/>
    <mergeCell ref="A226:Z226"/>
    <mergeCell ref="P158:T158"/>
    <mergeCell ref="P251:V251"/>
    <mergeCell ref="A241:Z241"/>
    <mergeCell ref="P266:T266"/>
    <mergeCell ref="A212:O213"/>
    <mergeCell ref="S280:S281"/>
    <mergeCell ref="K280:K281"/>
    <mergeCell ref="X279:Z279"/>
    <mergeCell ref="P116:T116"/>
    <mergeCell ref="P32:T32"/>
    <mergeCell ref="P103:T103"/>
    <mergeCell ref="P268:T268"/>
    <mergeCell ref="P97:T97"/>
    <mergeCell ref="D211:E211"/>
    <mergeCell ref="P168:T168"/>
    <mergeCell ref="D141:E141"/>
    <mergeCell ref="A48:O49"/>
    <mergeCell ref="P176:V176"/>
    <mergeCell ref="D135:E135"/>
    <mergeCell ref="A246:O247"/>
    <mergeCell ref="A151:Z151"/>
    <mergeCell ref="P234:T234"/>
    <mergeCell ref="P154:V154"/>
    <mergeCell ref="D142:E142"/>
    <mergeCell ref="D7:M7"/>
    <mergeCell ref="P92:T92"/>
    <mergeCell ref="A152:Z152"/>
    <mergeCell ref="A184:O185"/>
    <mergeCell ref="A159:O160"/>
    <mergeCell ref="P100:T100"/>
    <mergeCell ref="D81:E81"/>
    <mergeCell ref="P203:V203"/>
    <mergeCell ref="D182:E182"/>
    <mergeCell ref="A14:M14"/>
    <mergeCell ref="D109:E109"/>
    <mergeCell ref="P163:T163"/>
    <mergeCell ref="P213:V213"/>
    <mergeCell ref="A186:Z186"/>
    <mergeCell ref="P165:V165"/>
    <mergeCell ref="A9:C9"/>
    <mergeCell ref="D215:E215"/>
    <mergeCell ref="P194:V194"/>
    <mergeCell ref="A233:Z233"/>
    <mergeCell ref="M17:M18"/>
    <mergeCell ref="L280:L281"/>
    <mergeCell ref="A205:Z205"/>
    <mergeCell ref="D263:E263"/>
    <mergeCell ref="A70:O71"/>
    <mergeCell ref="D238:E238"/>
    <mergeCell ref="P86:T86"/>
    <mergeCell ref="P249:T249"/>
    <mergeCell ref="A87:O88"/>
    <mergeCell ref="R1:T1"/>
    <mergeCell ref="P215:T215"/>
    <mergeCell ref="P229:V229"/>
    <mergeCell ref="D98:E98"/>
    <mergeCell ref="D73:E73"/>
    <mergeCell ref="P77:V77"/>
    <mergeCell ref="A76:O77"/>
    <mergeCell ref="A58:Z58"/>
    <mergeCell ref="P230:V230"/>
    <mergeCell ref="B17:B18"/>
    <mergeCell ref="P143:V143"/>
    <mergeCell ref="P235:V235"/>
    <mergeCell ref="P207:V207"/>
    <mergeCell ref="P81:T81"/>
    <mergeCell ref="V10:W10"/>
    <mergeCell ref="A124:Z124"/>
    <mergeCell ref="D60:E60"/>
    <mergeCell ref="P244:T244"/>
    <mergeCell ref="P73:T73"/>
    <mergeCell ref="D187:E187"/>
    <mergeCell ref="D174:E174"/>
    <mergeCell ref="P87:V87"/>
    <mergeCell ref="H9:I9"/>
    <mergeCell ref="D45:E45"/>
    <mergeCell ref="P224:V224"/>
    <mergeCell ref="A36:Z36"/>
    <mergeCell ref="P88:V88"/>
    <mergeCell ref="A78:Z78"/>
    <mergeCell ref="A229:O230"/>
    <mergeCell ref="P99:T99"/>
    <mergeCell ref="D126:E126"/>
    <mergeCell ref="D197:E197"/>
    <mergeCell ref="D53:E53"/>
    <mergeCell ref="D47:E47"/>
    <mergeCell ref="A84:Z84"/>
    <mergeCell ref="P159:V159"/>
    <mergeCell ref="P147:T147"/>
    <mergeCell ref="A50:Z50"/>
    <mergeCell ref="W17:W18"/>
    <mergeCell ref="P217:V21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1 X114 X118 X121 X126 X130 X141 X147 X174 X187 X197 X199 X201 X211 X215:X216 X222 X228 X234 X238 X244 X250 X256 X260 X265:X269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0 X102:X103 X108:X109 X115:X117 X119:X120 X125 X135 X142 X148 X153 X158 X163 X168 X175 X181:X183 X193 X198 X200 X206 X245 X249 X254:X255 X261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6 X264" xr:uid="{00000000-0002-0000-0000-000013000000}">
      <formula1>IF(AK136&gt;0,OR(X136=0,AND(IF(X136-AK136&gt;=0,TRUE,FALSE),X136&gt;0,IF(X136/J136=ROUND(X136/J136,0),TRUE,FALSE))),FALSE)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52"/>
    </row>
    <row r="3" spans="2:8" x14ac:dyDescent="0.2">
      <c r="B3" s="47" t="s">
        <v>384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385</v>
      </c>
      <c r="D6" s="47" t="s">
        <v>386</v>
      </c>
      <c r="E6" s="47"/>
    </row>
    <row r="8" spans="2:8" x14ac:dyDescent="0.2">
      <c r="B8" s="47" t="s">
        <v>18</v>
      </c>
      <c r="C8" s="47" t="s">
        <v>385</v>
      </c>
      <c r="D8" s="47"/>
      <c r="E8" s="47"/>
    </row>
    <row r="10" spans="2:8" x14ac:dyDescent="0.2">
      <c r="B10" s="47" t="s">
        <v>387</v>
      </c>
      <c r="C10" s="47"/>
      <c r="D10" s="47"/>
      <c r="E10" s="47"/>
    </row>
    <row r="11" spans="2:8" x14ac:dyDescent="0.2">
      <c r="B11" s="47" t="s">
        <v>388</v>
      </c>
      <c r="C11" s="47"/>
      <c r="D11" s="47"/>
      <c r="E11" s="47"/>
    </row>
    <row r="12" spans="2:8" x14ac:dyDescent="0.2">
      <c r="B12" s="47" t="s">
        <v>389</v>
      </c>
      <c r="C12" s="47"/>
      <c r="D12" s="47"/>
      <c r="E12" s="47"/>
    </row>
    <row r="13" spans="2:8" x14ac:dyDescent="0.2">
      <c r="B13" s="47" t="s">
        <v>390</v>
      </c>
      <c r="C13" s="47"/>
      <c r="D13" s="47"/>
      <c r="E13" s="47"/>
    </row>
    <row r="14" spans="2:8" x14ac:dyDescent="0.2">
      <c r="B14" s="47" t="s">
        <v>391</v>
      </c>
      <c r="C14" s="47"/>
      <c r="D14" s="47"/>
      <c r="E14" s="47"/>
    </row>
    <row r="15" spans="2:8" x14ac:dyDescent="0.2">
      <c r="B15" s="47" t="s">
        <v>392</v>
      </c>
      <c r="C15" s="47"/>
      <c r="D15" s="47"/>
      <c r="E15" s="47"/>
    </row>
    <row r="16" spans="2:8" x14ac:dyDescent="0.2">
      <c r="B16" s="47" t="s">
        <v>393</v>
      </c>
      <c r="C16" s="47"/>
      <c r="D16" s="47"/>
      <c r="E16" s="47"/>
    </row>
    <row r="17" spans="2:5" x14ac:dyDescent="0.2">
      <c r="B17" s="47" t="s">
        <v>394</v>
      </c>
      <c r="C17" s="47"/>
      <c r="D17" s="47"/>
      <c r="E17" s="47"/>
    </row>
    <row r="18" spans="2:5" x14ac:dyDescent="0.2">
      <c r="B18" s="47" t="s">
        <v>395</v>
      </c>
      <c r="C18" s="47"/>
      <c r="D18" s="47"/>
      <c r="E18" s="47"/>
    </row>
    <row r="19" spans="2:5" x14ac:dyDescent="0.2">
      <c r="B19" s="47" t="s">
        <v>396</v>
      </c>
      <c r="C19" s="47"/>
      <c r="D19" s="47"/>
      <c r="E19" s="47"/>
    </row>
    <row r="20" spans="2:5" x14ac:dyDescent="0.2">
      <c r="B20" s="47" t="s">
        <v>397</v>
      </c>
      <c r="C20" s="47"/>
      <c r="D20" s="47"/>
      <c r="E20" s="47"/>
    </row>
  </sheetData>
  <sheetProtection algorithmName="SHA-512" hashValue="wbfdg/vHV69XgCasdRdwvzcpx2pyd/bqgGtTPwmJPQeFreDJdsiZJ7KTDbJrCTfuH0RFiCdZsidfhYmnnff+wQ==" saltValue="qU6q8cP2o8uOmQWvbWGu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2025-12-19T09:25:44Z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