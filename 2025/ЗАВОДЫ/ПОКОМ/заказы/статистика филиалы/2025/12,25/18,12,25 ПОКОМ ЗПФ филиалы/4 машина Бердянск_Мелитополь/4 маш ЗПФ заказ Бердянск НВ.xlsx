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BF911E66-6149-47B6-853A-1D65831295A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<sst xmlns="http://schemas.openxmlformats.org/spreadsheetml/2006/main" count="1222" uniqueCount="394">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</sst>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24</v>
      </c>
      <c r="Y24" s="269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24</v>
      </c>
      <c r="Y28" s="270">
        <f>IFERROR(SUM(Y22:Y27),"0")</f>
        <v>24</v>
      </c>
      <c r="Z28" s="270">
        <f>IFERROR(IF(Z22="",0,Z22),"0")+IFERROR(IF(Z23="",0,Z23),"0")+IFERROR(IF(Z24="",0,Z24),"0")+IFERROR(IF(Z25="",0,Z25),"0")+IFERROR(IF(Z26="",0,Z26),"0")+IFERROR(IF(Z27="",0,Z27),"0")</f>
        <v>0.372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172.8</v>
      </c>
      <c r="Y29" s="270">
        <f>IFERROR(SUMPRODUCT(Y22:Y27*H22:H27),"0")</f>
        <v>172.8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42</v>
      </c>
      <c r="Y39" s="269">
        <f>IFERROR(IF(X39="","",X39),"")</f>
        <v>42</v>
      </c>
      <c r="Z39" s="36">
        <f>IFERROR(IF(X39="","",X39*0.00941),"")</f>
        <v>0.39522000000000002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80.715599999999995</v>
      </c>
      <c r="BN39" s="67">
        <f>IFERROR(Y39*I39,"0")</f>
        <v>80.715599999999995</v>
      </c>
      <c r="BO39" s="67">
        <f>IFERROR(X39/J39,"0")</f>
        <v>0.3</v>
      </c>
      <c r="BP39" s="67">
        <f>IFERROR(Y39/J39,"0")</f>
        <v>0.3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28</v>
      </c>
      <c r="Y40" s="269">
        <f>IFERROR(IF(X40="","",X40),"")</f>
        <v>28</v>
      </c>
      <c r="Z40" s="36">
        <f>IFERROR(IF(X40="","",X40*0.00941),"")</f>
        <v>0.26347999999999999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53.810400000000001</v>
      </c>
      <c r="BN40" s="67">
        <f>IFERROR(Y40*I40,"0")</f>
        <v>53.810400000000001</v>
      </c>
      <c r="BO40" s="67">
        <f>IFERROR(X40/J40,"0")</f>
        <v>0.2</v>
      </c>
      <c r="BP40" s="67">
        <f>IFERROR(Y40/J40,"0")</f>
        <v>0.2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70</v>
      </c>
      <c r="Y41" s="270">
        <f>IFERROR(SUM(Y39:Y40),"0")</f>
        <v>70</v>
      </c>
      <c r="Z41" s="270">
        <f>IFERROR(IF(Z39="",0,Z39),"0")+IFERROR(IF(Z40="",0,Z40),"0")</f>
        <v>0.65870000000000006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105</v>
      </c>
      <c r="Y42" s="270">
        <f>IFERROR(SUMPRODUCT(Y39:Y40*H39:H40),"0")</f>
        <v>105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24</v>
      </c>
      <c r="Y46" s="269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72</v>
      </c>
      <c r="Y52" s="269">
        <f>IFERROR(IF(X52="","",X52),"")</f>
        <v>72</v>
      </c>
      <c r="Z52" s="36">
        <f>IFERROR(IF(X52="","",X52*0.0155),"")</f>
        <v>1.1160000000000001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525.6</v>
      </c>
      <c r="BN52" s="67">
        <f>IFERROR(Y52*I52,"0")</f>
        <v>525.6</v>
      </c>
      <c r="BO52" s="67">
        <f>IFERROR(X52/J52,"0")</f>
        <v>0.8571428571428571</v>
      </c>
      <c r="BP52" s="67">
        <f>IFERROR(Y52/J52,"0")</f>
        <v>0.8571428571428571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36</v>
      </c>
      <c r="Y53" s="26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48</v>
      </c>
      <c r="Y55" s="269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156</v>
      </c>
      <c r="Y56" s="270">
        <f>IFERROR(SUM(Y52:Y55),"0")</f>
        <v>156</v>
      </c>
      <c r="Z56" s="270">
        <f>IFERROR(IF(Z52="",0,Z52),"0")+IFERROR(IF(Z53="",0,Z53),"0")+IFERROR(IF(Z54="",0,Z54),"0")+IFERROR(IF(Z55="",0,Z55),"0")</f>
        <v>2.4180000000000001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1092</v>
      </c>
      <c r="Y57" s="270">
        <f>IFERROR(SUMPRODUCT(Y52:Y55*H52:H55),"0")</f>
        <v>1092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96</v>
      </c>
      <c r="Y81" s="269">
        <f>IFERROR(IF(X81="","",X81),"")</f>
        <v>96</v>
      </c>
      <c r="Z81" s="36">
        <f>IFERROR(IF(X81="","",X81*0.00866),"")</f>
        <v>0.83135999999999988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500.46719999999993</v>
      </c>
      <c r="BN81" s="67">
        <f>IFERROR(Y81*I81,"0")</f>
        <v>500.46719999999993</v>
      </c>
      <c r="BO81" s="67">
        <f>IFERROR(X81/J81,"0")</f>
        <v>0.66666666666666663</v>
      </c>
      <c r="BP81" s="67">
        <f>IFERROR(Y81/J81,"0")</f>
        <v>0.66666666666666663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96</v>
      </c>
      <c r="Y82" s="270">
        <f>IFERROR(SUM(Y80:Y81),"0")</f>
        <v>96</v>
      </c>
      <c r="Z82" s="270">
        <f>IFERROR(IF(Z80="",0,Z80),"0")+IFERROR(IF(Z81="",0,Z81),"0")</f>
        <v>0.83135999999999988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480</v>
      </c>
      <c r="Y83" s="270">
        <f>IFERROR(SUMPRODUCT(Y80:Y81*H80:H81),"0")</f>
        <v>480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84</v>
      </c>
      <c r="Y91" s="269">
        <f>IFERROR(IF(X91="","",X91),"")</f>
        <v>84</v>
      </c>
      <c r="Z91" s="36">
        <f>IFERROR(IF(X91="","",X91*0.01788),"")</f>
        <v>1.5019199999999999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361.50240000000002</v>
      </c>
      <c r="BN91" s="67">
        <f>IFERROR(Y91*I91,"0")</f>
        <v>361.50240000000002</v>
      </c>
      <c r="BO91" s="67">
        <f>IFERROR(X91/J91,"0")</f>
        <v>1.2</v>
      </c>
      <c r="BP91" s="67">
        <f>IFERROR(Y91/J91,"0")</f>
        <v>1.2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84</v>
      </c>
      <c r="Y92" s="269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168</v>
      </c>
      <c r="Y93" s="270">
        <f>IFERROR(SUM(Y91:Y92),"0")</f>
        <v>168</v>
      </c>
      <c r="Z93" s="270">
        <f>IFERROR(IF(Z91="",0,Z91),"0")+IFERROR(IF(Z92="",0,Z92),"0")</f>
        <v>3.0038399999999998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604.80000000000007</v>
      </c>
      <c r="Y94" s="270">
        <f>IFERROR(SUMPRODUCT(Y91:Y92*H91:H92),"0")</f>
        <v>604.80000000000007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28</v>
      </c>
      <c r="Y97" s="269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70</v>
      </c>
      <c r="Y99" s="269">
        <f t="shared" si="6"/>
        <v>70</v>
      </c>
      <c r="Z99" s="36">
        <f t="shared" si="7"/>
        <v>1.2516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56</v>
      </c>
      <c r="Y100" s="269">
        <f t="shared" si="6"/>
        <v>56</v>
      </c>
      <c r="Z100" s="36">
        <f t="shared" si="7"/>
        <v>1.0012799999999999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28</v>
      </c>
      <c r="Y101" s="269">
        <f t="shared" si="6"/>
        <v>28</v>
      </c>
      <c r="Z101" s="36">
        <f t="shared" si="7"/>
        <v>0.50063999999999997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266</v>
      </c>
      <c r="Y103" s="270">
        <f>IFERROR(SUM(Y97:Y102),"0")</f>
        <v>266</v>
      </c>
      <c r="Z103" s="270">
        <f>IFERROR(IF(Z97="",0,Z97),"0")+IFERROR(IF(Z98="",0,Z98),"0")+IFERROR(IF(Z99="",0,Z99),"0")+IFERROR(IF(Z100="",0,Z100),"0")+IFERROR(IF(Z101="",0,Z101),"0")+IFERROR(IF(Z102="",0,Z102),"0")</f>
        <v>4.7560799999999999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811.43999999999994</v>
      </c>
      <c r="Y104" s="270">
        <f>IFERROR(SUMPRODUCT(Y97:Y102*H97:H102),"0")</f>
        <v>811.43999999999994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56</v>
      </c>
      <c r="Y108" s="269">
        <f>IFERROR(IF(X108="","",X108),"")</f>
        <v>56</v>
      </c>
      <c r="Z108" s="36">
        <f>IFERROR(IF(X108="","",X108*0.01788),"")</f>
        <v>1.0012799999999999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237.66399999999999</v>
      </c>
      <c r="BN108" s="67">
        <f>IFERROR(Y108*I108,"0")</f>
        <v>237.66399999999999</v>
      </c>
      <c r="BO108" s="67">
        <f>IFERROR(X108/J108,"0")</f>
        <v>0.8</v>
      </c>
      <c r="BP108" s="67">
        <f>IFERROR(Y108/J108,"0")</f>
        <v>0.8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56</v>
      </c>
      <c r="Y109" s="270">
        <f>IFERROR(SUM(Y107:Y108),"0")</f>
        <v>56</v>
      </c>
      <c r="Z109" s="270">
        <f>IFERROR(IF(Z107="",0,Z107),"0")+IFERROR(IF(Z108="",0,Z108),"0")</f>
        <v>1.0012799999999999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201.6</v>
      </c>
      <c r="Y110" s="270">
        <f>IFERROR(SUMPRODUCT(Y107:Y108*H107:H108),"0")</f>
        <v>201.6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12</v>
      </c>
      <c r="Y115" s="269">
        <f t="shared" si="12"/>
        <v>12</v>
      </c>
      <c r="Z115" s="36">
        <f t="shared" si="13"/>
        <v>0.186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80.635199999999998</v>
      </c>
      <c r="BN115" s="67">
        <f t="shared" si="15"/>
        <v>80.635199999999998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72</v>
      </c>
      <c r="Y116" s="269">
        <f t="shared" si="12"/>
        <v>72</v>
      </c>
      <c r="Z116" s="36">
        <f t="shared" si="13"/>
        <v>1.1160000000000001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525.6</v>
      </c>
      <c r="BN116" s="67">
        <f t="shared" si="15"/>
        <v>525.6</v>
      </c>
      <c r="BO116" s="67">
        <f t="shared" si="16"/>
        <v>0.8571428571428571</v>
      </c>
      <c r="BP116" s="67">
        <f t="shared" si="17"/>
        <v>0.8571428571428571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204</v>
      </c>
      <c r="Y119" s="269">
        <f t="shared" si="12"/>
        <v>204</v>
      </c>
      <c r="Z119" s="36">
        <f t="shared" si="13"/>
        <v>3.1619999999999999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1489.2</v>
      </c>
      <c r="BN119" s="67">
        <f t="shared" si="15"/>
        <v>1489.2</v>
      </c>
      <c r="BO119" s="67">
        <f t="shared" si="16"/>
        <v>2.4285714285714284</v>
      </c>
      <c r="BP119" s="67">
        <f t="shared" si="17"/>
        <v>2.4285714285714284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288</v>
      </c>
      <c r="Y121" s="270">
        <f>IFERROR(SUM(Y113:Y120),"0")</f>
        <v>288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4.4640000000000004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2008.8</v>
      </c>
      <c r="Y122" s="270">
        <f>IFERROR(SUMPRODUCT(Y113:Y120*H113:H120),"0")</f>
        <v>2008.8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126</v>
      </c>
      <c r="Y133" s="269">
        <f>IFERROR(IF(X133="","",X133),"")</f>
        <v>126</v>
      </c>
      <c r="Z133" s="36">
        <f>IFERROR(IF(X133="","",X133*0.01788),"")</f>
        <v>2.2528800000000002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466.65359999999998</v>
      </c>
      <c r="BN133" s="67">
        <f>IFERROR(Y133*I133,"0")</f>
        <v>466.65359999999998</v>
      </c>
      <c r="BO133" s="67">
        <f>IFERROR(X133/J133,"0")</f>
        <v>1.8</v>
      </c>
      <c r="BP133" s="67">
        <f>IFERROR(Y133/J133,"0")</f>
        <v>1.8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84</v>
      </c>
      <c r="Y134" s="269">
        <f>IFERROR(IF(X134="","",X134),"")</f>
        <v>84</v>
      </c>
      <c r="Z134" s="36">
        <f>IFERROR(IF(X134="","",X134*0.01788),"")</f>
        <v>1.5019199999999999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311.10239999999999</v>
      </c>
      <c r="BN134" s="67">
        <f>IFERROR(Y134*I134,"0")</f>
        <v>311.10239999999999</v>
      </c>
      <c r="BO134" s="67">
        <f>IFERROR(X134/J134,"0")</f>
        <v>1.2</v>
      </c>
      <c r="BP134" s="67">
        <f>IFERROR(Y134/J134,"0")</f>
        <v>1.2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210</v>
      </c>
      <c r="Y135" s="270">
        <f>IFERROR(SUM(Y133:Y134),"0")</f>
        <v>210</v>
      </c>
      <c r="Z135" s="270">
        <f>IFERROR(IF(Z133="",0,Z133),"0")+IFERROR(IF(Z134="",0,Z134),"0")</f>
        <v>3.7548000000000004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630</v>
      </c>
      <c r="Y136" s="270">
        <f>IFERROR(SUMPRODUCT(Y133:Y134*H133:H134),"0")</f>
        <v>630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14</v>
      </c>
      <c r="Y141" s="270">
        <f>IFERROR(SUM(Y139:Y140),"0")</f>
        <v>14</v>
      </c>
      <c r="Z141" s="270">
        <f>IFERROR(IF(Z139="",0,Z139),"0")+IFERROR(IF(Z140="",0,Z140),"0")</f>
        <v>0.25031999999999999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42</v>
      </c>
      <c r="Y142" s="270">
        <f>IFERROR(SUMPRODUCT(Y139:Y140*H139:H140),"0")</f>
        <v>42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28</v>
      </c>
      <c r="Y151" s="269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28</v>
      </c>
      <c r="Y152" s="270">
        <f>IFERROR(SUM(Y151:Y151),"0")</f>
        <v>28</v>
      </c>
      <c r="Z152" s="270">
        <f>IFERROR(IF(Z151="",0,Z151),"0")</f>
        <v>0.50063999999999997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84</v>
      </c>
      <c r="Y153" s="270">
        <f>IFERROR(SUMPRODUCT(Y151:Y151*H151:H151),"0")</f>
        <v>84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180</v>
      </c>
      <c r="Y173" s="269">
        <f>IFERROR(IF(X173="","",X173),"")</f>
        <v>180</v>
      </c>
      <c r="Z173" s="36">
        <f>IFERROR(IF(X173="","",X173*0.00866),"")</f>
        <v>1.5588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938.37599999999998</v>
      </c>
      <c r="BN173" s="67">
        <f>IFERROR(Y173*I173,"0")</f>
        <v>938.37599999999998</v>
      </c>
      <c r="BO173" s="67">
        <f>IFERROR(X173/J173,"0")</f>
        <v>1.25</v>
      </c>
      <c r="BP173" s="67">
        <f>IFERROR(Y173/J173,"0")</f>
        <v>1.25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180</v>
      </c>
      <c r="Y174" s="270">
        <f>IFERROR(SUM(Y172:Y173),"0")</f>
        <v>180</v>
      </c>
      <c r="Z174" s="270">
        <f>IFERROR(IF(Z172="",0,Z172),"0")+IFERROR(IF(Z173="",0,Z173),"0")</f>
        <v>1.5588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900</v>
      </c>
      <c r="Y175" s="270">
        <f>IFERROR(SUMPRODUCT(Y172:Y173*H172:H173),"0")</f>
        <v>900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47.432000000000002</v>
      </c>
      <c r="BN180" s="67">
        <f>IFERROR(Y180*I180,"0")</f>
        <v>47.432000000000002</v>
      </c>
      <c r="BO180" s="67">
        <f>IFERROR(X180/J180,"0")</f>
        <v>0.2</v>
      </c>
      <c r="BP180" s="67">
        <f>IFERROR(Y180/J180,"0")</f>
        <v>0.2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56</v>
      </c>
      <c r="Y182" s="270">
        <f>IFERROR(SUM(Y179:Y181),"0")</f>
        <v>56</v>
      </c>
      <c r="Z182" s="270">
        <f>IFERROR(IF(Z179="",0,Z179),"0")+IFERROR(IF(Z180="",0,Z180),"0")+IFERROR(IF(Z181="",0,Z181),"0")</f>
        <v>1.0012799999999999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168</v>
      </c>
      <c r="Y183" s="270">
        <f>IFERROR(SUMPRODUCT(Y179:Y181*H179:H181),"0")</f>
        <v>168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28</v>
      </c>
      <c r="Y191" s="269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83.44</v>
      </c>
      <c r="BN191" s="67">
        <f>IFERROR(Y191*I191,"0")</f>
        <v>83.44</v>
      </c>
      <c r="BO191" s="67">
        <f>IFERROR(X191/J191,"0")</f>
        <v>0.4</v>
      </c>
      <c r="BP191" s="67">
        <f>IFERROR(Y191/J191,"0")</f>
        <v>0.4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28</v>
      </c>
      <c r="Y192" s="270">
        <f>IFERROR(SUM(Y191:Y191),"0")</f>
        <v>28</v>
      </c>
      <c r="Z192" s="270">
        <f>IFERROR(IF(Z191="",0,Z191),"0")</f>
        <v>0.50063999999999997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77.28</v>
      </c>
      <c r="Y193" s="270">
        <f>IFERROR(SUMPRODUCT(Y191:Y191*H191:H191),"0")</f>
        <v>77.28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48</v>
      </c>
      <c r="Y204" s="269">
        <f>IFERROR(IF(X204="","",X204),"")</f>
        <v>48</v>
      </c>
      <c r="Z204" s="36">
        <f>IFERROR(IF(X204="","",X204*0.0155),"")</f>
        <v>0.74399999999999999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251.04000000000002</v>
      </c>
      <c r="BN204" s="67">
        <f>IFERROR(Y204*I204,"0")</f>
        <v>251.04000000000002</v>
      </c>
      <c r="BO204" s="67">
        <f>IFERROR(X204/J204,"0")</f>
        <v>0.5714285714285714</v>
      </c>
      <c r="BP204" s="67">
        <f>IFERROR(Y204/J204,"0")</f>
        <v>0.5714285714285714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48</v>
      </c>
      <c r="Y205" s="270">
        <f>IFERROR(SUM(Y204:Y204),"0")</f>
        <v>48</v>
      </c>
      <c r="Z205" s="270">
        <f>IFERROR(IF(Z204="",0,Z204),"0")</f>
        <v>0.74399999999999999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240</v>
      </c>
      <c r="Y206" s="270">
        <f>IFERROR(SUMPRODUCT(Y204:Y204*H204:H204),"0")</f>
        <v>240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108</v>
      </c>
      <c r="Y226" s="269">
        <f>IFERROR(IF(X226="","",X226),"")</f>
        <v>108</v>
      </c>
      <c r="Z226" s="36">
        <f>IFERROR(IF(X226="","",X226*0.0155),"")</f>
        <v>1.6739999999999999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568.29599999999994</v>
      </c>
      <c r="BN226" s="67">
        <f>IFERROR(Y226*I226,"0")</f>
        <v>568.29599999999994</v>
      </c>
      <c r="BO226" s="67">
        <f>IFERROR(X226/J226,"0")</f>
        <v>1.2857142857142858</v>
      </c>
      <c r="BP226" s="67">
        <f>IFERROR(Y226/J226,"0")</f>
        <v>1.2857142857142858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108</v>
      </c>
      <c r="Y227" s="270">
        <f>IFERROR(SUM(Y226:Y226),"0")</f>
        <v>108</v>
      </c>
      <c r="Z227" s="270">
        <f>IFERROR(IF(Z226="",0,Z226),"0")</f>
        <v>1.6739999999999999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540</v>
      </c>
      <c r="Y228" s="270">
        <f>IFERROR(SUMPRODUCT(Y226:Y226*H226:H226),"0")</f>
        <v>540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84</v>
      </c>
      <c r="Y243" s="269">
        <f>IFERROR(IF(X243="","",X243),"")</f>
        <v>84</v>
      </c>
      <c r="Z243" s="36">
        <f>IFERROR(IF(X243="","",X243*0.0155),"")</f>
        <v>1.302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611.52</v>
      </c>
      <c r="BN243" s="67">
        <f>IFERROR(Y243*I243,"0")</f>
        <v>611.52</v>
      </c>
      <c r="BO243" s="67">
        <f>IFERROR(X243/J243,"0")</f>
        <v>1</v>
      </c>
      <c r="BP243" s="67">
        <f>IFERROR(Y243/J243,"0")</f>
        <v>1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84</v>
      </c>
      <c r="Y244" s="270">
        <f>IFERROR(SUM(Y242:Y243),"0")</f>
        <v>84</v>
      </c>
      <c r="Z244" s="270">
        <f>IFERROR(IF(Z242="",0,Z242),"0")+IFERROR(IF(Z243="",0,Z243),"0")</f>
        <v>1.302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588</v>
      </c>
      <c r="Y245" s="270">
        <f>IFERROR(SUMPRODUCT(Y242:Y243*H242:H243),"0")</f>
        <v>588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60</v>
      </c>
      <c r="Y247" s="269">
        <f>IFERROR(IF(X247="","",X247),"")</f>
        <v>60</v>
      </c>
      <c r="Z247" s="36">
        <f>IFERROR(IF(X247="","",X247*0.0155),"")</f>
        <v>0.92999999999999994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375.59999999999997</v>
      </c>
      <c r="BN247" s="67">
        <f>IFERROR(Y247*I247,"0")</f>
        <v>375.59999999999997</v>
      </c>
      <c r="BO247" s="67">
        <f>IFERROR(X247/J247,"0")</f>
        <v>0.7142857142857143</v>
      </c>
      <c r="BP247" s="67">
        <f>IFERROR(Y247/J247,"0")</f>
        <v>0.7142857142857143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60</v>
      </c>
      <c r="Y249" s="270">
        <f>IFERROR(SUM(Y247:Y248),"0")</f>
        <v>60</v>
      </c>
      <c r="Z249" s="270">
        <f>IFERROR(IF(Z247="",0,Z247),"0")+IFERROR(IF(Z248="",0,Z248),"0")</f>
        <v>0.92999999999999994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360</v>
      </c>
      <c r="Y250" s="270">
        <f>IFERROR(SUMPRODUCT(Y247:Y248*H247:H248),"0")</f>
        <v>360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28</v>
      </c>
      <c r="Y259" s="269">
        <f t="shared" si="18"/>
        <v>28</v>
      </c>
      <c r="Z259" s="36">
        <f>IFERROR(IF(X259="","",X259*0.00936),"")</f>
        <v>0.26207999999999998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42</v>
      </c>
      <c r="Y268" s="270">
        <f>IFERROR(SUM(Y258:Y267),"0")</f>
        <v>42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0.39311999999999997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145.60000000000002</v>
      </c>
      <c r="Y269" s="270">
        <f>IFERROR(SUMPRODUCT(Y258:Y267*H258:H267),"0")</f>
        <v>145.60000000000002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9513.4</v>
      </c>
      <c r="Y270" s="270">
        <f>IFERROR(Y29+Y35+Y42+Y49+Y57+Y62+Y66+Y71+Y77+Y83+Y88+Y94+Y104+Y110+Y122+Y126+Y130+Y136+Y142+Y148+Y153+Y158+Y163+Y168+Y175+Y183+Y187+Y193+Y201+Y206+Y211+Y216+Y222+Y228+Y234+Y238+Y245+Y250+Y256+Y269,"0")</f>
        <v>9513.4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10416.121200000001</v>
      </c>
      <c r="Y271" s="270">
        <f>IFERROR(SUM(BN22:BN267),"0")</f>
        <v>10416.121200000001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25</v>
      </c>
      <c r="Y272" s="38">
        <f>ROUNDUP(SUM(BP22:BP267),0)</f>
        <v>25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11041.121200000001</v>
      </c>
      <c r="Y273" s="270">
        <f>GrossWeightTotalR+PalletQtyTotalR*25</f>
        <v>11041.121200000001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2076</v>
      </c>
      <c r="Y274" s="270">
        <f>IFERROR(Y28+Y34+Y41+Y48+Y56+Y61+Y65+Y70+Y76+Y82+Y87+Y93+Y103+Y109+Y121+Y125+Y129+Y135+Y141+Y147+Y152+Y157+Y162+Y167+Y174+Y182+Y186+Y192+Y200+Y205+Y210+Y215+Y221+Y227+Y233+Y237+Y244+Y249+Y255+Y268,"0")</f>
        <v>2076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31.264139999999998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172.8</v>
      </c>
      <c r="C280" s="46">
        <f>IFERROR(X32*H32,"0")+IFERROR(X33*H33,"0")</f>
        <v>0</v>
      </c>
      <c r="D280" s="46">
        <f>IFERROR(X39*H39,"0")+IFERROR(X40*H40,"0")</f>
        <v>105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1092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480</v>
      </c>
      <c r="I280" s="46">
        <f>IFERROR(X86*H86,"0")</f>
        <v>0</v>
      </c>
      <c r="J280" s="46">
        <f>IFERROR(X91*H91,"0")+IFERROR(X92*H92,"0")</f>
        <v>604.80000000000007</v>
      </c>
      <c r="K280" s="46">
        <f>IFERROR(X97*H97,"0")+IFERROR(X98*H98,"0")+IFERROR(X99*H99,"0")+IFERROR(X100*H100,"0")+IFERROR(X101*H101,"0")+IFERROR(X102*H102,"0")</f>
        <v>811.43999999999994</v>
      </c>
      <c r="L280" s="46">
        <f>IFERROR(X107*H107,"0")+IFERROR(X108*H108,"0")</f>
        <v>201.6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2008.8</v>
      </c>
      <c r="N280" s="266"/>
      <c r="O280" s="46">
        <f>IFERROR(X133*H133,"0")+IFERROR(X134*H134,"0")</f>
        <v>630</v>
      </c>
      <c r="P280" s="46">
        <f>IFERROR(X139*H139,"0")+IFERROR(X140*H140,"0")</f>
        <v>42</v>
      </c>
      <c r="Q280" s="46">
        <f>IFERROR(X145*H145,"0")+IFERROR(X146*H146,"0")</f>
        <v>0</v>
      </c>
      <c r="R280" s="46">
        <f>IFERROR(X151*H151,"0")</f>
        <v>84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900</v>
      </c>
      <c r="W280" s="46">
        <f>IFERROR(X179*H179,"0")+IFERROR(X180*H180,"0")+IFERROR(X181*H181,"0")+IFERROR(X185*H185,"0")</f>
        <v>168</v>
      </c>
      <c r="X280" s="46">
        <f>IFERROR(X191*H191,"0")+IFERROR(X195*H195,"0")+IFERROR(X196*H196,"0")+IFERROR(X197*H197,"0")+IFERROR(X198*H198,"0")+IFERROR(X199*H199,"0")</f>
        <v>110.88</v>
      </c>
      <c r="Y280" s="46">
        <f>IFERROR(X204*H204,"0")</f>
        <v>240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540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1093.5999999999999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6156</v>
      </c>
      <c r="B283" s="60">
        <f>SUMPRODUCT(--(BB:BB="ПГП"),--(W:W="кор"),H:H,Y:Y)+SUMPRODUCT(--(BB:BB="ПГП"),--(W:W="кг"),Y:Y)</f>
        <v>3357.4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2025-12-19T09:32:44Z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