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Mel\"/>
    </mc:Choice>
  </mc:AlternateContent>
  <xr:revisionPtr revIDLastSave="0" documentId="13_ncr:1_{48F4822D-AD9C-478C-B69E-EEFE8BE7E8F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Y245" i="1"/>
  <c r="X245" i="1"/>
  <c r="Z244" i="1"/>
  <c r="X244" i="1"/>
  <c r="BO243" i="1"/>
  <c r="BM243" i="1"/>
  <c r="Z243" i="1"/>
  <c r="Y243" i="1"/>
  <c r="P243" i="1"/>
  <c r="BP242" i="1"/>
  <c r="BO242" i="1"/>
  <c r="BN242" i="1"/>
  <c r="BM242" i="1"/>
  <c r="Z242" i="1"/>
  <c r="Y242" i="1"/>
  <c r="Y244" i="1" s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Y172" i="1"/>
  <c r="P172" i="1"/>
  <c r="Y168" i="1"/>
  <c r="X168" i="1"/>
  <c r="Z167" i="1"/>
  <c r="X167" i="1"/>
  <c r="BO166" i="1"/>
  <c r="BM166" i="1"/>
  <c r="Z166" i="1"/>
  <c r="Y166" i="1"/>
  <c r="P166" i="1"/>
  <c r="X163" i="1"/>
  <c r="Z162" i="1"/>
  <c r="X162" i="1"/>
  <c r="BO161" i="1"/>
  <c r="BM161" i="1"/>
  <c r="Z161" i="1"/>
  <c r="Y161" i="1"/>
  <c r="Y163" i="1" s="1"/>
  <c r="P161" i="1"/>
  <c r="Y158" i="1"/>
  <c r="X158" i="1"/>
  <c r="Z157" i="1"/>
  <c r="X157" i="1"/>
  <c r="BO156" i="1"/>
  <c r="BM156" i="1"/>
  <c r="Z156" i="1"/>
  <c r="Y156" i="1"/>
  <c r="P156" i="1"/>
  <c r="X153" i="1"/>
  <c r="Z152" i="1"/>
  <c r="X152" i="1"/>
  <c r="BO151" i="1"/>
  <c r="BM151" i="1"/>
  <c r="Z151" i="1"/>
  <c r="Y151" i="1"/>
  <c r="Y153" i="1" s="1"/>
  <c r="P151" i="1"/>
  <c r="Y148" i="1"/>
  <c r="X148" i="1"/>
  <c r="Z147" i="1"/>
  <c r="X147" i="1"/>
  <c r="BO146" i="1"/>
  <c r="BM146" i="1"/>
  <c r="Z146" i="1"/>
  <c r="Y146" i="1"/>
  <c r="P146" i="1"/>
  <c r="BP145" i="1"/>
  <c r="BO145" i="1"/>
  <c r="BN145" i="1"/>
  <c r="BM145" i="1"/>
  <c r="Z145" i="1"/>
  <c r="Y145" i="1"/>
  <c r="Y147" i="1" s="1"/>
  <c r="P145" i="1"/>
  <c r="X142" i="1"/>
  <c r="X141" i="1"/>
  <c r="BO140" i="1"/>
  <c r="BM140" i="1"/>
  <c r="Z140" i="1"/>
  <c r="Y140" i="1"/>
  <c r="BP140" i="1" s="1"/>
  <c r="P140" i="1"/>
  <c r="BP139" i="1"/>
  <c r="BO139" i="1"/>
  <c r="BN139" i="1"/>
  <c r="BM139" i="1"/>
  <c r="Z139" i="1"/>
  <c r="Z141" i="1" s="1"/>
  <c r="Y139" i="1"/>
  <c r="P139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Z135" i="1" s="1"/>
  <c r="Y133" i="1"/>
  <c r="Y135" i="1" s="1"/>
  <c r="P133" i="1"/>
  <c r="X130" i="1"/>
  <c r="Z129" i="1"/>
  <c r="X129" i="1"/>
  <c r="BO128" i="1"/>
  <c r="BM128" i="1"/>
  <c r="Z128" i="1"/>
  <c r="Y128" i="1"/>
  <c r="Y130" i="1" s="1"/>
  <c r="P128" i="1"/>
  <c r="X126" i="1"/>
  <c r="Z125" i="1"/>
  <c r="X125" i="1"/>
  <c r="BO124" i="1"/>
  <c r="BM124" i="1"/>
  <c r="Z124" i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Z109" i="1" s="1"/>
  <c r="Y107" i="1"/>
  <c r="Y109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Z93" i="1" s="1"/>
  <c r="Y91" i="1"/>
  <c r="Y93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Z76" i="1" s="1"/>
  <c r="Y73" i="1"/>
  <c r="Y76" i="1" s="1"/>
  <c r="P73" i="1"/>
  <c r="X71" i="1"/>
  <c r="X70" i="1"/>
  <c r="BO69" i="1"/>
  <c r="BM69" i="1"/>
  <c r="Z69" i="1"/>
  <c r="Y69" i="1"/>
  <c r="BP69" i="1" s="1"/>
  <c r="P69" i="1"/>
  <c r="BO68" i="1"/>
  <c r="BM68" i="1"/>
  <c r="Z68" i="1"/>
  <c r="Z70" i="1" s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7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Y48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1" i="1" s="1"/>
  <c r="P39" i="1"/>
  <c r="X35" i="1"/>
  <c r="X34" i="1"/>
  <c r="BO33" i="1"/>
  <c r="BM33" i="1"/>
  <c r="Z33" i="1"/>
  <c r="Y33" i="1"/>
  <c r="Y35" i="1" s="1"/>
  <c r="P33" i="1"/>
  <c r="BP32" i="1"/>
  <c r="BO32" i="1"/>
  <c r="BN32" i="1"/>
  <c r="BM32" i="1"/>
  <c r="Z32" i="1"/>
  <c r="Z34" i="1" s="1"/>
  <c r="Y32" i="1"/>
  <c r="Y34" i="1" s="1"/>
  <c r="P32" i="1"/>
  <c r="X29" i="1"/>
  <c r="X270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72" i="1" s="1"/>
  <c r="BM22" i="1"/>
  <c r="X271" i="1" s="1"/>
  <c r="X273" i="1" s="1"/>
  <c r="Z22" i="1"/>
  <c r="Z28" i="1" s="1"/>
  <c r="Y22" i="1"/>
  <c r="Y28" i="1" s="1"/>
  <c r="P22" i="1"/>
  <c r="H10" i="1"/>
  <c r="A9" i="1"/>
  <c r="A10" i="1" s="1"/>
  <c r="D7" i="1"/>
  <c r="Q6" i="1"/>
  <c r="P2" i="1"/>
  <c r="F9" i="1" l="1"/>
  <c r="J9" i="1"/>
  <c r="F10" i="1"/>
  <c r="BN22" i="1"/>
  <c r="BP22" i="1"/>
  <c r="BN24" i="1"/>
  <c r="BN26" i="1"/>
  <c r="X274" i="1"/>
  <c r="Y29" i="1"/>
  <c r="BN33" i="1"/>
  <c r="BP33" i="1"/>
  <c r="BN39" i="1"/>
  <c r="BP39" i="1"/>
  <c r="Y42" i="1"/>
  <c r="BN46" i="1"/>
  <c r="BP46" i="1"/>
  <c r="BN53" i="1"/>
  <c r="Y56" i="1"/>
  <c r="Y274" i="1" s="1"/>
  <c r="BN60" i="1"/>
  <c r="BP60" i="1"/>
  <c r="Y61" i="1"/>
  <c r="BN64" i="1"/>
  <c r="BP64" i="1"/>
  <c r="Y65" i="1"/>
  <c r="BN68" i="1"/>
  <c r="BP68" i="1"/>
  <c r="Y71" i="1"/>
  <c r="BN74" i="1"/>
  <c r="Y77" i="1"/>
  <c r="Y82" i="1"/>
  <c r="BN86" i="1"/>
  <c r="BP86" i="1"/>
  <c r="Y87" i="1"/>
  <c r="BN91" i="1"/>
  <c r="BP91" i="1"/>
  <c r="Y94" i="1"/>
  <c r="BN98" i="1"/>
  <c r="BN100" i="1"/>
  <c r="BN102" i="1"/>
  <c r="Y103" i="1"/>
  <c r="BN107" i="1"/>
  <c r="BP107" i="1"/>
  <c r="Y110" i="1"/>
  <c r="BN114" i="1"/>
  <c r="BN116" i="1"/>
  <c r="BN118" i="1"/>
  <c r="BN120" i="1"/>
  <c r="Y121" i="1"/>
  <c r="BN124" i="1"/>
  <c r="BP124" i="1"/>
  <c r="Y125" i="1"/>
  <c r="BN128" i="1"/>
  <c r="BP128" i="1"/>
  <c r="Y129" i="1"/>
  <c r="BN133" i="1"/>
  <c r="BP133" i="1"/>
  <c r="Y136" i="1"/>
  <c r="Y142" i="1"/>
  <c r="BN140" i="1"/>
  <c r="Y141" i="1"/>
  <c r="BP146" i="1"/>
  <c r="BN146" i="1"/>
  <c r="Y157" i="1"/>
  <c r="BP156" i="1"/>
  <c r="BN156" i="1"/>
  <c r="Y167" i="1"/>
  <c r="BP166" i="1"/>
  <c r="BN166" i="1"/>
  <c r="Z174" i="1"/>
  <c r="Z275" i="1" s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Y256" i="1"/>
  <c r="H9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1" i="1" l="1"/>
  <c r="Y270" i="1"/>
  <c r="Y272" i="1"/>
  <c r="Y273" i="1" l="1"/>
  <c r="C283" i="1" s="1"/>
  <c r="A283" i="1"/>
  <c r="B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<sst xmlns="http://schemas.openxmlformats.org/spreadsheetml/2006/main" count="1222" uniqueCount="394">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</sst>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5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72</v>
      </c>
      <c r="Y24" s="269">
        <f t="shared" si="0"/>
        <v>72</v>
      </c>
      <c r="Z24" s="36">
        <f t="shared" si="1"/>
        <v>1.1160000000000001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537.84</v>
      </c>
      <c r="BN24" s="67">
        <f t="shared" si="3"/>
        <v>537.84</v>
      </c>
      <c r="BO24" s="67">
        <f t="shared" si="4"/>
        <v>0.8571428571428571</v>
      </c>
      <c r="BP24" s="67">
        <f t="shared" si="5"/>
        <v>0.8571428571428571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60</v>
      </c>
      <c r="Y26" s="269">
        <f t="shared" si="0"/>
        <v>60</v>
      </c>
      <c r="Z26" s="36">
        <f t="shared" si="1"/>
        <v>0.92999999999999994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448.2</v>
      </c>
      <c r="BN26" s="67">
        <f t="shared" si="3"/>
        <v>448.2</v>
      </c>
      <c r="BO26" s="67">
        <f t="shared" si="4"/>
        <v>0.7142857142857143</v>
      </c>
      <c r="BP26" s="67">
        <f t="shared" si="5"/>
        <v>0.7142857142857143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132</v>
      </c>
      <c r="Y28" s="270">
        <f>IFERROR(SUM(Y22:Y27),"0")</f>
        <v>132</v>
      </c>
      <c r="Z28" s="270">
        <f>IFERROR(IF(Z22="",0,Z22),"0")+IFERROR(IF(Z23="",0,Z23),"0")+IFERROR(IF(Z24="",0,Z24),"0")+IFERROR(IF(Z25="",0,Z25),"0")+IFERROR(IF(Z26="",0,Z26),"0")+IFERROR(IF(Z27="",0,Z27),"0")</f>
        <v>2.0460000000000003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950.4</v>
      </c>
      <c r="Y29" s="270">
        <f>IFERROR(SUMPRODUCT(Y22:Y27*H22:H27),"0")</f>
        <v>950.4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154</v>
      </c>
      <c r="Y39" s="269">
        <f>IFERROR(IF(X39="","",X39),"")</f>
        <v>154</v>
      </c>
      <c r="Z39" s="36">
        <f>IFERROR(IF(X39="","",X39*0.00941),"")</f>
        <v>1.4491400000000001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295.9572</v>
      </c>
      <c r="BN39" s="67">
        <f>IFERROR(Y39*I39,"0")</f>
        <v>295.9572</v>
      </c>
      <c r="BO39" s="67">
        <f>IFERROR(X39/J39,"0")</f>
        <v>1.1000000000000001</v>
      </c>
      <c r="BP39" s="67">
        <f>IFERROR(Y39/J39,"0")</f>
        <v>1.1000000000000001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154</v>
      </c>
      <c r="Y41" s="270">
        <f>IFERROR(SUM(Y39:Y40),"0")</f>
        <v>154</v>
      </c>
      <c r="Z41" s="270">
        <f>IFERROR(IF(Z39="",0,Z39),"0")+IFERROR(IF(Z40="",0,Z40),"0")</f>
        <v>1.4491400000000001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231</v>
      </c>
      <c r="Y42" s="270">
        <f>IFERROR(SUMPRODUCT(Y39:Y40*H39:H40),"0")</f>
        <v>231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60</v>
      </c>
      <c r="Y45" s="269">
        <f>IFERROR(IF(X45="","",X45),"")</f>
        <v>60</v>
      </c>
      <c r="Z45" s="36">
        <f>IFERROR(IF(X45="","",X45*0.0155),"")</f>
        <v>0.92999999999999994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352.2</v>
      </c>
      <c r="BN45" s="67">
        <f>IFERROR(Y45*I45,"0")</f>
        <v>352.2</v>
      </c>
      <c r="BO45" s="67">
        <f>IFERROR(X45/J45,"0")</f>
        <v>0.7142857142857143</v>
      </c>
      <c r="BP45" s="67">
        <f>IFERROR(Y45/J45,"0")</f>
        <v>0.7142857142857143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12</v>
      </c>
      <c r="Y47" s="26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72</v>
      </c>
      <c r="Y48" s="270">
        <f>IFERROR(SUM(Y45:Y47),"0")</f>
        <v>72</v>
      </c>
      <c r="Z48" s="270">
        <f>IFERROR(IF(Z45="",0,Z45),"0")+IFERROR(IF(Z46="",0,Z46),"0")+IFERROR(IF(Z47="",0,Z47),"0")</f>
        <v>1.1159999999999999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403.2</v>
      </c>
      <c r="Y49" s="270">
        <f>IFERROR(SUMPRODUCT(Y45:Y47*H45:H47),"0")</f>
        <v>403.2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48</v>
      </c>
      <c r="Y52" s="269">
        <f>IFERROR(IF(X52="","",X52),"")</f>
        <v>48</v>
      </c>
      <c r="Z52" s="36">
        <f>IFERROR(IF(X52="","",X52*0.0155),"")</f>
        <v>0.74399999999999999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350.4</v>
      </c>
      <c r="BN52" s="67">
        <f>IFERROR(Y52*I52,"0")</f>
        <v>350.4</v>
      </c>
      <c r="BO52" s="67">
        <f>IFERROR(X52/J52,"0")</f>
        <v>0.5714285714285714</v>
      </c>
      <c r="BP52" s="67">
        <f>IFERROR(Y52/J52,"0")</f>
        <v>0.5714285714285714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60</v>
      </c>
      <c r="Y53" s="269">
        <f>IFERROR(IF(X53="","",X53),"")</f>
        <v>60</v>
      </c>
      <c r="Z53" s="36">
        <f>IFERROR(IF(X53="","",X53*0.0155),"")</f>
        <v>0.92999999999999994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437.15999999999997</v>
      </c>
      <c r="BN53" s="67">
        <f>IFERROR(Y53*I53,"0")</f>
        <v>437.15999999999997</v>
      </c>
      <c r="BO53" s="67">
        <f>IFERROR(X53/J53,"0")</f>
        <v>0.7142857142857143</v>
      </c>
      <c r="BP53" s="67">
        <f>IFERROR(Y53/J53,"0")</f>
        <v>0.7142857142857143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12</v>
      </c>
      <c r="Y55" s="269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120</v>
      </c>
      <c r="Y56" s="270">
        <f>IFERROR(SUM(Y52:Y55),"0")</f>
        <v>120</v>
      </c>
      <c r="Z56" s="270">
        <f>IFERROR(IF(Z52="",0,Z52),"0")+IFERROR(IF(Z53="",0,Z53),"0")+IFERROR(IF(Z54="",0,Z54),"0")+IFERROR(IF(Z55="",0,Z55),"0")</f>
        <v>1.8599999999999999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840</v>
      </c>
      <c r="Y57" s="270">
        <f>IFERROR(SUMPRODUCT(Y52:Y55*H52:H55),"0")</f>
        <v>840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96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98</v>
      </c>
      <c r="AK64" s="71">
        <v>14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139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140</v>
      </c>
      <c r="AK73" s="71">
        <v>140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139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140</v>
      </c>
      <c r="AK74" s="71">
        <v>140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139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140</v>
      </c>
      <c r="AK75" s="71">
        <v>140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146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149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60</v>
      </c>
      <c r="Y81" s="269">
        <f>IFERROR(IF(X81="","",X81),"")</f>
        <v>60</v>
      </c>
      <c r="Z81" s="36">
        <f>IFERROR(IF(X81="","",X81*0.00866),"")</f>
        <v>0.51959999999999995</v>
      </c>
      <c r="AA81" s="56"/>
      <c r="AB81" s="57"/>
      <c r="AC81" s="122" t="s">
        <v>150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312.79199999999997</v>
      </c>
      <c r="BN81" s="67">
        <f>IFERROR(Y81*I81,"0")</f>
        <v>312.79199999999997</v>
      </c>
      <c r="BO81" s="67">
        <f>IFERROR(X81/J81,"0")</f>
        <v>0.41666666666666669</v>
      </c>
      <c r="BP81" s="67">
        <f>IFERROR(Y81/J81,"0")</f>
        <v>0.41666666666666669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60</v>
      </c>
      <c r="Y82" s="270">
        <f>IFERROR(SUM(Y80:Y81),"0")</f>
        <v>60</v>
      </c>
      <c r="Z82" s="270">
        <f>IFERROR(IF(Z80="",0,Z80),"0")+IFERROR(IF(Z81="",0,Z81),"0")</f>
        <v>0.51959999999999995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300</v>
      </c>
      <c r="Y83" s="270">
        <f>IFERROR(SUMPRODUCT(Y80:Y81*H80:H81),"0")</f>
        <v>300</v>
      </c>
      <c r="Z83" s="37"/>
      <c r="AA83" s="271"/>
      <c r="AB83" s="271"/>
      <c r="AC83" s="271"/>
    </row>
    <row r="84" spans="1:68" ht="16.5" customHeight="1" x14ac:dyDescent="0.25">
      <c r="A84" s="284" t="s">
        <v>153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156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customHeight="1" x14ac:dyDescent="0.25">
      <c r="A89" s="284" t="s">
        <v>157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158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70</v>
      </c>
      <c r="Y91" s="269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161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196</v>
      </c>
      <c r="Y92" s="269">
        <f>IFERROR(IF(X92="","",X92),"")</f>
        <v>196</v>
      </c>
      <c r="Z92" s="36">
        <f>IFERROR(IF(X92="","",X92*0.01788),"")</f>
        <v>3.50448</v>
      </c>
      <c r="AA92" s="56"/>
      <c r="AB92" s="57"/>
      <c r="AC92" s="128" t="s">
        <v>164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843.50560000000007</v>
      </c>
      <c r="BN92" s="67">
        <f>IFERROR(Y92*I92,"0")</f>
        <v>843.50560000000007</v>
      </c>
      <c r="BO92" s="67">
        <f>IFERROR(X92/J92,"0")</f>
        <v>2.8</v>
      </c>
      <c r="BP92" s="67">
        <f>IFERROR(Y92/J92,"0")</f>
        <v>2.8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266</v>
      </c>
      <c r="Y93" s="270">
        <f>IFERROR(SUM(Y91:Y92),"0")</f>
        <v>266</v>
      </c>
      <c r="Z93" s="270">
        <f>IFERROR(IF(Z91="",0,Z91),"0")+IFERROR(IF(Z92="",0,Z92),"0")</f>
        <v>4.7560799999999999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957.6</v>
      </c>
      <c r="Y94" s="270">
        <f>IFERROR(SUMPRODUCT(Y91:Y92*H91:H92),"0")</f>
        <v>957.6</v>
      </c>
      <c r="Z94" s="37"/>
      <c r="AA94" s="271"/>
      <c r="AB94" s="271"/>
      <c r="AC94" s="271"/>
    </row>
    <row r="95" spans="1:68" ht="16.5" customHeight="1" x14ac:dyDescent="0.25">
      <c r="A95" s="284" t="s">
        <v>165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56</v>
      </c>
      <c r="Y97" s="269">
        <f t="shared" ref="Y97:Y102" si="6">IFERROR(IF(X97="","",X97),"")</f>
        <v>56</v>
      </c>
      <c r="Z97" s="36">
        <f t="shared" ref="Z97:Z102" si="7">IFERROR(IF(X97="","",X97*0.01788),"")</f>
        <v>1.0012799999999999</v>
      </c>
      <c r="AA97" s="56"/>
      <c r="AB97" s="57"/>
      <c r="AC97" s="130" t="s">
        <v>156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200.6816</v>
      </c>
      <c r="BN97" s="67">
        <f t="shared" ref="BN97:BN102" si="9">IFERROR(Y97*I97,"0")</f>
        <v>200.6816</v>
      </c>
      <c r="BO97" s="67">
        <f t="shared" ref="BO97:BO102" si="10">IFERROR(X97/J97,"0")</f>
        <v>0.8</v>
      </c>
      <c r="BP97" s="67">
        <f t="shared" ref="BP97:BP102" si="11">IFERROR(Y97/J97,"0")</f>
        <v>0.8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112</v>
      </c>
      <c r="Y98" s="269">
        <f t="shared" si="6"/>
        <v>112</v>
      </c>
      <c r="Z98" s="36">
        <f t="shared" si="7"/>
        <v>2.0025599999999999</v>
      </c>
      <c r="AA98" s="56"/>
      <c r="AB98" s="57"/>
      <c r="AC98" s="132" t="s">
        <v>156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401.36320000000001</v>
      </c>
      <c r="BN98" s="67">
        <f t="shared" si="9"/>
        <v>401.36320000000001</v>
      </c>
      <c r="BO98" s="67">
        <f t="shared" si="10"/>
        <v>1.6</v>
      </c>
      <c r="BP98" s="67">
        <f t="shared" si="11"/>
        <v>1.6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14</v>
      </c>
      <c r="Y99" s="269">
        <f t="shared" si="6"/>
        <v>14</v>
      </c>
      <c r="Z99" s="36">
        <f t="shared" si="7"/>
        <v>0.25031999999999999</v>
      </c>
      <c r="AA99" s="56"/>
      <c r="AB99" s="57"/>
      <c r="AC99" s="134" t="s">
        <v>172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84</v>
      </c>
      <c r="Y100" s="269">
        <f t="shared" si="6"/>
        <v>84</v>
      </c>
      <c r="Z100" s="36">
        <f t="shared" si="7"/>
        <v>1.5019199999999999</v>
      </c>
      <c r="AA100" s="56"/>
      <c r="AB100" s="57"/>
      <c r="AC100" s="136" t="s">
        <v>156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301.0224</v>
      </c>
      <c r="BN100" s="67">
        <f t="shared" si="9"/>
        <v>301.0224</v>
      </c>
      <c r="BO100" s="67">
        <f t="shared" si="10"/>
        <v>1.2</v>
      </c>
      <c r="BP100" s="67">
        <f t="shared" si="11"/>
        <v>1.2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14</v>
      </c>
      <c r="Y101" s="269">
        <f t="shared" si="6"/>
        <v>14</v>
      </c>
      <c r="Z101" s="36">
        <f t="shared" si="7"/>
        <v>0.25031999999999999</v>
      </c>
      <c r="AA101" s="56"/>
      <c r="AB101" s="57"/>
      <c r="AC101" s="138" t="s">
        <v>156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62.283200000000008</v>
      </c>
      <c r="BN101" s="67">
        <f t="shared" si="9"/>
        <v>62.283200000000008</v>
      </c>
      <c r="BO101" s="67">
        <f t="shared" si="10"/>
        <v>0.2</v>
      </c>
      <c r="BP101" s="67">
        <f t="shared" si="11"/>
        <v>0.2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280</v>
      </c>
      <c r="Y103" s="270">
        <f>IFERROR(SUM(Y97:Y102),"0")</f>
        <v>280</v>
      </c>
      <c r="Z103" s="270">
        <f>IFERROR(IF(Z97="",0,Z97),"0")+IFERROR(IF(Z98="",0,Z98),"0")+IFERROR(IF(Z99="",0,Z99),"0")+IFERROR(IF(Z100="",0,Z100),"0")+IFERROR(IF(Z101="",0,Z101),"0")+IFERROR(IF(Z102="",0,Z102),"0")</f>
        <v>5.0064000000000002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819.84</v>
      </c>
      <c r="Y104" s="270">
        <f>IFERROR(SUMPRODUCT(Y97:Y102*H97:H102),"0")</f>
        <v>819.84</v>
      </c>
      <c r="Z104" s="37"/>
      <c r="AA104" s="271"/>
      <c r="AB104" s="271"/>
      <c r="AC104" s="271"/>
    </row>
    <row r="105" spans="1:68" ht="16.5" customHeight="1" x14ac:dyDescent="0.25">
      <c r="A105" s="284" t="s">
        <v>180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4" t="s">
        <v>186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150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84</v>
      </c>
      <c r="Y116" s="269">
        <f t="shared" si="12"/>
        <v>84</v>
      </c>
      <c r="Z116" s="36">
        <f t="shared" si="13"/>
        <v>1.302</v>
      </c>
      <c r="AA116" s="56"/>
      <c r="AB116" s="57"/>
      <c r="AC116" s="152" t="s">
        <v>150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613.19999999999993</v>
      </c>
      <c r="BN116" s="67">
        <f t="shared" si="15"/>
        <v>613.19999999999993</v>
      </c>
      <c r="BO116" s="67">
        <f t="shared" si="16"/>
        <v>1</v>
      </c>
      <c r="BP116" s="67">
        <f t="shared" si="17"/>
        <v>1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150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120</v>
      </c>
      <c r="Y119" s="269">
        <f t="shared" si="12"/>
        <v>120</v>
      </c>
      <c r="Z119" s="36">
        <f t="shared" si="13"/>
        <v>1.8599999999999999</v>
      </c>
      <c r="AA119" s="56"/>
      <c r="AB119" s="57"/>
      <c r="AC119" s="158" t="s">
        <v>150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876</v>
      </c>
      <c r="BN119" s="67">
        <f t="shared" si="15"/>
        <v>876</v>
      </c>
      <c r="BO119" s="67">
        <f t="shared" si="16"/>
        <v>1.4285714285714286</v>
      </c>
      <c r="BP119" s="67">
        <f t="shared" si="17"/>
        <v>1.4285714285714286</v>
      </c>
    </row>
    <row r="120" spans="1:68" ht="27" customHeight="1" x14ac:dyDescent="0.25">
      <c r="A120" s="54" t="s">
        <v>205</v>
      </c>
      <c r="B120" s="54" t="s">
        <v>206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204</v>
      </c>
      <c r="Y121" s="270">
        <f>IFERROR(SUM(Y113:Y120),"0")</f>
        <v>204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3.1619999999999999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1428</v>
      </c>
      <c r="Y122" s="270">
        <f>IFERROR(SUMPRODUCT(Y113:Y120*H113:H120),"0")</f>
        <v>1428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208</v>
      </c>
      <c r="B124" s="54" t="s">
        <v>209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211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212</v>
      </c>
      <c r="B128" s="54" t="s">
        <v>213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215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140</v>
      </c>
      <c r="Y133" s="269">
        <f>IFERROR(IF(X133="","",X133),"")</f>
        <v>140</v>
      </c>
      <c r="Z133" s="36">
        <f>IFERROR(IF(X133="","",X133*0.01788),"")</f>
        <v>2.5032000000000001</v>
      </c>
      <c r="AA133" s="56"/>
      <c r="AB133" s="57"/>
      <c r="AC133" s="166" t="s">
        <v>218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518.50400000000002</v>
      </c>
      <c r="BN133" s="67">
        <f>IFERROR(Y133*I133,"0")</f>
        <v>518.50400000000002</v>
      </c>
      <c r="BO133" s="67">
        <f>IFERROR(X133/J133,"0")</f>
        <v>2</v>
      </c>
      <c r="BP133" s="67">
        <f>IFERROR(Y133/J133,"0")</f>
        <v>2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139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98</v>
      </c>
      <c r="Y134" s="269">
        <f>IFERROR(IF(X134="","",X134),"")</f>
        <v>98</v>
      </c>
      <c r="Z134" s="36">
        <f>IFERROR(IF(X134="","",X134*0.01788),"")</f>
        <v>1.75224</v>
      </c>
      <c r="AA134" s="56"/>
      <c r="AB134" s="57"/>
      <c r="AC134" s="168" t="s">
        <v>156</v>
      </c>
      <c r="AG134" s="67"/>
      <c r="AJ134" s="71" t="s">
        <v>140</v>
      </c>
      <c r="AK134" s="71">
        <v>70</v>
      </c>
      <c r="BB134" s="169" t="s">
        <v>99</v>
      </c>
      <c r="BM134" s="67">
        <f>IFERROR(X134*I134,"0")</f>
        <v>362.95279999999997</v>
      </c>
      <c r="BN134" s="67">
        <f>IFERROR(Y134*I134,"0")</f>
        <v>362.95279999999997</v>
      </c>
      <c r="BO134" s="67">
        <f>IFERROR(X134/J134,"0")</f>
        <v>1.4</v>
      </c>
      <c r="BP134" s="67">
        <f>IFERROR(Y134/J134,"0")</f>
        <v>1.4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238</v>
      </c>
      <c r="Y135" s="270">
        <f>IFERROR(SUM(Y133:Y134),"0")</f>
        <v>238</v>
      </c>
      <c r="Z135" s="270">
        <f>IFERROR(IF(Z133="",0,Z133),"0")+IFERROR(IF(Z134="",0,Z134),"0")</f>
        <v>4.2554400000000001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714</v>
      </c>
      <c r="Y136" s="270">
        <f>IFERROR(SUMPRODUCT(Y133:Y134*H133:H134),"0")</f>
        <v>714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56</v>
      </c>
      <c r="Y139" s="269">
        <f>IFERROR(IF(X139="","",X139),"")</f>
        <v>56</v>
      </c>
      <c r="Z139" s="36">
        <f>IFERROR(IF(X139="","",X139*0.01788),"")</f>
        <v>1.0012799999999999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209.88800000000001</v>
      </c>
      <c r="BN139" s="67">
        <f>IFERROR(Y139*I139,"0")</f>
        <v>209.88800000000001</v>
      </c>
      <c r="BO139" s="67">
        <f>IFERROR(X139/J139,"0")</f>
        <v>0.8</v>
      </c>
      <c r="BP139" s="67">
        <f>IFERROR(Y139/J139,"0")</f>
        <v>0.8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126</v>
      </c>
      <c r="Y140" s="269">
        <f>IFERROR(IF(X140="","",X140),"")</f>
        <v>126</v>
      </c>
      <c r="Z140" s="36">
        <f>IFERROR(IF(X140="","",X140*0.01788),"")</f>
        <v>2.2528800000000002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466.65359999999998</v>
      </c>
      <c r="BN140" s="67">
        <f>IFERROR(Y140*I140,"0")</f>
        <v>466.65359999999998</v>
      </c>
      <c r="BO140" s="67">
        <f>IFERROR(X140/J140,"0")</f>
        <v>1.8</v>
      </c>
      <c r="BP140" s="67">
        <f>IFERROR(Y140/J140,"0")</f>
        <v>1.8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182</v>
      </c>
      <c r="Y141" s="270">
        <f>IFERROR(SUM(Y139:Y140),"0")</f>
        <v>182</v>
      </c>
      <c r="Z141" s="270">
        <f>IFERROR(IF(Z139="",0,Z139),"0")+IFERROR(IF(Z140="",0,Z140),"0")</f>
        <v>3.2541600000000002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546</v>
      </c>
      <c r="Y142" s="270">
        <f>IFERROR(SUMPRODUCT(Y139:Y140*H139:H140),"0")</f>
        <v>546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28</v>
      </c>
      <c r="Y145" s="269">
        <f>IFERROR(IF(X145="","",X145),"")</f>
        <v>28</v>
      </c>
      <c r="Z145" s="36">
        <f>IFERROR(IF(X145="","",X145*0.01788),"")</f>
        <v>0.50063999999999997</v>
      </c>
      <c r="AA145" s="56"/>
      <c r="AB145" s="57"/>
      <c r="AC145" s="174" t="s">
        <v>218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75.040000000000006</v>
      </c>
      <c r="BN145" s="67">
        <f>IFERROR(Y145*I145,"0")</f>
        <v>75.040000000000006</v>
      </c>
      <c r="BO145" s="67">
        <f>IFERROR(X145/J145,"0")</f>
        <v>0.4</v>
      </c>
      <c r="BP145" s="67">
        <f>IFERROR(Y145/J145,"0")</f>
        <v>0.4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28</v>
      </c>
      <c r="Y147" s="270">
        <f>IFERROR(SUM(Y145:Y146),"0")</f>
        <v>28</v>
      </c>
      <c r="Z147" s="270">
        <f>IFERROR(IF(Z145="",0,Z145),"0")+IFERROR(IF(Z146="",0,Z146),"0")</f>
        <v>0.50063999999999997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67.2</v>
      </c>
      <c r="Y148" s="270">
        <f>IFERROR(SUMPRODUCT(Y145:Y146*H145:H146),"0")</f>
        <v>67.2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211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96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98</v>
      </c>
      <c r="AK161" s="71">
        <v>6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0</v>
      </c>
      <c r="Y166" s="269">
        <f>IFERROR(IF(X166="","",X166),"")</f>
        <v>0</v>
      </c>
      <c r="Z166" s="36">
        <f>IFERROR(IF(X166="","",X166*0.00941),"")</f>
        <v>0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0</v>
      </c>
      <c r="Y167" s="270">
        <f>IFERROR(SUM(Y166:Y166),"0")</f>
        <v>0</v>
      </c>
      <c r="Z167" s="270">
        <f>IFERROR(IF(Z166="",0,Z166),"0")</f>
        <v>0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0</v>
      </c>
      <c r="Y168" s="270">
        <f>IFERROR(SUMPRODUCT(Y166:Y166*H166:H166),"0")</f>
        <v>0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60</v>
      </c>
      <c r="Y173" s="269">
        <f>IFERROR(IF(X173="","",X173),"")</f>
        <v>60</v>
      </c>
      <c r="Z173" s="36">
        <f>IFERROR(IF(X173="","",X173*0.00866),"")</f>
        <v>0.51959999999999995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312.79199999999997</v>
      </c>
      <c r="BN173" s="67">
        <f>IFERROR(Y173*I173,"0")</f>
        <v>312.79199999999997</v>
      </c>
      <c r="BO173" s="67">
        <f>IFERROR(X173/J173,"0")</f>
        <v>0.41666666666666669</v>
      </c>
      <c r="BP173" s="67">
        <f>IFERROR(Y173/J173,"0")</f>
        <v>0.41666666666666669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60</v>
      </c>
      <c r="Y174" s="270">
        <f>IFERROR(SUM(Y172:Y173),"0")</f>
        <v>60</v>
      </c>
      <c r="Z174" s="270">
        <f>IFERROR(IF(Z172="",0,Z172),"0")+IFERROR(IF(Z173="",0,Z173),"0")</f>
        <v>0.51959999999999995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300</v>
      </c>
      <c r="Y175" s="270">
        <f>IFERROR(SUMPRODUCT(Y172:Y173*H172:H173),"0")</f>
        <v>300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42</v>
      </c>
      <c r="Y179" s="269">
        <f>IFERROR(IF(X179="","",X179),"")</f>
        <v>42</v>
      </c>
      <c r="Z179" s="36">
        <f>IFERROR(IF(X179="","",X179*0.01788),"")</f>
        <v>0.75095999999999996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142.29599999999999</v>
      </c>
      <c r="BN179" s="67">
        <f>IFERROR(Y179*I179,"0")</f>
        <v>142.29599999999999</v>
      </c>
      <c r="BO179" s="67">
        <f>IFERROR(X179/J179,"0")</f>
        <v>0.6</v>
      </c>
      <c r="BP179" s="67">
        <f>IFERROR(Y179/J179,"0")</f>
        <v>0.6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84</v>
      </c>
      <c r="Y180" s="269">
        <f>IFERROR(IF(X180="","",X180),"")</f>
        <v>84</v>
      </c>
      <c r="Z180" s="36">
        <f>IFERROR(IF(X180="","",X180*0.01788),"")</f>
        <v>1.5019199999999999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284.59199999999998</v>
      </c>
      <c r="BN180" s="67">
        <f>IFERROR(Y180*I180,"0")</f>
        <v>284.59199999999998</v>
      </c>
      <c r="BO180" s="67">
        <f>IFERROR(X180/J180,"0")</f>
        <v>1.2</v>
      </c>
      <c r="BP180" s="67">
        <f>IFERROR(Y180/J180,"0")</f>
        <v>1.2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84</v>
      </c>
      <c r="Y181" s="269">
        <f>IFERROR(IF(X181="","",X181),"")</f>
        <v>84</v>
      </c>
      <c r="Z181" s="36">
        <f>IFERROR(IF(X181="","",X181*0.01788),"")</f>
        <v>1.5019199999999999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313.82400000000001</v>
      </c>
      <c r="BN181" s="67">
        <f>IFERROR(Y181*I181,"0")</f>
        <v>313.82400000000001</v>
      </c>
      <c r="BO181" s="67">
        <f>IFERROR(X181/J181,"0")</f>
        <v>1.2</v>
      </c>
      <c r="BP181" s="67">
        <f>IFERROR(Y181/J181,"0")</f>
        <v>1.2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210</v>
      </c>
      <c r="Y182" s="270">
        <f>IFERROR(SUM(Y179:Y181),"0")</f>
        <v>210</v>
      </c>
      <c r="Z182" s="270">
        <f>IFERROR(IF(Z179="",0,Z179),"0")+IFERROR(IF(Z180="",0,Z180),"0")+IFERROR(IF(Z181="",0,Z181),"0")</f>
        <v>3.7547999999999995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630</v>
      </c>
      <c r="Y183" s="270">
        <f>IFERROR(SUMPRODUCT(Y179:Y181*H179:H181),"0")</f>
        <v>630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96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98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36</v>
      </c>
      <c r="Y204" s="269">
        <f>IFERROR(IF(X204="","",X204),"")</f>
        <v>36</v>
      </c>
      <c r="Z204" s="36">
        <f>IFERROR(IF(X204="","",X204*0.0155),"")</f>
        <v>0.55800000000000005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188.28000000000003</v>
      </c>
      <c r="BN204" s="67">
        <f>IFERROR(Y204*I204,"0")</f>
        <v>188.28000000000003</v>
      </c>
      <c r="BO204" s="67">
        <f>IFERROR(X204/J204,"0")</f>
        <v>0.42857142857142855</v>
      </c>
      <c r="BP204" s="67">
        <f>IFERROR(Y204/J204,"0")</f>
        <v>0.42857142857142855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36</v>
      </c>
      <c r="Y205" s="270">
        <f>IFERROR(SUM(Y204:Y204),"0")</f>
        <v>36</v>
      </c>
      <c r="Z205" s="270">
        <f>IFERROR(IF(Z204="",0,Z204),"0")</f>
        <v>0.55800000000000005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180</v>
      </c>
      <c r="Y206" s="270">
        <f>IFERROR(SUMPRODUCT(Y204:Y204*H204:H204),"0")</f>
        <v>180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96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98</v>
      </c>
      <c r="AK213" s="71">
        <v>14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96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98</v>
      </c>
      <c r="AK214" s="71">
        <v>14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252</v>
      </c>
      <c r="Y226" s="269">
        <f>IFERROR(IF(X226="","",X226),"")</f>
        <v>252</v>
      </c>
      <c r="Z226" s="36">
        <f>IFERROR(IF(X226="","",X226*0.0155),"")</f>
        <v>3.9060000000000001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1326.0239999999999</v>
      </c>
      <c r="BN226" s="67">
        <f>IFERROR(Y226*I226,"0")</f>
        <v>1326.0239999999999</v>
      </c>
      <c r="BO226" s="67">
        <f>IFERROR(X226/J226,"0")</f>
        <v>3</v>
      </c>
      <c r="BP226" s="67">
        <f>IFERROR(Y226/J226,"0")</f>
        <v>3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252</v>
      </c>
      <c r="Y227" s="270">
        <f>IFERROR(SUM(Y226:Y226),"0")</f>
        <v>252</v>
      </c>
      <c r="Z227" s="270">
        <f>IFERROR(IF(Z226="",0,Z226),"0")</f>
        <v>3.9060000000000001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1260</v>
      </c>
      <c r="Y228" s="270">
        <f>IFERROR(SUMPRODUCT(Y226:Y226*H226:H226),"0")</f>
        <v>1260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96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98</v>
      </c>
      <c r="AK236" s="71">
        <v>14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24</v>
      </c>
      <c r="Y243" s="269">
        <f>IFERROR(IF(X243="","",X243),"")</f>
        <v>24</v>
      </c>
      <c r="Z243" s="36">
        <f>IFERROR(IF(X243="","",X243*0.0155),"")</f>
        <v>0.372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174.72</v>
      </c>
      <c r="BN243" s="67">
        <f>IFERROR(Y243*I243,"0")</f>
        <v>174.72</v>
      </c>
      <c r="BO243" s="67">
        <f>IFERROR(X243/J243,"0")</f>
        <v>0.2857142857142857</v>
      </c>
      <c r="BP243" s="67">
        <f>IFERROR(Y243/J243,"0")</f>
        <v>0.2857142857142857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24</v>
      </c>
      <c r="Y244" s="270">
        <f>IFERROR(SUM(Y242:Y243),"0")</f>
        <v>24</v>
      </c>
      <c r="Z244" s="270">
        <f>IFERROR(IF(Z242="",0,Z242),"0")+IFERROR(IF(Z243="",0,Z243),"0")</f>
        <v>0.372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168</v>
      </c>
      <c r="Y245" s="270">
        <f>IFERROR(SUMPRODUCT(Y242:Y243*H242:H243),"0")</f>
        <v>168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60</v>
      </c>
      <c r="Y247" s="269">
        <f>IFERROR(IF(X247="","",X247),"")</f>
        <v>60</v>
      </c>
      <c r="Z247" s="36">
        <f>IFERROR(IF(X247="","",X247*0.0155),"")</f>
        <v>0.92999999999999994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375.59999999999997</v>
      </c>
      <c r="BN247" s="67">
        <f>IFERROR(Y247*I247,"0")</f>
        <v>375.59999999999997</v>
      </c>
      <c r="BO247" s="67">
        <f>IFERROR(X247/J247,"0")</f>
        <v>0.7142857142857143</v>
      </c>
      <c r="BP247" s="67">
        <f>IFERROR(Y247/J247,"0")</f>
        <v>0.7142857142857143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149</v>
      </c>
      <c r="L248" s="32" t="s">
        <v>96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98</v>
      </c>
      <c r="AK248" s="71">
        <v>18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60</v>
      </c>
      <c r="Y249" s="270">
        <f>IFERROR(SUM(Y247:Y248),"0")</f>
        <v>60</v>
      </c>
      <c r="Z249" s="270">
        <f>IFERROR(IF(Z247="",0,Z247),"0")+IFERROR(IF(Z248="",0,Z248),"0")</f>
        <v>0.92999999999999994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360</v>
      </c>
      <c r="Y250" s="270">
        <f>IFERROR(SUMPRODUCT(Y247:Y248*H247:H248),"0")</f>
        <v>360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84</v>
      </c>
      <c r="Y252" s="269">
        <f>IFERROR(IF(X252="","",X252),"")</f>
        <v>84</v>
      </c>
      <c r="Z252" s="36">
        <f>IFERROR(IF(X252="","",X252*0.00936),"")</f>
        <v>0.78624000000000005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242.81040000000002</v>
      </c>
      <c r="BN252" s="67">
        <f>IFERROR(Y252*I252,"0")</f>
        <v>242.81040000000002</v>
      </c>
      <c r="BO252" s="67">
        <f>IFERROR(X252/J252,"0")</f>
        <v>0.66666666666666663</v>
      </c>
      <c r="BP252" s="67">
        <f>IFERROR(Y252/J252,"0")</f>
        <v>0.66666666666666663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60</v>
      </c>
      <c r="Y253" s="269">
        <f>IFERROR(IF(X253="","",X253),"")</f>
        <v>60</v>
      </c>
      <c r="Z253" s="36">
        <f>IFERROR(IF(X253="","",X253*0.0155),"")</f>
        <v>0.92999999999999994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314.10000000000002</v>
      </c>
      <c r="BN253" s="67">
        <f>IFERROR(Y253*I253,"0")</f>
        <v>314.10000000000002</v>
      </c>
      <c r="BO253" s="67">
        <f>IFERROR(X253/J253,"0")</f>
        <v>0.7142857142857143</v>
      </c>
      <c r="BP253" s="67">
        <f>IFERROR(Y253/J253,"0")</f>
        <v>0.7142857142857143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144</v>
      </c>
      <c r="Y255" s="270">
        <f>IFERROR(SUM(Y252:Y254),"0")</f>
        <v>144</v>
      </c>
      <c r="Z255" s="270">
        <f>IFERROR(IF(Z252="",0,Z252),"0")+IFERROR(IF(Z253="",0,Z253),"0")+IFERROR(IF(Z254="",0,Z254),"0")</f>
        <v>1.71624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526.79999999999995</v>
      </c>
      <c r="Y256" s="270">
        <f>IFERROR(SUMPRODUCT(Y252:Y254*H252:H254),"0")</f>
        <v>526.79999999999995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96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98</v>
      </c>
      <c r="AK258" s="71">
        <v>14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42</v>
      </c>
      <c r="Y259" s="269">
        <f t="shared" si="18"/>
        <v>42</v>
      </c>
      <c r="Z259" s="36">
        <f>IFERROR(IF(X259="","",X259*0.00936),"")</f>
        <v>0.39312000000000002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163.464</v>
      </c>
      <c r="BN259" s="67">
        <f t="shared" si="20"/>
        <v>163.464</v>
      </c>
      <c r="BO259" s="67">
        <f t="shared" si="21"/>
        <v>0.33333333333333331</v>
      </c>
      <c r="BP259" s="67">
        <f t="shared" si="22"/>
        <v>0.33333333333333331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12</v>
      </c>
      <c r="Y260" s="269">
        <f t="shared" si="18"/>
        <v>12</v>
      </c>
      <c r="Z260" s="36">
        <f>IFERROR(IF(X260="","",X260*0.0155),"")</f>
        <v>0.186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68.820000000000007</v>
      </c>
      <c r="BN260" s="67">
        <f t="shared" si="20"/>
        <v>68.820000000000007</v>
      </c>
      <c r="BO260" s="67">
        <f t="shared" si="21"/>
        <v>0.14285714285714285</v>
      </c>
      <c r="BP260" s="67">
        <f t="shared" si="22"/>
        <v>0.14285714285714285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42</v>
      </c>
      <c r="Y261" s="269">
        <f t="shared" si="18"/>
        <v>42</v>
      </c>
      <c r="Z261" s="36">
        <f t="shared" ref="Z261:Z266" si="23">IFERROR(IF(X261="","",X261*0.00936),"")</f>
        <v>0.39312000000000002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134.06400000000002</v>
      </c>
      <c r="BN261" s="67">
        <f t="shared" si="20"/>
        <v>134.06400000000002</v>
      </c>
      <c r="BO261" s="67">
        <f t="shared" si="21"/>
        <v>0.33333333333333331</v>
      </c>
      <c r="BP261" s="67">
        <f t="shared" si="22"/>
        <v>0.33333333333333331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139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140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96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98</v>
      </c>
      <c r="AK264" s="71">
        <v>14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96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98</v>
      </c>
      <c r="AK265" s="71">
        <v>14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96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98</v>
      </c>
      <c r="AK266" s="71">
        <v>14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149</v>
      </c>
      <c r="L267" s="32" t="s">
        <v>96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98</v>
      </c>
      <c r="AK267" s="71">
        <v>18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96</v>
      </c>
      <c r="Y268" s="270">
        <f>IFERROR(SUM(Y258:Y267),"0")</f>
        <v>96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0.9722400000000001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347.4</v>
      </c>
      <c r="Y269" s="270">
        <f>IFERROR(SUMPRODUCT(Y258:Y267*H258:H267),"0")</f>
        <v>347.4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11079.839999999998</v>
      </c>
      <c r="Y270" s="270">
        <f>IFERROR(Y29+Y35+Y42+Y49+Y57+Y62+Y66+Y71+Y77+Y83+Y88+Y94+Y104+Y110+Y122+Y126+Y130+Y136+Y142+Y148+Y153+Y158+Y163+Y168+Y175+Y183+Y187+Y193+Y201+Y206+Y211+Y216+Y222+Y228+Y234+Y238+Y245+Y250+Y256+Y269,"0")</f>
        <v>11079.839999999998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12276.7428</v>
      </c>
      <c r="Y271" s="270">
        <f>IFERROR(SUM(BN22:BN267),"0")</f>
        <v>12276.7428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33</v>
      </c>
      <c r="Y272" s="38">
        <f>ROUNDUP(SUM(BP22:BP267),0)</f>
        <v>33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13101.7428</v>
      </c>
      <c r="Y273" s="270">
        <f>GrossWeightTotalR+PalletQtyTotalR*25</f>
        <v>13101.7428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2632</v>
      </c>
      <c r="Y274" s="270">
        <f>IFERROR(Y28+Y34+Y41+Y48+Y56+Y61+Y65+Y70+Y76+Y82+Y87+Y93+Y103+Y109+Y121+Y125+Y129+Y135+Y141+Y147+Y152+Y157+Y162+Y167+Y174+Y182+Y186+Y192+Y200+Y205+Y210+Y215+Y221+Y227+Y233+Y237+Y244+Y249+Y255+Y268,"0")</f>
        <v>2632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40.90466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146</v>
      </c>
      <c r="I278" s="289" t="s">
        <v>153</v>
      </c>
      <c r="J278" s="289" t="s">
        <v>157</v>
      </c>
      <c r="K278" s="289" t="s">
        <v>165</v>
      </c>
      <c r="L278" s="289" t="s">
        <v>180</v>
      </c>
      <c r="M278" s="289" t="s">
        <v>186</v>
      </c>
      <c r="N278" s="266"/>
      <c r="O278" s="289" t="s">
        <v>215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950.4</v>
      </c>
      <c r="C280" s="46">
        <f>IFERROR(X32*H32,"0")+IFERROR(X33*H33,"0")</f>
        <v>0</v>
      </c>
      <c r="D280" s="46">
        <f>IFERROR(X39*H39,"0")+IFERROR(X40*H40,"0")</f>
        <v>231</v>
      </c>
      <c r="E280" s="46">
        <f>IFERROR(X45*H45,"0")+IFERROR(X46*H46,"0")+IFERROR(X47*H47,"0")</f>
        <v>403.2</v>
      </c>
      <c r="F280" s="46">
        <f>IFERROR(X52*H52,"0")+IFERROR(X53*H53,"0")+IFERROR(X54*H54,"0")+IFERROR(X55*H55,"0")</f>
        <v>840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300</v>
      </c>
      <c r="I280" s="46">
        <f>IFERROR(X86*H86,"0")</f>
        <v>50.4</v>
      </c>
      <c r="J280" s="46">
        <f>IFERROR(X91*H91,"0")+IFERROR(X92*H92,"0")</f>
        <v>957.6</v>
      </c>
      <c r="K280" s="46">
        <f>IFERROR(X97*H97,"0")+IFERROR(X98*H98,"0")+IFERROR(X99*H99,"0")+IFERROR(X100*H100,"0")+IFERROR(X101*H101,"0")+IFERROR(X102*H102,"0")</f>
        <v>819.84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1428</v>
      </c>
      <c r="N280" s="266"/>
      <c r="O280" s="46">
        <f>IFERROR(X133*H133,"0")+IFERROR(X134*H134,"0")</f>
        <v>714</v>
      </c>
      <c r="P280" s="46">
        <f>IFERROR(X139*H139,"0")+IFERROR(X140*H140,"0")</f>
        <v>546</v>
      </c>
      <c r="Q280" s="46">
        <f>IFERROR(X145*H145,"0")+IFERROR(X146*H146,"0")</f>
        <v>67.2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0</v>
      </c>
      <c r="V280" s="46">
        <f>IFERROR(X172*H172,"0")+IFERROR(X173*H173,"0")</f>
        <v>300</v>
      </c>
      <c r="W280" s="46">
        <f>IFERROR(X179*H179,"0")+IFERROR(X180*H180,"0")+IFERROR(X181*H181,"0")+IFERROR(X185*H185,"0")</f>
        <v>630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180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1260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1402.2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5829.6</v>
      </c>
      <c r="B283" s="60">
        <f>SUMPRODUCT(--(BB:BB="ПГП"),--(W:W="кор"),H:H,Y:Y)+SUMPRODUCT(--(BB:BB="ПГП"),--(W:W="кг"),Y:Y)</f>
        <v>5250.24</v>
      </c>
      <c r="C283" s="60">
        <f>SUMPRODUCT(--(BB:BB="КИЗ"),--(W:W="кор"),H:H,Y:Y)+SUMPRODUCT(--(BB:BB="КИЗ"),--(W:W="кг"),Y:Y)</f>
        <v>0</v>
      </c>
    </row>
  </sheetData>
  <sheetProtection algorithmName="SHA-512" hashValue="v4XGhcTe5nQH4tgkA3/qVP+zTwRD3cQ2Wf6h9c3xs7FAqYi26cYrB/CtrQCv/HrBDGmRcQ1/xpYjCq6OVRBX4A==" saltValue="0bYXJGej87YyRUCXuVsUC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3 X117 X120 X124 X128 X139 X145 X172 X185 X195 X197 X209 X220 X232 X242 X25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4:X116 X118:X119 X133 X140 X146 X151 X156 X161 X166 X173 X179:X181 X191 X196 X198:X199 X204 X213:X214 X226 X236 X243 X247:X248 X252:X253 X258:X261 X263:X267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62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POd6qAACsFPWPUfztTe9vkRrTjgEesDpWc62QShm1yZnXLSDNN9d3f2jhhCc2bfIUafoRwQEUqJezWUhrFvzFQ==" saltValue="JQx5fB1cZBZm9IkzdBs2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2025-12-19T09:28:16Z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