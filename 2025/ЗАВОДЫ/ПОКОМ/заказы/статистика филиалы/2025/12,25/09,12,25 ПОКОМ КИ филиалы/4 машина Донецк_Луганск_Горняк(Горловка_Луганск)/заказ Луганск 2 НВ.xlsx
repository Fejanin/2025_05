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D8AE2E33-C855-42E9-90F7-454A1C15FEB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Z44" i="1" l="1"/>
  <c r="Z106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Z334" i="1"/>
  <c r="BP332" i="1"/>
  <c r="BN332" i="1"/>
  <c r="Z332" i="1"/>
  <c r="Y334" i="1"/>
  <c r="D501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Z209" i="1" s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9" i="1" s="1"/>
  <c r="BP235" i="1"/>
  <c r="BN235" i="1"/>
  <c r="Z235" i="1"/>
  <c r="Y239" i="1"/>
  <c r="BP251" i="1"/>
  <c r="BN251" i="1"/>
  <c r="Z251" i="1"/>
  <c r="Z255" i="1" s="1"/>
  <c r="Y255" i="1"/>
  <c r="Z264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Z465" i="1" s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Z484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Z221" i="1" s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Z272" i="1" s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Z299" i="1" s="1"/>
  <c r="BP298" i="1"/>
  <c r="BN298" i="1"/>
  <c r="Z298" i="1"/>
  <c r="Y300" i="1"/>
  <c r="Y309" i="1"/>
  <c r="BP302" i="1"/>
  <c r="BN302" i="1"/>
  <c r="Z302" i="1"/>
  <c r="Z308" i="1" s="1"/>
  <c r="BP306" i="1"/>
  <c r="BN306" i="1"/>
  <c r="Z306" i="1"/>
  <c r="Y315" i="1"/>
  <c r="BP314" i="1"/>
  <c r="BN314" i="1"/>
  <c r="Z314" i="1"/>
  <c r="Z315" i="1" s="1"/>
  <c r="Y321" i="1"/>
  <c r="BP318" i="1"/>
  <c r="BN318" i="1"/>
  <c r="Z318" i="1"/>
  <c r="Z321" i="1" s="1"/>
  <c r="BP326" i="1"/>
  <c r="BN326" i="1"/>
  <c r="Z326" i="1"/>
  <c r="Y335" i="1"/>
  <c r="Z341" i="1"/>
  <c r="BP339" i="1"/>
  <c r="BN339" i="1"/>
  <c r="Z339" i="1"/>
  <c r="BP349" i="1"/>
  <c r="BN349" i="1"/>
  <c r="Z349" i="1"/>
  <c r="Z353" i="1" s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Z398" i="1" s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Y485" i="1"/>
  <c r="Z501" i="1"/>
  <c r="Y489" i="1"/>
  <c r="BP488" i="1"/>
  <c r="BN488" i="1"/>
  <c r="Z488" i="1"/>
  <c r="Z489" i="1" s="1"/>
  <c r="Y490" i="1"/>
  <c r="W501" i="1"/>
  <c r="Y438" i="1"/>
  <c r="Z415" i="1" l="1"/>
  <c r="Y491" i="1"/>
  <c r="Y493" i="1"/>
  <c r="Z97" i="1"/>
  <c r="Z90" i="1"/>
  <c r="Z77" i="1"/>
  <c r="Z64" i="1"/>
  <c r="Z496" i="1" s="1"/>
  <c r="Y492" i="1"/>
  <c r="Y494" i="1" s="1"/>
  <c r="Z328" i="1"/>
  <c r="Z177" i="1"/>
  <c r="Y495" i="1"/>
</calcChain>
</file>

<file path=xl/sharedStrings.xml><?xml version="1.0" encoding="utf-8"?>
<sst xmlns="http://schemas.openxmlformats.org/spreadsheetml/2006/main" count="2271" uniqueCount="775">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</sst>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284</v>
      </c>
      <c r="Y41" s="546">
        <f>IFERROR(IF(X41="",0,CEILING((X41/$H41),1)*$H41),"")</f>
        <v>291.60000000000002</v>
      </c>
      <c r="Z41" s="36">
        <f>IFERROR(IF(Y41=0,"",ROUNDUP(Y41/H41,0)*0.01898),"")</f>
        <v>0.51246000000000003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294.78148148148148</v>
      </c>
      <c r="BN41" s="64">
        <f>IFERROR(Y41*I41/H41,"0")</f>
        <v>302.67000000000007</v>
      </c>
      <c r="BO41" s="64">
        <f>IFERROR(1/J41*(X41/H41),"0")</f>
        <v>0.41087962962962959</v>
      </c>
      <c r="BP41" s="64">
        <f>IFERROR(1/J41*(Y41/H41),"0")</f>
        <v>0.421875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48</v>
      </c>
      <c r="Y43" s="546">
        <f>IFERROR(IF(X43="",0,CEILING((X43/$H43),1)*$H43),"")</f>
        <v>48.1</v>
      </c>
      <c r="Z43" s="36">
        <f>IFERROR(IF(Y43=0,"",ROUNDUP(Y43/H43,0)*0.00902),"")</f>
        <v>0.11726</v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50.464864864864865</v>
      </c>
      <c r="BN43" s="64">
        <f>IFERROR(Y43*I43/H43,"0")</f>
        <v>50.57</v>
      </c>
      <c r="BO43" s="64">
        <f>IFERROR(1/J43*(X43/H43),"0")</f>
        <v>9.8280098280098274E-2</v>
      </c>
      <c r="BP43" s="64">
        <f>IFERROR(1/J43*(Y43/H43),"0")</f>
        <v>9.8484848484848481E-2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39.269269269269266</v>
      </c>
      <c r="Y44" s="547">
        <f>IFERROR(Y41/H41,"0")+IFERROR(Y42/H42,"0")+IFERROR(Y43/H43,"0")</f>
        <v>40</v>
      </c>
      <c r="Z44" s="547">
        <f>IFERROR(IF(Z41="",0,Z41),"0")+IFERROR(IF(Z42="",0,Z42),"0")+IFERROR(IF(Z43="",0,Z43),"0")</f>
        <v>0.62972000000000006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332</v>
      </c>
      <c r="Y45" s="547">
        <f>IFERROR(SUM(Y41:Y43),"0")</f>
        <v>339.70000000000005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77</v>
      </c>
      <c r="Y52" s="546">
        <f t="shared" ref="Y52:Y57" si="0">IFERROR(IF(X52="",0,CEILING((X52/$H52),1)*$H52),"")</f>
        <v>78.399999999999991</v>
      </c>
      <c r="Z52" s="36">
        <f>IFERROR(IF(Y52=0,"",ROUNDUP(Y52/H52,0)*0.01898),"")</f>
        <v>0.13286000000000001</v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79.818749999999994</v>
      </c>
      <c r="BN52" s="64">
        <f t="shared" ref="BN52:BN57" si="2">IFERROR(Y52*I52/H52,"0")</f>
        <v>81.27</v>
      </c>
      <c r="BO52" s="64">
        <f t="shared" ref="BO52:BO57" si="3">IFERROR(1/J52*(X52/H52),"0")</f>
        <v>0.107421875</v>
      </c>
      <c r="BP52" s="64">
        <f t="shared" ref="BP52:BP57" si="4">IFERROR(1/J52*(Y52/H52),"0")</f>
        <v>0.109375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109</v>
      </c>
      <c r="Y53" s="546">
        <f t="shared" si="0"/>
        <v>118.80000000000001</v>
      </c>
      <c r="Z53" s="36">
        <f>IFERROR(IF(Y53=0,"",ROUNDUP(Y53/H53,0)*0.01898),"")</f>
        <v>0.20877999999999999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113.13796296296296</v>
      </c>
      <c r="BN53" s="64">
        <f t="shared" si="2"/>
        <v>123.31000000000002</v>
      </c>
      <c r="BO53" s="64">
        <f t="shared" si="3"/>
        <v>0.15769675925925924</v>
      </c>
      <c r="BP53" s="64">
        <f t="shared" si="4"/>
        <v>0.171875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55</v>
      </c>
      <c r="Y55" s="546">
        <f t="shared" si="0"/>
        <v>56</v>
      </c>
      <c r="Z55" s="36">
        <f>IFERROR(IF(Y55=0,"",ROUNDUP(Y55/H55,0)*0.00902),"")</f>
        <v>0.12628</v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57.612500000000004</v>
      </c>
      <c r="BN55" s="64">
        <f t="shared" si="2"/>
        <v>58.660000000000004</v>
      </c>
      <c r="BO55" s="64">
        <f t="shared" si="3"/>
        <v>0.10416666666666667</v>
      </c>
      <c r="BP55" s="64">
        <f t="shared" si="4"/>
        <v>0.10606060606060606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30.717592592592592</v>
      </c>
      <c r="Y58" s="547">
        <f>IFERROR(Y52/H52,"0")+IFERROR(Y53/H53,"0")+IFERROR(Y54/H54,"0")+IFERROR(Y55/H55,"0")+IFERROR(Y56/H56,"0")+IFERROR(Y57/H57,"0")</f>
        <v>32</v>
      </c>
      <c r="Z58" s="547">
        <f>IFERROR(IF(Z52="",0,Z52),"0")+IFERROR(IF(Z53="",0,Z53),"0")+IFERROR(IF(Z54="",0,Z54),"0")+IFERROR(IF(Z55="",0,Z55),"0")+IFERROR(IF(Z56="",0,Z56),"0")+IFERROR(IF(Z57="",0,Z57),"0")</f>
        <v>0.46792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241</v>
      </c>
      <c r="Y59" s="547">
        <f>IFERROR(SUM(Y52:Y57),"0")</f>
        <v>253.2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116</v>
      </c>
      <c r="Y61" s="546">
        <f>IFERROR(IF(X61="",0,CEILING((X61/$H61),1)*$H61),"")</f>
        <v>118.80000000000001</v>
      </c>
      <c r="Z61" s="36">
        <f>IFERROR(IF(Y61=0,"",ROUNDUP(Y61/H61,0)*0.01898),"")</f>
        <v>0.20877999999999999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120.40370370370371</v>
      </c>
      <c r="BN61" s="64">
        <f>IFERROR(Y61*I61/H61,"0")</f>
        <v>123.31000000000002</v>
      </c>
      <c r="BO61" s="64">
        <f>IFERROR(1/J61*(X61/H61),"0")</f>
        <v>0.16782407407407407</v>
      </c>
      <c r="BP61" s="64">
        <f>IFERROR(1/J61*(Y61/H61),"0")</f>
        <v>0.171875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10.74074074074074</v>
      </c>
      <c r="Y64" s="547">
        <f>IFERROR(Y61/H61,"0")+IFERROR(Y62/H62,"0")+IFERROR(Y63/H63,"0")</f>
        <v>11</v>
      </c>
      <c r="Z64" s="547">
        <f>IFERROR(IF(Z61="",0,Z61),"0")+IFERROR(IF(Z62="",0,Z62),"0")+IFERROR(IF(Z63="",0,Z63),"0")</f>
        <v>0.20877999999999999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116</v>
      </c>
      <c r="Y65" s="547">
        <f>IFERROR(SUM(Y61:Y63),"0")</f>
        <v>118.80000000000001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199</v>
      </c>
      <c r="Y86" s="546">
        <f>IFERROR(IF(X86="",0,CEILING((X86/$H86),1)*$H86),"")</f>
        <v>205.20000000000002</v>
      </c>
      <c r="Z86" s="36">
        <f>IFERROR(IF(Y86=0,"",ROUNDUP(Y86/H86,0)*0.01898),"")</f>
        <v>0.36062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206.5546296296296</v>
      </c>
      <c r="BN86" s="64">
        <f>IFERROR(Y86*I86/H86,"0")</f>
        <v>212.99</v>
      </c>
      <c r="BO86" s="64">
        <f>IFERROR(1/J86*(X86/H86),"0")</f>
        <v>0.28790509259259256</v>
      </c>
      <c r="BP86" s="64">
        <f>IFERROR(1/J86*(Y86/H86),"0")</f>
        <v>0.296875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18.425925925925924</v>
      </c>
      <c r="Y90" s="547">
        <f>IFERROR(Y86/H86,"0")+IFERROR(Y87/H87,"0")+IFERROR(Y88/H88,"0")+IFERROR(Y89/H89,"0")</f>
        <v>19</v>
      </c>
      <c r="Z90" s="547">
        <f>IFERROR(IF(Z86="",0,Z86),"0")+IFERROR(IF(Z87="",0,Z87),"0")+IFERROR(IF(Z88="",0,Z88),"0")+IFERROR(IF(Z89="",0,Z89),"0")</f>
        <v>0.36062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199</v>
      </c>
      <c r="Y91" s="547">
        <f>IFERROR(SUM(Y86:Y89),"0")</f>
        <v>205.20000000000002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244</v>
      </c>
      <c r="Y101" s="546">
        <f>IFERROR(IF(X101="",0,CEILING((X101/$H101),1)*$H101),"")</f>
        <v>248.4</v>
      </c>
      <c r="Z101" s="36">
        <f>IFERROR(IF(Y101=0,"",ROUNDUP(Y101/H101,0)*0.01898),"")</f>
        <v>0.43653999999999998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253.26296296296297</v>
      </c>
      <c r="BN101" s="64">
        <f>IFERROR(Y101*I101/H101,"0")</f>
        <v>257.83</v>
      </c>
      <c r="BO101" s="64">
        <f>IFERROR(1/J101*(X101/H101),"0")</f>
        <v>0.35300925925925924</v>
      </c>
      <c r="BP101" s="64">
        <f>IFERROR(1/J101*(Y101/H101),"0")</f>
        <v>0.359375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22.592592592592592</v>
      </c>
      <c r="Y106" s="547">
        <f>IFERROR(Y101/H101,"0")+IFERROR(Y102/H102,"0")+IFERROR(Y103/H103,"0")+IFERROR(Y104/H104,"0")+IFERROR(Y105/H105,"0")</f>
        <v>23</v>
      </c>
      <c r="Z106" s="547">
        <f>IFERROR(IF(Z101="",0,Z101),"0")+IFERROR(IF(Z102="",0,Z102),"0")+IFERROR(IF(Z103="",0,Z103),"0")+IFERROR(IF(Z104="",0,Z104),"0")+IFERROR(IF(Z105="",0,Z105),"0")</f>
        <v>0.43653999999999998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244</v>
      </c>
      <c r="Y107" s="547">
        <f>IFERROR(SUM(Y101:Y105),"0")</f>
        <v>248.4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223</v>
      </c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53</v>
      </c>
      <c r="Y112" s="546">
        <f>IFERROR(IF(X112="",0,CEILING((X112/$H112),1)*$H112),"")</f>
        <v>55.199999999999996</v>
      </c>
      <c r="Z112" s="36">
        <f>IFERROR(IF(Y112=0,"",ROUNDUP(Y112/H112,0)*0.00651),"")</f>
        <v>0.14973</v>
      </c>
      <c r="AA112" s="56"/>
      <c r="AB112" s="57"/>
      <c r="AC112" s="161" t="s">
        <v>213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56.975000000000009</v>
      </c>
      <c r="BN112" s="64">
        <f>IFERROR(Y112*I112/H112,"0")</f>
        <v>59.34</v>
      </c>
      <c r="BO112" s="64">
        <f>IFERROR(1/J112*(X112/H112),"0")</f>
        <v>0.12133699633699636</v>
      </c>
      <c r="BP112" s="64">
        <f>IFERROR(1/J112*(Y112/H112),"0")</f>
        <v>0.1263736263736264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22.083333333333336</v>
      </c>
      <c r="Y113" s="547">
        <f>IFERROR(Y109/H109,"0")+IFERROR(Y110/H110,"0")+IFERROR(Y111/H111,"0")+IFERROR(Y112/H112,"0")</f>
        <v>23</v>
      </c>
      <c r="Z113" s="547">
        <f>IFERROR(IF(Z109="",0,Z109),"0")+IFERROR(IF(Z110="",0,Z110),"0")+IFERROR(IF(Z111="",0,Z111),"0")+IFERROR(IF(Z112="",0,Z112),"0")</f>
        <v>0.14973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53</v>
      </c>
      <c r="Y114" s="547">
        <f>IFERROR(SUM(Y109:Y112),"0")</f>
        <v>55.199999999999996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223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0</v>
      </c>
      <c r="Y120" s="547">
        <f>IFERROR(Y116/H116,"0")+IFERROR(Y117/H117,"0")+IFERROR(Y118/H118,"0")+IFERROR(Y119/H119,"0")</f>
        <v>0</v>
      </c>
      <c r="Z120" s="547">
        <f>IFERROR(IF(Z116="",0,Z116),"0")+IFERROR(IF(Z117="",0,Z117),"0")+IFERROR(IF(Z118="",0,Z118),"0")+IFERROR(IF(Z119="",0,Z119),"0")</f>
        <v>0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0</v>
      </c>
      <c r="Y121" s="547">
        <f>IFERROR(SUM(Y116:Y119),"0")</f>
        <v>0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115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223</v>
      </c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223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223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223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0</v>
      </c>
      <c r="Y221" s="547">
        <f>IFERROR(Y212/H212,"0")+IFERROR(Y213/H213,"0")+IFERROR(Y214/H214,"0")+IFERROR(Y215/H215,"0")+IFERROR(Y216/H216,"0")+IFERROR(Y217/H217,"0")+IFERROR(Y218/H218,"0")+IFERROR(Y219/H219,"0")+IFERROR(Y220/H220,"0")</f>
        <v>0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0</v>
      </c>
      <c r="Y222" s="547">
        <f>IFERROR(SUM(Y212:Y220),"0")</f>
        <v>0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223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223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223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0</v>
      </c>
      <c r="Y319" s="546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0</v>
      </c>
      <c r="Y321" s="547">
        <f>IFERROR(Y318/H318,"0")+IFERROR(Y319/H319,"0")+IFERROR(Y320/H320,"0")</f>
        <v>0</v>
      </c>
      <c r="Z321" s="547">
        <f>IFERROR(IF(Z318="",0,Z318),"0")+IFERROR(IF(Z319="",0,Z319),"0")+IFERROR(IF(Z320="",0,Z320),"0")</f>
        <v>0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0</v>
      </c>
      <c r="Y322" s="547">
        <f>IFERROR(SUM(Y318:Y320),"0")</f>
        <v>0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223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10</v>
      </c>
      <c r="Y327" s="546">
        <f>IFERROR(IF(X327="",0,CEILING((X327/$H327),1)*$H327),"")</f>
        <v>10.199999999999999</v>
      </c>
      <c r="Z327" s="36">
        <f>IFERROR(IF(Y327=0,"",ROUNDUP(Y327/H327,0)*0.00651),"")</f>
        <v>2.6040000000000001E-2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11.294117647058822</v>
      </c>
      <c r="BN327" s="64">
        <f>IFERROR(Y327*I327/H327,"0")</f>
        <v>11.52</v>
      </c>
      <c r="BO327" s="64">
        <f>IFERROR(1/J327*(X327/H327),"0")</f>
        <v>2.1547080370609786E-2</v>
      </c>
      <c r="BP327" s="64">
        <f>IFERROR(1/J327*(Y327/H327),"0")</f>
        <v>2.197802197802198E-2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3.9215686274509807</v>
      </c>
      <c r="Y328" s="547">
        <f>IFERROR(Y324/H324,"0")+IFERROR(Y325/H325,"0")+IFERROR(Y326/H326,"0")+IFERROR(Y327/H327,"0")</f>
        <v>4</v>
      </c>
      <c r="Z328" s="547">
        <f>IFERROR(IF(Z324="",0,Z324),"0")+IFERROR(IF(Z325="",0,Z325),"0")+IFERROR(IF(Z326="",0,Z326),"0")+IFERROR(IF(Z327="",0,Z327),"0")</f>
        <v>2.6040000000000001E-2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10</v>
      </c>
      <c r="Y329" s="547">
        <f>IFERROR(SUM(Y324:Y327),"0")</f>
        <v>10.199999999999999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8</v>
      </c>
      <c r="Y333" s="546">
        <f>IFERROR(IF(X333="",0,CEILING((X333/$H333),1)*$H333),"")</f>
        <v>8</v>
      </c>
      <c r="Z333" s="36">
        <f>IFERROR(IF(Y333=0,"",ROUNDUP(Y333/H333,0)*0.00474),"")</f>
        <v>1.8960000000000001E-2</v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8.9600000000000009</v>
      </c>
      <c r="BN333" s="64">
        <f>IFERROR(Y333*I333/H333,"0")</f>
        <v>8.9600000000000009</v>
      </c>
      <c r="BO333" s="64">
        <f>IFERROR(1/J333*(X333/H333),"0")</f>
        <v>1.680672268907563E-2</v>
      </c>
      <c r="BP333" s="64">
        <f>IFERROR(1/J333*(Y333/H333),"0")</f>
        <v>1.680672268907563E-2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4</v>
      </c>
      <c r="Y334" s="547">
        <f>IFERROR(Y331/H331,"0")+IFERROR(Y332/H332,"0")+IFERROR(Y333/H333,"0")</f>
        <v>4</v>
      </c>
      <c r="Z334" s="547">
        <f>IFERROR(IF(Z331="",0,Z331),"0")+IFERROR(IF(Z332="",0,Z332),"0")+IFERROR(IF(Z333="",0,Z333),"0")</f>
        <v>1.8960000000000001E-2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8</v>
      </c>
      <c r="Y335" s="547">
        <f>IFERROR(SUM(Y331:Y333),"0")</f>
        <v>8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501</v>
      </c>
      <c r="Y346" s="546">
        <f t="shared" ref="Y346:Y352" si="31">IFERROR(IF(X346="",0,CEILING((X346/$H346),1)*$H346),"")</f>
        <v>510</v>
      </c>
      <c r="Z346" s="36">
        <f>IFERROR(IF(Y346=0,"",ROUNDUP(Y346/H346,0)*0.02175),"")</f>
        <v>0.73949999999999994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516.69799999999998</v>
      </c>
      <c r="BN346" s="64">
        <f t="shared" ref="BN346:BN352" si="33">IFERROR(Y346*I346/H346,"0")</f>
        <v>525.98</v>
      </c>
      <c r="BO346" s="64">
        <f t="shared" ref="BO346:BO352" si="34">IFERROR(1/J346*(X346/H346),"0")</f>
        <v>0.6958333333333333</v>
      </c>
      <c r="BP346" s="64">
        <f t="shared" ref="BP346:BP352" si="35">IFERROR(1/J346*(Y346/H346),"0")</f>
        <v>0.70833333333333326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332</v>
      </c>
      <c r="Y348" s="546">
        <f t="shared" si="31"/>
        <v>345</v>
      </c>
      <c r="Z348" s="36">
        <f>IFERROR(IF(Y348=0,"",ROUNDUP(Y348/H348,0)*0.02175),"")</f>
        <v>0.50024999999999997</v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342.40266666666668</v>
      </c>
      <c r="BN348" s="64">
        <f t="shared" si="33"/>
        <v>355.81000000000006</v>
      </c>
      <c r="BO348" s="64">
        <f t="shared" si="34"/>
        <v>0.46111111111111108</v>
      </c>
      <c r="BP348" s="64">
        <f t="shared" si="35"/>
        <v>0.47916666666666663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442</v>
      </c>
      <c r="Y349" s="546">
        <f t="shared" si="31"/>
        <v>450</v>
      </c>
      <c r="Z349" s="36">
        <f>IFERROR(IF(Y349=0,"",ROUNDUP(Y349/H349,0)*0.02175),"")</f>
        <v>0.65249999999999997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455.84933333333339</v>
      </c>
      <c r="BN349" s="64">
        <f t="shared" si="33"/>
        <v>464.1</v>
      </c>
      <c r="BO349" s="64">
        <f t="shared" si="34"/>
        <v>0.61388888888888882</v>
      </c>
      <c r="BP349" s="64">
        <f t="shared" si="35"/>
        <v>0.625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85</v>
      </c>
      <c r="Y353" s="547">
        <f>IFERROR(Y346/H346,"0")+IFERROR(Y347/H347,"0")+IFERROR(Y348/H348,"0")+IFERROR(Y349/H349,"0")+IFERROR(Y350/H350,"0")+IFERROR(Y351/H351,"0")+IFERROR(Y352/H352,"0")</f>
        <v>87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1.8922499999999998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1275</v>
      </c>
      <c r="Y354" s="547">
        <f>IFERROR(SUM(Y346:Y352),"0")</f>
        <v>1305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688</v>
      </c>
      <c r="Y356" s="546">
        <f>IFERROR(IF(X356="",0,CEILING((X356/$H356),1)*$H356),"")</f>
        <v>690</v>
      </c>
      <c r="Z356" s="36">
        <f>IFERROR(IF(Y356=0,"",ROUNDUP(Y356/H356,0)*0.02175),"")</f>
        <v>1.0004999999999999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709.55733333333342</v>
      </c>
      <c r="BN356" s="64">
        <f>IFERROR(Y356*I356/H356,"0")</f>
        <v>711.62000000000012</v>
      </c>
      <c r="BO356" s="64">
        <f>IFERROR(1/J356*(X356/H356),"0")</f>
        <v>0.95555555555555549</v>
      </c>
      <c r="BP356" s="64">
        <f>IFERROR(1/J356*(Y356/H356),"0")</f>
        <v>0.95833333333333326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45.866666666666667</v>
      </c>
      <c r="Y358" s="547">
        <f>IFERROR(Y356/H356,"0")+IFERROR(Y357/H357,"0")</f>
        <v>46</v>
      </c>
      <c r="Z358" s="547">
        <f>IFERROR(IF(Z356="",0,Z356),"0")+IFERROR(IF(Z357="",0,Z357),"0")</f>
        <v>1.0004999999999999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688</v>
      </c>
      <c r="Y359" s="547">
        <f>IFERROR(SUM(Y356:Y357),"0")</f>
        <v>690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223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207</v>
      </c>
      <c r="Y429" s="546">
        <f t="shared" si="42"/>
        <v>211.20000000000002</v>
      </c>
      <c r="Z429" s="36">
        <f t="shared" si="43"/>
        <v>0.47839999999999999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220.72159090909091</v>
      </c>
      <c r="BN429" s="64">
        <f t="shared" si="45"/>
        <v>225.2</v>
      </c>
      <c r="BO429" s="64">
        <f t="shared" si="46"/>
        <v>0.37696678321678323</v>
      </c>
      <c r="BP429" s="64">
        <f t="shared" si="47"/>
        <v>0.38461538461538464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406</v>
      </c>
      <c r="Y431" s="546">
        <f t="shared" si="42"/>
        <v>406.56</v>
      </c>
      <c r="Z431" s="36">
        <f t="shared" si="43"/>
        <v>0.92091999999999996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432.9128787878787</v>
      </c>
      <c r="BN431" s="64">
        <f t="shared" si="45"/>
        <v>433.51</v>
      </c>
      <c r="BO431" s="64">
        <f t="shared" si="46"/>
        <v>0.73936480186480191</v>
      </c>
      <c r="BP431" s="64">
        <f t="shared" si="47"/>
        <v>0.74038461538461542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116.09848484848484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117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1.3993199999999999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613</v>
      </c>
      <c r="Y438" s="547">
        <f>IFERROR(SUM(Y425:Y436),"0")</f>
        <v>617.76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203</v>
      </c>
      <c r="Y440" s="546">
        <f>IFERROR(IF(X440="",0,CEILING((X440/$H440),1)*$H440),"")</f>
        <v>205.92000000000002</v>
      </c>
      <c r="Z440" s="36">
        <f>IFERROR(IF(Y440=0,"",ROUNDUP(Y440/H440,0)*0.01196),"")</f>
        <v>0.46644000000000002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216.45643939393935</v>
      </c>
      <c r="BN440" s="64">
        <f>IFERROR(Y440*I440/H440,"0")</f>
        <v>219.57</v>
      </c>
      <c r="BO440" s="64">
        <f>IFERROR(1/J440*(X440/H440),"0")</f>
        <v>0.36968240093240096</v>
      </c>
      <c r="BP440" s="64">
        <f>IFERROR(1/J440*(Y440/H440),"0")</f>
        <v>0.375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38.446969696969695</v>
      </c>
      <c r="Y443" s="547">
        <f>IFERROR(Y440/H440,"0")+IFERROR(Y441/H441,"0")+IFERROR(Y442/H442,"0")</f>
        <v>39</v>
      </c>
      <c r="Z443" s="547">
        <f>IFERROR(IF(Z440="",0,Z440),"0")+IFERROR(IF(Z441="",0,Z441),"0")+IFERROR(IF(Z442="",0,Z442),"0")</f>
        <v>0.46644000000000002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203</v>
      </c>
      <c r="Y444" s="547">
        <f>IFERROR(SUM(Y440:Y442),"0")</f>
        <v>205.92000000000002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59</v>
      </c>
      <c r="Y447" s="546">
        <f t="shared" si="48"/>
        <v>63.36</v>
      </c>
      <c r="Z447" s="36">
        <f>IFERROR(IF(Y447=0,"",ROUNDUP(Y447/H447,0)*0.01196),"")</f>
        <v>0.14352000000000001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62.910984848484851</v>
      </c>
      <c r="BN447" s="64">
        <f t="shared" si="50"/>
        <v>67.559999999999988</v>
      </c>
      <c r="BO447" s="64">
        <f t="shared" si="51"/>
        <v>0.1074446386946387</v>
      </c>
      <c r="BP447" s="64">
        <f t="shared" si="52"/>
        <v>0.11538461538461539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169</v>
      </c>
      <c r="Y448" s="546">
        <f t="shared" si="48"/>
        <v>174.24</v>
      </c>
      <c r="Z448" s="36">
        <f>IFERROR(IF(Y448=0,"",ROUNDUP(Y448/H448,0)*0.01196),"")</f>
        <v>0.39468000000000003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180.2026515151515</v>
      </c>
      <c r="BN448" s="64">
        <f t="shared" si="50"/>
        <v>185.79</v>
      </c>
      <c r="BO448" s="64">
        <f t="shared" si="51"/>
        <v>0.30776515151515155</v>
      </c>
      <c r="BP448" s="64">
        <f t="shared" si="52"/>
        <v>0.31730769230769235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43.18181818181818</v>
      </c>
      <c r="Y452" s="547">
        <f>IFERROR(Y446/H446,"0")+IFERROR(Y447/H447,"0")+IFERROR(Y448/H448,"0")+IFERROR(Y449/H449,"0")+IFERROR(Y450/H450,"0")+IFERROR(Y451/H451,"0")</f>
        <v>45</v>
      </c>
      <c r="Z452" s="547">
        <f>IFERROR(IF(Z446="",0,Z446),"0")+IFERROR(IF(Z447="",0,Z447),"0")+IFERROR(IF(Z448="",0,Z448),"0")+IFERROR(IF(Z449="",0,Z449),"0")+IFERROR(IF(Z450="",0,Z450),"0")+IFERROR(IF(Z451="",0,Z451),"0")</f>
        <v>0.53820000000000001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228</v>
      </c>
      <c r="Y453" s="547">
        <f>IFERROR(SUM(Y446:Y451),"0")</f>
        <v>237.60000000000002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115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115</v>
      </c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4210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4294.9800000000005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4390.9778520405434</v>
      </c>
      <c r="Y492" s="547">
        <f>IFERROR(SUM(BN22:BN488),"0")</f>
        <v>4479.5700000000006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7</v>
      </c>
      <c r="Y493" s="38">
        <f>ROUNDUP(SUM(BP22:BP488),0)</f>
        <v>7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4565.9778520405434</v>
      </c>
      <c r="Y494" s="547">
        <f>GrossWeightTotalR+PalletQtyTotalR*25</f>
        <v>4654.5700000000006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480.3449624758448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490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7.5950199999999999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339.70000000000005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372</v>
      </c>
      <c r="E501" s="46">
        <f>IFERROR(Y86*1,"0")+IFERROR(Y87*1,"0")+IFERROR(Y88*1,"0")+IFERROR(Y89*1,"0")+IFERROR(Y93*1,"0")+IFERROR(Y94*1,"0")+IFERROR(Y95*1,"0")+IFERROR(Y96*1,"0")</f>
        <v>205.20000000000002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303.60000000000002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18.2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1995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1061.2800000000002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9 X93 X101 X104 X109 X112 X116 X118 X166 X168:X169 X172 X174 X197 X201:X202 X204:X206 X208 X214:X215 X217:X220 X225 X230 X277:X278 X318:X320 X327 X338 X346:X348 X356 X381:X382 X425 X428:X429 X431 X440 X442 X446:X448 X473:X474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2025-12-11T06:43:44Z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