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DC18954-4C3F-4362-8B1A-A1A815A6F7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130" i="1" l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Z97" i="1" s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Z315" i="1" s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Z290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Y491" i="1" l="1"/>
  <c r="Y493" i="1"/>
  <c r="Z90" i="1"/>
  <c r="Z77" i="1"/>
  <c r="Z64" i="1"/>
  <c r="Z496" i="1" s="1"/>
  <c r="Z415" i="1"/>
  <c r="Z308" i="1"/>
  <c r="Z299" i="1"/>
  <c r="Z221" i="1"/>
  <c r="Z465" i="1"/>
  <c r="Z120" i="1"/>
  <c r="Z113" i="1"/>
  <c r="Y492" i="1"/>
  <c r="Y494" i="1" s="1"/>
  <c r="Z328" i="1"/>
  <c r="Z177" i="1"/>
  <c r="Y495" i="1"/>
</calcChain>
</file>

<file path=xl/sharedStrings.xml><?xml version="1.0" encoding="utf-8"?>
<sst xmlns="http://schemas.openxmlformats.org/spreadsheetml/2006/main" count="2271" uniqueCount="775">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</sst>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86.4</v>
      </c>
      <c r="Y41" s="546">
        <f>IFERROR(IF(X41="",0,CEILING((X41/$H41),1)*$H41),"")</f>
        <v>86.4</v>
      </c>
      <c r="Z41" s="36">
        <f>IFERROR(IF(Y41=0,"",ROUNDUP(Y41/H41,0)*0.01898),"")</f>
        <v>0.15184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89.68</v>
      </c>
      <c r="BN41" s="64">
        <f>IFERROR(Y41*I41/H41,"0")</f>
        <v>89.68</v>
      </c>
      <c r="BO41" s="64">
        <f>IFERROR(1/J41*(X41/H41),"0")</f>
        <v>0.125</v>
      </c>
      <c r="BP41" s="64">
        <f>IFERROR(1/J41*(Y41/H41),"0")</f>
        <v>0.125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8</v>
      </c>
      <c r="Y44" s="547">
        <f>IFERROR(Y41/H41,"0")+IFERROR(Y42/H42,"0")+IFERROR(Y43/H43,"0")</f>
        <v>8</v>
      </c>
      <c r="Z44" s="547">
        <f>IFERROR(IF(Z41="",0,Z41),"0")+IFERROR(IF(Z42="",0,Z42),"0")+IFERROR(IF(Z43="",0,Z43),"0")</f>
        <v>0.15184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86.4</v>
      </c>
      <c r="Y45" s="547">
        <f>IFERROR(SUM(Y41:Y43),"0")</f>
        <v>86.4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0</v>
      </c>
      <c r="Y90" s="547">
        <f>IFERROR(Y86/H86,"0")+IFERROR(Y87/H87,"0")+IFERROR(Y88/H88,"0")+IFERROR(Y89/H89,"0")</f>
        <v>0</v>
      </c>
      <c r="Z90" s="547">
        <f>IFERROR(IF(Z86="",0,Z86),"0")+IFERROR(IF(Z87="",0,Z87),"0")+IFERROR(IF(Z88="",0,Z88),"0")+IFERROR(IF(Z89="",0,Z89),"0")</f>
        <v>0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0</v>
      </c>
      <c r="Y91" s="547">
        <f>IFERROR(SUM(Y86:Y89),"0")</f>
        <v>0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0</v>
      </c>
      <c r="Y106" s="547">
        <f>IFERROR(Y101/H101,"0")+IFERROR(Y102/H102,"0")+IFERROR(Y103/H103,"0")+IFERROR(Y104/H104,"0")+IFERROR(Y105/H105,"0")</f>
        <v>0</v>
      </c>
      <c r="Z106" s="547">
        <f>IFERROR(IF(Z101="",0,Z101),"0")+IFERROR(IF(Z102="",0,Z102),"0")+IFERROR(IF(Z103="",0,Z103),"0")+IFERROR(IF(Z104="",0,Z104),"0")+IFERROR(IF(Z105="",0,Z105),"0")</f>
        <v>0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0</v>
      </c>
      <c r="Y107" s="547">
        <f>IFERROR(SUM(Y101:Y105),"0")</f>
        <v>0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124.8</v>
      </c>
      <c r="Y319" s="546">
        <f>IFERROR(IF(X319="",0,CEILING((X319/$H319),1)*$H319),"")</f>
        <v>124.8</v>
      </c>
      <c r="Z319" s="36">
        <f>IFERROR(IF(Y319=0,"",ROUNDUP(Y319/H319,0)*0.01898),"")</f>
        <v>0.30368000000000001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132.70400000000001</v>
      </c>
      <c r="BN319" s="64">
        <f>IFERROR(Y319*I319/H319,"0")</f>
        <v>132.70400000000001</v>
      </c>
      <c r="BO319" s="64">
        <f>IFERROR(1/J319*(X319/H319),"0")</f>
        <v>0.25</v>
      </c>
      <c r="BP319" s="64">
        <f>IFERROR(1/J319*(Y319/H319),"0")</f>
        <v>0.25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16</v>
      </c>
      <c r="Y321" s="547">
        <f>IFERROR(Y318/H318,"0")+IFERROR(Y319/H319,"0")+IFERROR(Y320/H320,"0")</f>
        <v>16</v>
      </c>
      <c r="Z321" s="547">
        <f>IFERROR(IF(Z318="",0,Z318),"0")+IFERROR(IF(Z319="",0,Z319),"0")+IFERROR(IF(Z320="",0,Z320),"0")</f>
        <v>0.30368000000000001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124.8</v>
      </c>
      <c r="Y322" s="547">
        <f>IFERROR(SUM(Y318:Y320),"0")</f>
        <v>124.8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120</v>
      </c>
      <c r="Y346" s="546">
        <f t="shared" ref="Y346:Y352" si="31">IFERROR(IF(X346="",0,CEILING((X346/$H346),1)*$H346),"")</f>
        <v>120</v>
      </c>
      <c r="Z346" s="36">
        <f>IFERROR(IF(Y346=0,"",ROUNDUP(Y346/H346,0)*0.02175),"")</f>
        <v>0.17399999999999999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123.76</v>
      </c>
      <c r="BN346" s="64">
        <f t="shared" ref="BN346:BN352" si="33">IFERROR(Y346*I346/H346,"0")</f>
        <v>123.76</v>
      </c>
      <c r="BO346" s="64">
        <f t="shared" ref="BO346:BO352" si="34">IFERROR(1/J346*(X346/H346),"0")</f>
        <v>0.16666666666666666</v>
      </c>
      <c r="BP346" s="64">
        <f t="shared" ref="BP346:BP352" si="35">IFERROR(1/J346*(Y346/H346),"0")</f>
        <v>0.16666666666666666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8</v>
      </c>
      <c r="Y353" s="547">
        <f>IFERROR(Y346/H346,"0")+IFERROR(Y347/H347,"0")+IFERROR(Y348/H348,"0")+IFERROR(Y349/H349,"0")+IFERROR(Y350/H350,"0")+IFERROR(Y351/H351,"0")+IFERROR(Y352/H352,"0")</f>
        <v>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0.17399999999999999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120</v>
      </c>
      <c r="Y354" s="547">
        <f>IFERROR(SUM(Y346:Y352),"0")</f>
        <v>120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0</v>
      </c>
      <c r="Y356" s="546">
        <f>IFERROR(IF(X356="",0,CEILING((X356/$H356),1)*$H356),"")</f>
        <v>0</v>
      </c>
      <c r="Z356" s="36" t="str">
        <f>IFERROR(IF(Y356=0,"",ROUNDUP(Y356/H356,0)*0.02175),"")</f>
        <v/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0</v>
      </c>
      <c r="Y358" s="547">
        <f>IFERROR(Y356/H356,"0")+IFERROR(Y357/H357,"0")</f>
        <v>0</v>
      </c>
      <c r="Z358" s="547">
        <f>IFERROR(IF(Z356="",0,Z356),"0")+IFERROR(IF(Z357="",0,Z357),"0")</f>
        <v>0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0</v>
      </c>
      <c r="Y359" s="547">
        <f>IFERROR(SUM(Y356:Y357),"0")</f>
        <v>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144</v>
      </c>
      <c r="Y381" s="546">
        <f>IFERROR(IF(X381="",0,CEILING((X381/$H381),1)*$H381),"")</f>
        <v>144</v>
      </c>
      <c r="Z381" s="36">
        <f>IFERROR(IF(Y381=0,"",ROUNDUP(Y381/H381,0)*0.01898),"")</f>
        <v>0.30368000000000001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151.904</v>
      </c>
      <c r="BN381" s="64">
        <f>IFERROR(Y381*I381/H381,"0")</f>
        <v>151.904</v>
      </c>
      <c r="BO381" s="64">
        <f>IFERROR(1/J381*(X381/H381),"0")</f>
        <v>0.25</v>
      </c>
      <c r="BP381" s="64">
        <f>IFERROR(1/J381*(Y381/H381),"0")</f>
        <v>0.25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33.6</v>
      </c>
      <c r="Y382" s="546">
        <f>IFERROR(IF(X382="",0,CEILING((X382/$H382),1)*$H382),"")</f>
        <v>33.6</v>
      </c>
      <c r="Z382" s="36">
        <f>IFERROR(IF(Y382=0,"",ROUNDUP(Y382/H382,0)*0.00651),"")</f>
        <v>9.1139999999999999E-2</v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37.296000000000006</v>
      </c>
      <c r="BN382" s="64">
        <f>IFERROR(Y382*I382/H382,"0")</f>
        <v>37.296000000000006</v>
      </c>
      <c r="BO382" s="64">
        <f>IFERROR(1/J382*(X382/H382),"0")</f>
        <v>7.6923076923076941E-2</v>
      </c>
      <c r="BP382" s="64">
        <f>IFERROR(1/J382*(Y382/H382),"0")</f>
        <v>7.6923076923076941E-2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30</v>
      </c>
      <c r="Y384" s="547">
        <f>IFERROR(Y381/H381,"0")+IFERROR(Y382/H382,"0")+IFERROR(Y383/H383,"0")</f>
        <v>30</v>
      </c>
      <c r="Z384" s="547">
        <f>IFERROR(IF(Z381="",0,Z381),"0")+IFERROR(IF(Z382="",0,Z382),"0")+IFERROR(IF(Z383="",0,Z383),"0")</f>
        <v>0.39482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177.6</v>
      </c>
      <c r="Y385" s="547">
        <f>IFERROR(SUM(Y381:Y383),"0")</f>
        <v>177.6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42.24</v>
      </c>
      <c r="Y429" s="546">
        <f t="shared" si="42"/>
        <v>42.24</v>
      </c>
      <c r="Z429" s="36">
        <f t="shared" si="43"/>
        <v>9.5680000000000001E-2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45.04</v>
      </c>
      <c r="BN429" s="64">
        <f t="shared" si="45"/>
        <v>45.04</v>
      </c>
      <c r="BO429" s="64">
        <f t="shared" si="46"/>
        <v>7.6923076923076927E-2</v>
      </c>
      <c r="BP429" s="64">
        <f t="shared" si="47"/>
        <v>7.6923076923076927E-2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42.24</v>
      </c>
      <c r="Y431" s="546">
        <f t="shared" si="42"/>
        <v>42.24</v>
      </c>
      <c r="Z431" s="36">
        <f t="shared" si="43"/>
        <v>9.5680000000000001E-2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45.04</v>
      </c>
      <c r="BN431" s="64">
        <f t="shared" si="45"/>
        <v>45.04</v>
      </c>
      <c r="BO431" s="64">
        <f t="shared" si="46"/>
        <v>7.6923076923076927E-2</v>
      </c>
      <c r="BP431" s="64">
        <f t="shared" si="47"/>
        <v>7.6923076923076927E-2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16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16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0.19136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84.48</v>
      </c>
      <c r="Y438" s="547">
        <f>IFERROR(SUM(Y425:Y436),"0")</f>
        <v>84.48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42.24</v>
      </c>
      <c r="Y446" s="546">
        <f t="shared" ref="Y446:Y451" si="48">IFERROR(IF(X446="",0,CEILING((X446/$H446),1)*$H446),"")</f>
        <v>42.24</v>
      </c>
      <c r="Z446" s="36">
        <f>IFERROR(IF(Y446=0,"",ROUNDUP(Y446/H446,0)*0.01196),"")</f>
        <v>9.5680000000000001E-2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45.04</v>
      </c>
      <c r="BN446" s="64">
        <f t="shared" ref="BN446:BN451" si="50">IFERROR(Y446*I446/H446,"0")</f>
        <v>45.04</v>
      </c>
      <c r="BO446" s="64">
        <f t="shared" ref="BO446:BO451" si="51">IFERROR(1/J446*(X446/H446),"0")</f>
        <v>7.6923076923076927E-2</v>
      </c>
      <c r="BP446" s="64">
        <f t="shared" ref="BP446:BP451" si="52">IFERROR(1/J446*(Y446/H446),"0")</f>
        <v>7.6923076923076927E-2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42.24</v>
      </c>
      <c r="Y447" s="546">
        <f t="shared" si="48"/>
        <v>42.24</v>
      </c>
      <c r="Z447" s="36">
        <f>IFERROR(IF(Y447=0,"",ROUNDUP(Y447/H447,0)*0.01196),"")</f>
        <v>9.5680000000000001E-2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45.04</v>
      </c>
      <c r="BN447" s="64">
        <f t="shared" si="50"/>
        <v>45.04</v>
      </c>
      <c r="BO447" s="64">
        <f t="shared" si="51"/>
        <v>7.6923076923076927E-2</v>
      </c>
      <c r="BP447" s="64">
        <f t="shared" si="52"/>
        <v>7.6923076923076927E-2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42.24</v>
      </c>
      <c r="Y448" s="546">
        <f t="shared" si="48"/>
        <v>42.24</v>
      </c>
      <c r="Z448" s="36">
        <f>IFERROR(IF(Y448=0,"",ROUNDUP(Y448/H448,0)*0.01196),"")</f>
        <v>9.5680000000000001E-2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45.04</v>
      </c>
      <c r="BN448" s="64">
        <f t="shared" si="50"/>
        <v>45.04</v>
      </c>
      <c r="BO448" s="64">
        <f t="shared" si="51"/>
        <v>7.6923076923076927E-2</v>
      </c>
      <c r="BP448" s="64">
        <f t="shared" si="52"/>
        <v>7.6923076923076927E-2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24</v>
      </c>
      <c r="Y452" s="547">
        <f>IFERROR(Y446/H446,"0")+IFERROR(Y447/H447,"0")+IFERROR(Y448/H448,"0")+IFERROR(Y449/H449,"0")+IFERROR(Y450/H450,"0")+IFERROR(Y451/H451,"0")</f>
        <v>24</v>
      </c>
      <c r="Z452" s="547">
        <f>IFERROR(IF(Z446="",0,Z446),"0")+IFERROR(IF(Z447="",0,Z447),"0")+IFERROR(IF(Z448="",0,Z448),"0")+IFERROR(IF(Z449="",0,Z449),"0")+IFERROR(IF(Z450="",0,Z450),"0")+IFERROR(IF(Z451="",0,Z451),"0")</f>
        <v>0.28704000000000002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126.72</v>
      </c>
      <c r="Y453" s="547">
        <f>IFERROR(SUM(Y446:Y451),"0")</f>
        <v>126.72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720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720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760.54399999999987</v>
      </c>
      <c r="Y492" s="547">
        <f>IFERROR(SUM(BN22:BN488),"0")</f>
        <v>760.54399999999987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2</v>
      </c>
      <c r="Y493" s="38">
        <f>ROUNDUP(SUM(BP22:BP488),0)</f>
        <v>2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810.54399999999987</v>
      </c>
      <c r="Y494" s="547">
        <f>GrossWeightTotalR+PalletQtyTotalR*25</f>
        <v>810.54399999999987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102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102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1.50274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86.4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0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124.8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120</v>
      </c>
      <c r="T501" s="46">
        <f>IFERROR(Y371*1,"0")+IFERROR(Y372*1,"0")+IFERROR(Y376*1,"0")+IFERROR(Y377*1,"0")+IFERROR(Y381*1,"0")+IFERROR(Y382*1,"0")+IFERROR(Y383*1,"0")</f>
        <v>177.6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211.20000000000002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2025-12-11T06:29:19Z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