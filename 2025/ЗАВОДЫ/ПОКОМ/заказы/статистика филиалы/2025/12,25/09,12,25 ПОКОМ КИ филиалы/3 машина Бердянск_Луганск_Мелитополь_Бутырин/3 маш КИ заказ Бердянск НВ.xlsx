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3 машина Бердянск_Луганск_Мелитополь_Бутырин\"/>
    </mc:Choice>
  </mc:AlternateContent>
  <xr:revisionPtr revIDLastSave="0" documentId="13_ncr:1_{F3CFF9ED-FB5F-49B1-A315-9CE11009ED8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Y152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P22" i="1"/>
  <c r="H10" i="1"/>
  <c r="A9" i="1"/>
  <c r="F10" i="1" s="1"/>
  <c r="D7" i="1"/>
  <c r="Q6" i="1"/>
  <c r="P2" i="1"/>
  <c r="H9" i="1" l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Z106" i="1" s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Z334" i="1"/>
  <c r="BP332" i="1"/>
  <c r="BN332" i="1"/>
  <c r="Z332" i="1"/>
  <c r="Y334" i="1"/>
  <c r="D501" i="1"/>
  <c r="F9" i="1"/>
  <c r="J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Z44" i="1" s="1"/>
  <c r="BN42" i="1"/>
  <c r="Y45" i="1"/>
  <c r="Y58" i="1"/>
  <c r="Z53" i="1"/>
  <c r="Z58" i="1" s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Z113" i="1" s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Z130" i="1" s="1"/>
  <c r="Y131" i="1"/>
  <c r="Y136" i="1"/>
  <c r="BP133" i="1"/>
  <c r="BN133" i="1"/>
  <c r="Z133" i="1"/>
  <c r="Z135" i="1" s="1"/>
  <c r="Y140" i="1"/>
  <c r="Y146" i="1"/>
  <c r="Z152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Z209" i="1" s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9" i="1" s="1"/>
  <c r="BP235" i="1"/>
  <c r="BN235" i="1"/>
  <c r="Z235" i="1"/>
  <c r="Y239" i="1"/>
  <c r="BP251" i="1"/>
  <c r="BN251" i="1"/>
  <c r="Z251" i="1"/>
  <c r="Z255" i="1" s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Z264" i="1" s="1"/>
  <c r="BP271" i="1"/>
  <c r="BN271" i="1"/>
  <c r="Z271" i="1"/>
  <c r="Z272" i="1" s="1"/>
  <c r="O501" i="1"/>
  <c r="Y279" i="1"/>
  <c r="BP276" i="1"/>
  <c r="BN276" i="1"/>
  <c r="Z276" i="1"/>
  <c r="Z279" i="1" s="1"/>
  <c r="BP289" i="1"/>
  <c r="BN289" i="1"/>
  <c r="Z289" i="1"/>
  <c r="Z290" i="1" s="1"/>
  <c r="Y291" i="1"/>
  <c r="Q501" i="1"/>
  <c r="Y299" i="1"/>
  <c r="BP294" i="1"/>
  <c r="BN294" i="1"/>
  <c r="Z294" i="1"/>
  <c r="Z299" i="1" s="1"/>
  <c r="BP298" i="1"/>
  <c r="BN298" i="1"/>
  <c r="Z298" i="1"/>
  <c r="Y300" i="1"/>
  <c r="Y309" i="1"/>
  <c r="BP302" i="1"/>
  <c r="BN302" i="1"/>
  <c r="Z302" i="1"/>
  <c r="Z308" i="1" s="1"/>
  <c r="BP306" i="1"/>
  <c r="BN306" i="1"/>
  <c r="Z306" i="1"/>
  <c r="Y315" i="1"/>
  <c r="BP314" i="1"/>
  <c r="BN314" i="1"/>
  <c r="Z314" i="1"/>
  <c r="Z315" i="1" s="1"/>
  <c r="Y321" i="1"/>
  <c r="BP318" i="1"/>
  <c r="BN318" i="1"/>
  <c r="Z318" i="1"/>
  <c r="Z321" i="1" s="1"/>
  <c r="BP326" i="1"/>
  <c r="BN326" i="1"/>
  <c r="Z326" i="1"/>
  <c r="Y335" i="1"/>
  <c r="Z341" i="1"/>
  <c r="BP339" i="1"/>
  <c r="BN339" i="1"/>
  <c r="Z339" i="1"/>
  <c r="BP349" i="1"/>
  <c r="BN349" i="1"/>
  <c r="Z349" i="1"/>
  <c r="Z353" i="1" s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Z384" i="1" s="1"/>
  <c r="Y399" i="1"/>
  <c r="BP392" i="1"/>
  <c r="BN392" i="1"/>
  <c r="Z392" i="1"/>
  <c r="Z398" i="1" s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Z437" i="1" s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415" i="1" l="1"/>
  <c r="Y491" i="1"/>
  <c r="Y493" i="1"/>
  <c r="Z97" i="1"/>
  <c r="Z90" i="1"/>
  <c r="Z77" i="1"/>
  <c r="Z64" i="1"/>
  <c r="Z496" i="1" s="1"/>
  <c r="Z221" i="1"/>
  <c r="Z465" i="1"/>
  <c r="Y492" i="1"/>
  <c r="Y494" i="1" s="1"/>
  <c r="Z328" i="1"/>
  <c r="Z177" i="1"/>
  <c r="Y495" i="1"/>
</calcChain>
</file>

<file path=xl/sharedStrings.xml><?xml version="1.0" encoding="utf-8"?>
<sst xmlns="http://schemas.openxmlformats.org/spreadsheetml/2006/main" count="2219" uniqueCount="775">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</sst>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0" fontId="35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5" fillId="0" borderId="0" xfId="0" applyFont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4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2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800" t="s">
        <v>0</v>
      </c>
      <c r="E1" s="574"/>
      <c r="F1" s="574"/>
      <c r="G1" s="12" t="s">
        <v>1</v>
      </c>
      <c r="H1" s="800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852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761" t="s">
        <v>8</v>
      </c>
      <c r="B5" s="550"/>
      <c r="C5" s="551"/>
      <c r="D5" s="653"/>
      <c r="E5" s="655"/>
      <c r="F5" s="624" t="s">
        <v>9</v>
      </c>
      <c r="G5" s="551"/>
      <c r="H5" s="653"/>
      <c r="I5" s="654"/>
      <c r="J5" s="654"/>
      <c r="K5" s="654"/>
      <c r="L5" s="654"/>
      <c r="M5" s="655"/>
      <c r="N5" s="58"/>
      <c r="P5" s="24" t="s">
        <v>10</v>
      </c>
      <c r="Q5" s="582">
        <v>46004</v>
      </c>
      <c r="R5" s="583"/>
      <c r="T5" s="736" t="s">
        <v>11</v>
      </c>
      <c r="U5" s="586"/>
      <c r="V5" s="738" t="s">
        <v>12</v>
      </c>
      <c r="W5" s="583"/>
      <c r="AB5" s="51"/>
      <c r="AC5" s="51"/>
      <c r="AD5" s="51"/>
      <c r="AE5" s="51"/>
    </row>
    <row r="6" spans="1:32" s="539" customFormat="1" ht="24" customHeight="1" x14ac:dyDescent="0.2">
      <c r="A6" s="761" t="s">
        <v>13</v>
      </c>
      <c r="B6" s="550"/>
      <c r="C6" s="551"/>
      <c r="D6" s="658" t="s">
        <v>14</v>
      </c>
      <c r="E6" s="659"/>
      <c r="F6" s="659"/>
      <c r="G6" s="659"/>
      <c r="H6" s="659"/>
      <c r="I6" s="659"/>
      <c r="J6" s="659"/>
      <c r="K6" s="659"/>
      <c r="L6" s="659"/>
      <c r="M6" s="583"/>
      <c r="N6" s="59"/>
      <c r="P6" s="24" t="s">
        <v>15</v>
      </c>
      <c r="Q6" s="593" t="str">
        <f>IF(Q5=0," ",CHOOSE(WEEKDAY(Q5,2),"Понедельник","Вторник","Среда","Четверг","Пятница","Суббота","Воскресенье"))</f>
        <v>Суббота</v>
      </c>
      <c r="R6" s="562"/>
      <c r="T6" s="729" t="s">
        <v>16</v>
      </c>
      <c r="U6" s="586"/>
      <c r="V6" s="708" t="s">
        <v>17</v>
      </c>
      <c r="W6" s="70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826" t="str">
        <f>IFERROR(VLOOKUP(DeliveryAddress,Table,3,0),1)</f>
        <v>1</v>
      </c>
      <c r="E7" s="827"/>
      <c r="F7" s="827"/>
      <c r="G7" s="827"/>
      <c r="H7" s="827"/>
      <c r="I7" s="827"/>
      <c r="J7" s="827"/>
      <c r="K7" s="827"/>
      <c r="L7" s="827"/>
      <c r="M7" s="743"/>
      <c r="N7" s="60"/>
      <c r="P7" s="24"/>
      <c r="Q7" s="42"/>
      <c r="R7" s="42"/>
      <c r="T7" s="556"/>
      <c r="U7" s="586"/>
      <c r="V7" s="710"/>
      <c r="W7" s="711"/>
      <c r="AB7" s="51"/>
      <c r="AC7" s="51"/>
      <c r="AD7" s="51"/>
      <c r="AE7" s="51"/>
    </row>
    <row r="8" spans="1:32" s="539" customFormat="1" ht="25.5" customHeight="1" x14ac:dyDescent="0.2">
      <c r="A8" s="735" t="s">
        <v>18</v>
      </c>
      <c r="B8" s="553"/>
      <c r="C8" s="554"/>
      <c r="D8" s="834" t="s">
        <v>19</v>
      </c>
      <c r="E8" s="835"/>
      <c r="F8" s="835"/>
      <c r="G8" s="835"/>
      <c r="H8" s="835"/>
      <c r="I8" s="835"/>
      <c r="J8" s="835"/>
      <c r="K8" s="835"/>
      <c r="L8" s="835"/>
      <c r="M8" s="836"/>
      <c r="N8" s="61"/>
      <c r="P8" s="24" t="s">
        <v>20</v>
      </c>
      <c r="Q8" s="742">
        <v>0.41666666666666669</v>
      </c>
      <c r="R8" s="743"/>
      <c r="T8" s="556"/>
      <c r="U8" s="586"/>
      <c r="V8" s="710"/>
      <c r="W8" s="711"/>
      <c r="AB8" s="51"/>
      <c r="AC8" s="51"/>
      <c r="AD8" s="51"/>
      <c r="AE8" s="51"/>
    </row>
    <row r="9" spans="1:32" s="539" customFormat="1" ht="39.950000000000003" customHeight="1" x14ac:dyDescent="0.2">
      <c r="A9" s="5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19"/>
      <c r="E9" s="620"/>
      <c r="F9" s="5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706" t="str">
        <f>IF(AND($A$9="Тип доверенности/получателя при получении в адресе перегруза:",$D$9="Разовая доверенность"),"Введите ФИО","")</f>
        <v/>
      </c>
      <c r="I9" s="620"/>
      <c r="J9" s="7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0"/>
      <c r="L9" s="620"/>
      <c r="M9" s="620"/>
      <c r="N9" s="537"/>
      <c r="P9" s="26" t="s">
        <v>21</v>
      </c>
      <c r="Q9" s="779"/>
      <c r="R9" s="626"/>
      <c r="T9" s="556"/>
      <c r="U9" s="586"/>
      <c r="V9" s="712"/>
      <c r="W9" s="713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5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19"/>
      <c r="E10" s="620"/>
      <c r="F10" s="5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672" t="str">
        <f>IFERROR(VLOOKUP($D$10,Proxy,2,FALSE),"")</f>
        <v/>
      </c>
      <c r="I10" s="556"/>
      <c r="J10" s="556"/>
      <c r="K10" s="556"/>
      <c r="L10" s="556"/>
      <c r="M10" s="556"/>
      <c r="N10" s="538"/>
      <c r="P10" s="26" t="s">
        <v>22</v>
      </c>
      <c r="Q10" s="730"/>
      <c r="R10" s="731"/>
      <c r="U10" s="24" t="s">
        <v>23</v>
      </c>
      <c r="V10" s="862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3"/>
      <c r="R11" s="583"/>
      <c r="U11" s="24" t="s">
        <v>27</v>
      </c>
      <c r="V11" s="625" t="s">
        <v>28</v>
      </c>
      <c r="W11" s="62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5" t="s">
        <v>29</v>
      </c>
      <c r="B12" s="550"/>
      <c r="C12" s="550"/>
      <c r="D12" s="550"/>
      <c r="E12" s="550"/>
      <c r="F12" s="550"/>
      <c r="G12" s="550"/>
      <c r="H12" s="550"/>
      <c r="I12" s="550"/>
      <c r="J12" s="550"/>
      <c r="K12" s="550"/>
      <c r="L12" s="550"/>
      <c r="M12" s="551"/>
      <c r="N12" s="62"/>
      <c r="P12" s="24" t="s">
        <v>30</v>
      </c>
      <c r="Q12" s="742"/>
      <c r="R12" s="743"/>
      <c r="S12" s="23"/>
      <c r="U12" s="24"/>
      <c r="V12" s="574"/>
      <c r="W12" s="556"/>
      <c r="AB12" s="51"/>
      <c r="AC12" s="51"/>
      <c r="AD12" s="51"/>
      <c r="AE12" s="51"/>
    </row>
    <row r="13" spans="1:32" s="539" customFormat="1" ht="23.25" customHeight="1" x14ac:dyDescent="0.2">
      <c r="A13" s="715" t="s">
        <v>31</v>
      </c>
      <c r="B13" s="550"/>
      <c r="C13" s="550"/>
      <c r="D13" s="550"/>
      <c r="E13" s="550"/>
      <c r="F13" s="550"/>
      <c r="G13" s="550"/>
      <c r="H13" s="550"/>
      <c r="I13" s="550"/>
      <c r="J13" s="550"/>
      <c r="K13" s="550"/>
      <c r="L13" s="550"/>
      <c r="M13" s="551"/>
      <c r="N13" s="62"/>
      <c r="O13" s="26"/>
      <c r="P13" s="26" t="s">
        <v>32</v>
      </c>
      <c r="Q13" s="625"/>
      <c r="R13" s="62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5" t="s">
        <v>33</v>
      </c>
      <c r="B14" s="550"/>
      <c r="C14" s="550"/>
      <c r="D14" s="550"/>
      <c r="E14" s="550"/>
      <c r="F14" s="550"/>
      <c r="G14" s="550"/>
      <c r="H14" s="550"/>
      <c r="I14" s="550"/>
      <c r="J14" s="550"/>
      <c r="K14" s="550"/>
      <c r="L14" s="550"/>
      <c r="M14" s="55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16" t="s">
        <v>34</v>
      </c>
      <c r="B15" s="550"/>
      <c r="C15" s="550"/>
      <c r="D15" s="550"/>
      <c r="E15" s="550"/>
      <c r="F15" s="550"/>
      <c r="G15" s="550"/>
      <c r="H15" s="550"/>
      <c r="I15" s="550"/>
      <c r="J15" s="550"/>
      <c r="K15" s="550"/>
      <c r="L15" s="550"/>
      <c r="M15" s="551"/>
      <c r="N15" s="63"/>
      <c r="P15" s="753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4"/>
      <c r="Q16" s="754"/>
      <c r="R16" s="754"/>
      <c r="S16" s="754"/>
      <c r="T16" s="75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4" t="s">
        <v>36</v>
      </c>
      <c r="B17" s="564" t="s">
        <v>37</v>
      </c>
      <c r="C17" s="766" t="s">
        <v>38</v>
      </c>
      <c r="D17" s="564" t="s">
        <v>39</v>
      </c>
      <c r="E17" s="565"/>
      <c r="F17" s="564" t="s">
        <v>40</v>
      </c>
      <c r="G17" s="564" t="s">
        <v>41</v>
      </c>
      <c r="H17" s="564" t="s">
        <v>42</v>
      </c>
      <c r="I17" s="564" t="s">
        <v>43</v>
      </c>
      <c r="J17" s="564" t="s">
        <v>44</v>
      </c>
      <c r="K17" s="564" t="s">
        <v>45</v>
      </c>
      <c r="L17" s="564" t="s">
        <v>46</v>
      </c>
      <c r="M17" s="564" t="s">
        <v>47</v>
      </c>
      <c r="N17" s="564" t="s">
        <v>48</v>
      </c>
      <c r="O17" s="564" t="s">
        <v>49</v>
      </c>
      <c r="P17" s="564" t="s">
        <v>50</v>
      </c>
      <c r="Q17" s="805"/>
      <c r="R17" s="805"/>
      <c r="S17" s="805"/>
      <c r="T17" s="565"/>
      <c r="U17" s="721" t="s">
        <v>51</v>
      </c>
      <c r="V17" s="551"/>
      <c r="W17" s="564" t="s">
        <v>52</v>
      </c>
      <c r="X17" s="564" t="s">
        <v>53</v>
      </c>
      <c r="Y17" s="719" t="s">
        <v>54</v>
      </c>
      <c r="Z17" s="677" t="s">
        <v>55</v>
      </c>
      <c r="AA17" s="602" t="s">
        <v>56</v>
      </c>
      <c r="AB17" s="602" t="s">
        <v>57</v>
      </c>
      <c r="AC17" s="602" t="s">
        <v>58</v>
      </c>
      <c r="AD17" s="602" t="s">
        <v>59</v>
      </c>
      <c r="AE17" s="603"/>
      <c r="AF17" s="604"/>
      <c r="AG17" s="66"/>
      <c r="BD17" s="65" t="s">
        <v>60</v>
      </c>
    </row>
    <row r="18" spans="1:68" ht="14.25" customHeight="1" x14ac:dyDescent="0.2">
      <c r="A18" s="571"/>
      <c r="B18" s="571"/>
      <c r="C18" s="571"/>
      <c r="D18" s="566"/>
      <c r="E18" s="567"/>
      <c r="F18" s="571"/>
      <c r="G18" s="571"/>
      <c r="H18" s="571"/>
      <c r="I18" s="571"/>
      <c r="J18" s="571"/>
      <c r="K18" s="571"/>
      <c r="L18" s="571"/>
      <c r="M18" s="571"/>
      <c r="N18" s="571"/>
      <c r="O18" s="571"/>
      <c r="P18" s="566"/>
      <c r="Q18" s="806"/>
      <c r="R18" s="806"/>
      <c r="S18" s="806"/>
      <c r="T18" s="567"/>
      <c r="U18" s="67" t="s">
        <v>61</v>
      </c>
      <c r="V18" s="67" t="s">
        <v>62</v>
      </c>
      <c r="W18" s="571"/>
      <c r="X18" s="571"/>
      <c r="Y18" s="720"/>
      <c r="Z18" s="678"/>
      <c r="AA18" s="671"/>
      <c r="AB18" s="671"/>
      <c r="AC18" s="671"/>
      <c r="AD18" s="605"/>
      <c r="AE18" s="606"/>
      <c r="AF18" s="607"/>
      <c r="AG18" s="66"/>
      <c r="BD18" s="65"/>
    </row>
    <row r="19" spans="1:68" ht="27.75" customHeight="1" x14ac:dyDescent="0.2">
      <c r="A19" s="686" t="s">
        <v>63</v>
      </c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48"/>
      <c r="AB19" s="48"/>
      <c r="AC19" s="48"/>
    </row>
    <row r="20" spans="1:68" ht="16.5" customHeight="1" x14ac:dyDescent="0.25">
      <c r="A20" s="576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40"/>
      <c r="AB20" s="540"/>
      <c r="AC20" s="540"/>
    </row>
    <row r="21" spans="1:68" ht="14.25" customHeight="1" x14ac:dyDescent="0.25">
      <c r="A21" s="560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1">
        <v>4680115887510</v>
      </c>
      <c r="E22" s="562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6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1">
        <v>4680115886643</v>
      </c>
      <c r="E23" s="562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5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7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78"/>
      <c r="P24" s="552" t="s">
        <v>75</v>
      </c>
      <c r="Q24" s="553"/>
      <c r="R24" s="553"/>
      <c r="S24" s="553"/>
      <c r="T24" s="553"/>
      <c r="U24" s="553"/>
      <c r="V24" s="554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6"/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78"/>
      <c r="P25" s="552" t="s">
        <v>75</v>
      </c>
      <c r="Q25" s="553"/>
      <c r="R25" s="553"/>
      <c r="S25" s="553"/>
      <c r="T25" s="553"/>
      <c r="U25" s="553"/>
      <c r="V25" s="554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60" t="s">
        <v>77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6"/>
      <c r="Q26" s="556"/>
      <c r="R26" s="556"/>
      <c r="S26" s="556"/>
      <c r="T26" s="556"/>
      <c r="U26" s="556"/>
      <c r="V26" s="556"/>
      <c r="W26" s="556"/>
      <c r="X26" s="556"/>
      <c r="Y26" s="556"/>
      <c r="Z26" s="556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1">
        <v>4680115885912</v>
      </c>
      <c r="E27" s="562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68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1">
        <v>4607091388237</v>
      </c>
      <c r="E28" s="562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61">
        <v>4680115887350</v>
      </c>
      <c r="E29" s="562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8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61">
        <v>4680115885905</v>
      </c>
      <c r="E30" s="562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86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61">
        <v>4607091388244</v>
      </c>
      <c r="E31" s="562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83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77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78"/>
      <c r="P32" s="552" t="s">
        <v>75</v>
      </c>
      <c r="Q32" s="553"/>
      <c r="R32" s="553"/>
      <c r="S32" s="553"/>
      <c r="T32" s="553"/>
      <c r="U32" s="553"/>
      <c r="V32" s="554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6"/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78"/>
      <c r="P33" s="552" t="s">
        <v>75</v>
      </c>
      <c r="Q33" s="553"/>
      <c r="R33" s="553"/>
      <c r="S33" s="553"/>
      <c r="T33" s="553"/>
      <c r="U33" s="553"/>
      <c r="V33" s="554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60" t="s">
        <v>94</v>
      </c>
      <c r="B34" s="556"/>
      <c r="C34" s="556"/>
      <c r="D34" s="556"/>
      <c r="E34" s="556"/>
      <c r="F34" s="556"/>
      <c r="G34" s="556"/>
      <c r="H34" s="556"/>
      <c r="I34" s="556"/>
      <c r="J34" s="556"/>
      <c r="K34" s="556"/>
      <c r="L34" s="556"/>
      <c r="M34" s="556"/>
      <c r="N34" s="556"/>
      <c r="O34" s="556"/>
      <c r="P34" s="556"/>
      <c r="Q34" s="556"/>
      <c r="R34" s="556"/>
      <c r="S34" s="556"/>
      <c r="T34" s="556"/>
      <c r="U34" s="556"/>
      <c r="V34" s="556"/>
      <c r="W34" s="556"/>
      <c r="X34" s="556"/>
      <c r="Y34" s="556"/>
      <c r="Z34" s="556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61">
        <v>4607091388503</v>
      </c>
      <c r="E35" s="562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66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77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78"/>
      <c r="P36" s="552" t="s">
        <v>75</v>
      </c>
      <c r="Q36" s="553"/>
      <c r="R36" s="553"/>
      <c r="S36" s="553"/>
      <c r="T36" s="553"/>
      <c r="U36" s="553"/>
      <c r="V36" s="554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6"/>
      <c r="B37" s="556"/>
      <c r="C37" s="556"/>
      <c r="D37" s="556"/>
      <c r="E37" s="556"/>
      <c r="F37" s="556"/>
      <c r="G37" s="556"/>
      <c r="H37" s="556"/>
      <c r="I37" s="556"/>
      <c r="J37" s="556"/>
      <c r="K37" s="556"/>
      <c r="L37" s="556"/>
      <c r="M37" s="556"/>
      <c r="N37" s="556"/>
      <c r="O37" s="578"/>
      <c r="P37" s="552" t="s">
        <v>75</v>
      </c>
      <c r="Q37" s="553"/>
      <c r="R37" s="553"/>
      <c r="S37" s="553"/>
      <c r="T37" s="553"/>
      <c r="U37" s="553"/>
      <c r="V37" s="554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686" t="s">
        <v>100</v>
      </c>
      <c r="B38" s="687"/>
      <c r="C38" s="687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687"/>
      <c r="O38" s="687"/>
      <c r="P38" s="687"/>
      <c r="Q38" s="687"/>
      <c r="R38" s="687"/>
      <c r="S38" s="687"/>
      <c r="T38" s="687"/>
      <c r="U38" s="687"/>
      <c r="V38" s="687"/>
      <c r="W38" s="687"/>
      <c r="X38" s="687"/>
      <c r="Y38" s="687"/>
      <c r="Z38" s="687"/>
      <c r="AA38" s="48"/>
      <c r="AB38" s="48"/>
      <c r="AC38" s="48"/>
    </row>
    <row r="39" spans="1:68" ht="16.5" customHeight="1" x14ac:dyDescent="0.25">
      <c r="A39" s="576" t="s">
        <v>101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40"/>
      <c r="AB39" s="540"/>
      <c r="AC39" s="540"/>
    </row>
    <row r="40" spans="1:68" ht="14.25" customHeight="1" x14ac:dyDescent="0.25">
      <c r="A40" s="560" t="s">
        <v>102</v>
      </c>
      <c r="B40" s="556"/>
      <c r="C40" s="556"/>
      <c r="D40" s="556"/>
      <c r="E40" s="556"/>
      <c r="F40" s="556"/>
      <c r="G40" s="556"/>
      <c r="H40" s="556"/>
      <c r="I40" s="556"/>
      <c r="J40" s="556"/>
      <c r="K40" s="556"/>
      <c r="L40" s="556"/>
      <c r="M40" s="556"/>
      <c r="N40" s="556"/>
      <c r="O40" s="556"/>
      <c r="P40" s="556"/>
      <c r="Q40" s="556"/>
      <c r="R40" s="556"/>
      <c r="S40" s="556"/>
      <c r="T40" s="556"/>
      <c r="U40" s="556"/>
      <c r="V40" s="556"/>
      <c r="W40" s="556"/>
      <c r="X40" s="556"/>
      <c r="Y40" s="556"/>
      <c r="Z40" s="556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61">
        <v>4607091385670</v>
      </c>
      <c r="E41" s="562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68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45">
        <v>159</v>
      </c>
      <c r="Y41" s="546">
        <f>IFERROR(IF(X41="",0,CEILING((X41/$H41),1)*$H41),"")</f>
        <v>162</v>
      </c>
      <c r="Z41" s="36">
        <f>IFERROR(IF(Y41=0,"",ROUNDUP(Y41/H41,0)*0.01898),"")</f>
        <v>0.28470000000000001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165.0361111111111</v>
      </c>
      <c r="BN41" s="64">
        <f>IFERROR(Y41*I41/H41,"0")</f>
        <v>168.15</v>
      </c>
      <c r="BO41" s="64">
        <f>IFERROR(1/J41*(X41/H41),"0")</f>
        <v>0.23003472222222221</v>
      </c>
      <c r="BP41" s="64">
        <f>IFERROR(1/J41*(Y41/H41),"0")</f>
        <v>0.23437499999999997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1">
        <v>4680115882539</v>
      </c>
      <c r="E42" s="562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8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1">
        <v>4607091385687</v>
      </c>
      <c r="E43" s="562"/>
      <c r="F43" s="544">
        <v>0.4</v>
      </c>
      <c r="G43" s="32">
        <v>10</v>
      </c>
      <c r="H43" s="544">
        <v>4</v>
      </c>
      <c r="I43" s="544">
        <v>4.1900000000000004</v>
      </c>
      <c r="J43" s="32">
        <v>132</v>
      </c>
      <c r="K43" s="32" t="s">
        <v>112</v>
      </c>
      <c r="L43" s="32"/>
      <c r="M43" s="33" t="s">
        <v>80</v>
      </c>
      <c r="N43" s="33"/>
      <c r="O43" s="32">
        <v>50</v>
      </c>
      <c r="P43" s="7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7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78"/>
      <c r="P44" s="552" t="s">
        <v>75</v>
      </c>
      <c r="Q44" s="553"/>
      <c r="R44" s="553"/>
      <c r="S44" s="553"/>
      <c r="T44" s="553"/>
      <c r="U44" s="553"/>
      <c r="V44" s="554"/>
      <c r="W44" s="37" t="s">
        <v>76</v>
      </c>
      <c r="X44" s="547">
        <f>IFERROR(X41/H41,"0")+IFERROR(X42/H42,"0")+IFERROR(X43/H43,"0")</f>
        <v>14.722222222222221</v>
      </c>
      <c r="Y44" s="547">
        <f>IFERROR(Y41/H41,"0")+IFERROR(Y42/H42,"0")+IFERROR(Y43/H43,"0")</f>
        <v>14.999999999999998</v>
      </c>
      <c r="Z44" s="547">
        <f>IFERROR(IF(Z41="",0,Z41),"0")+IFERROR(IF(Z42="",0,Z42),"0")+IFERROR(IF(Z43="",0,Z43),"0")</f>
        <v>0.28470000000000001</v>
      </c>
      <c r="AA44" s="548"/>
      <c r="AB44" s="548"/>
      <c r="AC44" s="548"/>
    </row>
    <row r="45" spans="1:68" x14ac:dyDescent="0.2">
      <c r="A45" s="556"/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78"/>
      <c r="P45" s="552" t="s">
        <v>75</v>
      </c>
      <c r="Q45" s="553"/>
      <c r="R45" s="553"/>
      <c r="S45" s="553"/>
      <c r="T45" s="553"/>
      <c r="U45" s="553"/>
      <c r="V45" s="554"/>
      <c r="W45" s="37" t="s">
        <v>69</v>
      </c>
      <c r="X45" s="547">
        <f>IFERROR(SUM(X41:X43),"0")</f>
        <v>159</v>
      </c>
      <c r="Y45" s="547">
        <f>IFERROR(SUM(Y41:Y43),"0")</f>
        <v>162</v>
      </c>
      <c r="Z45" s="37"/>
      <c r="AA45" s="548"/>
      <c r="AB45" s="548"/>
      <c r="AC45" s="548"/>
    </row>
    <row r="46" spans="1:68" ht="14.25" customHeight="1" x14ac:dyDescent="0.25">
      <c r="A46" s="560" t="s">
        <v>77</v>
      </c>
      <c r="B46" s="556"/>
      <c r="C46" s="556"/>
      <c r="D46" s="556"/>
      <c r="E46" s="556"/>
      <c r="F46" s="556"/>
      <c r="G46" s="556"/>
      <c r="H46" s="556"/>
      <c r="I46" s="556"/>
      <c r="J46" s="556"/>
      <c r="K46" s="556"/>
      <c r="L46" s="556"/>
      <c r="M46" s="556"/>
      <c r="N46" s="556"/>
      <c r="O46" s="556"/>
      <c r="P46" s="556"/>
      <c r="Q46" s="556"/>
      <c r="R46" s="556"/>
      <c r="S46" s="556"/>
      <c r="T46" s="556"/>
      <c r="U46" s="556"/>
      <c r="V46" s="556"/>
      <c r="W46" s="556"/>
      <c r="X46" s="556"/>
      <c r="Y46" s="556"/>
      <c r="Z46" s="556"/>
      <c r="AA46" s="541"/>
      <c r="AB46" s="541"/>
      <c r="AC46" s="541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1">
        <v>4680115884915</v>
      </c>
      <c r="E47" s="562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9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77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78"/>
      <c r="P48" s="552" t="s">
        <v>75</v>
      </c>
      <c r="Q48" s="553"/>
      <c r="R48" s="553"/>
      <c r="S48" s="553"/>
      <c r="T48" s="553"/>
      <c r="U48" s="553"/>
      <c r="V48" s="554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6"/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78"/>
      <c r="P49" s="552" t="s">
        <v>75</v>
      </c>
      <c r="Q49" s="553"/>
      <c r="R49" s="553"/>
      <c r="S49" s="553"/>
      <c r="T49" s="553"/>
      <c r="U49" s="553"/>
      <c r="V49" s="554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76" t="s">
        <v>118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40"/>
      <c r="AB50" s="540"/>
      <c r="AC50" s="540"/>
    </row>
    <row r="51" spans="1:68" ht="14.25" customHeight="1" x14ac:dyDescent="0.25">
      <c r="A51" s="560" t="s">
        <v>102</v>
      </c>
      <c r="B51" s="556"/>
      <c r="C51" s="556"/>
      <c r="D51" s="556"/>
      <c r="E51" s="556"/>
      <c r="F51" s="556"/>
      <c r="G51" s="556"/>
      <c r="H51" s="556"/>
      <c r="I51" s="556"/>
      <c r="J51" s="556"/>
      <c r="K51" s="556"/>
      <c r="L51" s="556"/>
      <c r="M51" s="556"/>
      <c r="N51" s="556"/>
      <c r="O51" s="556"/>
      <c r="P51" s="556"/>
      <c r="Q51" s="556"/>
      <c r="R51" s="556"/>
      <c r="S51" s="556"/>
      <c r="T51" s="556"/>
      <c r="U51" s="556"/>
      <c r="V51" s="556"/>
      <c r="W51" s="556"/>
      <c r="X51" s="556"/>
      <c r="Y51" s="556"/>
      <c r="Z51" s="556"/>
      <c r="AA51" s="541"/>
      <c r="AB51" s="541"/>
      <c r="AC51" s="541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1">
        <v>4680115885882</v>
      </c>
      <c r="E52" s="562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79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1">
        <v>4680115881426</v>
      </c>
      <c r="E53" s="562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107</v>
      </c>
      <c r="N53" s="33"/>
      <c r="O53" s="32">
        <v>50</v>
      </c>
      <c r="P53" s="7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1">
        <v>4680115880283</v>
      </c>
      <c r="E54" s="562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61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1">
        <v>4680115881525</v>
      </c>
      <c r="E55" s="562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/>
      <c r="M55" s="33" t="s">
        <v>107</v>
      </c>
      <c r="N55" s="33"/>
      <c r="O55" s="32">
        <v>50</v>
      </c>
      <c r="P55" s="77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1">
        <v>4680115885899</v>
      </c>
      <c r="E56" s="562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84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1">
        <v>4680115881419</v>
      </c>
      <c r="E57" s="562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6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77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78"/>
      <c r="P58" s="552" t="s">
        <v>75</v>
      </c>
      <c r="Q58" s="553"/>
      <c r="R58" s="553"/>
      <c r="S58" s="553"/>
      <c r="T58" s="553"/>
      <c r="U58" s="553"/>
      <c r="V58" s="554"/>
      <c r="W58" s="37" t="s">
        <v>76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x14ac:dyDescent="0.2">
      <c r="A59" s="556"/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78"/>
      <c r="P59" s="552" t="s">
        <v>75</v>
      </c>
      <c r="Q59" s="553"/>
      <c r="R59" s="553"/>
      <c r="S59" s="553"/>
      <c r="T59" s="553"/>
      <c r="U59" s="553"/>
      <c r="V59" s="554"/>
      <c r="W59" s="37" t="s">
        <v>69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customHeight="1" x14ac:dyDescent="0.25">
      <c r="A60" s="560" t="s">
        <v>137</v>
      </c>
      <c r="B60" s="556"/>
      <c r="C60" s="556"/>
      <c r="D60" s="556"/>
      <c r="E60" s="556"/>
      <c r="F60" s="556"/>
      <c r="G60" s="556"/>
      <c r="H60" s="556"/>
      <c r="I60" s="556"/>
      <c r="J60" s="556"/>
      <c r="K60" s="556"/>
      <c r="L60" s="556"/>
      <c r="M60" s="556"/>
      <c r="N60" s="556"/>
      <c r="O60" s="556"/>
      <c r="P60" s="556"/>
      <c r="Q60" s="556"/>
      <c r="R60" s="556"/>
      <c r="S60" s="556"/>
      <c r="T60" s="556"/>
      <c r="U60" s="556"/>
      <c r="V60" s="556"/>
      <c r="W60" s="556"/>
      <c r="X60" s="556"/>
      <c r="Y60" s="556"/>
      <c r="Z60" s="556"/>
      <c r="AA60" s="541"/>
      <c r="AB60" s="541"/>
      <c r="AC60" s="541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1">
        <v>4680115881440</v>
      </c>
      <c r="E61" s="562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/>
      <c r="M61" s="33" t="s">
        <v>107</v>
      </c>
      <c r="N61" s="33"/>
      <c r="O61" s="32">
        <v>50</v>
      </c>
      <c r="P61" s="67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45">
        <v>51</v>
      </c>
      <c r="Y61" s="546">
        <f>IFERROR(IF(X61="",0,CEILING((X61/$H61),1)*$H61),"")</f>
        <v>54</v>
      </c>
      <c r="Z61" s="36">
        <f>IFERROR(IF(Y61=0,"",ROUNDUP(Y61/H61,0)*0.01898),"")</f>
        <v>9.4899999999999998E-2</v>
      </c>
      <c r="AA61" s="56"/>
      <c r="AB61" s="57"/>
      <c r="AC61" s="105" t="s">
        <v>140</v>
      </c>
      <c r="AG61" s="64"/>
      <c r="AJ61" s="68"/>
      <c r="AK61" s="68">
        <v>0</v>
      </c>
      <c r="BB61" s="106" t="s">
        <v>1</v>
      </c>
      <c r="BM61" s="64">
        <f>IFERROR(X61*I61/H61,"0")</f>
        <v>52.93611111111111</v>
      </c>
      <c r="BN61" s="64">
        <f>IFERROR(Y61*I61/H61,"0")</f>
        <v>56.05</v>
      </c>
      <c r="BO61" s="64">
        <f>IFERROR(1/J61*(X61/H61),"0")</f>
        <v>7.3784722222222224E-2</v>
      </c>
      <c r="BP61" s="64">
        <f>IFERROR(1/J61*(Y61/H61),"0")</f>
        <v>7.8125E-2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1">
        <v>4680115885950</v>
      </c>
      <c r="E62" s="562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63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1">
        <v>4680115881433</v>
      </c>
      <c r="E63" s="562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79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77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78"/>
      <c r="P64" s="552" t="s">
        <v>75</v>
      </c>
      <c r="Q64" s="553"/>
      <c r="R64" s="553"/>
      <c r="S64" s="553"/>
      <c r="T64" s="553"/>
      <c r="U64" s="553"/>
      <c r="V64" s="554"/>
      <c r="W64" s="37" t="s">
        <v>76</v>
      </c>
      <c r="X64" s="547">
        <f>IFERROR(X61/H61,"0")+IFERROR(X62/H62,"0")+IFERROR(X63/H63,"0")</f>
        <v>4.7222222222222223</v>
      </c>
      <c r="Y64" s="547">
        <f>IFERROR(Y61/H61,"0")+IFERROR(Y62/H62,"0")+IFERROR(Y63/H63,"0")</f>
        <v>5</v>
      </c>
      <c r="Z64" s="547">
        <f>IFERROR(IF(Z61="",0,Z61),"0")+IFERROR(IF(Z62="",0,Z62),"0")+IFERROR(IF(Z63="",0,Z63),"0")</f>
        <v>9.4899999999999998E-2</v>
      </c>
      <c r="AA64" s="548"/>
      <c r="AB64" s="548"/>
      <c r="AC64" s="548"/>
    </row>
    <row r="65" spans="1:68" x14ac:dyDescent="0.2">
      <c r="A65" s="556"/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78"/>
      <c r="P65" s="552" t="s">
        <v>75</v>
      </c>
      <c r="Q65" s="553"/>
      <c r="R65" s="553"/>
      <c r="S65" s="553"/>
      <c r="T65" s="553"/>
      <c r="U65" s="553"/>
      <c r="V65" s="554"/>
      <c r="W65" s="37" t="s">
        <v>69</v>
      </c>
      <c r="X65" s="547">
        <f>IFERROR(SUM(X61:X63),"0")</f>
        <v>51</v>
      </c>
      <c r="Y65" s="547">
        <f>IFERROR(SUM(Y61:Y63),"0")</f>
        <v>54</v>
      </c>
      <c r="Z65" s="37"/>
      <c r="AA65" s="548"/>
      <c r="AB65" s="548"/>
      <c r="AC65" s="548"/>
    </row>
    <row r="66" spans="1:68" ht="14.25" customHeight="1" x14ac:dyDescent="0.25">
      <c r="A66" s="560" t="s">
        <v>64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6"/>
      <c r="Q66" s="556"/>
      <c r="R66" s="556"/>
      <c r="S66" s="556"/>
      <c r="T66" s="556"/>
      <c r="U66" s="556"/>
      <c r="V66" s="556"/>
      <c r="W66" s="556"/>
      <c r="X66" s="556"/>
      <c r="Y66" s="556"/>
      <c r="Z66" s="556"/>
      <c r="AA66" s="541"/>
      <c r="AB66" s="541"/>
      <c r="AC66" s="541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1">
        <v>4680115885073</v>
      </c>
      <c r="E67" s="562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0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4301031241</v>
      </c>
      <c r="D68" s="561">
        <v>4680115885059</v>
      </c>
      <c r="E68" s="562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151</v>
      </c>
      <c r="B69" s="54" t="s">
        <v>152</v>
      </c>
      <c r="C69" s="31">
        <v>4301031316</v>
      </c>
      <c r="D69" s="561">
        <v>4680115885097</v>
      </c>
      <c r="E69" s="562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4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8"/>
      <c r="R69" s="558"/>
      <c r="S69" s="558"/>
      <c r="T69" s="559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153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77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78"/>
      <c r="P70" s="552" t="s">
        <v>75</v>
      </c>
      <c r="Q70" s="553"/>
      <c r="R70" s="553"/>
      <c r="S70" s="553"/>
      <c r="T70" s="553"/>
      <c r="U70" s="553"/>
      <c r="V70" s="554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6"/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78"/>
      <c r="P71" s="552" t="s">
        <v>75</v>
      </c>
      <c r="Q71" s="553"/>
      <c r="R71" s="553"/>
      <c r="S71" s="553"/>
      <c r="T71" s="553"/>
      <c r="U71" s="553"/>
      <c r="V71" s="554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60" t="s">
        <v>77</v>
      </c>
      <c r="B72" s="556"/>
      <c r="C72" s="556"/>
      <c r="D72" s="556"/>
      <c r="E72" s="556"/>
      <c r="F72" s="556"/>
      <c r="G72" s="556"/>
      <c r="H72" s="556"/>
      <c r="I72" s="556"/>
      <c r="J72" s="556"/>
      <c r="K72" s="556"/>
      <c r="L72" s="556"/>
      <c r="M72" s="556"/>
      <c r="N72" s="556"/>
      <c r="O72" s="556"/>
      <c r="P72" s="556"/>
      <c r="Q72" s="556"/>
      <c r="R72" s="556"/>
      <c r="S72" s="556"/>
      <c r="T72" s="556"/>
      <c r="U72" s="556"/>
      <c r="V72" s="556"/>
      <c r="W72" s="556"/>
      <c r="X72" s="556"/>
      <c r="Y72" s="556"/>
      <c r="Z72" s="556"/>
      <c r="AA72" s="541"/>
      <c r="AB72" s="541"/>
      <c r="AC72" s="541"/>
    </row>
    <row r="73" spans="1:68" ht="27" customHeight="1" x14ac:dyDescent="0.25">
      <c r="A73" s="54" t="s">
        <v>154</v>
      </c>
      <c r="B73" s="54" t="s">
        <v>155</v>
      </c>
      <c r="C73" s="31">
        <v>4301051846</v>
      </c>
      <c r="D73" s="561">
        <v>4680115885769</v>
      </c>
      <c r="E73" s="562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8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157</v>
      </c>
      <c r="B74" s="54" t="s">
        <v>158</v>
      </c>
      <c r="C74" s="31">
        <v>4301051837</v>
      </c>
      <c r="D74" s="561">
        <v>4680115884311</v>
      </c>
      <c r="E74" s="562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4301051844</v>
      </c>
      <c r="D75" s="561">
        <v>4680115885929</v>
      </c>
      <c r="E75" s="562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61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156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162</v>
      </c>
      <c r="B76" s="54" t="s">
        <v>163</v>
      </c>
      <c r="C76" s="31">
        <v>4301051929</v>
      </c>
      <c r="D76" s="561">
        <v>4680115884403</v>
      </c>
      <c r="E76" s="562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3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8"/>
      <c r="R76" s="558"/>
      <c r="S76" s="558"/>
      <c r="T76" s="559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164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77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78"/>
      <c r="P77" s="552" t="s">
        <v>75</v>
      </c>
      <c r="Q77" s="553"/>
      <c r="R77" s="553"/>
      <c r="S77" s="553"/>
      <c r="T77" s="553"/>
      <c r="U77" s="553"/>
      <c r="V77" s="554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6"/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78"/>
      <c r="P78" s="552" t="s">
        <v>75</v>
      </c>
      <c r="Q78" s="553"/>
      <c r="R78" s="553"/>
      <c r="S78" s="553"/>
      <c r="T78" s="553"/>
      <c r="U78" s="553"/>
      <c r="V78" s="554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60" t="s">
        <v>165</v>
      </c>
      <c r="B79" s="556"/>
      <c r="C79" s="556"/>
      <c r="D79" s="556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56"/>
      <c r="P79" s="556"/>
      <c r="Q79" s="556"/>
      <c r="R79" s="556"/>
      <c r="S79" s="556"/>
      <c r="T79" s="556"/>
      <c r="U79" s="556"/>
      <c r="V79" s="556"/>
      <c r="W79" s="556"/>
      <c r="X79" s="556"/>
      <c r="Y79" s="556"/>
      <c r="Z79" s="556"/>
      <c r="AA79" s="541"/>
      <c r="AB79" s="541"/>
      <c r="AC79" s="541"/>
    </row>
    <row r="80" spans="1:68" ht="27" customHeight="1" x14ac:dyDescent="0.25">
      <c r="A80" s="54" t="s">
        <v>166</v>
      </c>
      <c r="B80" s="54" t="s">
        <v>167</v>
      </c>
      <c r="C80" s="31">
        <v>4301060455</v>
      </c>
      <c r="D80" s="561">
        <v>4680115881532</v>
      </c>
      <c r="E80" s="562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/>
      <c r="M80" s="33" t="s">
        <v>87</v>
      </c>
      <c r="N80" s="33"/>
      <c r="O80" s="32">
        <v>30</v>
      </c>
      <c r="P80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169</v>
      </c>
      <c r="B81" s="54" t="s">
        <v>170</v>
      </c>
      <c r="C81" s="31">
        <v>4301060351</v>
      </c>
      <c r="D81" s="561">
        <v>4680115881464</v>
      </c>
      <c r="E81" s="562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84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8"/>
      <c r="R81" s="558"/>
      <c r="S81" s="558"/>
      <c r="T81" s="559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171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77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78"/>
      <c r="P82" s="552" t="s">
        <v>75</v>
      </c>
      <c r="Q82" s="553"/>
      <c r="R82" s="553"/>
      <c r="S82" s="553"/>
      <c r="T82" s="553"/>
      <c r="U82" s="553"/>
      <c r="V82" s="554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6"/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78"/>
      <c r="P83" s="552" t="s">
        <v>75</v>
      </c>
      <c r="Q83" s="553"/>
      <c r="R83" s="553"/>
      <c r="S83" s="553"/>
      <c r="T83" s="553"/>
      <c r="U83" s="553"/>
      <c r="V83" s="554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76" t="s">
        <v>172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40"/>
      <c r="AB84" s="540"/>
      <c r="AC84" s="540"/>
    </row>
    <row r="85" spans="1:68" ht="14.25" customHeight="1" x14ac:dyDescent="0.25">
      <c r="A85" s="560" t="s">
        <v>102</v>
      </c>
      <c r="B85" s="556"/>
      <c r="C85" s="556"/>
      <c r="D85" s="556"/>
      <c r="E85" s="556"/>
      <c r="F85" s="556"/>
      <c r="G85" s="556"/>
      <c r="H85" s="556"/>
      <c r="I85" s="556"/>
      <c r="J85" s="556"/>
      <c r="K85" s="556"/>
      <c r="L85" s="556"/>
      <c r="M85" s="556"/>
      <c r="N85" s="556"/>
      <c r="O85" s="556"/>
      <c r="P85" s="556"/>
      <c r="Q85" s="556"/>
      <c r="R85" s="556"/>
      <c r="S85" s="556"/>
      <c r="T85" s="556"/>
      <c r="U85" s="556"/>
      <c r="V85" s="556"/>
      <c r="W85" s="556"/>
      <c r="X85" s="556"/>
      <c r="Y85" s="556"/>
      <c r="Z85" s="556"/>
      <c r="AA85" s="541"/>
      <c r="AB85" s="541"/>
      <c r="AC85" s="541"/>
    </row>
    <row r="86" spans="1:68" ht="27" customHeight="1" x14ac:dyDescent="0.25">
      <c r="A86" s="54" t="s">
        <v>173</v>
      </c>
      <c r="B86" s="54" t="s">
        <v>174</v>
      </c>
      <c r="C86" s="31">
        <v>4301011468</v>
      </c>
      <c r="D86" s="561">
        <v>4680115881327</v>
      </c>
      <c r="E86" s="562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8"/>
      <c r="R86" s="558"/>
      <c r="S86" s="558"/>
      <c r="T86" s="559"/>
      <c r="U86" s="34"/>
      <c r="V86" s="34"/>
      <c r="W86" s="35" t="s">
        <v>69</v>
      </c>
      <c r="X86" s="545">
        <v>108</v>
      </c>
      <c r="Y86" s="546">
        <f>IFERROR(IF(X86="",0,CEILING((X86/$H86),1)*$H86),"")</f>
        <v>108</v>
      </c>
      <c r="Z86" s="36">
        <f>IFERROR(IF(Y86=0,"",ROUNDUP(Y86/H86,0)*0.01898),"")</f>
        <v>0.1898</v>
      </c>
      <c r="AA86" s="56"/>
      <c r="AB86" s="57"/>
      <c r="AC86" s="129" t="s">
        <v>175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112.1</v>
      </c>
      <c r="BN86" s="64">
        <f>IFERROR(Y86*I86/H86,"0")</f>
        <v>112.1</v>
      </c>
      <c r="BO86" s="64">
        <f>IFERROR(1/J86*(X86/H86),"0")</f>
        <v>0.15625</v>
      </c>
      <c r="BP86" s="64">
        <f>IFERROR(1/J86*(Y86/H86),"0")</f>
        <v>0.15625</v>
      </c>
    </row>
    <row r="87" spans="1:68" ht="27" customHeight="1" x14ac:dyDescent="0.25">
      <c r="A87" s="54" t="s">
        <v>176</v>
      </c>
      <c r="B87" s="54" t="s">
        <v>177</v>
      </c>
      <c r="C87" s="31">
        <v>4301011261</v>
      </c>
      <c r="D87" s="561">
        <v>4680115887732</v>
      </c>
      <c r="E87" s="562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178</v>
      </c>
      <c r="L87" s="32"/>
      <c r="M87" s="33" t="s">
        <v>68</v>
      </c>
      <c r="N87" s="33"/>
      <c r="O87" s="32">
        <v>30</v>
      </c>
      <c r="P87" s="722" t="s">
        <v>179</v>
      </c>
      <c r="Q87" s="558"/>
      <c r="R87" s="558"/>
      <c r="S87" s="558"/>
      <c r="T87" s="559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180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181</v>
      </c>
      <c r="B88" s="54" t="s">
        <v>182</v>
      </c>
      <c r="C88" s="31">
        <v>4301011476</v>
      </c>
      <c r="D88" s="561">
        <v>4680115881518</v>
      </c>
      <c r="E88" s="562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8"/>
      <c r="R88" s="558"/>
      <c r="S88" s="558"/>
      <c r="T88" s="559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175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183</v>
      </c>
      <c r="B89" s="54" t="s">
        <v>184</v>
      </c>
      <c r="C89" s="31">
        <v>4301011443</v>
      </c>
      <c r="D89" s="561">
        <v>4680115881303</v>
      </c>
      <c r="E89" s="562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/>
      <c r="M89" s="33" t="s">
        <v>87</v>
      </c>
      <c r="N89" s="33"/>
      <c r="O89" s="32">
        <v>50</v>
      </c>
      <c r="P89" s="72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8"/>
      <c r="R89" s="558"/>
      <c r="S89" s="558"/>
      <c r="T89" s="559"/>
      <c r="U89" s="34"/>
      <c r="V89" s="34"/>
      <c r="W89" s="35" t="s">
        <v>69</v>
      </c>
      <c r="X89" s="545">
        <v>37</v>
      </c>
      <c r="Y89" s="546">
        <f>IFERROR(IF(X89="",0,CEILING((X89/$H89),1)*$H89),"")</f>
        <v>40.5</v>
      </c>
      <c r="Z89" s="36">
        <f>IFERROR(IF(Y89=0,"",ROUNDUP(Y89/H89,0)*0.00902),"")</f>
        <v>8.1180000000000002E-2</v>
      </c>
      <c r="AA89" s="56"/>
      <c r="AB89" s="57"/>
      <c r="AC89" s="135" t="s">
        <v>175</v>
      </c>
      <c r="AG89" s="64"/>
      <c r="AJ89" s="68"/>
      <c r="AK89" s="68">
        <v>0</v>
      </c>
      <c r="BB89" s="136" t="s">
        <v>1</v>
      </c>
      <c r="BM89" s="64">
        <f>IFERROR(X89*I89/H89,"0")</f>
        <v>38.562222222222225</v>
      </c>
      <c r="BN89" s="64">
        <f>IFERROR(Y89*I89/H89,"0")</f>
        <v>42.210000000000008</v>
      </c>
      <c r="BO89" s="64">
        <f>IFERROR(1/J89*(X89/H89),"0")</f>
        <v>6.2289562289562284E-2</v>
      </c>
      <c r="BP89" s="64">
        <f>IFERROR(1/J89*(Y89/H89),"0")</f>
        <v>6.8181818181818177E-2</v>
      </c>
    </row>
    <row r="90" spans="1:68" x14ac:dyDescent="0.2">
      <c r="A90" s="577"/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78"/>
      <c r="P90" s="552" t="s">
        <v>75</v>
      </c>
      <c r="Q90" s="553"/>
      <c r="R90" s="553"/>
      <c r="S90" s="553"/>
      <c r="T90" s="553"/>
      <c r="U90" s="553"/>
      <c r="V90" s="554"/>
      <c r="W90" s="37" t="s">
        <v>76</v>
      </c>
      <c r="X90" s="547">
        <f>IFERROR(X86/H86,"0")+IFERROR(X87/H87,"0")+IFERROR(X88/H88,"0")+IFERROR(X89/H89,"0")</f>
        <v>18.222222222222221</v>
      </c>
      <c r="Y90" s="547">
        <f>IFERROR(Y86/H86,"0")+IFERROR(Y87/H87,"0")+IFERROR(Y88/H88,"0")+IFERROR(Y89/H89,"0")</f>
        <v>19</v>
      </c>
      <c r="Z90" s="547">
        <f>IFERROR(IF(Z86="",0,Z86),"0")+IFERROR(IF(Z87="",0,Z87),"0")+IFERROR(IF(Z88="",0,Z88),"0")+IFERROR(IF(Z89="",0,Z89),"0")</f>
        <v>0.27098</v>
      </c>
      <c r="AA90" s="548"/>
      <c r="AB90" s="548"/>
      <c r="AC90" s="548"/>
    </row>
    <row r="91" spans="1:68" x14ac:dyDescent="0.2">
      <c r="A91" s="556"/>
      <c r="B91" s="556"/>
      <c r="C91" s="556"/>
      <c r="D91" s="556"/>
      <c r="E91" s="556"/>
      <c r="F91" s="556"/>
      <c r="G91" s="556"/>
      <c r="H91" s="556"/>
      <c r="I91" s="556"/>
      <c r="J91" s="556"/>
      <c r="K91" s="556"/>
      <c r="L91" s="556"/>
      <c r="M91" s="556"/>
      <c r="N91" s="556"/>
      <c r="O91" s="578"/>
      <c r="P91" s="552" t="s">
        <v>75</v>
      </c>
      <c r="Q91" s="553"/>
      <c r="R91" s="553"/>
      <c r="S91" s="553"/>
      <c r="T91" s="553"/>
      <c r="U91" s="553"/>
      <c r="V91" s="554"/>
      <c r="W91" s="37" t="s">
        <v>69</v>
      </c>
      <c r="X91" s="547">
        <f>IFERROR(SUM(X86:X89),"0")</f>
        <v>145</v>
      </c>
      <c r="Y91" s="547">
        <f>IFERROR(SUM(Y86:Y89),"0")</f>
        <v>148.5</v>
      </c>
      <c r="Z91" s="37"/>
      <c r="AA91" s="548"/>
      <c r="AB91" s="548"/>
      <c r="AC91" s="548"/>
    </row>
    <row r="92" spans="1:68" ht="14.25" customHeight="1" x14ac:dyDescent="0.25">
      <c r="A92" s="560" t="s">
        <v>77</v>
      </c>
      <c r="B92" s="556"/>
      <c r="C92" s="556"/>
      <c r="D92" s="556"/>
      <c r="E92" s="556"/>
      <c r="F92" s="556"/>
      <c r="G92" s="556"/>
      <c r="H92" s="556"/>
      <c r="I92" s="556"/>
      <c r="J92" s="556"/>
      <c r="K92" s="556"/>
      <c r="L92" s="556"/>
      <c r="M92" s="556"/>
      <c r="N92" s="556"/>
      <c r="O92" s="556"/>
      <c r="P92" s="556"/>
      <c r="Q92" s="556"/>
      <c r="R92" s="556"/>
      <c r="S92" s="556"/>
      <c r="T92" s="556"/>
      <c r="U92" s="556"/>
      <c r="V92" s="556"/>
      <c r="W92" s="556"/>
      <c r="X92" s="556"/>
      <c r="Y92" s="556"/>
      <c r="Z92" s="556"/>
      <c r="AA92" s="541"/>
      <c r="AB92" s="541"/>
      <c r="AC92" s="541"/>
    </row>
    <row r="93" spans="1:68" ht="27" customHeight="1" x14ac:dyDescent="0.25">
      <c r="A93" s="54" t="s">
        <v>185</v>
      </c>
      <c r="B93" s="54" t="s">
        <v>186</v>
      </c>
      <c r="C93" s="31">
        <v>4301051712</v>
      </c>
      <c r="D93" s="561">
        <v>4607091386967</v>
      </c>
      <c r="E93" s="562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187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4301051788</v>
      </c>
      <c r="D94" s="561">
        <v>4680115884953</v>
      </c>
      <c r="E94" s="562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8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190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191</v>
      </c>
      <c r="B95" s="54" t="s">
        <v>192</v>
      </c>
      <c r="C95" s="31">
        <v>4301051718</v>
      </c>
      <c r="D95" s="561">
        <v>4607091385731</v>
      </c>
      <c r="E95" s="562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84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8"/>
      <c r="R95" s="558"/>
      <c r="S95" s="558"/>
      <c r="T95" s="559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187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193</v>
      </c>
      <c r="B96" s="54" t="s">
        <v>194</v>
      </c>
      <c r="C96" s="31">
        <v>4301051438</v>
      </c>
      <c r="D96" s="561">
        <v>4680115880894</v>
      </c>
      <c r="E96" s="562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69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8"/>
      <c r="R96" s="558"/>
      <c r="S96" s="558"/>
      <c r="T96" s="559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195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77"/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78"/>
      <c r="P97" s="552" t="s">
        <v>75</v>
      </c>
      <c r="Q97" s="553"/>
      <c r="R97" s="553"/>
      <c r="S97" s="553"/>
      <c r="T97" s="553"/>
      <c r="U97" s="553"/>
      <c r="V97" s="554"/>
      <c r="W97" s="37" t="s">
        <v>76</v>
      </c>
      <c r="X97" s="547">
        <f>IFERROR(X93/H93,"0")+IFERROR(X94/H94,"0")+IFERROR(X95/H95,"0")+IFERROR(X96/H96,"0")</f>
        <v>0</v>
      </c>
      <c r="Y97" s="547">
        <f>IFERROR(Y93/H93,"0")+IFERROR(Y94/H94,"0")+IFERROR(Y95/H95,"0")+IFERROR(Y96/H96,"0")</f>
        <v>0</v>
      </c>
      <c r="Z97" s="547">
        <f>IFERROR(IF(Z93="",0,Z93),"0")+IFERROR(IF(Z94="",0,Z94),"0")+IFERROR(IF(Z95="",0,Z95),"0")+IFERROR(IF(Z96="",0,Z96),"0")</f>
        <v>0</v>
      </c>
      <c r="AA97" s="548"/>
      <c r="AB97" s="548"/>
      <c r="AC97" s="548"/>
    </row>
    <row r="98" spans="1:68" x14ac:dyDescent="0.2">
      <c r="A98" s="556"/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78"/>
      <c r="P98" s="552" t="s">
        <v>75</v>
      </c>
      <c r="Q98" s="553"/>
      <c r="R98" s="553"/>
      <c r="S98" s="553"/>
      <c r="T98" s="553"/>
      <c r="U98" s="553"/>
      <c r="V98" s="554"/>
      <c r="W98" s="37" t="s">
        <v>69</v>
      </c>
      <c r="X98" s="547">
        <f>IFERROR(SUM(X93:X96),"0")</f>
        <v>0</v>
      </c>
      <c r="Y98" s="547">
        <f>IFERROR(SUM(Y93:Y96),"0")</f>
        <v>0</v>
      </c>
      <c r="Z98" s="37"/>
      <c r="AA98" s="548"/>
      <c r="AB98" s="548"/>
      <c r="AC98" s="548"/>
    </row>
    <row r="99" spans="1:68" ht="16.5" customHeight="1" x14ac:dyDescent="0.25">
      <c r="A99" s="576" t="s">
        <v>196</v>
      </c>
      <c r="B99" s="556"/>
      <c r="C99" s="556"/>
      <c r="D99" s="556"/>
      <c r="E99" s="556"/>
      <c r="F99" s="556"/>
      <c r="G99" s="556"/>
      <c r="H99" s="556"/>
      <c r="I99" s="556"/>
      <c r="J99" s="556"/>
      <c r="K99" s="556"/>
      <c r="L99" s="556"/>
      <c r="M99" s="556"/>
      <c r="N99" s="556"/>
      <c r="O99" s="556"/>
      <c r="P99" s="556"/>
      <c r="Q99" s="556"/>
      <c r="R99" s="556"/>
      <c r="S99" s="556"/>
      <c r="T99" s="556"/>
      <c r="U99" s="556"/>
      <c r="V99" s="556"/>
      <c r="W99" s="556"/>
      <c r="X99" s="556"/>
      <c r="Y99" s="556"/>
      <c r="Z99" s="556"/>
      <c r="AA99" s="540"/>
      <c r="AB99" s="540"/>
      <c r="AC99" s="540"/>
    </row>
    <row r="100" spans="1:68" ht="14.25" customHeight="1" x14ac:dyDescent="0.25">
      <c r="A100" s="560" t="s">
        <v>102</v>
      </c>
      <c r="B100" s="556"/>
      <c r="C100" s="556"/>
      <c r="D100" s="556"/>
      <c r="E100" s="556"/>
      <c r="F100" s="556"/>
      <c r="G100" s="556"/>
      <c r="H100" s="556"/>
      <c r="I100" s="556"/>
      <c r="J100" s="556"/>
      <c r="K100" s="556"/>
      <c r="L100" s="556"/>
      <c r="M100" s="556"/>
      <c r="N100" s="556"/>
      <c r="O100" s="556"/>
      <c r="P100" s="556"/>
      <c r="Q100" s="556"/>
      <c r="R100" s="556"/>
      <c r="S100" s="556"/>
      <c r="T100" s="556"/>
      <c r="U100" s="556"/>
      <c r="V100" s="556"/>
      <c r="W100" s="556"/>
      <c r="X100" s="556"/>
      <c r="Y100" s="556"/>
      <c r="Z100" s="556"/>
      <c r="AA100" s="541"/>
      <c r="AB100" s="541"/>
      <c r="AC100" s="541"/>
    </row>
    <row r="101" spans="1:68" ht="37.5" customHeight="1" x14ac:dyDescent="0.25">
      <c r="A101" s="54" t="s">
        <v>197</v>
      </c>
      <c r="B101" s="54" t="s">
        <v>198</v>
      </c>
      <c r="C101" s="31">
        <v>4301011514</v>
      </c>
      <c r="D101" s="561">
        <v>4680115882133</v>
      </c>
      <c r="E101" s="562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45">
        <v>177</v>
      </c>
      <c r="Y101" s="546">
        <f>IFERROR(IF(X101="",0,CEILING((X101/$H101),1)*$H101),"")</f>
        <v>183.60000000000002</v>
      </c>
      <c r="Z101" s="36">
        <f>IFERROR(IF(Y101=0,"",ROUNDUP(Y101/H101,0)*0.01898),"")</f>
        <v>0.32266</v>
      </c>
      <c r="AA101" s="56"/>
      <c r="AB101" s="57"/>
      <c r="AC101" s="145" t="s">
        <v>199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183.71944444444443</v>
      </c>
      <c r="BN101" s="64">
        <f>IFERROR(Y101*I101/H101,"0")</f>
        <v>190.57000000000002</v>
      </c>
      <c r="BO101" s="64">
        <f>IFERROR(1/J101*(X101/H101),"0")</f>
        <v>0.2560763888888889</v>
      </c>
      <c r="BP101" s="64">
        <f>IFERROR(1/J101*(Y101/H101),"0")</f>
        <v>0.265625</v>
      </c>
    </row>
    <row r="102" spans="1:68" ht="27" customHeight="1" x14ac:dyDescent="0.25">
      <c r="A102" s="54" t="s">
        <v>200</v>
      </c>
      <c r="B102" s="54" t="s">
        <v>201</v>
      </c>
      <c r="C102" s="31">
        <v>4301012051</v>
      </c>
      <c r="D102" s="561">
        <v>4680115887718</v>
      </c>
      <c r="E102" s="562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178</v>
      </c>
      <c r="L102" s="32"/>
      <c r="M102" s="33" t="s">
        <v>68</v>
      </c>
      <c r="N102" s="33"/>
      <c r="O102" s="32">
        <v>30</v>
      </c>
      <c r="P102" s="630" t="s">
        <v>202</v>
      </c>
      <c r="Q102" s="558"/>
      <c r="R102" s="558"/>
      <c r="S102" s="558"/>
      <c r="T102" s="559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204</v>
      </c>
      <c r="B103" s="54" t="s">
        <v>205</v>
      </c>
      <c r="C103" s="31">
        <v>4301011417</v>
      </c>
      <c r="D103" s="561">
        <v>4680115880269</v>
      </c>
      <c r="E103" s="562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199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206</v>
      </c>
      <c r="B104" s="54" t="s">
        <v>207</v>
      </c>
      <c r="C104" s="31">
        <v>4301011415</v>
      </c>
      <c r="D104" s="561">
        <v>4680115880429</v>
      </c>
      <c r="E104" s="562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208</v>
      </c>
      <c r="M104" s="33" t="s">
        <v>80</v>
      </c>
      <c r="N104" s="33"/>
      <c r="O104" s="32">
        <v>50</v>
      </c>
      <c r="P104" s="8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199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209</v>
      </c>
      <c r="B105" s="54" t="s">
        <v>210</v>
      </c>
      <c r="C105" s="31">
        <v>4301011462</v>
      </c>
      <c r="D105" s="561">
        <v>4680115881457</v>
      </c>
      <c r="E105" s="562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63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8"/>
      <c r="R105" s="558"/>
      <c r="S105" s="558"/>
      <c r="T105" s="559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199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77"/>
      <c r="B106" s="556"/>
      <c r="C106" s="556"/>
      <c r="D106" s="556"/>
      <c r="E106" s="556"/>
      <c r="F106" s="556"/>
      <c r="G106" s="556"/>
      <c r="H106" s="556"/>
      <c r="I106" s="556"/>
      <c r="J106" s="556"/>
      <c r="K106" s="556"/>
      <c r="L106" s="556"/>
      <c r="M106" s="556"/>
      <c r="N106" s="556"/>
      <c r="O106" s="578"/>
      <c r="P106" s="552" t="s">
        <v>75</v>
      </c>
      <c r="Q106" s="553"/>
      <c r="R106" s="553"/>
      <c r="S106" s="553"/>
      <c r="T106" s="553"/>
      <c r="U106" s="553"/>
      <c r="V106" s="554"/>
      <c r="W106" s="37" t="s">
        <v>76</v>
      </c>
      <c r="X106" s="547">
        <f>IFERROR(X101/H101,"0")+IFERROR(X102/H102,"0")+IFERROR(X103/H103,"0")+IFERROR(X104/H104,"0")+IFERROR(X105/H105,"0")</f>
        <v>16.388888888888889</v>
      </c>
      <c r="Y106" s="547">
        <f>IFERROR(Y101/H101,"0")+IFERROR(Y102/H102,"0")+IFERROR(Y103/H103,"0")+IFERROR(Y104/H104,"0")+IFERROR(Y105/H105,"0")</f>
        <v>17</v>
      </c>
      <c r="Z106" s="547">
        <f>IFERROR(IF(Z101="",0,Z101),"0")+IFERROR(IF(Z102="",0,Z102),"0")+IFERROR(IF(Z103="",0,Z103),"0")+IFERROR(IF(Z104="",0,Z104),"0")+IFERROR(IF(Z105="",0,Z105),"0")</f>
        <v>0.32266</v>
      </c>
      <c r="AA106" s="548"/>
      <c r="AB106" s="548"/>
      <c r="AC106" s="548"/>
    </row>
    <row r="107" spans="1:68" x14ac:dyDescent="0.2">
      <c r="A107" s="556"/>
      <c r="B107" s="556"/>
      <c r="C107" s="556"/>
      <c r="D107" s="556"/>
      <c r="E107" s="556"/>
      <c r="F107" s="556"/>
      <c r="G107" s="556"/>
      <c r="H107" s="556"/>
      <c r="I107" s="556"/>
      <c r="J107" s="556"/>
      <c r="K107" s="556"/>
      <c r="L107" s="556"/>
      <c r="M107" s="556"/>
      <c r="N107" s="556"/>
      <c r="O107" s="578"/>
      <c r="P107" s="552" t="s">
        <v>75</v>
      </c>
      <c r="Q107" s="553"/>
      <c r="R107" s="553"/>
      <c r="S107" s="553"/>
      <c r="T107" s="553"/>
      <c r="U107" s="553"/>
      <c r="V107" s="554"/>
      <c r="W107" s="37" t="s">
        <v>69</v>
      </c>
      <c r="X107" s="547">
        <f>IFERROR(SUM(X101:X105),"0")</f>
        <v>177</v>
      </c>
      <c r="Y107" s="547">
        <f>IFERROR(SUM(Y101:Y105),"0")</f>
        <v>183.60000000000002</v>
      </c>
      <c r="Z107" s="37"/>
      <c r="AA107" s="548"/>
      <c r="AB107" s="548"/>
      <c r="AC107" s="548"/>
    </row>
    <row r="108" spans="1:68" ht="14.25" customHeight="1" x14ac:dyDescent="0.25">
      <c r="A108" s="560" t="s">
        <v>137</v>
      </c>
      <c r="B108" s="556"/>
      <c r="C108" s="556"/>
      <c r="D108" s="556"/>
      <c r="E108" s="556"/>
      <c r="F108" s="556"/>
      <c r="G108" s="556"/>
      <c r="H108" s="556"/>
      <c r="I108" s="556"/>
      <c r="J108" s="556"/>
      <c r="K108" s="556"/>
      <c r="L108" s="556"/>
      <c r="M108" s="556"/>
      <c r="N108" s="556"/>
      <c r="O108" s="556"/>
      <c r="P108" s="556"/>
      <c r="Q108" s="556"/>
      <c r="R108" s="556"/>
      <c r="S108" s="556"/>
      <c r="T108" s="556"/>
      <c r="U108" s="556"/>
      <c r="V108" s="556"/>
      <c r="W108" s="556"/>
      <c r="X108" s="556"/>
      <c r="Y108" s="556"/>
      <c r="Z108" s="556"/>
      <c r="AA108" s="541"/>
      <c r="AB108" s="541"/>
      <c r="AC108" s="541"/>
    </row>
    <row r="109" spans="1:68" ht="16.5" customHeight="1" x14ac:dyDescent="0.25">
      <c r="A109" s="54" t="s">
        <v>211</v>
      </c>
      <c r="B109" s="54" t="s">
        <v>212</v>
      </c>
      <c r="C109" s="31">
        <v>4301020345</v>
      </c>
      <c r="D109" s="561">
        <v>4680115881488</v>
      </c>
      <c r="E109" s="562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/>
      <c r="M109" s="33" t="s">
        <v>107</v>
      </c>
      <c r="N109" s="33"/>
      <c r="O109" s="32">
        <v>55</v>
      </c>
      <c r="P109" s="67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214</v>
      </c>
      <c r="B110" s="54" t="s">
        <v>215</v>
      </c>
      <c r="C110" s="31">
        <v>4301020186</v>
      </c>
      <c r="D110" s="561">
        <v>4680115887664</v>
      </c>
      <c r="E110" s="562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634" t="s">
        <v>217</v>
      </c>
      <c r="Q110" s="558"/>
      <c r="R110" s="558"/>
      <c r="S110" s="558"/>
      <c r="T110" s="559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219</v>
      </c>
      <c r="B111" s="54" t="s">
        <v>220</v>
      </c>
      <c r="C111" s="31">
        <v>4301020346</v>
      </c>
      <c r="D111" s="561">
        <v>4680115882775</v>
      </c>
      <c r="E111" s="562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65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61">
        <v>4680115880658</v>
      </c>
      <c r="E112" s="562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6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8"/>
      <c r="R112" s="558"/>
      <c r="S112" s="558"/>
      <c r="T112" s="559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77"/>
      <c r="B113" s="556"/>
      <c r="C113" s="556"/>
      <c r="D113" s="556"/>
      <c r="E113" s="556"/>
      <c r="F113" s="556"/>
      <c r="G113" s="556"/>
      <c r="H113" s="556"/>
      <c r="I113" s="556"/>
      <c r="J113" s="556"/>
      <c r="K113" s="556"/>
      <c r="L113" s="556"/>
      <c r="M113" s="556"/>
      <c r="N113" s="556"/>
      <c r="O113" s="578"/>
      <c r="P113" s="552" t="s">
        <v>75</v>
      </c>
      <c r="Q113" s="553"/>
      <c r="R113" s="553"/>
      <c r="S113" s="553"/>
      <c r="T113" s="553"/>
      <c r="U113" s="553"/>
      <c r="V113" s="554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x14ac:dyDescent="0.2">
      <c r="A114" s="556"/>
      <c r="B114" s="556"/>
      <c r="C114" s="556"/>
      <c r="D114" s="556"/>
      <c r="E114" s="556"/>
      <c r="F114" s="556"/>
      <c r="G114" s="556"/>
      <c r="H114" s="556"/>
      <c r="I114" s="556"/>
      <c r="J114" s="556"/>
      <c r="K114" s="556"/>
      <c r="L114" s="556"/>
      <c r="M114" s="556"/>
      <c r="N114" s="556"/>
      <c r="O114" s="578"/>
      <c r="P114" s="552" t="s">
        <v>75</v>
      </c>
      <c r="Q114" s="553"/>
      <c r="R114" s="553"/>
      <c r="S114" s="553"/>
      <c r="T114" s="553"/>
      <c r="U114" s="553"/>
      <c r="V114" s="554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customHeight="1" x14ac:dyDescent="0.25">
      <c r="A115" s="560" t="s">
        <v>77</v>
      </c>
      <c r="B115" s="556"/>
      <c r="C115" s="556"/>
      <c r="D115" s="556"/>
      <c r="E115" s="556"/>
      <c r="F115" s="556"/>
      <c r="G115" s="556"/>
      <c r="H115" s="556"/>
      <c r="I115" s="556"/>
      <c r="J115" s="556"/>
      <c r="K115" s="556"/>
      <c r="L115" s="556"/>
      <c r="M115" s="556"/>
      <c r="N115" s="556"/>
      <c r="O115" s="556"/>
      <c r="P115" s="556"/>
      <c r="Q115" s="556"/>
      <c r="R115" s="556"/>
      <c r="S115" s="556"/>
      <c r="T115" s="556"/>
      <c r="U115" s="556"/>
      <c r="V115" s="556"/>
      <c r="W115" s="556"/>
      <c r="X115" s="556"/>
      <c r="Y115" s="556"/>
      <c r="Z115" s="556"/>
      <c r="AA115" s="541"/>
      <c r="AB115" s="541"/>
      <c r="AC115" s="541"/>
    </row>
    <row r="116" spans="1:68" ht="27" customHeight="1" x14ac:dyDescent="0.25">
      <c r="A116" s="54" t="s">
        <v>223</v>
      </c>
      <c r="B116" s="54" t="s">
        <v>224</v>
      </c>
      <c r="C116" s="31">
        <v>4301051724</v>
      </c>
      <c r="D116" s="561">
        <v>4607091385168</v>
      </c>
      <c r="E116" s="562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81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225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226</v>
      </c>
      <c r="B117" s="54" t="s">
        <v>227</v>
      </c>
      <c r="C117" s="31">
        <v>4301051730</v>
      </c>
      <c r="D117" s="561">
        <v>4607091383256</v>
      </c>
      <c r="E117" s="562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225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228</v>
      </c>
      <c r="B118" s="54" t="s">
        <v>229</v>
      </c>
      <c r="C118" s="31">
        <v>4301051721</v>
      </c>
      <c r="D118" s="561">
        <v>4607091385748</v>
      </c>
      <c r="E118" s="562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230</v>
      </c>
      <c r="M118" s="33" t="s">
        <v>87</v>
      </c>
      <c r="N118" s="33"/>
      <c r="O118" s="32">
        <v>45</v>
      </c>
      <c r="P118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61">
        <v>4680115884533</v>
      </c>
      <c r="E119" s="562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7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8"/>
      <c r="R119" s="558"/>
      <c r="S119" s="558"/>
      <c r="T119" s="559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77"/>
      <c r="B120" s="556"/>
      <c r="C120" s="556"/>
      <c r="D120" s="556"/>
      <c r="E120" s="556"/>
      <c r="F120" s="556"/>
      <c r="G120" s="556"/>
      <c r="H120" s="556"/>
      <c r="I120" s="556"/>
      <c r="J120" s="556"/>
      <c r="K120" s="556"/>
      <c r="L120" s="556"/>
      <c r="M120" s="556"/>
      <c r="N120" s="556"/>
      <c r="O120" s="578"/>
      <c r="P120" s="552" t="s">
        <v>75</v>
      </c>
      <c r="Q120" s="553"/>
      <c r="R120" s="553"/>
      <c r="S120" s="553"/>
      <c r="T120" s="553"/>
      <c r="U120" s="553"/>
      <c r="V120" s="554"/>
      <c r="W120" s="37" t="s">
        <v>76</v>
      </c>
      <c r="X120" s="547">
        <f>IFERROR(X116/H116,"0")+IFERROR(X117/H117,"0")+IFERROR(X118/H118,"0")+IFERROR(X119/H119,"0")</f>
        <v>0</v>
      </c>
      <c r="Y120" s="547">
        <f>IFERROR(Y116/H116,"0")+IFERROR(Y117/H117,"0")+IFERROR(Y118/H118,"0")+IFERROR(Y119/H119,"0")</f>
        <v>0</v>
      </c>
      <c r="Z120" s="547">
        <f>IFERROR(IF(Z116="",0,Z116),"0")+IFERROR(IF(Z117="",0,Z117),"0")+IFERROR(IF(Z118="",0,Z118),"0")+IFERROR(IF(Z119="",0,Z119),"0")</f>
        <v>0</v>
      </c>
      <c r="AA120" s="548"/>
      <c r="AB120" s="548"/>
      <c r="AC120" s="548"/>
    </row>
    <row r="121" spans="1:68" x14ac:dyDescent="0.2">
      <c r="A121" s="556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78"/>
      <c r="P121" s="552" t="s">
        <v>75</v>
      </c>
      <c r="Q121" s="553"/>
      <c r="R121" s="553"/>
      <c r="S121" s="553"/>
      <c r="T121" s="553"/>
      <c r="U121" s="553"/>
      <c r="V121" s="554"/>
      <c r="W121" s="37" t="s">
        <v>69</v>
      </c>
      <c r="X121" s="547">
        <f>IFERROR(SUM(X116:X119),"0")</f>
        <v>0</v>
      </c>
      <c r="Y121" s="547">
        <f>IFERROR(SUM(Y116:Y119),"0")</f>
        <v>0</v>
      </c>
      <c r="Z121" s="37"/>
      <c r="AA121" s="548"/>
      <c r="AB121" s="548"/>
      <c r="AC121" s="548"/>
    </row>
    <row r="122" spans="1:68" ht="14.25" customHeight="1" x14ac:dyDescent="0.25">
      <c r="A122" s="560" t="s">
        <v>165</v>
      </c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56"/>
      <c r="P122" s="556"/>
      <c r="Q122" s="556"/>
      <c r="R122" s="556"/>
      <c r="S122" s="556"/>
      <c r="T122" s="556"/>
      <c r="U122" s="556"/>
      <c r="V122" s="556"/>
      <c r="W122" s="556"/>
      <c r="X122" s="556"/>
      <c r="Y122" s="556"/>
      <c r="Z122" s="556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61">
        <v>4680115880238</v>
      </c>
      <c r="E123" s="562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6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8"/>
      <c r="R123" s="558"/>
      <c r="S123" s="558"/>
      <c r="T123" s="559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77"/>
      <c r="B124" s="556"/>
      <c r="C124" s="556"/>
      <c r="D124" s="556"/>
      <c r="E124" s="556"/>
      <c r="F124" s="556"/>
      <c r="G124" s="556"/>
      <c r="H124" s="556"/>
      <c r="I124" s="556"/>
      <c r="J124" s="556"/>
      <c r="K124" s="556"/>
      <c r="L124" s="556"/>
      <c r="M124" s="556"/>
      <c r="N124" s="556"/>
      <c r="O124" s="578"/>
      <c r="P124" s="552" t="s">
        <v>75</v>
      </c>
      <c r="Q124" s="553"/>
      <c r="R124" s="553"/>
      <c r="S124" s="553"/>
      <c r="T124" s="553"/>
      <c r="U124" s="553"/>
      <c r="V124" s="554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6"/>
      <c r="B125" s="556"/>
      <c r="C125" s="556"/>
      <c r="D125" s="556"/>
      <c r="E125" s="556"/>
      <c r="F125" s="556"/>
      <c r="G125" s="556"/>
      <c r="H125" s="556"/>
      <c r="I125" s="556"/>
      <c r="J125" s="556"/>
      <c r="K125" s="556"/>
      <c r="L125" s="556"/>
      <c r="M125" s="556"/>
      <c r="N125" s="556"/>
      <c r="O125" s="578"/>
      <c r="P125" s="552" t="s">
        <v>75</v>
      </c>
      <c r="Q125" s="553"/>
      <c r="R125" s="553"/>
      <c r="S125" s="553"/>
      <c r="T125" s="553"/>
      <c r="U125" s="553"/>
      <c r="V125" s="554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76" t="s">
        <v>237</v>
      </c>
      <c r="B126" s="556"/>
      <c r="C126" s="556"/>
      <c r="D126" s="556"/>
      <c r="E126" s="556"/>
      <c r="F126" s="556"/>
      <c r="G126" s="556"/>
      <c r="H126" s="556"/>
      <c r="I126" s="556"/>
      <c r="J126" s="556"/>
      <c r="K126" s="556"/>
      <c r="L126" s="556"/>
      <c r="M126" s="556"/>
      <c r="N126" s="556"/>
      <c r="O126" s="556"/>
      <c r="P126" s="556"/>
      <c r="Q126" s="556"/>
      <c r="R126" s="556"/>
      <c r="S126" s="556"/>
      <c r="T126" s="556"/>
      <c r="U126" s="556"/>
      <c r="V126" s="556"/>
      <c r="W126" s="556"/>
      <c r="X126" s="556"/>
      <c r="Y126" s="556"/>
      <c r="Z126" s="556"/>
      <c r="AA126" s="540"/>
      <c r="AB126" s="540"/>
      <c r="AC126" s="540"/>
    </row>
    <row r="127" spans="1:68" ht="14.25" customHeight="1" x14ac:dyDescent="0.25">
      <c r="A127" s="560" t="s">
        <v>102</v>
      </c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56"/>
      <c r="P127" s="556"/>
      <c r="Q127" s="556"/>
      <c r="R127" s="556"/>
      <c r="S127" s="556"/>
      <c r="T127" s="556"/>
      <c r="U127" s="556"/>
      <c r="V127" s="556"/>
      <c r="W127" s="556"/>
      <c r="X127" s="556"/>
      <c r="Y127" s="556"/>
      <c r="Z127" s="556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61">
        <v>4680115882577</v>
      </c>
      <c r="E128" s="562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60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8"/>
      <c r="R128" s="558"/>
      <c r="S128" s="558"/>
      <c r="T128" s="559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61">
        <v>4680115882577</v>
      </c>
      <c r="E129" s="562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80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8"/>
      <c r="R129" s="558"/>
      <c r="S129" s="558"/>
      <c r="T129" s="559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77"/>
      <c r="B130" s="556"/>
      <c r="C130" s="556"/>
      <c r="D130" s="556"/>
      <c r="E130" s="556"/>
      <c r="F130" s="556"/>
      <c r="G130" s="556"/>
      <c r="H130" s="556"/>
      <c r="I130" s="556"/>
      <c r="J130" s="556"/>
      <c r="K130" s="556"/>
      <c r="L130" s="556"/>
      <c r="M130" s="556"/>
      <c r="N130" s="556"/>
      <c r="O130" s="578"/>
      <c r="P130" s="552" t="s">
        <v>75</v>
      </c>
      <c r="Q130" s="553"/>
      <c r="R130" s="553"/>
      <c r="S130" s="553"/>
      <c r="T130" s="553"/>
      <c r="U130" s="553"/>
      <c r="V130" s="554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6"/>
      <c r="B131" s="556"/>
      <c r="C131" s="556"/>
      <c r="D131" s="556"/>
      <c r="E131" s="556"/>
      <c r="F131" s="556"/>
      <c r="G131" s="556"/>
      <c r="H131" s="556"/>
      <c r="I131" s="556"/>
      <c r="J131" s="556"/>
      <c r="K131" s="556"/>
      <c r="L131" s="556"/>
      <c r="M131" s="556"/>
      <c r="N131" s="556"/>
      <c r="O131" s="578"/>
      <c r="P131" s="552" t="s">
        <v>75</v>
      </c>
      <c r="Q131" s="553"/>
      <c r="R131" s="553"/>
      <c r="S131" s="553"/>
      <c r="T131" s="553"/>
      <c r="U131" s="553"/>
      <c r="V131" s="554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60" t="s">
        <v>64</v>
      </c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56"/>
      <c r="P132" s="556"/>
      <c r="Q132" s="556"/>
      <c r="R132" s="556"/>
      <c r="S132" s="556"/>
      <c r="T132" s="556"/>
      <c r="U132" s="556"/>
      <c r="V132" s="556"/>
      <c r="W132" s="556"/>
      <c r="X132" s="556"/>
      <c r="Y132" s="556"/>
      <c r="Z132" s="556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61">
        <v>4680115883444</v>
      </c>
      <c r="E133" s="562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61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61">
        <v>4680115883444</v>
      </c>
      <c r="E134" s="562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5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8"/>
      <c r="R134" s="558"/>
      <c r="S134" s="558"/>
      <c r="T134" s="559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77"/>
      <c r="B135" s="556"/>
      <c r="C135" s="556"/>
      <c r="D135" s="556"/>
      <c r="E135" s="556"/>
      <c r="F135" s="556"/>
      <c r="G135" s="556"/>
      <c r="H135" s="556"/>
      <c r="I135" s="556"/>
      <c r="J135" s="556"/>
      <c r="K135" s="556"/>
      <c r="L135" s="556"/>
      <c r="M135" s="556"/>
      <c r="N135" s="556"/>
      <c r="O135" s="578"/>
      <c r="P135" s="552" t="s">
        <v>75</v>
      </c>
      <c r="Q135" s="553"/>
      <c r="R135" s="553"/>
      <c r="S135" s="553"/>
      <c r="T135" s="553"/>
      <c r="U135" s="553"/>
      <c r="V135" s="554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6"/>
      <c r="B136" s="556"/>
      <c r="C136" s="556"/>
      <c r="D136" s="556"/>
      <c r="E136" s="556"/>
      <c r="F136" s="556"/>
      <c r="G136" s="556"/>
      <c r="H136" s="556"/>
      <c r="I136" s="556"/>
      <c r="J136" s="556"/>
      <c r="K136" s="556"/>
      <c r="L136" s="556"/>
      <c r="M136" s="556"/>
      <c r="N136" s="556"/>
      <c r="O136" s="578"/>
      <c r="P136" s="552" t="s">
        <v>75</v>
      </c>
      <c r="Q136" s="553"/>
      <c r="R136" s="553"/>
      <c r="S136" s="553"/>
      <c r="T136" s="553"/>
      <c r="U136" s="553"/>
      <c r="V136" s="554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60" t="s">
        <v>77</v>
      </c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56"/>
      <c r="P137" s="556"/>
      <c r="Q137" s="556"/>
      <c r="R137" s="556"/>
      <c r="S137" s="556"/>
      <c r="T137" s="556"/>
      <c r="U137" s="556"/>
      <c r="V137" s="556"/>
      <c r="W137" s="556"/>
      <c r="X137" s="556"/>
      <c r="Y137" s="556"/>
      <c r="Z137" s="556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61">
        <v>4680115882584</v>
      </c>
      <c r="E138" s="562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8"/>
      <c r="R138" s="558"/>
      <c r="S138" s="558"/>
      <c r="T138" s="559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61">
        <v>4680115882584</v>
      </c>
      <c r="E139" s="562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6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8"/>
      <c r="R139" s="558"/>
      <c r="S139" s="558"/>
      <c r="T139" s="559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77"/>
      <c r="B140" s="556"/>
      <c r="C140" s="556"/>
      <c r="D140" s="556"/>
      <c r="E140" s="556"/>
      <c r="F140" s="556"/>
      <c r="G140" s="556"/>
      <c r="H140" s="556"/>
      <c r="I140" s="556"/>
      <c r="J140" s="556"/>
      <c r="K140" s="556"/>
      <c r="L140" s="556"/>
      <c r="M140" s="556"/>
      <c r="N140" s="556"/>
      <c r="O140" s="578"/>
      <c r="P140" s="552" t="s">
        <v>75</v>
      </c>
      <c r="Q140" s="553"/>
      <c r="R140" s="553"/>
      <c r="S140" s="553"/>
      <c r="T140" s="553"/>
      <c r="U140" s="553"/>
      <c r="V140" s="554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6"/>
      <c r="B141" s="556"/>
      <c r="C141" s="556"/>
      <c r="D141" s="556"/>
      <c r="E141" s="556"/>
      <c r="F141" s="556"/>
      <c r="G141" s="556"/>
      <c r="H141" s="556"/>
      <c r="I141" s="556"/>
      <c r="J141" s="556"/>
      <c r="K141" s="556"/>
      <c r="L141" s="556"/>
      <c r="M141" s="556"/>
      <c r="N141" s="556"/>
      <c r="O141" s="578"/>
      <c r="P141" s="552" t="s">
        <v>75</v>
      </c>
      <c r="Q141" s="553"/>
      <c r="R141" s="553"/>
      <c r="S141" s="553"/>
      <c r="T141" s="553"/>
      <c r="U141" s="553"/>
      <c r="V141" s="554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76" t="s">
        <v>100</v>
      </c>
      <c r="B142" s="556"/>
      <c r="C142" s="556"/>
      <c r="D142" s="556"/>
      <c r="E142" s="556"/>
      <c r="F142" s="556"/>
      <c r="G142" s="556"/>
      <c r="H142" s="556"/>
      <c r="I142" s="556"/>
      <c r="J142" s="556"/>
      <c r="K142" s="556"/>
      <c r="L142" s="556"/>
      <c r="M142" s="556"/>
      <c r="N142" s="556"/>
      <c r="O142" s="556"/>
      <c r="P142" s="556"/>
      <c r="Q142" s="556"/>
      <c r="R142" s="556"/>
      <c r="S142" s="556"/>
      <c r="T142" s="556"/>
      <c r="U142" s="556"/>
      <c r="V142" s="556"/>
      <c r="W142" s="556"/>
      <c r="X142" s="556"/>
      <c r="Y142" s="556"/>
      <c r="Z142" s="556"/>
      <c r="AA142" s="540"/>
      <c r="AB142" s="540"/>
      <c r="AC142" s="540"/>
    </row>
    <row r="143" spans="1:68" ht="14.25" customHeight="1" x14ac:dyDescent="0.25">
      <c r="A143" s="560" t="s">
        <v>102</v>
      </c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56"/>
      <c r="P143" s="556"/>
      <c r="Q143" s="556"/>
      <c r="R143" s="556"/>
      <c r="S143" s="556"/>
      <c r="T143" s="556"/>
      <c r="U143" s="556"/>
      <c r="V143" s="556"/>
      <c r="W143" s="556"/>
      <c r="X143" s="556"/>
      <c r="Y143" s="556"/>
      <c r="Z143" s="556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61">
        <v>4680115887374</v>
      </c>
      <c r="E144" s="562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8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61">
        <v>4607091384604</v>
      </c>
      <c r="E145" s="562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85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8"/>
      <c r="R145" s="558"/>
      <c r="S145" s="558"/>
      <c r="T145" s="559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77"/>
      <c r="B146" s="556"/>
      <c r="C146" s="556"/>
      <c r="D146" s="556"/>
      <c r="E146" s="556"/>
      <c r="F146" s="556"/>
      <c r="G146" s="556"/>
      <c r="H146" s="556"/>
      <c r="I146" s="556"/>
      <c r="J146" s="556"/>
      <c r="K146" s="556"/>
      <c r="L146" s="556"/>
      <c r="M146" s="556"/>
      <c r="N146" s="556"/>
      <c r="O146" s="578"/>
      <c r="P146" s="552" t="s">
        <v>75</v>
      </c>
      <c r="Q146" s="553"/>
      <c r="R146" s="553"/>
      <c r="S146" s="553"/>
      <c r="T146" s="553"/>
      <c r="U146" s="553"/>
      <c r="V146" s="554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6"/>
      <c r="B147" s="556"/>
      <c r="C147" s="556"/>
      <c r="D147" s="556"/>
      <c r="E147" s="556"/>
      <c r="F147" s="556"/>
      <c r="G147" s="556"/>
      <c r="H147" s="556"/>
      <c r="I147" s="556"/>
      <c r="J147" s="556"/>
      <c r="K147" s="556"/>
      <c r="L147" s="556"/>
      <c r="M147" s="556"/>
      <c r="N147" s="556"/>
      <c r="O147" s="578"/>
      <c r="P147" s="552" t="s">
        <v>75</v>
      </c>
      <c r="Q147" s="553"/>
      <c r="R147" s="553"/>
      <c r="S147" s="553"/>
      <c r="T147" s="553"/>
      <c r="U147" s="553"/>
      <c r="V147" s="554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60" t="s">
        <v>64</v>
      </c>
      <c r="B148" s="556"/>
      <c r="C148" s="556"/>
      <c r="D148" s="556"/>
      <c r="E148" s="556"/>
      <c r="F148" s="556"/>
      <c r="G148" s="556"/>
      <c r="H148" s="556"/>
      <c r="I148" s="556"/>
      <c r="J148" s="556"/>
      <c r="K148" s="556"/>
      <c r="L148" s="556"/>
      <c r="M148" s="556"/>
      <c r="N148" s="556"/>
      <c r="O148" s="556"/>
      <c r="P148" s="556"/>
      <c r="Q148" s="556"/>
      <c r="R148" s="556"/>
      <c r="S148" s="556"/>
      <c r="T148" s="556"/>
      <c r="U148" s="556"/>
      <c r="V148" s="556"/>
      <c r="W148" s="556"/>
      <c r="X148" s="556"/>
      <c r="Y148" s="556"/>
      <c r="Z148" s="556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61">
        <v>4607091387667</v>
      </c>
      <c r="E149" s="562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58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61">
        <v>4607091387636</v>
      </c>
      <c r="E150" s="562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85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61">
        <v>4607091382426</v>
      </c>
      <c r="E151" s="562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60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8"/>
      <c r="R151" s="558"/>
      <c r="S151" s="558"/>
      <c r="T151" s="559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77"/>
      <c r="B152" s="556"/>
      <c r="C152" s="556"/>
      <c r="D152" s="556"/>
      <c r="E152" s="556"/>
      <c r="F152" s="556"/>
      <c r="G152" s="556"/>
      <c r="H152" s="556"/>
      <c r="I152" s="556"/>
      <c r="J152" s="556"/>
      <c r="K152" s="556"/>
      <c r="L152" s="556"/>
      <c r="M152" s="556"/>
      <c r="N152" s="556"/>
      <c r="O152" s="578"/>
      <c r="P152" s="552" t="s">
        <v>75</v>
      </c>
      <c r="Q152" s="553"/>
      <c r="R152" s="553"/>
      <c r="S152" s="553"/>
      <c r="T152" s="553"/>
      <c r="U152" s="553"/>
      <c r="V152" s="554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6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78"/>
      <c r="P153" s="552" t="s">
        <v>75</v>
      </c>
      <c r="Q153" s="553"/>
      <c r="R153" s="553"/>
      <c r="S153" s="553"/>
      <c r="T153" s="553"/>
      <c r="U153" s="553"/>
      <c r="V153" s="554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60" t="s">
        <v>77</v>
      </c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56"/>
      <c r="P154" s="556"/>
      <c r="Q154" s="556"/>
      <c r="R154" s="556"/>
      <c r="S154" s="556"/>
      <c r="T154" s="556"/>
      <c r="U154" s="556"/>
      <c r="V154" s="556"/>
      <c r="W154" s="556"/>
      <c r="X154" s="556"/>
      <c r="Y154" s="556"/>
      <c r="Z154" s="556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61">
        <v>4680115887459</v>
      </c>
      <c r="E155" s="562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87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8"/>
      <c r="R155" s="558"/>
      <c r="S155" s="558"/>
      <c r="T155" s="559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7"/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78"/>
      <c r="P156" s="552" t="s">
        <v>75</v>
      </c>
      <c r="Q156" s="553"/>
      <c r="R156" s="553"/>
      <c r="S156" s="553"/>
      <c r="T156" s="553"/>
      <c r="U156" s="553"/>
      <c r="V156" s="554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6"/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78"/>
      <c r="P157" s="552" t="s">
        <v>75</v>
      </c>
      <c r="Q157" s="553"/>
      <c r="R157" s="553"/>
      <c r="S157" s="553"/>
      <c r="T157" s="553"/>
      <c r="U157" s="553"/>
      <c r="V157" s="554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86" t="s">
        <v>267</v>
      </c>
      <c r="B158" s="687"/>
      <c r="C158" s="687"/>
      <c r="D158" s="687"/>
      <c r="E158" s="687"/>
      <c r="F158" s="687"/>
      <c r="G158" s="687"/>
      <c r="H158" s="687"/>
      <c r="I158" s="687"/>
      <c r="J158" s="687"/>
      <c r="K158" s="687"/>
      <c r="L158" s="687"/>
      <c r="M158" s="687"/>
      <c r="N158" s="687"/>
      <c r="O158" s="687"/>
      <c r="P158" s="687"/>
      <c r="Q158" s="687"/>
      <c r="R158" s="687"/>
      <c r="S158" s="687"/>
      <c r="T158" s="687"/>
      <c r="U158" s="687"/>
      <c r="V158" s="687"/>
      <c r="W158" s="687"/>
      <c r="X158" s="687"/>
      <c r="Y158" s="687"/>
      <c r="Z158" s="687"/>
      <c r="AA158" s="48"/>
      <c r="AB158" s="48"/>
      <c r="AC158" s="48"/>
    </row>
    <row r="159" spans="1:68" ht="16.5" customHeight="1" x14ac:dyDescent="0.25">
      <c r="A159" s="576" t="s">
        <v>268</v>
      </c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6"/>
      <c r="P159" s="556"/>
      <c r="Q159" s="556"/>
      <c r="R159" s="556"/>
      <c r="S159" s="556"/>
      <c r="T159" s="556"/>
      <c r="U159" s="556"/>
      <c r="V159" s="556"/>
      <c r="W159" s="556"/>
      <c r="X159" s="556"/>
      <c r="Y159" s="556"/>
      <c r="Z159" s="556"/>
      <c r="AA159" s="540"/>
      <c r="AB159" s="540"/>
      <c r="AC159" s="540"/>
    </row>
    <row r="160" spans="1:68" ht="14.25" customHeight="1" x14ac:dyDescent="0.25">
      <c r="A160" s="560" t="s">
        <v>137</v>
      </c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56"/>
      <c r="P160" s="556"/>
      <c r="Q160" s="556"/>
      <c r="R160" s="556"/>
      <c r="S160" s="556"/>
      <c r="T160" s="556"/>
      <c r="U160" s="556"/>
      <c r="V160" s="556"/>
      <c r="W160" s="556"/>
      <c r="X160" s="556"/>
      <c r="Y160" s="556"/>
      <c r="Z160" s="556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61">
        <v>4680115886223</v>
      </c>
      <c r="E161" s="562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68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8"/>
      <c r="R161" s="558"/>
      <c r="S161" s="558"/>
      <c r="T161" s="559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7"/>
      <c r="B162" s="556"/>
      <c r="C162" s="556"/>
      <c r="D162" s="556"/>
      <c r="E162" s="556"/>
      <c r="F162" s="556"/>
      <c r="G162" s="556"/>
      <c r="H162" s="556"/>
      <c r="I162" s="556"/>
      <c r="J162" s="556"/>
      <c r="K162" s="556"/>
      <c r="L162" s="556"/>
      <c r="M162" s="556"/>
      <c r="N162" s="556"/>
      <c r="O162" s="578"/>
      <c r="P162" s="552" t="s">
        <v>75</v>
      </c>
      <c r="Q162" s="553"/>
      <c r="R162" s="553"/>
      <c r="S162" s="553"/>
      <c r="T162" s="553"/>
      <c r="U162" s="553"/>
      <c r="V162" s="554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6"/>
      <c r="B163" s="556"/>
      <c r="C163" s="556"/>
      <c r="D163" s="556"/>
      <c r="E163" s="556"/>
      <c r="F163" s="556"/>
      <c r="G163" s="556"/>
      <c r="H163" s="556"/>
      <c r="I163" s="556"/>
      <c r="J163" s="556"/>
      <c r="K163" s="556"/>
      <c r="L163" s="556"/>
      <c r="M163" s="556"/>
      <c r="N163" s="556"/>
      <c r="O163" s="578"/>
      <c r="P163" s="552" t="s">
        <v>75</v>
      </c>
      <c r="Q163" s="553"/>
      <c r="R163" s="553"/>
      <c r="S163" s="553"/>
      <c r="T163" s="553"/>
      <c r="U163" s="553"/>
      <c r="V163" s="554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60" t="s">
        <v>64</v>
      </c>
      <c r="B164" s="556"/>
      <c r="C164" s="556"/>
      <c r="D164" s="556"/>
      <c r="E164" s="556"/>
      <c r="F164" s="556"/>
      <c r="G164" s="556"/>
      <c r="H164" s="556"/>
      <c r="I164" s="556"/>
      <c r="J164" s="556"/>
      <c r="K164" s="556"/>
      <c r="L164" s="556"/>
      <c r="M164" s="556"/>
      <c r="N164" s="556"/>
      <c r="O164" s="556"/>
      <c r="P164" s="556"/>
      <c r="Q164" s="556"/>
      <c r="R164" s="556"/>
      <c r="S164" s="556"/>
      <c r="T164" s="556"/>
      <c r="U164" s="556"/>
      <c r="V164" s="556"/>
      <c r="W164" s="556"/>
      <c r="X164" s="556"/>
      <c r="Y164" s="556"/>
      <c r="Z164" s="556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61">
        <v>4680115887565</v>
      </c>
      <c r="E165" s="562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858" t="s">
        <v>274</v>
      </c>
      <c r="Q165" s="558"/>
      <c r="R165" s="558"/>
      <c r="S165" s="558"/>
      <c r="T165" s="559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61">
        <v>4680115880993</v>
      </c>
      <c r="E166" s="562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208</v>
      </c>
      <c r="M166" s="33" t="s">
        <v>68</v>
      </c>
      <c r="N166" s="33"/>
      <c r="O166" s="32">
        <v>40</v>
      </c>
      <c r="P166" s="80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8"/>
      <c r="R166" s="558"/>
      <c r="S166" s="558"/>
      <c r="T166" s="559"/>
      <c r="U166" s="34"/>
      <c r="V166" s="34"/>
      <c r="W166" s="35" t="s">
        <v>69</v>
      </c>
      <c r="X166" s="545">
        <v>158</v>
      </c>
      <c r="Y166" s="546">
        <f t="shared" si="5"/>
        <v>159.6</v>
      </c>
      <c r="Z166" s="36">
        <f>IFERROR(IF(Y166=0,"",ROUNDUP(Y166/H166,0)*0.00902),"")</f>
        <v>0.34276000000000001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167.4047619047619</v>
      </c>
      <c r="BN166" s="64">
        <f t="shared" si="7"/>
        <v>169.1</v>
      </c>
      <c r="BO166" s="64">
        <f t="shared" si="8"/>
        <v>0.28499278499278502</v>
      </c>
      <c r="BP166" s="64">
        <f t="shared" si="9"/>
        <v>0.2878787878787879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61">
        <v>4680115881761</v>
      </c>
      <c r="E167" s="562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8"/>
      <c r="R167" s="558"/>
      <c r="S167" s="558"/>
      <c r="T167" s="559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61">
        <v>4680115881563</v>
      </c>
      <c r="E168" s="562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208</v>
      </c>
      <c r="M168" s="33" t="s">
        <v>68</v>
      </c>
      <c r="N168" s="33"/>
      <c r="O168" s="32">
        <v>40</v>
      </c>
      <c r="P168" s="81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8"/>
      <c r="R168" s="558"/>
      <c r="S168" s="558"/>
      <c r="T168" s="559"/>
      <c r="U168" s="34"/>
      <c r="V168" s="34"/>
      <c r="W168" s="35" t="s">
        <v>69</v>
      </c>
      <c r="X168" s="545">
        <v>165</v>
      </c>
      <c r="Y168" s="546">
        <f t="shared" si="5"/>
        <v>168</v>
      </c>
      <c r="Z168" s="36">
        <f>IFERROR(IF(Y168=0,"",ROUNDUP(Y168/H168,0)*0.00902),"")</f>
        <v>0.36080000000000001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172.46428571428569</v>
      </c>
      <c r="BN168" s="64">
        <f t="shared" si="7"/>
        <v>175.6</v>
      </c>
      <c r="BO168" s="64">
        <f t="shared" si="8"/>
        <v>0.29761904761904762</v>
      </c>
      <c r="BP168" s="64">
        <f t="shared" si="9"/>
        <v>0.30303030303030304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61">
        <v>4680115880986</v>
      </c>
      <c r="E169" s="562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7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8"/>
      <c r="R169" s="558"/>
      <c r="S169" s="558"/>
      <c r="T169" s="559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61">
        <v>4680115887213</v>
      </c>
      <c r="E170" s="562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8"/>
      <c r="R170" s="558"/>
      <c r="S170" s="558"/>
      <c r="T170" s="559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61">
        <v>4680115881785</v>
      </c>
      <c r="E171" s="562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61">
        <v>4680115886537</v>
      </c>
      <c r="E172" s="562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45">
        <v>8</v>
      </c>
      <c r="Y172" s="546">
        <f t="shared" si="5"/>
        <v>9</v>
      </c>
      <c r="Z172" s="36">
        <f>IFERROR(IF(Y172=0,"",ROUNDUP(Y172/H172,0)*0.00502),"")</f>
        <v>2.5100000000000001E-2</v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8.5777777777777775</v>
      </c>
      <c r="BN172" s="64">
        <f t="shared" si="7"/>
        <v>9.65</v>
      </c>
      <c r="BO172" s="64">
        <f t="shared" si="8"/>
        <v>1.8993352326685663E-2</v>
      </c>
      <c r="BP172" s="64">
        <f t="shared" si="9"/>
        <v>2.1367521367521368E-2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61">
        <v>4680115887596</v>
      </c>
      <c r="E173" s="562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178</v>
      </c>
      <c r="L173" s="32"/>
      <c r="M173" s="33" t="s">
        <v>68</v>
      </c>
      <c r="N173" s="33"/>
      <c r="O173" s="32">
        <v>45</v>
      </c>
      <c r="P173" s="830" t="s">
        <v>299</v>
      </c>
      <c r="Q173" s="558"/>
      <c r="R173" s="558"/>
      <c r="S173" s="558"/>
      <c r="T173" s="559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61">
        <v>4680115881679</v>
      </c>
      <c r="E174" s="562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58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8"/>
      <c r="R174" s="558"/>
      <c r="S174" s="558"/>
      <c r="T174" s="559"/>
      <c r="U174" s="34"/>
      <c r="V174" s="34"/>
      <c r="W174" s="35" t="s">
        <v>69</v>
      </c>
      <c r="X174" s="545">
        <v>35</v>
      </c>
      <c r="Y174" s="546">
        <f t="shared" si="5"/>
        <v>35.700000000000003</v>
      </c>
      <c r="Z174" s="36">
        <f>IFERROR(IF(Y174=0,"",ROUNDUP(Y174/H174,0)*0.00502),"")</f>
        <v>8.5339999999999999E-2</v>
      </c>
      <c r="AA174" s="56"/>
      <c r="AB174" s="57"/>
      <c r="AC174" s="217" t="s">
        <v>285</v>
      </c>
      <c r="AG174" s="64"/>
      <c r="AJ174" s="68"/>
      <c r="AK174" s="68">
        <v>0</v>
      </c>
      <c r="BB174" s="218" t="s">
        <v>1</v>
      </c>
      <c r="BM174" s="64">
        <f t="shared" si="6"/>
        <v>36.666666666666664</v>
      </c>
      <c r="BN174" s="64">
        <f t="shared" si="7"/>
        <v>37.4</v>
      </c>
      <c r="BO174" s="64">
        <f t="shared" si="8"/>
        <v>7.1225071225071226E-2</v>
      </c>
      <c r="BP174" s="64">
        <f t="shared" si="9"/>
        <v>7.2649572649572655E-2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61">
        <v>4680115880191</v>
      </c>
      <c r="E175" s="562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6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61">
        <v>4680115883963</v>
      </c>
      <c r="E176" s="562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4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77"/>
      <c r="B177" s="556"/>
      <c r="C177" s="556"/>
      <c r="D177" s="556"/>
      <c r="E177" s="556"/>
      <c r="F177" s="556"/>
      <c r="G177" s="556"/>
      <c r="H177" s="556"/>
      <c r="I177" s="556"/>
      <c r="J177" s="556"/>
      <c r="K177" s="556"/>
      <c r="L177" s="556"/>
      <c r="M177" s="556"/>
      <c r="N177" s="556"/>
      <c r="O177" s="578"/>
      <c r="P177" s="552" t="s">
        <v>75</v>
      </c>
      <c r="Q177" s="553"/>
      <c r="R177" s="553"/>
      <c r="S177" s="553"/>
      <c r="T177" s="553"/>
      <c r="U177" s="553"/>
      <c r="V177" s="554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98.015873015873012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100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0.81399999999999995</v>
      </c>
      <c r="AA177" s="548"/>
      <c r="AB177" s="548"/>
      <c r="AC177" s="548"/>
    </row>
    <row r="178" spans="1:68" x14ac:dyDescent="0.2">
      <c r="A178" s="556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78"/>
      <c r="P178" s="552" t="s">
        <v>75</v>
      </c>
      <c r="Q178" s="553"/>
      <c r="R178" s="553"/>
      <c r="S178" s="553"/>
      <c r="T178" s="553"/>
      <c r="U178" s="553"/>
      <c r="V178" s="554"/>
      <c r="W178" s="37" t="s">
        <v>69</v>
      </c>
      <c r="X178" s="547">
        <f>IFERROR(SUM(X165:X176),"0")</f>
        <v>366</v>
      </c>
      <c r="Y178" s="547">
        <f>IFERROR(SUM(Y165:Y176),"0")</f>
        <v>372.3</v>
      </c>
      <c r="Z178" s="37"/>
      <c r="AA178" s="548"/>
      <c r="AB178" s="548"/>
      <c r="AC178" s="548"/>
    </row>
    <row r="179" spans="1:68" ht="14.25" customHeight="1" x14ac:dyDescent="0.25">
      <c r="A179" s="560" t="s">
        <v>94</v>
      </c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56"/>
      <c r="P179" s="556"/>
      <c r="Q179" s="556"/>
      <c r="R179" s="556"/>
      <c r="S179" s="556"/>
      <c r="T179" s="556"/>
      <c r="U179" s="556"/>
      <c r="V179" s="556"/>
      <c r="W179" s="556"/>
      <c r="X179" s="556"/>
      <c r="Y179" s="556"/>
      <c r="Z179" s="556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61">
        <v>4680115886780</v>
      </c>
      <c r="E180" s="562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76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61">
        <v>4680115886742</v>
      </c>
      <c r="E181" s="562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62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8"/>
      <c r="R181" s="558"/>
      <c r="S181" s="558"/>
      <c r="T181" s="559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61">
        <v>4680115886766</v>
      </c>
      <c r="E182" s="562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77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8"/>
      <c r="R182" s="558"/>
      <c r="S182" s="558"/>
      <c r="T182" s="559"/>
      <c r="U182" s="34"/>
      <c r="V182" s="34"/>
      <c r="W182" s="35" t="s">
        <v>69</v>
      </c>
      <c r="X182" s="545">
        <v>1</v>
      </c>
      <c r="Y182" s="546">
        <f>IFERROR(IF(X182="",0,CEILING((X182/$H182),1)*$H182),"")</f>
        <v>1.26</v>
      </c>
      <c r="Z182" s="36">
        <f>IFERROR(IF(Y182=0,"",ROUNDUP(Y182/H182,0)*0.0059),"")</f>
        <v>5.8999999999999999E-3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1.1507936507936507</v>
      </c>
      <c r="BN182" s="64">
        <f>IFERROR(Y182*I182/H182,"0")</f>
        <v>1.45</v>
      </c>
      <c r="BO182" s="64">
        <f>IFERROR(1/J182*(X182/H182),"0")</f>
        <v>3.6743092298647849E-3</v>
      </c>
      <c r="BP182" s="64">
        <f>IFERROR(1/J182*(Y182/H182),"0")</f>
        <v>4.6296296296296294E-3</v>
      </c>
    </row>
    <row r="183" spans="1:68" x14ac:dyDescent="0.2">
      <c r="A183" s="577"/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78"/>
      <c r="P183" s="552" t="s">
        <v>75</v>
      </c>
      <c r="Q183" s="553"/>
      <c r="R183" s="553"/>
      <c r="S183" s="553"/>
      <c r="T183" s="553"/>
      <c r="U183" s="553"/>
      <c r="V183" s="554"/>
      <c r="W183" s="37" t="s">
        <v>76</v>
      </c>
      <c r="X183" s="547">
        <f>IFERROR(X180/H180,"0")+IFERROR(X181/H181,"0")+IFERROR(X182/H182,"0")</f>
        <v>0.79365079365079361</v>
      </c>
      <c r="Y183" s="547">
        <f>IFERROR(Y180/H180,"0")+IFERROR(Y181/H181,"0")+IFERROR(Y182/H182,"0")</f>
        <v>1</v>
      </c>
      <c r="Z183" s="547">
        <f>IFERROR(IF(Z180="",0,Z180),"0")+IFERROR(IF(Z181="",0,Z181),"0")+IFERROR(IF(Z182="",0,Z182),"0")</f>
        <v>5.8999999999999999E-3</v>
      </c>
      <c r="AA183" s="548"/>
      <c r="AB183" s="548"/>
      <c r="AC183" s="548"/>
    </row>
    <row r="184" spans="1:68" x14ac:dyDescent="0.2">
      <c r="A184" s="556"/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78"/>
      <c r="P184" s="552" t="s">
        <v>75</v>
      </c>
      <c r="Q184" s="553"/>
      <c r="R184" s="553"/>
      <c r="S184" s="553"/>
      <c r="T184" s="553"/>
      <c r="U184" s="553"/>
      <c r="V184" s="554"/>
      <c r="W184" s="37" t="s">
        <v>69</v>
      </c>
      <c r="X184" s="547">
        <f>IFERROR(SUM(X180:X182),"0")</f>
        <v>1</v>
      </c>
      <c r="Y184" s="547">
        <f>IFERROR(SUM(Y180:Y182),"0")</f>
        <v>1.26</v>
      </c>
      <c r="Z184" s="37"/>
      <c r="AA184" s="548"/>
      <c r="AB184" s="548"/>
      <c r="AC184" s="548"/>
    </row>
    <row r="185" spans="1:68" ht="14.25" customHeight="1" x14ac:dyDescent="0.25">
      <c r="A185" s="560" t="s">
        <v>318</v>
      </c>
      <c r="B185" s="556"/>
      <c r="C185" s="556"/>
      <c r="D185" s="556"/>
      <c r="E185" s="556"/>
      <c r="F185" s="556"/>
      <c r="G185" s="556"/>
      <c r="H185" s="556"/>
      <c r="I185" s="556"/>
      <c r="J185" s="556"/>
      <c r="K185" s="556"/>
      <c r="L185" s="556"/>
      <c r="M185" s="556"/>
      <c r="N185" s="556"/>
      <c r="O185" s="556"/>
      <c r="P185" s="556"/>
      <c r="Q185" s="556"/>
      <c r="R185" s="556"/>
      <c r="S185" s="556"/>
      <c r="T185" s="556"/>
      <c r="U185" s="556"/>
      <c r="V185" s="556"/>
      <c r="W185" s="556"/>
      <c r="X185" s="556"/>
      <c r="Y185" s="556"/>
      <c r="Z185" s="556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61">
        <v>4680115886797</v>
      </c>
      <c r="E186" s="562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60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45">
        <v>1</v>
      </c>
      <c r="Y186" s="546">
        <f>IFERROR(IF(X186="",0,CEILING((X186/$H186),1)*$H186),"")</f>
        <v>1.26</v>
      </c>
      <c r="Z186" s="36">
        <f>IFERROR(IF(Y186=0,"",ROUNDUP(Y186/H186,0)*0.0059),"")</f>
        <v>5.8999999999999999E-3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1.1507936507936507</v>
      </c>
      <c r="BN186" s="64">
        <f>IFERROR(Y186*I186/H186,"0")</f>
        <v>1.45</v>
      </c>
      <c r="BO186" s="64">
        <f>IFERROR(1/J186*(X186/H186),"0")</f>
        <v>3.6743092298647849E-3</v>
      </c>
      <c r="BP186" s="64">
        <f>IFERROR(1/J186*(Y186/H186),"0")</f>
        <v>4.6296296296296294E-3</v>
      </c>
    </row>
    <row r="187" spans="1:68" x14ac:dyDescent="0.2">
      <c r="A187" s="577"/>
      <c r="B187" s="556"/>
      <c r="C187" s="556"/>
      <c r="D187" s="556"/>
      <c r="E187" s="556"/>
      <c r="F187" s="556"/>
      <c r="G187" s="556"/>
      <c r="H187" s="556"/>
      <c r="I187" s="556"/>
      <c r="J187" s="556"/>
      <c r="K187" s="556"/>
      <c r="L187" s="556"/>
      <c r="M187" s="556"/>
      <c r="N187" s="556"/>
      <c r="O187" s="578"/>
      <c r="P187" s="552" t="s">
        <v>75</v>
      </c>
      <c r="Q187" s="553"/>
      <c r="R187" s="553"/>
      <c r="S187" s="553"/>
      <c r="T187" s="553"/>
      <c r="U187" s="553"/>
      <c r="V187" s="554"/>
      <c r="W187" s="37" t="s">
        <v>76</v>
      </c>
      <c r="X187" s="547">
        <f>IFERROR(X186/H186,"0")</f>
        <v>0.79365079365079361</v>
      </c>
      <c r="Y187" s="547">
        <f>IFERROR(Y186/H186,"0")</f>
        <v>1</v>
      </c>
      <c r="Z187" s="547">
        <f>IFERROR(IF(Z186="",0,Z186),"0")</f>
        <v>5.8999999999999999E-3</v>
      </c>
      <c r="AA187" s="548"/>
      <c r="AB187" s="548"/>
      <c r="AC187" s="548"/>
    </row>
    <row r="188" spans="1:68" x14ac:dyDescent="0.2">
      <c r="A188" s="556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78"/>
      <c r="P188" s="552" t="s">
        <v>75</v>
      </c>
      <c r="Q188" s="553"/>
      <c r="R188" s="553"/>
      <c r="S188" s="553"/>
      <c r="T188" s="553"/>
      <c r="U188" s="553"/>
      <c r="V188" s="554"/>
      <c r="W188" s="37" t="s">
        <v>69</v>
      </c>
      <c r="X188" s="547">
        <f>IFERROR(SUM(X186:X186),"0")</f>
        <v>1</v>
      </c>
      <c r="Y188" s="547">
        <f>IFERROR(SUM(Y186:Y186),"0")</f>
        <v>1.26</v>
      </c>
      <c r="Z188" s="37"/>
      <c r="AA188" s="548"/>
      <c r="AB188" s="548"/>
      <c r="AC188" s="548"/>
    </row>
    <row r="189" spans="1:68" ht="16.5" customHeight="1" x14ac:dyDescent="0.25">
      <c r="A189" s="576" t="s">
        <v>321</v>
      </c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56"/>
      <c r="P189" s="556"/>
      <c r="Q189" s="556"/>
      <c r="R189" s="556"/>
      <c r="S189" s="556"/>
      <c r="T189" s="556"/>
      <c r="U189" s="556"/>
      <c r="V189" s="556"/>
      <c r="W189" s="556"/>
      <c r="X189" s="556"/>
      <c r="Y189" s="556"/>
      <c r="Z189" s="556"/>
      <c r="AA189" s="540"/>
      <c r="AB189" s="540"/>
      <c r="AC189" s="540"/>
    </row>
    <row r="190" spans="1:68" ht="14.25" customHeight="1" x14ac:dyDescent="0.25">
      <c r="A190" s="560" t="s">
        <v>102</v>
      </c>
      <c r="B190" s="556"/>
      <c r="C190" s="556"/>
      <c r="D190" s="556"/>
      <c r="E190" s="556"/>
      <c r="F190" s="556"/>
      <c r="G190" s="556"/>
      <c r="H190" s="556"/>
      <c r="I190" s="556"/>
      <c r="J190" s="556"/>
      <c r="K190" s="556"/>
      <c r="L190" s="556"/>
      <c r="M190" s="556"/>
      <c r="N190" s="556"/>
      <c r="O190" s="556"/>
      <c r="P190" s="556"/>
      <c r="Q190" s="556"/>
      <c r="R190" s="556"/>
      <c r="S190" s="556"/>
      <c r="T190" s="556"/>
      <c r="U190" s="556"/>
      <c r="V190" s="556"/>
      <c r="W190" s="556"/>
      <c r="X190" s="556"/>
      <c r="Y190" s="556"/>
      <c r="Z190" s="556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61">
        <v>4680115881402</v>
      </c>
      <c r="E191" s="562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6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8"/>
      <c r="R191" s="558"/>
      <c r="S191" s="558"/>
      <c r="T191" s="559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61">
        <v>4680115881396</v>
      </c>
      <c r="E192" s="562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8"/>
      <c r="R192" s="558"/>
      <c r="S192" s="558"/>
      <c r="T192" s="559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77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78"/>
      <c r="P193" s="552" t="s">
        <v>75</v>
      </c>
      <c r="Q193" s="553"/>
      <c r="R193" s="553"/>
      <c r="S193" s="553"/>
      <c r="T193" s="553"/>
      <c r="U193" s="553"/>
      <c r="V193" s="554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6"/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78"/>
      <c r="P194" s="552" t="s">
        <v>75</v>
      </c>
      <c r="Q194" s="553"/>
      <c r="R194" s="553"/>
      <c r="S194" s="553"/>
      <c r="T194" s="553"/>
      <c r="U194" s="553"/>
      <c r="V194" s="554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60" t="s">
        <v>137</v>
      </c>
      <c r="B195" s="556"/>
      <c r="C195" s="556"/>
      <c r="D195" s="556"/>
      <c r="E195" s="556"/>
      <c r="F195" s="556"/>
      <c r="G195" s="556"/>
      <c r="H195" s="556"/>
      <c r="I195" s="556"/>
      <c r="J195" s="556"/>
      <c r="K195" s="556"/>
      <c r="L195" s="556"/>
      <c r="M195" s="556"/>
      <c r="N195" s="556"/>
      <c r="O195" s="556"/>
      <c r="P195" s="556"/>
      <c r="Q195" s="556"/>
      <c r="R195" s="556"/>
      <c r="S195" s="556"/>
      <c r="T195" s="556"/>
      <c r="U195" s="556"/>
      <c r="V195" s="556"/>
      <c r="W195" s="556"/>
      <c r="X195" s="556"/>
      <c r="Y195" s="556"/>
      <c r="Z195" s="556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61">
        <v>4680115882935</v>
      </c>
      <c r="E196" s="562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6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8"/>
      <c r="R196" s="558"/>
      <c r="S196" s="558"/>
      <c r="T196" s="559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61">
        <v>4680115880764</v>
      </c>
      <c r="E197" s="562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78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8"/>
      <c r="R197" s="558"/>
      <c r="S197" s="558"/>
      <c r="T197" s="559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77"/>
      <c r="B198" s="556"/>
      <c r="C198" s="556"/>
      <c r="D198" s="556"/>
      <c r="E198" s="556"/>
      <c r="F198" s="556"/>
      <c r="G198" s="556"/>
      <c r="H198" s="556"/>
      <c r="I198" s="556"/>
      <c r="J198" s="556"/>
      <c r="K198" s="556"/>
      <c r="L198" s="556"/>
      <c r="M198" s="556"/>
      <c r="N198" s="556"/>
      <c r="O198" s="578"/>
      <c r="P198" s="552" t="s">
        <v>75</v>
      </c>
      <c r="Q198" s="553"/>
      <c r="R198" s="553"/>
      <c r="S198" s="553"/>
      <c r="T198" s="553"/>
      <c r="U198" s="553"/>
      <c r="V198" s="554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6"/>
      <c r="B199" s="556"/>
      <c r="C199" s="556"/>
      <c r="D199" s="556"/>
      <c r="E199" s="556"/>
      <c r="F199" s="556"/>
      <c r="G199" s="556"/>
      <c r="H199" s="556"/>
      <c r="I199" s="556"/>
      <c r="J199" s="556"/>
      <c r="K199" s="556"/>
      <c r="L199" s="556"/>
      <c r="M199" s="556"/>
      <c r="N199" s="556"/>
      <c r="O199" s="578"/>
      <c r="P199" s="552" t="s">
        <v>75</v>
      </c>
      <c r="Q199" s="553"/>
      <c r="R199" s="553"/>
      <c r="S199" s="553"/>
      <c r="T199" s="553"/>
      <c r="U199" s="553"/>
      <c r="V199" s="554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60" t="s">
        <v>64</v>
      </c>
      <c r="B200" s="556"/>
      <c r="C200" s="556"/>
      <c r="D200" s="556"/>
      <c r="E200" s="556"/>
      <c r="F200" s="556"/>
      <c r="G200" s="556"/>
      <c r="H200" s="556"/>
      <c r="I200" s="556"/>
      <c r="J200" s="556"/>
      <c r="K200" s="556"/>
      <c r="L200" s="556"/>
      <c r="M200" s="556"/>
      <c r="N200" s="556"/>
      <c r="O200" s="556"/>
      <c r="P200" s="556"/>
      <c r="Q200" s="556"/>
      <c r="R200" s="556"/>
      <c r="S200" s="556"/>
      <c r="T200" s="556"/>
      <c r="U200" s="556"/>
      <c r="V200" s="556"/>
      <c r="W200" s="556"/>
      <c r="X200" s="556"/>
      <c r="Y200" s="556"/>
      <c r="Z200" s="556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61">
        <v>4680115882683</v>
      </c>
      <c r="E201" s="562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208</v>
      </c>
      <c r="M201" s="33" t="s">
        <v>68</v>
      </c>
      <c r="N201" s="33"/>
      <c r="O201" s="32">
        <v>40</v>
      </c>
      <c r="P201" s="64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8"/>
      <c r="R201" s="558"/>
      <c r="S201" s="558"/>
      <c r="T201" s="559"/>
      <c r="U201" s="34"/>
      <c r="V201" s="34"/>
      <c r="W201" s="35" t="s">
        <v>69</v>
      </c>
      <c r="X201" s="545">
        <v>193</v>
      </c>
      <c r="Y201" s="546">
        <f t="shared" ref="Y201:Y208" si="10">IFERROR(IF(X201="",0,CEILING((X201/$H201),1)*$H201),"")</f>
        <v>194.4</v>
      </c>
      <c r="Z201" s="36">
        <f>IFERROR(IF(Y201=0,"",ROUNDUP(Y201/H201,0)*0.00902),"")</f>
        <v>0.32472000000000001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199.79074074074072</v>
      </c>
      <c r="BN201" s="64">
        <f t="shared" ref="BN201:BN208" si="12">IFERROR(Y201*I201/H201,"0")</f>
        <v>201.23999999999998</v>
      </c>
      <c r="BO201" s="64">
        <f t="shared" ref="BO201:BO208" si="13">IFERROR(1/J201*(X201/H201),"0")</f>
        <v>0.27076318742985411</v>
      </c>
      <c r="BP201" s="64">
        <f t="shared" ref="BP201:BP208" si="14">IFERROR(1/J201*(Y201/H201),"0")</f>
        <v>0.27272727272727271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61">
        <v>4680115882690</v>
      </c>
      <c r="E202" s="562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208</v>
      </c>
      <c r="M202" s="33" t="s">
        <v>68</v>
      </c>
      <c r="N202" s="33"/>
      <c r="O202" s="32">
        <v>40</v>
      </c>
      <c r="P202" s="56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8"/>
      <c r="R202" s="558"/>
      <c r="S202" s="558"/>
      <c r="T202" s="559"/>
      <c r="U202" s="34"/>
      <c r="V202" s="34"/>
      <c r="W202" s="35" t="s">
        <v>69</v>
      </c>
      <c r="X202" s="545">
        <v>188</v>
      </c>
      <c r="Y202" s="546">
        <f t="shared" si="10"/>
        <v>189</v>
      </c>
      <c r="Z202" s="36">
        <f>IFERROR(IF(Y202=0,"",ROUNDUP(Y202/H202,0)*0.00902),"")</f>
        <v>0.31569999999999998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194.61481481481482</v>
      </c>
      <c r="BN202" s="64">
        <f t="shared" si="12"/>
        <v>195.64999999999998</v>
      </c>
      <c r="BO202" s="64">
        <f t="shared" si="13"/>
        <v>0.26374859708193038</v>
      </c>
      <c r="BP202" s="64">
        <f t="shared" si="14"/>
        <v>0.26515151515151514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61">
        <v>4680115882669</v>
      </c>
      <c r="E203" s="562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/>
      <c r="M203" s="33" t="s">
        <v>68</v>
      </c>
      <c r="N203" s="33"/>
      <c r="O203" s="32">
        <v>40</v>
      </c>
      <c r="P203" s="73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8"/>
      <c r="R203" s="558"/>
      <c r="S203" s="558"/>
      <c r="T203" s="559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61">
        <v>4680115882676</v>
      </c>
      <c r="E204" s="562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208</v>
      </c>
      <c r="M204" s="33" t="s">
        <v>68</v>
      </c>
      <c r="N204" s="33"/>
      <c r="O204" s="32">
        <v>40</v>
      </c>
      <c r="P204" s="7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8"/>
      <c r="R204" s="558"/>
      <c r="S204" s="558"/>
      <c r="T204" s="559"/>
      <c r="U204" s="34"/>
      <c r="V204" s="34"/>
      <c r="W204" s="35" t="s">
        <v>69</v>
      </c>
      <c r="X204" s="545">
        <v>301</v>
      </c>
      <c r="Y204" s="546">
        <f t="shared" si="10"/>
        <v>302.40000000000003</v>
      </c>
      <c r="Z204" s="36">
        <f>IFERROR(IF(Y204=0,"",ROUNDUP(Y204/H204,0)*0.00902),"")</f>
        <v>0.50512000000000001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311.59074074074073</v>
      </c>
      <c r="BN204" s="64">
        <f t="shared" si="12"/>
        <v>313.04000000000002</v>
      </c>
      <c r="BO204" s="64">
        <f t="shared" si="13"/>
        <v>0.4222783389450056</v>
      </c>
      <c r="BP204" s="64">
        <f t="shared" si="14"/>
        <v>0.42424242424242425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61">
        <v>4680115884014</v>
      </c>
      <c r="E205" s="562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/>
      <c r="M205" s="33" t="s">
        <v>68</v>
      </c>
      <c r="N205" s="33"/>
      <c r="O205" s="32">
        <v>40</v>
      </c>
      <c r="P205" s="78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45">
        <v>8</v>
      </c>
      <c r="Y205" s="546">
        <f t="shared" si="10"/>
        <v>9</v>
      </c>
      <c r="Z205" s="36">
        <f>IFERROR(IF(Y205=0,"",ROUNDUP(Y205/H205,0)*0.00502),"")</f>
        <v>2.5100000000000001E-2</v>
      </c>
      <c r="AA205" s="56"/>
      <c r="AB205" s="57"/>
      <c r="AC205" s="247" t="s">
        <v>334</v>
      </c>
      <c r="AG205" s="64"/>
      <c r="AJ205" s="68"/>
      <c r="AK205" s="68">
        <v>0</v>
      </c>
      <c r="BB205" s="248" t="s">
        <v>1</v>
      </c>
      <c r="BM205" s="64">
        <f t="shared" si="11"/>
        <v>8.5777777777777775</v>
      </c>
      <c r="BN205" s="64">
        <f t="shared" si="12"/>
        <v>9.65</v>
      </c>
      <c r="BO205" s="64">
        <f t="shared" si="13"/>
        <v>1.8993352326685663E-2</v>
      </c>
      <c r="BP205" s="64">
        <f t="shared" si="14"/>
        <v>2.1367521367521368E-2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61">
        <v>4680115884007</v>
      </c>
      <c r="E206" s="562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/>
      <c r="M206" s="33" t="s">
        <v>68</v>
      </c>
      <c r="N206" s="33"/>
      <c r="O206" s="32">
        <v>40</v>
      </c>
      <c r="P206" s="69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45">
        <v>11</v>
      </c>
      <c r="Y206" s="546">
        <f t="shared" si="10"/>
        <v>12.6</v>
      </c>
      <c r="Z206" s="36">
        <f>IFERROR(IF(Y206=0,"",ROUNDUP(Y206/H206,0)*0.00502),"")</f>
        <v>3.5140000000000005E-2</v>
      </c>
      <c r="AA206" s="56"/>
      <c r="AB206" s="57"/>
      <c r="AC206" s="249" t="s">
        <v>337</v>
      </c>
      <c r="AG206" s="64"/>
      <c r="AJ206" s="68"/>
      <c r="AK206" s="68">
        <v>0</v>
      </c>
      <c r="BB206" s="250" t="s">
        <v>1</v>
      </c>
      <c r="BM206" s="64">
        <f t="shared" si="11"/>
        <v>11.611111111111111</v>
      </c>
      <c r="BN206" s="64">
        <f t="shared" si="12"/>
        <v>13.299999999999999</v>
      </c>
      <c r="BO206" s="64">
        <f t="shared" si="13"/>
        <v>2.6115859449192782E-2</v>
      </c>
      <c r="BP206" s="64">
        <f t="shared" si="14"/>
        <v>2.9914529914529919E-2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61">
        <v>4680115884038</v>
      </c>
      <c r="E207" s="562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6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61">
        <v>4680115884021</v>
      </c>
      <c r="E208" s="562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75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45">
        <v>2</v>
      </c>
      <c r="Y208" s="546">
        <f t="shared" si="10"/>
        <v>3.6</v>
      </c>
      <c r="Z208" s="36">
        <f>IFERROR(IF(Y208=0,"",ROUNDUP(Y208/H208,0)*0.00502),"")</f>
        <v>1.004E-2</v>
      </c>
      <c r="AA208" s="56"/>
      <c r="AB208" s="57"/>
      <c r="AC208" s="253" t="s">
        <v>343</v>
      </c>
      <c r="AG208" s="64"/>
      <c r="AJ208" s="68"/>
      <c r="AK208" s="68">
        <v>0</v>
      </c>
      <c r="BB208" s="254" t="s">
        <v>1</v>
      </c>
      <c r="BM208" s="64">
        <f t="shared" si="11"/>
        <v>2.1111111111111112</v>
      </c>
      <c r="BN208" s="64">
        <f t="shared" si="12"/>
        <v>3.8</v>
      </c>
      <c r="BO208" s="64">
        <f t="shared" si="13"/>
        <v>4.7483380816714157E-3</v>
      </c>
      <c r="BP208" s="64">
        <f t="shared" si="14"/>
        <v>8.5470085470085479E-3</v>
      </c>
    </row>
    <row r="209" spans="1:68" x14ac:dyDescent="0.2">
      <c r="A209" s="577"/>
      <c r="B209" s="556"/>
      <c r="C209" s="556"/>
      <c r="D209" s="556"/>
      <c r="E209" s="556"/>
      <c r="F209" s="556"/>
      <c r="G209" s="556"/>
      <c r="H209" s="556"/>
      <c r="I209" s="556"/>
      <c r="J209" s="556"/>
      <c r="K209" s="556"/>
      <c r="L209" s="556"/>
      <c r="M209" s="556"/>
      <c r="N209" s="556"/>
      <c r="O209" s="578"/>
      <c r="P209" s="552" t="s">
        <v>75</v>
      </c>
      <c r="Q209" s="553"/>
      <c r="R209" s="553"/>
      <c r="S209" s="553"/>
      <c r="T209" s="553"/>
      <c r="U209" s="553"/>
      <c r="V209" s="554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137.96296296296296</v>
      </c>
      <c r="Y209" s="547">
        <f>IFERROR(Y201/H201,"0")+IFERROR(Y202/H202,"0")+IFERROR(Y203/H203,"0")+IFERROR(Y204/H204,"0")+IFERROR(Y205/H205,"0")+IFERROR(Y206/H206,"0")+IFERROR(Y207/H207,"0")+IFERROR(Y208/H208,"0")</f>
        <v>141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1.2158199999999999</v>
      </c>
      <c r="AA209" s="548"/>
      <c r="AB209" s="548"/>
      <c r="AC209" s="548"/>
    </row>
    <row r="210" spans="1:68" x14ac:dyDescent="0.2">
      <c r="A210" s="556"/>
      <c r="B210" s="556"/>
      <c r="C210" s="556"/>
      <c r="D210" s="556"/>
      <c r="E210" s="556"/>
      <c r="F210" s="556"/>
      <c r="G210" s="556"/>
      <c r="H210" s="556"/>
      <c r="I210" s="556"/>
      <c r="J210" s="556"/>
      <c r="K210" s="556"/>
      <c r="L210" s="556"/>
      <c r="M210" s="556"/>
      <c r="N210" s="556"/>
      <c r="O210" s="578"/>
      <c r="P210" s="552" t="s">
        <v>75</v>
      </c>
      <c r="Q210" s="553"/>
      <c r="R210" s="553"/>
      <c r="S210" s="553"/>
      <c r="T210" s="553"/>
      <c r="U210" s="553"/>
      <c r="V210" s="554"/>
      <c r="W210" s="37" t="s">
        <v>69</v>
      </c>
      <c r="X210" s="547">
        <f>IFERROR(SUM(X201:X208),"0")</f>
        <v>703</v>
      </c>
      <c r="Y210" s="547">
        <f>IFERROR(SUM(Y201:Y208),"0")</f>
        <v>711</v>
      </c>
      <c r="Z210" s="37"/>
      <c r="AA210" s="548"/>
      <c r="AB210" s="548"/>
      <c r="AC210" s="548"/>
    </row>
    <row r="211" spans="1:68" ht="14.25" customHeight="1" x14ac:dyDescent="0.25">
      <c r="A211" s="560" t="s">
        <v>77</v>
      </c>
      <c r="B211" s="556"/>
      <c r="C211" s="556"/>
      <c r="D211" s="556"/>
      <c r="E211" s="556"/>
      <c r="F211" s="556"/>
      <c r="G211" s="556"/>
      <c r="H211" s="556"/>
      <c r="I211" s="556"/>
      <c r="J211" s="556"/>
      <c r="K211" s="556"/>
      <c r="L211" s="556"/>
      <c r="M211" s="556"/>
      <c r="N211" s="556"/>
      <c r="O211" s="556"/>
      <c r="P211" s="556"/>
      <c r="Q211" s="556"/>
      <c r="R211" s="556"/>
      <c r="S211" s="556"/>
      <c r="T211" s="556"/>
      <c r="U211" s="556"/>
      <c r="V211" s="556"/>
      <c r="W211" s="556"/>
      <c r="X211" s="556"/>
      <c r="Y211" s="556"/>
      <c r="Z211" s="556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61">
        <v>4680115881594</v>
      </c>
      <c r="E212" s="562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45">
        <v>48</v>
      </c>
      <c r="Y212" s="546">
        <f t="shared" ref="Y212:Y220" si="15">IFERROR(IF(X212="",0,CEILING((X212/$H212),1)*$H212),"")</f>
        <v>48.599999999999994</v>
      </c>
      <c r="Z212" s="36">
        <f>IFERROR(IF(Y212=0,"",ROUNDUP(Y212/H212,0)*0.01898),"")</f>
        <v>0.11388000000000001</v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50.927407407407401</v>
      </c>
      <c r="BN212" s="64">
        <f t="shared" ref="BN212:BN220" si="17">IFERROR(Y212*I212/H212,"0")</f>
        <v>51.563999999999993</v>
      </c>
      <c r="BO212" s="64">
        <f t="shared" ref="BO212:BO220" si="18">IFERROR(1/J212*(X212/H212),"0")</f>
        <v>9.2592592592592601E-2</v>
      </c>
      <c r="BP212" s="64">
        <f t="shared" ref="BP212:BP220" si="19">IFERROR(1/J212*(Y212/H212),"0")</f>
        <v>9.375E-2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61">
        <v>4680115881617</v>
      </c>
      <c r="E213" s="562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8"/>
      <c r="R213" s="558"/>
      <c r="S213" s="558"/>
      <c r="T213" s="559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61">
        <v>4680115880573</v>
      </c>
      <c r="E214" s="562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/>
      <c r="M214" s="33" t="s">
        <v>80</v>
      </c>
      <c r="N214" s="33"/>
      <c r="O214" s="32">
        <v>45</v>
      </c>
      <c r="P214" s="6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8"/>
      <c r="R214" s="558"/>
      <c r="S214" s="558"/>
      <c r="T214" s="559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/>
      <c r="AK214" s="68">
        <v>0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61">
        <v>4680115882195</v>
      </c>
      <c r="E215" s="562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230</v>
      </c>
      <c r="M215" s="33" t="s">
        <v>80</v>
      </c>
      <c r="N215" s="33"/>
      <c r="O215" s="32">
        <v>40</v>
      </c>
      <c r="P215" s="8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8"/>
      <c r="R215" s="558"/>
      <c r="S215" s="558"/>
      <c r="T215" s="559"/>
      <c r="U215" s="34"/>
      <c r="V215" s="34"/>
      <c r="W215" s="35" t="s">
        <v>69</v>
      </c>
      <c r="X215" s="545">
        <v>46</v>
      </c>
      <c r="Y215" s="546">
        <f t="shared" si="15"/>
        <v>48</v>
      </c>
      <c r="Z215" s="36">
        <f t="shared" ref="Z215:Z220" si="20">IFERROR(IF(Y215=0,"",ROUNDUP(Y215/H215,0)*0.00651),"")</f>
        <v>0.13020000000000001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51.174999999999997</v>
      </c>
      <c r="BN215" s="64">
        <f t="shared" si="17"/>
        <v>53.4</v>
      </c>
      <c r="BO215" s="64">
        <f t="shared" si="18"/>
        <v>0.10531135531135533</v>
      </c>
      <c r="BP215" s="64">
        <f t="shared" si="19"/>
        <v>0.1098901098901099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61">
        <v>4680115882607</v>
      </c>
      <c r="E216" s="562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61">
        <v>4680115880092</v>
      </c>
      <c r="E217" s="562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230</v>
      </c>
      <c r="M217" s="33" t="s">
        <v>80</v>
      </c>
      <c r="N217" s="33"/>
      <c r="O217" s="32">
        <v>45</v>
      </c>
      <c r="P217" s="6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8"/>
      <c r="R217" s="558"/>
      <c r="S217" s="558"/>
      <c r="T217" s="559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61">
        <v>4680115880221</v>
      </c>
      <c r="E218" s="562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230</v>
      </c>
      <c r="M218" s="33" t="s">
        <v>80</v>
      </c>
      <c r="N218" s="33"/>
      <c r="O218" s="32">
        <v>45</v>
      </c>
      <c r="P218" s="55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61">
        <v>4680115880504</v>
      </c>
      <c r="E219" s="562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230</v>
      </c>
      <c r="M219" s="33" t="s">
        <v>87</v>
      </c>
      <c r="N219" s="33"/>
      <c r="O219" s="32">
        <v>40</v>
      </c>
      <c r="P219" s="75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8"/>
      <c r="R219" s="558"/>
      <c r="S219" s="558"/>
      <c r="T219" s="559"/>
      <c r="U219" s="34"/>
      <c r="V219" s="34"/>
      <c r="W219" s="35" t="s">
        <v>69</v>
      </c>
      <c r="X219" s="545">
        <v>45</v>
      </c>
      <c r="Y219" s="546">
        <f t="shared" si="15"/>
        <v>45.6</v>
      </c>
      <c r="Z219" s="36">
        <f t="shared" si="20"/>
        <v>0.12369000000000001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49.725000000000001</v>
      </c>
      <c r="BN219" s="64">
        <f t="shared" si="17"/>
        <v>50.388000000000005</v>
      </c>
      <c r="BO219" s="64">
        <f t="shared" si="18"/>
        <v>0.10302197802197803</v>
      </c>
      <c r="BP219" s="64">
        <f t="shared" si="19"/>
        <v>0.1043956043956044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61">
        <v>4680115882164</v>
      </c>
      <c r="E220" s="562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230</v>
      </c>
      <c r="M220" s="33" t="s">
        <v>80</v>
      </c>
      <c r="N220" s="33"/>
      <c r="O220" s="32">
        <v>40</v>
      </c>
      <c r="P220" s="8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45">
        <v>52</v>
      </c>
      <c r="Y220" s="546">
        <f t="shared" si="15"/>
        <v>52.8</v>
      </c>
      <c r="Z220" s="36">
        <f t="shared" si="20"/>
        <v>0.14322000000000001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57.59</v>
      </c>
      <c r="BN220" s="64">
        <f t="shared" si="17"/>
        <v>58.475999999999999</v>
      </c>
      <c r="BO220" s="64">
        <f t="shared" si="18"/>
        <v>0.11904761904761907</v>
      </c>
      <c r="BP220" s="64">
        <f t="shared" si="19"/>
        <v>0.12087912087912089</v>
      </c>
    </row>
    <row r="221" spans="1:68" x14ac:dyDescent="0.2">
      <c r="A221" s="577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78"/>
      <c r="P221" s="552" t="s">
        <v>75</v>
      </c>
      <c r="Q221" s="553"/>
      <c r="R221" s="553"/>
      <c r="S221" s="553"/>
      <c r="T221" s="553"/>
      <c r="U221" s="553"/>
      <c r="V221" s="554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65.509259259259267</v>
      </c>
      <c r="Y221" s="547">
        <f>IFERROR(Y212/H212,"0")+IFERROR(Y213/H213,"0")+IFERROR(Y214/H214,"0")+IFERROR(Y215/H215,"0")+IFERROR(Y216/H216,"0")+IFERROR(Y217/H217,"0")+IFERROR(Y218/H218,"0")+IFERROR(Y219/H219,"0")+IFERROR(Y220/H220,"0")</f>
        <v>67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0.51099000000000006</v>
      </c>
      <c r="AA221" s="548"/>
      <c r="AB221" s="548"/>
      <c r="AC221" s="548"/>
    </row>
    <row r="222" spans="1:68" x14ac:dyDescent="0.2">
      <c r="A222" s="556"/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78"/>
      <c r="P222" s="552" t="s">
        <v>75</v>
      </c>
      <c r="Q222" s="553"/>
      <c r="R222" s="553"/>
      <c r="S222" s="553"/>
      <c r="T222" s="553"/>
      <c r="U222" s="553"/>
      <c r="V222" s="554"/>
      <c r="W222" s="37" t="s">
        <v>69</v>
      </c>
      <c r="X222" s="547">
        <f>IFERROR(SUM(X212:X220),"0")</f>
        <v>191</v>
      </c>
      <c r="Y222" s="547">
        <f>IFERROR(SUM(Y212:Y220),"0")</f>
        <v>195</v>
      </c>
      <c r="Z222" s="37"/>
      <c r="AA222" s="548"/>
      <c r="AB222" s="548"/>
      <c r="AC222" s="548"/>
    </row>
    <row r="223" spans="1:68" ht="14.25" customHeight="1" x14ac:dyDescent="0.25">
      <c r="A223" s="560" t="s">
        <v>165</v>
      </c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61">
        <v>4680115880818</v>
      </c>
      <c r="E224" s="562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2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61">
        <v>4680115880801</v>
      </c>
      <c r="E225" s="562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6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8"/>
      <c r="R225" s="558"/>
      <c r="S225" s="558"/>
      <c r="T225" s="559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77"/>
      <c r="B226" s="556"/>
      <c r="C226" s="556"/>
      <c r="D226" s="556"/>
      <c r="E226" s="556"/>
      <c r="F226" s="556"/>
      <c r="G226" s="556"/>
      <c r="H226" s="556"/>
      <c r="I226" s="556"/>
      <c r="J226" s="556"/>
      <c r="K226" s="556"/>
      <c r="L226" s="556"/>
      <c r="M226" s="556"/>
      <c r="N226" s="556"/>
      <c r="O226" s="578"/>
      <c r="P226" s="552" t="s">
        <v>75</v>
      </c>
      <c r="Q226" s="553"/>
      <c r="R226" s="553"/>
      <c r="S226" s="553"/>
      <c r="T226" s="553"/>
      <c r="U226" s="553"/>
      <c r="V226" s="554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x14ac:dyDescent="0.2">
      <c r="A227" s="556"/>
      <c r="B227" s="556"/>
      <c r="C227" s="556"/>
      <c r="D227" s="556"/>
      <c r="E227" s="556"/>
      <c r="F227" s="556"/>
      <c r="G227" s="556"/>
      <c r="H227" s="556"/>
      <c r="I227" s="556"/>
      <c r="J227" s="556"/>
      <c r="K227" s="556"/>
      <c r="L227" s="556"/>
      <c r="M227" s="556"/>
      <c r="N227" s="556"/>
      <c r="O227" s="578"/>
      <c r="P227" s="552" t="s">
        <v>75</v>
      </c>
      <c r="Q227" s="553"/>
      <c r="R227" s="553"/>
      <c r="S227" s="553"/>
      <c r="T227" s="553"/>
      <c r="U227" s="553"/>
      <c r="V227" s="554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customHeight="1" x14ac:dyDescent="0.25">
      <c r="A228" s="576" t="s">
        <v>380</v>
      </c>
      <c r="B228" s="556"/>
      <c r="C228" s="556"/>
      <c r="D228" s="556"/>
      <c r="E228" s="556"/>
      <c r="F228" s="556"/>
      <c r="G228" s="556"/>
      <c r="H228" s="556"/>
      <c r="I228" s="556"/>
      <c r="J228" s="556"/>
      <c r="K228" s="556"/>
      <c r="L228" s="556"/>
      <c r="M228" s="556"/>
      <c r="N228" s="556"/>
      <c r="O228" s="556"/>
      <c r="P228" s="556"/>
      <c r="Q228" s="556"/>
      <c r="R228" s="556"/>
      <c r="S228" s="556"/>
      <c r="T228" s="556"/>
      <c r="U228" s="556"/>
      <c r="V228" s="556"/>
      <c r="W228" s="556"/>
      <c r="X228" s="556"/>
      <c r="Y228" s="556"/>
      <c r="Z228" s="556"/>
      <c r="AA228" s="540"/>
      <c r="AB228" s="540"/>
      <c r="AC228" s="540"/>
    </row>
    <row r="229" spans="1:68" ht="14.25" customHeight="1" x14ac:dyDescent="0.25">
      <c r="A229" s="560" t="s">
        <v>102</v>
      </c>
      <c r="B229" s="556"/>
      <c r="C229" s="556"/>
      <c r="D229" s="556"/>
      <c r="E229" s="556"/>
      <c r="F229" s="556"/>
      <c r="G229" s="556"/>
      <c r="H229" s="556"/>
      <c r="I229" s="556"/>
      <c r="J229" s="556"/>
      <c r="K229" s="556"/>
      <c r="L229" s="556"/>
      <c r="M229" s="556"/>
      <c r="N229" s="556"/>
      <c r="O229" s="556"/>
      <c r="P229" s="556"/>
      <c r="Q229" s="556"/>
      <c r="R229" s="556"/>
      <c r="S229" s="556"/>
      <c r="T229" s="556"/>
      <c r="U229" s="556"/>
      <c r="V229" s="556"/>
      <c r="W229" s="556"/>
      <c r="X229" s="556"/>
      <c r="Y229" s="556"/>
      <c r="Z229" s="556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61">
        <v>4680115884137</v>
      </c>
      <c r="E230" s="562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/>
      <c r="M230" s="33" t="s">
        <v>107</v>
      </c>
      <c r="N230" s="33"/>
      <c r="O230" s="32">
        <v>55</v>
      </c>
      <c r="P230" s="8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8"/>
      <c r="R230" s="558"/>
      <c r="S230" s="558"/>
      <c r="T230" s="559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61">
        <v>4680115884236</v>
      </c>
      <c r="E231" s="562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8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8"/>
      <c r="R231" s="558"/>
      <c r="S231" s="558"/>
      <c r="T231" s="559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61">
        <v>4680115884175</v>
      </c>
      <c r="E232" s="562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6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8"/>
      <c r="R232" s="558"/>
      <c r="S232" s="558"/>
      <c r="T232" s="559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4301012196</v>
      </c>
      <c r="D233" s="561">
        <v>4680115884144</v>
      </c>
      <c r="E233" s="562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69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3" s="558"/>
      <c r="R233" s="558"/>
      <c r="S233" s="558"/>
      <c r="T233" s="559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4301011824</v>
      </c>
      <c r="D234" s="561">
        <v>4680115884144</v>
      </c>
      <c r="E234" s="562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83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61">
        <v>4680115886551</v>
      </c>
      <c r="E235" s="562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69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61">
        <v>4680115887282</v>
      </c>
      <c r="E236" s="562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82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4301012195</v>
      </c>
      <c r="D237" s="561">
        <v>4680115884205</v>
      </c>
      <c r="E237" s="562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8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4301011722</v>
      </c>
      <c r="D238" s="561">
        <v>4680115884205</v>
      </c>
      <c r="E238" s="562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77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78"/>
      <c r="P239" s="552" t="s">
        <v>75</v>
      </c>
      <c r="Q239" s="553"/>
      <c r="R239" s="553"/>
      <c r="S239" s="553"/>
      <c r="T239" s="553"/>
      <c r="U239" s="553"/>
      <c r="V239" s="554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x14ac:dyDescent="0.2">
      <c r="A240" s="556"/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78"/>
      <c r="P240" s="552" t="s">
        <v>75</v>
      </c>
      <c r="Q240" s="553"/>
      <c r="R240" s="553"/>
      <c r="S240" s="553"/>
      <c r="T240" s="553"/>
      <c r="U240" s="553"/>
      <c r="V240" s="554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customHeight="1" x14ac:dyDescent="0.25">
      <c r="A241" s="560" t="s">
        <v>137</v>
      </c>
      <c r="B241" s="556"/>
      <c r="C241" s="556"/>
      <c r="D241" s="556"/>
      <c r="E241" s="556"/>
      <c r="F241" s="556"/>
      <c r="G241" s="556"/>
      <c r="H241" s="556"/>
      <c r="I241" s="556"/>
      <c r="J241" s="556"/>
      <c r="K241" s="556"/>
      <c r="L241" s="556"/>
      <c r="M241" s="556"/>
      <c r="N241" s="556"/>
      <c r="O241" s="556"/>
      <c r="P241" s="556"/>
      <c r="Q241" s="556"/>
      <c r="R241" s="556"/>
      <c r="S241" s="556"/>
      <c r="T241" s="556"/>
      <c r="U241" s="556"/>
      <c r="V241" s="556"/>
      <c r="W241" s="556"/>
      <c r="X241" s="556"/>
      <c r="Y241" s="556"/>
      <c r="Z241" s="556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61">
        <v>4680115885981</v>
      </c>
      <c r="E242" s="562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8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77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78"/>
      <c r="P243" s="552" t="s">
        <v>75</v>
      </c>
      <c r="Q243" s="553"/>
      <c r="R243" s="553"/>
      <c r="S243" s="553"/>
      <c r="T243" s="553"/>
      <c r="U243" s="553"/>
      <c r="V243" s="554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6"/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78"/>
      <c r="P244" s="552" t="s">
        <v>75</v>
      </c>
      <c r="Q244" s="553"/>
      <c r="R244" s="553"/>
      <c r="S244" s="553"/>
      <c r="T244" s="553"/>
      <c r="U244" s="553"/>
      <c r="V244" s="554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60" t="s">
        <v>404</v>
      </c>
      <c r="B245" s="556"/>
      <c r="C245" s="556"/>
      <c r="D245" s="556"/>
      <c r="E245" s="556"/>
      <c r="F245" s="556"/>
      <c r="G245" s="556"/>
      <c r="H245" s="556"/>
      <c r="I245" s="556"/>
      <c r="J245" s="556"/>
      <c r="K245" s="556"/>
      <c r="L245" s="556"/>
      <c r="M245" s="556"/>
      <c r="N245" s="556"/>
      <c r="O245" s="556"/>
      <c r="P245" s="556"/>
      <c r="Q245" s="556"/>
      <c r="R245" s="556"/>
      <c r="S245" s="556"/>
      <c r="T245" s="556"/>
      <c r="U245" s="556"/>
      <c r="V245" s="556"/>
      <c r="W245" s="556"/>
      <c r="X245" s="556"/>
      <c r="Y245" s="556"/>
      <c r="Z245" s="556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61">
        <v>4680115886803</v>
      </c>
      <c r="E246" s="562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7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45">
        <v>2</v>
      </c>
      <c r="Y246" s="546">
        <f>IFERROR(IF(X246="",0,CEILING((X246/$H246),1)*$H246),"")</f>
        <v>3.6</v>
      </c>
      <c r="Z246" s="36">
        <f>IFERROR(IF(Y246=0,"",ROUNDUP(Y246/H246,0)*0.0059),"")</f>
        <v>1.18E-2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2.1944444444444446</v>
      </c>
      <c r="BN246" s="64">
        <f>IFERROR(Y246*I246/H246,"0")</f>
        <v>3.95</v>
      </c>
      <c r="BO246" s="64">
        <f>IFERROR(1/J246*(X246/H246),"0")</f>
        <v>5.1440329218106996E-3</v>
      </c>
      <c r="BP246" s="64">
        <f>IFERROR(1/J246*(Y246/H246),"0")</f>
        <v>9.2592592592592587E-3</v>
      </c>
    </row>
    <row r="247" spans="1:68" x14ac:dyDescent="0.2">
      <c r="A247" s="577"/>
      <c r="B247" s="556"/>
      <c r="C247" s="556"/>
      <c r="D247" s="556"/>
      <c r="E247" s="556"/>
      <c r="F247" s="556"/>
      <c r="G247" s="556"/>
      <c r="H247" s="556"/>
      <c r="I247" s="556"/>
      <c r="J247" s="556"/>
      <c r="K247" s="556"/>
      <c r="L247" s="556"/>
      <c r="M247" s="556"/>
      <c r="N247" s="556"/>
      <c r="O247" s="578"/>
      <c r="P247" s="552" t="s">
        <v>75</v>
      </c>
      <c r="Q247" s="553"/>
      <c r="R247" s="553"/>
      <c r="S247" s="553"/>
      <c r="T247" s="553"/>
      <c r="U247" s="553"/>
      <c r="V247" s="554"/>
      <c r="W247" s="37" t="s">
        <v>76</v>
      </c>
      <c r="X247" s="547">
        <f>IFERROR(X246/H246,"0")</f>
        <v>1.1111111111111112</v>
      </c>
      <c r="Y247" s="547">
        <f>IFERROR(Y246/H246,"0")</f>
        <v>2</v>
      </c>
      <c r="Z247" s="547">
        <f>IFERROR(IF(Z246="",0,Z246),"0")</f>
        <v>1.18E-2</v>
      </c>
      <c r="AA247" s="548"/>
      <c r="AB247" s="548"/>
      <c r="AC247" s="548"/>
    </row>
    <row r="248" spans="1:68" x14ac:dyDescent="0.2">
      <c r="A248" s="556"/>
      <c r="B248" s="556"/>
      <c r="C248" s="556"/>
      <c r="D248" s="556"/>
      <c r="E248" s="556"/>
      <c r="F248" s="556"/>
      <c r="G248" s="556"/>
      <c r="H248" s="556"/>
      <c r="I248" s="556"/>
      <c r="J248" s="556"/>
      <c r="K248" s="556"/>
      <c r="L248" s="556"/>
      <c r="M248" s="556"/>
      <c r="N248" s="556"/>
      <c r="O248" s="578"/>
      <c r="P248" s="552" t="s">
        <v>75</v>
      </c>
      <c r="Q248" s="553"/>
      <c r="R248" s="553"/>
      <c r="S248" s="553"/>
      <c r="T248" s="553"/>
      <c r="U248" s="553"/>
      <c r="V248" s="554"/>
      <c r="W248" s="37" t="s">
        <v>69</v>
      </c>
      <c r="X248" s="547">
        <f>IFERROR(SUM(X246:X246),"0")</f>
        <v>2</v>
      </c>
      <c r="Y248" s="547">
        <f>IFERROR(SUM(Y246:Y246),"0")</f>
        <v>3.6</v>
      </c>
      <c r="Z248" s="37"/>
      <c r="AA248" s="548"/>
      <c r="AB248" s="548"/>
      <c r="AC248" s="548"/>
    </row>
    <row r="249" spans="1:68" ht="14.25" customHeight="1" x14ac:dyDescent="0.25">
      <c r="A249" s="560" t="s">
        <v>408</v>
      </c>
      <c r="B249" s="556"/>
      <c r="C249" s="556"/>
      <c r="D249" s="556"/>
      <c r="E249" s="556"/>
      <c r="F249" s="556"/>
      <c r="G249" s="556"/>
      <c r="H249" s="556"/>
      <c r="I249" s="556"/>
      <c r="J249" s="556"/>
      <c r="K249" s="556"/>
      <c r="L249" s="556"/>
      <c r="M249" s="556"/>
      <c r="N249" s="556"/>
      <c r="O249" s="556"/>
      <c r="P249" s="556"/>
      <c r="Q249" s="556"/>
      <c r="R249" s="556"/>
      <c r="S249" s="556"/>
      <c r="T249" s="556"/>
      <c r="U249" s="556"/>
      <c r="V249" s="556"/>
      <c r="W249" s="556"/>
      <c r="X249" s="556"/>
      <c r="Y249" s="556"/>
      <c r="Z249" s="556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61">
        <v>4680115886704</v>
      </c>
      <c r="E250" s="562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7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61">
        <v>4680115886681</v>
      </c>
      <c r="E251" s="562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6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8"/>
      <c r="R251" s="558"/>
      <c r="S251" s="558"/>
      <c r="T251" s="559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61">
        <v>4680115886735</v>
      </c>
      <c r="E252" s="562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8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8"/>
      <c r="R252" s="558"/>
      <c r="S252" s="558"/>
      <c r="T252" s="559"/>
      <c r="U252" s="34"/>
      <c r="V252" s="34"/>
      <c r="W252" s="35" t="s">
        <v>69</v>
      </c>
      <c r="X252" s="545">
        <v>1</v>
      </c>
      <c r="Y252" s="546">
        <f>IFERROR(IF(X252="",0,CEILING((X252/$H252),1)*$H252),"")</f>
        <v>1.8</v>
      </c>
      <c r="Z252" s="36">
        <f>IFERROR(IF(Y252=0,"",ROUNDUP(Y252/H252,0)*0.0059),"")</f>
        <v>1.18E-2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1.2111111111111112</v>
      </c>
      <c r="BN252" s="64">
        <f>IFERROR(Y252*I252/H252,"0")</f>
        <v>2.1800000000000002</v>
      </c>
      <c r="BO252" s="64">
        <f>IFERROR(1/J252*(X252/H252),"0")</f>
        <v>5.1440329218106996E-3</v>
      </c>
      <c r="BP252" s="64">
        <f>IFERROR(1/J252*(Y252/H252),"0")</f>
        <v>9.2592592592592587E-3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61">
        <v>4680115886728</v>
      </c>
      <c r="E253" s="562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61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8"/>
      <c r="R253" s="558"/>
      <c r="S253" s="558"/>
      <c r="T253" s="559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61">
        <v>4680115886711</v>
      </c>
      <c r="E254" s="562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77"/>
      <c r="B255" s="556"/>
      <c r="C255" s="556"/>
      <c r="D255" s="556"/>
      <c r="E255" s="556"/>
      <c r="F255" s="556"/>
      <c r="G255" s="556"/>
      <c r="H255" s="556"/>
      <c r="I255" s="556"/>
      <c r="J255" s="556"/>
      <c r="K255" s="556"/>
      <c r="L255" s="556"/>
      <c r="M255" s="556"/>
      <c r="N255" s="556"/>
      <c r="O255" s="578"/>
      <c r="P255" s="552" t="s">
        <v>75</v>
      </c>
      <c r="Q255" s="553"/>
      <c r="R255" s="553"/>
      <c r="S255" s="553"/>
      <c r="T255" s="553"/>
      <c r="U255" s="553"/>
      <c r="V255" s="554"/>
      <c r="W255" s="37" t="s">
        <v>76</v>
      </c>
      <c r="X255" s="547">
        <f>IFERROR(X250/H250,"0")+IFERROR(X251/H251,"0")+IFERROR(X252/H252,"0")+IFERROR(X253/H253,"0")+IFERROR(X254/H254,"0")</f>
        <v>1.1111111111111112</v>
      </c>
      <c r="Y255" s="547">
        <f>IFERROR(Y250/H250,"0")+IFERROR(Y251/H251,"0")+IFERROR(Y252/H252,"0")+IFERROR(Y253/H253,"0")+IFERROR(Y254/H254,"0")</f>
        <v>2</v>
      </c>
      <c r="Z255" s="547">
        <f>IFERROR(IF(Z250="",0,Z250),"0")+IFERROR(IF(Z251="",0,Z251),"0")+IFERROR(IF(Z252="",0,Z252),"0")+IFERROR(IF(Z253="",0,Z253),"0")+IFERROR(IF(Z254="",0,Z254),"0")</f>
        <v>1.18E-2</v>
      </c>
      <c r="AA255" s="548"/>
      <c r="AB255" s="548"/>
      <c r="AC255" s="548"/>
    </row>
    <row r="256" spans="1:68" x14ac:dyDescent="0.2">
      <c r="A256" s="556"/>
      <c r="B256" s="556"/>
      <c r="C256" s="556"/>
      <c r="D256" s="556"/>
      <c r="E256" s="556"/>
      <c r="F256" s="556"/>
      <c r="G256" s="556"/>
      <c r="H256" s="556"/>
      <c r="I256" s="556"/>
      <c r="J256" s="556"/>
      <c r="K256" s="556"/>
      <c r="L256" s="556"/>
      <c r="M256" s="556"/>
      <c r="N256" s="556"/>
      <c r="O256" s="578"/>
      <c r="P256" s="552" t="s">
        <v>75</v>
      </c>
      <c r="Q256" s="553"/>
      <c r="R256" s="553"/>
      <c r="S256" s="553"/>
      <c r="T256" s="553"/>
      <c r="U256" s="553"/>
      <c r="V256" s="554"/>
      <c r="W256" s="37" t="s">
        <v>69</v>
      </c>
      <c r="X256" s="547">
        <f>IFERROR(SUM(X250:X254),"0")</f>
        <v>1</v>
      </c>
      <c r="Y256" s="547">
        <f>IFERROR(SUM(Y250:Y254),"0")</f>
        <v>1.8</v>
      </c>
      <c r="Z256" s="37"/>
      <c r="AA256" s="548"/>
      <c r="AB256" s="548"/>
      <c r="AC256" s="548"/>
    </row>
    <row r="257" spans="1:68" ht="16.5" customHeight="1" x14ac:dyDescent="0.25">
      <c r="A257" s="576" t="s">
        <v>420</v>
      </c>
      <c r="B257" s="556"/>
      <c r="C257" s="556"/>
      <c r="D257" s="556"/>
      <c r="E257" s="556"/>
      <c r="F257" s="556"/>
      <c r="G257" s="556"/>
      <c r="H257" s="556"/>
      <c r="I257" s="556"/>
      <c r="J257" s="556"/>
      <c r="K257" s="556"/>
      <c r="L257" s="556"/>
      <c r="M257" s="556"/>
      <c r="N257" s="556"/>
      <c r="O257" s="556"/>
      <c r="P257" s="556"/>
      <c r="Q257" s="556"/>
      <c r="R257" s="556"/>
      <c r="S257" s="556"/>
      <c r="T257" s="556"/>
      <c r="U257" s="556"/>
      <c r="V257" s="556"/>
      <c r="W257" s="556"/>
      <c r="X257" s="556"/>
      <c r="Y257" s="556"/>
      <c r="Z257" s="556"/>
      <c r="AA257" s="540"/>
      <c r="AB257" s="540"/>
      <c r="AC257" s="540"/>
    </row>
    <row r="258" spans="1:68" ht="14.25" customHeight="1" x14ac:dyDescent="0.25">
      <c r="A258" s="560" t="s">
        <v>102</v>
      </c>
      <c r="B258" s="556"/>
      <c r="C258" s="556"/>
      <c r="D258" s="556"/>
      <c r="E258" s="556"/>
      <c r="F258" s="556"/>
      <c r="G258" s="556"/>
      <c r="H258" s="556"/>
      <c r="I258" s="556"/>
      <c r="J258" s="556"/>
      <c r="K258" s="556"/>
      <c r="L258" s="556"/>
      <c r="M258" s="556"/>
      <c r="N258" s="556"/>
      <c r="O258" s="556"/>
      <c r="P258" s="556"/>
      <c r="Q258" s="556"/>
      <c r="R258" s="556"/>
      <c r="S258" s="556"/>
      <c r="T258" s="556"/>
      <c r="U258" s="556"/>
      <c r="V258" s="556"/>
      <c r="W258" s="556"/>
      <c r="X258" s="556"/>
      <c r="Y258" s="556"/>
      <c r="Z258" s="556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61">
        <v>4680115885837</v>
      </c>
      <c r="E259" s="562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82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8"/>
      <c r="R259" s="558"/>
      <c r="S259" s="558"/>
      <c r="T259" s="559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61">
        <v>4680115885851</v>
      </c>
      <c r="E260" s="562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8"/>
      <c r="R260" s="558"/>
      <c r="S260" s="558"/>
      <c r="T260" s="559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61">
        <v>4680115885806</v>
      </c>
      <c r="E261" s="562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0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8"/>
      <c r="R261" s="558"/>
      <c r="S261" s="558"/>
      <c r="T261" s="559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61">
        <v>4680115885844</v>
      </c>
      <c r="E262" s="562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5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8"/>
      <c r="R262" s="558"/>
      <c r="S262" s="558"/>
      <c r="T262" s="559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61">
        <v>4680115885820</v>
      </c>
      <c r="E263" s="562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59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77"/>
      <c r="B264" s="556"/>
      <c r="C264" s="556"/>
      <c r="D264" s="556"/>
      <c r="E264" s="556"/>
      <c r="F264" s="556"/>
      <c r="G264" s="556"/>
      <c r="H264" s="556"/>
      <c r="I264" s="556"/>
      <c r="J264" s="556"/>
      <c r="K264" s="556"/>
      <c r="L264" s="556"/>
      <c r="M264" s="556"/>
      <c r="N264" s="556"/>
      <c r="O264" s="578"/>
      <c r="P264" s="552" t="s">
        <v>75</v>
      </c>
      <c r="Q264" s="553"/>
      <c r="R264" s="553"/>
      <c r="S264" s="553"/>
      <c r="T264" s="553"/>
      <c r="U264" s="553"/>
      <c r="V264" s="554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6"/>
      <c r="B265" s="556"/>
      <c r="C265" s="556"/>
      <c r="D265" s="556"/>
      <c r="E265" s="556"/>
      <c r="F265" s="556"/>
      <c r="G265" s="556"/>
      <c r="H265" s="556"/>
      <c r="I265" s="556"/>
      <c r="J265" s="556"/>
      <c r="K265" s="556"/>
      <c r="L265" s="556"/>
      <c r="M265" s="556"/>
      <c r="N265" s="556"/>
      <c r="O265" s="578"/>
      <c r="P265" s="552" t="s">
        <v>75</v>
      </c>
      <c r="Q265" s="553"/>
      <c r="R265" s="553"/>
      <c r="S265" s="553"/>
      <c r="T265" s="553"/>
      <c r="U265" s="553"/>
      <c r="V265" s="554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76" t="s">
        <v>436</v>
      </c>
      <c r="B266" s="556"/>
      <c r="C266" s="556"/>
      <c r="D266" s="556"/>
      <c r="E266" s="556"/>
      <c r="F266" s="556"/>
      <c r="G266" s="556"/>
      <c r="H266" s="556"/>
      <c r="I266" s="556"/>
      <c r="J266" s="556"/>
      <c r="K266" s="556"/>
      <c r="L266" s="556"/>
      <c r="M266" s="556"/>
      <c r="N266" s="556"/>
      <c r="O266" s="556"/>
      <c r="P266" s="556"/>
      <c r="Q266" s="556"/>
      <c r="R266" s="556"/>
      <c r="S266" s="556"/>
      <c r="T266" s="556"/>
      <c r="U266" s="556"/>
      <c r="V266" s="556"/>
      <c r="W266" s="556"/>
      <c r="X266" s="556"/>
      <c r="Y266" s="556"/>
      <c r="Z266" s="556"/>
      <c r="AA266" s="540"/>
      <c r="AB266" s="540"/>
      <c r="AC266" s="540"/>
    </row>
    <row r="267" spans="1:68" ht="14.25" customHeight="1" x14ac:dyDescent="0.25">
      <c r="A267" s="560" t="s">
        <v>102</v>
      </c>
      <c r="B267" s="556"/>
      <c r="C267" s="556"/>
      <c r="D267" s="556"/>
      <c r="E267" s="556"/>
      <c r="F267" s="556"/>
      <c r="G267" s="556"/>
      <c r="H267" s="556"/>
      <c r="I267" s="556"/>
      <c r="J267" s="556"/>
      <c r="K267" s="556"/>
      <c r="L267" s="556"/>
      <c r="M267" s="556"/>
      <c r="N267" s="556"/>
      <c r="O267" s="556"/>
      <c r="P267" s="556"/>
      <c r="Q267" s="556"/>
      <c r="R267" s="556"/>
      <c r="S267" s="556"/>
      <c r="T267" s="556"/>
      <c r="U267" s="556"/>
      <c r="V267" s="556"/>
      <c r="W267" s="556"/>
      <c r="X267" s="556"/>
      <c r="Y267" s="556"/>
      <c r="Z267" s="556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61">
        <v>4607091383423</v>
      </c>
      <c r="E268" s="562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81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8"/>
      <c r="R268" s="558"/>
      <c r="S268" s="558"/>
      <c r="T268" s="559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61">
        <v>4680115886957</v>
      </c>
      <c r="E269" s="562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66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8"/>
      <c r="R269" s="558"/>
      <c r="S269" s="558"/>
      <c r="T269" s="559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61">
        <v>4680115885660</v>
      </c>
      <c r="E270" s="562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64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8"/>
      <c r="R270" s="558"/>
      <c r="S270" s="558"/>
      <c r="T270" s="559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61">
        <v>4680115886773</v>
      </c>
      <c r="E271" s="562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83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8"/>
      <c r="R271" s="558"/>
      <c r="S271" s="558"/>
      <c r="T271" s="559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77"/>
      <c r="B272" s="556"/>
      <c r="C272" s="556"/>
      <c r="D272" s="556"/>
      <c r="E272" s="556"/>
      <c r="F272" s="556"/>
      <c r="G272" s="556"/>
      <c r="H272" s="556"/>
      <c r="I272" s="556"/>
      <c r="J272" s="556"/>
      <c r="K272" s="556"/>
      <c r="L272" s="556"/>
      <c r="M272" s="556"/>
      <c r="N272" s="556"/>
      <c r="O272" s="578"/>
      <c r="P272" s="552" t="s">
        <v>75</v>
      </c>
      <c r="Q272" s="553"/>
      <c r="R272" s="553"/>
      <c r="S272" s="553"/>
      <c r="T272" s="553"/>
      <c r="U272" s="553"/>
      <c r="V272" s="554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6"/>
      <c r="B273" s="556"/>
      <c r="C273" s="556"/>
      <c r="D273" s="556"/>
      <c r="E273" s="556"/>
      <c r="F273" s="556"/>
      <c r="G273" s="556"/>
      <c r="H273" s="556"/>
      <c r="I273" s="556"/>
      <c r="J273" s="556"/>
      <c r="K273" s="556"/>
      <c r="L273" s="556"/>
      <c r="M273" s="556"/>
      <c r="N273" s="556"/>
      <c r="O273" s="578"/>
      <c r="P273" s="552" t="s">
        <v>75</v>
      </c>
      <c r="Q273" s="553"/>
      <c r="R273" s="553"/>
      <c r="S273" s="553"/>
      <c r="T273" s="553"/>
      <c r="U273" s="553"/>
      <c r="V273" s="554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76" t="s">
        <v>447</v>
      </c>
      <c r="B274" s="556"/>
      <c r="C274" s="556"/>
      <c r="D274" s="556"/>
      <c r="E274" s="556"/>
      <c r="F274" s="556"/>
      <c r="G274" s="556"/>
      <c r="H274" s="556"/>
      <c r="I274" s="556"/>
      <c r="J274" s="556"/>
      <c r="K274" s="556"/>
      <c r="L274" s="556"/>
      <c r="M274" s="556"/>
      <c r="N274" s="556"/>
      <c r="O274" s="556"/>
      <c r="P274" s="556"/>
      <c r="Q274" s="556"/>
      <c r="R274" s="556"/>
      <c r="S274" s="556"/>
      <c r="T274" s="556"/>
      <c r="U274" s="556"/>
      <c r="V274" s="556"/>
      <c r="W274" s="556"/>
      <c r="X274" s="556"/>
      <c r="Y274" s="556"/>
      <c r="Z274" s="556"/>
      <c r="AA274" s="540"/>
      <c r="AB274" s="540"/>
      <c r="AC274" s="540"/>
    </row>
    <row r="275" spans="1:68" ht="14.25" customHeight="1" x14ac:dyDescent="0.25">
      <c r="A275" s="560" t="s">
        <v>77</v>
      </c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6"/>
      <c r="P275" s="556"/>
      <c r="Q275" s="556"/>
      <c r="R275" s="556"/>
      <c r="S275" s="556"/>
      <c r="T275" s="556"/>
      <c r="U275" s="556"/>
      <c r="V275" s="556"/>
      <c r="W275" s="556"/>
      <c r="X275" s="556"/>
      <c r="Y275" s="556"/>
      <c r="Z275" s="556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61">
        <v>4680115886186</v>
      </c>
      <c r="E276" s="562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63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8"/>
      <c r="R276" s="558"/>
      <c r="S276" s="558"/>
      <c r="T276" s="559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61">
        <v>4680115881228</v>
      </c>
      <c r="E277" s="562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230</v>
      </c>
      <c r="M277" s="33" t="s">
        <v>87</v>
      </c>
      <c r="N277" s="33"/>
      <c r="O277" s="32">
        <v>40</v>
      </c>
      <c r="P277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8"/>
      <c r="R277" s="558"/>
      <c r="S277" s="558"/>
      <c r="T277" s="559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61">
        <v>4680115881211</v>
      </c>
      <c r="E278" s="562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230</v>
      </c>
      <c r="M278" s="33" t="s">
        <v>80</v>
      </c>
      <c r="N278" s="33"/>
      <c r="O278" s="32">
        <v>45</v>
      </c>
      <c r="P278" s="64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8"/>
      <c r="R278" s="558"/>
      <c r="S278" s="558"/>
      <c r="T278" s="559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77"/>
      <c r="B279" s="556"/>
      <c r="C279" s="556"/>
      <c r="D279" s="556"/>
      <c r="E279" s="556"/>
      <c r="F279" s="556"/>
      <c r="G279" s="556"/>
      <c r="H279" s="556"/>
      <c r="I279" s="556"/>
      <c r="J279" s="556"/>
      <c r="K279" s="556"/>
      <c r="L279" s="556"/>
      <c r="M279" s="556"/>
      <c r="N279" s="556"/>
      <c r="O279" s="578"/>
      <c r="P279" s="552" t="s">
        <v>75</v>
      </c>
      <c r="Q279" s="553"/>
      <c r="R279" s="553"/>
      <c r="S279" s="553"/>
      <c r="T279" s="553"/>
      <c r="U279" s="553"/>
      <c r="V279" s="554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x14ac:dyDescent="0.2">
      <c r="A280" s="556"/>
      <c r="B280" s="556"/>
      <c r="C280" s="556"/>
      <c r="D280" s="556"/>
      <c r="E280" s="556"/>
      <c r="F280" s="556"/>
      <c r="G280" s="556"/>
      <c r="H280" s="556"/>
      <c r="I280" s="556"/>
      <c r="J280" s="556"/>
      <c r="K280" s="556"/>
      <c r="L280" s="556"/>
      <c r="M280" s="556"/>
      <c r="N280" s="556"/>
      <c r="O280" s="578"/>
      <c r="P280" s="552" t="s">
        <v>75</v>
      </c>
      <c r="Q280" s="553"/>
      <c r="R280" s="553"/>
      <c r="S280" s="553"/>
      <c r="T280" s="553"/>
      <c r="U280" s="553"/>
      <c r="V280" s="554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customHeight="1" x14ac:dyDescent="0.25">
      <c r="A281" s="576" t="s">
        <v>456</v>
      </c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56"/>
      <c r="P281" s="556"/>
      <c r="Q281" s="556"/>
      <c r="R281" s="556"/>
      <c r="S281" s="556"/>
      <c r="T281" s="556"/>
      <c r="U281" s="556"/>
      <c r="V281" s="556"/>
      <c r="W281" s="556"/>
      <c r="X281" s="556"/>
      <c r="Y281" s="556"/>
      <c r="Z281" s="556"/>
      <c r="AA281" s="540"/>
      <c r="AB281" s="540"/>
      <c r="AC281" s="540"/>
    </row>
    <row r="282" spans="1:68" ht="14.25" customHeight="1" x14ac:dyDescent="0.25">
      <c r="A282" s="560" t="s">
        <v>64</v>
      </c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6"/>
      <c r="P282" s="556"/>
      <c r="Q282" s="556"/>
      <c r="R282" s="556"/>
      <c r="S282" s="556"/>
      <c r="T282" s="556"/>
      <c r="U282" s="556"/>
      <c r="V282" s="556"/>
      <c r="W282" s="556"/>
      <c r="X282" s="556"/>
      <c r="Y282" s="556"/>
      <c r="Z282" s="556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61">
        <v>4680115880344</v>
      </c>
      <c r="E283" s="562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8"/>
      <c r="R283" s="558"/>
      <c r="S283" s="558"/>
      <c r="T283" s="559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61">
        <v>4680115886919</v>
      </c>
      <c r="E284" s="562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80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8"/>
      <c r="R284" s="558"/>
      <c r="S284" s="558"/>
      <c r="T284" s="559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77"/>
      <c r="B285" s="556"/>
      <c r="C285" s="556"/>
      <c r="D285" s="556"/>
      <c r="E285" s="556"/>
      <c r="F285" s="556"/>
      <c r="G285" s="556"/>
      <c r="H285" s="556"/>
      <c r="I285" s="556"/>
      <c r="J285" s="556"/>
      <c r="K285" s="556"/>
      <c r="L285" s="556"/>
      <c r="M285" s="556"/>
      <c r="N285" s="556"/>
      <c r="O285" s="578"/>
      <c r="P285" s="552" t="s">
        <v>75</v>
      </c>
      <c r="Q285" s="553"/>
      <c r="R285" s="553"/>
      <c r="S285" s="553"/>
      <c r="T285" s="553"/>
      <c r="U285" s="553"/>
      <c r="V285" s="554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6"/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78"/>
      <c r="P286" s="552" t="s">
        <v>75</v>
      </c>
      <c r="Q286" s="553"/>
      <c r="R286" s="553"/>
      <c r="S286" s="553"/>
      <c r="T286" s="553"/>
      <c r="U286" s="553"/>
      <c r="V286" s="554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60" t="s">
        <v>77</v>
      </c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56"/>
      <c r="P287" s="556"/>
      <c r="Q287" s="556"/>
      <c r="R287" s="556"/>
      <c r="S287" s="556"/>
      <c r="T287" s="556"/>
      <c r="U287" s="556"/>
      <c r="V287" s="556"/>
      <c r="W287" s="556"/>
      <c r="X287" s="556"/>
      <c r="Y287" s="556"/>
      <c r="Z287" s="556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61">
        <v>4680115884618</v>
      </c>
      <c r="E288" s="562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59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61">
        <v>4680115887114</v>
      </c>
      <c r="E289" s="562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79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8"/>
      <c r="R289" s="558"/>
      <c r="S289" s="558"/>
      <c r="T289" s="559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77"/>
      <c r="B290" s="556"/>
      <c r="C290" s="556"/>
      <c r="D290" s="556"/>
      <c r="E290" s="556"/>
      <c r="F290" s="556"/>
      <c r="G290" s="556"/>
      <c r="H290" s="556"/>
      <c r="I290" s="556"/>
      <c r="J290" s="556"/>
      <c r="K290" s="556"/>
      <c r="L290" s="556"/>
      <c r="M290" s="556"/>
      <c r="N290" s="556"/>
      <c r="O290" s="578"/>
      <c r="P290" s="552" t="s">
        <v>75</v>
      </c>
      <c r="Q290" s="553"/>
      <c r="R290" s="553"/>
      <c r="S290" s="553"/>
      <c r="T290" s="553"/>
      <c r="U290" s="553"/>
      <c r="V290" s="554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6"/>
      <c r="B291" s="556"/>
      <c r="C291" s="556"/>
      <c r="D291" s="556"/>
      <c r="E291" s="556"/>
      <c r="F291" s="556"/>
      <c r="G291" s="556"/>
      <c r="H291" s="556"/>
      <c r="I291" s="556"/>
      <c r="J291" s="556"/>
      <c r="K291" s="556"/>
      <c r="L291" s="556"/>
      <c r="M291" s="556"/>
      <c r="N291" s="556"/>
      <c r="O291" s="578"/>
      <c r="P291" s="552" t="s">
        <v>75</v>
      </c>
      <c r="Q291" s="553"/>
      <c r="R291" s="553"/>
      <c r="S291" s="553"/>
      <c r="T291" s="553"/>
      <c r="U291" s="553"/>
      <c r="V291" s="554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76" t="s">
        <v>469</v>
      </c>
      <c r="B292" s="556"/>
      <c r="C292" s="556"/>
      <c r="D292" s="556"/>
      <c r="E292" s="556"/>
      <c r="F292" s="556"/>
      <c r="G292" s="556"/>
      <c r="H292" s="556"/>
      <c r="I292" s="556"/>
      <c r="J292" s="556"/>
      <c r="K292" s="556"/>
      <c r="L292" s="556"/>
      <c r="M292" s="556"/>
      <c r="N292" s="556"/>
      <c r="O292" s="556"/>
      <c r="P292" s="556"/>
      <c r="Q292" s="556"/>
      <c r="R292" s="556"/>
      <c r="S292" s="556"/>
      <c r="T292" s="556"/>
      <c r="U292" s="556"/>
      <c r="V292" s="556"/>
      <c r="W292" s="556"/>
      <c r="X292" s="556"/>
      <c r="Y292" s="556"/>
      <c r="Z292" s="556"/>
      <c r="AA292" s="540"/>
      <c r="AB292" s="540"/>
      <c r="AC292" s="540"/>
    </row>
    <row r="293" spans="1:68" ht="14.25" customHeight="1" x14ac:dyDescent="0.25">
      <c r="A293" s="560" t="s">
        <v>102</v>
      </c>
      <c r="B293" s="556"/>
      <c r="C293" s="556"/>
      <c r="D293" s="556"/>
      <c r="E293" s="556"/>
      <c r="F293" s="556"/>
      <c r="G293" s="556"/>
      <c r="H293" s="556"/>
      <c r="I293" s="556"/>
      <c r="J293" s="556"/>
      <c r="K293" s="556"/>
      <c r="L293" s="556"/>
      <c r="M293" s="556"/>
      <c r="N293" s="556"/>
      <c r="O293" s="556"/>
      <c r="P293" s="556"/>
      <c r="Q293" s="556"/>
      <c r="R293" s="556"/>
      <c r="S293" s="556"/>
      <c r="T293" s="556"/>
      <c r="U293" s="556"/>
      <c r="V293" s="556"/>
      <c r="W293" s="556"/>
      <c r="X293" s="556"/>
      <c r="Y293" s="556"/>
      <c r="Z293" s="556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61">
        <v>4680115885615</v>
      </c>
      <c r="E294" s="562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59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8"/>
      <c r="R294" s="558"/>
      <c r="S294" s="558"/>
      <c r="T294" s="559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61">
        <v>4680115885646</v>
      </c>
      <c r="E295" s="562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63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8"/>
      <c r="R295" s="558"/>
      <c r="S295" s="558"/>
      <c r="T295" s="559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61">
        <v>4680115885554</v>
      </c>
      <c r="E296" s="562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3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8"/>
      <c r="R296" s="558"/>
      <c r="S296" s="558"/>
      <c r="T296" s="559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61">
        <v>4680115885622</v>
      </c>
      <c r="E297" s="562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58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8"/>
      <c r="R297" s="558"/>
      <c r="S297" s="558"/>
      <c r="T297" s="559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61">
        <v>4680115885608</v>
      </c>
      <c r="E298" s="562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61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77"/>
      <c r="B299" s="556"/>
      <c r="C299" s="556"/>
      <c r="D299" s="556"/>
      <c r="E299" s="556"/>
      <c r="F299" s="556"/>
      <c r="G299" s="556"/>
      <c r="H299" s="556"/>
      <c r="I299" s="556"/>
      <c r="J299" s="556"/>
      <c r="K299" s="556"/>
      <c r="L299" s="556"/>
      <c r="M299" s="556"/>
      <c r="N299" s="556"/>
      <c r="O299" s="578"/>
      <c r="P299" s="552" t="s">
        <v>75</v>
      </c>
      <c r="Q299" s="553"/>
      <c r="R299" s="553"/>
      <c r="S299" s="553"/>
      <c r="T299" s="553"/>
      <c r="U299" s="553"/>
      <c r="V299" s="554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6"/>
      <c r="B300" s="556"/>
      <c r="C300" s="556"/>
      <c r="D300" s="556"/>
      <c r="E300" s="556"/>
      <c r="F300" s="556"/>
      <c r="G300" s="556"/>
      <c r="H300" s="556"/>
      <c r="I300" s="556"/>
      <c r="J300" s="556"/>
      <c r="K300" s="556"/>
      <c r="L300" s="556"/>
      <c r="M300" s="556"/>
      <c r="N300" s="556"/>
      <c r="O300" s="578"/>
      <c r="P300" s="552" t="s">
        <v>75</v>
      </c>
      <c r="Q300" s="553"/>
      <c r="R300" s="553"/>
      <c r="S300" s="553"/>
      <c r="T300" s="553"/>
      <c r="U300" s="553"/>
      <c r="V300" s="554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60" t="s">
        <v>64</v>
      </c>
      <c r="B301" s="556"/>
      <c r="C301" s="556"/>
      <c r="D301" s="556"/>
      <c r="E301" s="556"/>
      <c r="F301" s="556"/>
      <c r="G301" s="556"/>
      <c r="H301" s="556"/>
      <c r="I301" s="556"/>
      <c r="J301" s="556"/>
      <c r="K301" s="556"/>
      <c r="L301" s="556"/>
      <c r="M301" s="556"/>
      <c r="N301" s="556"/>
      <c r="O301" s="556"/>
      <c r="P301" s="556"/>
      <c r="Q301" s="556"/>
      <c r="R301" s="556"/>
      <c r="S301" s="556"/>
      <c r="T301" s="556"/>
      <c r="U301" s="556"/>
      <c r="V301" s="556"/>
      <c r="W301" s="556"/>
      <c r="X301" s="556"/>
      <c r="Y301" s="556"/>
      <c r="Z301" s="556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61">
        <v>4607091387193</v>
      </c>
      <c r="E302" s="562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8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8"/>
      <c r="R302" s="558"/>
      <c r="S302" s="558"/>
      <c r="T302" s="559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61">
        <v>4607091387230</v>
      </c>
      <c r="E303" s="562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7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8"/>
      <c r="R303" s="558"/>
      <c r="S303" s="558"/>
      <c r="T303" s="559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61">
        <v>4607091387292</v>
      </c>
      <c r="E304" s="562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69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8"/>
      <c r="R304" s="558"/>
      <c r="S304" s="558"/>
      <c r="T304" s="559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61">
        <v>4607091387285</v>
      </c>
      <c r="E305" s="562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7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8"/>
      <c r="R305" s="558"/>
      <c r="S305" s="558"/>
      <c r="T305" s="559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61">
        <v>4607091389845</v>
      </c>
      <c r="E306" s="562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70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61">
        <v>4607091383836</v>
      </c>
      <c r="E307" s="562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57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77"/>
      <c r="B308" s="556"/>
      <c r="C308" s="556"/>
      <c r="D308" s="556"/>
      <c r="E308" s="556"/>
      <c r="F308" s="556"/>
      <c r="G308" s="556"/>
      <c r="H308" s="556"/>
      <c r="I308" s="556"/>
      <c r="J308" s="556"/>
      <c r="K308" s="556"/>
      <c r="L308" s="556"/>
      <c r="M308" s="556"/>
      <c r="N308" s="556"/>
      <c r="O308" s="578"/>
      <c r="P308" s="552" t="s">
        <v>75</v>
      </c>
      <c r="Q308" s="553"/>
      <c r="R308" s="553"/>
      <c r="S308" s="553"/>
      <c r="T308" s="553"/>
      <c r="U308" s="553"/>
      <c r="V308" s="554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x14ac:dyDescent="0.2">
      <c r="A309" s="556"/>
      <c r="B309" s="556"/>
      <c r="C309" s="556"/>
      <c r="D309" s="556"/>
      <c r="E309" s="556"/>
      <c r="F309" s="556"/>
      <c r="G309" s="556"/>
      <c r="H309" s="556"/>
      <c r="I309" s="556"/>
      <c r="J309" s="556"/>
      <c r="K309" s="556"/>
      <c r="L309" s="556"/>
      <c r="M309" s="556"/>
      <c r="N309" s="556"/>
      <c r="O309" s="578"/>
      <c r="P309" s="552" t="s">
        <v>75</v>
      </c>
      <c r="Q309" s="553"/>
      <c r="R309" s="553"/>
      <c r="S309" s="553"/>
      <c r="T309" s="553"/>
      <c r="U309" s="553"/>
      <c r="V309" s="554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customHeight="1" x14ac:dyDescent="0.25">
      <c r="A310" s="560" t="s">
        <v>77</v>
      </c>
      <c r="B310" s="556"/>
      <c r="C310" s="556"/>
      <c r="D310" s="556"/>
      <c r="E310" s="556"/>
      <c r="F310" s="556"/>
      <c r="G310" s="556"/>
      <c r="H310" s="556"/>
      <c r="I310" s="556"/>
      <c r="J310" s="556"/>
      <c r="K310" s="556"/>
      <c r="L310" s="556"/>
      <c r="M310" s="556"/>
      <c r="N310" s="556"/>
      <c r="O310" s="556"/>
      <c r="P310" s="556"/>
      <c r="Q310" s="556"/>
      <c r="R310" s="556"/>
      <c r="S310" s="556"/>
      <c r="T310" s="556"/>
      <c r="U310" s="556"/>
      <c r="V310" s="556"/>
      <c r="W310" s="556"/>
      <c r="X310" s="556"/>
      <c r="Y310" s="556"/>
      <c r="Z310" s="556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61">
        <v>4607091387766</v>
      </c>
      <c r="E311" s="562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4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8"/>
      <c r="R311" s="558"/>
      <c r="S311" s="558"/>
      <c r="T311" s="559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61">
        <v>4607091387957</v>
      </c>
      <c r="E312" s="562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8"/>
      <c r="R312" s="558"/>
      <c r="S312" s="558"/>
      <c r="T312" s="559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61">
        <v>4607091387964</v>
      </c>
      <c r="E313" s="562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56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8"/>
      <c r="R313" s="558"/>
      <c r="S313" s="558"/>
      <c r="T313" s="559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61">
        <v>4680115884588</v>
      </c>
      <c r="E314" s="562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66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8"/>
      <c r="R314" s="558"/>
      <c r="S314" s="558"/>
      <c r="T314" s="559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77"/>
      <c r="B315" s="556"/>
      <c r="C315" s="556"/>
      <c r="D315" s="556"/>
      <c r="E315" s="556"/>
      <c r="F315" s="556"/>
      <c r="G315" s="556"/>
      <c r="H315" s="556"/>
      <c r="I315" s="556"/>
      <c r="J315" s="556"/>
      <c r="K315" s="556"/>
      <c r="L315" s="556"/>
      <c r="M315" s="556"/>
      <c r="N315" s="556"/>
      <c r="O315" s="578"/>
      <c r="P315" s="552" t="s">
        <v>75</v>
      </c>
      <c r="Q315" s="553"/>
      <c r="R315" s="553"/>
      <c r="S315" s="553"/>
      <c r="T315" s="553"/>
      <c r="U315" s="553"/>
      <c r="V315" s="554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6"/>
      <c r="B316" s="556"/>
      <c r="C316" s="556"/>
      <c r="D316" s="556"/>
      <c r="E316" s="556"/>
      <c r="F316" s="556"/>
      <c r="G316" s="556"/>
      <c r="H316" s="556"/>
      <c r="I316" s="556"/>
      <c r="J316" s="556"/>
      <c r="K316" s="556"/>
      <c r="L316" s="556"/>
      <c r="M316" s="556"/>
      <c r="N316" s="556"/>
      <c r="O316" s="578"/>
      <c r="P316" s="552" t="s">
        <v>75</v>
      </c>
      <c r="Q316" s="553"/>
      <c r="R316" s="553"/>
      <c r="S316" s="553"/>
      <c r="T316" s="553"/>
      <c r="U316" s="553"/>
      <c r="V316" s="554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60" t="s">
        <v>165</v>
      </c>
      <c r="B317" s="556"/>
      <c r="C317" s="556"/>
      <c r="D317" s="556"/>
      <c r="E317" s="556"/>
      <c r="F317" s="556"/>
      <c r="G317" s="556"/>
      <c r="H317" s="556"/>
      <c r="I317" s="556"/>
      <c r="J317" s="556"/>
      <c r="K317" s="556"/>
      <c r="L317" s="556"/>
      <c r="M317" s="556"/>
      <c r="N317" s="556"/>
      <c r="O317" s="556"/>
      <c r="P317" s="556"/>
      <c r="Q317" s="556"/>
      <c r="R317" s="556"/>
      <c r="S317" s="556"/>
      <c r="T317" s="556"/>
      <c r="U317" s="556"/>
      <c r="V317" s="556"/>
      <c r="W317" s="556"/>
      <c r="X317" s="556"/>
      <c r="Y317" s="556"/>
      <c r="Z317" s="556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61">
        <v>4607091380880</v>
      </c>
      <c r="E318" s="562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/>
      <c r="M318" s="33" t="s">
        <v>80</v>
      </c>
      <c r="N318" s="33"/>
      <c r="O318" s="32">
        <v>30</v>
      </c>
      <c r="P318" s="67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61">
        <v>4607091384482</v>
      </c>
      <c r="E319" s="562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57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8"/>
      <c r="R319" s="558"/>
      <c r="S319" s="558"/>
      <c r="T319" s="559"/>
      <c r="U319" s="34"/>
      <c r="V319" s="34"/>
      <c r="W319" s="35" t="s">
        <v>69</v>
      </c>
      <c r="X319" s="545">
        <v>91</v>
      </c>
      <c r="Y319" s="546">
        <f>IFERROR(IF(X319="",0,CEILING((X319/$H319),1)*$H319),"")</f>
        <v>93.6</v>
      </c>
      <c r="Z319" s="36">
        <f>IFERROR(IF(Y319=0,"",ROUNDUP(Y319/H319,0)*0.01898),"")</f>
        <v>0.22776000000000002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96.763333333333335</v>
      </c>
      <c r="BN319" s="64">
        <f>IFERROR(Y319*I319/H319,"0")</f>
        <v>99.528000000000006</v>
      </c>
      <c r="BO319" s="64">
        <f>IFERROR(1/J319*(X319/H319),"0")</f>
        <v>0.18229166666666666</v>
      </c>
      <c r="BP319" s="64">
        <f>IFERROR(1/J319*(Y319/H319),"0")</f>
        <v>0.1875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61">
        <v>4607091380897</v>
      </c>
      <c r="E320" s="562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/>
      <c r="M320" s="33" t="s">
        <v>87</v>
      </c>
      <c r="N320" s="33"/>
      <c r="O320" s="32">
        <v>30</v>
      </c>
      <c r="P320" s="6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8"/>
      <c r="R320" s="558"/>
      <c r="S320" s="558"/>
      <c r="T320" s="559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77"/>
      <c r="B321" s="556"/>
      <c r="C321" s="556"/>
      <c r="D321" s="556"/>
      <c r="E321" s="556"/>
      <c r="F321" s="556"/>
      <c r="G321" s="556"/>
      <c r="H321" s="556"/>
      <c r="I321" s="556"/>
      <c r="J321" s="556"/>
      <c r="K321" s="556"/>
      <c r="L321" s="556"/>
      <c r="M321" s="556"/>
      <c r="N321" s="556"/>
      <c r="O321" s="578"/>
      <c r="P321" s="552" t="s">
        <v>75</v>
      </c>
      <c r="Q321" s="553"/>
      <c r="R321" s="553"/>
      <c r="S321" s="553"/>
      <c r="T321" s="553"/>
      <c r="U321" s="553"/>
      <c r="V321" s="554"/>
      <c r="W321" s="37" t="s">
        <v>76</v>
      </c>
      <c r="X321" s="547">
        <f>IFERROR(X318/H318,"0")+IFERROR(X319/H319,"0")+IFERROR(X320/H320,"0")</f>
        <v>11.666666666666666</v>
      </c>
      <c r="Y321" s="547">
        <f>IFERROR(Y318/H318,"0")+IFERROR(Y319/H319,"0")+IFERROR(Y320/H320,"0")</f>
        <v>12</v>
      </c>
      <c r="Z321" s="547">
        <f>IFERROR(IF(Z318="",0,Z318),"0")+IFERROR(IF(Z319="",0,Z319),"0")+IFERROR(IF(Z320="",0,Z320),"0")</f>
        <v>0.22776000000000002</v>
      </c>
      <c r="AA321" s="548"/>
      <c r="AB321" s="548"/>
      <c r="AC321" s="548"/>
    </row>
    <row r="322" spans="1:68" x14ac:dyDescent="0.2">
      <c r="A322" s="556"/>
      <c r="B322" s="556"/>
      <c r="C322" s="556"/>
      <c r="D322" s="556"/>
      <c r="E322" s="556"/>
      <c r="F322" s="556"/>
      <c r="G322" s="556"/>
      <c r="H322" s="556"/>
      <c r="I322" s="556"/>
      <c r="J322" s="556"/>
      <c r="K322" s="556"/>
      <c r="L322" s="556"/>
      <c r="M322" s="556"/>
      <c r="N322" s="556"/>
      <c r="O322" s="578"/>
      <c r="P322" s="552" t="s">
        <v>75</v>
      </c>
      <c r="Q322" s="553"/>
      <c r="R322" s="553"/>
      <c r="S322" s="553"/>
      <c r="T322" s="553"/>
      <c r="U322" s="553"/>
      <c r="V322" s="554"/>
      <c r="W322" s="37" t="s">
        <v>69</v>
      </c>
      <c r="X322" s="547">
        <f>IFERROR(SUM(X318:X320),"0")</f>
        <v>91</v>
      </c>
      <c r="Y322" s="547">
        <f>IFERROR(SUM(Y318:Y320),"0")</f>
        <v>93.6</v>
      </c>
      <c r="Z322" s="37"/>
      <c r="AA322" s="548"/>
      <c r="AB322" s="548"/>
      <c r="AC322" s="548"/>
    </row>
    <row r="323" spans="1:68" ht="14.25" customHeight="1" x14ac:dyDescent="0.25">
      <c r="A323" s="560" t="s">
        <v>94</v>
      </c>
      <c r="B323" s="556"/>
      <c r="C323" s="556"/>
      <c r="D323" s="556"/>
      <c r="E323" s="556"/>
      <c r="F323" s="556"/>
      <c r="G323" s="556"/>
      <c r="H323" s="556"/>
      <c r="I323" s="556"/>
      <c r="J323" s="556"/>
      <c r="K323" s="556"/>
      <c r="L323" s="556"/>
      <c r="M323" s="556"/>
      <c r="N323" s="556"/>
      <c r="O323" s="556"/>
      <c r="P323" s="556"/>
      <c r="Q323" s="556"/>
      <c r="R323" s="556"/>
      <c r="S323" s="556"/>
      <c r="T323" s="556"/>
      <c r="U323" s="556"/>
      <c r="V323" s="556"/>
      <c r="W323" s="556"/>
      <c r="X323" s="556"/>
      <c r="Y323" s="556"/>
      <c r="Z323" s="556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61">
        <v>4607091388381</v>
      </c>
      <c r="E324" s="562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8"/>
      <c r="R324" s="558"/>
      <c r="S324" s="558"/>
      <c r="T324" s="559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61">
        <v>4607091388374</v>
      </c>
      <c r="E325" s="562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68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8"/>
      <c r="R325" s="558"/>
      <c r="S325" s="558"/>
      <c r="T325" s="559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61">
        <v>4607091383102</v>
      </c>
      <c r="E326" s="562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85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8"/>
      <c r="R326" s="558"/>
      <c r="S326" s="558"/>
      <c r="T326" s="559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61">
        <v>4607091388404</v>
      </c>
      <c r="E327" s="562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/>
      <c r="M327" s="33" t="s">
        <v>97</v>
      </c>
      <c r="N327" s="33"/>
      <c r="O327" s="32">
        <v>180</v>
      </c>
      <c r="P327" s="68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8"/>
      <c r="R327" s="558"/>
      <c r="S327" s="558"/>
      <c r="T327" s="559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577"/>
      <c r="B328" s="556"/>
      <c r="C328" s="556"/>
      <c r="D328" s="556"/>
      <c r="E328" s="556"/>
      <c r="F328" s="556"/>
      <c r="G328" s="556"/>
      <c r="H328" s="556"/>
      <c r="I328" s="556"/>
      <c r="J328" s="556"/>
      <c r="K328" s="556"/>
      <c r="L328" s="556"/>
      <c r="M328" s="556"/>
      <c r="N328" s="556"/>
      <c r="O328" s="578"/>
      <c r="P328" s="552" t="s">
        <v>75</v>
      </c>
      <c r="Q328" s="553"/>
      <c r="R328" s="553"/>
      <c r="S328" s="553"/>
      <c r="T328" s="553"/>
      <c r="U328" s="553"/>
      <c r="V328" s="554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x14ac:dyDescent="0.2">
      <c r="A329" s="556"/>
      <c r="B329" s="556"/>
      <c r="C329" s="556"/>
      <c r="D329" s="556"/>
      <c r="E329" s="556"/>
      <c r="F329" s="556"/>
      <c r="G329" s="556"/>
      <c r="H329" s="556"/>
      <c r="I329" s="556"/>
      <c r="J329" s="556"/>
      <c r="K329" s="556"/>
      <c r="L329" s="556"/>
      <c r="M329" s="556"/>
      <c r="N329" s="556"/>
      <c r="O329" s="578"/>
      <c r="P329" s="552" t="s">
        <v>75</v>
      </c>
      <c r="Q329" s="553"/>
      <c r="R329" s="553"/>
      <c r="S329" s="553"/>
      <c r="T329" s="553"/>
      <c r="U329" s="553"/>
      <c r="V329" s="554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customHeight="1" x14ac:dyDescent="0.25">
      <c r="A330" s="560" t="s">
        <v>532</v>
      </c>
      <c r="B330" s="556"/>
      <c r="C330" s="556"/>
      <c r="D330" s="556"/>
      <c r="E330" s="556"/>
      <c r="F330" s="556"/>
      <c r="G330" s="556"/>
      <c r="H330" s="556"/>
      <c r="I330" s="556"/>
      <c r="J330" s="556"/>
      <c r="K330" s="556"/>
      <c r="L330" s="556"/>
      <c r="M330" s="556"/>
      <c r="N330" s="556"/>
      <c r="O330" s="556"/>
      <c r="P330" s="556"/>
      <c r="Q330" s="556"/>
      <c r="R330" s="556"/>
      <c r="S330" s="556"/>
      <c r="T330" s="556"/>
      <c r="U330" s="556"/>
      <c r="V330" s="556"/>
      <c r="W330" s="556"/>
      <c r="X330" s="556"/>
      <c r="Y330" s="556"/>
      <c r="Z330" s="556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61">
        <v>4680115881808</v>
      </c>
      <c r="E331" s="562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84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8"/>
      <c r="R331" s="558"/>
      <c r="S331" s="558"/>
      <c r="T331" s="559"/>
      <c r="U331" s="34"/>
      <c r="V331" s="34"/>
      <c r="W331" s="35" t="s">
        <v>69</v>
      </c>
      <c r="X331" s="545">
        <v>3</v>
      </c>
      <c r="Y331" s="546">
        <f>IFERROR(IF(X331="",0,CEILING((X331/$H331),1)*$H331),"")</f>
        <v>4</v>
      </c>
      <c r="Z331" s="36">
        <f>IFERROR(IF(Y331=0,"",ROUNDUP(Y331/H331,0)*0.00474),"")</f>
        <v>9.4800000000000006E-3</v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3.3600000000000003</v>
      </c>
      <c r="BN331" s="64">
        <f>IFERROR(Y331*I331/H331,"0")</f>
        <v>4.4800000000000004</v>
      </c>
      <c r="BO331" s="64">
        <f>IFERROR(1/J331*(X331/H331),"0")</f>
        <v>6.3025210084033615E-3</v>
      </c>
      <c r="BP331" s="64">
        <f>IFERROR(1/J331*(Y331/H331),"0")</f>
        <v>8.4033613445378148E-3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61">
        <v>4680115881822</v>
      </c>
      <c r="E332" s="562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0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8"/>
      <c r="R332" s="558"/>
      <c r="S332" s="558"/>
      <c r="T332" s="559"/>
      <c r="U332" s="34"/>
      <c r="V332" s="34"/>
      <c r="W332" s="35" t="s">
        <v>69</v>
      </c>
      <c r="X332" s="545">
        <v>1</v>
      </c>
      <c r="Y332" s="546">
        <f>IFERROR(IF(X332="",0,CEILING((X332/$H332),1)*$H332),"")</f>
        <v>2</v>
      </c>
      <c r="Z332" s="36">
        <f>IFERROR(IF(Y332=0,"",ROUNDUP(Y332/H332,0)*0.00474),"")</f>
        <v>4.7400000000000003E-3</v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1.1200000000000001</v>
      </c>
      <c r="BN332" s="64">
        <f>IFERROR(Y332*I332/H332,"0")</f>
        <v>2.2400000000000002</v>
      </c>
      <c r="BO332" s="64">
        <f>IFERROR(1/J332*(X332/H332),"0")</f>
        <v>2.1008403361344537E-3</v>
      </c>
      <c r="BP332" s="64">
        <f>IFERROR(1/J332*(Y332/H332),"0")</f>
        <v>4.2016806722689074E-3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61">
        <v>4680115880016</v>
      </c>
      <c r="E333" s="562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67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8"/>
      <c r="R333" s="558"/>
      <c r="S333" s="558"/>
      <c r="T333" s="559"/>
      <c r="U333" s="34"/>
      <c r="V333" s="34"/>
      <c r="W333" s="35" t="s">
        <v>69</v>
      </c>
      <c r="X333" s="545">
        <v>1</v>
      </c>
      <c r="Y333" s="546">
        <f>IFERROR(IF(X333="",0,CEILING((X333/$H333),1)*$H333),"")</f>
        <v>2</v>
      </c>
      <c r="Z333" s="36">
        <f>IFERROR(IF(Y333=0,"",ROUNDUP(Y333/H333,0)*0.00474),"")</f>
        <v>4.7400000000000003E-3</v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1.1200000000000001</v>
      </c>
      <c r="BN333" s="64">
        <f>IFERROR(Y333*I333/H333,"0")</f>
        <v>2.2400000000000002</v>
      </c>
      <c r="BO333" s="64">
        <f>IFERROR(1/J333*(X333/H333),"0")</f>
        <v>2.1008403361344537E-3</v>
      </c>
      <c r="BP333" s="64">
        <f>IFERROR(1/J333*(Y333/H333),"0")</f>
        <v>4.2016806722689074E-3</v>
      </c>
    </row>
    <row r="334" spans="1:68" x14ac:dyDescent="0.2">
      <c r="A334" s="577"/>
      <c r="B334" s="556"/>
      <c r="C334" s="556"/>
      <c r="D334" s="556"/>
      <c r="E334" s="556"/>
      <c r="F334" s="556"/>
      <c r="G334" s="556"/>
      <c r="H334" s="556"/>
      <c r="I334" s="556"/>
      <c r="J334" s="556"/>
      <c r="K334" s="556"/>
      <c r="L334" s="556"/>
      <c r="M334" s="556"/>
      <c r="N334" s="556"/>
      <c r="O334" s="578"/>
      <c r="P334" s="552" t="s">
        <v>75</v>
      </c>
      <c r="Q334" s="553"/>
      <c r="R334" s="553"/>
      <c r="S334" s="553"/>
      <c r="T334" s="553"/>
      <c r="U334" s="553"/>
      <c r="V334" s="554"/>
      <c r="W334" s="37" t="s">
        <v>76</v>
      </c>
      <c r="X334" s="547">
        <f>IFERROR(X331/H331,"0")+IFERROR(X332/H332,"0")+IFERROR(X333/H333,"0")</f>
        <v>2.5</v>
      </c>
      <c r="Y334" s="547">
        <f>IFERROR(Y331/H331,"0")+IFERROR(Y332/H332,"0")+IFERROR(Y333/H333,"0")</f>
        <v>4</v>
      </c>
      <c r="Z334" s="547">
        <f>IFERROR(IF(Z331="",0,Z331),"0")+IFERROR(IF(Z332="",0,Z332),"0")+IFERROR(IF(Z333="",0,Z333),"0")</f>
        <v>1.8960000000000001E-2</v>
      </c>
      <c r="AA334" s="548"/>
      <c r="AB334" s="548"/>
      <c r="AC334" s="548"/>
    </row>
    <row r="335" spans="1:68" x14ac:dyDescent="0.2">
      <c r="A335" s="556"/>
      <c r="B335" s="556"/>
      <c r="C335" s="556"/>
      <c r="D335" s="556"/>
      <c r="E335" s="556"/>
      <c r="F335" s="556"/>
      <c r="G335" s="556"/>
      <c r="H335" s="556"/>
      <c r="I335" s="556"/>
      <c r="J335" s="556"/>
      <c r="K335" s="556"/>
      <c r="L335" s="556"/>
      <c r="M335" s="556"/>
      <c r="N335" s="556"/>
      <c r="O335" s="578"/>
      <c r="P335" s="552" t="s">
        <v>75</v>
      </c>
      <c r="Q335" s="553"/>
      <c r="R335" s="553"/>
      <c r="S335" s="553"/>
      <c r="T335" s="553"/>
      <c r="U335" s="553"/>
      <c r="V335" s="554"/>
      <c r="W335" s="37" t="s">
        <v>69</v>
      </c>
      <c r="X335" s="547">
        <f>IFERROR(SUM(X331:X333),"0")</f>
        <v>5</v>
      </c>
      <c r="Y335" s="547">
        <f>IFERROR(SUM(Y331:Y333),"0")</f>
        <v>8</v>
      </c>
      <c r="Z335" s="37"/>
      <c r="AA335" s="548"/>
      <c r="AB335" s="548"/>
      <c r="AC335" s="548"/>
    </row>
    <row r="336" spans="1:68" ht="16.5" customHeight="1" x14ac:dyDescent="0.25">
      <c r="A336" s="576" t="s">
        <v>541</v>
      </c>
      <c r="B336" s="556"/>
      <c r="C336" s="556"/>
      <c r="D336" s="556"/>
      <c r="E336" s="556"/>
      <c r="F336" s="556"/>
      <c r="G336" s="556"/>
      <c r="H336" s="556"/>
      <c r="I336" s="556"/>
      <c r="J336" s="556"/>
      <c r="K336" s="556"/>
      <c r="L336" s="556"/>
      <c r="M336" s="556"/>
      <c r="N336" s="556"/>
      <c r="O336" s="556"/>
      <c r="P336" s="556"/>
      <c r="Q336" s="556"/>
      <c r="R336" s="556"/>
      <c r="S336" s="556"/>
      <c r="T336" s="556"/>
      <c r="U336" s="556"/>
      <c r="V336" s="556"/>
      <c r="W336" s="556"/>
      <c r="X336" s="556"/>
      <c r="Y336" s="556"/>
      <c r="Z336" s="556"/>
      <c r="AA336" s="540"/>
      <c r="AB336" s="540"/>
      <c r="AC336" s="540"/>
    </row>
    <row r="337" spans="1:68" ht="14.25" customHeight="1" x14ac:dyDescent="0.25">
      <c r="A337" s="560" t="s">
        <v>77</v>
      </c>
      <c r="B337" s="556"/>
      <c r="C337" s="556"/>
      <c r="D337" s="556"/>
      <c r="E337" s="556"/>
      <c r="F337" s="556"/>
      <c r="G337" s="556"/>
      <c r="H337" s="556"/>
      <c r="I337" s="556"/>
      <c r="J337" s="556"/>
      <c r="K337" s="556"/>
      <c r="L337" s="556"/>
      <c r="M337" s="556"/>
      <c r="N337" s="556"/>
      <c r="O337" s="556"/>
      <c r="P337" s="556"/>
      <c r="Q337" s="556"/>
      <c r="R337" s="556"/>
      <c r="S337" s="556"/>
      <c r="T337" s="556"/>
      <c r="U337" s="556"/>
      <c r="V337" s="556"/>
      <c r="W337" s="556"/>
      <c r="X337" s="556"/>
      <c r="Y337" s="556"/>
      <c r="Z337" s="556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61">
        <v>4607091387919</v>
      </c>
      <c r="E338" s="562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56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8"/>
      <c r="R338" s="558"/>
      <c r="S338" s="558"/>
      <c r="T338" s="559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61">
        <v>4680115883604</v>
      </c>
      <c r="E339" s="562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/>
      <c r="M339" s="33" t="s">
        <v>80</v>
      </c>
      <c r="N339" s="33"/>
      <c r="O339" s="32">
        <v>45</v>
      </c>
      <c r="P339" s="81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8"/>
      <c r="R339" s="558"/>
      <c r="S339" s="558"/>
      <c r="T339" s="559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61">
        <v>4680115883567</v>
      </c>
      <c r="E340" s="562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/>
      <c r="M340" s="33" t="s">
        <v>87</v>
      </c>
      <c r="N340" s="33"/>
      <c r="O340" s="32">
        <v>40</v>
      </c>
      <c r="P340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8"/>
      <c r="R340" s="558"/>
      <c r="S340" s="558"/>
      <c r="T340" s="559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77"/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78"/>
      <c r="P341" s="552" t="s">
        <v>75</v>
      </c>
      <c r="Q341" s="553"/>
      <c r="R341" s="553"/>
      <c r="S341" s="553"/>
      <c r="T341" s="553"/>
      <c r="U341" s="553"/>
      <c r="V341" s="554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x14ac:dyDescent="0.2">
      <c r="A342" s="556"/>
      <c r="B342" s="556"/>
      <c r="C342" s="556"/>
      <c r="D342" s="556"/>
      <c r="E342" s="556"/>
      <c r="F342" s="556"/>
      <c r="G342" s="556"/>
      <c r="H342" s="556"/>
      <c r="I342" s="556"/>
      <c r="J342" s="556"/>
      <c r="K342" s="556"/>
      <c r="L342" s="556"/>
      <c r="M342" s="556"/>
      <c r="N342" s="556"/>
      <c r="O342" s="578"/>
      <c r="P342" s="552" t="s">
        <v>75</v>
      </c>
      <c r="Q342" s="553"/>
      <c r="R342" s="553"/>
      <c r="S342" s="553"/>
      <c r="T342" s="553"/>
      <c r="U342" s="553"/>
      <c r="V342" s="554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customHeight="1" x14ac:dyDescent="0.2">
      <c r="A343" s="686" t="s">
        <v>551</v>
      </c>
      <c r="B343" s="687"/>
      <c r="C343" s="687"/>
      <c r="D343" s="687"/>
      <c r="E343" s="687"/>
      <c r="F343" s="687"/>
      <c r="G343" s="687"/>
      <c r="H343" s="687"/>
      <c r="I343" s="687"/>
      <c r="J343" s="687"/>
      <c r="K343" s="687"/>
      <c r="L343" s="687"/>
      <c r="M343" s="687"/>
      <c r="N343" s="687"/>
      <c r="O343" s="687"/>
      <c r="P343" s="687"/>
      <c r="Q343" s="687"/>
      <c r="R343" s="687"/>
      <c r="S343" s="687"/>
      <c r="T343" s="687"/>
      <c r="U343" s="687"/>
      <c r="V343" s="687"/>
      <c r="W343" s="687"/>
      <c r="X343" s="687"/>
      <c r="Y343" s="687"/>
      <c r="Z343" s="687"/>
      <c r="AA343" s="48"/>
      <c r="AB343" s="48"/>
      <c r="AC343" s="48"/>
    </row>
    <row r="344" spans="1:68" ht="16.5" customHeight="1" x14ac:dyDescent="0.25">
      <c r="A344" s="576" t="s">
        <v>552</v>
      </c>
      <c r="B344" s="556"/>
      <c r="C344" s="556"/>
      <c r="D344" s="556"/>
      <c r="E344" s="556"/>
      <c r="F344" s="556"/>
      <c r="G344" s="556"/>
      <c r="H344" s="556"/>
      <c r="I344" s="556"/>
      <c r="J344" s="556"/>
      <c r="K344" s="556"/>
      <c r="L344" s="556"/>
      <c r="M344" s="556"/>
      <c r="N344" s="556"/>
      <c r="O344" s="556"/>
      <c r="P344" s="556"/>
      <c r="Q344" s="556"/>
      <c r="R344" s="556"/>
      <c r="S344" s="556"/>
      <c r="T344" s="556"/>
      <c r="U344" s="556"/>
      <c r="V344" s="556"/>
      <c r="W344" s="556"/>
      <c r="X344" s="556"/>
      <c r="Y344" s="556"/>
      <c r="Z344" s="556"/>
      <c r="AA344" s="540"/>
      <c r="AB344" s="540"/>
      <c r="AC344" s="540"/>
    </row>
    <row r="345" spans="1:68" ht="14.25" customHeight="1" x14ac:dyDescent="0.25">
      <c r="A345" s="560" t="s">
        <v>102</v>
      </c>
      <c r="B345" s="556"/>
      <c r="C345" s="556"/>
      <c r="D345" s="556"/>
      <c r="E345" s="556"/>
      <c r="F345" s="556"/>
      <c r="G345" s="556"/>
      <c r="H345" s="556"/>
      <c r="I345" s="556"/>
      <c r="J345" s="556"/>
      <c r="K345" s="556"/>
      <c r="L345" s="556"/>
      <c r="M345" s="556"/>
      <c r="N345" s="556"/>
      <c r="O345" s="556"/>
      <c r="P345" s="556"/>
      <c r="Q345" s="556"/>
      <c r="R345" s="556"/>
      <c r="S345" s="556"/>
      <c r="T345" s="556"/>
      <c r="U345" s="556"/>
      <c r="V345" s="556"/>
      <c r="W345" s="556"/>
      <c r="X345" s="556"/>
      <c r="Y345" s="556"/>
      <c r="Z345" s="556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61">
        <v>4680115884847</v>
      </c>
      <c r="E346" s="562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6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8"/>
      <c r="R346" s="558"/>
      <c r="S346" s="558"/>
      <c r="T346" s="559"/>
      <c r="U346" s="34"/>
      <c r="V346" s="34"/>
      <c r="W346" s="35" t="s">
        <v>69</v>
      </c>
      <c r="X346" s="545">
        <v>441</v>
      </c>
      <c r="Y346" s="546">
        <f t="shared" ref="Y346:Y352" si="31">IFERROR(IF(X346="",0,CEILING((X346/$H346),1)*$H346),"")</f>
        <v>450</v>
      </c>
      <c r="Z346" s="36">
        <f>IFERROR(IF(Y346=0,"",ROUNDUP(Y346/H346,0)*0.02175),"")</f>
        <v>0.65249999999999997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454.81800000000004</v>
      </c>
      <c r="BN346" s="64">
        <f t="shared" ref="BN346:BN352" si="33">IFERROR(Y346*I346/H346,"0")</f>
        <v>464.1</v>
      </c>
      <c r="BO346" s="64">
        <f t="shared" ref="BO346:BO352" si="34">IFERROR(1/J346*(X346/H346),"0")</f>
        <v>0.61249999999999993</v>
      </c>
      <c r="BP346" s="64">
        <f t="shared" ref="BP346:BP352" si="35">IFERROR(1/J346*(Y346/H346),"0")</f>
        <v>0.625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61">
        <v>4680115884854</v>
      </c>
      <c r="E347" s="562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6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8"/>
      <c r="R347" s="558"/>
      <c r="S347" s="558"/>
      <c r="T347" s="559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559</v>
      </c>
      <c r="B348" s="54" t="s">
        <v>560</v>
      </c>
      <c r="C348" s="31">
        <v>4301012215</v>
      </c>
      <c r="D348" s="561">
        <v>4680115887046</v>
      </c>
      <c r="E348" s="562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87</v>
      </c>
      <c r="N348" s="33"/>
      <c r="O348" s="32">
        <v>60</v>
      </c>
      <c r="P348" s="64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8" s="558"/>
      <c r="R348" s="558"/>
      <c r="S348" s="558"/>
      <c r="T348" s="559"/>
      <c r="U348" s="34"/>
      <c r="V348" s="34"/>
      <c r="W348" s="35" t="s">
        <v>69</v>
      </c>
      <c r="X348" s="545">
        <v>276</v>
      </c>
      <c r="Y348" s="546">
        <f t="shared" si="31"/>
        <v>285</v>
      </c>
      <c r="Z348" s="36">
        <f>IFERROR(IF(Y348=0,"",ROUNDUP(Y348/H348,0)*0.02175),"")</f>
        <v>0.41324999999999995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284.64800000000002</v>
      </c>
      <c r="BN348" s="64">
        <f t="shared" si="33"/>
        <v>293.93</v>
      </c>
      <c r="BO348" s="64">
        <f t="shared" si="34"/>
        <v>0.3833333333333333</v>
      </c>
      <c r="BP348" s="64">
        <f t="shared" si="35"/>
        <v>0.39583333333333331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61">
        <v>4680115884830</v>
      </c>
      <c r="E349" s="562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 t="s">
        <v>106</v>
      </c>
      <c r="M349" s="33" t="s">
        <v>68</v>
      </c>
      <c r="N349" s="33"/>
      <c r="O349" s="32">
        <v>60</v>
      </c>
      <c r="P349" s="62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8"/>
      <c r="R349" s="558"/>
      <c r="S349" s="558"/>
      <c r="T349" s="559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 t="s">
        <v>109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61">
        <v>4680115882638</v>
      </c>
      <c r="E350" s="562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7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61">
        <v>4680115884922</v>
      </c>
      <c r="E351" s="562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78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8"/>
      <c r="R351" s="558"/>
      <c r="S351" s="558"/>
      <c r="T351" s="559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61">
        <v>4680115884861</v>
      </c>
      <c r="E352" s="562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564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77"/>
      <c r="B353" s="556"/>
      <c r="C353" s="556"/>
      <c r="D353" s="556"/>
      <c r="E353" s="556"/>
      <c r="F353" s="556"/>
      <c r="G353" s="556"/>
      <c r="H353" s="556"/>
      <c r="I353" s="556"/>
      <c r="J353" s="556"/>
      <c r="K353" s="556"/>
      <c r="L353" s="556"/>
      <c r="M353" s="556"/>
      <c r="N353" s="556"/>
      <c r="O353" s="578"/>
      <c r="P353" s="552" t="s">
        <v>75</v>
      </c>
      <c r="Q353" s="553"/>
      <c r="R353" s="553"/>
      <c r="S353" s="553"/>
      <c r="T353" s="553"/>
      <c r="U353" s="553"/>
      <c r="V353" s="554"/>
      <c r="W353" s="37" t="s">
        <v>76</v>
      </c>
      <c r="X353" s="547">
        <f>IFERROR(X346/H346,"0")+IFERROR(X347/H347,"0")+IFERROR(X348/H348,"0")+IFERROR(X349/H349,"0")+IFERROR(X350/H350,"0")+IFERROR(X351/H351,"0")+IFERROR(X352/H352,"0")</f>
        <v>47.8</v>
      </c>
      <c r="Y353" s="547">
        <f>IFERROR(Y346/H346,"0")+IFERROR(Y347/H347,"0")+IFERROR(Y348/H348,"0")+IFERROR(Y349/H349,"0")+IFERROR(Y350/H350,"0")+IFERROR(Y351/H351,"0")+IFERROR(Y352/H352,"0")</f>
        <v>49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1.06575</v>
      </c>
      <c r="AA353" s="548"/>
      <c r="AB353" s="548"/>
      <c r="AC353" s="548"/>
    </row>
    <row r="354" spans="1:68" x14ac:dyDescent="0.2">
      <c r="A354" s="556"/>
      <c r="B354" s="556"/>
      <c r="C354" s="556"/>
      <c r="D354" s="556"/>
      <c r="E354" s="556"/>
      <c r="F354" s="556"/>
      <c r="G354" s="556"/>
      <c r="H354" s="556"/>
      <c r="I354" s="556"/>
      <c r="J354" s="556"/>
      <c r="K354" s="556"/>
      <c r="L354" s="556"/>
      <c r="M354" s="556"/>
      <c r="N354" s="556"/>
      <c r="O354" s="578"/>
      <c r="P354" s="552" t="s">
        <v>75</v>
      </c>
      <c r="Q354" s="553"/>
      <c r="R354" s="553"/>
      <c r="S354" s="553"/>
      <c r="T354" s="553"/>
      <c r="U354" s="553"/>
      <c r="V354" s="554"/>
      <c r="W354" s="37" t="s">
        <v>69</v>
      </c>
      <c r="X354" s="547">
        <f>IFERROR(SUM(X346:X352),"0")</f>
        <v>717</v>
      </c>
      <c r="Y354" s="547">
        <f>IFERROR(SUM(Y346:Y352),"0")</f>
        <v>735</v>
      </c>
      <c r="Z354" s="37"/>
      <c r="AA354" s="548"/>
      <c r="AB354" s="548"/>
      <c r="AC354" s="548"/>
    </row>
    <row r="355" spans="1:68" ht="14.25" customHeight="1" x14ac:dyDescent="0.25">
      <c r="A355" s="560" t="s">
        <v>137</v>
      </c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56"/>
      <c r="P355" s="556"/>
      <c r="Q355" s="556"/>
      <c r="R355" s="556"/>
      <c r="S355" s="556"/>
      <c r="T355" s="556"/>
      <c r="U355" s="556"/>
      <c r="V355" s="556"/>
      <c r="W355" s="556"/>
      <c r="X355" s="556"/>
      <c r="Y355" s="556"/>
      <c r="Z355" s="556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61">
        <v>4607091383980</v>
      </c>
      <c r="E356" s="562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8"/>
      <c r="R356" s="558"/>
      <c r="S356" s="558"/>
      <c r="T356" s="559"/>
      <c r="U356" s="34"/>
      <c r="V356" s="34"/>
      <c r="W356" s="35" t="s">
        <v>69</v>
      </c>
      <c r="X356" s="545">
        <v>0</v>
      </c>
      <c r="Y356" s="546">
        <f>IFERROR(IF(X356="",0,CEILING((X356/$H356),1)*$H356),"")</f>
        <v>0</v>
      </c>
      <c r="Z356" s="36" t="str">
        <f>IFERROR(IF(Y356=0,"",ROUNDUP(Y356/H356,0)*0.02175),"")</f>
        <v/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61">
        <v>4607091384178</v>
      </c>
      <c r="E357" s="562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6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8"/>
      <c r="R357" s="558"/>
      <c r="S357" s="558"/>
      <c r="T357" s="559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77"/>
      <c r="B358" s="556"/>
      <c r="C358" s="556"/>
      <c r="D358" s="556"/>
      <c r="E358" s="556"/>
      <c r="F358" s="556"/>
      <c r="G358" s="556"/>
      <c r="H358" s="556"/>
      <c r="I358" s="556"/>
      <c r="J358" s="556"/>
      <c r="K358" s="556"/>
      <c r="L358" s="556"/>
      <c r="M358" s="556"/>
      <c r="N358" s="556"/>
      <c r="O358" s="578"/>
      <c r="P358" s="552" t="s">
        <v>75</v>
      </c>
      <c r="Q358" s="553"/>
      <c r="R358" s="553"/>
      <c r="S358" s="553"/>
      <c r="T358" s="553"/>
      <c r="U358" s="553"/>
      <c r="V358" s="554"/>
      <c r="W358" s="37" t="s">
        <v>76</v>
      </c>
      <c r="X358" s="547">
        <f>IFERROR(X356/H356,"0")+IFERROR(X357/H357,"0")</f>
        <v>0</v>
      </c>
      <c r="Y358" s="547">
        <f>IFERROR(Y356/H356,"0")+IFERROR(Y357/H357,"0")</f>
        <v>0</v>
      </c>
      <c r="Z358" s="547">
        <f>IFERROR(IF(Z356="",0,Z356),"0")+IFERROR(IF(Z357="",0,Z357),"0")</f>
        <v>0</v>
      </c>
      <c r="AA358" s="548"/>
      <c r="AB358" s="548"/>
      <c r="AC358" s="548"/>
    </row>
    <row r="359" spans="1:68" x14ac:dyDescent="0.2">
      <c r="A359" s="556"/>
      <c r="B359" s="556"/>
      <c r="C359" s="556"/>
      <c r="D359" s="556"/>
      <c r="E359" s="556"/>
      <c r="F359" s="556"/>
      <c r="G359" s="556"/>
      <c r="H359" s="556"/>
      <c r="I359" s="556"/>
      <c r="J359" s="556"/>
      <c r="K359" s="556"/>
      <c r="L359" s="556"/>
      <c r="M359" s="556"/>
      <c r="N359" s="556"/>
      <c r="O359" s="578"/>
      <c r="P359" s="552" t="s">
        <v>75</v>
      </c>
      <c r="Q359" s="553"/>
      <c r="R359" s="553"/>
      <c r="S359" s="553"/>
      <c r="T359" s="553"/>
      <c r="U359" s="553"/>
      <c r="V359" s="554"/>
      <c r="W359" s="37" t="s">
        <v>69</v>
      </c>
      <c r="X359" s="547">
        <f>IFERROR(SUM(X356:X357),"0")</f>
        <v>0</v>
      </c>
      <c r="Y359" s="547">
        <f>IFERROR(SUM(Y356:Y357),"0")</f>
        <v>0</v>
      </c>
      <c r="Z359" s="37"/>
      <c r="AA359" s="548"/>
      <c r="AB359" s="548"/>
      <c r="AC359" s="548"/>
    </row>
    <row r="360" spans="1:68" ht="14.25" customHeight="1" x14ac:dyDescent="0.25">
      <c r="A360" s="560" t="s">
        <v>77</v>
      </c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56"/>
      <c r="P360" s="556"/>
      <c r="Q360" s="556"/>
      <c r="R360" s="556"/>
      <c r="S360" s="556"/>
      <c r="T360" s="556"/>
      <c r="U360" s="556"/>
      <c r="V360" s="556"/>
      <c r="W360" s="556"/>
      <c r="X360" s="556"/>
      <c r="Y360" s="556"/>
      <c r="Z360" s="556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61">
        <v>4607091383928</v>
      </c>
      <c r="E361" s="562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4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8"/>
      <c r="R361" s="558"/>
      <c r="S361" s="558"/>
      <c r="T361" s="559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61">
        <v>4607091384260</v>
      </c>
      <c r="E362" s="562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62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8"/>
      <c r="R362" s="558"/>
      <c r="S362" s="558"/>
      <c r="T362" s="559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77"/>
      <c r="B363" s="556"/>
      <c r="C363" s="556"/>
      <c r="D363" s="556"/>
      <c r="E363" s="556"/>
      <c r="F363" s="556"/>
      <c r="G363" s="556"/>
      <c r="H363" s="556"/>
      <c r="I363" s="556"/>
      <c r="J363" s="556"/>
      <c r="K363" s="556"/>
      <c r="L363" s="556"/>
      <c r="M363" s="556"/>
      <c r="N363" s="556"/>
      <c r="O363" s="578"/>
      <c r="P363" s="552" t="s">
        <v>75</v>
      </c>
      <c r="Q363" s="553"/>
      <c r="R363" s="553"/>
      <c r="S363" s="553"/>
      <c r="T363" s="553"/>
      <c r="U363" s="553"/>
      <c r="V363" s="554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x14ac:dyDescent="0.2">
      <c r="A364" s="556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78"/>
      <c r="P364" s="552" t="s">
        <v>75</v>
      </c>
      <c r="Q364" s="553"/>
      <c r="R364" s="553"/>
      <c r="S364" s="553"/>
      <c r="T364" s="553"/>
      <c r="U364" s="553"/>
      <c r="V364" s="554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customHeight="1" x14ac:dyDescent="0.25">
      <c r="A365" s="560" t="s">
        <v>165</v>
      </c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6"/>
      <c r="P365" s="556"/>
      <c r="Q365" s="556"/>
      <c r="R365" s="556"/>
      <c r="S365" s="556"/>
      <c r="T365" s="556"/>
      <c r="U365" s="556"/>
      <c r="V365" s="556"/>
      <c r="W365" s="556"/>
      <c r="X365" s="556"/>
      <c r="Y365" s="556"/>
      <c r="Z365" s="556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61">
        <v>4607091384673</v>
      </c>
      <c r="E366" s="562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84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45">
        <v>17</v>
      </c>
      <c r="Y366" s="546">
        <f>IFERROR(IF(X366="",0,CEILING((X366/$H366),1)*$H366),"")</f>
        <v>18</v>
      </c>
      <c r="Z366" s="36">
        <f>IFERROR(IF(Y366=0,"",ROUNDUP(Y366/H366,0)*0.01898),"")</f>
        <v>3.7960000000000001E-2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17.93311111111111</v>
      </c>
      <c r="BN366" s="64">
        <f>IFERROR(Y366*I366/H366,"0")</f>
        <v>18.988</v>
      </c>
      <c r="BO366" s="64">
        <f>IFERROR(1/J366*(X366/H366),"0")</f>
        <v>2.9513888888888888E-2</v>
      </c>
      <c r="BP366" s="64">
        <f>IFERROR(1/J366*(Y366/H366),"0")</f>
        <v>3.125E-2</v>
      </c>
    </row>
    <row r="367" spans="1:68" x14ac:dyDescent="0.2">
      <c r="A367" s="577"/>
      <c r="B367" s="556"/>
      <c r="C367" s="556"/>
      <c r="D367" s="556"/>
      <c r="E367" s="556"/>
      <c r="F367" s="556"/>
      <c r="G367" s="556"/>
      <c r="H367" s="556"/>
      <c r="I367" s="556"/>
      <c r="J367" s="556"/>
      <c r="K367" s="556"/>
      <c r="L367" s="556"/>
      <c r="M367" s="556"/>
      <c r="N367" s="556"/>
      <c r="O367" s="578"/>
      <c r="P367" s="552" t="s">
        <v>75</v>
      </c>
      <c r="Q367" s="553"/>
      <c r="R367" s="553"/>
      <c r="S367" s="553"/>
      <c r="T367" s="553"/>
      <c r="U367" s="553"/>
      <c r="V367" s="554"/>
      <c r="W367" s="37" t="s">
        <v>76</v>
      </c>
      <c r="X367" s="547">
        <f>IFERROR(X366/H366,"0")</f>
        <v>1.8888888888888888</v>
      </c>
      <c r="Y367" s="547">
        <f>IFERROR(Y366/H366,"0")</f>
        <v>2</v>
      </c>
      <c r="Z367" s="547">
        <f>IFERROR(IF(Z366="",0,Z366),"0")</f>
        <v>3.7960000000000001E-2</v>
      </c>
      <c r="AA367" s="548"/>
      <c r="AB367" s="548"/>
      <c r="AC367" s="548"/>
    </row>
    <row r="368" spans="1:68" x14ac:dyDescent="0.2">
      <c r="A368" s="556"/>
      <c r="B368" s="556"/>
      <c r="C368" s="556"/>
      <c r="D368" s="556"/>
      <c r="E368" s="556"/>
      <c r="F368" s="556"/>
      <c r="G368" s="556"/>
      <c r="H368" s="556"/>
      <c r="I368" s="556"/>
      <c r="J368" s="556"/>
      <c r="K368" s="556"/>
      <c r="L368" s="556"/>
      <c r="M368" s="556"/>
      <c r="N368" s="556"/>
      <c r="O368" s="578"/>
      <c r="P368" s="552" t="s">
        <v>75</v>
      </c>
      <c r="Q368" s="553"/>
      <c r="R368" s="553"/>
      <c r="S368" s="553"/>
      <c r="T368" s="553"/>
      <c r="U368" s="553"/>
      <c r="V368" s="554"/>
      <c r="W368" s="37" t="s">
        <v>69</v>
      </c>
      <c r="X368" s="547">
        <f>IFERROR(SUM(X366:X366),"0")</f>
        <v>17</v>
      </c>
      <c r="Y368" s="547">
        <f>IFERROR(SUM(Y366:Y366),"0")</f>
        <v>18</v>
      </c>
      <c r="Z368" s="37"/>
      <c r="AA368" s="548"/>
      <c r="AB368" s="548"/>
      <c r="AC368" s="548"/>
    </row>
    <row r="369" spans="1:68" ht="16.5" customHeight="1" x14ac:dyDescent="0.25">
      <c r="A369" s="576" t="s">
        <v>587</v>
      </c>
      <c r="B369" s="556"/>
      <c r="C369" s="556"/>
      <c r="D369" s="556"/>
      <c r="E369" s="556"/>
      <c r="F369" s="556"/>
      <c r="G369" s="556"/>
      <c r="H369" s="556"/>
      <c r="I369" s="556"/>
      <c r="J369" s="556"/>
      <c r="K369" s="556"/>
      <c r="L369" s="556"/>
      <c r="M369" s="556"/>
      <c r="N369" s="556"/>
      <c r="O369" s="556"/>
      <c r="P369" s="556"/>
      <c r="Q369" s="556"/>
      <c r="R369" s="556"/>
      <c r="S369" s="556"/>
      <c r="T369" s="556"/>
      <c r="U369" s="556"/>
      <c r="V369" s="556"/>
      <c r="W369" s="556"/>
      <c r="X369" s="556"/>
      <c r="Y369" s="556"/>
      <c r="Z369" s="556"/>
      <c r="AA369" s="540"/>
      <c r="AB369" s="540"/>
      <c r="AC369" s="540"/>
    </row>
    <row r="370" spans="1:68" ht="14.25" customHeight="1" x14ac:dyDescent="0.25">
      <c r="A370" s="560" t="s">
        <v>102</v>
      </c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56"/>
      <c r="P370" s="556"/>
      <c r="Q370" s="556"/>
      <c r="R370" s="556"/>
      <c r="S370" s="556"/>
      <c r="T370" s="556"/>
      <c r="U370" s="556"/>
      <c r="V370" s="556"/>
      <c r="W370" s="556"/>
      <c r="X370" s="556"/>
      <c r="Y370" s="556"/>
      <c r="Z370" s="556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61">
        <v>4680115884885</v>
      </c>
      <c r="E371" s="562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76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8"/>
      <c r="R371" s="558"/>
      <c r="S371" s="558"/>
      <c r="T371" s="559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/>
      <c r="AK371" s="68">
        <v>0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61">
        <v>4680115884908</v>
      </c>
      <c r="E372" s="562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8"/>
      <c r="R372" s="558"/>
      <c r="S372" s="558"/>
      <c r="T372" s="559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77"/>
      <c r="B373" s="556"/>
      <c r="C373" s="556"/>
      <c r="D373" s="556"/>
      <c r="E373" s="556"/>
      <c r="F373" s="556"/>
      <c r="G373" s="556"/>
      <c r="H373" s="556"/>
      <c r="I373" s="556"/>
      <c r="J373" s="556"/>
      <c r="K373" s="556"/>
      <c r="L373" s="556"/>
      <c r="M373" s="556"/>
      <c r="N373" s="556"/>
      <c r="O373" s="578"/>
      <c r="P373" s="552" t="s">
        <v>75</v>
      </c>
      <c r="Q373" s="553"/>
      <c r="R373" s="553"/>
      <c r="S373" s="553"/>
      <c r="T373" s="553"/>
      <c r="U373" s="553"/>
      <c r="V373" s="554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6"/>
      <c r="B374" s="556"/>
      <c r="C374" s="556"/>
      <c r="D374" s="556"/>
      <c r="E374" s="556"/>
      <c r="F374" s="556"/>
      <c r="G374" s="556"/>
      <c r="H374" s="556"/>
      <c r="I374" s="556"/>
      <c r="J374" s="556"/>
      <c r="K374" s="556"/>
      <c r="L374" s="556"/>
      <c r="M374" s="556"/>
      <c r="N374" s="556"/>
      <c r="O374" s="578"/>
      <c r="P374" s="552" t="s">
        <v>75</v>
      </c>
      <c r="Q374" s="553"/>
      <c r="R374" s="553"/>
      <c r="S374" s="553"/>
      <c r="T374" s="553"/>
      <c r="U374" s="553"/>
      <c r="V374" s="554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60" t="s">
        <v>64</v>
      </c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56"/>
      <c r="P375" s="556"/>
      <c r="Q375" s="556"/>
      <c r="R375" s="556"/>
      <c r="S375" s="556"/>
      <c r="T375" s="556"/>
      <c r="U375" s="556"/>
      <c r="V375" s="556"/>
      <c r="W375" s="556"/>
      <c r="X375" s="556"/>
      <c r="Y375" s="556"/>
      <c r="Z375" s="556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4301031457</v>
      </c>
      <c r="D376" s="561">
        <v>4607091384802</v>
      </c>
      <c r="E376" s="562"/>
      <c r="F376" s="544">
        <v>0.7</v>
      </c>
      <c r="G376" s="32">
        <v>6</v>
      </c>
      <c r="H376" s="544">
        <v>4.2</v>
      </c>
      <c r="I376" s="544">
        <v>4.45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50</v>
      </c>
      <c r="P376" s="78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4301031303</v>
      </c>
      <c r="D377" s="561">
        <v>4607091384802</v>
      </c>
      <c r="E377" s="562"/>
      <c r="F377" s="544">
        <v>0.73</v>
      </c>
      <c r="G377" s="32">
        <v>6</v>
      </c>
      <c r="H377" s="544">
        <v>4.38</v>
      </c>
      <c r="I377" s="544">
        <v>4.63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35</v>
      </c>
      <c r="P377" s="7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8"/>
      <c r="R377" s="558"/>
      <c r="S377" s="558"/>
      <c r="T377" s="559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77"/>
      <c r="B378" s="556"/>
      <c r="C378" s="556"/>
      <c r="D378" s="556"/>
      <c r="E378" s="556"/>
      <c r="F378" s="556"/>
      <c r="G378" s="556"/>
      <c r="H378" s="556"/>
      <c r="I378" s="556"/>
      <c r="J378" s="556"/>
      <c r="K378" s="556"/>
      <c r="L378" s="556"/>
      <c r="M378" s="556"/>
      <c r="N378" s="556"/>
      <c r="O378" s="578"/>
      <c r="P378" s="552" t="s">
        <v>75</v>
      </c>
      <c r="Q378" s="553"/>
      <c r="R378" s="553"/>
      <c r="S378" s="553"/>
      <c r="T378" s="553"/>
      <c r="U378" s="553"/>
      <c r="V378" s="554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6"/>
      <c r="B379" s="556"/>
      <c r="C379" s="556"/>
      <c r="D379" s="556"/>
      <c r="E379" s="556"/>
      <c r="F379" s="556"/>
      <c r="G379" s="556"/>
      <c r="H379" s="556"/>
      <c r="I379" s="556"/>
      <c r="J379" s="556"/>
      <c r="K379" s="556"/>
      <c r="L379" s="556"/>
      <c r="M379" s="556"/>
      <c r="N379" s="556"/>
      <c r="O379" s="578"/>
      <c r="P379" s="552" t="s">
        <v>75</v>
      </c>
      <c r="Q379" s="553"/>
      <c r="R379" s="553"/>
      <c r="S379" s="553"/>
      <c r="T379" s="553"/>
      <c r="U379" s="553"/>
      <c r="V379" s="554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60" t="s">
        <v>77</v>
      </c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56"/>
      <c r="P380" s="556"/>
      <c r="Q380" s="556"/>
      <c r="R380" s="556"/>
      <c r="S380" s="556"/>
      <c r="T380" s="556"/>
      <c r="U380" s="556"/>
      <c r="V380" s="556"/>
      <c r="W380" s="556"/>
      <c r="X380" s="556"/>
      <c r="Y380" s="556"/>
      <c r="Z380" s="556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61">
        <v>4607091384246</v>
      </c>
      <c r="E381" s="562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85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45">
        <v>246</v>
      </c>
      <c r="Y381" s="546">
        <f>IFERROR(IF(X381="",0,CEILING((X381/$H381),1)*$H381),"")</f>
        <v>252</v>
      </c>
      <c r="Z381" s="36">
        <f>IFERROR(IF(Y381=0,"",ROUNDUP(Y381/H381,0)*0.01898),"")</f>
        <v>0.53144000000000002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259.50266666666664</v>
      </c>
      <c r="BN381" s="64">
        <f>IFERROR(Y381*I381/H381,"0")</f>
        <v>265.83199999999999</v>
      </c>
      <c r="BO381" s="64">
        <f>IFERROR(1/J381*(X381/H381),"0")</f>
        <v>0.42708333333333331</v>
      </c>
      <c r="BP381" s="64">
        <f>IFERROR(1/J381*(Y381/H381),"0")</f>
        <v>0.4375</v>
      </c>
    </row>
    <row r="382" spans="1:68" ht="27" customHeight="1" x14ac:dyDescent="0.25">
      <c r="A382" s="54" t="s">
        <v>601</v>
      </c>
      <c r="B382" s="54" t="s">
        <v>602</v>
      </c>
      <c r="C382" s="31">
        <v>4301052069</v>
      </c>
      <c r="D382" s="561">
        <v>4607091384253</v>
      </c>
      <c r="E382" s="562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81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2" s="558"/>
      <c r="R382" s="558"/>
      <c r="S382" s="558"/>
      <c r="T382" s="559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603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604</v>
      </c>
      <c r="C383" s="31">
        <v>4301051660</v>
      </c>
      <c r="D383" s="561">
        <v>4607091384253</v>
      </c>
      <c r="E383" s="562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57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58"/>
      <c r="R383" s="558"/>
      <c r="S383" s="558"/>
      <c r="T383" s="559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600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77"/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78"/>
      <c r="P384" s="552" t="s">
        <v>75</v>
      </c>
      <c r="Q384" s="553"/>
      <c r="R384" s="553"/>
      <c r="S384" s="553"/>
      <c r="T384" s="553"/>
      <c r="U384" s="553"/>
      <c r="V384" s="554"/>
      <c r="W384" s="37" t="s">
        <v>76</v>
      </c>
      <c r="X384" s="547">
        <f>IFERROR(X381/H381,"0")+IFERROR(X382/H382,"0")+IFERROR(X383/H383,"0")</f>
        <v>27.333333333333332</v>
      </c>
      <c r="Y384" s="547">
        <f>IFERROR(Y381/H381,"0")+IFERROR(Y382/H382,"0")+IFERROR(Y383/H383,"0")</f>
        <v>28</v>
      </c>
      <c r="Z384" s="547">
        <f>IFERROR(IF(Z381="",0,Z381),"0")+IFERROR(IF(Z382="",0,Z382),"0")+IFERROR(IF(Z383="",0,Z383),"0")</f>
        <v>0.53144000000000002</v>
      </c>
      <c r="AA384" s="548"/>
      <c r="AB384" s="548"/>
      <c r="AC384" s="548"/>
    </row>
    <row r="385" spans="1:68" x14ac:dyDescent="0.2">
      <c r="A385" s="556"/>
      <c r="B385" s="556"/>
      <c r="C385" s="556"/>
      <c r="D385" s="556"/>
      <c r="E385" s="556"/>
      <c r="F385" s="556"/>
      <c r="G385" s="556"/>
      <c r="H385" s="556"/>
      <c r="I385" s="556"/>
      <c r="J385" s="556"/>
      <c r="K385" s="556"/>
      <c r="L385" s="556"/>
      <c r="M385" s="556"/>
      <c r="N385" s="556"/>
      <c r="O385" s="578"/>
      <c r="P385" s="552" t="s">
        <v>75</v>
      </c>
      <c r="Q385" s="553"/>
      <c r="R385" s="553"/>
      <c r="S385" s="553"/>
      <c r="T385" s="553"/>
      <c r="U385" s="553"/>
      <c r="V385" s="554"/>
      <c r="W385" s="37" t="s">
        <v>69</v>
      </c>
      <c r="X385" s="547">
        <f>IFERROR(SUM(X381:X383),"0")</f>
        <v>246</v>
      </c>
      <c r="Y385" s="547">
        <f>IFERROR(SUM(Y381:Y383),"0")</f>
        <v>252</v>
      </c>
      <c r="Z385" s="37"/>
      <c r="AA385" s="548"/>
      <c r="AB385" s="548"/>
      <c r="AC385" s="548"/>
    </row>
    <row r="386" spans="1:68" ht="27.75" customHeight="1" x14ac:dyDescent="0.2">
      <c r="A386" s="686" t="s">
        <v>605</v>
      </c>
      <c r="B386" s="687"/>
      <c r="C386" s="687"/>
      <c r="D386" s="687"/>
      <c r="E386" s="687"/>
      <c r="F386" s="687"/>
      <c r="G386" s="687"/>
      <c r="H386" s="687"/>
      <c r="I386" s="687"/>
      <c r="J386" s="687"/>
      <c r="K386" s="687"/>
      <c r="L386" s="687"/>
      <c r="M386" s="687"/>
      <c r="N386" s="687"/>
      <c r="O386" s="687"/>
      <c r="P386" s="687"/>
      <c r="Q386" s="687"/>
      <c r="R386" s="687"/>
      <c r="S386" s="687"/>
      <c r="T386" s="687"/>
      <c r="U386" s="687"/>
      <c r="V386" s="687"/>
      <c r="W386" s="687"/>
      <c r="X386" s="687"/>
      <c r="Y386" s="687"/>
      <c r="Z386" s="687"/>
      <c r="AA386" s="48"/>
      <c r="AB386" s="48"/>
      <c r="AC386" s="48"/>
    </row>
    <row r="387" spans="1:68" ht="16.5" customHeight="1" x14ac:dyDescent="0.25">
      <c r="A387" s="576" t="s">
        <v>606</v>
      </c>
      <c r="B387" s="556"/>
      <c r="C387" s="556"/>
      <c r="D387" s="556"/>
      <c r="E387" s="556"/>
      <c r="F387" s="556"/>
      <c r="G387" s="556"/>
      <c r="H387" s="556"/>
      <c r="I387" s="556"/>
      <c r="J387" s="556"/>
      <c r="K387" s="556"/>
      <c r="L387" s="556"/>
      <c r="M387" s="556"/>
      <c r="N387" s="556"/>
      <c r="O387" s="556"/>
      <c r="P387" s="556"/>
      <c r="Q387" s="556"/>
      <c r="R387" s="556"/>
      <c r="S387" s="556"/>
      <c r="T387" s="556"/>
      <c r="U387" s="556"/>
      <c r="V387" s="556"/>
      <c r="W387" s="556"/>
      <c r="X387" s="556"/>
      <c r="Y387" s="556"/>
      <c r="Z387" s="556"/>
      <c r="AA387" s="540"/>
      <c r="AB387" s="540"/>
      <c r="AC387" s="540"/>
    </row>
    <row r="388" spans="1:68" ht="14.25" customHeight="1" x14ac:dyDescent="0.25">
      <c r="A388" s="560" t="s">
        <v>64</v>
      </c>
      <c r="B388" s="556"/>
      <c r="C388" s="556"/>
      <c r="D388" s="556"/>
      <c r="E388" s="556"/>
      <c r="F388" s="556"/>
      <c r="G388" s="556"/>
      <c r="H388" s="556"/>
      <c r="I388" s="556"/>
      <c r="J388" s="556"/>
      <c r="K388" s="556"/>
      <c r="L388" s="556"/>
      <c r="M388" s="556"/>
      <c r="N388" s="556"/>
      <c r="O388" s="556"/>
      <c r="P388" s="556"/>
      <c r="Q388" s="556"/>
      <c r="R388" s="556"/>
      <c r="S388" s="556"/>
      <c r="T388" s="556"/>
      <c r="U388" s="556"/>
      <c r="V388" s="556"/>
      <c r="W388" s="556"/>
      <c r="X388" s="556"/>
      <c r="Y388" s="556"/>
      <c r="Z388" s="556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61">
        <v>4680115886100</v>
      </c>
      <c r="E389" s="562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 t="s">
        <v>208</v>
      </c>
      <c r="M389" s="33" t="s">
        <v>68</v>
      </c>
      <c r="N389" s="33"/>
      <c r="O389" s="32">
        <v>50</v>
      </c>
      <c r="P389" s="8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8"/>
      <c r="R389" s="558"/>
      <c r="S389" s="558"/>
      <c r="T389" s="559"/>
      <c r="U389" s="34"/>
      <c r="V389" s="34"/>
      <c r="W389" s="35" t="s">
        <v>69</v>
      </c>
      <c r="X389" s="545">
        <v>87</v>
      </c>
      <c r="Y389" s="546">
        <f t="shared" ref="Y389:Y397" si="36">IFERROR(IF(X389="",0,CEILING((X389/$H389),1)*$H389),"")</f>
        <v>91.800000000000011</v>
      </c>
      <c r="Z389" s="36">
        <f>IFERROR(IF(Y389=0,"",ROUNDUP(Y389/H389,0)*0.00902),"")</f>
        <v>0.15334</v>
      </c>
      <c r="AA389" s="56"/>
      <c r="AB389" s="57"/>
      <c r="AC389" s="435" t="s">
        <v>609</v>
      </c>
      <c r="AG389" s="64"/>
      <c r="AJ389" s="68" t="s">
        <v>109</v>
      </c>
      <c r="AK389" s="68">
        <v>64.8</v>
      </c>
      <c r="BB389" s="436" t="s">
        <v>1</v>
      </c>
      <c r="BM389" s="64">
        <f t="shared" ref="BM389:BM397" si="37">IFERROR(X389*I389/H389,"0")</f>
        <v>90.061111111111103</v>
      </c>
      <c r="BN389" s="64">
        <f t="shared" ref="BN389:BN397" si="38">IFERROR(Y389*I389/H389,"0")</f>
        <v>95.03</v>
      </c>
      <c r="BO389" s="64">
        <f t="shared" ref="BO389:BO397" si="39">IFERROR(1/J389*(X389/H389),"0")</f>
        <v>0.12205387205387205</v>
      </c>
      <c r="BP389" s="64">
        <f t="shared" ref="BP389:BP397" si="40">IFERROR(1/J389*(Y389/H389),"0")</f>
        <v>0.12878787878787878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61">
        <v>4680115886117</v>
      </c>
      <c r="E390" s="562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68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8"/>
      <c r="R390" s="558"/>
      <c r="S390" s="558"/>
      <c r="T390" s="559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61">
        <v>4680115886124</v>
      </c>
      <c r="E391" s="562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8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8"/>
      <c r="R391" s="558"/>
      <c r="S391" s="558"/>
      <c r="T391" s="559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61">
        <v>4680115883147</v>
      </c>
      <c r="E392" s="562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85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8"/>
      <c r="R392" s="558"/>
      <c r="S392" s="558"/>
      <c r="T392" s="559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61">
        <v>4607091384338</v>
      </c>
      <c r="E393" s="562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8"/>
      <c r="R393" s="558"/>
      <c r="S393" s="558"/>
      <c r="T393" s="559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61">
        <v>4607091389524</v>
      </c>
      <c r="E394" s="562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82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8"/>
      <c r="R394" s="558"/>
      <c r="S394" s="558"/>
      <c r="T394" s="559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61">
        <v>4680115883161</v>
      </c>
      <c r="E395" s="562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69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61">
        <v>4607091389531</v>
      </c>
      <c r="E396" s="562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5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8"/>
      <c r="R396" s="558"/>
      <c r="S396" s="558"/>
      <c r="T396" s="559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61">
        <v>4607091384345</v>
      </c>
      <c r="E397" s="562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77"/>
      <c r="B398" s="556"/>
      <c r="C398" s="556"/>
      <c r="D398" s="556"/>
      <c r="E398" s="556"/>
      <c r="F398" s="556"/>
      <c r="G398" s="556"/>
      <c r="H398" s="556"/>
      <c r="I398" s="556"/>
      <c r="J398" s="556"/>
      <c r="K398" s="556"/>
      <c r="L398" s="556"/>
      <c r="M398" s="556"/>
      <c r="N398" s="556"/>
      <c r="O398" s="578"/>
      <c r="P398" s="552" t="s">
        <v>75</v>
      </c>
      <c r="Q398" s="553"/>
      <c r="R398" s="553"/>
      <c r="S398" s="553"/>
      <c r="T398" s="553"/>
      <c r="U398" s="553"/>
      <c r="V398" s="554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16.111111111111111</v>
      </c>
      <c r="Y398" s="547">
        <f>IFERROR(Y389/H389,"0")+IFERROR(Y390/H390,"0")+IFERROR(Y391/H391,"0")+IFERROR(Y392/H392,"0")+IFERROR(Y393/H393,"0")+IFERROR(Y394/H394,"0")+IFERROR(Y395/H395,"0")+IFERROR(Y396/H396,"0")+IFERROR(Y397/H397,"0")</f>
        <v>17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0.15334</v>
      </c>
      <c r="AA398" s="548"/>
      <c r="AB398" s="548"/>
      <c r="AC398" s="548"/>
    </row>
    <row r="399" spans="1:68" x14ac:dyDescent="0.2">
      <c r="A399" s="556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78"/>
      <c r="P399" s="552" t="s">
        <v>75</v>
      </c>
      <c r="Q399" s="553"/>
      <c r="R399" s="553"/>
      <c r="S399" s="553"/>
      <c r="T399" s="553"/>
      <c r="U399" s="553"/>
      <c r="V399" s="554"/>
      <c r="W399" s="37" t="s">
        <v>69</v>
      </c>
      <c r="X399" s="547">
        <f>IFERROR(SUM(X389:X397),"0")</f>
        <v>87</v>
      </c>
      <c r="Y399" s="547">
        <f>IFERROR(SUM(Y389:Y397),"0")</f>
        <v>91.800000000000011</v>
      </c>
      <c r="Z399" s="37"/>
      <c r="AA399" s="548"/>
      <c r="AB399" s="548"/>
      <c r="AC399" s="548"/>
    </row>
    <row r="400" spans="1:68" ht="14.25" customHeight="1" x14ac:dyDescent="0.25">
      <c r="A400" s="560" t="s">
        <v>77</v>
      </c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56"/>
      <c r="P400" s="556"/>
      <c r="Q400" s="556"/>
      <c r="R400" s="556"/>
      <c r="S400" s="556"/>
      <c r="T400" s="556"/>
      <c r="U400" s="556"/>
      <c r="V400" s="556"/>
      <c r="W400" s="556"/>
      <c r="X400" s="556"/>
      <c r="Y400" s="556"/>
      <c r="Z400" s="556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61">
        <v>4607091384352</v>
      </c>
      <c r="E401" s="562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81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61">
        <v>4607091389654</v>
      </c>
      <c r="E402" s="562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8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8"/>
      <c r="R402" s="558"/>
      <c r="S402" s="558"/>
      <c r="T402" s="559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77"/>
      <c r="B403" s="556"/>
      <c r="C403" s="556"/>
      <c r="D403" s="556"/>
      <c r="E403" s="556"/>
      <c r="F403" s="556"/>
      <c r="G403" s="556"/>
      <c r="H403" s="556"/>
      <c r="I403" s="556"/>
      <c r="J403" s="556"/>
      <c r="K403" s="556"/>
      <c r="L403" s="556"/>
      <c r="M403" s="556"/>
      <c r="N403" s="556"/>
      <c r="O403" s="578"/>
      <c r="P403" s="552" t="s">
        <v>75</v>
      </c>
      <c r="Q403" s="553"/>
      <c r="R403" s="553"/>
      <c r="S403" s="553"/>
      <c r="T403" s="553"/>
      <c r="U403" s="553"/>
      <c r="V403" s="554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6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78"/>
      <c r="P404" s="552" t="s">
        <v>75</v>
      </c>
      <c r="Q404" s="553"/>
      <c r="R404" s="553"/>
      <c r="S404" s="553"/>
      <c r="T404" s="553"/>
      <c r="U404" s="553"/>
      <c r="V404" s="554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76" t="s">
        <v>637</v>
      </c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56"/>
      <c r="P405" s="556"/>
      <c r="Q405" s="556"/>
      <c r="R405" s="556"/>
      <c r="S405" s="556"/>
      <c r="T405" s="556"/>
      <c r="U405" s="556"/>
      <c r="V405" s="556"/>
      <c r="W405" s="556"/>
      <c r="X405" s="556"/>
      <c r="Y405" s="556"/>
      <c r="Z405" s="556"/>
      <c r="AA405" s="540"/>
      <c r="AB405" s="540"/>
      <c r="AC405" s="540"/>
    </row>
    <row r="406" spans="1:68" ht="14.25" customHeight="1" x14ac:dyDescent="0.25">
      <c r="A406" s="560" t="s">
        <v>137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61">
        <v>4680115885240</v>
      </c>
      <c r="E407" s="562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8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8"/>
      <c r="R407" s="558"/>
      <c r="S407" s="558"/>
      <c r="T407" s="559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77"/>
      <c r="B408" s="556"/>
      <c r="C408" s="556"/>
      <c r="D408" s="556"/>
      <c r="E408" s="556"/>
      <c r="F408" s="556"/>
      <c r="G408" s="556"/>
      <c r="H408" s="556"/>
      <c r="I408" s="556"/>
      <c r="J408" s="556"/>
      <c r="K408" s="556"/>
      <c r="L408" s="556"/>
      <c r="M408" s="556"/>
      <c r="N408" s="556"/>
      <c r="O408" s="578"/>
      <c r="P408" s="552" t="s">
        <v>75</v>
      </c>
      <c r="Q408" s="553"/>
      <c r="R408" s="553"/>
      <c r="S408" s="553"/>
      <c r="T408" s="553"/>
      <c r="U408" s="553"/>
      <c r="V408" s="554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6"/>
      <c r="B409" s="556"/>
      <c r="C409" s="556"/>
      <c r="D409" s="556"/>
      <c r="E409" s="556"/>
      <c r="F409" s="556"/>
      <c r="G409" s="556"/>
      <c r="H409" s="556"/>
      <c r="I409" s="556"/>
      <c r="J409" s="556"/>
      <c r="K409" s="556"/>
      <c r="L409" s="556"/>
      <c r="M409" s="556"/>
      <c r="N409" s="556"/>
      <c r="O409" s="578"/>
      <c r="P409" s="552" t="s">
        <v>75</v>
      </c>
      <c r="Q409" s="553"/>
      <c r="R409" s="553"/>
      <c r="S409" s="553"/>
      <c r="T409" s="553"/>
      <c r="U409" s="553"/>
      <c r="V409" s="554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60" t="s">
        <v>64</v>
      </c>
      <c r="B410" s="556"/>
      <c r="C410" s="556"/>
      <c r="D410" s="556"/>
      <c r="E410" s="556"/>
      <c r="F410" s="556"/>
      <c r="G410" s="556"/>
      <c r="H410" s="556"/>
      <c r="I410" s="556"/>
      <c r="J410" s="556"/>
      <c r="K410" s="556"/>
      <c r="L410" s="556"/>
      <c r="M410" s="556"/>
      <c r="N410" s="556"/>
      <c r="O410" s="556"/>
      <c r="P410" s="556"/>
      <c r="Q410" s="556"/>
      <c r="R410" s="556"/>
      <c r="S410" s="556"/>
      <c r="T410" s="556"/>
      <c r="U410" s="556"/>
      <c r="V410" s="556"/>
      <c r="W410" s="556"/>
      <c r="X410" s="556"/>
      <c r="Y410" s="556"/>
      <c r="Z410" s="556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61">
        <v>4680115886094</v>
      </c>
      <c r="E411" s="562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 t="s">
        <v>208</v>
      </c>
      <c r="M411" s="33" t="s">
        <v>107</v>
      </c>
      <c r="N411" s="33"/>
      <c r="O411" s="32">
        <v>50</v>
      </c>
      <c r="P411" s="77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45">
        <v>60</v>
      </c>
      <c r="Y411" s="546">
        <f>IFERROR(IF(X411="",0,CEILING((X411/$H411),1)*$H411),"")</f>
        <v>64.800000000000011</v>
      </c>
      <c r="Z411" s="36">
        <f>IFERROR(IF(Y411=0,"",ROUNDUP(Y411/H411,0)*0.00902),"")</f>
        <v>0.10824</v>
      </c>
      <c r="AA411" s="56"/>
      <c r="AB411" s="57"/>
      <c r="AC411" s="459" t="s">
        <v>643</v>
      </c>
      <c r="AG411" s="64"/>
      <c r="AJ411" s="68" t="s">
        <v>109</v>
      </c>
      <c r="AK411" s="68">
        <v>64.8</v>
      </c>
      <c r="BB411" s="460" t="s">
        <v>1</v>
      </c>
      <c r="BM411" s="64">
        <f>IFERROR(X411*I411/H411,"0")</f>
        <v>62.1111111111111</v>
      </c>
      <c r="BN411" s="64">
        <f>IFERROR(Y411*I411/H411,"0")</f>
        <v>67.08</v>
      </c>
      <c r="BO411" s="64">
        <f>IFERROR(1/J411*(X411/H411),"0")</f>
        <v>8.4175084175084181E-2</v>
      </c>
      <c r="BP411" s="64">
        <f>IFERROR(1/J411*(Y411/H411),"0")</f>
        <v>9.0909090909090925E-2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61">
        <v>4607091389425</v>
      </c>
      <c r="E412" s="562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61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8"/>
      <c r="R412" s="558"/>
      <c r="S412" s="558"/>
      <c r="T412" s="559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61">
        <v>4680115880771</v>
      </c>
      <c r="E413" s="562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82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8"/>
      <c r="R413" s="558"/>
      <c r="S413" s="558"/>
      <c r="T413" s="559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61">
        <v>4607091389500</v>
      </c>
      <c r="E414" s="562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7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8"/>
      <c r="R414" s="558"/>
      <c r="S414" s="558"/>
      <c r="T414" s="559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77"/>
      <c r="B415" s="556"/>
      <c r="C415" s="556"/>
      <c r="D415" s="556"/>
      <c r="E415" s="556"/>
      <c r="F415" s="556"/>
      <c r="G415" s="556"/>
      <c r="H415" s="556"/>
      <c r="I415" s="556"/>
      <c r="J415" s="556"/>
      <c r="K415" s="556"/>
      <c r="L415" s="556"/>
      <c r="M415" s="556"/>
      <c r="N415" s="556"/>
      <c r="O415" s="578"/>
      <c r="P415" s="552" t="s">
        <v>75</v>
      </c>
      <c r="Q415" s="553"/>
      <c r="R415" s="553"/>
      <c r="S415" s="553"/>
      <c r="T415" s="553"/>
      <c r="U415" s="553"/>
      <c r="V415" s="554"/>
      <c r="W415" s="37" t="s">
        <v>76</v>
      </c>
      <c r="X415" s="547">
        <f>IFERROR(X411/H411,"0")+IFERROR(X412/H412,"0")+IFERROR(X413/H413,"0")+IFERROR(X414/H414,"0")</f>
        <v>11.111111111111111</v>
      </c>
      <c r="Y415" s="547">
        <f>IFERROR(Y411/H411,"0")+IFERROR(Y412/H412,"0")+IFERROR(Y413/H413,"0")+IFERROR(Y414/H414,"0")</f>
        <v>12.000000000000002</v>
      </c>
      <c r="Z415" s="547">
        <f>IFERROR(IF(Z411="",0,Z411),"0")+IFERROR(IF(Z412="",0,Z412),"0")+IFERROR(IF(Z413="",0,Z413),"0")+IFERROR(IF(Z414="",0,Z414),"0")</f>
        <v>0.10824</v>
      </c>
      <c r="AA415" s="548"/>
      <c r="AB415" s="548"/>
      <c r="AC415" s="548"/>
    </row>
    <row r="416" spans="1:68" x14ac:dyDescent="0.2">
      <c r="A416" s="556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78"/>
      <c r="P416" s="552" t="s">
        <v>75</v>
      </c>
      <c r="Q416" s="553"/>
      <c r="R416" s="553"/>
      <c r="S416" s="553"/>
      <c r="T416" s="553"/>
      <c r="U416" s="553"/>
      <c r="V416" s="554"/>
      <c r="W416" s="37" t="s">
        <v>69</v>
      </c>
      <c r="X416" s="547">
        <f>IFERROR(SUM(X411:X414),"0")</f>
        <v>60</v>
      </c>
      <c r="Y416" s="547">
        <f>IFERROR(SUM(Y411:Y414),"0")</f>
        <v>64.800000000000011</v>
      </c>
      <c r="Z416" s="37"/>
      <c r="AA416" s="548"/>
      <c r="AB416" s="548"/>
      <c r="AC416" s="548"/>
    </row>
    <row r="417" spans="1:68" ht="16.5" customHeight="1" x14ac:dyDescent="0.25">
      <c r="A417" s="576" t="s">
        <v>652</v>
      </c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56"/>
      <c r="P417" s="556"/>
      <c r="Q417" s="556"/>
      <c r="R417" s="556"/>
      <c r="S417" s="556"/>
      <c r="T417" s="556"/>
      <c r="U417" s="556"/>
      <c r="V417" s="556"/>
      <c r="W417" s="556"/>
      <c r="X417" s="556"/>
      <c r="Y417" s="556"/>
      <c r="Z417" s="556"/>
      <c r="AA417" s="540"/>
      <c r="AB417" s="540"/>
      <c r="AC417" s="540"/>
    </row>
    <row r="418" spans="1:68" ht="14.25" customHeight="1" x14ac:dyDescent="0.25">
      <c r="A418" s="560" t="s">
        <v>64</v>
      </c>
      <c r="B418" s="556"/>
      <c r="C418" s="556"/>
      <c r="D418" s="556"/>
      <c r="E418" s="556"/>
      <c r="F418" s="556"/>
      <c r="G418" s="556"/>
      <c r="H418" s="556"/>
      <c r="I418" s="556"/>
      <c r="J418" s="556"/>
      <c r="K418" s="556"/>
      <c r="L418" s="556"/>
      <c r="M418" s="556"/>
      <c r="N418" s="556"/>
      <c r="O418" s="556"/>
      <c r="P418" s="556"/>
      <c r="Q418" s="556"/>
      <c r="R418" s="556"/>
      <c r="S418" s="556"/>
      <c r="T418" s="556"/>
      <c r="U418" s="556"/>
      <c r="V418" s="556"/>
      <c r="W418" s="556"/>
      <c r="X418" s="556"/>
      <c r="Y418" s="556"/>
      <c r="Z418" s="556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61">
        <v>4680115885110</v>
      </c>
      <c r="E419" s="562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5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8"/>
      <c r="R419" s="558"/>
      <c r="S419" s="558"/>
      <c r="T419" s="559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77"/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78"/>
      <c r="P420" s="552" t="s">
        <v>75</v>
      </c>
      <c r="Q420" s="553"/>
      <c r="R420" s="553"/>
      <c r="S420" s="553"/>
      <c r="T420" s="553"/>
      <c r="U420" s="553"/>
      <c r="V420" s="554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6"/>
      <c r="B421" s="556"/>
      <c r="C421" s="556"/>
      <c r="D421" s="556"/>
      <c r="E421" s="556"/>
      <c r="F421" s="556"/>
      <c r="G421" s="556"/>
      <c r="H421" s="556"/>
      <c r="I421" s="556"/>
      <c r="J421" s="556"/>
      <c r="K421" s="556"/>
      <c r="L421" s="556"/>
      <c r="M421" s="556"/>
      <c r="N421" s="556"/>
      <c r="O421" s="578"/>
      <c r="P421" s="552" t="s">
        <v>75</v>
      </c>
      <c r="Q421" s="553"/>
      <c r="R421" s="553"/>
      <c r="S421" s="553"/>
      <c r="T421" s="553"/>
      <c r="U421" s="553"/>
      <c r="V421" s="554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686" t="s">
        <v>656</v>
      </c>
      <c r="B422" s="687"/>
      <c r="C422" s="687"/>
      <c r="D422" s="687"/>
      <c r="E422" s="687"/>
      <c r="F422" s="687"/>
      <c r="G422" s="687"/>
      <c r="H422" s="687"/>
      <c r="I422" s="687"/>
      <c r="J422" s="687"/>
      <c r="K422" s="687"/>
      <c r="L422" s="687"/>
      <c r="M422" s="687"/>
      <c r="N422" s="687"/>
      <c r="O422" s="687"/>
      <c r="P422" s="687"/>
      <c r="Q422" s="687"/>
      <c r="R422" s="687"/>
      <c r="S422" s="687"/>
      <c r="T422" s="687"/>
      <c r="U422" s="687"/>
      <c r="V422" s="687"/>
      <c r="W422" s="687"/>
      <c r="X422" s="687"/>
      <c r="Y422" s="687"/>
      <c r="Z422" s="687"/>
      <c r="AA422" s="48"/>
      <c r="AB422" s="48"/>
      <c r="AC422" s="48"/>
    </row>
    <row r="423" spans="1:68" ht="16.5" customHeight="1" x14ac:dyDescent="0.25">
      <c r="A423" s="576" t="s">
        <v>656</v>
      </c>
      <c r="B423" s="556"/>
      <c r="C423" s="556"/>
      <c r="D423" s="556"/>
      <c r="E423" s="556"/>
      <c r="F423" s="556"/>
      <c r="G423" s="556"/>
      <c r="H423" s="556"/>
      <c r="I423" s="556"/>
      <c r="J423" s="556"/>
      <c r="K423" s="556"/>
      <c r="L423" s="556"/>
      <c r="M423" s="556"/>
      <c r="N423" s="556"/>
      <c r="O423" s="556"/>
      <c r="P423" s="556"/>
      <c r="Q423" s="556"/>
      <c r="R423" s="556"/>
      <c r="S423" s="556"/>
      <c r="T423" s="556"/>
      <c r="U423" s="556"/>
      <c r="V423" s="556"/>
      <c r="W423" s="556"/>
      <c r="X423" s="556"/>
      <c r="Y423" s="556"/>
      <c r="Z423" s="556"/>
      <c r="AA423" s="540"/>
      <c r="AB423" s="540"/>
      <c r="AC423" s="540"/>
    </row>
    <row r="424" spans="1:68" ht="14.25" customHeight="1" x14ac:dyDescent="0.25">
      <c r="A424" s="560" t="s">
        <v>102</v>
      </c>
      <c r="B424" s="556"/>
      <c r="C424" s="556"/>
      <c r="D424" s="556"/>
      <c r="E424" s="556"/>
      <c r="F424" s="556"/>
      <c r="G424" s="556"/>
      <c r="H424" s="556"/>
      <c r="I424" s="556"/>
      <c r="J424" s="556"/>
      <c r="K424" s="556"/>
      <c r="L424" s="556"/>
      <c r="M424" s="556"/>
      <c r="N424" s="556"/>
      <c r="O424" s="556"/>
      <c r="P424" s="556"/>
      <c r="Q424" s="556"/>
      <c r="R424" s="556"/>
      <c r="S424" s="556"/>
      <c r="T424" s="556"/>
      <c r="U424" s="556"/>
      <c r="V424" s="556"/>
      <c r="W424" s="556"/>
      <c r="X424" s="556"/>
      <c r="Y424" s="556"/>
      <c r="Z424" s="556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61">
        <v>4607091389067</v>
      </c>
      <c r="E425" s="562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/>
      <c r="M425" s="33" t="s">
        <v>107</v>
      </c>
      <c r="N425" s="33"/>
      <c r="O425" s="32">
        <v>60</v>
      </c>
      <c r="P425" s="7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8"/>
      <c r="R425" s="558"/>
      <c r="S425" s="558"/>
      <c r="T425" s="559"/>
      <c r="U425" s="34"/>
      <c r="V425" s="34"/>
      <c r="W425" s="35" t="s">
        <v>69</v>
      </c>
      <c r="X425" s="545">
        <v>30</v>
      </c>
      <c r="Y425" s="546">
        <f t="shared" ref="Y425:Y436" si="42">IFERROR(IF(X425="",0,CEILING((X425/$H425),1)*$H425),"")</f>
        <v>31.68</v>
      </c>
      <c r="Z425" s="36">
        <f t="shared" ref="Z425:Z431" si="43">IFERROR(IF(Y425=0,"",ROUNDUP(Y425/H425,0)*0.01196),"")</f>
        <v>7.1760000000000004E-2</v>
      </c>
      <c r="AA425" s="56"/>
      <c r="AB425" s="57"/>
      <c r="AC425" s="469" t="s">
        <v>108</v>
      </c>
      <c r="AG425" s="64"/>
      <c r="AJ425" s="68"/>
      <c r="AK425" s="68">
        <v>0</v>
      </c>
      <c r="BB425" s="470" t="s">
        <v>1</v>
      </c>
      <c r="BM425" s="64">
        <f t="shared" ref="BM425:BM436" si="44">IFERROR(X425*I425/H425,"0")</f>
        <v>31.988636363636363</v>
      </c>
      <c r="BN425" s="64">
        <f t="shared" ref="BN425:BN436" si="45">IFERROR(Y425*I425/H425,"0")</f>
        <v>33.779999999999994</v>
      </c>
      <c r="BO425" s="64">
        <f t="shared" ref="BO425:BO436" si="46">IFERROR(1/J425*(X425/H425),"0")</f>
        <v>5.4632867132867136E-2</v>
      </c>
      <c r="BP425" s="64">
        <f t="shared" ref="BP425:BP436" si="47">IFERROR(1/J425*(Y425/H425),"0")</f>
        <v>5.7692307692307696E-2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61">
        <v>4607091383522</v>
      </c>
      <c r="E426" s="562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8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8"/>
      <c r="R426" s="558"/>
      <c r="S426" s="558"/>
      <c r="T426" s="559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61">
        <v>4607091383522</v>
      </c>
      <c r="E427" s="562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58" t="s">
        <v>663</v>
      </c>
      <c r="Q427" s="558"/>
      <c r="R427" s="558"/>
      <c r="S427" s="558"/>
      <c r="T427" s="559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61">
        <v>4680115885271</v>
      </c>
      <c r="E428" s="562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107</v>
      </c>
      <c r="N428" s="33"/>
      <c r="O428" s="32">
        <v>60</v>
      </c>
      <c r="P428" s="80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8"/>
      <c r="R428" s="558"/>
      <c r="S428" s="558"/>
      <c r="T428" s="559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61">
        <v>4680115885226</v>
      </c>
      <c r="E429" s="562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79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8"/>
      <c r="R429" s="558"/>
      <c r="S429" s="558"/>
      <c r="T429" s="559"/>
      <c r="U429" s="34"/>
      <c r="V429" s="34"/>
      <c r="W429" s="35" t="s">
        <v>69</v>
      </c>
      <c r="X429" s="545">
        <v>63</v>
      </c>
      <c r="Y429" s="546">
        <f t="shared" si="42"/>
        <v>63.36</v>
      </c>
      <c r="Z429" s="36">
        <f t="shared" si="43"/>
        <v>0.14352000000000001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67.17613636363636</v>
      </c>
      <c r="BN429" s="64">
        <f t="shared" si="45"/>
        <v>67.559999999999988</v>
      </c>
      <c r="BO429" s="64">
        <f t="shared" si="46"/>
        <v>0.11472902097902099</v>
      </c>
      <c r="BP429" s="64">
        <f t="shared" si="47"/>
        <v>0.11538461538461539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61">
        <v>4680115884502</v>
      </c>
      <c r="E430" s="562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62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8"/>
      <c r="R430" s="558"/>
      <c r="S430" s="558"/>
      <c r="T430" s="559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61">
        <v>4607091389104</v>
      </c>
      <c r="E431" s="562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7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8"/>
      <c r="R431" s="558"/>
      <c r="S431" s="558"/>
      <c r="T431" s="559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61">
        <v>4680115886391</v>
      </c>
      <c r="E432" s="562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85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8"/>
      <c r="R432" s="558"/>
      <c r="S432" s="558"/>
      <c r="T432" s="559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61">
        <v>4680115880603</v>
      </c>
      <c r="E433" s="562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5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61">
        <v>4680115882782</v>
      </c>
      <c r="E434" s="562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59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61">
        <v>4680115885479</v>
      </c>
      <c r="E435" s="562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5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61">
        <v>4607091389982</v>
      </c>
      <c r="E436" s="562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5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8"/>
      <c r="R436" s="558"/>
      <c r="S436" s="558"/>
      <c r="T436" s="559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77"/>
      <c r="B437" s="556"/>
      <c r="C437" s="556"/>
      <c r="D437" s="556"/>
      <c r="E437" s="556"/>
      <c r="F437" s="556"/>
      <c r="G437" s="556"/>
      <c r="H437" s="556"/>
      <c r="I437" s="556"/>
      <c r="J437" s="556"/>
      <c r="K437" s="556"/>
      <c r="L437" s="556"/>
      <c r="M437" s="556"/>
      <c r="N437" s="556"/>
      <c r="O437" s="578"/>
      <c r="P437" s="552" t="s">
        <v>75</v>
      </c>
      <c r="Q437" s="553"/>
      <c r="R437" s="553"/>
      <c r="S437" s="553"/>
      <c r="T437" s="553"/>
      <c r="U437" s="553"/>
      <c r="V437" s="554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17.613636363636363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18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0.21528000000000003</v>
      </c>
      <c r="AA437" s="548"/>
      <c r="AB437" s="548"/>
      <c r="AC437" s="548"/>
    </row>
    <row r="438" spans="1:68" x14ac:dyDescent="0.2">
      <c r="A438" s="556"/>
      <c r="B438" s="556"/>
      <c r="C438" s="556"/>
      <c r="D438" s="556"/>
      <c r="E438" s="556"/>
      <c r="F438" s="556"/>
      <c r="G438" s="556"/>
      <c r="H438" s="556"/>
      <c r="I438" s="556"/>
      <c r="J438" s="556"/>
      <c r="K438" s="556"/>
      <c r="L438" s="556"/>
      <c r="M438" s="556"/>
      <c r="N438" s="556"/>
      <c r="O438" s="578"/>
      <c r="P438" s="552" t="s">
        <v>75</v>
      </c>
      <c r="Q438" s="553"/>
      <c r="R438" s="553"/>
      <c r="S438" s="553"/>
      <c r="T438" s="553"/>
      <c r="U438" s="553"/>
      <c r="V438" s="554"/>
      <c r="W438" s="37" t="s">
        <v>69</v>
      </c>
      <c r="X438" s="547">
        <f>IFERROR(SUM(X425:X436),"0")</f>
        <v>93</v>
      </c>
      <c r="Y438" s="547">
        <f>IFERROR(SUM(Y425:Y436),"0")</f>
        <v>95.039999999999992</v>
      </c>
      <c r="Z438" s="37"/>
      <c r="AA438" s="548"/>
      <c r="AB438" s="548"/>
      <c r="AC438" s="548"/>
    </row>
    <row r="439" spans="1:68" ht="14.25" customHeight="1" x14ac:dyDescent="0.25">
      <c r="A439" s="560" t="s">
        <v>137</v>
      </c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56"/>
      <c r="P439" s="556"/>
      <c r="Q439" s="556"/>
      <c r="R439" s="556"/>
      <c r="S439" s="556"/>
      <c r="T439" s="556"/>
      <c r="U439" s="556"/>
      <c r="V439" s="556"/>
      <c r="W439" s="556"/>
      <c r="X439" s="556"/>
      <c r="Y439" s="556"/>
      <c r="Z439" s="556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61">
        <v>4607091388930</v>
      </c>
      <c r="E440" s="562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8"/>
      <c r="R440" s="558"/>
      <c r="S440" s="558"/>
      <c r="T440" s="559"/>
      <c r="U440" s="34"/>
      <c r="V440" s="34"/>
      <c r="W440" s="35" t="s">
        <v>69</v>
      </c>
      <c r="X440" s="545">
        <v>224</v>
      </c>
      <c r="Y440" s="546">
        <f>IFERROR(IF(X440="",0,CEILING((X440/$H440),1)*$H440),"")</f>
        <v>227.04000000000002</v>
      </c>
      <c r="Z440" s="36">
        <f>IFERROR(IF(Y440=0,"",ROUNDUP(Y440/H440,0)*0.01196),"")</f>
        <v>0.51427999999999996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238.84848484848482</v>
      </c>
      <c r="BN440" s="64">
        <f>IFERROR(Y440*I440/H440,"0")</f>
        <v>242.09</v>
      </c>
      <c r="BO440" s="64">
        <f>IFERROR(1/J440*(X440/H440),"0")</f>
        <v>0.40792540792540793</v>
      </c>
      <c r="BP440" s="64">
        <f>IFERROR(1/J440*(Y440/H440),"0")</f>
        <v>0.41346153846153849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61">
        <v>4680115886407</v>
      </c>
      <c r="E441" s="562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69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8"/>
      <c r="R441" s="558"/>
      <c r="S441" s="558"/>
      <c r="T441" s="559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61">
        <v>4680115880054</v>
      </c>
      <c r="E442" s="562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/>
      <c r="M442" s="33" t="s">
        <v>107</v>
      </c>
      <c r="N442" s="33"/>
      <c r="O442" s="32">
        <v>70</v>
      </c>
      <c r="P442" s="7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8"/>
      <c r="R442" s="558"/>
      <c r="S442" s="558"/>
      <c r="T442" s="559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77"/>
      <c r="B443" s="556"/>
      <c r="C443" s="556"/>
      <c r="D443" s="556"/>
      <c r="E443" s="556"/>
      <c r="F443" s="556"/>
      <c r="G443" s="556"/>
      <c r="H443" s="556"/>
      <c r="I443" s="556"/>
      <c r="J443" s="556"/>
      <c r="K443" s="556"/>
      <c r="L443" s="556"/>
      <c r="M443" s="556"/>
      <c r="N443" s="556"/>
      <c r="O443" s="578"/>
      <c r="P443" s="552" t="s">
        <v>75</v>
      </c>
      <c r="Q443" s="553"/>
      <c r="R443" s="553"/>
      <c r="S443" s="553"/>
      <c r="T443" s="553"/>
      <c r="U443" s="553"/>
      <c r="V443" s="554"/>
      <c r="W443" s="37" t="s">
        <v>76</v>
      </c>
      <c r="X443" s="547">
        <f>IFERROR(X440/H440,"0")+IFERROR(X441/H441,"0")+IFERROR(X442/H442,"0")</f>
        <v>42.424242424242422</v>
      </c>
      <c r="Y443" s="547">
        <f>IFERROR(Y440/H440,"0")+IFERROR(Y441/H441,"0")+IFERROR(Y442/H442,"0")</f>
        <v>43</v>
      </c>
      <c r="Z443" s="547">
        <f>IFERROR(IF(Z440="",0,Z440),"0")+IFERROR(IF(Z441="",0,Z441),"0")+IFERROR(IF(Z442="",0,Z442),"0")</f>
        <v>0.51427999999999996</v>
      </c>
      <c r="AA443" s="548"/>
      <c r="AB443" s="548"/>
      <c r="AC443" s="548"/>
    </row>
    <row r="444" spans="1:68" x14ac:dyDescent="0.2">
      <c r="A444" s="556"/>
      <c r="B444" s="556"/>
      <c r="C444" s="556"/>
      <c r="D444" s="556"/>
      <c r="E444" s="556"/>
      <c r="F444" s="556"/>
      <c r="G444" s="556"/>
      <c r="H444" s="556"/>
      <c r="I444" s="556"/>
      <c r="J444" s="556"/>
      <c r="K444" s="556"/>
      <c r="L444" s="556"/>
      <c r="M444" s="556"/>
      <c r="N444" s="556"/>
      <c r="O444" s="578"/>
      <c r="P444" s="552" t="s">
        <v>75</v>
      </c>
      <c r="Q444" s="553"/>
      <c r="R444" s="553"/>
      <c r="S444" s="553"/>
      <c r="T444" s="553"/>
      <c r="U444" s="553"/>
      <c r="V444" s="554"/>
      <c r="W444" s="37" t="s">
        <v>69</v>
      </c>
      <c r="X444" s="547">
        <f>IFERROR(SUM(X440:X442),"0")</f>
        <v>224</v>
      </c>
      <c r="Y444" s="547">
        <f>IFERROR(SUM(Y440:Y442),"0")</f>
        <v>227.04000000000002</v>
      </c>
      <c r="Z444" s="37"/>
      <c r="AA444" s="548"/>
      <c r="AB444" s="548"/>
      <c r="AC444" s="548"/>
    </row>
    <row r="445" spans="1:68" ht="14.25" customHeight="1" x14ac:dyDescent="0.25">
      <c r="A445" s="560" t="s">
        <v>64</v>
      </c>
      <c r="B445" s="556"/>
      <c r="C445" s="556"/>
      <c r="D445" s="556"/>
      <c r="E445" s="556"/>
      <c r="F445" s="556"/>
      <c r="G445" s="556"/>
      <c r="H445" s="556"/>
      <c r="I445" s="556"/>
      <c r="J445" s="556"/>
      <c r="K445" s="556"/>
      <c r="L445" s="556"/>
      <c r="M445" s="556"/>
      <c r="N445" s="556"/>
      <c r="O445" s="556"/>
      <c r="P445" s="556"/>
      <c r="Q445" s="556"/>
      <c r="R445" s="556"/>
      <c r="S445" s="556"/>
      <c r="T445" s="556"/>
      <c r="U445" s="556"/>
      <c r="V445" s="556"/>
      <c r="W445" s="556"/>
      <c r="X445" s="556"/>
      <c r="Y445" s="556"/>
      <c r="Z445" s="556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61">
        <v>4680115883116</v>
      </c>
      <c r="E446" s="562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0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61">
        <v>4680115883093</v>
      </c>
      <c r="E447" s="562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8"/>
      <c r="R447" s="558"/>
      <c r="S447" s="558"/>
      <c r="T447" s="559"/>
      <c r="U447" s="34"/>
      <c r="V447" s="34"/>
      <c r="W447" s="35" t="s">
        <v>69</v>
      </c>
      <c r="X447" s="545">
        <v>0</v>
      </c>
      <c r="Y447" s="546">
        <f t="shared" si="48"/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61">
        <v>4680115883109</v>
      </c>
      <c r="E448" s="562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6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8"/>
      <c r="R448" s="558"/>
      <c r="S448" s="558"/>
      <c r="T448" s="559"/>
      <c r="U448" s="34"/>
      <c r="V448" s="34"/>
      <c r="W448" s="35" t="s">
        <v>69</v>
      </c>
      <c r="X448" s="545">
        <v>60</v>
      </c>
      <c r="Y448" s="546">
        <f t="shared" si="48"/>
        <v>63.36</v>
      </c>
      <c r="Z448" s="36">
        <f>IFERROR(IF(Y448=0,"",ROUNDUP(Y448/H448,0)*0.01196),"")</f>
        <v>0.14352000000000001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63.977272727272727</v>
      </c>
      <c r="BN448" s="64">
        <f t="shared" si="50"/>
        <v>67.559999999999988</v>
      </c>
      <c r="BO448" s="64">
        <f t="shared" si="51"/>
        <v>0.10926573426573427</v>
      </c>
      <c r="BP448" s="64">
        <f t="shared" si="52"/>
        <v>0.11538461538461539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61">
        <v>4680115882072</v>
      </c>
      <c r="E449" s="562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63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8"/>
      <c r="R449" s="558"/>
      <c r="S449" s="558"/>
      <c r="T449" s="559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61">
        <v>4680115882102</v>
      </c>
      <c r="E450" s="562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75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8"/>
      <c r="R450" s="558"/>
      <c r="S450" s="558"/>
      <c r="T450" s="559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61">
        <v>4680115882096</v>
      </c>
      <c r="E451" s="562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8"/>
      <c r="R451" s="558"/>
      <c r="S451" s="558"/>
      <c r="T451" s="559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77"/>
      <c r="B452" s="556"/>
      <c r="C452" s="556"/>
      <c r="D452" s="556"/>
      <c r="E452" s="556"/>
      <c r="F452" s="556"/>
      <c r="G452" s="556"/>
      <c r="H452" s="556"/>
      <c r="I452" s="556"/>
      <c r="J452" s="556"/>
      <c r="K452" s="556"/>
      <c r="L452" s="556"/>
      <c r="M452" s="556"/>
      <c r="N452" s="556"/>
      <c r="O452" s="578"/>
      <c r="P452" s="552" t="s">
        <v>75</v>
      </c>
      <c r="Q452" s="553"/>
      <c r="R452" s="553"/>
      <c r="S452" s="553"/>
      <c r="T452" s="553"/>
      <c r="U452" s="553"/>
      <c r="V452" s="554"/>
      <c r="W452" s="37" t="s">
        <v>76</v>
      </c>
      <c r="X452" s="547">
        <f>IFERROR(X446/H446,"0")+IFERROR(X447/H447,"0")+IFERROR(X448/H448,"0")+IFERROR(X449/H449,"0")+IFERROR(X450/H450,"0")+IFERROR(X451/H451,"0")</f>
        <v>11.363636363636363</v>
      </c>
      <c r="Y452" s="547">
        <f>IFERROR(Y446/H446,"0")+IFERROR(Y447/H447,"0")+IFERROR(Y448/H448,"0")+IFERROR(Y449/H449,"0")+IFERROR(Y450/H450,"0")+IFERROR(Y451/H451,"0")</f>
        <v>12</v>
      </c>
      <c r="Z452" s="547">
        <f>IFERROR(IF(Z446="",0,Z446),"0")+IFERROR(IF(Z447="",0,Z447),"0")+IFERROR(IF(Z448="",0,Z448),"0")+IFERROR(IF(Z449="",0,Z449),"0")+IFERROR(IF(Z450="",0,Z450),"0")+IFERROR(IF(Z451="",0,Z451),"0")</f>
        <v>0.14352000000000001</v>
      </c>
      <c r="AA452" s="548"/>
      <c r="AB452" s="548"/>
      <c r="AC452" s="548"/>
    </row>
    <row r="453" spans="1:68" x14ac:dyDescent="0.2">
      <c r="A453" s="556"/>
      <c r="B453" s="556"/>
      <c r="C453" s="556"/>
      <c r="D453" s="556"/>
      <c r="E453" s="556"/>
      <c r="F453" s="556"/>
      <c r="G453" s="556"/>
      <c r="H453" s="556"/>
      <c r="I453" s="556"/>
      <c r="J453" s="556"/>
      <c r="K453" s="556"/>
      <c r="L453" s="556"/>
      <c r="M453" s="556"/>
      <c r="N453" s="556"/>
      <c r="O453" s="578"/>
      <c r="P453" s="552" t="s">
        <v>75</v>
      </c>
      <c r="Q453" s="553"/>
      <c r="R453" s="553"/>
      <c r="S453" s="553"/>
      <c r="T453" s="553"/>
      <c r="U453" s="553"/>
      <c r="V453" s="554"/>
      <c r="W453" s="37" t="s">
        <v>69</v>
      </c>
      <c r="X453" s="547">
        <f>IFERROR(SUM(X446:X451),"0")</f>
        <v>60</v>
      </c>
      <c r="Y453" s="547">
        <f>IFERROR(SUM(Y446:Y451),"0")</f>
        <v>63.36</v>
      </c>
      <c r="Z453" s="37"/>
      <c r="AA453" s="548"/>
      <c r="AB453" s="548"/>
      <c r="AC453" s="548"/>
    </row>
    <row r="454" spans="1:68" ht="14.25" customHeight="1" x14ac:dyDescent="0.25">
      <c r="A454" s="560" t="s">
        <v>77</v>
      </c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56"/>
      <c r="P454" s="556"/>
      <c r="Q454" s="556"/>
      <c r="R454" s="556"/>
      <c r="S454" s="556"/>
      <c r="T454" s="556"/>
      <c r="U454" s="556"/>
      <c r="V454" s="556"/>
      <c r="W454" s="556"/>
      <c r="X454" s="556"/>
      <c r="Y454" s="556"/>
      <c r="Z454" s="556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61">
        <v>4680115883536</v>
      </c>
      <c r="E455" s="562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86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8"/>
      <c r="R455" s="558"/>
      <c r="S455" s="558"/>
      <c r="T455" s="559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77"/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78"/>
      <c r="P456" s="552" t="s">
        <v>75</v>
      </c>
      <c r="Q456" s="553"/>
      <c r="R456" s="553"/>
      <c r="S456" s="553"/>
      <c r="T456" s="553"/>
      <c r="U456" s="553"/>
      <c r="V456" s="554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6"/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78"/>
      <c r="P457" s="552" t="s">
        <v>75</v>
      </c>
      <c r="Q457" s="553"/>
      <c r="R457" s="553"/>
      <c r="S457" s="553"/>
      <c r="T457" s="553"/>
      <c r="U457" s="553"/>
      <c r="V457" s="554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686" t="s">
        <v>712</v>
      </c>
      <c r="B458" s="687"/>
      <c r="C458" s="687"/>
      <c r="D458" s="687"/>
      <c r="E458" s="687"/>
      <c r="F458" s="687"/>
      <c r="G458" s="687"/>
      <c r="H458" s="687"/>
      <c r="I458" s="687"/>
      <c r="J458" s="687"/>
      <c r="K458" s="687"/>
      <c r="L458" s="687"/>
      <c r="M458" s="687"/>
      <c r="N458" s="687"/>
      <c r="O458" s="687"/>
      <c r="P458" s="687"/>
      <c r="Q458" s="687"/>
      <c r="R458" s="687"/>
      <c r="S458" s="687"/>
      <c r="T458" s="687"/>
      <c r="U458" s="687"/>
      <c r="V458" s="687"/>
      <c r="W458" s="687"/>
      <c r="X458" s="687"/>
      <c r="Y458" s="687"/>
      <c r="Z458" s="687"/>
      <c r="AA458" s="48"/>
      <c r="AB458" s="48"/>
      <c r="AC458" s="48"/>
    </row>
    <row r="459" spans="1:68" ht="16.5" customHeight="1" x14ac:dyDescent="0.25">
      <c r="A459" s="576" t="s">
        <v>712</v>
      </c>
      <c r="B459" s="556"/>
      <c r="C459" s="556"/>
      <c r="D459" s="556"/>
      <c r="E459" s="556"/>
      <c r="F459" s="556"/>
      <c r="G459" s="556"/>
      <c r="H459" s="556"/>
      <c r="I459" s="556"/>
      <c r="J459" s="556"/>
      <c r="K459" s="556"/>
      <c r="L459" s="556"/>
      <c r="M459" s="556"/>
      <c r="N459" s="556"/>
      <c r="O459" s="556"/>
      <c r="P459" s="556"/>
      <c r="Q459" s="556"/>
      <c r="R459" s="556"/>
      <c r="S459" s="556"/>
      <c r="T459" s="556"/>
      <c r="U459" s="556"/>
      <c r="V459" s="556"/>
      <c r="W459" s="556"/>
      <c r="X459" s="556"/>
      <c r="Y459" s="556"/>
      <c r="Z459" s="556"/>
      <c r="AA459" s="540"/>
      <c r="AB459" s="540"/>
      <c r="AC459" s="540"/>
    </row>
    <row r="460" spans="1:68" ht="14.25" customHeight="1" x14ac:dyDescent="0.25">
      <c r="A460" s="560" t="s">
        <v>102</v>
      </c>
      <c r="B460" s="556"/>
      <c r="C460" s="556"/>
      <c r="D460" s="556"/>
      <c r="E460" s="556"/>
      <c r="F460" s="556"/>
      <c r="G460" s="556"/>
      <c r="H460" s="556"/>
      <c r="I460" s="556"/>
      <c r="J460" s="556"/>
      <c r="K460" s="556"/>
      <c r="L460" s="556"/>
      <c r="M460" s="556"/>
      <c r="N460" s="556"/>
      <c r="O460" s="556"/>
      <c r="P460" s="556"/>
      <c r="Q460" s="556"/>
      <c r="R460" s="556"/>
      <c r="S460" s="556"/>
      <c r="T460" s="556"/>
      <c r="U460" s="556"/>
      <c r="V460" s="556"/>
      <c r="W460" s="556"/>
      <c r="X460" s="556"/>
      <c r="Y460" s="556"/>
      <c r="Z460" s="556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61">
        <v>4640242181011</v>
      </c>
      <c r="E461" s="562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66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8"/>
      <c r="R461" s="558"/>
      <c r="S461" s="558"/>
      <c r="T461" s="559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61">
        <v>4640242180441</v>
      </c>
      <c r="E462" s="562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66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8"/>
      <c r="R462" s="558"/>
      <c r="S462" s="558"/>
      <c r="T462" s="559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61">
        <v>4640242180564</v>
      </c>
      <c r="E463" s="562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64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8"/>
      <c r="R463" s="558"/>
      <c r="S463" s="558"/>
      <c r="T463" s="559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61">
        <v>4640242181189</v>
      </c>
      <c r="E464" s="562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80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8"/>
      <c r="R464" s="558"/>
      <c r="S464" s="558"/>
      <c r="T464" s="559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77"/>
      <c r="B465" s="556"/>
      <c r="C465" s="556"/>
      <c r="D465" s="556"/>
      <c r="E465" s="556"/>
      <c r="F465" s="556"/>
      <c r="G465" s="556"/>
      <c r="H465" s="556"/>
      <c r="I465" s="556"/>
      <c r="J465" s="556"/>
      <c r="K465" s="556"/>
      <c r="L465" s="556"/>
      <c r="M465" s="556"/>
      <c r="N465" s="556"/>
      <c r="O465" s="578"/>
      <c r="P465" s="552" t="s">
        <v>75</v>
      </c>
      <c r="Q465" s="553"/>
      <c r="R465" s="553"/>
      <c r="S465" s="553"/>
      <c r="T465" s="553"/>
      <c r="U465" s="553"/>
      <c r="V465" s="554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6"/>
      <c r="B466" s="556"/>
      <c r="C466" s="556"/>
      <c r="D466" s="556"/>
      <c r="E466" s="556"/>
      <c r="F466" s="556"/>
      <c r="G466" s="556"/>
      <c r="H466" s="556"/>
      <c r="I466" s="556"/>
      <c r="J466" s="556"/>
      <c r="K466" s="556"/>
      <c r="L466" s="556"/>
      <c r="M466" s="556"/>
      <c r="N466" s="556"/>
      <c r="O466" s="578"/>
      <c r="P466" s="552" t="s">
        <v>75</v>
      </c>
      <c r="Q466" s="553"/>
      <c r="R466" s="553"/>
      <c r="S466" s="553"/>
      <c r="T466" s="553"/>
      <c r="U466" s="553"/>
      <c r="V466" s="554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60" t="s">
        <v>137</v>
      </c>
      <c r="B467" s="556"/>
      <c r="C467" s="556"/>
      <c r="D467" s="556"/>
      <c r="E467" s="556"/>
      <c r="F467" s="556"/>
      <c r="G467" s="556"/>
      <c r="H467" s="556"/>
      <c r="I467" s="556"/>
      <c r="J467" s="556"/>
      <c r="K467" s="556"/>
      <c r="L467" s="556"/>
      <c r="M467" s="556"/>
      <c r="N467" s="556"/>
      <c r="O467" s="556"/>
      <c r="P467" s="556"/>
      <c r="Q467" s="556"/>
      <c r="R467" s="556"/>
      <c r="S467" s="556"/>
      <c r="T467" s="556"/>
      <c r="U467" s="556"/>
      <c r="V467" s="556"/>
      <c r="W467" s="556"/>
      <c r="X467" s="556"/>
      <c r="Y467" s="556"/>
      <c r="Z467" s="556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61">
        <v>4640242180519</v>
      </c>
      <c r="E468" s="562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84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8"/>
      <c r="R468" s="558"/>
      <c r="S468" s="558"/>
      <c r="T468" s="559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61">
        <v>4640242180526</v>
      </c>
      <c r="E469" s="562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78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8"/>
      <c r="R469" s="558"/>
      <c r="S469" s="558"/>
      <c r="T469" s="559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77"/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78"/>
      <c r="P470" s="552" t="s">
        <v>75</v>
      </c>
      <c r="Q470" s="553"/>
      <c r="R470" s="553"/>
      <c r="S470" s="553"/>
      <c r="T470" s="553"/>
      <c r="U470" s="553"/>
      <c r="V470" s="554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6"/>
      <c r="B471" s="556"/>
      <c r="C471" s="556"/>
      <c r="D471" s="556"/>
      <c r="E471" s="556"/>
      <c r="F471" s="556"/>
      <c r="G471" s="556"/>
      <c r="H471" s="556"/>
      <c r="I471" s="556"/>
      <c r="J471" s="556"/>
      <c r="K471" s="556"/>
      <c r="L471" s="556"/>
      <c r="M471" s="556"/>
      <c r="N471" s="556"/>
      <c r="O471" s="578"/>
      <c r="P471" s="552" t="s">
        <v>75</v>
      </c>
      <c r="Q471" s="553"/>
      <c r="R471" s="553"/>
      <c r="S471" s="553"/>
      <c r="T471" s="553"/>
      <c r="U471" s="553"/>
      <c r="V471" s="554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60" t="s">
        <v>64</v>
      </c>
      <c r="B472" s="556"/>
      <c r="C472" s="556"/>
      <c r="D472" s="556"/>
      <c r="E472" s="556"/>
      <c r="F472" s="556"/>
      <c r="G472" s="556"/>
      <c r="H472" s="556"/>
      <c r="I472" s="556"/>
      <c r="J472" s="556"/>
      <c r="K472" s="556"/>
      <c r="L472" s="556"/>
      <c r="M472" s="556"/>
      <c r="N472" s="556"/>
      <c r="O472" s="556"/>
      <c r="P472" s="556"/>
      <c r="Q472" s="556"/>
      <c r="R472" s="556"/>
      <c r="S472" s="556"/>
      <c r="T472" s="556"/>
      <c r="U472" s="556"/>
      <c r="V472" s="556"/>
      <c r="W472" s="556"/>
      <c r="X472" s="556"/>
      <c r="Y472" s="556"/>
      <c r="Z472" s="556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61">
        <v>4640242180816</v>
      </c>
      <c r="E473" s="562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84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8"/>
      <c r="R473" s="558"/>
      <c r="S473" s="558"/>
      <c r="T473" s="559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61">
        <v>4640242180595</v>
      </c>
      <c r="E474" s="562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81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8"/>
      <c r="R474" s="558"/>
      <c r="S474" s="558"/>
      <c r="T474" s="559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77"/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78"/>
      <c r="P475" s="552" t="s">
        <v>75</v>
      </c>
      <c r="Q475" s="553"/>
      <c r="R475" s="553"/>
      <c r="S475" s="553"/>
      <c r="T475" s="553"/>
      <c r="U475" s="553"/>
      <c r="V475" s="554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6"/>
      <c r="B476" s="556"/>
      <c r="C476" s="556"/>
      <c r="D476" s="556"/>
      <c r="E476" s="556"/>
      <c r="F476" s="556"/>
      <c r="G476" s="556"/>
      <c r="H476" s="556"/>
      <c r="I476" s="556"/>
      <c r="J476" s="556"/>
      <c r="K476" s="556"/>
      <c r="L476" s="556"/>
      <c r="M476" s="556"/>
      <c r="N476" s="556"/>
      <c r="O476" s="578"/>
      <c r="P476" s="552" t="s">
        <v>75</v>
      </c>
      <c r="Q476" s="553"/>
      <c r="R476" s="553"/>
      <c r="S476" s="553"/>
      <c r="T476" s="553"/>
      <c r="U476" s="553"/>
      <c r="V476" s="554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60" t="s">
        <v>77</v>
      </c>
      <c r="B477" s="556"/>
      <c r="C477" s="556"/>
      <c r="D477" s="556"/>
      <c r="E477" s="556"/>
      <c r="F477" s="556"/>
      <c r="G477" s="556"/>
      <c r="H477" s="556"/>
      <c r="I477" s="556"/>
      <c r="J477" s="556"/>
      <c r="K477" s="556"/>
      <c r="L477" s="556"/>
      <c r="M477" s="556"/>
      <c r="N477" s="556"/>
      <c r="O477" s="556"/>
      <c r="P477" s="556"/>
      <c r="Q477" s="556"/>
      <c r="R477" s="556"/>
      <c r="S477" s="556"/>
      <c r="T477" s="556"/>
      <c r="U477" s="556"/>
      <c r="V477" s="556"/>
      <c r="W477" s="556"/>
      <c r="X477" s="556"/>
      <c r="Y477" s="556"/>
      <c r="Z477" s="556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61">
        <v>4640242180533</v>
      </c>
      <c r="E478" s="562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64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77"/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78"/>
      <c r="P479" s="552" t="s">
        <v>75</v>
      </c>
      <c r="Q479" s="553"/>
      <c r="R479" s="553"/>
      <c r="S479" s="553"/>
      <c r="T479" s="553"/>
      <c r="U479" s="553"/>
      <c r="V479" s="554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6"/>
      <c r="B480" s="556"/>
      <c r="C480" s="556"/>
      <c r="D480" s="556"/>
      <c r="E480" s="556"/>
      <c r="F480" s="556"/>
      <c r="G480" s="556"/>
      <c r="H480" s="556"/>
      <c r="I480" s="556"/>
      <c r="J480" s="556"/>
      <c r="K480" s="556"/>
      <c r="L480" s="556"/>
      <c r="M480" s="556"/>
      <c r="N480" s="556"/>
      <c r="O480" s="578"/>
      <c r="P480" s="552" t="s">
        <v>75</v>
      </c>
      <c r="Q480" s="553"/>
      <c r="R480" s="553"/>
      <c r="S480" s="553"/>
      <c r="T480" s="553"/>
      <c r="U480" s="553"/>
      <c r="V480" s="554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60" t="s">
        <v>165</v>
      </c>
      <c r="B481" s="556"/>
      <c r="C481" s="556"/>
      <c r="D481" s="556"/>
      <c r="E481" s="556"/>
      <c r="F481" s="556"/>
      <c r="G481" s="556"/>
      <c r="H481" s="556"/>
      <c r="I481" s="556"/>
      <c r="J481" s="556"/>
      <c r="K481" s="556"/>
      <c r="L481" s="556"/>
      <c r="M481" s="556"/>
      <c r="N481" s="556"/>
      <c r="O481" s="556"/>
      <c r="P481" s="556"/>
      <c r="Q481" s="556"/>
      <c r="R481" s="556"/>
      <c r="S481" s="556"/>
      <c r="T481" s="556"/>
      <c r="U481" s="556"/>
      <c r="V481" s="556"/>
      <c r="W481" s="556"/>
      <c r="X481" s="556"/>
      <c r="Y481" s="556"/>
      <c r="Z481" s="556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61">
        <v>4640242180120</v>
      </c>
      <c r="E482" s="562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84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61">
        <v>4640242180137</v>
      </c>
      <c r="E483" s="562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65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8"/>
      <c r="R483" s="558"/>
      <c r="S483" s="558"/>
      <c r="T483" s="559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77"/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78"/>
      <c r="P484" s="552" t="s">
        <v>75</v>
      </c>
      <c r="Q484" s="553"/>
      <c r="R484" s="553"/>
      <c r="S484" s="553"/>
      <c r="T484" s="553"/>
      <c r="U484" s="553"/>
      <c r="V484" s="554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6"/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78"/>
      <c r="P485" s="552" t="s">
        <v>75</v>
      </c>
      <c r="Q485" s="553"/>
      <c r="R485" s="553"/>
      <c r="S485" s="553"/>
      <c r="T485" s="553"/>
      <c r="U485" s="553"/>
      <c r="V485" s="554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76" t="s">
        <v>745</v>
      </c>
      <c r="B486" s="556"/>
      <c r="C486" s="556"/>
      <c r="D486" s="556"/>
      <c r="E486" s="556"/>
      <c r="F486" s="556"/>
      <c r="G486" s="556"/>
      <c r="H486" s="556"/>
      <c r="I486" s="556"/>
      <c r="J486" s="556"/>
      <c r="K486" s="556"/>
      <c r="L486" s="556"/>
      <c r="M486" s="556"/>
      <c r="N486" s="556"/>
      <c r="O486" s="556"/>
      <c r="P486" s="556"/>
      <c r="Q486" s="556"/>
      <c r="R486" s="556"/>
      <c r="S486" s="556"/>
      <c r="T486" s="556"/>
      <c r="U486" s="556"/>
      <c r="V486" s="556"/>
      <c r="W486" s="556"/>
      <c r="X486" s="556"/>
      <c r="Y486" s="556"/>
      <c r="Z486" s="556"/>
      <c r="AA486" s="540"/>
      <c r="AB486" s="540"/>
      <c r="AC486" s="540"/>
    </row>
    <row r="487" spans="1:68" ht="14.25" customHeight="1" x14ac:dyDescent="0.25">
      <c r="A487" s="560" t="s">
        <v>137</v>
      </c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556"/>
      <c r="P487" s="556"/>
      <c r="Q487" s="556"/>
      <c r="R487" s="556"/>
      <c r="S487" s="556"/>
      <c r="T487" s="556"/>
      <c r="U487" s="556"/>
      <c r="V487" s="556"/>
      <c r="W487" s="556"/>
      <c r="X487" s="556"/>
      <c r="Y487" s="556"/>
      <c r="Z487" s="556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61">
        <v>4640242180090</v>
      </c>
      <c r="E488" s="562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64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8"/>
      <c r="R488" s="558"/>
      <c r="S488" s="558"/>
      <c r="T488" s="559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77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578"/>
      <c r="P489" s="552" t="s">
        <v>75</v>
      </c>
      <c r="Q489" s="553"/>
      <c r="R489" s="553"/>
      <c r="S489" s="553"/>
      <c r="T489" s="553"/>
      <c r="U489" s="553"/>
      <c r="V489" s="554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578"/>
      <c r="P490" s="552" t="s">
        <v>75</v>
      </c>
      <c r="Q490" s="553"/>
      <c r="R490" s="553"/>
      <c r="S490" s="553"/>
      <c r="T490" s="553"/>
      <c r="U490" s="553"/>
      <c r="V490" s="554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585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586"/>
      <c r="P491" s="549" t="s">
        <v>749</v>
      </c>
      <c r="Q491" s="550"/>
      <c r="R491" s="550"/>
      <c r="S491" s="550"/>
      <c r="T491" s="550"/>
      <c r="U491" s="550"/>
      <c r="V491" s="55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3397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3482.9600000000005</v>
      </c>
      <c r="Z491" s="37"/>
      <c r="AA491" s="548"/>
      <c r="AB491" s="548"/>
      <c r="AC491" s="548"/>
    </row>
    <row r="492" spans="1:68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586"/>
      <c r="P492" s="549" t="s">
        <v>750</v>
      </c>
      <c r="Q492" s="550"/>
      <c r="R492" s="550"/>
      <c r="S492" s="550"/>
      <c r="T492" s="550"/>
      <c r="U492" s="550"/>
      <c r="V492" s="551"/>
      <c r="W492" s="37" t="s">
        <v>69</v>
      </c>
      <c r="X492" s="547">
        <f>IFERROR(SUM(BM22:BM488),"0")</f>
        <v>3554.3160911495906</v>
      </c>
      <c r="Y492" s="547">
        <f>IFERROR(SUM(BN22:BN488),"0")</f>
        <v>3644.806</v>
      </c>
      <c r="Z492" s="37"/>
      <c r="AA492" s="548"/>
      <c r="AB492" s="548"/>
      <c r="AC492" s="548"/>
    </row>
    <row r="493" spans="1:68" x14ac:dyDescent="0.2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586"/>
      <c r="P493" s="549" t="s">
        <v>751</v>
      </c>
      <c r="Q493" s="550"/>
      <c r="R493" s="550"/>
      <c r="S493" s="550"/>
      <c r="T493" s="550"/>
      <c r="U493" s="550"/>
      <c r="V493" s="551"/>
      <c r="W493" s="37" t="s">
        <v>752</v>
      </c>
      <c r="X493" s="38">
        <f>ROUNDUP(SUM(BO22:BO488),0)</f>
        <v>6</v>
      </c>
      <c r="Y493" s="38">
        <f>ROUNDUP(SUM(BP22:BP488),0)</f>
        <v>6</v>
      </c>
      <c r="Z493" s="37"/>
      <c r="AA493" s="548"/>
      <c r="AB493" s="548"/>
      <c r="AC493" s="548"/>
    </row>
    <row r="494" spans="1:68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586"/>
      <c r="P494" s="549" t="s">
        <v>753</v>
      </c>
      <c r="Q494" s="550"/>
      <c r="R494" s="550"/>
      <c r="S494" s="550"/>
      <c r="T494" s="550"/>
      <c r="U494" s="550"/>
      <c r="V494" s="551"/>
      <c r="W494" s="37" t="s">
        <v>69</v>
      </c>
      <c r="X494" s="547">
        <f>GrossWeightTotal+PalletQtyTotal*25</f>
        <v>3704.3160911495906</v>
      </c>
      <c r="Y494" s="547">
        <f>GrossWeightTotalR+PalletQtyTotalR*25</f>
        <v>3794.806</v>
      </c>
      <c r="Z494" s="37"/>
      <c r="AA494" s="548"/>
      <c r="AB494" s="548"/>
      <c r="AC494" s="548"/>
    </row>
    <row r="495" spans="1:68" x14ac:dyDescent="0.2">
      <c r="A495" s="556"/>
      <c r="B495" s="556"/>
      <c r="C495" s="556"/>
      <c r="D495" s="556"/>
      <c r="E495" s="556"/>
      <c r="F495" s="556"/>
      <c r="G495" s="556"/>
      <c r="H495" s="556"/>
      <c r="I495" s="556"/>
      <c r="J495" s="556"/>
      <c r="K495" s="556"/>
      <c r="L495" s="556"/>
      <c r="M495" s="556"/>
      <c r="N495" s="556"/>
      <c r="O495" s="586"/>
      <c r="P495" s="549" t="s">
        <v>754</v>
      </c>
      <c r="Q495" s="550"/>
      <c r="R495" s="550"/>
      <c r="S495" s="550"/>
      <c r="T495" s="550"/>
      <c r="U495" s="550"/>
      <c r="V495" s="55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549.16580086580075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567</v>
      </c>
      <c r="Z495" s="37"/>
      <c r="AA495" s="548"/>
      <c r="AB495" s="548"/>
      <c r="AC495" s="548"/>
    </row>
    <row r="496" spans="1:68" ht="14.25" customHeight="1" x14ac:dyDescent="0.2">
      <c r="A496" s="556"/>
      <c r="B496" s="556"/>
      <c r="C496" s="556"/>
      <c r="D496" s="556"/>
      <c r="E496" s="556"/>
      <c r="F496" s="556"/>
      <c r="G496" s="556"/>
      <c r="H496" s="556"/>
      <c r="I496" s="556"/>
      <c r="J496" s="556"/>
      <c r="K496" s="556"/>
      <c r="L496" s="556"/>
      <c r="M496" s="556"/>
      <c r="N496" s="556"/>
      <c r="O496" s="586"/>
      <c r="P496" s="549" t="s">
        <v>755</v>
      </c>
      <c r="Q496" s="550"/>
      <c r="R496" s="550"/>
      <c r="S496" s="550"/>
      <c r="T496" s="550"/>
      <c r="U496" s="550"/>
      <c r="V496" s="55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6.5659799999999997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2" t="s">
        <v>100</v>
      </c>
      <c r="D498" s="763"/>
      <c r="E498" s="763"/>
      <c r="F498" s="763"/>
      <c r="G498" s="763"/>
      <c r="H498" s="764"/>
      <c r="I498" s="572" t="s">
        <v>267</v>
      </c>
      <c r="J498" s="763"/>
      <c r="K498" s="763"/>
      <c r="L498" s="763"/>
      <c r="M498" s="763"/>
      <c r="N498" s="763"/>
      <c r="O498" s="763"/>
      <c r="P498" s="763"/>
      <c r="Q498" s="763"/>
      <c r="R498" s="764"/>
      <c r="S498" s="572" t="s">
        <v>551</v>
      </c>
      <c r="T498" s="764"/>
      <c r="U498" s="572" t="s">
        <v>605</v>
      </c>
      <c r="V498" s="763"/>
      <c r="W498" s="764"/>
      <c r="X498" s="542" t="s">
        <v>656</v>
      </c>
      <c r="Y498" s="572" t="s">
        <v>712</v>
      </c>
      <c r="Z498" s="764"/>
      <c r="AB498" s="52"/>
      <c r="AC498" s="52"/>
      <c r="AF498" s="543"/>
    </row>
    <row r="499" spans="1:32" ht="14.25" customHeight="1" thickTop="1" x14ac:dyDescent="0.2">
      <c r="A499" s="587" t="s">
        <v>758</v>
      </c>
      <c r="B499" s="572" t="s">
        <v>63</v>
      </c>
      <c r="C499" s="572" t="s">
        <v>101</v>
      </c>
      <c r="D499" s="572" t="s">
        <v>118</v>
      </c>
      <c r="E499" s="572" t="s">
        <v>172</v>
      </c>
      <c r="F499" s="572" t="s">
        <v>196</v>
      </c>
      <c r="G499" s="572" t="s">
        <v>237</v>
      </c>
      <c r="H499" s="572" t="s">
        <v>100</v>
      </c>
      <c r="I499" s="572" t="s">
        <v>268</v>
      </c>
      <c r="J499" s="572" t="s">
        <v>321</v>
      </c>
      <c r="K499" s="572" t="s">
        <v>380</v>
      </c>
      <c r="L499" s="572" t="s">
        <v>420</v>
      </c>
      <c r="M499" s="572" t="s">
        <v>436</v>
      </c>
      <c r="N499" s="543"/>
      <c r="O499" s="572" t="s">
        <v>447</v>
      </c>
      <c r="P499" s="572" t="s">
        <v>456</v>
      </c>
      <c r="Q499" s="572" t="s">
        <v>469</v>
      </c>
      <c r="R499" s="572" t="s">
        <v>541</v>
      </c>
      <c r="S499" s="572" t="s">
        <v>552</v>
      </c>
      <c r="T499" s="572" t="s">
        <v>587</v>
      </c>
      <c r="U499" s="572" t="s">
        <v>606</v>
      </c>
      <c r="V499" s="572" t="s">
        <v>637</v>
      </c>
      <c r="W499" s="572" t="s">
        <v>652</v>
      </c>
      <c r="X499" s="572" t="s">
        <v>656</v>
      </c>
      <c r="Y499" s="572" t="s">
        <v>712</v>
      </c>
      <c r="Z499" s="572" t="s">
        <v>745</v>
      </c>
      <c r="AB499" s="52"/>
      <c r="AC499" s="52"/>
      <c r="AF499" s="543"/>
    </row>
    <row r="500" spans="1:32" ht="13.5" customHeight="1" thickBot="1" x14ac:dyDescent="0.25">
      <c r="A500" s="588"/>
      <c r="B500" s="573"/>
      <c r="C500" s="573"/>
      <c r="D500" s="573"/>
      <c r="E500" s="573"/>
      <c r="F500" s="573"/>
      <c r="G500" s="573"/>
      <c r="H500" s="573"/>
      <c r="I500" s="573"/>
      <c r="J500" s="573"/>
      <c r="K500" s="573"/>
      <c r="L500" s="573"/>
      <c r="M500" s="573"/>
      <c r="N500" s="543"/>
      <c r="O500" s="573"/>
      <c r="P500" s="573"/>
      <c r="Q500" s="573"/>
      <c r="R500" s="573"/>
      <c r="S500" s="573"/>
      <c r="T500" s="573"/>
      <c r="U500" s="573"/>
      <c r="V500" s="573"/>
      <c r="W500" s="573"/>
      <c r="X500" s="573"/>
      <c r="Y500" s="573"/>
      <c r="Z500" s="573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162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54</v>
      </c>
      <c r="E501" s="46">
        <f>IFERROR(Y86*1,"0")+IFERROR(Y87*1,"0")+IFERROR(Y88*1,"0")+IFERROR(Y89*1,"0")+IFERROR(Y93*1,"0")+IFERROR(Y94*1,"0")+IFERROR(Y95*1,"0")+IFERROR(Y96*1,"0")</f>
        <v>148.5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183.60000000000002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374.82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906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5.4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101.6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753</v>
      </c>
      <c r="T501" s="46">
        <f>IFERROR(Y371*1,"0")+IFERROR(Y372*1,"0")+IFERROR(Y376*1,"0")+IFERROR(Y377*1,"0")+IFERROR(Y381*1,"0")+IFERROR(Y382*1,"0")+IFERROR(Y383*1,"0")</f>
        <v>252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91.800000000000011</v>
      </c>
      <c r="V501" s="46">
        <f>IFERROR(Y407*1,"0")+IFERROR(Y411*1,"0")+IFERROR(Y412*1,"0")+IFERROR(Y413*1,"0")+IFERROR(Y414*1,"0")</f>
        <v>64.800000000000011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385.44000000000005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oCdOgtkUbzxhjDfjKecSysnGrm6WYw83YzigAkyIyyTgM4dpsTOyPAkeeWmwJ/jv1z+HJbJoVyz6tsKXrn4fGw==" saltValue="ZnxxvsBM2R3sI+Zgat7cS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P429:T42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253:E253"/>
    <mergeCell ref="D53:E53"/>
    <mergeCell ref="P86:T86"/>
    <mergeCell ref="P213:T213"/>
    <mergeCell ref="D134:E134"/>
    <mergeCell ref="P73:T7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P444:V444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A475:O476"/>
    <mergeCell ref="D413:E413"/>
    <mergeCell ref="A226:O227"/>
    <mergeCell ref="D217:E217"/>
    <mergeCell ref="P476:V476"/>
    <mergeCell ref="D269:E269"/>
    <mergeCell ref="D296:E296"/>
    <mergeCell ref="P448:T448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P495:V495"/>
    <mergeCell ref="A127:Z127"/>
    <mergeCell ref="P239:V239"/>
    <mergeCell ref="A257:Z25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86 X93 X101 X104 X116 X118 X166 X168:X169 X201:X202 X204 X215 X217:X220 X277:X278 X319 X346:X347 X349 X356 X381 X389 X411 X429 X431 X440 X446:X448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yAY1Il2C0DYVIoexGDUnpMFt07IYurfY1Ospbqr2DYvW/45esaxcCkdxAfnt5qpNoZnXUsDpnnp51wRGOJQTbg==" saltValue="PKC8C7FchOAOxyfTyUzbb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2025-12-10T07:57:41Z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