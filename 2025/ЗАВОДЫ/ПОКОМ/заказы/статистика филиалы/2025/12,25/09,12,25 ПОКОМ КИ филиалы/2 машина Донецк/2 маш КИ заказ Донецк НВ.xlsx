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3BD0C99D-B531-4C67-8490-3F0894C1CDC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130" i="1" l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Z97" i="1" s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90" i="1"/>
  <c r="Z77" i="1"/>
  <c r="Z496" i="1" s="1"/>
  <c r="Z64" i="1"/>
  <c r="Z308" i="1"/>
  <c r="Z299" i="1"/>
  <c r="Z221" i="1"/>
  <c r="Z465" i="1"/>
  <c r="Z120" i="1"/>
  <c r="Z113" i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<sst xmlns="http://schemas.openxmlformats.org/spreadsheetml/2006/main" count="2295" uniqueCount="775">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</sst>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78</v>
      </c>
      <c r="Y52" s="546">
        <f t="shared" ref="Y52:Y57" si="0">IFERROR(IF(X52="",0,CEILING((X52/$H52),1)*$H52),"")</f>
        <v>78.399999999999991</v>
      </c>
      <c r="Z52" s="36">
        <f>IFERROR(IF(Y52=0,"",ROUNDUP(Y52/H52,0)*0.01898),"")</f>
        <v>0.13286000000000001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80.855357142857144</v>
      </c>
      <c r="BN52" s="64">
        <f t="shared" ref="BN52:BN57" si="2">IFERROR(Y52*I52/H52,"0")</f>
        <v>81.27</v>
      </c>
      <c r="BO52" s="64">
        <f t="shared" ref="BO52:BO57" si="3">IFERROR(1/J52*(X52/H52),"0")</f>
        <v>0.10881696428571429</v>
      </c>
      <c r="BP52" s="64">
        <f t="shared" ref="BP52:BP57" si="4">IFERROR(1/J52*(Y52/H52),"0")</f>
        <v>0.109375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6</v>
      </c>
      <c r="Y53" s="546">
        <f t="shared" si="0"/>
        <v>10.8</v>
      </c>
      <c r="Z53" s="36">
        <f>IFERROR(IF(Y53=0,"",ROUNDUP(Y53/H53,0)*0.01898),"")</f>
        <v>1.898E-2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6.2277777777777779</v>
      </c>
      <c r="BN53" s="64">
        <f t="shared" si="2"/>
        <v>11.21</v>
      </c>
      <c r="BO53" s="64">
        <f t="shared" si="3"/>
        <v>8.6805555555555542E-3</v>
      </c>
      <c r="BP53" s="64">
        <f t="shared" si="4"/>
        <v>1.5625E-2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3</v>
      </c>
      <c r="Y55" s="546">
        <f t="shared" si="0"/>
        <v>4</v>
      </c>
      <c r="Z55" s="36">
        <f>IFERROR(IF(Y55=0,"",ROUNDUP(Y55/H55,0)*0.00902),"")</f>
        <v>9.0200000000000002E-3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3.1425000000000001</v>
      </c>
      <c r="BN55" s="64">
        <f t="shared" si="2"/>
        <v>4.1900000000000004</v>
      </c>
      <c r="BO55" s="64">
        <f t="shared" si="3"/>
        <v>5.681818181818182E-3</v>
      </c>
      <c r="BP55" s="64">
        <f t="shared" si="4"/>
        <v>7.575757575757576E-3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8.2698412698412689</v>
      </c>
      <c r="Y58" s="547">
        <f>IFERROR(Y52/H52,"0")+IFERROR(Y53/H53,"0")+IFERROR(Y54/H54,"0")+IFERROR(Y55/H55,"0")+IFERROR(Y56/H56,"0")+IFERROR(Y57/H57,"0")</f>
        <v>9</v>
      </c>
      <c r="Z58" s="547">
        <f>IFERROR(IF(Z52="",0,Z52),"0")+IFERROR(IF(Z53="",0,Z53),"0")+IFERROR(IF(Z54="",0,Z54),"0")+IFERROR(IF(Z55="",0,Z55),"0")+IFERROR(IF(Z56="",0,Z56),"0")+IFERROR(IF(Z57="",0,Z57),"0")</f>
        <v>0.16086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87</v>
      </c>
      <c r="Y59" s="547">
        <f>IFERROR(SUM(Y52:Y57),"0")</f>
        <v>93.199999999999989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121</v>
      </c>
      <c r="Y61" s="546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125.59351851851852</v>
      </c>
      <c r="BN61" s="64">
        <f>IFERROR(Y61*I61/H61,"0")</f>
        <v>134.52000000000001</v>
      </c>
      <c r="BO61" s="64">
        <f>IFERROR(1/J61*(X61/H61),"0")</f>
        <v>0.17505787037037035</v>
      </c>
      <c r="BP61" s="64">
        <f>IFERROR(1/J61*(Y61/H61),"0")</f>
        <v>0.18750000000000003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11.203703703703702</v>
      </c>
      <c r="Y64" s="547">
        <f>IFERROR(Y61/H61,"0")+IFERROR(Y62/H62,"0")+IFERROR(Y63/H63,"0")</f>
        <v>12.000000000000002</v>
      </c>
      <c r="Z64" s="547">
        <f>IFERROR(IF(Z61="",0,Z61),"0")+IFERROR(IF(Z62="",0,Z62),"0")+IFERROR(IF(Z63="",0,Z63),"0")</f>
        <v>0.22776000000000002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121</v>
      </c>
      <c r="Y65" s="547">
        <f>IFERROR(SUM(Y61:Y63),"0")</f>
        <v>129.60000000000002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69</v>
      </c>
      <c r="Y80" s="546">
        <f>IFERROR(IF(X80="",0,CEILING((X80/$H80),1)*$H80),"")</f>
        <v>70.2</v>
      </c>
      <c r="Z80" s="36">
        <f>IFERROR(IF(Y80=0,"",ROUNDUP(Y80/H80,0)*0.01898),"")</f>
        <v>0.17082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72.626923076923077</v>
      </c>
      <c r="BN80" s="64">
        <f>IFERROR(Y80*I80/H80,"0")</f>
        <v>73.890000000000015</v>
      </c>
      <c r="BO80" s="64">
        <f>IFERROR(1/J80*(X80/H80),"0")</f>
        <v>0.13822115384615385</v>
      </c>
      <c r="BP80" s="64">
        <f>IFERROR(1/J80*(Y80/H80),"0")</f>
        <v>0.140625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8.8461538461538467</v>
      </c>
      <c r="Y82" s="547">
        <f>IFERROR(Y80/H80,"0")+IFERROR(Y81/H81,"0")</f>
        <v>9</v>
      </c>
      <c r="Z82" s="547">
        <f>IFERROR(IF(Z80="",0,Z80),"0")+IFERROR(IF(Z81="",0,Z81),"0")</f>
        <v>0.17082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69</v>
      </c>
      <c r="Y83" s="547">
        <f>IFERROR(SUM(Y80:Y81),"0")</f>
        <v>70.2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675</v>
      </c>
      <c r="Y86" s="546">
        <f>IFERROR(IF(X86="",0,CEILING((X86/$H86),1)*$H86),"")</f>
        <v>680.40000000000009</v>
      </c>
      <c r="Z86" s="36">
        <f>IFERROR(IF(Y86=0,"",ROUNDUP(Y86/H86,0)*0.01898),"")</f>
        <v>1.19574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700.625</v>
      </c>
      <c r="BN86" s="64">
        <f>IFERROR(Y86*I86/H86,"0")</f>
        <v>706.23000000000013</v>
      </c>
      <c r="BO86" s="64">
        <f>IFERROR(1/J86*(X86/H86),"0")</f>
        <v>0.97656249999999989</v>
      </c>
      <c r="BP86" s="64">
        <f>IFERROR(1/J86*(Y86/H86),"0")</f>
        <v>0.98437500000000011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62.499999999999993</v>
      </c>
      <c r="Y90" s="547">
        <f>IFERROR(Y86/H86,"0")+IFERROR(Y87/H87,"0")+IFERROR(Y88/H88,"0")+IFERROR(Y89/H89,"0")</f>
        <v>63.000000000000007</v>
      </c>
      <c r="Z90" s="547">
        <f>IFERROR(IF(Z86="",0,Z86),"0")+IFERROR(IF(Z87="",0,Z87),"0")+IFERROR(IF(Z88="",0,Z88),"0")+IFERROR(IF(Z89="",0,Z89),"0")</f>
        <v>1.19574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675</v>
      </c>
      <c r="Y91" s="547">
        <f>IFERROR(SUM(Y86:Y89),"0")</f>
        <v>680.40000000000009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120</v>
      </c>
      <c r="Y93" s="546">
        <f>IFERROR(IF(X93="",0,CEILING((X93/$H93),1)*$H93),"")</f>
        <v>121.5</v>
      </c>
      <c r="Z93" s="36">
        <f>IFERROR(IF(Y93=0,"",ROUNDUP(Y93/H93,0)*0.01898),"")</f>
        <v>0.28470000000000001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127.31851851851852</v>
      </c>
      <c r="BN93" s="64">
        <f>IFERROR(Y93*I93/H93,"0")</f>
        <v>128.91</v>
      </c>
      <c r="BO93" s="64">
        <f>IFERROR(1/J93*(X93/H93),"0")</f>
        <v>0.23148148148148148</v>
      </c>
      <c r="BP93" s="64">
        <f>IFERROR(1/J93*(Y93/H93),"0")</f>
        <v>0.234375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14.814814814814815</v>
      </c>
      <c r="Y97" s="547">
        <f>IFERROR(Y93/H93,"0")+IFERROR(Y94/H94,"0")+IFERROR(Y95/H95,"0")+IFERROR(Y96/H96,"0")</f>
        <v>15</v>
      </c>
      <c r="Z97" s="547">
        <f>IFERROR(IF(Z93="",0,Z93),"0")+IFERROR(IF(Z94="",0,Z94),"0")+IFERROR(IF(Z95="",0,Z95),"0")+IFERROR(IF(Z96="",0,Z96),"0")</f>
        <v>0.28470000000000001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120</v>
      </c>
      <c r="Y98" s="547">
        <f>IFERROR(SUM(Y93:Y96),"0")</f>
        <v>121.5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533</v>
      </c>
      <c r="Y101" s="546">
        <f>IFERROR(IF(X101="",0,CEILING((X101/$H101),1)*$H101),"")</f>
        <v>540</v>
      </c>
      <c r="Z101" s="36">
        <f>IFERROR(IF(Y101=0,"",ROUNDUP(Y101/H101,0)*0.01898),"")</f>
        <v>0.94900000000000007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553.23425925925926</v>
      </c>
      <c r="BN101" s="64">
        <f>IFERROR(Y101*I101/H101,"0")</f>
        <v>560.5</v>
      </c>
      <c r="BO101" s="64">
        <f>IFERROR(1/J101*(X101/H101),"0")</f>
        <v>0.77112268518518512</v>
      </c>
      <c r="BP101" s="64">
        <f>IFERROR(1/J101*(Y101/H101),"0")</f>
        <v>0.78125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92</v>
      </c>
      <c r="Y104" s="546">
        <f>IFERROR(IF(X104="",0,CEILING((X104/$H104),1)*$H104),"")</f>
        <v>94.5</v>
      </c>
      <c r="Z104" s="36">
        <f>IFERROR(IF(Y104=0,"",ROUNDUP(Y104/H104,0)*0.00902),"")</f>
        <v>0.18942000000000001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95.884444444444455</v>
      </c>
      <c r="BN104" s="64">
        <f>IFERROR(Y104*I104/H104,"0")</f>
        <v>98.490000000000009</v>
      </c>
      <c r="BO104" s="64">
        <f>IFERROR(1/J104*(X104/H104),"0")</f>
        <v>0.15488215488215487</v>
      </c>
      <c r="BP104" s="64">
        <f>IFERROR(1/J104*(Y104/H104),"0")</f>
        <v>0.15909090909090909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69.796296296296291</v>
      </c>
      <c r="Y106" s="547">
        <f>IFERROR(Y101/H101,"0")+IFERROR(Y102/H102,"0")+IFERROR(Y103/H103,"0")+IFERROR(Y104/H104,"0")+IFERROR(Y105/H105,"0")</f>
        <v>71</v>
      </c>
      <c r="Z106" s="547">
        <f>IFERROR(IF(Z101="",0,Z101),"0")+IFERROR(IF(Z102="",0,Z102),"0")+IFERROR(IF(Z103="",0,Z103),"0")+IFERROR(IF(Z104="",0,Z104),"0")+IFERROR(IF(Z105="",0,Z105),"0")</f>
        <v>1.13842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625</v>
      </c>
      <c r="Y107" s="547">
        <f>IFERROR(SUM(Y101:Y105),"0")</f>
        <v>634.5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31</v>
      </c>
      <c r="Y109" s="546">
        <f>IFERROR(IF(X109="",0,CEILING((X109/$H109),1)*$H109),"")</f>
        <v>32.400000000000006</v>
      </c>
      <c r="Z109" s="36">
        <f>IFERROR(IF(Y109=0,"",ROUNDUP(Y109/H109,0)*0.01898),"")</f>
        <v>5.6940000000000004E-2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32.176851851851858</v>
      </c>
      <c r="BN109" s="64">
        <f>IFERROR(Y109*I109/H109,"0")</f>
        <v>33.630000000000003</v>
      </c>
      <c r="BO109" s="64">
        <f>IFERROR(1/J109*(X109/H109),"0")</f>
        <v>4.4849537037037035E-2</v>
      </c>
      <c r="BP109" s="64">
        <f>IFERROR(1/J109*(Y109/H109),"0")</f>
        <v>4.6875000000000007E-2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2.8703703703703702</v>
      </c>
      <c r="Y113" s="547">
        <f>IFERROR(Y109/H109,"0")+IFERROR(Y110/H110,"0")+IFERROR(Y111/H111,"0")+IFERROR(Y112/H112,"0")</f>
        <v>3.0000000000000004</v>
      </c>
      <c r="Z113" s="547">
        <f>IFERROR(IF(Z109="",0,Z109),"0")+IFERROR(IF(Z110="",0,Z110),"0")+IFERROR(IF(Z111="",0,Z111),"0")+IFERROR(IF(Z112="",0,Z112),"0")</f>
        <v>5.6940000000000004E-2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31</v>
      </c>
      <c r="Y114" s="547">
        <f>IFERROR(SUM(Y109:Y112),"0")</f>
        <v>32.400000000000006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620</v>
      </c>
      <c r="Y116" s="546">
        <f>IFERROR(IF(X116="",0,CEILING((X116/$H116),1)*$H116),"")</f>
        <v>623.69999999999993</v>
      </c>
      <c r="Z116" s="36">
        <f>IFERROR(IF(Y116=0,"",ROUNDUP(Y116/H116,0)*0.01898),"")</f>
        <v>1.46146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657.35308641975303</v>
      </c>
      <c r="BN116" s="64">
        <f>IFERROR(Y116*I116/H116,"0")</f>
        <v>661.27599999999984</v>
      </c>
      <c r="BO116" s="64">
        <f>IFERROR(1/J116*(X116/H116),"0")</f>
        <v>1.1959876543209877</v>
      </c>
      <c r="BP116" s="64">
        <f>IFERROR(1/J116*(Y116/H116),"0")</f>
        <v>1.203125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95</v>
      </c>
      <c r="Y118" s="546">
        <f>IFERROR(IF(X118="",0,CEILING((X118/$H118),1)*$H118),"")</f>
        <v>97.2</v>
      </c>
      <c r="Z118" s="36">
        <f>IFERROR(IF(Y118=0,"",ROUNDUP(Y118/H118,0)*0.00651),"")</f>
        <v>0.23436000000000001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103.86666666666666</v>
      </c>
      <c r="BN118" s="64">
        <f>IFERROR(Y118*I118/H118,"0")</f>
        <v>106.27199999999999</v>
      </c>
      <c r="BO118" s="64">
        <f>IFERROR(1/J118*(X118/H118),"0")</f>
        <v>0.19332519332519332</v>
      </c>
      <c r="BP118" s="64">
        <f>IFERROR(1/J118*(Y118/H118),"0")</f>
        <v>0.19780219780219782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111.72839506172841</v>
      </c>
      <c r="Y120" s="547">
        <f>IFERROR(Y116/H116,"0")+IFERROR(Y117/H117,"0")+IFERROR(Y118/H118,"0")+IFERROR(Y119/H119,"0")</f>
        <v>113</v>
      </c>
      <c r="Z120" s="547">
        <f>IFERROR(IF(Z116="",0,Z116),"0")+IFERROR(IF(Z117="",0,Z117),"0")+IFERROR(IF(Z118="",0,Z118),"0")+IFERROR(IF(Z119="",0,Z119),"0")</f>
        <v>1.6958199999999999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715</v>
      </c>
      <c r="Y121" s="547">
        <f>IFERROR(SUM(Y116:Y119),"0")</f>
        <v>720.9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62</v>
      </c>
      <c r="Y166" s="546">
        <f t="shared" si="5"/>
        <v>63</v>
      </c>
      <c r="Z166" s="36">
        <f>IFERROR(IF(Y166=0,"",ROUNDUP(Y166/H166,0)*0.00902),"")</f>
        <v>0.1353</v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65.69047619047619</v>
      </c>
      <c r="BN166" s="64">
        <f t="shared" si="7"/>
        <v>66.75</v>
      </c>
      <c r="BO166" s="64">
        <f t="shared" si="8"/>
        <v>0.11183261183261183</v>
      </c>
      <c r="BP166" s="64">
        <f t="shared" si="9"/>
        <v>0.11363636363636365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28</v>
      </c>
      <c r="Y168" s="546">
        <f t="shared" si="5"/>
        <v>29.400000000000002</v>
      </c>
      <c r="Z168" s="36">
        <f>IFERROR(IF(Y168=0,"",ROUNDUP(Y168/H168,0)*0.00902),"")</f>
        <v>6.3140000000000002E-2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29.266666666666662</v>
      </c>
      <c r="BN168" s="64">
        <f t="shared" si="7"/>
        <v>30.73</v>
      </c>
      <c r="BO168" s="64">
        <f t="shared" si="8"/>
        <v>5.0505050505050504E-2</v>
      </c>
      <c r="BP168" s="64">
        <f t="shared" si="9"/>
        <v>5.3030303030303032E-2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126</v>
      </c>
      <c r="Y174" s="546">
        <f t="shared" si="5"/>
        <v>126</v>
      </c>
      <c r="Z174" s="36">
        <f>IFERROR(IF(Y174=0,"",ROUNDUP(Y174/H174,0)*0.00502),"")</f>
        <v>0.30120000000000002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132.00000000000003</v>
      </c>
      <c r="BN174" s="64">
        <f t="shared" si="7"/>
        <v>132.00000000000003</v>
      </c>
      <c r="BO174" s="64">
        <f t="shared" si="8"/>
        <v>0.25641025641025644</v>
      </c>
      <c r="BP174" s="64">
        <f t="shared" si="9"/>
        <v>0.25641025641025644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81.428571428571431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82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0.49964000000000003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216</v>
      </c>
      <c r="Y178" s="547">
        <f>IFERROR(SUM(Y165:Y176),"0")</f>
        <v>218.4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2</v>
      </c>
      <c r="Y181" s="546">
        <f>IFERROR(IF(X181="",0,CEILING((X181/$H181),1)*$H181),"")</f>
        <v>2.52</v>
      </c>
      <c r="Z181" s="36">
        <f>IFERROR(IF(Y181=0,"",ROUNDUP(Y181/H181,0)*0.0059),"")</f>
        <v>1.18E-2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2.3015873015873014</v>
      </c>
      <c r="BN181" s="64">
        <f>IFERROR(Y181*I181/H181,"0")</f>
        <v>2.9</v>
      </c>
      <c r="BO181" s="64">
        <f>IFERROR(1/J181*(X181/H181),"0")</f>
        <v>7.3486184597295699E-3</v>
      </c>
      <c r="BP181" s="64">
        <f>IFERROR(1/J181*(Y181/H181),"0")</f>
        <v>9.2592592592592587E-3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1</v>
      </c>
      <c r="Y182" s="546">
        <f>IFERROR(IF(X182="",0,CEILING((X182/$H182),1)*$H182),"")</f>
        <v>1.26</v>
      </c>
      <c r="Z182" s="36">
        <f>IFERROR(IF(Y182=0,"",ROUNDUP(Y182/H182,0)*0.0059),"")</f>
        <v>5.8999999999999999E-3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1.1507936507936507</v>
      </c>
      <c r="BN182" s="64">
        <f>IFERROR(Y182*I182/H182,"0")</f>
        <v>1.45</v>
      </c>
      <c r="BO182" s="64">
        <f>IFERROR(1/J182*(X182/H182),"0")</f>
        <v>3.6743092298647849E-3</v>
      </c>
      <c r="BP182" s="64">
        <f>IFERROR(1/J182*(Y182/H182),"0")</f>
        <v>4.6296296296296294E-3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2.3809523809523809</v>
      </c>
      <c r="Y183" s="547">
        <f>IFERROR(Y180/H180,"0")+IFERROR(Y181/H181,"0")+IFERROR(Y182/H182,"0")</f>
        <v>3</v>
      </c>
      <c r="Z183" s="547">
        <f>IFERROR(IF(Z180="",0,Z180),"0")+IFERROR(IF(Z181="",0,Z181),"0")+IFERROR(IF(Z182="",0,Z182),"0")</f>
        <v>1.77E-2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3</v>
      </c>
      <c r="Y184" s="547">
        <f>IFERROR(SUM(Y180:Y182),"0")</f>
        <v>3.7800000000000002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2</v>
      </c>
      <c r="Y186" s="546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1.5873015873015872</v>
      </c>
      <c r="Y187" s="547">
        <f>IFERROR(Y186/H186,"0")</f>
        <v>2</v>
      </c>
      <c r="Z187" s="547">
        <f>IFERROR(IF(Z186="",0,Z186),"0")</f>
        <v>1.18E-2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2</v>
      </c>
      <c r="Y188" s="547">
        <f>IFERROR(SUM(Y186:Y186),"0")</f>
        <v>2.52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240</v>
      </c>
      <c r="Y201" s="546">
        <f t="shared" ref="Y201:Y208" si="10">IFERROR(IF(X201="",0,CEILING((X201/$H201),1)*$H201),"")</f>
        <v>243.00000000000003</v>
      </c>
      <c r="Z201" s="36">
        <f>IFERROR(IF(Y201=0,"",ROUNDUP(Y201/H201,0)*0.00902),"")</f>
        <v>0.40590000000000004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248.4444444444444</v>
      </c>
      <c r="BN201" s="64">
        <f t="shared" ref="BN201:BN208" si="12">IFERROR(Y201*I201/H201,"0")</f>
        <v>251.55</v>
      </c>
      <c r="BO201" s="64">
        <f t="shared" ref="BO201:BO208" si="13">IFERROR(1/J201*(X201/H201),"0")</f>
        <v>0.33670033670033672</v>
      </c>
      <c r="BP201" s="64">
        <f t="shared" ref="BP201:BP208" si="14">IFERROR(1/J201*(Y201/H201),"0")</f>
        <v>0.34090909090909094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135</v>
      </c>
      <c r="Y204" s="546">
        <f t="shared" si="10"/>
        <v>135</v>
      </c>
      <c r="Z204" s="36">
        <f>IFERROR(IF(Y204=0,"",ROUNDUP(Y204/H204,0)*0.00902),"")</f>
        <v>0.22550000000000001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139.75</v>
      </c>
      <c r="BN204" s="64">
        <f t="shared" si="12"/>
        <v>139.75</v>
      </c>
      <c r="BO204" s="64">
        <f t="shared" si="13"/>
        <v>0.18939393939393939</v>
      </c>
      <c r="BP204" s="64">
        <f t="shared" si="14"/>
        <v>0.18939393939393939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23</v>
      </c>
      <c r="Y205" s="546">
        <f t="shared" si="10"/>
        <v>23.400000000000002</v>
      </c>
      <c r="Z205" s="36">
        <f>IFERROR(IF(Y205=0,"",ROUNDUP(Y205/H205,0)*0.00502),"")</f>
        <v>6.5259999999999999E-2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24.661111111111111</v>
      </c>
      <c r="BN205" s="64">
        <f t="shared" si="12"/>
        <v>25.090000000000003</v>
      </c>
      <c r="BO205" s="64">
        <f t="shared" si="13"/>
        <v>5.4605887939221276E-2</v>
      </c>
      <c r="BP205" s="64">
        <f t="shared" si="14"/>
        <v>5.5555555555555559E-2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8</v>
      </c>
      <c r="Y206" s="546">
        <f t="shared" si="10"/>
        <v>9</v>
      </c>
      <c r="Z206" s="36">
        <f>IFERROR(IF(Y206=0,"",ROUNDUP(Y206/H206,0)*0.00502),"")</f>
        <v>2.5100000000000001E-2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8.4444444444444446</v>
      </c>
      <c r="BN206" s="64">
        <f t="shared" si="12"/>
        <v>9.4999999999999982</v>
      </c>
      <c r="BO206" s="64">
        <f t="shared" si="13"/>
        <v>1.8993352326685663E-2</v>
      </c>
      <c r="BP206" s="64">
        <f t="shared" si="14"/>
        <v>2.1367521367521368E-2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16</v>
      </c>
      <c r="Y208" s="546">
        <f t="shared" si="10"/>
        <v>16.2</v>
      </c>
      <c r="Z208" s="36">
        <f>IFERROR(IF(Y208=0,"",ROUNDUP(Y208/H208,0)*0.00502),"")</f>
        <v>4.5179999999999998E-2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16.888888888888889</v>
      </c>
      <c r="BN208" s="64">
        <f t="shared" si="12"/>
        <v>17.099999999999998</v>
      </c>
      <c r="BO208" s="64">
        <f t="shared" si="13"/>
        <v>3.7986704653371325E-2</v>
      </c>
      <c r="BP208" s="64">
        <f t="shared" si="14"/>
        <v>3.8461538461538464E-2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95.555555555555543</v>
      </c>
      <c r="Y209" s="547">
        <f>IFERROR(Y201/H201,"0")+IFERROR(Y202/H202,"0")+IFERROR(Y203/H203,"0")+IFERROR(Y204/H204,"0")+IFERROR(Y205/H205,"0")+IFERROR(Y206/H206,"0")+IFERROR(Y207/H207,"0")+IFERROR(Y208/H208,"0")</f>
        <v>97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0.76694000000000007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422</v>
      </c>
      <c r="Y210" s="547">
        <f>IFERROR(SUM(Y201:Y208),"0")</f>
        <v>426.59999999999997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153</v>
      </c>
      <c r="Y215" s="546">
        <f t="shared" si="15"/>
        <v>153.6</v>
      </c>
      <c r="Z215" s="36">
        <f t="shared" ref="Z215:Z220" si="20">IFERROR(IF(Y215=0,"",ROUNDUP(Y215/H215,0)*0.00651),"")</f>
        <v>0.41664000000000001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170.21250000000001</v>
      </c>
      <c r="BN215" s="64">
        <f t="shared" si="17"/>
        <v>170.88</v>
      </c>
      <c r="BO215" s="64">
        <f t="shared" si="18"/>
        <v>0.35027472527472531</v>
      </c>
      <c r="BP215" s="64">
        <f t="shared" si="19"/>
        <v>0.35164835164835168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21</v>
      </c>
      <c r="Y219" s="546">
        <f t="shared" si="15"/>
        <v>21.599999999999998</v>
      </c>
      <c r="Z219" s="36">
        <f t="shared" si="20"/>
        <v>5.8590000000000003E-2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23.205000000000002</v>
      </c>
      <c r="BN219" s="64">
        <f t="shared" si="17"/>
        <v>23.868000000000002</v>
      </c>
      <c r="BO219" s="64">
        <f t="shared" si="18"/>
        <v>4.807692307692308E-2</v>
      </c>
      <c r="BP219" s="64">
        <f t="shared" si="19"/>
        <v>4.9450549450549455E-2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143</v>
      </c>
      <c r="Y220" s="546">
        <f t="shared" si="15"/>
        <v>144</v>
      </c>
      <c r="Z220" s="36">
        <f t="shared" si="20"/>
        <v>0.3906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158.3725</v>
      </c>
      <c r="BN220" s="64">
        <f t="shared" si="17"/>
        <v>159.48000000000002</v>
      </c>
      <c r="BO220" s="64">
        <f t="shared" si="18"/>
        <v>0.32738095238095244</v>
      </c>
      <c r="BP220" s="64">
        <f t="shared" si="19"/>
        <v>0.32967032967032972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132.08333333333334</v>
      </c>
      <c r="Y221" s="547">
        <f>IFERROR(Y212/H212,"0")+IFERROR(Y213/H213,"0")+IFERROR(Y214/H214,"0")+IFERROR(Y215/H215,"0")+IFERROR(Y216/H216,"0")+IFERROR(Y217/H217,"0")+IFERROR(Y218/H218,"0")+IFERROR(Y219/H219,"0")+IFERROR(Y220/H220,"0")</f>
        <v>133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0.8658300000000001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317</v>
      </c>
      <c r="Y222" s="547">
        <f>IFERROR(SUM(Y212:Y220),"0")</f>
        <v>319.2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2</v>
      </c>
      <c r="Y224" s="546">
        <f>IFERROR(IF(X224="",0,CEILING((X224/$H224),1)*$H224),"")</f>
        <v>2.4</v>
      </c>
      <c r="Z224" s="36">
        <f>IFERROR(IF(Y224=0,"",ROUNDUP(Y224/H224,0)*0.00651),"")</f>
        <v>6.5100000000000002E-3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2.2100000000000004</v>
      </c>
      <c r="BN224" s="64">
        <f>IFERROR(Y224*I224/H224,"0")</f>
        <v>2.6520000000000001</v>
      </c>
      <c r="BO224" s="64">
        <f>IFERROR(1/J224*(X224/H224),"0")</f>
        <v>4.578754578754579E-3</v>
      </c>
      <c r="BP224" s="64">
        <f>IFERROR(1/J224*(Y224/H224),"0")</f>
        <v>5.4945054945054949E-3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2</v>
      </c>
      <c r="Y225" s="546">
        <f>IFERROR(IF(X225="",0,CEILING((X225/$H225),1)*$H225),"")</f>
        <v>2.4</v>
      </c>
      <c r="Z225" s="36">
        <f>IFERROR(IF(Y225=0,"",ROUNDUP(Y225/H225,0)*0.00651),"")</f>
        <v>6.5100000000000002E-3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2.2100000000000004</v>
      </c>
      <c r="BN225" s="64">
        <f>IFERROR(Y225*I225/H225,"0")</f>
        <v>2.6520000000000001</v>
      </c>
      <c r="BO225" s="64">
        <f>IFERROR(1/J225*(X225/H225),"0")</f>
        <v>4.578754578754579E-3</v>
      </c>
      <c r="BP225" s="64">
        <f>IFERROR(1/J225*(Y225/H225),"0")</f>
        <v>5.4945054945054949E-3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1.6666666666666667</v>
      </c>
      <c r="Y226" s="547">
        <f>IFERROR(Y224/H224,"0")+IFERROR(Y225/H225,"0")</f>
        <v>2</v>
      </c>
      <c r="Z226" s="547">
        <f>IFERROR(IF(Z224="",0,Z224),"0")+IFERROR(IF(Z225="",0,Z225),"0")</f>
        <v>1.302E-2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4</v>
      </c>
      <c r="Y227" s="547">
        <f>IFERROR(SUM(Y224:Y225),"0")</f>
        <v>4.8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1</v>
      </c>
      <c r="Y246" s="546">
        <f>IFERROR(IF(X246="",0,CEILING((X246/$H246),1)*$H246),"")</f>
        <v>1.8</v>
      </c>
      <c r="Z246" s="36">
        <f>IFERROR(IF(Y246=0,"",ROUNDUP(Y246/H246,0)*0.0059),"")</f>
        <v>5.8999999999999999E-3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1.0972222222222223</v>
      </c>
      <c r="BN246" s="64">
        <f>IFERROR(Y246*I246/H246,"0")</f>
        <v>1.9750000000000001</v>
      </c>
      <c r="BO246" s="64">
        <f>IFERROR(1/J246*(X246/H246),"0")</f>
        <v>2.5720164609053498E-3</v>
      </c>
      <c r="BP246" s="64">
        <f>IFERROR(1/J246*(Y246/H246),"0")</f>
        <v>4.6296296296296294E-3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0.55555555555555558</v>
      </c>
      <c r="Y247" s="547">
        <f>IFERROR(Y246/H246,"0")</f>
        <v>1</v>
      </c>
      <c r="Z247" s="547">
        <f>IFERROR(IF(Z246="",0,Z246),"0")</f>
        <v>5.8999999999999999E-3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1</v>
      </c>
      <c r="Y248" s="547">
        <f>IFERROR(SUM(Y246:Y246),"0")</f>
        <v>1.8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1.1111111111111112</v>
      </c>
      <c r="Y255" s="547">
        <f>IFERROR(Y250/H250,"0")+IFERROR(Y251/H251,"0")+IFERROR(Y252/H252,"0")+IFERROR(Y253/H253,"0")+IFERROR(Y254/H254,"0")</f>
        <v>2</v>
      </c>
      <c r="Z255" s="547">
        <f>IFERROR(IF(Z250="",0,Z250),"0")+IFERROR(IF(Z251="",0,Z251),"0")+IFERROR(IF(Z252="",0,Z252),"0")+IFERROR(IF(Z253="",0,Z253),"0")+IFERROR(IF(Z254="",0,Z254),"0")</f>
        <v>1.18E-2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1</v>
      </c>
      <c r="Y256" s="547">
        <f>IFERROR(SUM(Y250:Y254),"0")</f>
        <v>1.8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9</v>
      </c>
      <c r="Y307" s="546">
        <f t="shared" si="26"/>
        <v>9</v>
      </c>
      <c r="Z307" s="36">
        <f>IFERROR(IF(Y307=0,"",ROUNDUP(Y307/H307,0)*0.00651),"")</f>
        <v>3.2550000000000003E-2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10.139999999999999</v>
      </c>
      <c r="BN307" s="64">
        <f t="shared" si="28"/>
        <v>10.139999999999999</v>
      </c>
      <c r="BO307" s="64">
        <f t="shared" si="29"/>
        <v>2.7472527472527476E-2</v>
      </c>
      <c r="BP307" s="64">
        <f t="shared" si="30"/>
        <v>2.7472527472527476E-2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5</v>
      </c>
      <c r="Y308" s="547">
        <f>IFERROR(Y302/H302,"0")+IFERROR(Y303/H303,"0")+IFERROR(Y304/H304,"0")+IFERROR(Y305/H305,"0")+IFERROR(Y306/H306,"0")+IFERROR(Y307/H307,"0")</f>
        <v>5</v>
      </c>
      <c r="Z308" s="547">
        <f>IFERROR(IF(Z302="",0,Z302),"0")+IFERROR(IF(Z303="",0,Z303),"0")+IFERROR(IF(Z304="",0,Z304),"0")+IFERROR(IF(Z305="",0,Z305),"0")+IFERROR(IF(Z306="",0,Z306),"0")+IFERROR(IF(Z307="",0,Z307),"0")</f>
        <v>3.2550000000000003E-2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9</v>
      </c>
      <c r="Y309" s="547">
        <f>IFERROR(SUM(Y302:Y307),"0")</f>
        <v>9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840</v>
      </c>
      <c r="Y319" s="546">
        <f>IFERROR(IF(X319="",0,CEILING((X319/$H319),1)*$H319),"")</f>
        <v>842.4</v>
      </c>
      <c r="Z319" s="36">
        <f>IFERROR(IF(Y319=0,"",ROUNDUP(Y319/H319,0)*0.01898),"")</f>
        <v>2.0498400000000001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893.2</v>
      </c>
      <c r="BN319" s="64">
        <f>IFERROR(Y319*I319/H319,"0")</f>
        <v>895.75200000000007</v>
      </c>
      <c r="BO319" s="64">
        <f>IFERROR(1/J319*(X319/H319),"0")</f>
        <v>1.6826923076923077</v>
      </c>
      <c r="BP319" s="64">
        <f>IFERROR(1/J319*(Y319/H319),"0")</f>
        <v>1.6875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107.69230769230769</v>
      </c>
      <c r="Y321" s="547">
        <f>IFERROR(Y318/H318,"0")+IFERROR(Y319/H319,"0")+IFERROR(Y320/H320,"0")</f>
        <v>108</v>
      </c>
      <c r="Z321" s="547">
        <f>IFERROR(IF(Z318="",0,Z318),"0")+IFERROR(IF(Z319="",0,Z319),"0")+IFERROR(IF(Z320="",0,Z320),"0")</f>
        <v>2.0498400000000001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840</v>
      </c>
      <c r="Y322" s="547">
        <f>IFERROR(SUM(Y318:Y320),"0")</f>
        <v>842.4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40</v>
      </c>
      <c r="Y327" s="546">
        <f>IFERROR(IF(X327="",0,CEILING((X327/$H327),1)*$H327),"")</f>
        <v>40.799999999999997</v>
      </c>
      <c r="Z327" s="36">
        <f>IFERROR(IF(Y327=0,"",ROUNDUP(Y327/H327,0)*0.00651),"")</f>
        <v>0.10416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45.17647058823529</v>
      </c>
      <c r="BN327" s="64">
        <f>IFERROR(Y327*I327/H327,"0")</f>
        <v>46.08</v>
      </c>
      <c r="BO327" s="64">
        <f>IFERROR(1/J327*(X327/H327),"0")</f>
        <v>8.6188321482439142E-2</v>
      </c>
      <c r="BP327" s="64">
        <f>IFERROR(1/J327*(Y327/H327),"0")</f>
        <v>8.7912087912087919E-2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15.686274509803923</v>
      </c>
      <c r="Y328" s="547">
        <f>IFERROR(Y324/H324,"0")+IFERROR(Y325/H325,"0")+IFERROR(Y326/H326,"0")+IFERROR(Y327/H327,"0")</f>
        <v>16</v>
      </c>
      <c r="Z328" s="547">
        <f>IFERROR(IF(Z324="",0,Z324),"0")+IFERROR(IF(Z325="",0,Z325),"0")+IFERROR(IF(Z326="",0,Z326),"0")+IFERROR(IF(Z327="",0,Z327),"0")</f>
        <v>0.10416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40</v>
      </c>
      <c r="Y329" s="547">
        <f>IFERROR(SUM(Y324:Y327),"0")</f>
        <v>40.799999999999997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3</v>
      </c>
      <c r="Y331" s="546">
        <f>IFERROR(IF(X331="",0,CEILING((X331/$H331),1)*$H331),"")</f>
        <v>4</v>
      </c>
      <c r="Z331" s="36">
        <f>IFERROR(IF(Y331=0,"",ROUNDUP(Y331/H331,0)*0.00474),"")</f>
        <v>9.4800000000000006E-3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3.3600000000000003</v>
      </c>
      <c r="BN331" s="64">
        <f>IFERROR(Y331*I331/H331,"0")</f>
        <v>4.4800000000000004</v>
      </c>
      <c r="BO331" s="64">
        <f>IFERROR(1/J331*(X331/H331),"0")</f>
        <v>6.3025210084033615E-3</v>
      </c>
      <c r="BP331" s="64">
        <f>IFERROR(1/J331*(Y331/H331),"0")</f>
        <v>8.4033613445378148E-3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8</v>
      </c>
      <c r="Y333" s="546">
        <f>IFERROR(IF(X333="",0,CEILING((X333/$H333),1)*$H333),"")</f>
        <v>8</v>
      </c>
      <c r="Z333" s="36">
        <f>IFERROR(IF(Y333=0,"",ROUNDUP(Y333/H333,0)*0.00474),"")</f>
        <v>1.8960000000000001E-2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8.9600000000000009</v>
      </c>
      <c r="BN333" s="64">
        <f>IFERROR(Y333*I333/H333,"0")</f>
        <v>8.9600000000000009</v>
      </c>
      <c r="BO333" s="64">
        <f>IFERROR(1/J333*(X333/H333),"0")</f>
        <v>1.680672268907563E-2</v>
      </c>
      <c r="BP333" s="64">
        <f>IFERROR(1/J333*(Y333/H333),"0")</f>
        <v>1.680672268907563E-2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5.5</v>
      </c>
      <c r="Y334" s="547">
        <f>IFERROR(Y331/H331,"0")+IFERROR(Y332/H332,"0")+IFERROR(Y333/H333,"0")</f>
        <v>6</v>
      </c>
      <c r="Z334" s="547">
        <f>IFERROR(IF(Z331="",0,Z331),"0")+IFERROR(IF(Z332="",0,Z332),"0")+IFERROR(IF(Z333="",0,Z333),"0")</f>
        <v>2.844E-2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11</v>
      </c>
      <c r="Y335" s="547">
        <f>IFERROR(SUM(Y331:Y333),"0")</f>
        <v>12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1352</v>
      </c>
      <c r="Y348" s="546">
        <f t="shared" si="31"/>
        <v>1365</v>
      </c>
      <c r="Z348" s="36">
        <f>IFERROR(IF(Y348=0,"",ROUNDUP(Y348/H348,0)*0.02175),"")</f>
        <v>1.97925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1394.3626666666669</v>
      </c>
      <c r="BN348" s="64">
        <f t="shared" si="33"/>
        <v>1407.77</v>
      </c>
      <c r="BO348" s="64">
        <f t="shared" si="34"/>
        <v>1.8777777777777778</v>
      </c>
      <c r="BP348" s="64">
        <f t="shared" si="35"/>
        <v>1.8958333333333333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90.13333333333334</v>
      </c>
      <c r="Y353" s="547">
        <f>IFERROR(Y346/H346,"0")+IFERROR(Y347/H347,"0")+IFERROR(Y348/H348,"0")+IFERROR(Y349/H349,"0")+IFERROR(Y350/H350,"0")+IFERROR(Y351/H351,"0")+IFERROR(Y352/H352,"0")</f>
        <v>91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1.97925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1352</v>
      </c>
      <c r="Y354" s="547">
        <f>IFERROR(SUM(Y346:Y352),"0")</f>
        <v>1365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1947</v>
      </c>
      <c r="Y356" s="546">
        <f>IFERROR(IF(X356="",0,CEILING((X356/$H356),1)*$H356),"")</f>
        <v>1950</v>
      </c>
      <c r="Z356" s="36">
        <f>IFERROR(IF(Y356=0,"",ROUNDUP(Y356/H356,0)*0.02175),"")</f>
        <v>2.8274999999999997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2008.0060000000001</v>
      </c>
      <c r="BN356" s="64">
        <f>IFERROR(Y356*I356/H356,"0")</f>
        <v>2011.1</v>
      </c>
      <c r="BO356" s="64">
        <f>IFERROR(1/J356*(X356/H356),"0")</f>
        <v>2.7041666666666666</v>
      </c>
      <c r="BP356" s="64">
        <f>IFERROR(1/J356*(Y356/H356),"0")</f>
        <v>2.708333333333333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129.80000000000001</v>
      </c>
      <c r="Y358" s="547">
        <f>IFERROR(Y356/H356,"0")+IFERROR(Y357/H357,"0")</f>
        <v>130</v>
      </c>
      <c r="Z358" s="547">
        <f>IFERROR(IF(Z356="",0,Z356),"0")+IFERROR(IF(Z357="",0,Z357),"0")</f>
        <v>2.8274999999999997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1947</v>
      </c>
      <c r="Y359" s="547">
        <f>IFERROR(SUM(Y356:Y357),"0")</f>
        <v>1950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1630</v>
      </c>
      <c r="Y381" s="546">
        <f>IFERROR(IF(X381="",0,CEILING((X381/$H381),1)*$H381),"")</f>
        <v>1638</v>
      </c>
      <c r="Z381" s="36">
        <f>IFERROR(IF(Y381=0,"",ROUNDUP(Y381/H381,0)*0.01898),"")</f>
        <v>3.4543599999999999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1719.4688888888888</v>
      </c>
      <c r="BN381" s="64">
        <f>IFERROR(Y381*I381/H381,"0")</f>
        <v>1727.9080000000001</v>
      </c>
      <c r="BO381" s="64">
        <f>IFERROR(1/J381*(X381/H381),"0")</f>
        <v>2.8298611111111112</v>
      </c>
      <c r="BP381" s="64">
        <f>IFERROR(1/J381*(Y381/H381),"0")</f>
        <v>2.84375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181.11111111111111</v>
      </c>
      <c r="Y384" s="547">
        <f>IFERROR(Y381/H381,"0")+IFERROR(Y382/H382,"0")+IFERROR(Y383/H383,"0")</f>
        <v>182</v>
      </c>
      <c r="Z384" s="547">
        <f>IFERROR(IF(Z381="",0,Z381),"0")+IFERROR(IF(Z382="",0,Z382),"0")+IFERROR(IF(Z383="",0,Z383),"0")</f>
        <v>3.4543599999999999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1630</v>
      </c>
      <c r="Y385" s="547">
        <f>IFERROR(SUM(Y381:Y383),"0")</f>
        <v>1638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236</v>
      </c>
      <c r="Y425" s="546">
        <f t="shared" ref="Y425:Y436" si="42">IFERROR(IF(X425="",0,CEILING((X425/$H425),1)*$H425),"")</f>
        <v>237.60000000000002</v>
      </c>
      <c r="Z425" s="36">
        <f t="shared" ref="Z425:Z431" si="43">IFERROR(IF(Y425=0,"",ROUNDUP(Y425/H425,0)*0.01196),"")</f>
        <v>0.53820000000000001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251.64393939393941</v>
      </c>
      <c r="BN425" s="64">
        <f t="shared" ref="BN425:BN436" si="45">IFERROR(Y425*I425/H425,"0")</f>
        <v>253.35</v>
      </c>
      <c r="BO425" s="64">
        <f t="shared" ref="BO425:BO436" si="46">IFERROR(1/J425*(X425/H425),"0")</f>
        <v>0.42977855477855481</v>
      </c>
      <c r="BP425" s="64">
        <f t="shared" ref="BP425:BP436" si="47">IFERROR(1/J425*(Y425/H425),"0")</f>
        <v>0.43269230769230771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849</v>
      </c>
      <c r="Y429" s="546">
        <f t="shared" si="42"/>
        <v>850.08</v>
      </c>
      <c r="Z429" s="36">
        <f t="shared" si="43"/>
        <v>1.9255599999999999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905.27840909090901</v>
      </c>
      <c r="BN429" s="64">
        <f t="shared" si="45"/>
        <v>906.43</v>
      </c>
      <c r="BO429" s="64">
        <f t="shared" si="46"/>
        <v>1.5461101398601398</v>
      </c>
      <c r="BP429" s="64">
        <f t="shared" si="47"/>
        <v>1.5480769230769231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1714</v>
      </c>
      <c r="Y431" s="546">
        <f t="shared" si="42"/>
        <v>1716</v>
      </c>
      <c r="Z431" s="36">
        <f t="shared" si="43"/>
        <v>3.887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1827.617424242424</v>
      </c>
      <c r="BN431" s="64">
        <f t="shared" si="45"/>
        <v>1829.75</v>
      </c>
      <c r="BO431" s="64">
        <f t="shared" si="46"/>
        <v>3.1213578088578089</v>
      </c>
      <c r="BP431" s="64">
        <f t="shared" si="47"/>
        <v>3.125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60</v>
      </c>
      <c r="Y433" s="546">
        <f t="shared" si="42"/>
        <v>62.4</v>
      </c>
      <c r="Z433" s="36">
        <f>IFERROR(IF(Y433=0,"",ROUNDUP(Y433/H433,0)*0.00902),"")</f>
        <v>0.11726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86.375000000000014</v>
      </c>
      <c r="BN433" s="64">
        <f t="shared" si="45"/>
        <v>89.830000000000013</v>
      </c>
      <c r="BO433" s="64">
        <f t="shared" si="46"/>
        <v>9.4696969696969696E-2</v>
      </c>
      <c r="BP433" s="64">
        <f t="shared" si="47"/>
        <v>9.8484848484848481E-2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542.61363636363637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544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6.4680199999999992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2859</v>
      </c>
      <c r="Y438" s="547">
        <f>IFERROR(SUM(Y425:Y436),"0")</f>
        <v>2866.0800000000004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2507</v>
      </c>
      <c r="Y440" s="546">
        <f>IFERROR(IF(X440="",0,CEILING((X440/$H440),1)*$H440),"")</f>
        <v>2508</v>
      </c>
      <c r="Z440" s="36">
        <f>IFERROR(IF(Y440=0,"",ROUNDUP(Y440/H440,0)*0.01196),"")</f>
        <v>5.681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2673.183712121212</v>
      </c>
      <c r="BN440" s="64">
        <f>IFERROR(Y440*I440/H440,"0")</f>
        <v>2674.2499999999995</v>
      </c>
      <c r="BO440" s="64">
        <f>IFERROR(1/J440*(X440/H440),"0")</f>
        <v>4.565486596736597</v>
      </c>
      <c r="BP440" s="64">
        <f>IFERROR(1/J440*(Y440/H440),"0")</f>
        <v>4.5673076923076925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60</v>
      </c>
      <c r="Y442" s="546">
        <f>IFERROR(IF(X442="",0,CEILING((X442/$H442),1)*$H442),"")</f>
        <v>62.4</v>
      </c>
      <c r="Z442" s="36">
        <f>IFERROR(IF(Y442=0,"",ROUNDUP(Y442/H442,0)*0.00902),"")</f>
        <v>0.11726</v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86.375000000000014</v>
      </c>
      <c r="BN442" s="64">
        <f>IFERROR(Y442*I442/H442,"0")</f>
        <v>89.830000000000013</v>
      </c>
      <c r="BO442" s="64">
        <f>IFERROR(1/J442*(X442/H442),"0")</f>
        <v>9.4696969696969696E-2</v>
      </c>
      <c r="BP442" s="64">
        <f>IFERROR(1/J442*(Y442/H442),"0")</f>
        <v>9.8484848484848481E-2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487.31060606060606</v>
      </c>
      <c r="Y443" s="547">
        <f>IFERROR(Y440/H440,"0")+IFERROR(Y441/H441,"0")+IFERROR(Y442/H442,"0")</f>
        <v>488</v>
      </c>
      <c r="Z443" s="547">
        <f>IFERROR(IF(Z440="",0,Z440),"0")+IFERROR(IF(Z441="",0,Z441),"0")+IFERROR(IF(Z442="",0,Z442),"0")</f>
        <v>5.79826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2567</v>
      </c>
      <c r="Y444" s="547">
        <f>IFERROR(SUM(Y440:Y442),"0")</f>
        <v>2570.4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473</v>
      </c>
      <c r="Y447" s="546">
        <f t="shared" si="48"/>
        <v>475.20000000000005</v>
      </c>
      <c r="Z447" s="36">
        <f>IFERROR(IF(Y447=0,"",ROUNDUP(Y447/H447,0)*0.01196),"")</f>
        <v>1.0764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504.35416666666663</v>
      </c>
      <c r="BN447" s="64">
        <f t="shared" si="50"/>
        <v>506.7</v>
      </c>
      <c r="BO447" s="64">
        <f t="shared" si="51"/>
        <v>0.86137820512820518</v>
      </c>
      <c r="BP447" s="64">
        <f t="shared" si="52"/>
        <v>0.86538461538461542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1929</v>
      </c>
      <c r="Y448" s="546">
        <f t="shared" si="48"/>
        <v>1932.48</v>
      </c>
      <c r="Z448" s="36">
        <f>IFERROR(IF(Y448=0,"",ROUNDUP(Y448/H448,0)*0.01196),"")</f>
        <v>4.3773600000000004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2056.869318181818</v>
      </c>
      <c r="BN448" s="64">
        <f t="shared" si="50"/>
        <v>2060.58</v>
      </c>
      <c r="BO448" s="64">
        <f t="shared" si="51"/>
        <v>3.5128933566433567</v>
      </c>
      <c r="BP448" s="64">
        <f t="shared" si="52"/>
        <v>3.5192307692307696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454.92424242424238</v>
      </c>
      <c r="Y452" s="547">
        <f>IFERROR(Y446/H446,"0")+IFERROR(Y447/H447,"0")+IFERROR(Y448/H448,"0")+IFERROR(Y449/H449,"0")+IFERROR(Y450/H450,"0")+IFERROR(Y451/H451,"0")</f>
        <v>456</v>
      </c>
      <c r="Z452" s="547">
        <f>IFERROR(IF(Z446="",0,Z446),"0")+IFERROR(IF(Z447="",0,Z447),"0")+IFERROR(IF(Z448="",0,Z448),"0")+IFERROR(IF(Z449="",0,Z449),"0")+IFERROR(IF(Z450="",0,Z450),"0")+IFERROR(IF(Z451="",0,Z451),"0")</f>
        <v>5.4537600000000008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2402</v>
      </c>
      <c r="Y453" s="547">
        <f>IFERROR(SUM(Y446:Y451),"0")</f>
        <v>2407.6800000000003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17066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17162.96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18062.694232850663</v>
      </c>
      <c r="Y492" s="547">
        <f>IFERROR(SUM(BN22:BN488),"0")</f>
        <v>18166.705000000002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30</v>
      </c>
      <c r="Y493" s="38">
        <f>ROUNDUP(SUM(BP22:BP488),0)</f>
        <v>30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18812.694232850663</v>
      </c>
      <c r="Y494" s="547">
        <f>GrossWeightTotalR+PalletQtyTotalR*25</f>
        <v>18916.705000000002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2626.1701344769972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2643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35.319830000000003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293</v>
      </c>
      <c r="E501" s="46">
        <f>IFERROR(Y86*1,"0")+IFERROR(Y87*1,"0")+IFERROR(Y88*1,"0")+IFERROR(Y89*1,"0")+IFERROR(Y93*1,"0")+IFERROR(Y94*1,"0")+IFERROR(Y95*1,"0")+IFERROR(Y96*1,"0")</f>
        <v>801.90000000000009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1387.8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224.70000000000002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750.59999999999991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3.6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904.19999999999993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3315</v>
      </c>
      <c r="T501" s="46">
        <f>IFERROR(Y371*1,"0")+IFERROR(Y372*1,"0")+IFERROR(Y376*1,"0")+IFERROR(Y377*1,"0")+IFERROR(Y381*1,"0")+IFERROR(Y382*1,"0")+IFERROR(Y383*1,"0")</f>
        <v>1638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7844.16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2025-12-10T07:52:25Z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