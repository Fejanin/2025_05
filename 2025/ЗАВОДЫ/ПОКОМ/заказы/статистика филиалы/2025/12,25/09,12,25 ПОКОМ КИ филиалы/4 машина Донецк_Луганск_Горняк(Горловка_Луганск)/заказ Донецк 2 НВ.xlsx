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1FB04196-D05F-4A7D-A90A-BD1BFA94ADB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BP149" i="1"/>
  <c r="BO149" i="1"/>
  <c r="BN149" i="1"/>
  <c r="BM149" i="1"/>
  <c r="Z149" i="1"/>
  <c r="Y149" i="1"/>
  <c r="P149" i="1"/>
  <c r="X147" i="1"/>
  <c r="Y146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495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1" i="1"/>
  <c r="X492" i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53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Z315" i="1" s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F9" i="1"/>
  <c r="J9" i="1"/>
  <c r="Y45" i="1"/>
  <c r="Y491" i="1" s="1"/>
  <c r="D501" i="1"/>
  <c r="Y58" i="1"/>
  <c r="BP63" i="1"/>
  <c r="Y493" i="1" s="1"/>
  <c r="BN63" i="1"/>
  <c r="Y492" i="1" s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Z353" i="1" s="1"/>
  <c r="BP351" i="1"/>
  <c r="BN351" i="1"/>
  <c r="Z351" i="1"/>
  <c r="BP390" i="1"/>
  <c r="BN390" i="1"/>
  <c r="Z390" i="1"/>
  <c r="Z398" i="1" s="1"/>
  <c r="U501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Z239" i="1" s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BP469" i="1"/>
  <c r="BN469" i="1"/>
  <c r="Z469" i="1"/>
  <c r="Z470" i="1" s="1"/>
  <c r="Y471" i="1"/>
  <c r="Y476" i="1"/>
  <c r="BP473" i="1"/>
  <c r="BN473" i="1"/>
  <c r="Z473" i="1"/>
  <c r="Z475" i="1" s="1"/>
  <c r="Y475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Y494" i="1" l="1"/>
  <c r="Z415" i="1"/>
  <c r="Z328" i="1"/>
  <c r="Z64" i="1"/>
  <c r="Z58" i="1"/>
  <c r="Z44" i="1"/>
  <c r="Z32" i="1"/>
  <c r="Z496" i="1" s="1"/>
  <c r="Y495" i="1"/>
  <c r="Z221" i="1"/>
  <c r="Z465" i="1"/>
  <c r="Z177" i="1"/>
  <c r="Z106" i="1"/>
  <c r="Z97" i="1"/>
  <c r="Z90" i="1"/>
  <c r="Z77" i="1"/>
  <c r="X494" i="1"/>
</calcChain>
</file>

<file path=xl/sharedStrings.xml><?xml version="1.0" encoding="utf-8"?>
<sst xmlns="http://schemas.openxmlformats.org/spreadsheetml/2006/main" count="2295" uniqueCount="775">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</sst>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69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154</v>
      </c>
      <c r="Y86" s="546">
        <f>IFERROR(IF(X86="",0,CEILING((X86/$H86),1)*$H86),"")</f>
        <v>162</v>
      </c>
      <c r="Z86" s="36">
        <f>IFERROR(IF(Y86=0,"",ROUNDUP(Y86/H86,0)*0.01898),"")</f>
        <v>0.28470000000000001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159.84629629629629</v>
      </c>
      <c r="BN86" s="64">
        <f>IFERROR(Y86*I86/H86,"0")</f>
        <v>168.15</v>
      </c>
      <c r="BO86" s="64">
        <f>IFERROR(1/J86*(X86/H86),"0")</f>
        <v>0.2228009259259259</v>
      </c>
      <c r="BP86" s="64">
        <f>IFERROR(1/J86*(Y86/H86),"0")</f>
        <v>0.23437499999999997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25</v>
      </c>
      <c r="Y89" s="546">
        <f>IFERROR(IF(X89="",0,CEILING((X89/$H89),1)*$H89),"")</f>
        <v>27</v>
      </c>
      <c r="Z89" s="36">
        <f>IFERROR(IF(Y89=0,"",ROUNDUP(Y89/H89,0)*0.00902),"")</f>
        <v>5.4120000000000001E-2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26.055555555555557</v>
      </c>
      <c r="BN89" s="64">
        <f>IFERROR(Y89*I89/H89,"0")</f>
        <v>28.14</v>
      </c>
      <c r="BO89" s="64">
        <f>IFERROR(1/J89*(X89/H89),"0")</f>
        <v>4.208754208754209E-2</v>
      </c>
      <c r="BP89" s="64">
        <f>IFERROR(1/J89*(Y89/H89),"0")</f>
        <v>4.5454545454545456E-2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19.814814814814813</v>
      </c>
      <c r="Y90" s="547">
        <f>IFERROR(Y86/H86,"0")+IFERROR(Y87/H87,"0")+IFERROR(Y88/H88,"0")+IFERROR(Y89/H89,"0")</f>
        <v>21</v>
      </c>
      <c r="Z90" s="547">
        <f>IFERROR(IF(Z86="",0,Z86),"0")+IFERROR(IF(Z87="",0,Z87),"0")+IFERROR(IF(Z88="",0,Z88),"0")+IFERROR(IF(Z89="",0,Z89),"0")</f>
        <v>0.33882000000000001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179</v>
      </c>
      <c r="Y91" s="547">
        <f>IFERROR(SUM(Y86:Y89),"0")</f>
        <v>189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178</v>
      </c>
      <c r="Y101" s="546">
        <f>IFERROR(IF(X101="",0,CEILING((X101/$H101),1)*$H101),"")</f>
        <v>183.60000000000002</v>
      </c>
      <c r="Z101" s="36">
        <f>IFERROR(IF(Y101=0,"",ROUNDUP(Y101/H101,0)*0.01898),"")</f>
        <v>0.32266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184.75740740740741</v>
      </c>
      <c r="BN101" s="64">
        <f>IFERROR(Y101*I101/H101,"0")</f>
        <v>190.57000000000002</v>
      </c>
      <c r="BO101" s="64">
        <f>IFERROR(1/J101*(X101/H101),"0")</f>
        <v>0.25752314814814814</v>
      </c>
      <c r="BP101" s="64">
        <f>IFERROR(1/J101*(Y101/H101),"0")</f>
        <v>0.265625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35</v>
      </c>
      <c r="Y104" s="546">
        <f>IFERROR(IF(X104="",0,CEILING((X104/$H104),1)*$H104),"")</f>
        <v>36</v>
      </c>
      <c r="Z104" s="36">
        <f>IFERROR(IF(Y104=0,"",ROUNDUP(Y104/H104,0)*0.00902),"")</f>
        <v>7.2160000000000002E-2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36.477777777777781</v>
      </c>
      <c r="BN104" s="64">
        <f>IFERROR(Y104*I104/H104,"0")</f>
        <v>37.520000000000003</v>
      </c>
      <c r="BO104" s="64">
        <f>IFERROR(1/J104*(X104/H104),"0")</f>
        <v>5.8922558922558925E-2</v>
      </c>
      <c r="BP104" s="64">
        <f>IFERROR(1/J104*(Y104/H104),"0")</f>
        <v>6.0606060606060608E-2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24.25925925925926</v>
      </c>
      <c r="Y106" s="547">
        <f>IFERROR(Y101/H101,"0")+IFERROR(Y102/H102,"0")+IFERROR(Y103/H103,"0")+IFERROR(Y104/H104,"0")+IFERROR(Y105/H105,"0")</f>
        <v>25</v>
      </c>
      <c r="Z106" s="547">
        <f>IFERROR(IF(Z101="",0,Z101),"0")+IFERROR(IF(Z102="",0,Z102),"0")+IFERROR(IF(Z103="",0,Z103),"0")+IFERROR(IF(Z104="",0,Z104),"0")+IFERROR(IF(Z105="",0,Z105),"0")</f>
        <v>0.39482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213</v>
      </c>
      <c r="Y107" s="547">
        <f>IFERROR(SUM(Y101:Y105),"0")</f>
        <v>219.60000000000002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5</v>
      </c>
      <c r="Y333" s="546">
        <f>IFERROR(IF(X333="",0,CEILING((X333/$H333),1)*$H333),"")</f>
        <v>6</v>
      </c>
      <c r="Z333" s="36">
        <f>IFERROR(IF(Y333=0,"",ROUNDUP(Y333/H333,0)*0.00474),"")</f>
        <v>1.422E-2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5.6000000000000005</v>
      </c>
      <c r="BN333" s="64">
        <f>IFERROR(Y333*I333/H333,"0")</f>
        <v>6.7200000000000006</v>
      </c>
      <c r="BO333" s="64">
        <f>IFERROR(1/J333*(X333/H333),"0")</f>
        <v>1.0504201680672268E-2</v>
      </c>
      <c r="BP333" s="64">
        <f>IFERROR(1/J333*(Y333/H333),"0")</f>
        <v>1.2605042016806723E-2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2.5</v>
      </c>
      <c r="Y334" s="547">
        <f>IFERROR(Y331/H331,"0")+IFERROR(Y332/H332,"0")+IFERROR(Y333/H333,"0")</f>
        <v>3</v>
      </c>
      <c r="Z334" s="547">
        <f>IFERROR(IF(Z331="",0,Z331),"0")+IFERROR(IF(Z332="",0,Z332),"0")+IFERROR(IF(Z333="",0,Z333),"0")</f>
        <v>1.422E-2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5</v>
      </c>
      <c r="Y335" s="547">
        <f>IFERROR(SUM(Y331:Y333),"0")</f>
        <v>6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463</v>
      </c>
      <c r="Y346" s="546">
        <f t="shared" ref="Y346:Y352" si="31">IFERROR(IF(X346="",0,CEILING((X346/$H346),1)*$H346),"")</f>
        <v>465</v>
      </c>
      <c r="Z346" s="36">
        <f>IFERROR(IF(Y346=0,"",ROUNDUP(Y346/H346,0)*0.02175),"")</f>
        <v>0.6742499999999999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477.50733333333335</v>
      </c>
      <c r="BN346" s="64">
        <f t="shared" ref="BN346:BN352" si="33">IFERROR(Y346*I346/H346,"0")</f>
        <v>479.57</v>
      </c>
      <c r="BO346" s="64">
        <f t="shared" ref="BO346:BO352" si="34">IFERROR(1/J346*(X346/H346),"0")</f>
        <v>0.64305555555555549</v>
      </c>
      <c r="BP346" s="64">
        <f t="shared" ref="BP346:BP352" si="35">IFERROR(1/J346*(Y346/H346),"0")</f>
        <v>0.64583333333333326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155</v>
      </c>
      <c r="Y347" s="546">
        <f t="shared" si="31"/>
        <v>165</v>
      </c>
      <c r="Z347" s="36">
        <f>IFERROR(IF(Y347=0,"",ROUNDUP(Y347/H347,0)*0.02175),"")</f>
        <v>0.23924999999999999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159.85666666666665</v>
      </c>
      <c r="BN347" s="64">
        <f t="shared" si="33"/>
        <v>170.17000000000002</v>
      </c>
      <c r="BO347" s="64">
        <f t="shared" si="34"/>
        <v>0.21527777777777779</v>
      </c>
      <c r="BP347" s="64">
        <f t="shared" si="35"/>
        <v>0.22916666666666666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49">
        <v>4680115887046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49">
        <v>4680115884830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41.2</v>
      </c>
      <c r="Y353" s="547">
        <f>IFERROR(Y346/H346,"0")+IFERROR(Y347/H347,"0")+IFERROR(Y348/H348,"0")+IFERROR(Y349/H349,"0")+IFERROR(Y350/H350,"0")+IFERROR(Y351/H351,"0")+IFERROR(Y352/H352,"0")</f>
        <v>42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0.91349999999999987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618</v>
      </c>
      <c r="Y354" s="547">
        <f>IFERROR(SUM(Y346:Y352),"0")</f>
        <v>630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617</v>
      </c>
      <c r="Y356" s="546">
        <f>IFERROR(IF(X356="",0,CEILING((X356/$H356),1)*$H356),"")</f>
        <v>630</v>
      </c>
      <c r="Z356" s="36">
        <f>IFERROR(IF(Y356=0,"",ROUNDUP(Y356/H356,0)*0.02175),"")</f>
        <v>0.91349999999999998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636.33266666666668</v>
      </c>
      <c r="BN356" s="64">
        <f>IFERROR(Y356*I356/H356,"0")</f>
        <v>649.74</v>
      </c>
      <c r="BO356" s="64">
        <f>IFERROR(1/J356*(X356/H356),"0")</f>
        <v>0.8569444444444444</v>
      </c>
      <c r="BP356" s="64">
        <f>IFERROR(1/J356*(Y356/H356),"0")</f>
        <v>0.875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41.133333333333333</v>
      </c>
      <c r="Y358" s="547">
        <f>IFERROR(Y356/H356,"0")+IFERROR(Y357/H357,"0")</f>
        <v>42</v>
      </c>
      <c r="Z358" s="547">
        <f>IFERROR(IF(Z356="",0,Z356),"0")+IFERROR(IF(Z357="",0,Z357),"0")</f>
        <v>0.91349999999999998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617</v>
      </c>
      <c r="Y359" s="547">
        <f>IFERROR(SUM(Y356:Y357),"0")</f>
        <v>630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4301031457</v>
      </c>
      <c r="D376" s="549">
        <v>4607091384802</v>
      </c>
      <c r="E376" s="550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4301031303</v>
      </c>
      <c r="D377" s="549">
        <v>4607091384802</v>
      </c>
      <c r="E377" s="550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55</v>
      </c>
      <c r="Y425" s="546">
        <f t="shared" ref="Y425:Y436" si="42">IFERROR(IF(X425="",0,CEILING((X425/$H425),1)*$H425),"")</f>
        <v>58.080000000000005</v>
      </c>
      <c r="Z425" s="36">
        <f t="shared" ref="Z425:Z431" si="43">IFERROR(IF(Y425=0,"",ROUNDUP(Y425/H425,0)*0.01196),"")</f>
        <v>0.13156000000000001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58.645833333333329</v>
      </c>
      <c r="BN425" s="64">
        <f t="shared" ref="BN425:BN436" si="45">IFERROR(Y425*I425/H425,"0")</f>
        <v>61.93</v>
      </c>
      <c r="BO425" s="64">
        <f t="shared" ref="BO425:BO436" si="46">IFERROR(1/J425*(X425/H425),"0")</f>
        <v>0.10016025641025642</v>
      </c>
      <c r="BP425" s="64">
        <f t="shared" ref="BP425:BP436" si="47">IFERROR(1/J425*(Y425/H425),"0")</f>
        <v>0.10576923076923078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526</v>
      </c>
      <c r="Y429" s="546">
        <f t="shared" si="42"/>
        <v>528</v>
      </c>
      <c r="Z429" s="36">
        <f t="shared" si="43"/>
        <v>1.196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560.86742424242425</v>
      </c>
      <c r="BN429" s="64">
        <f t="shared" si="45"/>
        <v>563</v>
      </c>
      <c r="BO429" s="64">
        <f t="shared" si="46"/>
        <v>0.95789627039627034</v>
      </c>
      <c r="BP429" s="64">
        <f t="shared" si="47"/>
        <v>0.96153846153846156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786</v>
      </c>
      <c r="Y431" s="546">
        <f t="shared" si="42"/>
        <v>786.72</v>
      </c>
      <c r="Z431" s="36">
        <f t="shared" si="43"/>
        <v>1.7820400000000001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838.10227272727275</v>
      </c>
      <c r="BN431" s="64">
        <f t="shared" si="45"/>
        <v>838.87</v>
      </c>
      <c r="BO431" s="64">
        <f t="shared" si="46"/>
        <v>1.4313811188811187</v>
      </c>
      <c r="BP431" s="64">
        <f t="shared" si="47"/>
        <v>1.4326923076923077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258.90151515151513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260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3.1096000000000004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1367</v>
      </c>
      <c r="Y438" s="547">
        <f>IFERROR(SUM(Y425:Y436),"0")</f>
        <v>1372.8000000000002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612</v>
      </c>
      <c r="Y440" s="546">
        <f>IFERROR(IF(X440="",0,CEILING((X440/$H440),1)*$H440),"")</f>
        <v>612.48</v>
      </c>
      <c r="Z440" s="36">
        <f>IFERROR(IF(Y440=0,"",ROUNDUP(Y440/H440,0)*0.01196),"")</f>
        <v>1.3873599999999999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652.56818181818176</v>
      </c>
      <c r="BN440" s="64">
        <f>IFERROR(Y440*I440/H440,"0")</f>
        <v>653.07999999999993</v>
      </c>
      <c r="BO440" s="64">
        <f>IFERROR(1/J440*(X440/H440),"0")</f>
        <v>1.1145104895104896</v>
      </c>
      <c r="BP440" s="64">
        <f>IFERROR(1/J440*(Y440/H440),"0")</f>
        <v>1.1153846153846154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115.90909090909091</v>
      </c>
      <c r="Y443" s="547">
        <f>IFERROR(Y440/H440,"0")+IFERROR(Y441/H441,"0")+IFERROR(Y442/H442,"0")</f>
        <v>116</v>
      </c>
      <c r="Z443" s="547">
        <f>IFERROR(IF(Z440="",0,Z440),"0")+IFERROR(IF(Z441="",0,Z441),"0")+IFERROR(IF(Z442="",0,Z442),"0")</f>
        <v>1.3873599999999999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612</v>
      </c>
      <c r="Y444" s="547">
        <f>IFERROR(SUM(Y440:Y442),"0")</f>
        <v>612.48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126</v>
      </c>
      <c r="Y446" s="546">
        <f t="shared" ref="Y446:Y451" si="48">IFERROR(IF(X446="",0,CEILING((X446/$H446),1)*$H446),"")</f>
        <v>126.72</v>
      </c>
      <c r="Z446" s="36">
        <f>IFERROR(IF(Y446=0,"",ROUNDUP(Y446/H446,0)*0.01196),"")</f>
        <v>0.28704000000000002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134.35227272727272</v>
      </c>
      <c r="BN446" s="64">
        <f t="shared" ref="BN446:BN451" si="50">IFERROR(Y446*I446/H446,"0")</f>
        <v>135.11999999999998</v>
      </c>
      <c r="BO446" s="64">
        <f t="shared" ref="BO446:BO451" si="51">IFERROR(1/J446*(X446/H446),"0")</f>
        <v>0.22945804195804198</v>
      </c>
      <c r="BP446" s="64">
        <f t="shared" ref="BP446:BP451" si="52">IFERROR(1/J446*(Y446/H446),"0")</f>
        <v>0.23076923076923078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192</v>
      </c>
      <c r="Y447" s="546">
        <f t="shared" si="48"/>
        <v>195.36</v>
      </c>
      <c r="Z447" s="36">
        <f>IFERROR(IF(Y447=0,"",ROUNDUP(Y447/H447,0)*0.01196),"")</f>
        <v>0.44252000000000002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204.72727272727272</v>
      </c>
      <c r="BN447" s="64">
        <f t="shared" si="50"/>
        <v>208.31</v>
      </c>
      <c r="BO447" s="64">
        <f t="shared" si="51"/>
        <v>0.34965034965034963</v>
      </c>
      <c r="BP447" s="64">
        <f t="shared" si="52"/>
        <v>0.35576923076923078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488</v>
      </c>
      <c r="Y448" s="546">
        <f t="shared" si="48"/>
        <v>491.04</v>
      </c>
      <c r="Z448" s="36">
        <f>IFERROR(IF(Y448=0,"",ROUNDUP(Y448/H448,0)*0.01196),"")</f>
        <v>1.1122799999999999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520.34848484848487</v>
      </c>
      <c r="BN448" s="64">
        <f t="shared" si="50"/>
        <v>523.59</v>
      </c>
      <c r="BO448" s="64">
        <f t="shared" si="51"/>
        <v>0.88869463869463872</v>
      </c>
      <c r="BP448" s="64">
        <f t="shared" si="52"/>
        <v>0.89423076923076927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152.65151515151513</v>
      </c>
      <c r="Y452" s="547">
        <f>IFERROR(Y446/H446,"0")+IFERROR(Y447/H447,"0")+IFERROR(Y448/H448,"0")+IFERROR(Y449/H449,"0")+IFERROR(Y450/H450,"0")+IFERROR(Y451/H451,"0")</f>
        <v>154</v>
      </c>
      <c r="Z452" s="547">
        <f>IFERROR(IF(Z446="",0,Z446),"0")+IFERROR(IF(Z447="",0,Z447),"0")+IFERROR(IF(Z448="",0,Z448),"0")+IFERROR(IF(Z449="",0,Z449),"0")+IFERROR(IF(Z450="",0,Z450),"0")+IFERROR(IF(Z451="",0,Z451),"0")</f>
        <v>1.8418399999999999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806</v>
      </c>
      <c r="Y453" s="547">
        <f>IFERROR(SUM(Y446:Y451),"0")</f>
        <v>813.12000000000012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4417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4473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4656.045446127946</v>
      </c>
      <c r="Y492" s="547">
        <f>IFERROR(SUM(BN22:BN488),"0")</f>
        <v>4714.4800000000005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8</v>
      </c>
      <c r="Y493" s="38">
        <f>ROUNDUP(SUM(BP22:BP488),0)</f>
        <v>8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4856.045446127946</v>
      </c>
      <c r="Y494" s="547">
        <f>GrossWeightTotalR+PalletQtyTotalR*25</f>
        <v>4914.4800000000005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656.36952861952852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663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8.9136600000000001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189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219.60000000000002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6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1260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2798.4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2025-12-11T06:41:42Z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