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F42751ED-DBE5-4003-916A-6B0F813C6F7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4" i="1" s="1"/>
  <c r="P32" i="1"/>
  <c r="X29" i="1"/>
  <c r="X270" i="1" s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X271" i="1"/>
  <c r="X272" i="1"/>
  <c r="BN23" i="1"/>
  <c r="BN25" i="1"/>
  <c r="BN27" i="1"/>
  <c r="Y28" i="1"/>
  <c r="BN32" i="1"/>
  <c r="BP32" i="1"/>
  <c r="Y272" i="1" s="1"/>
  <c r="Y35" i="1"/>
  <c r="Y41" i="1"/>
  <c r="BN40" i="1"/>
  <c r="Y57" i="1"/>
  <c r="BP52" i="1"/>
  <c r="BN52" i="1"/>
  <c r="Y56" i="1"/>
  <c r="BP54" i="1"/>
  <c r="BN54" i="1"/>
  <c r="F9" i="1"/>
  <c r="J9" i="1"/>
  <c r="Y42" i="1"/>
  <c r="Y270" i="1" s="1"/>
  <c r="Y48" i="1"/>
  <c r="BP45" i="1"/>
  <c r="BN45" i="1"/>
  <c r="BP47" i="1"/>
  <c r="BN47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BN69" i="1"/>
  <c r="Y271" i="1" s="1"/>
  <c r="Y273" i="1" s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A283" i="1" l="1"/>
  <c r="Y274" i="1"/>
  <c r="B283" i="1" s="1"/>
  <c r="X273" i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<sst xmlns="http://schemas.openxmlformats.org/spreadsheetml/2006/main" count="1222" uniqueCount="394">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</sst>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5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140</v>
      </c>
      <c r="Y39" s="269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126</v>
      </c>
      <c r="Y40" s="269">
        <f>IFERROR(IF(X40="","",X40),"")</f>
        <v>126</v>
      </c>
      <c r="Z40" s="36">
        <f>IFERROR(IF(X40="","",X40*0.00941),"")</f>
        <v>1.1856599999999999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242.14679999999998</v>
      </c>
      <c r="BN40" s="67">
        <f>IFERROR(Y40*I40,"0")</f>
        <v>242.14679999999998</v>
      </c>
      <c r="BO40" s="67">
        <f>IFERROR(X40/J40,"0")</f>
        <v>0.9</v>
      </c>
      <c r="BP40" s="67">
        <f>IFERROR(Y40/J40,"0")</f>
        <v>0.9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266</v>
      </c>
      <c r="Y41" s="270">
        <f>IFERROR(SUM(Y39:Y40),"0")</f>
        <v>266</v>
      </c>
      <c r="Z41" s="270">
        <f>IFERROR(IF(Z39="",0,Z39),"0")+IFERROR(IF(Z40="",0,Z40),"0")</f>
        <v>2.5030599999999996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399</v>
      </c>
      <c r="Y42" s="270">
        <f>IFERROR(SUMPRODUCT(Y39:Y40*H39:H40),"0")</f>
        <v>399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60</v>
      </c>
      <c r="Y46" s="269">
        <f>IFERROR(IF(X46="","",X46),"")</f>
        <v>60</v>
      </c>
      <c r="Z46" s="36">
        <f>IFERROR(IF(X46="","",X46*0.0155),"")</f>
        <v>0.92999999999999994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352.2</v>
      </c>
      <c r="BN46" s="67">
        <f>IFERROR(Y46*I46,"0")</f>
        <v>352.2</v>
      </c>
      <c r="BO46" s="67">
        <f>IFERROR(X46/J46,"0")</f>
        <v>0.7142857142857143</v>
      </c>
      <c r="BP46" s="67">
        <f>IFERROR(Y46/J46,"0")</f>
        <v>0.7142857142857143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132</v>
      </c>
      <c r="Y47" s="269">
        <f>IFERROR(IF(X47="","",X47),"")</f>
        <v>132</v>
      </c>
      <c r="Z47" s="36">
        <f>IFERROR(IF(X47="","",X47*0.0155),"")</f>
        <v>2.0459999999999998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774.84</v>
      </c>
      <c r="BN47" s="67">
        <f>IFERROR(Y47*I47,"0")</f>
        <v>774.84</v>
      </c>
      <c r="BO47" s="67">
        <f>IFERROR(X47/J47,"0")</f>
        <v>1.5714285714285714</v>
      </c>
      <c r="BP47" s="67">
        <f>IFERROR(Y47/J47,"0")</f>
        <v>1.5714285714285714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288</v>
      </c>
      <c r="Y48" s="270">
        <f>IFERROR(SUM(Y45:Y47),"0")</f>
        <v>288</v>
      </c>
      <c r="Z48" s="270">
        <f>IFERROR(IF(Z45="",0,Z45),"0")+IFERROR(IF(Z46="",0,Z46),"0")+IFERROR(IF(Z47="",0,Z47),"0")</f>
        <v>4.4640000000000004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1612.7999999999997</v>
      </c>
      <c r="Y49" s="270">
        <f>IFERROR(SUMPRODUCT(Y45:Y47*H45:H47),"0")</f>
        <v>1612.7999999999997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12</v>
      </c>
      <c r="Y55" s="26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160.80000000000001</v>
      </c>
      <c r="Y57" s="270">
        <f>IFERROR(SUMPRODUCT(Y52:Y55*H52:H55),"0")</f>
        <v>160.80000000000001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28</v>
      </c>
      <c r="Y86" s="269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28</v>
      </c>
      <c r="Y87" s="270">
        <f>IFERROR(SUM(Y86:Y86),"0")</f>
        <v>28</v>
      </c>
      <c r="Z87" s="270">
        <f>IFERROR(IF(Z86="",0,Z86),"0")</f>
        <v>0.50063999999999997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100.8</v>
      </c>
      <c r="Y88" s="270">
        <f>IFERROR(SUMPRODUCT(Y86:Y86*H86:H86),"0")</f>
        <v>100.8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126</v>
      </c>
      <c r="Y91" s="269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112</v>
      </c>
      <c r="Y92" s="269">
        <f>IFERROR(IF(X92="","",X92),"")</f>
        <v>112</v>
      </c>
      <c r="Z92" s="36">
        <f>IFERROR(IF(X92="","",X92*0.01788),"")</f>
        <v>2.0025599999999999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482.00320000000005</v>
      </c>
      <c r="BN92" s="67">
        <f>IFERROR(Y92*I92,"0")</f>
        <v>482.00320000000005</v>
      </c>
      <c r="BO92" s="67">
        <f>IFERROR(X92/J92,"0")</f>
        <v>1.6</v>
      </c>
      <c r="BP92" s="67">
        <f>IFERROR(Y92/J92,"0")</f>
        <v>1.6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238</v>
      </c>
      <c r="Y93" s="270">
        <f>IFERROR(SUM(Y91:Y92),"0")</f>
        <v>238</v>
      </c>
      <c r="Z93" s="270">
        <f>IFERROR(IF(Z91="",0,Z91),"0")+IFERROR(IF(Z92="",0,Z92),"0")</f>
        <v>4.2554400000000001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856.8</v>
      </c>
      <c r="Y94" s="270">
        <f>IFERROR(SUMPRODUCT(Y91:Y92*H91:H92),"0")</f>
        <v>856.8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154</v>
      </c>
      <c r="Y98" s="269">
        <f t="shared" si="6"/>
        <v>154</v>
      </c>
      <c r="Z98" s="36">
        <f t="shared" si="7"/>
        <v>2.75352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154</v>
      </c>
      <c r="Y100" s="269">
        <f t="shared" si="6"/>
        <v>154</v>
      </c>
      <c r="Z100" s="36">
        <f t="shared" si="7"/>
        <v>2.75352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84</v>
      </c>
      <c r="Y101" s="269">
        <f t="shared" si="6"/>
        <v>84</v>
      </c>
      <c r="Z101" s="36">
        <f t="shared" si="7"/>
        <v>1.5019199999999999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373.69920000000002</v>
      </c>
      <c r="BN101" s="67">
        <f t="shared" si="9"/>
        <v>373.69920000000002</v>
      </c>
      <c r="BO101" s="67">
        <f t="shared" si="10"/>
        <v>1.2</v>
      </c>
      <c r="BP101" s="67">
        <f t="shared" si="11"/>
        <v>1.2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560</v>
      </c>
      <c r="Y103" s="270">
        <f>IFERROR(SUM(Y97:Y102),"0")</f>
        <v>560</v>
      </c>
      <c r="Z103" s="270">
        <f>IFERROR(IF(Z97="",0,Z97),"0")+IFERROR(IF(Z98="",0,Z98),"0")+IFERROR(IF(Z99="",0,Z99),"0")+IFERROR(IF(Z100="",0,Z100),"0")+IFERROR(IF(Z101="",0,Z101),"0")+IFERROR(IF(Z102="",0,Z102),"0")</f>
        <v>10.0128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1730.3999999999999</v>
      </c>
      <c r="Y104" s="270">
        <f>IFERROR(SUMPRODUCT(Y97:Y102*H97:H102),"0")</f>
        <v>1730.3999999999999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96</v>
      </c>
      <c r="Y116" s="269">
        <f t="shared" si="12"/>
        <v>96</v>
      </c>
      <c r="Z116" s="36">
        <f t="shared" si="13"/>
        <v>1.488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348</v>
      </c>
      <c r="Y121" s="270">
        <f>IFERROR(SUM(Y113:Y120),"0")</f>
        <v>348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5.3940000000000001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2414.4</v>
      </c>
      <c r="Y122" s="270">
        <f>IFERROR(SUMPRODUCT(Y113:Y120*H113:H120),"0")</f>
        <v>2414.4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238</v>
      </c>
      <c r="Y133" s="269">
        <f>IFERROR(IF(X133="","",X133),"")</f>
        <v>238</v>
      </c>
      <c r="Z133" s="36">
        <f>IFERROR(IF(X133="","",X133*0.01788),"")</f>
        <v>4.2554400000000001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881.45679999999993</v>
      </c>
      <c r="BN133" s="67">
        <f>IFERROR(Y133*I133,"0")</f>
        <v>881.45679999999993</v>
      </c>
      <c r="BO133" s="67">
        <f>IFERROR(X133/J133,"0")</f>
        <v>3.4</v>
      </c>
      <c r="BP133" s="67">
        <f>IFERROR(Y133/J133,"0")</f>
        <v>3.4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238</v>
      </c>
      <c r="Y135" s="270">
        <f>IFERROR(SUM(Y133:Y134),"0")</f>
        <v>238</v>
      </c>
      <c r="Z135" s="270">
        <f>IFERROR(IF(Z133="",0,Z133),"0")+IFERROR(IF(Z134="",0,Z134),"0")</f>
        <v>4.2554400000000001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714</v>
      </c>
      <c r="Y136" s="270">
        <f>IFERROR(SUMPRODUCT(Y133:Y134*H133:H134),"0")</f>
        <v>714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7989</v>
      </c>
      <c r="Y270" s="270">
        <f>IFERROR(Y29+Y35+Y42+Y49+Y57+Y62+Y66+Y71+Y77+Y83+Y88+Y94+Y104+Y110+Y122+Y126+Y130+Y136+Y142+Y148+Y153+Y158+Y163+Y168+Y175+Y183+Y187+Y193+Y201+Y206+Y211+Y216+Y222+Y228+Y234+Y238+Y245+Y250+Y256+Y269,"0")</f>
        <v>7989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9021.6836000000003</v>
      </c>
      <c r="Y271" s="270">
        <f>IFERROR(SUM(BN22:BN267),"0")</f>
        <v>9021.6836000000003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9646.6836000000003</v>
      </c>
      <c r="Y273" s="270">
        <f>GrossWeightTotalR+PalletQtyTotalR*25</f>
        <v>9646.6836000000003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1990</v>
      </c>
      <c r="Y274" s="270">
        <f>IFERROR(Y28+Y34+Y41+Y48+Y56+Y61+Y65+Y70+Y76+Y82+Y87+Y93+Y103+Y109+Y121+Y125+Y129+Y135+Y141+Y147+Y152+Y157+Y162+Y167+Y174+Y182+Y186+Y192+Y200+Y205+Y210+Y215+Y221+Y227+Y233+Y237+Y244+Y249+Y255+Y268,"0")</f>
        <v>1990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31.757379999999998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399</v>
      </c>
      <c r="E280" s="46">
        <f>IFERROR(X45*H45,"0")+IFERROR(X46*H46,"0")+IFERROR(X47*H47,"0")</f>
        <v>1612.7999999999997</v>
      </c>
      <c r="F280" s="46">
        <f>IFERROR(X52*H52,"0")+IFERROR(X53*H53,"0")+IFERROR(X54*H54,"0")+IFERROR(X55*H55,"0")</f>
        <v>160.80000000000001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100.8</v>
      </c>
      <c r="J280" s="46">
        <f>IFERROR(X91*H91,"0")+IFERROR(X92*H92,"0")</f>
        <v>856.8</v>
      </c>
      <c r="K280" s="46">
        <f>IFERROR(X97*H97,"0")+IFERROR(X98*H98,"0")+IFERROR(X99*H99,"0")+IFERROR(X100*H100,"0")+IFERROR(X101*H101,"0")+IFERROR(X102*H102,"0")</f>
        <v>1730.3999999999999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2414.4</v>
      </c>
      <c r="N280" s="266"/>
      <c r="O280" s="46">
        <f>IFERROR(X133*H133,"0")+IFERROR(X134*H134,"0")</f>
        <v>714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4188</v>
      </c>
      <c r="B283" s="60">
        <f>SUMPRODUCT(--(BB:BB="ПГП"),--(W:W="кор"),H:H,Y:Y)+SUMPRODUCT(--(BB:BB="ПГП"),--(W:W="кг"),Y:Y)</f>
        <v>3801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