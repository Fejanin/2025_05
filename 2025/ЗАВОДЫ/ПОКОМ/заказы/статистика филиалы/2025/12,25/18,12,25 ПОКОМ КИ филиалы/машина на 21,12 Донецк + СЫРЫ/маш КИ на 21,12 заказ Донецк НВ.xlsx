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73C7A28D-6692-4A12-B9E3-8B772C9DF34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Y467" i="1" s="1"/>
  <c r="P463" i="1"/>
  <c r="X459" i="1"/>
  <c r="Y458" i="1"/>
  <c r="X458" i="1"/>
  <c r="BP457" i="1"/>
  <c r="BO457" i="1"/>
  <c r="BN457" i="1"/>
  <c r="BM457" i="1"/>
  <c r="Z457" i="1"/>
  <c r="Z458" i="1" s="1"/>
  <c r="Y457" i="1"/>
  <c r="Y459" i="1" s="1"/>
  <c r="P457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BP149" i="1"/>
  <c r="BO149" i="1"/>
  <c r="BN149" i="1"/>
  <c r="BM149" i="1"/>
  <c r="Z149" i="1"/>
  <c r="Y149" i="1"/>
  <c r="BP148" i="1"/>
  <c r="BO148" i="1"/>
  <c r="BN148" i="1"/>
  <c r="BM148" i="1"/>
  <c r="Z148" i="1"/>
  <c r="Y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Y134" i="1" s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X65" i="1"/>
  <c r="Y64" i="1"/>
  <c r="X64" i="1"/>
  <c r="BP63" i="1"/>
  <c r="BO63" i="1"/>
  <c r="BN63" i="1"/>
  <c r="BM63" i="1"/>
  <c r="Z63" i="1"/>
  <c r="Y63" i="1"/>
  <c r="P63" i="1"/>
  <c r="BO62" i="1"/>
  <c r="BM62" i="1"/>
  <c r="Y62" i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Y49" i="1"/>
  <c r="X49" i="1"/>
  <c r="X48" i="1"/>
  <c r="BO47" i="1"/>
  <c r="BM47" i="1"/>
  <c r="Z47" i="1"/>
  <c r="Z48" i="1" s="1"/>
  <c r="Y47" i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2" i="1" s="1"/>
  <c r="X24" i="1"/>
  <c r="BP23" i="1"/>
  <c r="BO23" i="1"/>
  <c r="BN23" i="1"/>
  <c r="BM23" i="1"/>
  <c r="Z23" i="1"/>
  <c r="Y23" i="1"/>
  <c r="P23" i="1"/>
  <c r="BO22" i="1"/>
  <c r="X494" i="1" s="1"/>
  <c r="BM22" i="1"/>
  <c r="X493" i="1" s="1"/>
  <c r="X495" i="1" s="1"/>
  <c r="Y22" i="1"/>
  <c r="B502" i="1" s="1"/>
  <c r="P22" i="1"/>
  <c r="H10" i="1"/>
  <c r="A9" i="1"/>
  <c r="F10" i="1" s="1"/>
  <c r="D7" i="1"/>
  <c r="Q6" i="1"/>
  <c r="P2" i="1"/>
  <c r="Z81" i="1" l="1"/>
  <c r="Z44" i="1"/>
  <c r="Z405" i="1"/>
  <c r="H9" i="1"/>
  <c r="A10" i="1"/>
  <c r="Y24" i="1"/>
  <c r="Y32" i="1"/>
  <c r="Y44" i="1"/>
  <c r="D502" i="1"/>
  <c r="Y59" i="1"/>
  <c r="BP52" i="1"/>
  <c r="BN52" i="1"/>
  <c r="Z52" i="1"/>
  <c r="Z58" i="1" s="1"/>
  <c r="BP56" i="1"/>
  <c r="BN56" i="1"/>
  <c r="Z56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Y82" i="1"/>
  <c r="E502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BP118" i="1"/>
  <c r="BN118" i="1"/>
  <c r="Z118" i="1"/>
  <c r="Y120" i="1"/>
  <c r="Y123" i="1"/>
  <c r="BP122" i="1"/>
  <c r="BN122" i="1"/>
  <c r="Z122" i="1"/>
  <c r="Z123" i="1" s="1"/>
  <c r="Y124" i="1"/>
  <c r="G502" i="1"/>
  <c r="Y130" i="1"/>
  <c r="BP127" i="1"/>
  <c r="BN127" i="1"/>
  <c r="Z127" i="1"/>
  <c r="Z129" i="1" s="1"/>
  <c r="BP144" i="1"/>
  <c r="BN144" i="1"/>
  <c r="Z144" i="1"/>
  <c r="Z145" i="1" s="1"/>
  <c r="Y146" i="1"/>
  <c r="BP151" i="1"/>
  <c r="BN151" i="1"/>
  <c r="Z151" i="1"/>
  <c r="Z154" i="1" s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1" i="1"/>
  <c r="BP198" i="1"/>
  <c r="BN198" i="1"/>
  <c r="Z198" i="1"/>
  <c r="Z200" i="1" s="1"/>
  <c r="BP297" i="1"/>
  <c r="BN297" i="1"/>
  <c r="Z297" i="1"/>
  <c r="Q502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Z317" i="1" s="1"/>
  <c r="Y317" i="1"/>
  <c r="Z323" i="1"/>
  <c r="BP321" i="1"/>
  <c r="BN321" i="1"/>
  <c r="Z321" i="1"/>
  <c r="Y323" i="1"/>
  <c r="H502" i="1"/>
  <c r="F9" i="1"/>
  <c r="J9" i="1"/>
  <c r="Z22" i="1"/>
  <c r="Z24" i="1" s="1"/>
  <c r="BN22" i="1"/>
  <c r="BP22" i="1"/>
  <c r="X496" i="1"/>
  <c r="Y25" i="1"/>
  <c r="Z28" i="1"/>
  <c r="Z32" i="1" s="1"/>
  <c r="BN28" i="1"/>
  <c r="Z30" i="1"/>
  <c r="BN30" i="1"/>
  <c r="C502" i="1"/>
  <c r="Z42" i="1"/>
  <c r="BN42" i="1"/>
  <c r="Y45" i="1"/>
  <c r="Y48" i="1"/>
  <c r="BP47" i="1"/>
  <c r="BN47" i="1"/>
  <c r="BP54" i="1"/>
  <c r="BN54" i="1"/>
  <c r="Z54" i="1"/>
  <c r="Y58" i="1"/>
  <c r="BP62" i="1"/>
  <c r="BN62" i="1"/>
  <c r="Z62" i="1"/>
  <c r="Z64" i="1" s="1"/>
  <c r="Y69" i="1"/>
  <c r="BP74" i="1"/>
  <c r="BN74" i="1"/>
  <c r="Z74" i="1"/>
  <c r="Y81" i="1"/>
  <c r="BP87" i="1"/>
  <c r="BN87" i="1"/>
  <c r="Z87" i="1"/>
  <c r="Y96" i="1"/>
  <c r="BP95" i="1"/>
  <c r="BN95" i="1"/>
  <c r="Z95" i="1"/>
  <c r="Z96" i="1" s="1"/>
  <c r="Y97" i="1"/>
  <c r="F502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Y129" i="1"/>
  <c r="BP133" i="1"/>
  <c r="BN133" i="1"/>
  <c r="Z133" i="1"/>
  <c r="Z134" i="1" s="1"/>
  <c r="Y135" i="1"/>
  <c r="Y140" i="1"/>
  <c r="BP137" i="1"/>
  <c r="BN137" i="1"/>
  <c r="Z137" i="1"/>
  <c r="Z139" i="1" s="1"/>
  <c r="Y145" i="1"/>
  <c r="Y154" i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Z185" i="1"/>
  <c r="BP183" i="1"/>
  <c r="BN183" i="1"/>
  <c r="Z183" i="1"/>
  <c r="Y200" i="1"/>
  <c r="BP207" i="1"/>
  <c r="BN207" i="1"/>
  <c r="Z207" i="1"/>
  <c r="Y211" i="1"/>
  <c r="BP215" i="1"/>
  <c r="BN215" i="1"/>
  <c r="Z215" i="1"/>
  <c r="BP219" i="1"/>
  <c r="BN219" i="1"/>
  <c r="Z219" i="1"/>
  <c r="Z223" i="1" s="1"/>
  <c r="Y223" i="1"/>
  <c r="BP227" i="1"/>
  <c r="BN227" i="1"/>
  <c r="Z227" i="1"/>
  <c r="Z228" i="1" s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502" i="1"/>
  <c r="Y266" i="1"/>
  <c r="BP261" i="1"/>
  <c r="BN261" i="1"/>
  <c r="Z261" i="1"/>
  <c r="Z266" i="1" s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Z281" i="1" s="1"/>
  <c r="Y281" i="1"/>
  <c r="Z287" i="1"/>
  <c r="BP329" i="1"/>
  <c r="BN329" i="1"/>
  <c r="Z329" i="1"/>
  <c r="Y331" i="1"/>
  <c r="Y336" i="1"/>
  <c r="BP333" i="1"/>
  <c r="BN333" i="1"/>
  <c r="Z333" i="1"/>
  <c r="Y337" i="1"/>
  <c r="BP342" i="1"/>
  <c r="BN342" i="1"/>
  <c r="Z342" i="1"/>
  <c r="BP349" i="1"/>
  <c r="BN349" i="1"/>
  <c r="Z349" i="1"/>
  <c r="Z355" i="1" s="1"/>
  <c r="Y355" i="1"/>
  <c r="BP353" i="1"/>
  <c r="BN353" i="1"/>
  <c r="Z353" i="1"/>
  <c r="BP392" i="1"/>
  <c r="BN392" i="1"/>
  <c r="Z392" i="1"/>
  <c r="U502" i="1"/>
  <c r="BP396" i="1"/>
  <c r="BN396" i="1"/>
  <c r="Z396" i="1"/>
  <c r="Y400" i="1"/>
  <c r="BP404" i="1"/>
  <c r="BN404" i="1"/>
  <c r="Z404" i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502" i="1"/>
  <c r="Y195" i="1"/>
  <c r="Y212" i="1"/>
  <c r="BP203" i="1"/>
  <c r="BN203" i="1"/>
  <c r="BP205" i="1"/>
  <c r="BN205" i="1"/>
  <c r="Z205" i="1"/>
  <c r="Z211" i="1" s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Y288" i="1"/>
  <c r="Y293" i="1"/>
  <c r="BP290" i="1"/>
  <c r="BN290" i="1"/>
  <c r="Z290" i="1"/>
  <c r="Z292" i="1" s="1"/>
  <c r="Y302" i="1"/>
  <c r="BP299" i="1"/>
  <c r="BN299" i="1"/>
  <c r="Z299" i="1"/>
  <c r="Z301" i="1" s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502" i="1"/>
  <c r="Y344" i="1"/>
  <c r="Y343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502" i="1"/>
  <c r="Y282" i="1"/>
  <c r="P502" i="1"/>
  <c r="Y287" i="1"/>
  <c r="S502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Z386" i="1"/>
  <c r="BP384" i="1"/>
  <c r="BN384" i="1"/>
  <c r="Z384" i="1"/>
  <c r="Y401" i="1"/>
  <c r="BP394" i="1"/>
  <c r="BN394" i="1"/>
  <c r="Z394" i="1"/>
  <c r="BP398" i="1"/>
  <c r="BN398" i="1"/>
  <c r="Z398" i="1"/>
  <c r="Z400" i="1" s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Z472" i="1" s="1"/>
  <c r="Y472" i="1"/>
  <c r="Z485" i="1"/>
  <c r="Y502" i="1"/>
  <c r="Y356" i="1"/>
  <c r="T502" i="1"/>
  <c r="Y375" i="1"/>
  <c r="X502" i="1"/>
  <c r="BP430" i="1"/>
  <c r="BN430" i="1"/>
  <c r="Z430" i="1"/>
  <c r="Z439" i="1" s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4" i="1"/>
  <c r="BN464" i="1"/>
  <c r="Z464" i="1"/>
  <c r="Z467" i="1" s="1"/>
  <c r="BP484" i="1"/>
  <c r="BN484" i="1"/>
  <c r="Z484" i="1"/>
  <c r="Y486" i="1"/>
  <c r="Z502" i="1"/>
  <c r="Y490" i="1"/>
  <c r="BP489" i="1"/>
  <c r="BN489" i="1"/>
  <c r="Z489" i="1"/>
  <c r="Z490" i="1" s="1"/>
  <c r="Y491" i="1"/>
  <c r="Y439" i="1"/>
  <c r="Z454" i="1" l="1"/>
  <c r="Z417" i="1"/>
  <c r="Z336" i="1"/>
  <c r="Y493" i="1"/>
  <c r="Z241" i="1"/>
  <c r="Z179" i="1"/>
  <c r="Z274" i="1"/>
  <c r="Z257" i="1"/>
  <c r="Y492" i="1"/>
  <c r="Y494" i="1"/>
  <c r="Z89" i="1"/>
  <c r="Z76" i="1"/>
  <c r="Z497" i="1" s="1"/>
  <c r="Y496" i="1"/>
  <c r="Y495" i="1" l="1"/>
</calcChain>
</file>

<file path=xl/sharedStrings.xml><?xml version="1.0" encoding="utf-8"?>
<sst xmlns="http://schemas.openxmlformats.org/spreadsheetml/2006/main" count="2301" uniqueCount="774">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</sst>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84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8" t="s">
        <v>0</v>
      </c>
      <c r="E1" s="629"/>
      <c r="F1" s="629"/>
      <c r="G1" s="12" t="s">
        <v>1</v>
      </c>
      <c r="H1" s="628" t="s">
        <v>2</v>
      </c>
      <c r="I1" s="629"/>
      <c r="J1" s="629"/>
      <c r="K1" s="629"/>
      <c r="L1" s="629"/>
      <c r="M1" s="629"/>
      <c r="N1" s="629"/>
      <c r="O1" s="629"/>
      <c r="P1" s="629"/>
      <c r="Q1" s="629"/>
      <c r="R1" s="738" t="s">
        <v>3</v>
      </c>
      <c r="S1" s="629"/>
      <c r="T1" s="62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0" t="s">
        <v>8</v>
      </c>
      <c r="B5" s="671"/>
      <c r="C5" s="672"/>
      <c r="D5" s="633"/>
      <c r="E5" s="634"/>
      <c r="F5" s="837" t="s">
        <v>9</v>
      </c>
      <c r="G5" s="672"/>
      <c r="H5" s="633"/>
      <c r="I5" s="781"/>
      <c r="J5" s="781"/>
      <c r="K5" s="781"/>
      <c r="L5" s="781"/>
      <c r="M5" s="634"/>
      <c r="N5" s="58"/>
      <c r="P5" s="24" t="s">
        <v>10</v>
      </c>
      <c r="Q5" s="849">
        <v>46013</v>
      </c>
      <c r="R5" s="668"/>
      <c r="T5" s="720" t="s">
        <v>11</v>
      </c>
      <c r="U5" s="721"/>
      <c r="V5" s="722" t="s">
        <v>12</v>
      </c>
      <c r="W5" s="668"/>
      <c r="AB5" s="51"/>
      <c r="AC5" s="51"/>
      <c r="AD5" s="51"/>
      <c r="AE5" s="51"/>
    </row>
    <row r="6" spans="1:32" s="541" customFormat="1" ht="24" customHeight="1" x14ac:dyDescent="0.2">
      <c r="A6" s="670" t="s">
        <v>13</v>
      </c>
      <c r="B6" s="671"/>
      <c r="C6" s="672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68"/>
      <c r="N6" s="59"/>
      <c r="P6" s="24" t="s">
        <v>15</v>
      </c>
      <c r="Q6" s="856" t="str">
        <f>IF(Q5=0," ",CHOOSE(WEEKDAY(Q5,2),"Понедельник","Вторник","Среда","Четверг","Пятница","Суббота","Воскресенье"))</f>
        <v>Понедельник</v>
      </c>
      <c r="R6" s="560"/>
      <c r="T6" s="726" t="s">
        <v>16</v>
      </c>
      <c r="U6" s="721"/>
      <c r="V6" s="768" t="s">
        <v>17</v>
      </c>
      <c r="W6" s="600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62"/>
      <c r="U7" s="721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2">
        <v>0.41666666666666669</v>
      </c>
      <c r="R8" s="610"/>
      <c r="T8" s="562"/>
      <c r="U8" s="721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9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1"/>
      <c r="E9" s="568"/>
      <c r="F9" s="69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9"/>
      <c r="P9" s="26" t="s">
        <v>21</v>
      </c>
      <c r="Q9" s="665"/>
      <c r="R9" s="666"/>
      <c r="T9" s="562"/>
      <c r="U9" s="721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9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1"/>
      <c r="E10" s="568"/>
      <c r="F10" s="69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2" t="str">
        <f>IFERROR(VLOOKUP($D$10,Proxy,2,FALSE),"")</f>
        <v/>
      </c>
      <c r="I10" s="562"/>
      <c r="J10" s="562"/>
      <c r="K10" s="562"/>
      <c r="L10" s="562"/>
      <c r="M10" s="562"/>
      <c r="N10" s="540"/>
      <c r="P10" s="26" t="s">
        <v>22</v>
      </c>
      <c r="Q10" s="727"/>
      <c r="R10" s="728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4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5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2"/>
      <c r="R12" s="610"/>
      <c r="S12" s="23"/>
      <c r="U12" s="24"/>
      <c r="V12" s="629"/>
      <c r="W12" s="562"/>
      <c r="AB12" s="51"/>
      <c r="AC12" s="51"/>
      <c r="AD12" s="51"/>
      <c r="AE12" s="51"/>
    </row>
    <row r="13" spans="1:32" s="541" customFormat="1" ht="23.25" customHeight="1" x14ac:dyDescent="0.2">
      <c r="A13" s="715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804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5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41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703" t="s">
        <v>35</v>
      </c>
      <c r="Q15" s="629"/>
      <c r="R15" s="629"/>
      <c r="S15" s="629"/>
      <c r="T15" s="62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1" t="s">
        <v>36</v>
      </c>
      <c r="B17" s="591" t="s">
        <v>37</v>
      </c>
      <c r="C17" s="687" t="s">
        <v>38</v>
      </c>
      <c r="D17" s="591" t="s">
        <v>39</v>
      </c>
      <c r="E17" s="652"/>
      <c r="F17" s="591" t="s">
        <v>40</v>
      </c>
      <c r="G17" s="591" t="s">
        <v>41</v>
      </c>
      <c r="H17" s="591" t="s">
        <v>42</v>
      </c>
      <c r="I17" s="591" t="s">
        <v>43</v>
      </c>
      <c r="J17" s="591" t="s">
        <v>44</v>
      </c>
      <c r="K17" s="591" t="s">
        <v>45</v>
      </c>
      <c r="L17" s="591" t="s">
        <v>46</v>
      </c>
      <c r="M17" s="591" t="s">
        <v>47</v>
      </c>
      <c r="N17" s="591" t="s">
        <v>48</v>
      </c>
      <c r="O17" s="591" t="s">
        <v>49</v>
      </c>
      <c r="P17" s="591" t="s">
        <v>50</v>
      </c>
      <c r="Q17" s="651"/>
      <c r="R17" s="651"/>
      <c r="S17" s="651"/>
      <c r="T17" s="652"/>
      <c r="U17" s="863" t="s">
        <v>51</v>
      </c>
      <c r="V17" s="672"/>
      <c r="W17" s="591" t="s">
        <v>52</v>
      </c>
      <c r="X17" s="591" t="s">
        <v>53</v>
      </c>
      <c r="Y17" s="864" t="s">
        <v>54</v>
      </c>
      <c r="Z17" s="779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2"/>
      <c r="B18" s="592"/>
      <c r="C18" s="592"/>
      <c r="D18" s="653"/>
      <c r="E18" s="655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2"/>
      <c r="X18" s="592"/>
      <c r="Y18" s="865"/>
      <c r="Z18" s="780"/>
      <c r="AA18" s="761"/>
      <c r="AB18" s="761"/>
      <c r="AC18" s="761"/>
      <c r="AD18" s="834"/>
      <c r="AE18" s="835"/>
      <c r="AF18" s="836"/>
      <c r="AG18" s="66"/>
      <c r="BD18" s="65"/>
    </row>
    <row r="19" spans="1:68" ht="27.75" customHeight="1" x14ac:dyDescent="0.2">
      <c r="A19" s="641" t="s">
        <v>63</v>
      </c>
      <c r="B19" s="642"/>
      <c r="C19" s="642"/>
      <c r="D19" s="642"/>
      <c r="E19" s="642"/>
      <c r="F19" s="642"/>
      <c r="G19" s="642"/>
      <c r="H19" s="642"/>
      <c r="I19" s="642"/>
      <c r="J19" s="642"/>
      <c r="K19" s="642"/>
      <c r="L19" s="642"/>
      <c r="M19" s="642"/>
      <c r="N19" s="642"/>
      <c r="O19" s="642"/>
      <c r="P19" s="642"/>
      <c r="Q19" s="642"/>
      <c r="R19" s="642"/>
      <c r="S19" s="642"/>
      <c r="T19" s="642"/>
      <c r="U19" s="642"/>
      <c r="V19" s="642"/>
      <c r="W19" s="642"/>
      <c r="X19" s="642"/>
      <c r="Y19" s="642"/>
      <c r="Z19" s="642"/>
      <c r="AA19" s="48"/>
      <c r="AB19" s="48"/>
      <c r="AC19" s="48"/>
    </row>
    <row r="20" spans="1:68" ht="16.5" customHeight="1" x14ac:dyDescent="0.25">
      <c r="A20" s="561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2"/>
      <c r="AB20" s="542"/>
      <c r="AC20" s="542"/>
    </row>
    <row r="21" spans="1:68" ht="14.25" customHeight="1" x14ac:dyDescent="0.25">
      <c r="A21" s="563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9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59">
        <v>4607091388244</v>
      </c>
      <c r="E31" s="560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9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3" t="s">
        <v>93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3"/>
      <c r="AB34" s="543"/>
      <c r="AC34" s="543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59">
        <v>4607091388503</v>
      </c>
      <c r="E35" s="560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9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41" t="s">
        <v>99</v>
      </c>
      <c r="B38" s="642"/>
      <c r="C38" s="642"/>
      <c r="D38" s="642"/>
      <c r="E38" s="642"/>
      <c r="F38" s="642"/>
      <c r="G38" s="642"/>
      <c r="H38" s="642"/>
      <c r="I38" s="642"/>
      <c r="J38" s="642"/>
      <c r="K38" s="642"/>
      <c r="L38" s="642"/>
      <c r="M38" s="642"/>
      <c r="N38" s="642"/>
      <c r="O38" s="642"/>
      <c r="P38" s="642"/>
      <c r="Q38" s="642"/>
      <c r="R38" s="642"/>
      <c r="S38" s="642"/>
      <c r="T38" s="642"/>
      <c r="U38" s="642"/>
      <c r="V38" s="642"/>
      <c r="W38" s="642"/>
      <c r="X38" s="642"/>
      <c r="Y38" s="642"/>
      <c r="Z38" s="642"/>
      <c r="AA38" s="48"/>
      <c r="AB38" s="48"/>
      <c r="AC38" s="48"/>
    </row>
    <row r="39" spans="1:68" ht="16.5" customHeight="1" x14ac:dyDescent="0.25">
      <c r="A39" s="561" t="s">
        <v>100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2"/>
      <c r="AB39" s="542"/>
      <c r="AC39" s="542"/>
    </row>
    <row r="40" spans="1:68" ht="14.25" customHeight="1" x14ac:dyDescent="0.25">
      <c r="A40" s="563" t="s">
        <v>101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9">
        <v>4607091385670</v>
      </c>
      <c r="E41" s="560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242</v>
      </c>
      <c r="Y41" s="548">
        <f>IFERROR(IF(X41="",0,CEILING((X41/$H41),1)*$H41),"")</f>
        <v>248.4</v>
      </c>
      <c r="Z41" s="36">
        <f>IFERROR(IF(Y41=0,"",ROUNDUP(Y41/H41,0)*0.01898),"")</f>
        <v>0.43653999999999998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251.18703703703704</v>
      </c>
      <c r="BN41" s="64">
        <f>IFERROR(Y41*I41/H41,"0")</f>
        <v>257.83</v>
      </c>
      <c r="BO41" s="64">
        <f>IFERROR(1/J41*(X41/H41),"0")</f>
        <v>0.3501157407407407</v>
      </c>
      <c r="BP41" s="64">
        <f>IFERROR(1/J41*(Y41/H41),"0")</f>
        <v>0.359375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59">
        <v>4680115882539</v>
      </c>
      <c r="E42" s="560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59">
        <v>4607091385687</v>
      </c>
      <c r="E43" s="560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22.407407407407405</v>
      </c>
      <c r="Y44" s="549">
        <f>IFERROR(Y41/H41,"0")+IFERROR(Y42/H42,"0")+IFERROR(Y43/H43,"0")</f>
        <v>23</v>
      </c>
      <c r="Z44" s="549">
        <f>IFERROR(IF(Z41="",0,Z41),"0")+IFERROR(IF(Z42="",0,Z42),"0")+IFERROR(IF(Z43="",0,Z43),"0")</f>
        <v>0.43653999999999998</v>
      </c>
      <c r="AA44" s="550"/>
      <c r="AB44" s="550"/>
      <c r="AC44" s="550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242</v>
      </c>
      <c r="Y45" s="549">
        <f>IFERROR(SUM(Y41:Y43),"0")</f>
        <v>248.4</v>
      </c>
      <c r="Z45" s="37"/>
      <c r="AA45" s="550"/>
      <c r="AB45" s="550"/>
      <c r="AC45" s="550"/>
    </row>
    <row r="46" spans="1:68" ht="14.25" customHeight="1" x14ac:dyDescent="0.25">
      <c r="A46" s="563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3"/>
      <c r="AB46" s="543"/>
      <c r="AC46" s="543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59">
        <v>4680115884915</v>
      </c>
      <c r="E47" s="560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9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1" t="s">
        <v>118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2"/>
      <c r="AB50" s="542"/>
      <c r="AC50" s="542"/>
    </row>
    <row r="51" spans="1:68" ht="14.25" customHeight="1" x14ac:dyDescent="0.25">
      <c r="A51" s="563" t="s">
        <v>101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3"/>
      <c r="AB51" s="543"/>
      <c r="AC51" s="543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59">
        <v>4680115885882</v>
      </c>
      <c r="E52" s="560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42</v>
      </c>
      <c r="Y52" s="548">
        <f t="shared" ref="Y52:Y57" si="0">IFERROR(IF(X52="",0,CEILING((X52/$H52),1)*$H52),"")</f>
        <v>44.8</v>
      </c>
      <c r="Z52" s="36">
        <f>IFERROR(IF(Y52=0,"",ROUNDUP(Y52/H52,0)*0.01898),"")</f>
        <v>7.5920000000000001E-2</v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43.537500000000001</v>
      </c>
      <c r="BN52" s="64">
        <f t="shared" ref="BN52:BN57" si="2">IFERROR(Y52*I52/H52,"0")</f>
        <v>46.44</v>
      </c>
      <c r="BO52" s="64">
        <f t="shared" ref="BO52:BO57" si="3">IFERROR(1/J52*(X52/H52),"0")</f>
        <v>5.8593750000000007E-2</v>
      </c>
      <c r="BP52" s="64">
        <f t="shared" ref="BP52:BP57" si="4">IFERROR(1/J52*(Y52/H52),"0")</f>
        <v>6.25E-2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9">
        <v>4680115881426</v>
      </c>
      <c r="E53" s="560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6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59">
        <v>4680115880283</v>
      </c>
      <c r="E54" s="560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59">
        <v>4680115881525</v>
      </c>
      <c r="E55" s="560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26</v>
      </c>
      <c r="Y55" s="548">
        <f t="shared" si="0"/>
        <v>28</v>
      </c>
      <c r="Z55" s="36">
        <f>IFERROR(IF(Y55=0,"",ROUNDUP(Y55/H55,0)*0.00902),"")</f>
        <v>6.3140000000000002E-2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27.235000000000003</v>
      </c>
      <c r="BN55" s="64">
        <f t="shared" si="2"/>
        <v>29.330000000000002</v>
      </c>
      <c r="BO55" s="64">
        <f t="shared" si="3"/>
        <v>4.924242424242424E-2</v>
      </c>
      <c r="BP55" s="64">
        <f t="shared" si="4"/>
        <v>5.3030303030303032E-2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59">
        <v>4680115885899</v>
      </c>
      <c r="E56" s="560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9">
        <v>4680115881419</v>
      </c>
      <c r="E57" s="560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10.25</v>
      </c>
      <c r="Y58" s="549">
        <f>IFERROR(Y52/H52,"0")+IFERROR(Y53/H53,"0")+IFERROR(Y54/H54,"0")+IFERROR(Y55/H55,"0")+IFERROR(Y56/H56,"0")+IFERROR(Y57/H57,"0")</f>
        <v>11</v>
      </c>
      <c r="Z58" s="549">
        <f>IFERROR(IF(Z52="",0,Z52),"0")+IFERROR(IF(Z53="",0,Z53),"0")+IFERROR(IF(Z54="",0,Z54),"0")+IFERROR(IF(Z55="",0,Z55),"0")+IFERROR(IF(Z56="",0,Z56),"0")+IFERROR(IF(Z57="",0,Z57),"0")</f>
        <v>0.13906000000000002</v>
      </c>
      <c r="AA58" s="550"/>
      <c r="AB58" s="550"/>
      <c r="AC58" s="550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68</v>
      </c>
      <c r="Y59" s="549">
        <f>IFERROR(SUM(Y52:Y57),"0")</f>
        <v>72.8</v>
      </c>
      <c r="Z59" s="37"/>
      <c r="AA59" s="550"/>
      <c r="AB59" s="550"/>
      <c r="AC59" s="550"/>
    </row>
    <row r="60" spans="1:68" ht="14.25" customHeight="1" x14ac:dyDescent="0.25">
      <c r="A60" s="563" t="s">
        <v>137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9">
        <v>4680115881440</v>
      </c>
      <c r="E61" s="560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206</v>
      </c>
      <c r="Y61" s="548">
        <f>IFERROR(IF(X61="",0,CEILING((X61/$H61),1)*$H61),"")</f>
        <v>216</v>
      </c>
      <c r="Z61" s="36">
        <f>IFERROR(IF(Y61=0,"",ROUNDUP(Y61/H61,0)*0.01898),"")</f>
        <v>0.37959999999999999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213.82037037037037</v>
      </c>
      <c r="BN61" s="64">
        <f>IFERROR(Y61*I61/H61,"0")</f>
        <v>224.2</v>
      </c>
      <c r="BO61" s="64">
        <f>IFERROR(1/J61*(X61/H61),"0")</f>
        <v>0.29803240740740738</v>
      </c>
      <c r="BP61" s="64">
        <f>IFERROR(1/J61*(Y61/H61),"0")</f>
        <v>0.3125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59">
        <v>4680115885950</v>
      </c>
      <c r="E62" s="560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59">
        <v>4680115881433</v>
      </c>
      <c r="E63" s="560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19.074074074074073</v>
      </c>
      <c r="Y64" s="549">
        <f>IFERROR(Y61/H61,"0")+IFERROR(Y62/H62,"0")+IFERROR(Y63/H63,"0")</f>
        <v>20</v>
      </c>
      <c r="Z64" s="549">
        <f>IFERROR(IF(Z61="",0,Z61),"0")+IFERROR(IF(Z62="",0,Z62),"0")+IFERROR(IF(Z63="",0,Z63),"0")</f>
        <v>0.37959999999999999</v>
      </c>
      <c r="AA64" s="550"/>
      <c r="AB64" s="550"/>
      <c r="AC64" s="550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206</v>
      </c>
      <c r="Y65" s="549">
        <f>IFERROR(SUM(Y61:Y63),"0")</f>
        <v>216</v>
      </c>
      <c r="Z65" s="37"/>
      <c r="AA65" s="550"/>
      <c r="AB65" s="550"/>
      <c r="AC65" s="550"/>
    </row>
    <row r="66" spans="1:68" ht="14.25" customHeight="1" x14ac:dyDescent="0.25">
      <c r="A66" s="563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3"/>
      <c r="AB66" s="543"/>
      <c r="AC66" s="543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59">
        <v>4680115885073</v>
      </c>
      <c r="E67" s="560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59">
        <v>4680115885097</v>
      </c>
      <c r="E68" s="560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9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customHeight="1" x14ac:dyDescent="0.25">
      <c r="A71" s="563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3"/>
      <c r="AB71" s="543"/>
      <c r="AC71" s="543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59">
        <v>4680115885769</v>
      </c>
      <c r="E72" s="560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59">
        <v>4680115884311</v>
      </c>
      <c r="E73" s="560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59">
        <v>4680115885929</v>
      </c>
      <c r="E74" s="560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59">
        <v>4680115884403</v>
      </c>
      <c r="E75" s="560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9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customHeight="1" x14ac:dyDescent="0.25">
      <c r="A78" s="563" t="s">
        <v>162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9">
        <v>4680115881532</v>
      </c>
      <c r="E79" s="560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55</v>
      </c>
      <c r="Y79" s="548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57.891025641025649</v>
      </c>
      <c r="BN79" s="64">
        <f>IFERROR(Y79*I79/H79,"0")</f>
        <v>65.680000000000007</v>
      </c>
      <c r="BO79" s="64">
        <f>IFERROR(1/J79*(X79/H79),"0")</f>
        <v>0.11017628205128205</v>
      </c>
      <c r="BP79" s="64">
        <f>IFERROR(1/J79*(Y79/H79),"0")</f>
        <v>0.125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59">
        <v>4680115881464</v>
      </c>
      <c r="E80" s="560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49">
        <f>IFERROR(X79/H79,"0")+IFERROR(X80/H80,"0")</f>
        <v>7.0512820512820511</v>
      </c>
      <c r="Y81" s="549">
        <f>IFERROR(Y79/H79,"0")+IFERROR(Y80/H80,"0")</f>
        <v>8</v>
      </c>
      <c r="Z81" s="549">
        <f>IFERROR(IF(Z79="",0,Z79),"0")+IFERROR(IF(Z80="",0,Z80),"0")</f>
        <v>0.15184</v>
      </c>
      <c r="AA81" s="550"/>
      <c r="AB81" s="550"/>
      <c r="AC81" s="550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49">
        <f>IFERROR(SUM(X79:X80),"0")</f>
        <v>55</v>
      </c>
      <c r="Y82" s="549">
        <f>IFERROR(SUM(Y79:Y80),"0")</f>
        <v>62.4</v>
      </c>
      <c r="Z82" s="37"/>
      <c r="AA82" s="550"/>
      <c r="AB82" s="550"/>
      <c r="AC82" s="550"/>
    </row>
    <row r="83" spans="1:68" ht="16.5" customHeight="1" x14ac:dyDescent="0.25">
      <c r="A83" s="561" t="s">
        <v>169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2"/>
      <c r="AB83" s="542"/>
      <c r="AC83" s="542"/>
    </row>
    <row r="84" spans="1:68" ht="14.25" customHeight="1" x14ac:dyDescent="0.25">
      <c r="A84" s="563" t="s">
        <v>101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9">
        <v>4680115881327</v>
      </c>
      <c r="E85" s="560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178</v>
      </c>
      <c r="Y85" s="548">
        <f>IFERROR(IF(X85="",0,CEILING((X85/$H85),1)*$H85),"")</f>
        <v>183.60000000000002</v>
      </c>
      <c r="Z85" s="36">
        <f>IFERROR(IF(Y85=0,"",ROUNDUP(Y85/H85,0)*0.01898),"")</f>
        <v>0.32266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184.75740740740741</v>
      </c>
      <c r="BN85" s="64">
        <f>IFERROR(Y85*I85/H85,"0")</f>
        <v>190.57000000000002</v>
      </c>
      <c r="BO85" s="64">
        <f>IFERROR(1/J85*(X85/H85),"0")</f>
        <v>0.25752314814814814</v>
      </c>
      <c r="BP85" s="64">
        <f>IFERROR(1/J85*(Y85/H85),"0")</f>
        <v>0.265625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59">
        <v>4680115887732</v>
      </c>
      <c r="E86" s="560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59">
        <v>4680115881518</v>
      </c>
      <c r="E87" s="560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9">
        <v>4680115881303</v>
      </c>
      <c r="E88" s="560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49">
        <f>IFERROR(X85/H85,"0")+IFERROR(X86/H86,"0")+IFERROR(X87/H87,"0")+IFERROR(X88/H88,"0")</f>
        <v>16.481481481481481</v>
      </c>
      <c r="Y89" s="549">
        <f>IFERROR(Y85/H85,"0")+IFERROR(Y86/H86,"0")+IFERROR(Y87/H87,"0")+IFERROR(Y88/H88,"0")</f>
        <v>17</v>
      </c>
      <c r="Z89" s="549">
        <f>IFERROR(IF(Z85="",0,Z85),"0")+IFERROR(IF(Z86="",0,Z86),"0")+IFERROR(IF(Z87="",0,Z87),"0")+IFERROR(IF(Z88="",0,Z88),"0")</f>
        <v>0.32266</v>
      </c>
      <c r="AA89" s="550"/>
      <c r="AB89" s="550"/>
      <c r="AC89" s="550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49">
        <f>IFERROR(SUM(X85:X88),"0")</f>
        <v>178</v>
      </c>
      <c r="Y90" s="549">
        <f>IFERROR(SUM(Y85:Y88),"0")</f>
        <v>183.60000000000002</v>
      </c>
      <c r="Z90" s="37"/>
      <c r="AA90" s="550"/>
      <c r="AB90" s="550"/>
      <c r="AC90" s="550"/>
    </row>
    <row r="91" spans="1:68" ht="14.25" customHeight="1" x14ac:dyDescent="0.25">
      <c r="A91" s="563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9">
        <v>4607091386967</v>
      </c>
      <c r="E92" s="560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28</v>
      </c>
      <c r="Y92" s="548">
        <f>IFERROR(IF(X92="",0,CEILING((X92/$H92),1)*$H92),"")</f>
        <v>32.4</v>
      </c>
      <c r="Z92" s="36">
        <f>IFERROR(IF(Y92=0,"",ROUNDUP(Y92/H92,0)*0.01898),"")</f>
        <v>7.5920000000000001E-2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29.707654320987654</v>
      </c>
      <c r="BN92" s="64">
        <f>IFERROR(Y92*I92/H92,"0")</f>
        <v>34.375999999999998</v>
      </c>
      <c r="BO92" s="64">
        <f>IFERROR(1/J92*(X92/H92),"0")</f>
        <v>5.401234567901235E-2</v>
      </c>
      <c r="BP92" s="64">
        <f>IFERROR(1/J92*(Y92/H92),"0")</f>
        <v>6.25E-2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59">
        <v>4680115884953</v>
      </c>
      <c r="E93" s="560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9">
        <v>4607091385731</v>
      </c>
      <c r="E94" s="560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 t="s">
        <v>189</v>
      </c>
      <c r="M94" s="33" t="s">
        <v>86</v>
      </c>
      <c r="N94" s="33"/>
      <c r="O94" s="32">
        <v>45</v>
      </c>
      <c r="P94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113</v>
      </c>
      <c r="Y94" s="548">
        <f>IFERROR(IF(X94="",0,CEILING((X94/$H94),1)*$H94),"")</f>
        <v>113.4</v>
      </c>
      <c r="Z94" s="36">
        <f>IFERROR(IF(Y94=0,"",ROUNDUP(Y94/H94,0)*0.00651),"")</f>
        <v>0.27342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123.54666666666667</v>
      </c>
      <c r="BN94" s="64">
        <f>IFERROR(Y94*I94/H94,"0")</f>
        <v>123.98399999999999</v>
      </c>
      <c r="BO94" s="64">
        <f>IFERROR(1/J94*(X94/H94),"0")</f>
        <v>0.22995522995522996</v>
      </c>
      <c r="BP94" s="64">
        <f>IFERROR(1/J94*(Y94/H94),"0")</f>
        <v>0.23076923076923078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59">
        <v>4680115880894</v>
      </c>
      <c r="E95" s="560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 t="s">
        <v>189</v>
      </c>
      <c r="M95" s="33" t="s">
        <v>80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49">
        <f>IFERROR(X92/H92,"0")+IFERROR(X93/H93,"0")+IFERROR(X94/H94,"0")+IFERROR(X95/H95,"0")</f>
        <v>45.308641975308639</v>
      </c>
      <c r="Y96" s="549">
        <f>IFERROR(Y92/H92,"0")+IFERROR(Y93/H93,"0")+IFERROR(Y94/H94,"0")+IFERROR(Y95/H95,"0")</f>
        <v>46</v>
      </c>
      <c r="Z96" s="549">
        <f>IFERROR(IF(Z92="",0,Z92),"0")+IFERROR(IF(Z93="",0,Z93),"0")+IFERROR(IF(Z94="",0,Z94),"0")+IFERROR(IF(Z95="",0,Z95),"0")</f>
        <v>0.34933999999999998</v>
      </c>
      <c r="AA96" s="550"/>
      <c r="AB96" s="550"/>
      <c r="AC96" s="550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49">
        <f>IFERROR(SUM(X92:X95),"0")</f>
        <v>141</v>
      </c>
      <c r="Y97" s="549">
        <f>IFERROR(SUM(Y92:Y95),"0")</f>
        <v>145.80000000000001</v>
      </c>
      <c r="Z97" s="37"/>
      <c r="AA97" s="550"/>
      <c r="AB97" s="550"/>
      <c r="AC97" s="550"/>
    </row>
    <row r="98" spans="1:68" ht="16.5" customHeight="1" x14ac:dyDescent="0.25">
      <c r="A98" s="561" t="s">
        <v>193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2"/>
      <c r="AB98" s="542"/>
      <c r="AC98" s="542"/>
    </row>
    <row r="99" spans="1:68" ht="14.25" customHeight="1" x14ac:dyDescent="0.25">
      <c r="A99" s="563" t="s">
        <v>101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3"/>
      <c r="AB99" s="543"/>
      <c r="AC99" s="543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59">
        <v>4680115882133</v>
      </c>
      <c r="E100" s="560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375</v>
      </c>
      <c r="Y100" s="548">
        <f>IFERROR(IF(X100="",0,CEILING((X100/$H100),1)*$H100),"")</f>
        <v>378</v>
      </c>
      <c r="Z100" s="36">
        <f>IFERROR(IF(Y100=0,"",ROUNDUP(Y100/H100,0)*0.01898),"")</f>
        <v>0.6643</v>
      </c>
      <c r="AA100" s="56"/>
      <c r="AB100" s="57"/>
      <c r="AC100" s="143" t="s">
        <v>196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389.23611111111109</v>
      </c>
      <c r="BN100" s="64">
        <f>IFERROR(Y100*I100/H100,"0")</f>
        <v>392.34999999999997</v>
      </c>
      <c r="BO100" s="64">
        <f>IFERROR(1/J100*(X100/H100),"0")</f>
        <v>0.54253472222222221</v>
      </c>
      <c r="BP100" s="64">
        <f>IFERROR(1/J100*(Y100/H100),"0")</f>
        <v>0.546875</v>
      </c>
    </row>
    <row r="101" spans="1:68" ht="27" customHeight="1" x14ac:dyDescent="0.25">
      <c r="A101" s="54" t="s">
        <v>197</v>
      </c>
      <c r="B101" s="54" t="s">
        <v>198</v>
      </c>
      <c r="C101" s="31">
        <v>4301012051</v>
      </c>
      <c r="D101" s="559">
        <v>4680115887718</v>
      </c>
      <c r="E101" s="560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1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59">
        <v>4680115880269</v>
      </c>
      <c r="E102" s="560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59">
        <v>4680115880429</v>
      </c>
      <c r="E103" s="560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76</v>
      </c>
      <c r="Y103" s="548">
        <f>IFERROR(IF(X103="",0,CEILING((X103/$H103),1)*$H103),"")</f>
        <v>76.5</v>
      </c>
      <c r="Z103" s="36">
        <f>IFERROR(IF(Y103=0,"",ROUNDUP(Y103/H103,0)*0.00902),"")</f>
        <v>0.15334</v>
      </c>
      <c r="AA103" s="56"/>
      <c r="AB103" s="57"/>
      <c r="AC103" s="149" t="s">
        <v>196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79.208888888888907</v>
      </c>
      <c r="BN103" s="64">
        <f>IFERROR(Y103*I103/H103,"0")</f>
        <v>79.73</v>
      </c>
      <c r="BO103" s="64">
        <f>IFERROR(1/J103*(X103/H103),"0")</f>
        <v>0.12794612794612795</v>
      </c>
      <c r="BP103" s="64">
        <f>IFERROR(1/J103*(Y103/H103),"0")</f>
        <v>0.12878787878787878</v>
      </c>
    </row>
    <row r="104" spans="1:68" ht="37.5" customHeight="1" x14ac:dyDescent="0.25">
      <c r="A104" s="54" t="s">
        <v>204</v>
      </c>
      <c r="B104" s="54" t="s">
        <v>205</v>
      </c>
      <c r="C104" s="31">
        <v>4301011462</v>
      </c>
      <c r="D104" s="559">
        <v>4680115881457</v>
      </c>
      <c r="E104" s="560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49">
        <f>IFERROR(X100/H100,"0")+IFERROR(X101/H101,"0")+IFERROR(X102/H102,"0")+IFERROR(X103/H103,"0")+IFERROR(X104/H104,"0")</f>
        <v>51.611111111111114</v>
      </c>
      <c r="Y105" s="549">
        <f>IFERROR(Y100/H100,"0")+IFERROR(Y101/H101,"0")+IFERROR(Y102/H102,"0")+IFERROR(Y103/H103,"0")+IFERROR(Y104/H104,"0")</f>
        <v>52</v>
      </c>
      <c r="Z105" s="549">
        <f>IFERROR(IF(Z100="",0,Z100),"0")+IFERROR(IF(Z101="",0,Z101),"0")+IFERROR(IF(Z102="",0,Z102),"0")+IFERROR(IF(Z103="",0,Z103),"0")+IFERROR(IF(Z104="",0,Z104),"0")</f>
        <v>0.81764000000000003</v>
      </c>
      <c r="AA105" s="550"/>
      <c r="AB105" s="550"/>
      <c r="AC105" s="550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49">
        <f>IFERROR(SUM(X100:X104),"0")</f>
        <v>451</v>
      </c>
      <c r="Y106" s="549">
        <f>IFERROR(SUM(Y100:Y104),"0")</f>
        <v>454.5</v>
      </c>
      <c r="Z106" s="37"/>
      <c r="AA106" s="550"/>
      <c r="AB106" s="550"/>
      <c r="AC106" s="550"/>
    </row>
    <row r="107" spans="1:68" ht="14.25" customHeight="1" x14ac:dyDescent="0.25">
      <c r="A107" s="563" t="s">
        <v>137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3"/>
      <c r="AB107" s="543"/>
      <c r="AC107" s="543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59">
        <v>4680115881488</v>
      </c>
      <c r="E108" s="560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19</v>
      </c>
      <c r="Y108" s="548">
        <f>IFERROR(IF(X108="",0,CEILING((X108/$H108),1)*$H108),"")</f>
        <v>21.6</v>
      </c>
      <c r="Z108" s="36">
        <f>IFERROR(IF(Y108=0,"",ROUNDUP(Y108/H108,0)*0.01898),"")</f>
        <v>3.7960000000000001E-2</v>
      </c>
      <c r="AA108" s="56"/>
      <c r="AB108" s="57"/>
      <c r="AC108" s="153" t="s">
        <v>208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19.721296296296295</v>
      </c>
      <c r="BN108" s="64">
        <f>IFERROR(Y108*I108/H108,"0")</f>
        <v>22.42</v>
      </c>
      <c r="BO108" s="64">
        <f>IFERROR(1/J108*(X108/H108),"0")</f>
        <v>2.7488425925925923E-2</v>
      </c>
      <c r="BP108" s="64">
        <f>IFERROR(1/J108*(Y108/H108),"0")</f>
        <v>3.125E-2</v>
      </c>
    </row>
    <row r="109" spans="1:68" ht="27" customHeight="1" x14ac:dyDescent="0.25">
      <c r="A109" s="54" t="s">
        <v>209</v>
      </c>
      <c r="B109" s="54" t="s">
        <v>210</v>
      </c>
      <c r="C109" s="31">
        <v>4301020186</v>
      </c>
      <c r="D109" s="559">
        <v>4680115887664</v>
      </c>
      <c r="E109" s="560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6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213</v>
      </c>
      <c r="B110" s="54" t="s">
        <v>214</v>
      </c>
      <c r="C110" s="31">
        <v>4301020346</v>
      </c>
      <c r="D110" s="559">
        <v>4680115882775</v>
      </c>
      <c r="E110" s="560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59">
        <v>4680115880658</v>
      </c>
      <c r="E111" s="560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10</v>
      </c>
      <c r="Y111" s="548">
        <f>IFERROR(IF(X111="",0,CEILING((X111/$H111),1)*$H111),"")</f>
        <v>12</v>
      </c>
      <c r="Z111" s="36">
        <f>IFERROR(IF(Y111=0,"",ROUNDUP(Y111/H111,0)*0.00651),"")</f>
        <v>3.2550000000000003E-2</v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10.75</v>
      </c>
      <c r="BN111" s="64">
        <f>IFERROR(Y111*I111/H111,"0")</f>
        <v>12.9</v>
      </c>
      <c r="BO111" s="64">
        <f>IFERROR(1/J111*(X111/H111),"0")</f>
        <v>2.2893772893772896E-2</v>
      </c>
      <c r="BP111" s="64">
        <f>IFERROR(1/J111*(Y111/H111),"0")</f>
        <v>2.7472527472527476E-2</v>
      </c>
    </row>
    <row r="112" spans="1:68" x14ac:dyDescent="0.2">
      <c r="A112" s="569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49">
        <f>IFERROR(X108/H108,"0")+IFERROR(X109/H109,"0")+IFERROR(X110/H110,"0")+IFERROR(X111/H111,"0")</f>
        <v>5.9259259259259256</v>
      </c>
      <c r="Y112" s="549">
        <f>IFERROR(Y108/H108,"0")+IFERROR(Y109/H109,"0")+IFERROR(Y110/H110,"0")+IFERROR(Y111/H111,"0")</f>
        <v>7</v>
      </c>
      <c r="Z112" s="549">
        <f>IFERROR(IF(Z108="",0,Z108),"0")+IFERROR(IF(Z109="",0,Z109),"0")+IFERROR(IF(Z110="",0,Z110),"0")+IFERROR(IF(Z111="",0,Z111),"0")</f>
        <v>7.0510000000000003E-2</v>
      </c>
      <c r="AA112" s="550"/>
      <c r="AB112" s="550"/>
      <c r="AC112" s="550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49">
        <f>IFERROR(SUM(X108:X111),"0")</f>
        <v>29</v>
      </c>
      <c r="Y113" s="549">
        <f>IFERROR(SUM(Y108:Y111),"0")</f>
        <v>33.6</v>
      </c>
      <c r="Z113" s="37"/>
      <c r="AA113" s="550"/>
      <c r="AB113" s="550"/>
      <c r="AC113" s="550"/>
    </row>
    <row r="114" spans="1:68" ht="14.25" customHeight="1" x14ac:dyDescent="0.25">
      <c r="A114" s="563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3"/>
      <c r="AB114" s="543"/>
      <c r="AC114" s="543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59">
        <v>4607091385168</v>
      </c>
      <c r="E115" s="560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347</v>
      </c>
      <c r="Y115" s="548">
        <f>IFERROR(IF(X115="",0,CEILING((X115/$H115),1)*$H115),"")</f>
        <v>348.3</v>
      </c>
      <c r="Z115" s="36">
        <f>IFERROR(IF(Y115=0,"",ROUNDUP(Y115/H115,0)*0.01898),"")</f>
        <v>0.81613999999999998</v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367.90567901234567</v>
      </c>
      <c r="BN115" s="64">
        <f>IFERROR(Y115*I115/H115,"0")</f>
        <v>369.28399999999999</v>
      </c>
      <c r="BO115" s="64">
        <f>IFERROR(1/J115*(X115/H115),"0")</f>
        <v>0.66936728395061729</v>
      </c>
      <c r="BP115" s="64">
        <f>IFERROR(1/J115*(Y115/H115),"0")</f>
        <v>0.671875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59">
        <v>4607091383256</v>
      </c>
      <c r="E116" s="560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59">
        <v>4607091385748</v>
      </c>
      <c r="E117" s="560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189</v>
      </c>
      <c r="M117" s="33" t="s">
        <v>86</v>
      </c>
      <c r="N117" s="33"/>
      <c r="O117" s="32">
        <v>45</v>
      </c>
      <c r="P117" s="6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334</v>
      </c>
      <c r="Y117" s="548">
        <f>IFERROR(IF(X117="",0,CEILING((X117/$H117),1)*$H117),"")</f>
        <v>334.8</v>
      </c>
      <c r="Z117" s="36">
        <f>IFERROR(IF(Y117=0,"",ROUNDUP(Y117/H117,0)*0.00651),"")</f>
        <v>0.80724000000000007</v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365.17333333333329</v>
      </c>
      <c r="BN117" s="64">
        <f>IFERROR(Y117*I117/H117,"0")</f>
        <v>366.048</v>
      </c>
      <c r="BO117" s="64">
        <f>IFERROR(1/J117*(X117/H117),"0")</f>
        <v>0.67969067969067964</v>
      </c>
      <c r="BP117" s="64">
        <f>IFERROR(1/J117*(Y117/H117),"0")</f>
        <v>0.68131868131868134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59">
        <v>4680115884533</v>
      </c>
      <c r="E118" s="560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49">
        <f>IFERROR(X115/H115,"0")+IFERROR(X116/H116,"0")+IFERROR(X117/H117,"0")+IFERROR(X118/H118,"0")</f>
        <v>166.54320987654319</v>
      </c>
      <c r="Y119" s="549">
        <f>IFERROR(Y115/H115,"0")+IFERROR(Y116/H116,"0")+IFERROR(Y117/H117,"0")+IFERROR(Y118/H118,"0")</f>
        <v>167</v>
      </c>
      <c r="Z119" s="549">
        <f>IFERROR(IF(Z115="",0,Z115),"0")+IFERROR(IF(Z116="",0,Z116),"0")+IFERROR(IF(Z117="",0,Z117),"0")+IFERROR(IF(Z118="",0,Z118),"0")</f>
        <v>1.62338</v>
      </c>
      <c r="AA119" s="550"/>
      <c r="AB119" s="550"/>
      <c r="AC119" s="550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49">
        <f>IFERROR(SUM(X115:X118),"0")</f>
        <v>681</v>
      </c>
      <c r="Y120" s="549">
        <f>IFERROR(SUM(Y115:Y118),"0")</f>
        <v>683.1</v>
      </c>
      <c r="Z120" s="37"/>
      <c r="AA120" s="550"/>
      <c r="AB120" s="550"/>
      <c r="AC120" s="550"/>
    </row>
    <row r="121" spans="1:68" ht="14.25" customHeight="1" x14ac:dyDescent="0.25">
      <c r="A121" s="563" t="s">
        <v>162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3"/>
      <c r="AB121" s="543"/>
      <c r="AC121" s="543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59">
        <v>4680115880238</v>
      </c>
      <c r="E122" s="560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9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customHeight="1" x14ac:dyDescent="0.25">
      <c r="A125" s="561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2"/>
      <c r="AB125" s="542"/>
      <c r="AC125" s="542"/>
    </row>
    <row r="126" spans="1:68" ht="14.25" customHeight="1" x14ac:dyDescent="0.25">
      <c r="A126" s="563" t="s">
        <v>101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3"/>
      <c r="AB126" s="543"/>
      <c r="AC126" s="543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59">
        <v>4680115882577</v>
      </c>
      <c r="E127" s="560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189</v>
      </c>
      <c r="M127" s="33" t="s">
        <v>96</v>
      </c>
      <c r="N127" s="33"/>
      <c r="O127" s="32">
        <v>90</v>
      </c>
      <c r="P12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59">
        <v>4680115882577</v>
      </c>
      <c r="E128" s="560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189</v>
      </c>
      <c r="M128" s="33" t="s">
        <v>96</v>
      </c>
      <c r="N128" s="33"/>
      <c r="O128" s="32">
        <v>90</v>
      </c>
      <c r="P128" s="83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customHeight="1" x14ac:dyDescent="0.25">
      <c r="A131" s="563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3"/>
      <c r="AB131" s="543"/>
      <c r="AC131" s="543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59">
        <v>4680115883444</v>
      </c>
      <c r="E132" s="560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59">
        <v>4680115883444</v>
      </c>
      <c r="E133" s="560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189</v>
      </c>
      <c r="M133" s="33" t="s">
        <v>96</v>
      </c>
      <c r="N133" s="33"/>
      <c r="O133" s="32">
        <v>90</v>
      </c>
      <c r="P133" s="82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9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customHeight="1" x14ac:dyDescent="0.25">
      <c r="A136" s="563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3"/>
      <c r="AB136" s="543"/>
      <c r="AC136" s="543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59">
        <v>4680115882584</v>
      </c>
      <c r="E137" s="560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59">
        <v>4680115882584</v>
      </c>
      <c r="E138" s="560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9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customHeight="1" x14ac:dyDescent="0.25">
      <c r="A141" s="561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2"/>
      <c r="AB141" s="542"/>
      <c r="AC141" s="542"/>
    </row>
    <row r="142" spans="1:68" ht="14.25" customHeight="1" x14ac:dyDescent="0.25">
      <c r="A142" s="563" t="s">
        <v>101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3"/>
      <c r="AB142" s="543"/>
      <c r="AC142" s="543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59">
        <v>4680115887374</v>
      </c>
      <c r="E143" s="560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59">
        <v>4607091384604</v>
      </c>
      <c r="E144" s="560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9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customHeight="1" x14ac:dyDescent="0.25">
      <c r="A147" s="563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3"/>
      <c r="AB147" s="543"/>
      <c r="AC147" s="543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8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59">
        <v>4680115887336</v>
      </c>
      <c r="E149" s="560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2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59">
        <v>4680115887398</v>
      </c>
      <c r="E150" s="560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78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59">
        <v>4607091387667</v>
      </c>
      <c r="E151" s="560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59">
        <v>4607091387636</v>
      </c>
      <c r="E152" s="560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59">
        <v>4607091382426</v>
      </c>
      <c r="E153" s="560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9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customHeight="1" x14ac:dyDescent="0.25">
      <c r="A156" s="563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3"/>
      <c r="AB156" s="543"/>
      <c r="AC156" s="543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59">
        <v>4680115887459</v>
      </c>
      <c r="E157" s="560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9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customHeight="1" x14ac:dyDescent="0.2">
      <c r="A160" s="641" t="s">
        <v>273</v>
      </c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42"/>
      <c r="P160" s="642"/>
      <c r="Q160" s="642"/>
      <c r="R160" s="642"/>
      <c r="S160" s="642"/>
      <c r="T160" s="642"/>
      <c r="U160" s="642"/>
      <c r="V160" s="642"/>
      <c r="W160" s="642"/>
      <c r="X160" s="642"/>
      <c r="Y160" s="642"/>
      <c r="Z160" s="642"/>
      <c r="AA160" s="48"/>
      <c r="AB160" s="48"/>
      <c r="AC160" s="48"/>
    </row>
    <row r="161" spans="1:68" ht="16.5" customHeight="1" x14ac:dyDescent="0.25">
      <c r="A161" s="561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2"/>
      <c r="AB161" s="542"/>
      <c r="AC161" s="542"/>
    </row>
    <row r="162" spans="1:68" ht="14.25" customHeight="1" x14ac:dyDescent="0.25">
      <c r="A162" s="563" t="s">
        <v>137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3"/>
      <c r="AB162" s="543"/>
      <c r="AC162" s="543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59">
        <v>4680115886223</v>
      </c>
      <c r="E163" s="560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9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customHeight="1" x14ac:dyDescent="0.25">
      <c r="A166" s="563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9">
        <v>4680115880993</v>
      </c>
      <c r="E167" s="560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/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/>
      <c r="AK167" s="68">
        <v>0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59">
        <v>4680115881761</v>
      </c>
      <c r="E168" s="560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9">
        <v>4680115881563</v>
      </c>
      <c r="E169" s="560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27</v>
      </c>
      <c r="Y169" s="548">
        <f t="shared" si="10"/>
        <v>29.400000000000002</v>
      </c>
      <c r="Z169" s="36">
        <f>IFERROR(IF(Y169=0,"",ROUNDUP(Y169/H169,0)*0.00902),"")</f>
        <v>6.3140000000000002E-2</v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28.221428571428568</v>
      </c>
      <c r="BN169" s="64">
        <f t="shared" si="12"/>
        <v>30.73</v>
      </c>
      <c r="BO169" s="64">
        <f t="shared" si="13"/>
        <v>4.8701298701298697E-2</v>
      </c>
      <c r="BP169" s="64">
        <f t="shared" si="14"/>
        <v>5.3030303030303032E-2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59">
        <v>4680115887565</v>
      </c>
      <c r="E170" s="560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9">
        <v>4680115880986</v>
      </c>
      <c r="E171" s="560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59">
        <v>4680115887213</v>
      </c>
      <c r="E172" s="560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59">
        <v>4680115881785</v>
      </c>
      <c r="E173" s="560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9">
        <v>4680115886537</v>
      </c>
      <c r="E174" s="560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1</v>
      </c>
      <c r="Y174" s="548">
        <f t="shared" si="10"/>
        <v>1.8</v>
      </c>
      <c r="Z174" s="36">
        <f>IFERROR(IF(Y174=0,"",ROUNDUP(Y174/H174,0)*0.00502),"")</f>
        <v>5.0200000000000002E-3</v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1.0722222222222222</v>
      </c>
      <c r="BN174" s="64">
        <f t="shared" si="12"/>
        <v>1.9299999999999997</v>
      </c>
      <c r="BO174" s="64">
        <f t="shared" si="13"/>
        <v>2.3741690408357078E-3</v>
      </c>
      <c r="BP174" s="64">
        <f t="shared" si="14"/>
        <v>4.2735042735042739E-3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59">
        <v>4680115887596</v>
      </c>
      <c r="E175" s="560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9">
        <v>4680115881679</v>
      </c>
      <c r="E176" s="560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48</v>
      </c>
      <c r="Y176" s="548">
        <f t="shared" si="10"/>
        <v>48.300000000000004</v>
      </c>
      <c r="Z176" s="36">
        <f>IFERROR(IF(Y176=0,"",ROUNDUP(Y176/H176,0)*0.00502),"")</f>
        <v>0.11546000000000001</v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50.285714285714285</v>
      </c>
      <c r="BN176" s="64">
        <f t="shared" si="12"/>
        <v>50.600000000000009</v>
      </c>
      <c r="BO176" s="64">
        <f t="shared" si="13"/>
        <v>9.7680097680097694E-2</v>
      </c>
      <c r="BP176" s="64">
        <f t="shared" si="14"/>
        <v>9.8290598290598302E-2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59">
        <v>4680115880191</v>
      </c>
      <c r="E177" s="560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59">
        <v>4680115883963</v>
      </c>
      <c r="E178" s="560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9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70"/>
      <c r="P179" s="564" t="s">
        <v>75</v>
      </c>
      <c r="Q179" s="565"/>
      <c r="R179" s="565"/>
      <c r="S179" s="565"/>
      <c r="T179" s="565"/>
      <c r="U179" s="565"/>
      <c r="V179" s="566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29.841269841269842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31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0.18362000000000001</v>
      </c>
      <c r="AA179" s="550"/>
      <c r="AB179" s="550"/>
      <c r="AC179" s="550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70"/>
      <c r="P180" s="564" t="s">
        <v>75</v>
      </c>
      <c r="Q180" s="565"/>
      <c r="R180" s="565"/>
      <c r="S180" s="565"/>
      <c r="T180" s="565"/>
      <c r="U180" s="565"/>
      <c r="V180" s="566"/>
      <c r="W180" s="37" t="s">
        <v>69</v>
      </c>
      <c r="X180" s="549">
        <f>IFERROR(SUM(X167:X178),"0")</f>
        <v>76</v>
      </c>
      <c r="Y180" s="549">
        <f>IFERROR(SUM(Y167:Y178),"0")</f>
        <v>79.5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3"/>
      <c r="AB181" s="543"/>
      <c r="AC181" s="543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59">
        <v>4680115886780</v>
      </c>
      <c r="E182" s="560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9">
        <v>4680115886742</v>
      </c>
      <c r="E183" s="560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3</v>
      </c>
      <c r="Y183" s="548">
        <f>IFERROR(IF(X183="",0,CEILING((X183/$H183),1)*$H183),"")</f>
        <v>3.7800000000000002</v>
      </c>
      <c r="Z183" s="36">
        <f>IFERROR(IF(Y183=0,"",ROUNDUP(Y183/H183,0)*0.0059),"")</f>
        <v>1.77E-2</v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3.4523809523809521</v>
      </c>
      <c r="BN183" s="64">
        <f>IFERROR(Y183*I183/H183,"0")</f>
        <v>4.3499999999999996</v>
      </c>
      <c r="BO183" s="64">
        <f>IFERROR(1/J183*(X183/H183),"0")</f>
        <v>1.1022927689594356E-2</v>
      </c>
      <c r="BP183" s="64">
        <f>IFERROR(1/J183*(Y183/H183),"0")</f>
        <v>1.3888888888888888E-2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9">
        <v>4680115886766</v>
      </c>
      <c r="E184" s="560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4</v>
      </c>
      <c r="Y184" s="548">
        <f>IFERROR(IF(X184="",0,CEILING((X184/$H184),1)*$H184),"")</f>
        <v>5.04</v>
      </c>
      <c r="Z184" s="36">
        <f>IFERROR(IF(Y184=0,"",ROUNDUP(Y184/H184,0)*0.0059),"")</f>
        <v>2.3599999999999999E-2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4.6031746031746028</v>
      </c>
      <c r="BN184" s="64">
        <f>IFERROR(Y184*I184/H184,"0")</f>
        <v>5.8</v>
      </c>
      <c r="BO184" s="64">
        <f>IFERROR(1/J184*(X184/H184),"0")</f>
        <v>1.469723691945914E-2</v>
      </c>
      <c r="BP184" s="64">
        <f>IFERROR(1/J184*(Y184/H184),"0")</f>
        <v>1.8518518518518517E-2</v>
      </c>
    </row>
    <row r="185" spans="1:68" x14ac:dyDescent="0.2">
      <c r="A185" s="569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70"/>
      <c r="P185" s="564" t="s">
        <v>75</v>
      </c>
      <c r="Q185" s="565"/>
      <c r="R185" s="565"/>
      <c r="S185" s="565"/>
      <c r="T185" s="565"/>
      <c r="U185" s="565"/>
      <c r="V185" s="566"/>
      <c r="W185" s="37" t="s">
        <v>76</v>
      </c>
      <c r="X185" s="549">
        <f>IFERROR(X182/H182,"0")+IFERROR(X183/H183,"0")+IFERROR(X184/H184,"0")</f>
        <v>5.5555555555555554</v>
      </c>
      <c r="Y185" s="549">
        <f>IFERROR(Y182/H182,"0")+IFERROR(Y183/H183,"0")+IFERROR(Y184/H184,"0")</f>
        <v>7</v>
      </c>
      <c r="Z185" s="549">
        <f>IFERROR(IF(Z182="",0,Z182),"0")+IFERROR(IF(Z183="",0,Z183),"0")+IFERROR(IF(Z184="",0,Z184),"0")</f>
        <v>4.1300000000000003E-2</v>
      </c>
      <c r="AA185" s="550"/>
      <c r="AB185" s="550"/>
      <c r="AC185" s="550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70"/>
      <c r="P186" s="564" t="s">
        <v>75</v>
      </c>
      <c r="Q186" s="565"/>
      <c r="R186" s="565"/>
      <c r="S186" s="565"/>
      <c r="T186" s="565"/>
      <c r="U186" s="565"/>
      <c r="V186" s="566"/>
      <c r="W186" s="37" t="s">
        <v>69</v>
      </c>
      <c r="X186" s="549">
        <f>IFERROR(SUM(X182:X184),"0")</f>
        <v>7</v>
      </c>
      <c r="Y186" s="549">
        <f>IFERROR(SUM(Y182:Y184),"0")</f>
        <v>8.82</v>
      </c>
      <c r="Z186" s="37"/>
      <c r="AA186" s="550"/>
      <c r="AB186" s="550"/>
      <c r="AC186" s="550"/>
    </row>
    <row r="187" spans="1:68" ht="14.25" customHeight="1" x14ac:dyDescent="0.25">
      <c r="A187" s="563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9">
        <v>4680115886797</v>
      </c>
      <c r="E188" s="560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6</v>
      </c>
      <c r="Y188" s="548">
        <f>IFERROR(IF(X188="",0,CEILING((X188/$H188),1)*$H188),"")</f>
        <v>6.3</v>
      </c>
      <c r="Z188" s="36">
        <f>IFERROR(IF(Y188=0,"",ROUNDUP(Y188/H188,0)*0.0059),"")</f>
        <v>2.9499999999999998E-2</v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6.9047619047619042</v>
      </c>
      <c r="BN188" s="64">
        <f>IFERROR(Y188*I188/H188,"0")</f>
        <v>7.25</v>
      </c>
      <c r="BO188" s="64">
        <f>IFERROR(1/J188*(X188/H188),"0")</f>
        <v>2.2045855379188711E-2</v>
      </c>
      <c r="BP188" s="64">
        <f>IFERROR(1/J188*(Y188/H188),"0")</f>
        <v>2.3148148148148147E-2</v>
      </c>
    </row>
    <row r="189" spans="1:68" x14ac:dyDescent="0.2">
      <c r="A189" s="569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70"/>
      <c r="P189" s="564" t="s">
        <v>75</v>
      </c>
      <c r="Q189" s="565"/>
      <c r="R189" s="565"/>
      <c r="S189" s="565"/>
      <c r="T189" s="565"/>
      <c r="U189" s="565"/>
      <c r="V189" s="566"/>
      <c r="W189" s="37" t="s">
        <v>76</v>
      </c>
      <c r="X189" s="549">
        <f>IFERROR(X188/H188,"0")</f>
        <v>4.7619047619047619</v>
      </c>
      <c r="Y189" s="549">
        <f>IFERROR(Y188/H188,"0")</f>
        <v>5</v>
      </c>
      <c r="Z189" s="549">
        <f>IFERROR(IF(Z188="",0,Z188),"0")</f>
        <v>2.9499999999999998E-2</v>
      </c>
      <c r="AA189" s="550"/>
      <c r="AB189" s="550"/>
      <c r="AC189" s="550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70"/>
      <c r="P190" s="564" t="s">
        <v>75</v>
      </c>
      <c r="Q190" s="565"/>
      <c r="R190" s="565"/>
      <c r="S190" s="565"/>
      <c r="T190" s="565"/>
      <c r="U190" s="565"/>
      <c r="V190" s="566"/>
      <c r="W190" s="37" t="s">
        <v>69</v>
      </c>
      <c r="X190" s="549">
        <f>IFERROR(SUM(X188:X188),"0")</f>
        <v>6</v>
      </c>
      <c r="Y190" s="549">
        <f>IFERROR(SUM(Y188:Y188),"0")</f>
        <v>6.3</v>
      </c>
      <c r="Z190" s="37"/>
      <c r="AA190" s="550"/>
      <c r="AB190" s="550"/>
      <c r="AC190" s="550"/>
    </row>
    <row r="191" spans="1:68" ht="16.5" customHeight="1" x14ac:dyDescent="0.25">
      <c r="A191" s="561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2"/>
      <c r="AB191" s="542"/>
      <c r="AC191" s="542"/>
    </row>
    <row r="192" spans="1:68" ht="14.25" customHeight="1" x14ac:dyDescent="0.25">
      <c r="A192" s="563" t="s">
        <v>101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3"/>
      <c r="AB192" s="543"/>
      <c r="AC192" s="543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59">
        <v>4680115881402</v>
      </c>
      <c r="E193" s="560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59">
        <v>4680115881396</v>
      </c>
      <c r="E194" s="560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189</v>
      </c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108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9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70"/>
      <c r="P195" s="564" t="s">
        <v>75</v>
      </c>
      <c r="Q195" s="565"/>
      <c r="R195" s="565"/>
      <c r="S195" s="565"/>
      <c r="T195" s="565"/>
      <c r="U195" s="565"/>
      <c r="V195" s="566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70"/>
      <c r="P196" s="564" t="s">
        <v>75</v>
      </c>
      <c r="Q196" s="565"/>
      <c r="R196" s="565"/>
      <c r="S196" s="565"/>
      <c r="T196" s="565"/>
      <c r="U196" s="565"/>
      <c r="V196" s="566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137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3"/>
      <c r="AB197" s="543"/>
      <c r="AC197" s="543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59">
        <v>4680115882935</v>
      </c>
      <c r="E198" s="560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59">
        <v>4680115880764</v>
      </c>
      <c r="E199" s="560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9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70"/>
      <c r="P200" s="564" t="s">
        <v>75</v>
      </c>
      <c r="Q200" s="565"/>
      <c r="R200" s="565"/>
      <c r="S200" s="565"/>
      <c r="T200" s="565"/>
      <c r="U200" s="565"/>
      <c r="V200" s="566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70"/>
      <c r="P201" s="564" t="s">
        <v>75</v>
      </c>
      <c r="Q201" s="565"/>
      <c r="R201" s="565"/>
      <c r="S201" s="565"/>
      <c r="T201" s="565"/>
      <c r="U201" s="565"/>
      <c r="V201" s="566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9">
        <v>4680115882683</v>
      </c>
      <c r="E203" s="560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9">
        <v>4680115882690</v>
      </c>
      <c r="E204" s="560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158</v>
      </c>
      <c r="Y204" s="548">
        <f t="shared" si="15"/>
        <v>162</v>
      </c>
      <c r="Z204" s="36">
        <f>IFERROR(IF(Y204=0,"",ROUNDUP(Y204/H204,0)*0.00902),"")</f>
        <v>0.27060000000000001</v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163.55925925925925</v>
      </c>
      <c r="BN204" s="64">
        <f t="shared" si="17"/>
        <v>167.7</v>
      </c>
      <c r="BO204" s="64">
        <f t="shared" si="18"/>
        <v>0.22166105499438832</v>
      </c>
      <c r="BP204" s="64">
        <f t="shared" si="19"/>
        <v>0.22727272727272727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9">
        <v>4680115882669</v>
      </c>
      <c r="E205" s="560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9">
        <v>4680115882676</v>
      </c>
      <c r="E206" s="560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187</v>
      </c>
      <c r="Y206" s="548">
        <f t="shared" si="15"/>
        <v>189</v>
      </c>
      <c r="Z206" s="36">
        <f>IFERROR(IF(Y206=0,"",ROUNDUP(Y206/H206,0)*0.00902),"")</f>
        <v>0.31569999999999998</v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193.57962962962961</v>
      </c>
      <c r="BN206" s="64">
        <f t="shared" si="17"/>
        <v>195.64999999999998</v>
      </c>
      <c r="BO206" s="64">
        <f t="shared" si="18"/>
        <v>0.26234567901234568</v>
      </c>
      <c r="BP206" s="64">
        <f t="shared" si="19"/>
        <v>0.26515151515151514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9">
        <v>4680115884014</v>
      </c>
      <c r="E207" s="560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33</v>
      </c>
      <c r="Y207" s="548">
        <f t="shared" si="15"/>
        <v>34.200000000000003</v>
      </c>
      <c r="Z207" s="36">
        <f>IFERROR(IF(Y207=0,"",ROUNDUP(Y207/H207,0)*0.00502),"")</f>
        <v>9.5380000000000006E-2</v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35.383333333333333</v>
      </c>
      <c r="BN207" s="64">
        <f t="shared" si="17"/>
        <v>36.67</v>
      </c>
      <c r="BO207" s="64">
        <f t="shared" si="18"/>
        <v>7.8347578347578356E-2</v>
      </c>
      <c r="BP207" s="64">
        <f t="shared" si="19"/>
        <v>8.11965811965812E-2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9">
        <v>4680115884007</v>
      </c>
      <c r="E208" s="560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6</v>
      </c>
      <c r="Y208" s="548">
        <f t="shared" si="15"/>
        <v>7.2</v>
      </c>
      <c r="Z208" s="36">
        <f>IFERROR(IF(Y208=0,"",ROUNDUP(Y208/H208,0)*0.00502),"")</f>
        <v>2.0080000000000001E-2</v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6.3333333333333321</v>
      </c>
      <c r="BN208" s="64">
        <f t="shared" si="17"/>
        <v>7.6</v>
      </c>
      <c r="BO208" s="64">
        <f t="shared" si="18"/>
        <v>1.4245014245014245E-2</v>
      </c>
      <c r="BP208" s="64">
        <f t="shared" si="19"/>
        <v>1.7094017094017096E-2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59">
        <v>4680115884038</v>
      </c>
      <c r="E209" s="560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9">
        <v>4680115884021</v>
      </c>
      <c r="E210" s="560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26</v>
      </c>
      <c r="Y210" s="548">
        <f t="shared" si="15"/>
        <v>27</v>
      </c>
      <c r="Z210" s="36">
        <f>IFERROR(IF(Y210=0,"",ROUNDUP(Y210/H210,0)*0.00502),"")</f>
        <v>7.5300000000000006E-2</v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27.444444444444443</v>
      </c>
      <c r="BN210" s="64">
        <f t="shared" si="17"/>
        <v>28.499999999999996</v>
      </c>
      <c r="BO210" s="64">
        <f t="shared" si="18"/>
        <v>6.1728395061728406E-2</v>
      </c>
      <c r="BP210" s="64">
        <f t="shared" si="19"/>
        <v>6.4102564102564111E-2</v>
      </c>
    </row>
    <row r="211" spans="1:68" x14ac:dyDescent="0.2">
      <c r="A211" s="569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70"/>
      <c r="P211" s="564" t="s">
        <v>75</v>
      </c>
      <c r="Q211" s="565"/>
      <c r="R211" s="565"/>
      <c r="S211" s="565"/>
      <c r="T211" s="565"/>
      <c r="U211" s="565"/>
      <c r="V211" s="566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99.999999999999986</v>
      </c>
      <c r="Y211" s="549">
        <f>IFERROR(Y203/H203,"0")+IFERROR(Y204/H204,"0")+IFERROR(Y205/H205,"0")+IFERROR(Y206/H206,"0")+IFERROR(Y207/H207,"0")+IFERROR(Y208/H208,"0")+IFERROR(Y209/H209,"0")+IFERROR(Y210/H210,"0")</f>
        <v>103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0.77706000000000008</v>
      </c>
      <c r="AA211" s="550"/>
      <c r="AB211" s="550"/>
      <c r="AC211" s="550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70"/>
      <c r="P212" s="564" t="s">
        <v>75</v>
      </c>
      <c r="Q212" s="565"/>
      <c r="R212" s="565"/>
      <c r="S212" s="565"/>
      <c r="T212" s="565"/>
      <c r="U212" s="565"/>
      <c r="V212" s="566"/>
      <c r="W212" s="37" t="s">
        <v>69</v>
      </c>
      <c r="X212" s="549">
        <f>IFERROR(SUM(X203:X210),"0")</f>
        <v>410</v>
      </c>
      <c r="Y212" s="549">
        <f>IFERROR(SUM(Y203:Y210),"0")</f>
        <v>419.4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3"/>
      <c r="AB213" s="543"/>
      <c r="AC213" s="543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59">
        <v>4680115881594</v>
      </c>
      <c r="E214" s="560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 t="s">
        <v>105</v>
      </c>
      <c r="M214" s="33" t="s">
        <v>80</v>
      </c>
      <c r="N214" s="33"/>
      <c r="O214" s="32">
        <v>40</v>
      </c>
      <c r="P21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 t="s">
        <v>108</v>
      </c>
      <c r="AK214" s="68">
        <v>64.8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59">
        <v>4680115881617</v>
      </c>
      <c r="E215" s="560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 t="s">
        <v>105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 t="s">
        <v>108</v>
      </c>
      <c r="AK215" s="68">
        <v>64.8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9">
        <v>4680115880573</v>
      </c>
      <c r="E216" s="560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257</v>
      </c>
      <c r="Y216" s="548">
        <f t="shared" si="20"/>
        <v>261</v>
      </c>
      <c r="Z216" s="36">
        <f>IFERROR(IF(Y216=0,"",ROUNDUP(Y216/H216,0)*0.01898),"")</f>
        <v>0.56940000000000002</v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271.59287356321846</v>
      </c>
      <c r="BN216" s="64">
        <f t="shared" si="22"/>
        <v>275.82000000000005</v>
      </c>
      <c r="BO216" s="64">
        <f t="shared" si="23"/>
        <v>0.46156609195402304</v>
      </c>
      <c r="BP216" s="64">
        <f t="shared" si="24"/>
        <v>0.46875000000000006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9">
        <v>4680115882195</v>
      </c>
      <c r="E217" s="560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189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90</v>
      </c>
      <c r="Y217" s="548">
        <f t="shared" si="20"/>
        <v>91.2</v>
      </c>
      <c r="Z217" s="36">
        <f t="shared" ref="Z217:Z222" si="25">IFERROR(IF(Y217=0,"",ROUNDUP(Y217/H217,0)*0.00651),"")</f>
        <v>0.24738000000000002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100.125</v>
      </c>
      <c r="BN217" s="64">
        <f t="shared" si="22"/>
        <v>101.46</v>
      </c>
      <c r="BO217" s="64">
        <f t="shared" si="23"/>
        <v>0.20604395604395606</v>
      </c>
      <c r="BP217" s="64">
        <f t="shared" si="24"/>
        <v>0.2087912087912088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59">
        <v>4680115882607</v>
      </c>
      <c r="E218" s="560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9">
        <v>4680115880092</v>
      </c>
      <c r="E219" s="560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189</v>
      </c>
      <c r="M219" s="33" t="s">
        <v>80</v>
      </c>
      <c r="N219" s="33"/>
      <c r="O219" s="32">
        <v>45</v>
      </c>
      <c r="P219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183</v>
      </c>
      <c r="Y219" s="548">
        <f t="shared" si="20"/>
        <v>184.79999999999998</v>
      </c>
      <c r="Z219" s="36">
        <f t="shared" si="25"/>
        <v>0.50126999999999999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202.21500000000003</v>
      </c>
      <c r="BN219" s="64">
        <f t="shared" si="22"/>
        <v>204.20399999999998</v>
      </c>
      <c r="BO219" s="64">
        <f t="shared" si="23"/>
        <v>0.41895604395604397</v>
      </c>
      <c r="BP219" s="64">
        <f t="shared" si="24"/>
        <v>0.42307692307692313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9">
        <v>4680115880221</v>
      </c>
      <c r="E220" s="560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189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138</v>
      </c>
      <c r="Y220" s="548">
        <f t="shared" si="20"/>
        <v>139.19999999999999</v>
      </c>
      <c r="Z220" s="36">
        <f t="shared" si="25"/>
        <v>0.37758000000000003</v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152.49</v>
      </c>
      <c r="BN220" s="64">
        <f t="shared" si="22"/>
        <v>153.816</v>
      </c>
      <c r="BO220" s="64">
        <f t="shared" si="23"/>
        <v>0.31593406593406598</v>
      </c>
      <c r="BP220" s="64">
        <f t="shared" si="24"/>
        <v>0.31868131868131871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9">
        <v>4680115880504</v>
      </c>
      <c r="E221" s="560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189</v>
      </c>
      <c r="M221" s="33" t="s">
        <v>86</v>
      </c>
      <c r="N221" s="33"/>
      <c r="O221" s="32">
        <v>40</v>
      </c>
      <c r="P221" s="5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129</v>
      </c>
      <c r="Y221" s="548">
        <f t="shared" si="20"/>
        <v>129.6</v>
      </c>
      <c r="Z221" s="36">
        <f t="shared" si="25"/>
        <v>0.35154000000000002</v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142.54500000000002</v>
      </c>
      <c r="BN221" s="64">
        <f t="shared" si="22"/>
        <v>143.20800000000003</v>
      </c>
      <c r="BO221" s="64">
        <f t="shared" si="23"/>
        <v>0.29532967032967034</v>
      </c>
      <c r="BP221" s="64">
        <f t="shared" si="24"/>
        <v>0.2967032967032967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9">
        <v>4680115882164</v>
      </c>
      <c r="E222" s="560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189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48</v>
      </c>
      <c r="Y222" s="548">
        <f t="shared" si="20"/>
        <v>48</v>
      </c>
      <c r="Z222" s="36">
        <f t="shared" si="25"/>
        <v>0.13020000000000001</v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53.160000000000004</v>
      </c>
      <c r="BN222" s="64">
        <f t="shared" si="22"/>
        <v>53.160000000000004</v>
      </c>
      <c r="BO222" s="64">
        <f t="shared" si="23"/>
        <v>0.1098901098901099</v>
      </c>
      <c r="BP222" s="64">
        <f t="shared" si="24"/>
        <v>0.1098901098901099</v>
      </c>
    </row>
    <row r="223" spans="1:68" x14ac:dyDescent="0.2">
      <c r="A223" s="569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70"/>
      <c r="P223" s="564" t="s">
        <v>75</v>
      </c>
      <c r="Q223" s="565"/>
      <c r="R223" s="565"/>
      <c r="S223" s="565"/>
      <c r="T223" s="565"/>
      <c r="U223" s="565"/>
      <c r="V223" s="566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274.54022988505744</v>
      </c>
      <c r="Y223" s="549">
        <f>IFERROR(Y214/H214,"0")+IFERROR(Y215/H215,"0")+IFERROR(Y216/H216,"0")+IFERROR(Y217/H217,"0")+IFERROR(Y218/H218,"0")+IFERROR(Y219/H219,"0")+IFERROR(Y220/H220,"0")+IFERROR(Y221/H221,"0")+IFERROR(Y222/H222,"0")</f>
        <v>277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2.1773699999999998</v>
      </c>
      <c r="AA223" s="550"/>
      <c r="AB223" s="550"/>
      <c r="AC223" s="550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70"/>
      <c r="P224" s="564" t="s">
        <v>75</v>
      </c>
      <c r="Q224" s="565"/>
      <c r="R224" s="565"/>
      <c r="S224" s="565"/>
      <c r="T224" s="565"/>
      <c r="U224" s="565"/>
      <c r="V224" s="566"/>
      <c r="W224" s="37" t="s">
        <v>69</v>
      </c>
      <c r="X224" s="549">
        <f>IFERROR(SUM(X214:X222),"0")</f>
        <v>845</v>
      </c>
      <c r="Y224" s="549">
        <f>IFERROR(SUM(Y214:Y222),"0")</f>
        <v>853.80000000000007</v>
      </c>
      <c r="Z224" s="37"/>
      <c r="AA224" s="550"/>
      <c r="AB224" s="550"/>
      <c r="AC224" s="550"/>
    </row>
    <row r="225" spans="1:68" ht="14.25" customHeight="1" x14ac:dyDescent="0.25">
      <c r="A225" s="563" t="s">
        <v>162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9">
        <v>4680115880818</v>
      </c>
      <c r="E226" s="560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18</v>
      </c>
      <c r="Y226" s="548">
        <f>IFERROR(IF(X226="",0,CEILING((X226/$H226),1)*$H226),"")</f>
        <v>19.2</v>
      </c>
      <c r="Z226" s="36">
        <f>IFERROR(IF(Y226=0,"",ROUNDUP(Y226/H226,0)*0.00651),"")</f>
        <v>5.2080000000000001E-2</v>
      </c>
      <c r="AA226" s="56"/>
      <c r="AB226" s="57"/>
      <c r="AC226" s="277" t="s">
        <v>379</v>
      </c>
      <c r="AG226" s="64"/>
      <c r="AJ226" s="68"/>
      <c r="AK226" s="68">
        <v>0</v>
      </c>
      <c r="BB226" s="278" t="s">
        <v>1</v>
      </c>
      <c r="BM226" s="64">
        <f>IFERROR(X226*I226/H226,"0")</f>
        <v>19.890000000000004</v>
      </c>
      <c r="BN226" s="64">
        <f>IFERROR(Y226*I226/H226,"0")</f>
        <v>21.216000000000001</v>
      </c>
      <c r="BO226" s="64">
        <f>IFERROR(1/J226*(X226/H226),"0")</f>
        <v>4.1208791208791215E-2</v>
      </c>
      <c r="BP226" s="64">
        <f>IFERROR(1/J226*(Y226/H226),"0")</f>
        <v>4.3956043956043959E-2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9">
        <v>4680115880801</v>
      </c>
      <c r="E227" s="560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26</v>
      </c>
      <c r="Y227" s="548">
        <f>IFERROR(IF(X227="",0,CEILING((X227/$H227),1)*$H227),"")</f>
        <v>26.4</v>
      </c>
      <c r="Z227" s="36">
        <f>IFERROR(IF(Y227=0,"",ROUNDUP(Y227/H227,0)*0.00651),"")</f>
        <v>7.1610000000000007E-2</v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28.73</v>
      </c>
      <c r="BN227" s="64">
        <f>IFERROR(Y227*I227/H227,"0")</f>
        <v>29.172000000000001</v>
      </c>
      <c r="BO227" s="64">
        <f>IFERROR(1/J227*(X227/H227),"0")</f>
        <v>5.9523809523809534E-2</v>
      </c>
      <c r="BP227" s="64">
        <f>IFERROR(1/J227*(Y227/H227),"0")</f>
        <v>6.0439560439560447E-2</v>
      </c>
    </row>
    <row r="228" spans="1:68" x14ac:dyDescent="0.2">
      <c r="A228" s="569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70"/>
      <c r="P228" s="564" t="s">
        <v>75</v>
      </c>
      <c r="Q228" s="565"/>
      <c r="R228" s="565"/>
      <c r="S228" s="565"/>
      <c r="T228" s="565"/>
      <c r="U228" s="565"/>
      <c r="V228" s="566"/>
      <c r="W228" s="37" t="s">
        <v>76</v>
      </c>
      <c r="X228" s="549">
        <f>IFERROR(X226/H226,"0")+IFERROR(X227/H227,"0")</f>
        <v>18.333333333333336</v>
      </c>
      <c r="Y228" s="549">
        <f>IFERROR(Y226/H226,"0")+IFERROR(Y227/H227,"0")</f>
        <v>19</v>
      </c>
      <c r="Z228" s="549">
        <f>IFERROR(IF(Z226="",0,Z226),"0")+IFERROR(IF(Z227="",0,Z227),"0")</f>
        <v>0.12369000000000001</v>
      </c>
      <c r="AA228" s="550"/>
      <c r="AB228" s="550"/>
      <c r="AC228" s="550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70"/>
      <c r="P229" s="564" t="s">
        <v>75</v>
      </c>
      <c r="Q229" s="565"/>
      <c r="R229" s="565"/>
      <c r="S229" s="565"/>
      <c r="T229" s="565"/>
      <c r="U229" s="565"/>
      <c r="V229" s="566"/>
      <c r="W229" s="37" t="s">
        <v>69</v>
      </c>
      <c r="X229" s="549">
        <f>IFERROR(SUM(X226:X227),"0")</f>
        <v>44</v>
      </c>
      <c r="Y229" s="549">
        <f>IFERROR(SUM(Y226:Y227),"0")</f>
        <v>45.599999999999994</v>
      </c>
      <c r="Z229" s="37"/>
      <c r="AA229" s="550"/>
      <c r="AB229" s="550"/>
      <c r="AC229" s="550"/>
    </row>
    <row r="230" spans="1:68" ht="16.5" customHeight="1" x14ac:dyDescent="0.25">
      <c r="A230" s="561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2"/>
      <c r="AB230" s="542"/>
      <c r="AC230" s="542"/>
    </row>
    <row r="231" spans="1:68" ht="14.25" customHeight="1" x14ac:dyDescent="0.25">
      <c r="A231" s="563" t="s">
        <v>101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3"/>
      <c r="AB231" s="543"/>
      <c r="AC231" s="543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59">
        <v>4680115884137</v>
      </c>
      <c r="E232" s="560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59">
        <v>4680115884236</v>
      </c>
      <c r="E233" s="560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59">
        <v>4680115884175</v>
      </c>
      <c r="E234" s="560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59">
        <v>4680115884144</v>
      </c>
      <c r="E235" s="560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59">
        <v>4680115884144</v>
      </c>
      <c r="E236" s="560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59">
        <v>4680115886551</v>
      </c>
      <c r="E237" s="560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59">
        <v>4680115887282</v>
      </c>
      <c r="E238" s="560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59">
        <v>4680115884205</v>
      </c>
      <c r="E239" s="560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 t="s">
        <v>114</v>
      </c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108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59">
        <v>4680115884205</v>
      </c>
      <c r="E240" s="560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9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70"/>
      <c r="P241" s="564" t="s">
        <v>75</v>
      </c>
      <c r="Q241" s="565"/>
      <c r="R241" s="565"/>
      <c r="S241" s="565"/>
      <c r="T241" s="565"/>
      <c r="U241" s="565"/>
      <c r="V241" s="566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70"/>
      <c r="P242" s="564" t="s">
        <v>75</v>
      </c>
      <c r="Q242" s="565"/>
      <c r="R242" s="565"/>
      <c r="S242" s="565"/>
      <c r="T242" s="565"/>
      <c r="U242" s="565"/>
      <c r="V242" s="566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63" t="s">
        <v>137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3"/>
      <c r="AB243" s="543"/>
      <c r="AC243" s="543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59">
        <v>4680115885981</v>
      </c>
      <c r="E244" s="560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9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70"/>
      <c r="P245" s="564" t="s">
        <v>75</v>
      </c>
      <c r="Q245" s="565"/>
      <c r="R245" s="565"/>
      <c r="S245" s="565"/>
      <c r="T245" s="565"/>
      <c r="U245" s="565"/>
      <c r="V245" s="566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70"/>
      <c r="P246" s="564" t="s">
        <v>75</v>
      </c>
      <c r="Q246" s="565"/>
      <c r="R246" s="565"/>
      <c r="S246" s="565"/>
      <c r="T246" s="565"/>
      <c r="U246" s="565"/>
      <c r="V246" s="566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9">
        <v>4680115886803</v>
      </c>
      <c r="E248" s="560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2</v>
      </c>
      <c r="Y248" s="548">
        <f>IFERROR(IF(X248="",0,CEILING((X248/$H248),1)*$H248),"")</f>
        <v>3.6</v>
      </c>
      <c r="Z248" s="36">
        <f>IFERROR(IF(Y248=0,"",ROUNDUP(Y248/H248,0)*0.0059),"")</f>
        <v>1.18E-2</v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2.1944444444444446</v>
      </c>
      <c r="BN248" s="64">
        <f>IFERROR(Y248*I248/H248,"0")</f>
        <v>3.95</v>
      </c>
      <c r="BO248" s="64">
        <f>IFERROR(1/J248*(X248/H248),"0")</f>
        <v>5.1440329218106996E-3</v>
      </c>
      <c r="BP248" s="64">
        <f>IFERROR(1/J248*(Y248/H248),"0")</f>
        <v>9.2592592592592587E-3</v>
      </c>
    </row>
    <row r="249" spans="1:68" x14ac:dyDescent="0.2">
      <c r="A249" s="569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70"/>
      <c r="P249" s="564" t="s">
        <v>75</v>
      </c>
      <c r="Q249" s="565"/>
      <c r="R249" s="565"/>
      <c r="S249" s="565"/>
      <c r="T249" s="565"/>
      <c r="U249" s="565"/>
      <c r="V249" s="566"/>
      <c r="W249" s="37" t="s">
        <v>76</v>
      </c>
      <c r="X249" s="549">
        <f>IFERROR(X248/H248,"0")</f>
        <v>1.1111111111111112</v>
      </c>
      <c r="Y249" s="549">
        <f>IFERROR(Y248/H248,"0")</f>
        <v>2</v>
      </c>
      <c r="Z249" s="549">
        <f>IFERROR(IF(Z248="",0,Z248),"0")</f>
        <v>1.18E-2</v>
      </c>
      <c r="AA249" s="550"/>
      <c r="AB249" s="550"/>
      <c r="AC249" s="550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70"/>
      <c r="P250" s="564" t="s">
        <v>75</v>
      </c>
      <c r="Q250" s="565"/>
      <c r="R250" s="565"/>
      <c r="S250" s="565"/>
      <c r="T250" s="565"/>
      <c r="U250" s="565"/>
      <c r="V250" s="566"/>
      <c r="W250" s="37" t="s">
        <v>69</v>
      </c>
      <c r="X250" s="549">
        <f>IFERROR(SUM(X248:X248),"0")</f>
        <v>2</v>
      </c>
      <c r="Y250" s="549">
        <f>IFERROR(SUM(Y248:Y248),"0")</f>
        <v>3.6</v>
      </c>
      <c r="Z250" s="37"/>
      <c r="AA250" s="550"/>
      <c r="AB250" s="550"/>
      <c r="AC250" s="550"/>
    </row>
    <row r="251" spans="1:68" ht="14.25" customHeight="1" x14ac:dyDescent="0.25">
      <c r="A251" s="563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3"/>
      <c r="AB251" s="543"/>
      <c r="AC251" s="543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59">
        <v>4680115886704</v>
      </c>
      <c r="E252" s="560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59">
        <v>4680115886681</v>
      </c>
      <c r="E253" s="560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9">
        <v>4680115886735</v>
      </c>
      <c r="E254" s="560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2</v>
      </c>
      <c r="Y254" s="548">
        <f>IFERROR(IF(X254="",0,CEILING((X254/$H254),1)*$H254),"")</f>
        <v>2.7</v>
      </c>
      <c r="Z254" s="36">
        <f>IFERROR(IF(Y254=0,"",ROUNDUP(Y254/H254,0)*0.0059),"")</f>
        <v>1.77E-2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2.4222222222222225</v>
      </c>
      <c r="BN254" s="64">
        <f>IFERROR(Y254*I254/H254,"0")</f>
        <v>3.2700000000000005</v>
      </c>
      <c r="BO254" s="64">
        <f>IFERROR(1/J254*(X254/H254),"0")</f>
        <v>1.0288065843621399E-2</v>
      </c>
      <c r="BP254" s="64">
        <f>IFERROR(1/J254*(Y254/H254),"0")</f>
        <v>1.3888888888888888E-2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59">
        <v>4680115886728</v>
      </c>
      <c r="E255" s="560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2</v>
      </c>
      <c r="Y255" s="548">
        <f>IFERROR(IF(X255="",0,CEILING((X255/$H255),1)*$H255),"")</f>
        <v>2.9699999999999998</v>
      </c>
      <c r="Z255" s="36">
        <f>IFERROR(IF(Y255=0,"",ROUNDUP(Y255/H255,0)*0.0059),"")</f>
        <v>1.77E-2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2.3838383838383836</v>
      </c>
      <c r="BN255" s="64">
        <f>IFERROR(Y255*I255/H255,"0")</f>
        <v>3.5399999999999996</v>
      </c>
      <c r="BO255" s="64">
        <f>IFERROR(1/J255*(X255/H255),"0")</f>
        <v>9.3527871305649091E-3</v>
      </c>
      <c r="BP255" s="64">
        <f>IFERROR(1/J255*(Y255/H255),"0")</f>
        <v>1.3888888888888886E-2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59">
        <v>4680115886711</v>
      </c>
      <c r="E256" s="560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2</v>
      </c>
      <c r="Y256" s="548">
        <f>IFERROR(IF(X256="",0,CEILING((X256/$H256),1)*$H256),"")</f>
        <v>2.9699999999999998</v>
      </c>
      <c r="Z256" s="36">
        <f>IFERROR(IF(Y256=0,"",ROUNDUP(Y256/H256,0)*0.0059),"")</f>
        <v>1.77E-2</v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2.3838383838383836</v>
      </c>
      <c r="BN256" s="64">
        <f>IFERROR(Y256*I256/H256,"0")</f>
        <v>3.5399999999999996</v>
      </c>
      <c r="BO256" s="64">
        <f>IFERROR(1/J256*(X256/H256),"0")</f>
        <v>9.3527871305649091E-3</v>
      </c>
      <c r="BP256" s="64">
        <f>IFERROR(1/J256*(Y256/H256),"0")</f>
        <v>1.3888888888888886E-2</v>
      </c>
    </row>
    <row r="257" spans="1:68" x14ac:dyDescent="0.2">
      <c r="A257" s="569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70"/>
      <c r="P257" s="564" t="s">
        <v>75</v>
      </c>
      <c r="Q257" s="565"/>
      <c r="R257" s="565"/>
      <c r="S257" s="565"/>
      <c r="T257" s="565"/>
      <c r="U257" s="565"/>
      <c r="V257" s="566"/>
      <c r="W257" s="37" t="s">
        <v>76</v>
      </c>
      <c r="X257" s="549">
        <f>IFERROR(X252/H252,"0")+IFERROR(X253/H253,"0")+IFERROR(X254/H254,"0")+IFERROR(X255/H255,"0")+IFERROR(X256/H256,"0")</f>
        <v>6.262626262626263</v>
      </c>
      <c r="Y257" s="549">
        <f>IFERROR(Y252/H252,"0")+IFERROR(Y253/H253,"0")+IFERROR(Y254/H254,"0")+IFERROR(Y255/H255,"0")+IFERROR(Y256/H256,"0")</f>
        <v>9</v>
      </c>
      <c r="Z257" s="549">
        <f>IFERROR(IF(Z252="",0,Z252),"0")+IFERROR(IF(Z253="",0,Z253),"0")+IFERROR(IF(Z254="",0,Z254),"0")+IFERROR(IF(Z255="",0,Z255),"0")+IFERROR(IF(Z256="",0,Z256),"0")</f>
        <v>5.3100000000000001E-2</v>
      </c>
      <c r="AA257" s="550"/>
      <c r="AB257" s="550"/>
      <c r="AC257" s="550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70"/>
      <c r="P258" s="564" t="s">
        <v>75</v>
      </c>
      <c r="Q258" s="565"/>
      <c r="R258" s="565"/>
      <c r="S258" s="565"/>
      <c r="T258" s="565"/>
      <c r="U258" s="565"/>
      <c r="V258" s="566"/>
      <c r="W258" s="37" t="s">
        <v>69</v>
      </c>
      <c r="X258" s="549">
        <f>IFERROR(SUM(X252:X256),"0")</f>
        <v>6</v>
      </c>
      <c r="Y258" s="549">
        <f>IFERROR(SUM(Y252:Y256),"0")</f>
        <v>8.64</v>
      </c>
      <c r="Z258" s="37"/>
      <c r="AA258" s="550"/>
      <c r="AB258" s="550"/>
      <c r="AC258" s="550"/>
    </row>
    <row r="259" spans="1:68" ht="16.5" customHeight="1" x14ac:dyDescent="0.25">
      <c r="A259" s="561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2"/>
      <c r="AB259" s="542"/>
      <c r="AC259" s="542"/>
    </row>
    <row r="260" spans="1:68" ht="14.25" customHeight="1" x14ac:dyDescent="0.25">
      <c r="A260" s="563" t="s">
        <v>101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3"/>
      <c r="AB260" s="543"/>
      <c r="AC260" s="543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59">
        <v>4680115885837</v>
      </c>
      <c r="E261" s="560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108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59">
        <v>4680115885851</v>
      </c>
      <c r="E262" s="560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59">
        <v>4680115885806</v>
      </c>
      <c r="E263" s="560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59">
        <v>4680115885844</v>
      </c>
      <c r="E264" s="560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59">
        <v>4680115885820</v>
      </c>
      <c r="E265" s="560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9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70"/>
      <c r="P266" s="564" t="s">
        <v>75</v>
      </c>
      <c r="Q266" s="565"/>
      <c r="R266" s="565"/>
      <c r="S266" s="565"/>
      <c r="T266" s="565"/>
      <c r="U266" s="565"/>
      <c r="V266" s="566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70"/>
      <c r="P267" s="564" t="s">
        <v>75</v>
      </c>
      <c r="Q267" s="565"/>
      <c r="R267" s="565"/>
      <c r="S267" s="565"/>
      <c r="T267" s="565"/>
      <c r="U267" s="565"/>
      <c r="V267" s="566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61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2"/>
      <c r="AB268" s="542"/>
      <c r="AC268" s="542"/>
    </row>
    <row r="269" spans="1:68" ht="14.25" customHeight="1" x14ac:dyDescent="0.25">
      <c r="A269" s="563" t="s">
        <v>101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3"/>
      <c r="AB269" s="543"/>
      <c r="AC269" s="543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59">
        <v>4607091383423</v>
      </c>
      <c r="E270" s="560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59">
        <v>4680115886957</v>
      </c>
      <c r="E271" s="560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59">
        <v>4680115885660</v>
      </c>
      <c r="E272" s="560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59">
        <v>4680115886773</v>
      </c>
      <c r="E273" s="560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4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9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70"/>
      <c r="P274" s="564" t="s">
        <v>75</v>
      </c>
      <c r="Q274" s="565"/>
      <c r="R274" s="565"/>
      <c r="S274" s="565"/>
      <c r="T274" s="565"/>
      <c r="U274" s="565"/>
      <c r="V274" s="566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70"/>
      <c r="P275" s="564" t="s">
        <v>75</v>
      </c>
      <c r="Q275" s="565"/>
      <c r="R275" s="565"/>
      <c r="S275" s="565"/>
      <c r="T275" s="565"/>
      <c r="U275" s="565"/>
      <c r="V275" s="566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1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2"/>
      <c r="AB276" s="542"/>
      <c r="AC276" s="542"/>
    </row>
    <row r="277" spans="1:68" ht="14.25" customHeight="1" x14ac:dyDescent="0.25">
      <c r="A277" s="563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3"/>
      <c r="AB277" s="543"/>
      <c r="AC277" s="543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59">
        <v>4680115886186</v>
      </c>
      <c r="E278" s="560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9">
        <v>4680115881228</v>
      </c>
      <c r="E279" s="560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189</v>
      </c>
      <c r="M279" s="33" t="s">
        <v>86</v>
      </c>
      <c r="N279" s="33"/>
      <c r="O279" s="32">
        <v>40</v>
      </c>
      <c r="P279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80</v>
      </c>
      <c r="Y279" s="548">
        <f>IFERROR(IF(X279="",0,CEILING((X279/$H279),1)*$H279),"")</f>
        <v>81.599999999999994</v>
      </c>
      <c r="Z279" s="36">
        <f>IFERROR(IF(Y279=0,"",ROUNDUP(Y279/H279,0)*0.00651),"")</f>
        <v>0.22134000000000001</v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88.40000000000002</v>
      </c>
      <c r="BN279" s="64">
        <f>IFERROR(Y279*I279/H279,"0")</f>
        <v>90.168000000000006</v>
      </c>
      <c r="BO279" s="64">
        <f>IFERROR(1/J279*(X279/H279),"0")</f>
        <v>0.18315018315018317</v>
      </c>
      <c r="BP279" s="64">
        <f>IFERROR(1/J279*(Y279/H279),"0")</f>
        <v>0.18681318681318682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9">
        <v>4680115881211</v>
      </c>
      <c r="E280" s="560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189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30</v>
      </c>
      <c r="Y280" s="548">
        <f>IFERROR(IF(X280="",0,CEILING((X280/$H280),1)*$H280),"")</f>
        <v>31.2</v>
      </c>
      <c r="Z280" s="36">
        <f>IFERROR(IF(Y280=0,"",ROUNDUP(Y280/H280,0)*0.00651),"")</f>
        <v>8.4629999999999997E-2</v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32.250000000000007</v>
      </c>
      <c r="BN280" s="64">
        <f>IFERROR(Y280*I280/H280,"0")</f>
        <v>33.54</v>
      </c>
      <c r="BO280" s="64">
        <f>IFERROR(1/J280*(X280/H280),"0")</f>
        <v>6.8681318681318687E-2</v>
      </c>
      <c r="BP280" s="64">
        <f>IFERROR(1/J280*(Y280/H280),"0")</f>
        <v>7.1428571428571438E-2</v>
      </c>
    </row>
    <row r="281" spans="1:68" x14ac:dyDescent="0.2">
      <c r="A281" s="569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70"/>
      <c r="P281" s="564" t="s">
        <v>75</v>
      </c>
      <c r="Q281" s="565"/>
      <c r="R281" s="565"/>
      <c r="S281" s="565"/>
      <c r="T281" s="565"/>
      <c r="U281" s="565"/>
      <c r="V281" s="566"/>
      <c r="W281" s="37" t="s">
        <v>76</v>
      </c>
      <c r="X281" s="549">
        <f>IFERROR(X278/H278,"0")+IFERROR(X279/H279,"0")+IFERROR(X280/H280,"0")</f>
        <v>45.833333333333336</v>
      </c>
      <c r="Y281" s="549">
        <f>IFERROR(Y278/H278,"0")+IFERROR(Y279/H279,"0")+IFERROR(Y280/H280,"0")</f>
        <v>47</v>
      </c>
      <c r="Z281" s="549">
        <f>IFERROR(IF(Z278="",0,Z278),"0")+IFERROR(IF(Z279="",0,Z279),"0")+IFERROR(IF(Z280="",0,Z280),"0")</f>
        <v>0.30597000000000002</v>
      </c>
      <c r="AA281" s="550"/>
      <c r="AB281" s="550"/>
      <c r="AC281" s="550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70"/>
      <c r="P282" s="564" t="s">
        <v>75</v>
      </c>
      <c r="Q282" s="565"/>
      <c r="R282" s="565"/>
      <c r="S282" s="565"/>
      <c r="T282" s="565"/>
      <c r="U282" s="565"/>
      <c r="V282" s="566"/>
      <c r="W282" s="37" t="s">
        <v>69</v>
      </c>
      <c r="X282" s="549">
        <f>IFERROR(SUM(X278:X280),"0")</f>
        <v>110</v>
      </c>
      <c r="Y282" s="549">
        <f>IFERROR(SUM(Y278:Y280),"0")</f>
        <v>112.8</v>
      </c>
      <c r="Z282" s="37"/>
      <c r="AA282" s="550"/>
      <c r="AB282" s="550"/>
      <c r="AC282" s="550"/>
    </row>
    <row r="283" spans="1:68" ht="16.5" customHeight="1" x14ac:dyDescent="0.25">
      <c r="A283" s="561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2"/>
      <c r="AB283" s="542"/>
      <c r="AC283" s="542"/>
    </row>
    <row r="284" spans="1:68" ht="14.25" customHeight="1" x14ac:dyDescent="0.25">
      <c r="A284" s="563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3"/>
      <c r="AB284" s="543"/>
      <c r="AC284" s="543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59">
        <v>4680115880344</v>
      </c>
      <c r="E285" s="560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59">
        <v>4680115886919</v>
      </c>
      <c r="E286" s="560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9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70"/>
      <c r="P287" s="564" t="s">
        <v>75</v>
      </c>
      <c r="Q287" s="565"/>
      <c r="R287" s="565"/>
      <c r="S287" s="565"/>
      <c r="T287" s="565"/>
      <c r="U287" s="565"/>
      <c r="V287" s="566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70"/>
      <c r="P288" s="564" t="s">
        <v>75</v>
      </c>
      <c r="Q288" s="565"/>
      <c r="R288" s="565"/>
      <c r="S288" s="565"/>
      <c r="T288" s="565"/>
      <c r="U288" s="565"/>
      <c r="V288" s="566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3"/>
      <c r="AB289" s="543"/>
      <c r="AC289" s="543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59">
        <v>4680115884618</v>
      </c>
      <c r="E290" s="560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59">
        <v>4680115887114</v>
      </c>
      <c r="E291" s="560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9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70"/>
      <c r="P292" s="564" t="s">
        <v>75</v>
      </c>
      <c r="Q292" s="565"/>
      <c r="R292" s="565"/>
      <c r="S292" s="565"/>
      <c r="T292" s="565"/>
      <c r="U292" s="565"/>
      <c r="V292" s="566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70"/>
      <c r="P293" s="564" t="s">
        <v>75</v>
      </c>
      <c r="Q293" s="565"/>
      <c r="R293" s="565"/>
      <c r="S293" s="565"/>
      <c r="T293" s="565"/>
      <c r="U293" s="565"/>
      <c r="V293" s="566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1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2"/>
      <c r="AB294" s="542"/>
      <c r="AC294" s="542"/>
    </row>
    <row r="295" spans="1:68" ht="14.25" customHeight="1" x14ac:dyDescent="0.25">
      <c r="A295" s="563" t="s">
        <v>101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3"/>
      <c r="AB295" s="543"/>
      <c r="AC295" s="543"/>
    </row>
    <row r="296" spans="1:68" ht="27" customHeight="1" x14ac:dyDescent="0.25">
      <c r="A296" s="54" t="s">
        <v>473</v>
      </c>
      <c r="B296" s="54" t="s">
        <v>474</v>
      </c>
      <c r="C296" s="31">
        <v>4301012024</v>
      </c>
      <c r="D296" s="559">
        <v>4680115885615</v>
      </c>
      <c r="E296" s="560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476</v>
      </c>
      <c r="B297" s="54" t="s">
        <v>477</v>
      </c>
      <c r="C297" s="31">
        <v>4301011858</v>
      </c>
      <c r="D297" s="559">
        <v>4680115885646</v>
      </c>
      <c r="E297" s="560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479</v>
      </c>
      <c r="B298" s="54" t="s">
        <v>480</v>
      </c>
      <c r="C298" s="31">
        <v>4301012016</v>
      </c>
      <c r="D298" s="559">
        <v>4680115885554</v>
      </c>
      <c r="E298" s="560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4301011857</v>
      </c>
      <c r="D299" s="559">
        <v>4680115885622</v>
      </c>
      <c r="E299" s="560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4301011859</v>
      </c>
      <c r="D300" s="559">
        <v>4680115885608</v>
      </c>
      <c r="E300" s="560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69"/>
      <c r="B301" s="562"/>
      <c r="C301" s="562"/>
      <c r="D301" s="562"/>
      <c r="E301" s="562"/>
      <c r="F301" s="562"/>
      <c r="G301" s="562"/>
      <c r="H301" s="562"/>
      <c r="I301" s="562"/>
      <c r="J301" s="562"/>
      <c r="K301" s="562"/>
      <c r="L301" s="562"/>
      <c r="M301" s="562"/>
      <c r="N301" s="562"/>
      <c r="O301" s="570"/>
      <c r="P301" s="564" t="s">
        <v>75</v>
      </c>
      <c r="Q301" s="565"/>
      <c r="R301" s="565"/>
      <c r="S301" s="565"/>
      <c r="T301" s="565"/>
      <c r="U301" s="565"/>
      <c r="V301" s="566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70"/>
      <c r="P302" s="564" t="s">
        <v>75</v>
      </c>
      <c r="Q302" s="565"/>
      <c r="R302" s="565"/>
      <c r="S302" s="565"/>
      <c r="T302" s="565"/>
      <c r="U302" s="565"/>
      <c r="V302" s="566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customHeight="1" x14ac:dyDescent="0.25">
      <c r="A303" s="563" t="s">
        <v>64</v>
      </c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2"/>
      <c r="P303" s="562"/>
      <c r="Q303" s="562"/>
      <c r="R303" s="562"/>
      <c r="S303" s="562"/>
      <c r="T303" s="562"/>
      <c r="U303" s="562"/>
      <c r="V303" s="562"/>
      <c r="W303" s="562"/>
      <c r="X303" s="562"/>
      <c r="Y303" s="562"/>
      <c r="Z303" s="562"/>
      <c r="AA303" s="543"/>
      <c r="AB303" s="543"/>
      <c r="AC303" s="543"/>
    </row>
    <row r="304" spans="1:68" ht="27" customHeight="1" x14ac:dyDescent="0.25">
      <c r="A304" s="54" t="s">
        <v>487</v>
      </c>
      <c r="B304" s="54" t="s">
        <v>488</v>
      </c>
      <c r="C304" s="31">
        <v>4301030878</v>
      </c>
      <c r="D304" s="559">
        <v>4607091387193</v>
      </c>
      <c r="E304" s="560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customHeight="1" x14ac:dyDescent="0.25">
      <c r="A305" s="54" t="s">
        <v>490</v>
      </c>
      <c r="B305" s="54" t="s">
        <v>491</v>
      </c>
      <c r="C305" s="31">
        <v>4301031153</v>
      </c>
      <c r="D305" s="559">
        <v>4607091387230</v>
      </c>
      <c r="E305" s="560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 t="s">
        <v>114</v>
      </c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108</v>
      </c>
      <c r="AK305" s="68">
        <v>50.4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4301031154</v>
      </c>
      <c r="D306" s="559">
        <v>4607091387292</v>
      </c>
      <c r="E306" s="560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4301031152</v>
      </c>
      <c r="D307" s="559">
        <v>4607091387285</v>
      </c>
      <c r="E307" s="560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4301031305</v>
      </c>
      <c r="D308" s="559">
        <v>4607091389845</v>
      </c>
      <c r="E308" s="560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9">
        <v>4607091383836</v>
      </c>
      <c r="E309" s="560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x14ac:dyDescent="0.2">
      <c r="A310" s="569"/>
      <c r="B310" s="562"/>
      <c r="C310" s="562"/>
      <c r="D310" s="562"/>
      <c r="E310" s="562"/>
      <c r="F310" s="562"/>
      <c r="G310" s="562"/>
      <c r="H310" s="562"/>
      <c r="I310" s="562"/>
      <c r="J310" s="562"/>
      <c r="K310" s="562"/>
      <c r="L310" s="562"/>
      <c r="M310" s="562"/>
      <c r="N310" s="562"/>
      <c r="O310" s="570"/>
      <c r="P310" s="564" t="s">
        <v>75</v>
      </c>
      <c r="Q310" s="565"/>
      <c r="R310" s="565"/>
      <c r="S310" s="565"/>
      <c r="T310" s="565"/>
      <c r="U310" s="565"/>
      <c r="V310" s="566"/>
      <c r="W310" s="37" t="s">
        <v>76</v>
      </c>
      <c r="X310" s="549">
        <f>IFERROR(X304/H304,"0")+IFERROR(X305/H305,"0")+IFERROR(X306/H306,"0")+IFERROR(X307/H307,"0")+IFERROR(X308/H308,"0")+IFERROR(X309/H309,"0")</f>
        <v>0</v>
      </c>
      <c r="Y310" s="549">
        <f>IFERROR(Y304/H304,"0")+IFERROR(Y305/H305,"0")+IFERROR(Y306/H306,"0")+IFERROR(Y307/H307,"0")+IFERROR(Y308/H308,"0")+IFERROR(Y309/H309,"0")</f>
        <v>0</v>
      </c>
      <c r="Z310" s="549">
        <f>IFERROR(IF(Z304="",0,Z304),"0")+IFERROR(IF(Z305="",0,Z305),"0")+IFERROR(IF(Z306="",0,Z306),"0")+IFERROR(IF(Z307="",0,Z307),"0")+IFERROR(IF(Z308="",0,Z308),"0")+IFERROR(IF(Z309="",0,Z309),"0")</f>
        <v>0</v>
      </c>
      <c r="AA310" s="550"/>
      <c r="AB310" s="550"/>
      <c r="AC310" s="550"/>
    </row>
    <row r="311" spans="1:68" x14ac:dyDescent="0.2">
      <c r="A311" s="562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70"/>
      <c r="P311" s="564" t="s">
        <v>75</v>
      </c>
      <c r="Q311" s="565"/>
      <c r="R311" s="565"/>
      <c r="S311" s="565"/>
      <c r="T311" s="565"/>
      <c r="U311" s="565"/>
      <c r="V311" s="566"/>
      <c r="W311" s="37" t="s">
        <v>69</v>
      </c>
      <c r="X311" s="549">
        <f>IFERROR(SUM(X304:X309),"0")</f>
        <v>0</v>
      </c>
      <c r="Y311" s="549">
        <f>IFERROR(SUM(Y304:Y309),"0")</f>
        <v>0</v>
      </c>
      <c r="Z311" s="37"/>
      <c r="AA311" s="550"/>
      <c r="AB311" s="550"/>
      <c r="AC311" s="550"/>
    </row>
    <row r="312" spans="1:68" ht="14.25" customHeight="1" x14ac:dyDescent="0.25">
      <c r="A312" s="563" t="s">
        <v>77</v>
      </c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2"/>
      <c r="P312" s="562"/>
      <c r="Q312" s="562"/>
      <c r="R312" s="562"/>
      <c r="S312" s="562"/>
      <c r="T312" s="562"/>
      <c r="U312" s="562"/>
      <c r="V312" s="562"/>
      <c r="W312" s="562"/>
      <c r="X312" s="562"/>
      <c r="Y312" s="562"/>
      <c r="Z312" s="562"/>
      <c r="AA312" s="543"/>
      <c r="AB312" s="543"/>
      <c r="AC312" s="543"/>
    </row>
    <row r="313" spans="1:68" ht="27" customHeight="1" x14ac:dyDescent="0.25">
      <c r="A313" s="54" t="s">
        <v>504</v>
      </c>
      <c r="B313" s="54" t="s">
        <v>505</v>
      </c>
      <c r="C313" s="31">
        <v>4301051100</v>
      </c>
      <c r="D313" s="559">
        <v>4607091387766</v>
      </c>
      <c r="E313" s="560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 t="s">
        <v>105</v>
      </c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 t="s">
        <v>108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507</v>
      </c>
      <c r="B314" s="54" t="s">
        <v>508</v>
      </c>
      <c r="C314" s="31">
        <v>4301051818</v>
      </c>
      <c r="D314" s="559">
        <v>4607091387957</v>
      </c>
      <c r="E314" s="560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4301051819</v>
      </c>
      <c r="D315" s="559">
        <v>4607091387964</v>
      </c>
      <c r="E315" s="560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4301051734</v>
      </c>
      <c r="D316" s="559">
        <v>4680115884588</v>
      </c>
      <c r="E316" s="560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9"/>
      <c r="B317" s="562"/>
      <c r="C317" s="562"/>
      <c r="D317" s="562"/>
      <c r="E317" s="562"/>
      <c r="F317" s="562"/>
      <c r="G317" s="562"/>
      <c r="H317" s="562"/>
      <c r="I317" s="562"/>
      <c r="J317" s="562"/>
      <c r="K317" s="562"/>
      <c r="L317" s="562"/>
      <c r="M317" s="562"/>
      <c r="N317" s="562"/>
      <c r="O317" s="570"/>
      <c r="P317" s="564" t="s">
        <v>75</v>
      </c>
      <c r="Q317" s="565"/>
      <c r="R317" s="565"/>
      <c r="S317" s="565"/>
      <c r="T317" s="565"/>
      <c r="U317" s="565"/>
      <c r="V317" s="566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70"/>
      <c r="P318" s="564" t="s">
        <v>75</v>
      </c>
      <c r="Q318" s="565"/>
      <c r="R318" s="565"/>
      <c r="S318" s="565"/>
      <c r="T318" s="565"/>
      <c r="U318" s="565"/>
      <c r="V318" s="566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customHeight="1" x14ac:dyDescent="0.25">
      <c r="A319" s="563" t="s">
        <v>162</v>
      </c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2"/>
      <c r="P319" s="562"/>
      <c r="Q319" s="562"/>
      <c r="R319" s="562"/>
      <c r="S319" s="562"/>
      <c r="T319" s="562"/>
      <c r="U319" s="562"/>
      <c r="V319" s="562"/>
      <c r="W319" s="562"/>
      <c r="X319" s="562"/>
      <c r="Y319" s="562"/>
      <c r="Z319" s="562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9">
        <v>4607091380880</v>
      </c>
      <c r="E320" s="560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/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518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9">
        <v>4607091384482</v>
      </c>
      <c r="E321" s="560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9">
        <v>4607091380897</v>
      </c>
      <c r="E322" s="560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/>
      <c r="M322" s="33" t="s">
        <v>86</v>
      </c>
      <c r="N322" s="33"/>
      <c r="O322" s="32">
        <v>30</v>
      </c>
      <c r="P322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9"/>
      <c r="B323" s="562"/>
      <c r="C323" s="562"/>
      <c r="D323" s="562"/>
      <c r="E323" s="562"/>
      <c r="F323" s="562"/>
      <c r="G323" s="562"/>
      <c r="H323" s="562"/>
      <c r="I323" s="562"/>
      <c r="J323" s="562"/>
      <c r="K323" s="562"/>
      <c r="L323" s="562"/>
      <c r="M323" s="562"/>
      <c r="N323" s="562"/>
      <c r="O323" s="570"/>
      <c r="P323" s="564" t="s">
        <v>75</v>
      </c>
      <c r="Q323" s="565"/>
      <c r="R323" s="565"/>
      <c r="S323" s="565"/>
      <c r="T323" s="565"/>
      <c r="U323" s="565"/>
      <c r="V323" s="566"/>
      <c r="W323" s="37" t="s">
        <v>76</v>
      </c>
      <c r="X323" s="549">
        <f>IFERROR(X320/H320,"0")+IFERROR(X321/H321,"0")+IFERROR(X322/H322,"0")</f>
        <v>0</v>
      </c>
      <c r="Y323" s="549">
        <f>IFERROR(Y320/H320,"0")+IFERROR(Y321/H321,"0")+IFERROR(Y322/H322,"0")</f>
        <v>0</v>
      </c>
      <c r="Z323" s="549">
        <f>IFERROR(IF(Z320="",0,Z320),"0")+IFERROR(IF(Z321="",0,Z321),"0")+IFERROR(IF(Z322="",0,Z322),"0")</f>
        <v>0</v>
      </c>
      <c r="AA323" s="550"/>
      <c r="AB323" s="550"/>
      <c r="AC323" s="550"/>
    </row>
    <row r="324" spans="1:68" x14ac:dyDescent="0.2">
      <c r="A324" s="562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70"/>
      <c r="P324" s="564" t="s">
        <v>75</v>
      </c>
      <c r="Q324" s="565"/>
      <c r="R324" s="565"/>
      <c r="S324" s="565"/>
      <c r="T324" s="565"/>
      <c r="U324" s="565"/>
      <c r="V324" s="566"/>
      <c r="W324" s="37" t="s">
        <v>69</v>
      </c>
      <c r="X324" s="549">
        <f>IFERROR(SUM(X320:X322),"0")</f>
        <v>0</v>
      </c>
      <c r="Y324" s="549">
        <f>IFERROR(SUM(Y320:Y322),"0")</f>
        <v>0</v>
      </c>
      <c r="Z324" s="37"/>
      <c r="AA324" s="550"/>
      <c r="AB324" s="550"/>
      <c r="AC324" s="550"/>
    </row>
    <row r="325" spans="1:68" ht="14.25" customHeight="1" x14ac:dyDescent="0.25">
      <c r="A325" s="563" t="s">
        <v>93</v>
      </c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2"/>
      <c r="P325" s="562"/>
      <c r="Q325" s="562"/>
      <c r="R325" s="562"/>
      <c r="S325" s="562"/>
      <c r="T325" s="562"/>
      <c r="U325" s="562"/>
      <c r="V325" s="562"/>
      <c r="W325" s="562"/>
      <c r="X325" s="562"/>
      <c r="Y325" s="562"/>
      <c r="Z325" s="562"/>
      <c r="AA325" s="543"/>
      <c r="AB325" s="543"/>
      <c r="AC325" s="543"/>
    </row>
    <row r="326" spans="1:68" ht="27" customHeight="1" x14ac:dyDescent="0.25">
      <c r="A326" s="54" t="s">
        <v>525</v>
      </c>
      <c r="B326" s="54" t="s">
        <v>526</v>
      </c>
      <c r="C326" s="31">
        <v>4301030235</v>
      </c>
      <c r="D326" s="559">
        <v>4607091388381</v>
      </c>
      <c r="E326" s="560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6</v>
      </c>
      <c r="Y326" s="548">
        <f>IFERROR(IF(X326="",0,CEILING((X326/$H326),1)*$H326),"")</f>
        <v>6.08</v>
      </c>
      <c r="Z326" s="36">
        <f>IFERROR(IF(Y326=0,"",ROUNDUP(Y326/H326,0)*0.00902),"")</f>
        <v>1.804E-2</v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6.5328947368421053</v>
      </c>
      <c r="BN326" s="64">
        <f>IFERROR(Y326*I326/H326,"0")</f>
        <v>6.62</v>
      </c>
      <c r="BO326" s="64">
        <f>IFERROR(1/J326*(X326/H326),"0")</f>
        <v>1.4952153110047847E-2</v>
      </c>
      <c r="BP326" s="64">
        <f>IFERROR(1/J326*(Y326/H326),"0")</f>
        <v>1.5151515151515152E-2</v>
      </c>
    </row>
    <row r="327" spans="1:68" ht="27" customHeight="1" x14ac:dyDescent="0.25">
      <c r="A327" s="54" t="s">
        <v>528</v>
      </c>
      <c r="B327" s="54" t="s">
        <v>529</v>
      </c>
      <c r="C327" s="31">
        <v>4301030232</v>
      </c>
      <c r="D327" s="559">
        <v>4607091388374</v>
      </c>
      <c r="E327" s="560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9">
        <v>4607091383102</v>
      </c>
      <c r="E328" s="560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 t="s">
        <v>189</v>
      </c>
      <c r="M328" s="33" t="s">
        <v>96</v>
      </c>
      <c r="N328" s="33"/>
      <c r="O328" s="32">
        <v>180</v>
      </c>
      <c r="P328" s="57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12</v>
      </c>
      <c r="Y328" s="548">
        <f>IFERROR(IF(X328="",0,CEILING((X328/$H328),1)*$H328),"")</f>
        <v>12.75</v>
      </c>
      <c r="Z328" s="36">
        <f>IFERROR(IF(Y328=0,"",ROUNDUP(Y328/H328,0)*0.00651),"")</f>
        <v>3.2550000000000003E-2</v>
      </c>
      <c r="AA328" s="56"/>
      <c r="AB328" s="57"/>
      <c r="AC328" s="385" t="s">
        <v>532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13.905882352941179</v>
      </c>
      <c r="BN328" s="64">
        <f>IFERROR(Y328*I328/H328,"0")</f>
        <v>14.775000000000002</v>
      </c>
      <c r="BO328" s="64">
        <f>IFERROR(1/J328*(X328/H328),"0")</f>
        <v>2.5856496444731741E-2</v>
      </c>
      <c r="BP328" s="64">
        <f>IFERROR(1/J328*(Y328/H328),"0")</f>
        <v>2.7472527472527476E-2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9">
        <v>4607091388404</v>
      </c>
      <c r="E329" s="560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189</v>
      </c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9"/>
      <c r="B330" s="562"/>
      <c r="C330" s="562"/>
      <c r="D330" s="562"/>
      <c r="E330" s="562"/>
      <c r="F330" s="562"/>
      <c r="G330" s="562"/>
      <c r="H330" s="562"/>
      <c r="I330" s="562"/>
      <c r="J330" s="562"/>
      <c r="K330" s="562"/>
      <c r="L330" s="562"/>
      <c r="M330" s="562"/>
      <c r="N330" s="562"/>
      <c r="O330" s="570"/>
      <c r="P330" s="564" t="s">
        <v>75</v>
      </c>
      <c r="Q330" s="565"/>
      <c r="R330" s="565"/>
      <c r="S330" s="565"/>
      <c r="T330" s="565"/>
      <c r="U330" s="565"/>
      <c r="V330" s="566"/>
      <c r="W330" s="37" t="s">
        <v>76</v>
      </c>
      <c r="X330" s="549">
        <f>IFERROR(X326/H326,"0")+IFERROR(X327/H327,"0")+IFERROR(X328/H328,"0")+IFERROR(X329/H329,"0")</f>
        <v>6.6795665634674926</v>
      </c>
      <c r="Y330" s="549">
        <f>IFERROR(Y326/H326,"0")+IFERROR(Y327/H327,"0")+IFERROR(Y328/H328,"0")+IFERROR(Y329/H329,"0")</f>
        <v>7</v>
      </c>
      <c r="Z330" s="549">
        <f>IFERROR(IF(Z326="",0,Z326),"0")+IFERROR(IF(Z327="",0,Z327),"0")+IFERROR(IF(Z328="",0,Z328),"0")+IFERROR(IF(Z329="",0,Z329),"0")</f>
        <v>5.0590000000000003E-2</v>
      </c>
      <c r="AA330" s="550"/>
      <c r="AB330" s="550"/>
      <c r="AC330" s="550"/>
    </row>
    <row r="331" spans="1:68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70"/>
      <c r="P331" s="564" t="s">
        <v>75</v>
      </c>
      <c r="Q331" s="565"/>
      <c r="R331" s="565"/>
      <c r="S331" s="565"/>
      <c r="T331" s="565"/>
      <c r="U331" s="565"/>
      <c r="V331" s="566"/>
      <c r="W331" s="37" t="s">
        <v>69</v>
      </c>
      <c r="X331" s="549">
        <f>IFERROR(SUM(X326:X329),"0")</f>
        <v>18</v>
      </c>
      <c r="Y331" s="549">
        <f>IFERROR(SUM(Y326:Y329),"0")</f>
        <v>18.829999999999998</v>
      </c>
      <c r="Z331" s="37"/>
      <c r="AA331" s="550"/>
      <c r="AB331" s="550"/>
      <c r="AC331" s="550"/>
    </row>
    <row r="332" spans="1:68" ht="14.25" customHeight="1" x14ac:dyDescent="0.25">
      <c r="A332" s="563" t="s">
        <v>535</v>
      </c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2"/>
      <c r="P332" s="562"/>
      <c r="Q332" s="562"/>
      <c r="R332" s="562"/>
      <c r="S332" s="562"/>
      <c r="T332" s="562"/>
      <c r="U332" s="562"/>
      <c r="V332" s="562"/>
      <c r="W332" s="562"/>
      <c r="X332" s="562"/>
      <c r="Y332" s="562"/>
      <c r="Z332" s="562"/>
      <c r="AA332" s="543"/>
      <c r="AB332" s="543"/>
      <c r="AC332" s="543"/>
    </row>
    <row r="333" spans="1:68" ht="16.5" customHeight="1" x14ac:dyDescent="0.25">
      <c r="A333" s="54" t="s">
        <v>536</v>
      </c>
      <c r="B333" s="54" t="s">
        <v>537</v>
      </c>
      <c r="C333" s="31">
        <v>4301180007</v>
      </c>
      <c r="D333" s="559">
        <v>4680115881808</v>
      </c>
      <c r="E333" s="560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5</v>
      </c>
      <c r="Y333" s="548">
        <f>IFERROR(IF(X333="",0,CEILING((X333/$H333),1)*$H333),"")</f>
        <v>6</v>
      </c>
      <c r="Z333" s="36">
        <f>IFERROR(IF(Y333=0,"",ROUNDUP(Y333/H333,0)*0.00474),"")</f>
        <v>1.422E-2</v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5.6000000000000005</v>
      </c>
      <c r="BN333" s="64">
        <f>IFERROR(Y333*I333/H333,"0")</f>
        <v>6.7200000000000006</v>
      </c>
      <c r="BO333" s="64">
        <f>IFERROR(1/J333*(X333/H333),"0")</f>
        <v>1.0504201680672268E-2</v>
      </c>
      <c r="BP333" s="64">
        <f>IFERROR(1/J333*(Y333/H333),"0")</f>
        <v>1.2605042016806723E-2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9">
        <v>4680115881822</v>
      </c>
      <c r="E334" s="560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5</v>
      </c>
      <c r="Y334" s="548">
        <f>IFERROR(IF(X334="",0,CEILING((X334/$H334),1)*$H334),"")</f>
        <v>6</v>
      </c>
      <c r="Z334" s="36">
        <f>IFERROR(IF(Y334=0,"",ROUNDUP(Y334/H334,0)*0.00474),"")</f>
        <v>1.422E-2</v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5.6000000000000005</v>
      </c>
      <c r="BN334" s="64">
        <f>IFERROR(Y334*I334/H334,"0")</f>
        <v>6.7200000000000006</v>
      </c>
      <c r="BO334" s="64">
        <f>IFERROR(1/J334*(X334/H334),"0")</f>
        <v>1.0504201680672268E-2</v>
      </c>
      <c r="BP334" s="64">
        <f>IFERROR(1/J334*(Y334/H334),"0")</f>
        <v>1.2605042016806723E-2</v>
      </c>
    </row>
    <row r="335" spans="1:68" ht="27" customHeight="1" x14ac:dyDescent="0.25">
      <c r="A335" s="54" t="s">
        <v>542</v>
      </c>
      <c r="B335" s="54" t="s">
        <v>543</v>
      </c>
      <c r="C335" s="31">
        <v>4301180001</v>
      </c>
      <c r="D335" s="559">
        <v>4680115880016</v>
      </c>
      <c r="E335" s="560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538</v>
      </c>
      <c r="N335" s="33"/>
      <c r="O335" s="32">
        <v>730</v>
      </c>
      <c r="P335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6</v>
      </c>
      <c r="Y335" s="548">
        <f>IFERROR(IF(X335="",0,CEILING((X335/$H335),1)*$H335),"")</f>
        <v>6</v>
      </c>
      <c r="Z335" s="36">
        <f>IFERROR(IF(Y335=0,"",ROUNDUP(Y335/H335,0)*0.00474),"")</f>
        <v>1.422E-2</v>
      </c>
      <c r="AA335" s="56"/>
      <c r="AB335" s="57"/>
      <c r="AC335" s="393" t="s">
        <v>539</v>
      </c>
      <c r="AG335" s="64"/>
      <c r="AJ335" s="68"/>
      <c r="AK335" s="68">
        <v>0</v>
      </c>
      <c r="BB335" s="394" t="s">
        <v>1</v>
      </c>
      <c r="BM335" s="64">
        <f>IFERROR(X335*I335/H335,"0")</f>
        <v>6.7200000000000006</v>
      </c>
      <c r="BN335" s="64">
        <f>IFERROR(Y335*I335/H335,"0")</f>
        <v>6.7200000000000006</v>
      </c>
      <c r="BO335" s="64">
        <f>IFERROR(1/J335*(X335/H335),"0")</f>
        <v>1.2605042016806723E-2</v>
      </c>
      <c r="BP335" s="64">
        <f>IFERROR(1/J335*(Y335/H335),"0")</f>
        <v>1.2605042016806723E-2</v>
      </c>
    </row>
    <row r="336" spans="1:68" x14ac:dyDescent="0.2">
      <c r="A336" s="569"/>
      <c r="B336" s="562"/>
      <c r="C336" s="562"/>
      <c r="D336" s="562"/>
      <c r="E336" s="562"/>
      <c r="F336" s="562"/>
      <c r="G336" s="562"/>
      <c r="H336" s="562"/>
      <c r="I336" s="562"/>
      <c r="J336" s="562"/>
      <c r="K336" s="562"/>
      <c r="L336" s="562"/>
      <c r="M336" s="562"/>
      <c r="N336" s="562"/>
      <c r="O336" s="570"/>
      <c r="P336" s="564" t="s">
        <v>75</v>
      </c>
      <c r="Q336" s="565"/>
      <c r="R336" s="565"/>
      <c r="S336" s="565"/>
      <c r="T336" s="565"/>
      <c r="U336" s="565"/>
      <c r="V336" s="566"/>
      <c r="W336" s="37" t="s">
        <v>76</v>
      </c>
      <c r="X336" s="549">
        <f>IFERROR(X333/H333,"0")+IFERROR(X334/H334,"0")+IFERROR(X335/H335,"0")</f>
        <v>8</v>
      </c>
      <c r="Y336" s="549">
        <f>IFERROR(Y333/H333,"0")+IFERROR(Y334/H334,"0")+IFERROR(Y335/H335,"0")</f>
        <v>9</v>
      </c>
      <c r="Z336" s="549">
        <f>IFERROR(IF(Z333="",0,Z333),"0")+IFERROR(IF(Z334="",0,Z334),"0")+IFERROR(IF(Z335="",0,Z335),"0")</f>
        <v>4.2660000000000003E-2</v>
      </c>
      <c r="AA336" s="550"/>
      <c r="AB336" s="550"/>
      <c r="AC336" s="550"/>
    </row>
    <row r="337" spans="1:68" x14ac:dyDescent="0.2">
      <c r="A337" s="562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70"/>
      <c r="P337" s="564" t="s">
        <v>75</v>
      </c>
      <c r="Q337" s="565"/>
      <c r="R337" s="565"/>
      <c r="S337" s="565"/>
      <c r="T337" s="565"/>
      <c r="U337" s="565"/>
      <c r="V337" s="566"/>
      <c r="W337" s="37" t="s">
        <v>69</v>
      </c>
      <c r="X337" s="549">
        <f>IFERROR(SUM(X333:X335),"0")</f>
        <v>16</v>
      </c>
      <c r="Y337" s="549">
        <f>IFERROR(SUM(Y333:Y335),"0")</f>
        <v>18</v>
      </c>
      <c r="Z337" s="37"/>
      <c r="AA337" s="550"/>
      <c r="AB337" s="550"/>
      <c r="AC337" s="550"/>
    </row>
    <row r="338" spans="1:68" ht="16.5" customHeight="1" x14ac:dyDescent="0.25">
      <c r="A338" s="561" t="s">
        <v>544</v>
      </c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2"/>
      <c r="P338" s="562"/>
      <c r="Q338" s="562"/>
      <c r="R338" s="562"/>
      <c r="S338" s="562"/>
      <c r="T338" s="562"/>
      <c r="U338" s="562"/>
      <c r="V338" s="562"/>
      <c r="W338" s="562"/>
      <c r="X338" s="562"/>
      <c r="Y338" s="562"/>
      <c r="Z338" s="562"/>
      <c r="AA338" s="542"/>
      <c r="AB338" s="542"/>
      <c r="AC338" s="542"/>
    </row>
    <row r="339" spans="1:68" ht="14.25" customHeight="1" x14ac:dyDescent="0.25">
      <c r="A339" s="563" t="s">
        <v>77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3"/>
      <c r="AB339" s="543"/>
      <c r="AC339" s="543"/>
    </row>
    <row r="340" spans="1:68" ht="27" customHeight="1" x14ac:dyDescent="0.25">
      <c r="A340" s="54" t="s">
        <v>545</v>
      </c>
      <c r="B340" s="54" t="s">
        <v>546</v>
      </c>
      <c r="C340" s="31">
        <v>4301051489</v>
      </c>
      <c r="D340" s="559">
        <v>4607091387919</v>
      </c>
      <c r="E340" s="560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6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548</v>
      </c>
      <c r="B341" s="54" t="s">
        <v>549</v>
      </c>
      <c r="C341" s="31">
        <v>4301051461</v>
      </c>
      <c r="D341" s="559">
        <v>4680115883604</v>
      </c>
      <c r="E341" s="560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 t="s">
        <v>189</v>
      </c>
      <c r="M341" s="33" t="s">
        <v>80</v>
      </c>
      <c r="N341" s="33"/>
      <c r="O341" s="32">
        <v>45</v>
      </c>
      <c r="P341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4301051864</v>
      </c>
      <c r="D342" s="559">
        <v>4680115883567</v>
      </c>
      <c r="E342" s="560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 t="s">
        <v>189</v>
      </c>
      <c r="M342" s="33" t="s">
        <v>86</v>
      </c>
      <c r="N342" s="33"/>
      <c r="O342" s="32">
        <v>40</v>
      </c>
      <c r="P342" s="8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69"/>
      <c r="B343" s="562"/>
      <c r="C343" s="562"/>
      <c r="D343" s="562"/>
      <c r="E343" s="562"/>
      <c r="F343" s="562"/>
      <c r="G343" s="562"/>
      <c r="H343" s="562"/>
      <c r="I343" s="562"/>
      <c r="J343" s="562"/>
      <c r="K343" s="562"/>
      <c r="L343" s="562"/>
      <c r="M343" s="562"/>
      <c r="N343" s="562"/>
      <c r="O343" s="570"/>
      <c r="P343" s="564" t="s">
        <v>75</v>
      </c>
      <c r="Q343" s="565"/>
      <c r="R343" s="565"/>
      <c r="S343" s="565"/>
      <c r="T343" s="565"/>
      <c r="U343" s="565"/>
      <c r="V343" s="566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x14ac:dyDescent="0.2">
      <c r="A344" s="562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70"/>
      <c r="P344" s="564" t="s">
        <v>75</v>
      </c>
      <c r="Q344" s="565"/>
      <c r="R344" s="565"/>
      <c r="S344" s="565"/>
      <c r="T344" s="565"/>
      <c r="U344" s="565"/>
      <c r="V344" s="566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customHeight="1" x14ac:dyDescent="0.2">
      <c r="A345" s="641" t="s">
        <v>554</v>
      </c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42"/>
      <c r="P345" s="642"/>
      <c r="Q345" s="642"/>
      <c r="R345" s="642"/>
      <c r="S345" s="642"/>
      <c r="T345" s="642"/>
      <c r="U345" s="642"/>
      <c r="V345" s="642"/>
      <c r="W345" s="642"/>
      <c r="X345" s="642"/>
      <c r="Y345" s="642"/>
      <c r="Z345" s="642"/>
      <c r="AA345" s="48"/>
      <c r="AB345" s="48"/>
      <c r="AC345" s="48"/>
    </row>
    <row r="346" spans="1:68" ht="16.5" customHeight="1" x14ac:dyDescent="0.25">
      <c r="A346" s="561" t="s">
        <v>555</v>
      </c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2"/>
      <c r="P346" s="562"/>
      <c r="Q346" s="562"/>
      <c r="R346" s="562"/>
      <c r="S346" s="562"/>
      <c r="T346" s="562"/>
      <c r="U346" s="562"/>
      <c r="V346" s="562"/>
      <c r="W346" s="562"/>
      <c r="X346" s="562"/>
      <c r="Y346" s="562"/>
      <c r="Z346" s="562"/>
      <c r="AA346" s="542"/>
      <c r="AB346" s="542"/>
      <c r="AC346" s="542"/>
    </row>
    <row r="347" spans="1:68" ht="14.25" customHeight="1" x14ac:dyDescent="0.25">
      <c r="A347" s="563" t="s">
        <v>101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9">
        <v>4680115884847</v>
      </c>
      <c r="E348" s="560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417</v>
      </c>
      <c r="Y348" s="548">
        <f t="shared" ref="Y348:Y354" si="36">IFERROR(IF(X348="",0,CEILING((X348/$H348),1)*$H348),"")</f>
        <v>420</v>
      </c>
      <c r="Z348" s="36">
        <f>IFERROR(IF(Y348=0,"",ROUNDUP(Y348/H348,0)*0.02175),"")</f>
        <v>0.60899999999999999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430.06600000000003</v>
      </c>
      <c r="BN348" s="64">
        <f t="shared" ref="BN348:BN354" si="38">IFERROR(Y348*I348/H348,"0")</f>
        <v>433.16</v>
      </c>
      <c r="BO348" s="64">
        <f t="shared" ref="BO348:BO354" si="39">IFERROR(1/J348*(X348/H348),"0")</f>
        <v>0.57916666666666661</v>
      </c>
      <c r="BP348" s="64">
        <f t="shared" ref="BP348:BP354" si="40">IFERROR(1/J348*(Y348/H348),"0")</f>
        <v>0.58333333333333326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9">
        <v>4680115884854</v>
      </c>
      <c r="E349" s="560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257</v>
      </c>
      <c r="Y349" s="548">
        <f t="shared" si="36"/>
        <v>270</v>
      </c>
      <c r="Z349" s="36">
        <f>IFERROR(IF(Y349=0,"",ROUNDUP(Y349/H349,0)*0.02175),"")</f>
        <v>0.39149999999999996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265.05266666666665</v>
      </c>
      <c r="BN349" s="64">
        <f t="shared" si="38"/>
        <v>278.46000000000004</v>
      </c>
      <c r="BO349" s="64">
        <f t="shared" si="39"/>
        <v>0.3569444444444444</v>
      </c>
      <c r="BP349" s="64">
        <f t="shared" si="40"/>
        <v>0.375</v>
      </c>
    </row>
    <row r="350" spans="1:68" ht="37.5" customHeight="1" x14ac:dyDescent="0.25">
      <c r="A350" s="54" t="s">
        <v>562</v>
      </c>
      <c r="B350" s="54" t="s">
        <v>563</v>
      </c>
      <c r="C350" s="31">
        <v>4301011867</v>
      </c>
      <c r="D350" s="559">
        <v>4680115884830</v>
      </c>
      <c r="E350" s="560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904</v>
      </c>
      <c r="Y350" s="548">
        <f t="shared" si="36"/>
        <v>915</v>
      </c>
      <c r="Z350" s="36">
        <f>IFERROR(IF(Y350=0,"",ROUNDUP(Y350/H350,0)*0.02175),"")</f>
        <v>1.3267499999999999</v>
      </c>
      <c r="AA350" s="56"/>
      <c r="AB350" s="57"/>
      <c r="AC350" s="405" t="s">
        <v>564</v>
      </c>
      <c r="AG350" s="64"/>
      <c r="AJ350" s="68" t="s">
        <v>108</v>
      </c>
      <c r="AK350" s="68">
        <v>120</v>
      </c>
      <c r="BB350" s="406" t="s">
        <v>1</v>
      </c>
      <c r="BM350" s="64">
        <f t="shared" si="37"/>
        <v>932.32533333333345</v>
      </c>
      <c r="BN350" s="64">
        <f t="shared" si="38"/>
        <v>943.67000000000007</v>
      </c>
      <c r="BO350" s="64">
        <f t="shared" si="39"/>
        <v>1.2555555555555555</v>
      </c>
      <c r="BP350" s="64">
        <f t="shared" si="40"/>
        <v>1.2708333333333333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59">
        <v>4680115887046</v>
      </c>
      <c r="E351" s="560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6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568</v>
      </c>
      <c r="B352" s="54" t="s">
        <v>569</v>
      </c>
      <c r="C352" s="31">
        <v>4301011433</v>
      </c>
      <c r="D352" s="559">
        <v>4680115882638</v>
      </c>
      <c r="E352" s="560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4301011952</v>
      </c>
      <c r="D353" s="559">
        <v>4680115884922</v>
      </c>
      <c r="E353" s="560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4301011868</v>
      </c>
      <c r="D354" s="559">
        <v>4680115884861</v>
      </c>
      <c r="E354" s="560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9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70"/>
      <c r="P355" s="564" t="s">
        <v>75</v>
      </c>
      <c r="Q355" s="565"/>
      <c r="R355" s="565"/>
      <c r="S355" s="565"/>
      <c r="T355" s="565"/>
      <c r="U355" s="565"/>
      <c r="V355" s="566"/>
      <c r="W355" s="37" t="s">
        <v>76</v>
      </c>
      <c r="X355" s="549">
        <f>IFERROR(X348/H348,"0")+IFERROR(X349/H349,"0")+IFERROR(X350/H350,"0")+IFERROR(X351/H351,"0")+IFERROR(X352/H352,"0")+IFERROR(X353/H353,"0")+IFERROR(X354/H354,"0")</f>
        <v>105.2</v>
      </c>
      <c r="Y355" s="549">
        <f>IFERROR(Y348/H348,"0")+IFERROR(Y349/H349,"0")+IFERROR(Y350/H350,"0")+IFERROR(Y351/H351,"0")+IFERROR(Y352/H352,"0")+IFERROR(Y353/H353,"0")+IFERROR(Y354/H354,"0")</f>
        <v>107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2.3272499999999998</v>
      </c>
      <c r="AA355" s="550"/>
      <c r="AB355" s="550"/>
      <c r="AC355" s="550"/>
    </row>
    <row r="356" spans="1:68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70"/>
      <c r="P356" s="564" t="s">
        <v>75</v>
      </c>
      <c r="Q356" s="565"/>
      <c r="R356" s="565"/>
      <c r="S356" s="565"/>
      <c r="T356" s="565"/>
      <c r="U356" s="565"/>
      <c r="V356" s="566"/>
      <c r="W356" s="37" t="s">
        <v>69</v>
      </c>
      <c r="X356" s="549">
        <f>IFERROR(SUM(X348:X354),"0")</f>
        <v>1578</v>
      </c>
      <c r="Y356" s="549">
        <f>IFERROR(SUM(Y348:Y354),"0")</f>
        <v>1605</v>
      </c>
      <c r="Z356" s="37"/>
      <c r="AA356" s="550"/>
      <c r="AB356" s="550"/>
      <c r="AC356" s="550"/>
    </row>
    <row r="357" spans="1:68" ht="14.25" customHeight="1" x14ac:dyDescent="0.25">
      <c r="A357" s="563" t="s">
        <v>137</v>
      </c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2"/>
      <c r="P357" s="562"/>
      <c r="Q357" s="562"/>
      <c r="R357" s="562"/>
      <c r="S357" s="562"/>
      <c r="T357" s="562"/>
      <c r="U357" s="562"/>
      <c r="V357" s="562"/>
      <c r="W357" s="562"/>
      <c r="X357" s="562"/>
      <c r="Y357" s="562"/>
      <c r="Z357" s="562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9">
        <v>4607091383980</v>
      </c>
      <c r="E358" s="560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8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319</v>
      </c>
      <c r="Y358" s="548">
        <f>IFERROR(IF(X358="",0,CEILING((X358/$H358),1)*$H358),"")</f>
        <v>330</v>
      </c>
      <c r="Z358" s="36">
        <f>IFERROR(IF(Y358=0,"",ROUNDUP(Y358/H358,0)*0.02175),"")</f>
        <v>0.47849999999999998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328.99533333333335</v>
      </c>
      <c r="BN358" s="64">
        <f>IFERROR(Y358*I358/H358,"0")</f>
        <v>340.34000000000003</v>
      </c>
      <c r="BO358" s="64">
        <f>IFERROR(1/J358*(X358/H358),"0")</f>
        <v>0.44305555555555554</v>
      </c>
      <c r="BP358" s="64">
        <f>IFERROR(1/J358*(Y358/H358),"0")</f>
        <v>0.45833333333333331</v>
      </c>
    </row>
    <row r="359" spans="1:68" ht="27" customHeight="1" x14ac:dyDescent="0.25">
      <c r="A359" s="54" t="s">
        <v>578</v>
      </c>
      <c r="B359" s="54" t="s">
        <v>579</v>
      </c>
      <c r="C359" s="31">
        <v>4301020179</v>
      </c>
      <c r="D359" s="559">
        <v>4607091384178</v>
      </c>
      <c r="E359" s="560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9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70"/>
      <c r="P360" s="564" t="s">
        <v>75</v>
      </c>
      <c r="Q360" s="565"/>
      <c r="R360" s="565"/>
      <c r="S360" s="565"/>
      <c r="T360" s="565"/>
      <c r="U360" s="565"/>
      <c r="V360" s="566"/>
      <c r="W360" s="37" t="s">
        <v>76</v>
      </c>
      <c r="X360" s="549">
        <f>IFERROR(X358/H358,"0")+IFERROR(X359/H359,"0")</f>
        <v>21.266666666666666</v>
      </c>
      <c r="Y360" s="549">
        <f>IFERROR(Y358/H358,"0")+IFERROR(Y359/H359,"0")</f>
        <v>22</v>
      </c>
      <c r="Z360" s="549">
        <f>IFERROR(IF(Z358="",0,Z358),"0")+IFERROR(IF(Z359="",0,Z359),"0")</f>
        <v>0.47849999999999998</v>
      </c>
      <c r="AA360" s="550"/>
      <c r="AB360" s="550"/>
      <c r="AC360" s="550"/>
    </row>
    <row r="361" spans="1:68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70"/>
      <c r="P361" s="564" t="s">
        <v>75</v>
      </c>
      <c r="Q361" s="565"/>
      <c r="R361" s="565"/>
      <c r="S361" s="565"/>
      <c r="T361" s="565"/>
      <c r="U361" s="565"/>
      <c r="V361" s="566"/>
      <c r="W361" s="37" t="s">
        <v>69</v>
      </c>
      <c r="X361" s="549">
        <f>IFERROR(SUM(X358:X359),"0")</f>
        <v>319</v>
      </c>
      <c r="Y361" s="549">
        <f>IFERROR(SUM(Y358:Y359),"0")</f>
        <v>330</v>
      </c>
      <c r="Z361" s="37"/>
      <c r="AA361" s="550"/>
      <c r="AB361" s="550"/>
      <c r="AC361" s="550"/>
    </row>
    <row r="362" spans="1:68" ht="14.25" customHeight="1" x14ac:dyDescent="0.25">
      <c r="A362" s="563" t="s">
        <v>77</v>
      </c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2"/>
      <c r="P362" s="562"/>
      <c r="Q362" s="562"/>
      <c r="R362" s="562"/>
      <c r="S362" s="562"/>
      <c r="T362" s="562"/>
      <c r="U362" s="562"/>
      <c r="V362" s="562"/>
      <c r="W362" s="562"/>
      <c r="X362" s="562"/>
      <c r="Y362" s="562"/>
      <c r="Z362" s="562"/>
      <c r="AA362" s="543"/>
      <c r="AB362" s="543"/>
      <c r="AC362" s="543"/>
    </row>
    <row r="363" spans="1:68" ht="27" customHeight="1" x14ac:dyDescent="0.25">
      <c r="A363" s="54" t="s">
        <v>581</v>
      </c>
      <c r="B363" s="54" t="s">
        <v>582</v>
      </c>
      <c r="C363" s="31">
        <v>4301051903</v>
      </c>
      <c r="D363" s="559">
        <v>4607091383928</v>
      </c>
      <c r="E363" s="560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9">
        <v>4607091384260</v>
      </c>
      <c r="E364" s="560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69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70"/>
      <c r="P365" s="564" t="s">
        <v>75</v>
      </c>
      <c r="Q365" s="565"/>
      <c r="R365" s="565"/>
      <c r="S365" s="565"/>
      <c r="T365" s="565"/>
      <c r="U365" s="565"/>
      <c r="V365" s="566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x14ac:dyDescent="0.2">
      <c r="A366" s="562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70"/>
      <c r="P366" s="564" t="s">
        <v>75</v>
      </c>
      <c r="Q366" s="565"/>
      <c r="R366" s="565"/>
      <c r="S366" s="565"/>
      <c r="T366" s="565"/>
      <c r="U366" s="565"/>
      <c r="V366" s="566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customHeight="1" x14ac:dyDescent="0.25">
      <c r="A367" s="563" t="s">
        <v>162</v>
      </c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2"/>
      <c r="P367" s="562"/>
      <c r="Q367" s="562"/>
      <c r="R367" s="562"/>
      <c r="S367" s="562"/>
      <c r="T367" s="562"/>
      <c r="U367" s="562"/>
      <c r="V367" s="562"/>
      <c r="W367" s="562"/>
      <c r="X367" s="562"/>
      <c r="Y367" s="562"/>
      <c r="Z367" s="562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9">
        <v>4607091384673</v>
      </c>
      <c r="E368" s="560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9"/>
      <c r="B369" s="562"/>
      <c r="C369" s="562"/>
      <c r="D369" s="562"/>
      <c r="E369" s="562"/>
      <c r="F369" s="562"/>
      <c r="G369" s="562"/>
      <c r="H369" s="562"/>
      <c r="I369" s="562"/>
      <c r="J369" s="562"/>
      <c r="K369" s="562"/>
      <c r="L369" s="562"/>
      <c r="M369" s="562"/>
      <c r="N369" s="562"/>
      <c r="O369" s="570"/>
      <c r="P369" s="564" t="s">
        <v>75</v>
      </c>
      <c r="Q369" s="565"/>
      <c r="R369" s="565"/>
      <c r="S369" s="565"/>
      <c r="T369" s="565"/>
      <c r="U369" s="565"/>
      <c r="V369" s="566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70"/>
      <c r="P370" s="564" t="s">
        <v>75</v>
      </c>
      <c r="Q370" s="565"/>
      <c r="R370" s="565"/>
      <c r="S370" s="565"/>
      <c r="T370" s="565"/>
      <c r="U370" s="565"/>
      <c r="V370" s="566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customHeight="1" x14ac:dyDescent="0.25">
      <c r="A371" s="561" t="s">
        <v>590</v>
      </c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2"/>
      <c r="P371" s="562"/>
      <c r="Q371" s="562"/>
      <c r="R371" s="562"/>
      <c r="S371" s="562"/>
      <c r="T371" s="562"/>
      <c r="U371" s="562"/>
      <c r="V371" s="562"/>
      <c r="W371" s="562"/>
      <c r="X371" s="562"/>
      <c r="Y371" s="562"/>
      <c r="Z371" s="562"/>
      <c r="AA371" s="542"/>
      <c r="AB371" s="542"/>
      <c r="AC371" s="542"/>
    </row>
    <row r="372" spans="1:68" ht="14.25" customHeight="1" x14ac:dyDescent="0.25">
      <c r="A372" s="563" t="s">
        <v>101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9">
        <v>4680115884885</v>
      </c>
      <c r="E373" s="560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593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594</v>
      </c>
      <c r="B374" s="54" t="s">
        <v>595</v>
      </c>
      <c r="C374" s="31">
        <v>4301011871</v>
      </c>
      <c r="D374" s="559">
        <v>4680115884908</v>
      </c>
      <c r="E374" s="560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9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70"/>
      <c r="P375" s="564" t="s">
        <v>75</v>
      </c>
      <c r="Q375" s="565"/>
      <c r="R375" s="565"/>
      <c r="S375" s="565"/>
      <c r="T375" s="565"/>
      <c r="U375" s="565"/>
      <c r="V375" s="566"/>
      <c r="W375" s="37" t="s">
        <v>76</v>
      </c>
      <c r="X375" s="549">
        <f>IFERROR(X373/H373,"0")+IFERROR(X374/H374,"0")</f>
        <v>0</v>
      </c>
      <c r="Y375" s="549">
        <f>IFERROR(Y373/H373,"0")+IFERROR(Y374/H374,"0")</f>
        <v>0</v>
      </c>
      <c r="Z375" s="549">
        <f>IFERROR(IF(Z373="",0,Z373),"0")+IFERROR(IF(Z374="",0,Z374),"0")</f>
        <v>0</v>
      </c>
      <c r="AA375" s="550"/>
      <c r="AB375" s="550"/>
      <c r="AC375" s="550"/>
    </row>
    <row r="376" spans="1:68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70"/>
      <c r="P376" s="564" t="s">
        <v>75</v>
      </c>
      <c r="Q376" s="565"/>
      <c r="R376" s="565"/>
      <c r="S376" s="565"/>
      <c r="T376" s="565"/>
      <c r="U376" s="565"/>
      <c r="V376" s="566"/>
      <c r="W376" s="37" t="s">
        <v>69</v>
      </c>
      <c r="X376" s="549">
        <f>IFERROR(SUM(X373:X374),"0")</f>
        <v>0</v>
      </c>
      <c r="Y376" s="549">
        <f>IFERROR(SUM(Y373:Y374),"0")</f>
        <v>0</v>
      </c>
      <c r="Z376" s="37"/>
      <c r="AA376" s="550"/>
      <c r="AB376" s="550"/>
      <c r="AC376" s="550"/>
    </row>
    <row r="377" spans="1:68" ht="14.25" customHeight="1" x14ac:dyDescent="0.25">
      <c r="A377" s="563" t="s">
        <v>64</v>
      </c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2"/>
      <c r="P377" s="562"/>
      <c r="Q377" s="562"/>
      <c r="R377" s="562"/>
      <c r="S377" s="562"/>
      <c r="T377" s="562"/>
      <c r="U377" s="562"/>
      <c r="V377" s="562"/>
      <c r="W377" s="562"/>
      <c r="X377" s="562"/>
      <c r="Y377" s="562"/>
      <c r="Z377" s="562"/>
      <c r="AA377" s="543"/>
      <c r="AB377" s="543"/>
      <c r="AC377" s="543"/>
    </row>
    <row r="378" spans="1:68" ht="27" customHeight="1" x14ac:dyDescent="0.25">
      <c r="A378" s="54" t="s">
        <v>596</v>
      </c>
      <c r="B378" s="54" t="s">
        <v>597</v>
      </c>
      <c r="C378" s="31">
        <v>4301031303</v>
      </c>
      <c r="D378" s="559">
        <v>4607091384802</v>
      </c>
      <c r="E378" s="560"/>
      <c r="F378" s="546">
        <v>0.73</v>
      </c>
      <c r="G378" s="32">
        <v>6</v>
      </c>
      <c r="H378" s="546">
        <v>4.38</v>
      </c>
      <c r="I378" s="546">
        <v>4.63</v>
      </c>
      <c r="J378" s="32">
        <v>132</v>
      </c>
      <c r="K378" s="32" t="s">
        <v>111</v>
      </c>
      <c r="L378" s="32" t="s">
        <v>114</v>
      </c>
      <c r="M378" s="33" t="s">
        <v>68</v>
      </c>
      <c r="N378" s="33"/>
      <c r="O378" s="32">
        <v>35</v>
      </c>
      <c r="P378" s="67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 t="s">
        <v>108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596</v>
      </c>
      <c r="B379" s="54" t="s">
        <v>599</v>
      </c>
      <c r="C379" s="31">
        <v>4301031457</v>
      </c>
      <c r="D379" s="559">
        <v>4607091384802</v>
      </c>
      <c r="E379" s="560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5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9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70"/>
      <c r="P380" s="564" t="s">
        <v>75</v>
      </c>
      <c r="Q380" s="565"/>
      <c r="R380" s="565"/>
      <c r="S380" s="565"/>
      <c r="T380" s="565"/>
      <c r="U380" s="565"/>
      <c r="V380" s="566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70"/>
      <c r="P381" s="564" t="s">
        <v>75</v>
      </c>
      <c r="Q381" s="565"/>
      <c r="R381" s="565"/>
      <c r="S381" s="565"/>
      <c r="T381" s="565"/>
      <c r="U381" s="565"/>
      <c r="V381" s="566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customHeight="1" x14ac:dyDescent="0.25">
      <c r="A382" s="563" t="s">
        <v>77</v>
      </c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2"/>
      <c r="P382" s="562"/>
      <c r="Q382" s="562"/>
      <c r="R382" s="562"/>
      <c r="S382" s="562"/>
      <c r="T382" s="562"/>
      <c r="U382" s="562"/>
      <c r="V382" s="562"/>
      <c r="W382" s="562"/>
      <c r="X382" s="562"/>
      <c r="Y382" s="562"/>
      <c r="Z382" s="562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9">
        <v>4607091384246</v>
      </c>
      <c r="E383" s="560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511</v>
      </c>
      <c r="Y383" s="548">
        <f>IFERROR(IF(X383="",0,CEILING((X383/$H383),1)*$H383),"")</f>
        <v>513</v>
      </c>
      <c r="Z383" s="36">
        <f>IFERROR(IF(Y383=0,"",ROUNDUP(Y383/H383,0)*0.01898),"")</f>
        <v>1.08186</v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539.04822222222219</v>
      </c>
      <c r="BN383" s="64">
        <f>IFERROR(Y383*I383/H383,"0")</f>
        <v>541.1579999999999</v>
      </c>
      <c r="BO383" s="64">
        <f>IFERROR(1/J383*(X383/H383),"0")</f>
        <v>0.88715277777777779</v>
      </c>
      <c r="BP383" s="64">
        <f>IFERROR(1/J383*(Y383/H383),"0")</f>
        <v>0.890625</v>
      </c>
    </row>
    <row r="384" spans="1:68" ht="27" customHeight="1" x14ac:dyDescent="0.25">
      <c r="A384" s="54" t="s">
        <v>604</v>
      </c>
      <c r="B384" s="54" t="s">
        <v>605</v>
      </c>
      <c r="C384" s="31">
        <v>4301051660</v>
      </c>
      <c r="D384" s="559">
        <v>4607091384253</v>
      </c>
      <c r="E384" s="560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 t="s">
        <v>189</v>
      </c>
      <c r="M384" s="33" t="s">
        <v>80</v>
      </c>
      <c r="N384" s="33"/>
      <c r="O384" s="32">
        <v>40</v>
      </c>
      <c r="P384" s="5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 t="s">
        <v>108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604</v>
      </c>
      <c r="B385" s="54" t="s">
        <v>606</v>
      </c>
      <c r="C385" s="31">
        <v>4301052069</v>
      </c>
      <c r="D385" s="559">
        <v>4607091384253</v>
      </c>
      <c r="E385" s="560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9"/>
      <c r="B386" s="562"/>
      <c r="C386" s="562"/>
      <c r="D386" s="562"/>
      <c r="E386" s="562"/>
      <c r="F386" s="562"/>
      <c r="G386" s="562"/>
      <c r="H386" s="562"/>
      <c r="I386" s="562"/>
      <c r="J386" s="562"/>
      <c r="K386" s="562"/>
      <c r="L386" s="562"/>
      <c r="M386" s="562"/>
      <c r="N386" s="562"/>
      <c r="O386" s="570"/>
      <c r="P386" s="564" t="s">
        <v>75</v>
      </c>
      <c r="Q386" s="565"/>
      <c r="R386" s="565"/>
      <c r="S386" s="565"/>
      <c r="T386" s="565"/>
      <c r="U386" s="565"/>
      <c r="V386" s="566"/>
      <c r="W386" s="37" t="s">
        <v>76</v>
      </c>
      <c r="X386" s="549">
        <f>IFERROR(X383/H383,"0")+IFERROR(X384/H384,"0")+IFERROR(X385/H385,"0")</f>
        <v>56.777777777777779</v>
      </c>
      <c r="Y386" s="549">
        <f>IFERROR(Y383/H383,"0")+IFERROR(Y384/H384,"0")+IFERROR(Y385/H385,"0")</f>
        <v>57</v>
      </c>
      <c r="Z386" s="549">
        <f>IFERROR(IF(Z383="",0,Z383),"0")+IFERROR(IF(Z384="",0,Z384),"0")+IFERROR(IF(Z385="",0,Z385),"0")</f>
        <v>1.08186</v>
      </c>
      <c r="AA386" s="550"/>
      <c r="AB386" s="550"/>
      <c r="AC386" s="550"/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70"/>
      <c r="P387" s="564" t="s">
        <v>75</v>
      </c>
      <c r="Q387" s="565"/>
      <c r="R387" s="565"/>
      <c r="S387" s="565"/>
      <c r="T387" s="565"/>
      <c r="U387" s="565"/>
      <c r="V387" s="566"/>
      <c r="W387" s="37" t="s">
        <v>69</v>
      </c>
      <c r="X387" s="549">
        <f>IFERROR(SUM(X383:X385),"0")</f>
        <v>511</v>
      </c>
      <c r="Y387" s="549">
        <f>IFERROR(SUM(Y383:Y385),"0")</f>
        <v>513</v>
      </c>
      <c r="Z387" s="37"/>
      <c r="AA387" s="550"/>
      <c r="AB387" s="550"/>
      <c r="AC387" s="550"/>
    </row>
    <row r="388" spans="1:68" ht="27.75" customHeight="1" x14ac:dyDescent="0.2">
      <c r="A388" s="641" t="s">
        <v>608</v>
      </c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42"/>
      <c r="P388" s="642"/>
      <c r="Q388" s="642"/>
      <c r="R388" s="642"/>
      <c r="S388" s="642"/>
      <c r="T388" s="642"/>
      <c r="U388" s="642"/>
      <c r="V388" s="642"/>
      <c r="W388" s="642"/>
      <c r="X388" s="642"/>
      <c r="Y388" s="642"/>
      <c r="Z388" s="642"/>
      <c r="AA388" s="48"/>
      <c r="AB388" s="48"/>
      <c r="AC388" s="48"/>
    </row>
    <row r="389" spans="1:68" ht="16.5" customHeight="1" x14ac:dyDescent="0.25">
      <c r="A389" s="561" t="s">
        <v>609</v>
      </c>
      <c r="B389" s="562"/>
      <c r="C389" s="562"/>
      <c r="D389" s="562"/>
      <c r="E389" s="562"/>
      <c r="F389" s="562"/>
      <c r="G389" s="562"/>
      <c r="H389" s="562"/>
      <c r="I389" s="562"/>
      <c r="J389" s="562"/>
      <c r="K389" s="562"/>
      <c r="L389" s="562"/>
      <c r="M389" s="562"/>
      <c r="N389" s="562"/>
      <c r="O389" s="562"/>
      <c r="P389" s="562"/>
      <c r="Q389" s="562"/>
      <c r="R389" s="562"/>
      <c r="S389" s="562"/>
      <c r="T389" s="562"/>
      <c r="U389" s="562"/>
      <c r="V389" s="562"/>
      <c r="W389" s="562"/>
      <c r="X389" s="562"/>
      <c r="Y389" s="562"/>
      <c r="Z389" s="562"/>
      <c r="AA389" s="542"/>
      <c r="AB389" s="542"/>
      <c r="AC389" s="542"/>
    </row>
    <row r="390" spans="1:68" ht="14.25" customHeight="1" x14ac:dyDescent="0.25">
      <c r="A390" s="563" t="s">
        <v>64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3"/>
      <c r="AB390" s="543"/>
      <c r="AC390" s="543"/>
    </row>
    <row r="391" spans="1:68" ht="27" customHeight="1" x14ac:dyDescent="0.25">
      <c r="A391" s="54" t="s">
        <v>610</v>
      </c>
      <c r="B391" s="54" t="s">
        <v>611</v>
      </c>
      <c r="C391" s="31">
        <v>4301031405</v>
      </c>
      <c r="D391" s="559">
        <v>4680115886100</v>
      </c>
      <c r="E391" s="560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customHeight="1" x14ac:dyDescent="0.25">
      <c r="A392" s="54" t="s">
        <v>613</v>
      </c>
      <c r="B392" s="54" t="s">
        <v>614</v>
      </c>
      <c r="C392" s="31">
        <v>4301031406</v>
      </c>
      <c r="D392" s="559">
        <v>4680115886117</v>
      </c>
      <c r="E392" s="560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4301031402</v>
      </c>
      <c r="D393" s="559">
        <v>4680115886124</v>
      </c>
      <c r="E393" s="560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 t="s">
        <v>114</v>
      </c>
      <c r="M393" s="33" t="s">
        <v>68</v>
      </c>
      <c r="N393" s="33"/>
      <c r="O393" s="32">
        <v>50</v>
      </c>
      <c r="P393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 t="s">
        <v>108</v>
      </c>
      <c r="AK393" s="68">
        <v>64.8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4301031366</v>
      </c>
      <c r="D394" s="559">
        <v>4680115883147</v>
      </c>
      <c r="E394" s="560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4301031362</v>
      </c>
      <c r="D395" s="559">
        <v>4607091384338</v>
      </c>
      <c r="E395" s="560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9">
        <v>4607091389524</v>
      </c>
      <c r="E396" s="560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4301031364</v>
      </c>
      <c r="D397" s="559">
        <v>4680115883161</v>
      </c>
      <c r="E397" s="560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4301031358</v>
      </c>
      <c r="D398" s="559">
        <v>4607091389531</v>
      </c>
      <c r="E398" s="560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customHeight="1" x14ac:dyDescent="0.25">
      <c r="A399" s="54" t="s">
        <v>632</v>
      </c>
      <c r="B399" s="54" t="s">
        <v>633</v>
      </c>
      <c r="C399" s="31">
        <v>4301031360</v>
      </c>
      <c r="D399" s="559">
        <v>4607091384345</v>
      </c>
      <c r="E399" s="560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9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70"/>
      <c r="P400" s="564" t="s">
        <v>75</v>
      </c>
      <c r="Q400" s="565"/>
      <c r="R400" s="565"/>
      <c r="S400" s="565"/>
      <c r="T400" s="565"/>
      <c r="U400" s="565"/>
      <c r="V400" s="566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0</v>
      </c>
      <c r="Y400" s="549">
        <f>IFERROR(Y391/H391,"0")+IFERROR(Y392/H392,"0")+IFERROR(Y393/H393,"0")+IFERROR(Y394/H394,"0")+IFERROR(Y395/H395,"0")+IFERROR(Y396/H396,"0")+IFERROR(Y397/H397,"0")+IFERROR(Y398/H398,"0")+IFERROR(Y399/H399,"0")</f>
        <v>0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50"/>
      <c r="AB400" s="550"/>
      <c r="AC400" s="550"/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70"/>
      <c r="P401" s="564" t="s">
        <v>75</v>
      </c>
      <c r="Q401" s="565"/>
      <c r="R401" s="565"/>
      <c r="S401" s="565"/>
      <c r="T401" s="565"/>
      <c r="U401" s="565"/>
      <c r="V401" s="566"/>
      <c r="W401" s="37" t="s">
        <v>69</v>
      </c>
      <c r="X401" s="549">
        <f>IFERROR(SUM(X391:X399),"0")</f>
        <v>0</v>
      </c>
      <c r="Y401" s="549">
        <f>IFERROR(SUM(Y391:Y399),"0")</f>
        <v>0</v>
      </c>
      <c r="Z401" s="37"/>
      <c r="AA401" s="550"/>
      <c r="AB401" s="550"/>
      <c r="AC401" s="550"/>
    </row>
    <row r="402" spans="1:68" ht="14.25" customHeight="1" x14ac:dyDescent="0.25">
      <c r="A402" s="563" t="s">
        <v>77</v>
      </c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2"/>
      <c r="P402" s="562"/>
      <c r="Q402" s="562"/>
      <c r="R402" s="562"/>
      <c r="S402" s="562"/>
      <c r="T402" s="562"/>
      <c r="U402" s="562"/>
      <c r="V402" s="562"/>
      <c r="W402" s="562"/>
      <c r="X402" s="562"/>
      <c r="Y402" s="562"/>
      <c r="Z402" s="562"/>
      <c r="AA402" s="543"/>
      <c r="AB402" s="543"/>
      <c r="AC402" s="543"/>
    </row>
    <row r="403" spans="1:68" ht="27" customHeight="1" x14ac:dyDescent="0.25">
      <c r="A403" s="54" t="s">
        <v>634</v>
      </c>
      <c r="B403" s="54" t="s">
        <v>635</v>
      </c>
      <c r="C403" s="31">
        <v>4301051284</v>
      </c>
      <c r="D403" s="559">
        <v>4607091384352</v>
      </c>
      <c r="E403" s="560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637</v>
      </c>
      <c r="B404" s="54" t="s">
        <v>638</v>
      </c>
      <c r="C404" s="31">
        <v>4301051431</v>
      </c>
      <c r="D404" s="559">
        <v>4607091389654</v>
      </c>
      <c r="E404" s="560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9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70"/>
      <c r="P405" s="564" t="s">
        <v>75</v>
      </c>
      <c r="Q405" s="565"/>
      <c r="R405" s="565"/>
      <c r="S405" s="565"/>
      <c r="T405" s="565"/>
      <c r="U405" s="565"/>
      <c r="V405" s="566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70"/>
      <c r="P406" s="564" t="s">
        <v>75</v>
      </c>
      <c r="Q406" s="565"/>
      <c r="R406" s="565"/>
      <c r="S406" s="565"/>
      <c r="T406" s="565"/>
      <c r="U406" s="565"/>
      <c r="V406" s="566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customHeight="1" x14ac:dyDescent="0.25">
      <c r="A407" s="561" t="s">
        <v>640</v>
      </c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2"/>
      <c r="P407" s="562"/>
      <c r="Q407" s="562"/>
      <c r="R407" s="562"/>
      <c r="S407" s="562"/>
      <c r="T407" s="562"/>
      <c r="U407" s="562"/>
      <c r="V407" s="562"/>
      <c r="W407" s="562"/>
      <c r="X407" s="562"/>
      <c r="Y407" s="562"/>
      <c r="Z407" s="562"/>
      <c r="AA407" s="542"/>
      <c r="AB407" s="542"/>
      <c r="AC407" s="542"/>
    </row>
    <row r="408" spans="1:68" ht="14.25" customHeight="1" x14ac:dyDescent="0.25">
      <c r="A408" s="563" t="s">
        <v>137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3"/>
      <c r="AB408" s="543"/>
      <c r="AC408" s="543"/>
    </row>
    <row r="409" spans="1:68" ht="27" customHeight="1" x14ac:dyDescent="0.25">
      <c r="A409" s="54" t="s">
        <v>641</v>
      </c>
      <c r="B409" s="54" t="s">
        <v>642</v>
      </c>
      <c r="C409" s="31">
        <v>4301020319</v>
      </c>
      <c r="D409" s="559">
        <v>4680115885240</v>
      </c>
      <c r="E409" s="560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9"/>
      <c r="B410" s="562"/>
      <c r="C410" s="562"/>
      <c r="D410" s="562"/>
      <c r="E410" s="562"/>
      <c r="F410" s="562"/>
      <c r="G410" s="562"/>
      <c r="H410" s="562"/>
      <c r="I410" s="562"/>
      <c r="J410" s="562"/>
      <c r="K410" s="562"/>
      <c r="L410" s="562"/>
      <c r="M410" s="562"/>
      <c r="N410" s="562"/>
      <c r="O410" s="570"/>
      <c r="P410" s="564" t="s">
        <v>75</v>
      </c>
      <c r="Q410" s="565"/>
      <c r="R410" s="565"/>
      <c r="S410" s="565"/>
      <c r="T410" s="565"/>
      <c r="U410" s="565"/>
      <c r="V410" s="566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70"/>
      <c r="P411" s="564" t="s">
        <v>75</v>
      </c>
      <c r="Q411" s="565"/>
      <c r="R411" s="565"/>
      <c r="S411" s="565"/>
      <c r="T411" s="565"/>
      <c r="U411" s="565"/>
      <c r="V411" s="566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customHeight="1" x14ac:dyDescent="0.25">
      <c r="A412" s="563" t="s">
        <v>64</v>
      </c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2"/>
      <c r="P412" s="562"/>
      <c r="Q412" s="562"/>
      <c r="R412" s="562"/>
      <c r="S412" s="562"/>
      <c r="T412" s="562"/>
      <c r="U412" s="562"/>
      <c r="V412" s="562"/>
      <c r="W412" s="562"/>
      <c r="X412" s="562"/>
      <c r="Y412" s="562"/>
      <c r="Z412" s="562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9">
        <v>4680115886094</v>
      </c>
      <c r="E413" s="560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647</v>
      </c>
      <c r="B414" s="54" t="s">
        <v>648</v>
      </c>
      <c r="C414" s="31">
        <v>4301031363</v>
      </c>
      <c r="D414" s="559">
        <v>4607091389425</v>
      </c>
      <c r="E414" s="560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4301031373</v>
      </c>
      <c r="D415" s="559">
        <v>4680115880771</v>
      </c>
      <c r="E415" s="560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4301031359</v>
      </c>
      <c r="D416" s="559">
        <v>4607091389500</v>
      </c>
      <c r="E416" s="560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9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70"/>
      <c r="P417" s="564" t="s">
        <v>75</v>
      </c>
      <c r="Q417" s="565"/>
      <c r="R417" s="565"/>
      <c r="S417" s="565"/>
      <c r="T417" s="565"/>
      <c r="U417" s="565"/>
      <c r="V417" s="566"/>
      <c r="W417" s="37" t="s">
        <v>76</v>
      </c>
      <c r="X417" s="549">
        <f>IFERROR(X413/H413,"0")+IFERROR(X414/H414,"0")+IFERROR(X415/H415,"0")+IFERROR(X416/H416,"0")</f>
        <v>0</v>
      </c>
      <c r="Y417" s="549">
        <f>IFERROR(Y413/H413,"0")+IFERROR(Y414/H414,"0")+IFERROR(Y415/H415,"0")+IFERROR(Y416/H416,"0")</f>
        <v>0</v>
      </c>
      <c r="Z417" s="549">
        <f>IFERROR(IF(Z413="",0,Z413),"0")+IFERROR(IF(Z414="",0,Z414),"0")+IFERROR(IF(Z415="",0,Z415),"0")+IFERROR(IF(Z416="",0,Z416),"0")</f>
        <v>0</v>
      </c>
      <c r="AA417" s="550"/>
      <c r="AB417" s="550"/>
      <c r="AC417" s="550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70"/>
      <c r="P418" s="564" t="s">
        <v>75</v>
      </c>
      <c r="Q418" s="565"/>
      <c r="R418" s="565"/>
      <c r="S418" s="565"/>
      <c r="T418" s="565"/>
      <c r="U418" s="565"/>
      <c r="V418" s="566"/>
      <c r="W418" s="37" t="s">
        <v>69</v>
      </c>
      <c r="X418" s="549">
        <f>IFERROR(SUM(X413:X416),"0")</f>
        <v>0</v>
      </c>
      <c r="Y418" s="549">
        <f>IFERROR(SUM(Y413:Y416),"0")</f>
        <v>0</v>
      </c>
      <c r="Z418" s="37"/>
      <c r="AA418" s="550"/>
      <c r="AB418" s="550"/>
      <c r="AC418" s="550"/>
    </row>
    <row r="419" spans="1:68" ht="16.5" customHeight="1" x14ac:dyDescent="0.25">
      <c r="A419" s="561" t="s">
        <v>655</v>
      </c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2"/>
      <c r="P419" s="562"/>
      <c r="Q419" s="562"/>
      <c r="R419" s="562"/>
      <c r="S419" s="562"/>
      <c r="T419" s="562"/>
      <c r="U419" s="562"/>
      <c r="V419" s="562"/>
      <c r="W419" s="562"/>
      <c r="X419" s="562"/>
      <c r="Y419" s="562"/>
      <c r="Z419" s="562"/>
      <c r="AA419" s="542"/>
      <c r="AB419" s="542"/>
      <c r="AC419" s="542"/>
    </row>
    <row r="420" spans="1:68" ht="14.25" customHeight="1" x14ac:dyDescent="0.25">
      <c r="A420" s="563" t="s">
        <v>64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3"/>
      <c r="AB420" s="543"/>
      <c r="AC420" s="543"/>
    </row>
    <row r="421" spans="1:68" ht="27" customHeight="1" x14ac:dyDescent="0.25">
      <c r="A421" s="54" t="s">
        <v>656</v>
      </c>
      <c r="B421" s="54" t="s">
        <v>657</v>
      </c>
      <c r="C421" s="31">
        <v>4301031347</v>
      </c>
      <c r="D421" s="559">
        <v>4680115885110</v>
      </c>
      <c r="E421" s="560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69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70"/>
      <c r="P422" s="564" t="s">
        <v>75</v>
      </c>
      <c r="Q422" s="565"/>
      <c r="R422" s="565"/>
      <c r="S422" s="565"/>
      <c r="T422" s="565"/>
      <c r="U422" s="565"/>
      <c r="V422" s="566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70"/>
      <c r="P423" s="564" t="s">
        <v>75</v>
      </c>
      <c r="Q423" s="565"/>
      <c r="R423" s="565"/>
      <c r="S423" s="565"/>
      <c r="T423" s="565"/>
      <c r="U423" s="565"/>
      <c r="V423" s="566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customHeight="1" x14ac:dyDescent="0.2">
      <c r="A424" s="641" t="s">
        <v>659</v>
      </c>
      <c r="B424" s="642"/>
      <c r="C424" s="642"/>
      <c r="D424" s="642"/>
      <c r="E424" s="642"/>
      <c r="F424" s="642"/>
      <c r="G424" s="642"/>
      <c r="H424" s="642"/>
      <c r="I424" s="642"/>
      <c r="J424" s="642"/>
      <c r="K424" s="642"/>
      <c r="L424" s="642"/>
      <c r="M424" s="642"/>
      <c r="N424" s="642"/>
      <c r="O424" s="642"/>
      <c r="P424" s="642"/>
      <c r="Q424" s="642"/>
      <c r="R424" s="642"/>
      <c r="S424" s="642"/>
      <c r="T424" s="642"/>
      <c r="U424" s="642"/>
      <c r="V424" s="642"/>
      <c r="W424" s="642"/>
      <c r="X424" s="642"/>
      <c r="Y424" s="642"/>
      <c r="Z424" s="642"/>
      <c r="AA424" s="48"/>
      <c r="AB424" s="48"/>
      <c r="AC424" s="48"/>
    </row>
    <row r="425" spans="1:68" ht="16.5" customHeight="1" x14ac:dyDescent="0.25">
      <c r="A425" s="561" t="s">
        <v>659</v>
      </c>
      <c r="B425" s="562"/>
      <c r="C425" s="562"/>
      <c r="D425" s="562"/>
      <c r="E425" s="562"/>
      <c r="F425" s="562"/>
      <c r="G425" s="562"/>
      <c r="H425" s="562"/>
      <c r="I425" s="562"/>
      <c r="J425" s="562"/>
      <c r="K425" s="562"/>
      <c r="L425" s="562"/>
      <c r="M425" s="562"/>
      <c r="N425" s="562"/>
      <c r="O425" s="562"/>
      <c r="P425" s="562"/>
      <c r="Q425" s="562"/>
      <c r="R425" s="562"/>
      <c r="S425" s="562"/>
      <c r="T425" s="562"/>
      <c r="U425" s="562"/>
      <c r="V425" s="562"/>
      <c r="W425" s="562"/>
      <c r="X425" s="562"/>
      <c r="Y425" s="562"/>
      <c r="Z425" s="562"/>
      <c r="AA425" s="542"/>
      <c r="AB425" s="542"/>
      <c r="AC425" s="542"/>
    </row>
    <row r="426" spans="1:68" ht="14.25" customHeight="1" x14ac:dyDescent="0.25">
      <c r="A426" s="563" t="s">
        <v>101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9">
        <v>4607091389067</v>
      </c>
      <c r="E427" s="560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80</v>
      </c>
      <c r="Y427" s="548">
        <f t="shared" ref="Y427:Y438" si="47">IFERROR(IF(X427="",0,CEILING((X427/$H427),1)*$H427),"")</f>
        <v>84.48</v>
      </c>
      <c r="Z427" s="36">
        <f t="shared" ref="Z427:Z433" si="48">IFERROR(IF(Y427=0,"",ROUNDUP(Y427/H427,0)*0.01196),"")</f>
        <v>0.19136</v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85.303030303030297</v>
      </c>
      <c r="BN427" s="64">
        <f t="shared" ref="BN427:BN438" si="50">IFERROR(Y427*I427/H427,"0")</f>
        <v>90.08</v>
      </c>
      <c r="BO427" s="64">
        <f t="shared" ref="BO427:BO438" si="51">IFERROR(1/J427*(X427/H427),"0")</f>
        <v>0.14568764568764569</v>
      </c>
      <c r="BP427" s="64">
        <f t="shared" ref="BP427:BP438" si="52">IFERROR(1/J427*(Y427/H427),"0")</f>
        <v>0.15384615384615385</v>
      </c>
    </row>
    <row r="428" spans="1:68" ht="27" customHeight="1" x14ac:dyDescent="0.25">
      <c r="A428" s="54" t="s">
        <v>662</v>
      </c>
      <c r="B428" s="54" t="s">
        <v>663</v>
      </c>
      <c r="C428" s="31">
        <v>4301012210</v>
      </c>
      <c r="D428" s="559">
        <v>4607091383522</v>
      </c>
      <c r="E428" s="560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662</v>
      </c>
      <c r="B429" s="54" t="s">
        <v>665</v>
      </c>
      <c r="C429" s="31">
        <v>4301012145</v>
      </c>
      <c r="D429" s="559">
        <v>4607091383522</v>
      </c>
      <c r="E429" s="560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4301011961</v>
      </c>
      <c r="D430" s="559">
        <v>4680115885271</v>
      </c>
      <c r="E430" s="560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8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9">
        <v>4680115885226</v>
      </c>
      <c r="E431" s="560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573</v>
      </c>
      <c r="Y431" s="548">
        <f t="shared" si="47"/>
        <v>575.52</v>
      </c>
      <c r="Z431" s="36">
        <f t="shared" si="48"/>
        <v>1.3036399999999999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610.9829545454545</v>
      </c>
      <c r="BN431" s="64">
        <f t="shared" si="50"/>
        <v>613.66999999999996</v>
      </c>
      <c r="BO431" s="64">
        <f t="shared" si="51"/>
        <v>1.0434877622377623</v>
      </c>
      <c r="BP431" s="64">
        <f t="shared" si="52"/>
        <v>1.0480769230769229</v>
      </c>
    </row>
    <row r="432" spans="1:68" ht="16.5" customHeight="1" x14ac:dyDescent="0.25">
      <c r="A432" s="54" t="s">
        <v>672</v>
      </c>
      <c r="B432" s="54" t="s">
        <v>673</v>
      </c>
      <c r="C432" s="31">
        <v>4301011774</v>
      </c>
      <c r="D432" s="559">
        <v>4680115884502</v>
      </c>
      <c r="E432" s="560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9">
        <v>4607091389104</v>
      </c>
      <c r="E433" s="560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808</v>
      </c>
      <c r="Y433" s="548">
        <f t="shared" si="47"/>
        <v>813.12</v>
      </c>
      <c r="Z433" s="36">
        <f t="shared" si="48"/>
        <v>1.8418399999999999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861.56060606060601</v>
      </c>
      <c r="BN433" s="64">
        <f t="shared" si="50"/>
        <v>867.02</v>
      </c>
      <c r="BO433" s="64">
        <f t="shared" si="51"/>
        <v>1.4714452214452216</v>
      </c>
      <c r="BP433" s="64">
        <f t="shared" si="52"/>
        <v>1.4807692307692308</v>
      </c>
    </row>
    <row r="434" spans="1:68" ht="27" customHeight="1" x14ac:dyDescent="0.25">
      <c r="A434" s="54" t="s">
        <v>678</v>
      </c>
      <c r="B434" s="54" t="s">
        <v>679</v>
      </c>
      <c r="C434" s="31">
        <v>4301012125</v>
      </c>
      <c r="D434" s="559">
        <v>4680115886391</v>
      </c>
      <c r="E434" s="560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9">
        <v>4680115880603</v>
      </c>
      <c r="E435" s="560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133</v>
      </c>
      <c r="Y435" s="548">
        <f t="shared" si="47"/>
        <v>134.4</v>
      </c>
      <c r="Z435" s="36">
        <f>IFERROR(IF(Y435=0,"",ROUNDUP(Y435/H435,0)*0.00902),"")</f>
        <v>0.25256000000000001</v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191.46458333333334</v>
      </c>
      <c r="BN435" s="64">
        <f t="shared" si="50"/>
        <v>193.48000000000002</v>
      </c>
      <c r="BO435" s="64">
        <f t="shared" si="51"/>
        <v>0.20991161616161619</v>
      </c>
      <c r="BP435" s="64">
        <f t="shared" si="52"/>
        <v>0.21212121212121215</v>
      </c>
    </row>
    <row r="436" spans="1:68" ht="27" customHeight="1" x14ac:dyDescent="0.25">
      <c r="A436" s="54" t="s">
        <v>682</v>
      </c>
      <c r="B436" s="54" t="s">
        <v>683</v>
      </c>
      <c r="C436" s="31">
        <v>4301012036</v>
      </c>
      <c r="D436" s="559">
        <v>4680115882782</v>
      </c>
      <c r="E436" s="560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684</v>
      </c>
      <c r="B437" s="54" t="s">
        <v>685</v>
      </c>
      <c r="C437" s="31">
        <v>4301012050</v>
      </c>
      <c r="D437" s="559">
        <v>4680115885479</v>
      </c>
      <c r="E437" s="560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4301012034</v>
      </c>
      <c r="D438" s="559">
        <v>4607091389982</v>
      </c>
      <c r="E438" s="560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2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108</v>
      </c>
      <c r="Y438" s="548">
        <f t="shared" si="47"/>
        <v>110.39999999999999</v>
      </c>
      <c r="Z438" s="36">
        <f>IFERROR(IF(Y438=0,"",ROUNDUP(Y438/H438,0)*0.00902),"")</f>
        <v>0.20746000000000001</v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155.47499999999999</v>
      </c>
      <c r="BN438" s="64">
        <f t="shared" si="50"/>
        <v>158.92999999999998</v>
      </c>
      <c r="BO438" s="64">
        <f t="shared" si="51"/>
        <v>0.17045454545454547</v>
      </c>
      <c r="BP438" s="64">
        <f t="shared" si="52"/>
        <v>0.17424242424242425</v>
      </c>
    </row>
    <row r="439" spans="1:68" x14ac:dyDescent="0.2">
      <c r="A439" s="569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70"/>
      <c r="P439" s="564" t="s">
        <v>75</v>
      </c>
      <c r="Q439" s="565"/>
      <c r="R439" s="565"/>
      <c r="S439" s="565"/>
      <c r="T439" s="565"/>
      <c r="U439" s="565"/>
      <c r="V439" s="566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326.91287878787875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330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3.7968599999999997</v>
      </c>
      <c r="AA439" s="550"/>
      <c r="AB439" s="550"/>
      <c r="AC439" s="550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70"/>
      <c r="P440" s="564" t="s">
        <v>75</v>
      </c>
      <c r="Q440" s="565"/>
      <c r="R440" s="565"/>
      <c r="S440" s="565"/>
      <c r="T440" s="565"/>
      <c r="U440" s="565"/>
      <c r="V440" s="566"/>
      <c r="W440" s="37" t="s">
        <v>69</v>
      </c>
      <c r="X440" s="549">
        <f>IFERROR(SUM(X427:X438),"0")</f>
        <v>1702</v>
      </c>
      <c r="Y440" s="549">
        <f>IFERROR(SUM(Y427:Y438),"0")</f>
        <v>1717.92</v>
      </c>
      <c r="Z440" s="37"/>
      <c r="AA440" s="550"/>
      <c r="AB440" s="550"/>
      <c r="AC440" s="550"/>
    </row>
    <row r="441" spans="1:68" ht="14.25" customHeight="1" x14ac:dyDescent="0.25">
      <c r="A441" s="563" t="s">
        <v>137</v>
      </c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2"/>
      <c r="P441" s="562"/>
      <c r="Q441" s="562"/>
      <c r="R441" s="562"/>
      <c r="S441" s="562"/>
      <c r="T441" s="562"/>
      <c r="U441" s="562"/>
      <c r="V441" s="562"/>
      <c r="W441" s="562"/>
      <c r="X441" s="562"/>
      <c r="Y441" s="562"/>
      <c r="Z441" s="562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9">
        <v>4607091388930</v>
      </c>
      <c r="E442" s="560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431</v>
      </c>
      <c r="Y442" s="548">
        <f>IFERROR(IF(X442="",0,CEILING((X442/$H442),1)*$H442),"")</f>
        <v>432.96000000000004</v>
      </c>
      <c r="Z442" s="36">
        <f>IFERROR(IF(Y442=0,"",ROUNDUP(Y442/H442,0)*0.01196),"")</f>
        <v>0.98072000000000004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459.57007575757569</v>
      </c>
      <c r="BN442" s="64">
        <f>IFERROR(Y442*I442/H442,"0")</f>
        <v>461.66</v>
      </c>
      <c r="BO442" s="64">
        <f>IFERROR(1/J442*(X442/H442),"0")</f>
        <v>0.78489219114219111</v>
      </c>
      <c r="BP442" s="64">
        <f>IFERROR(1/J442*(Y442/H442),"0")</f>
        <v>0.78846153846153855</v>
      </c>
    </row>
    <row r="443" spans="1:68" ht="16.5" customHeight="1" x14ac:dyDescent="0.25">
      <c r="A443" s="54" t="s">
        <v>692</v>
      </c>
      <c r="B443" s="54" t="s">
        <v>693</v>
      </c>
      <c r="C443" s="31">
        <v>4301020384</v>
      </c>
      <c r="D443" s="559">
        <v>4680115886407</v>
      </c>
      <c r="E443" s="560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694</v>
      </c>
      <c r="B444" s="54" t="s">
        <v>695</v>
      </c>
      <c r="C444" s="31">
        <v>4301020385</v>
      </c>
      <c r="D444" s="559">
        <v>4680115880054</v>
      </c>
      <c r="E444" s="560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114</v>
      </c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180</v>
      </c>
      <c r="Y444" s="548">
        <f>IFERROR(IF(X444="",0,CEILING((X444/$H444),1)*$H444),"")</f>
        <v>182.4</v>
      </c>
      <c r="Z444" s="36">
        <f>IFERROR(IF(Y444=0,"",ROUNDUP(Y444/H444,0)*0.00902),"")</f>
        <v>0.34276000000000001</v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259.125</v>
      </c>
      <c r="BN444" s="64">
        <f>IFERROR(Y444*I444/H444,"0")</f>
        <v>262.58000000000004</v>
      </c>
      <c r="BO444" s="64">
        <f>IFERROR(1/J444*(X444/H444),"0")</f>
        <v>0.28409090909090912</v>
      </c>
      <c r="BP444" s="64">
        <f>IFERROR(1/J444*(Y444/H444),"0")</f>
        <v>0.2878787878787879</v>
      </c>
    </row>
    <row r="445" spans="1:68" x14ac:dyDescent="0.2">
      <c r="A445" s="569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70"/>
      <c r="P445" s="564" t="s">
        <v>75</v>
      </c>
      <c r="Q445" s="565"/>
      <c r="R445" s="565"/>
      <c r="S445" s="565"/>
      <c r="T445" s="565"/>
      <c r="U445" s="565"/>
      <c r="V445" s="566"/>
      <c r="W445" s="37" t="s">
        <v>76</v>
      </c>
      <c r="X445" s="549">
        <f>IFERROR(X442/H442,"0")+IFERROR(X443/H443,"0")+IFERROR(X444/H444,"0")</f>
        <v>119.12878787878788</v>
      </c>
      <c r="Y445" s="549">
        <f>IFERROR(Y442/H442,"0")+IFERROR(Y443/H443,"0")+IFERROR(Y444/H444,"0")</f>
        <v>120</v>
      </c>
      <c r="Z445" s="549">
        <f>IFERROR(IF(Z442="",0,Z442),"0")+IFERROR(IF(Z443="",0,Z443),"0")+IFERROR(IF(Z444="",0,Z444),"0")</f>
        <v>1.32348</v>
      </c>
      <c r="AA445" s="550"/>
      <c r="AB445" s="550"/>
      <c r="AC445" s="550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70"/>
      <c r="P446" s="564" t="s">
        <v>75</v>
      </c>
      <c r="Q446" s="565"/>
      <c r="R446" s="565"/>
      <c r="S446" s="565"/>
      <c r="T446" s="565"/>
      <c r="U446" s="565"/>
      <c r="V446" s="566"/>
      <c r="W446" s="37" t="s">
        <v>69</v>
      </c>
      <c r="X446" s="549">
        <f>IFERROR(SUM(X442:X444),"0")</f>
        <v>611</v>
      </c>
      <c r="Y446" s="549">
        <f>IFERROR(SUM(Y442:Y444),"0")</f>
        <v>615.36</v>
      </c>
      <c r="Z446" s="37"/>
      <c r="AA446" s="550"/>
      <c r="AB446" s="550"/>
      <c r="AC446" s="550"/>
    </row>
    <row r="447" spans="1:68" ht="14.25" customHeight="1" x14ac:dyDescent="0.25">
      <c r="A447" s="563" t="s">
        <v>64</v>
      </c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2"/>
      <c r="P447" s="562"/>
      <c r="Q447" s="562"/>
      <c r="R447" s="562"/>
      <c r="S447" s="562"/>
      <c r="T447" s="562"/>
      <c r="U447" s="562"/>
      <c r="V447" s="562"/>
      <c r="W447" s="562"/>
      <c r="X447" s="562"/>
      <c r="Y447" s="562"/>
      <c r="Z447" s="562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9">
        <v>4680115883116</v>
      </c>
      <c r="E448" s="560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250</v>
      </c>
      <c r="Y448" s="548">
        <f t="shared" ref="Y448:Y453" si="53">IFERROR(IF(X448="",0,CEILING((X448/$H448),1)*$H448),"")</f>
        <v>253.44</v>
      </c>
      <c r="Z448" s="36">
        <f>IFERROR(IF(Y448=0,"",ROUNDUP(Y448/H448,0)*0.01196),"")</f>
        <v>0.57408000000000003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266.57196969696969</v>
      </c>
      <c r="BN448" s="64">
        <f t="shared" ref="BN448:BN453" si="55">IFERROR(Y448*I448/H448,"0")</f>
        <v>270.23999999999995</v>
      </c>
      <c r="BO448" s="64">
        <f t="shared" ref="BO448:BO453" si="56">IFERROR(1/J448*(X448/H448),"0")</f>
        <v>0.45527389277389274</v>
      </c>
      <c r="BP448" s="64">
        <f t="shared" ref="BP448:BP453" si="57">IFERROR(1/J448*(Y448/H448),"0")</f>
        <v>0.46153846153846156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9">
        <v>4680115883093</v>
      </c>
      <c r="E449" s="560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144</v>
      </c>
      <c r="Y449" s="548">
        <f t="shared" si="53"/>
        <v>147.84</v>
      </c>
      <c r="Z449" s="36">
        <f>IFERROR(IF(Y449=0,"",ROUNDUP(Y449/H449,0)*0.01196),"")</f>
        <v>0.33488000000000001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153.54545454545453</v>
      </c>
      <c r="BN449" s="64">
        <f t="shared" si="55"/>
        <v>157.63999999999999</v>
      </c>
      <c r="BO449" s="64">
        <f t="shared" si="56"/>
        <v>0.26223776223776224</v>
      </c>
      <c r="BP449" s="64">
        <f t="shared" si="57"/>
        <v>0.26923076923076927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9">
        <v>4680115883109</v>
      </c>
      <c r="E450" s="560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299</v>
      </c>
      <c r="Y450" s="548">
        <f t="shared" si="53"/>
        <v>300.96000000000004</v>
      </c>
      <c r="Z450" s="36">
        <f>IFERROR(IF(Y450=0,"",ROUNDUP(Y450/H450,0)*0.01196),"")</f>
        <v>0.68171999999999999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318.82007575757569</v>
      </c>
      <c r="BN450" s="64">
        <f t="shared" si="55"/>
        <v>320.91000000000003</v>
      </c>
      <c r="BO450" s="64">
        <f t="shared" si="56"/>
        <v>0.5445075757575758</v>
      </c>
      <c r="BP450" s="64">
        <f t="shared" si="57"/>
        <v>0.54807692307692313</v>
      </c>
    </row>
    <row r="451" spans="1:68" ht="27" customHeight="1" x14ac:dyDescent="0.25">
      <c r="A451" s="54" t="s">
        <v>705</v>
      </c>
      <c r="B451" s="54" t="s">
        <v>706</v>
      </c>
      <c r="C451" s="31">
        <v>4301031419</v>
      </c>
      <c r="D451" s="559">
        <v>4680115882072</v>
      </c>
      <c r="E451" s="560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4301031418</v>
      </c>
      <c r="D452" s="559">
        <v>4680115882102</v>
      </c>
      <c r="E452" s="560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4301031417</v>
      </c>
      <c r="D453" s="559">
        <v>4680115882096</v>
      </c>
      <c r="E453" s="560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3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9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70"/>
      <c r="P454" s="564" t="s">
        <v>75</v>
      </c>
      <c r="Q454" s="565"/>
      <c r="R454" s="565"/>
      <c r="S454" s="565"/>
      <c r="T454" s="565"/>
      <c r="U454" s="565"/>
      <c r="V454" s="566"/>
      <c r="W454" s="37" t="s">
        <v>76</v>
      </c>
      <c r="X454" s="549">
        <f>IFERROR(X448/H448,"0")+IFERROR(X449/H449,"0")+IFERROR(X450/H450,"0")+IFERROR(X451/H451,"0")+IFERROR(X452/H452,"0")+IFERROR(X453/H453,"0")</f>
        <v>131.25</v>
      </c>
      <c r="Y454" s="549">
        <f>IFERROR(Y448/H448,"0")+IFERROR(Y449/H449,"0")+IFERROR(Y450/H450,"0")+IFERROR(Y451/H451,"0")+IFERROR(Y452/H452,"0")+IFERROR(Y453/H453,"0")</f>
        <v>133</v>
      </c>
      <c r="Z454" s="549">
        <f>IFERROR(IF(Z448="",0,Z448),"0")+IFERROR(IF(Z449="",0,Z449),"0")+IFERROR(IF(Z450="",0,Z450),"0")+IFERROR(IF(Z451="",0,Z451),"0")+IFERROR(IF(Z452="",0,Z452),"0")+IFERROR(IF(Z453="",0,Z453),"0")</f>
        <v>1.5906799999999999</v>
      </c>
      <c r="AA454" s="550"/>
      <c r="AB454" s="550"/>
      <c r="AC454" s="550"/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70"/>
      <c r="P455" s="564" t="s">
        <v>75</v>
      </c>
      <c r="Q455" s="565"/>
      <c r="R455" s="565"/>
      <c r="S455" s="565"/>
      <c r="T455" s="565"/>
      <c r="U455" s="565"/>
      <c r="V455" s="566"/>
      <c r="W455" s="37" t="s">
        <v>69</v>
      </c>
      <c r="X455" s="549">
        <f>IFERROR(SUM(X448:X453),"0")</f>
        <v>693</v>
      </c>
      <c r="Y455" s="549">
        <f>IFERROR(SUM(Y448:Y453),"0")</f>
        <v>702.24</v>
      </c>
      <c r="Z455" s="37"/>
      <c r="AA455" s="550"/>
      <c r="AB455" s="550"/>
      <c r="AC455" s="550"/>
    </row>
    <row r="456" spans="1:68" ht="14.25" customHeight="1" x14ac:dyDescent="0.25">
      <c r="A456" s="563" t="s">
        <v>77</v>
      </c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2"/>
      <c r="P456" s="562"/>
      <c r="Q456" s="562"/>
      <c r="R456" s="562"/>
      <c r="S456" s="562"/>
      <c r="T456" s="562"/>
      <c r="U456" s="562"/>
      <c r="V456" s="562"/>
      <c r="W456" s="562"/>
      <c r="X456" s="562"/>
      <c r="Y456" s="562"/>
      <c r="Z456" s="562"/>
      <c r="AA456" s="543"/>
      <c r="AB456" s="543"/>
      <c r="AC456" s="543"/>
    </row>
    <row r="457" spans="1:68" ht="27" customHeight="1" x14ac:dyDescent="0.25">
      <c r="A457" s="54" t="s">
        <v>711</v>
      </c>
      <c r="B457" s="54" t="s">
        <v>712</v>
      </c>
      <c r="C457" s="31">
        <v>4301051064</v>
      </c>
      <c r="D457" s="559">
        <v>4680115883536</v>
      </c>
      <c r="E457" s="560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569"/>
      <c r="B458" s="562"/>
      <c r="C458" s="562"/>
      <c r="D458" s="562"/>
      <c r="E458" s="562"/>
      <c r="F458" s="562"/>
      <c r="G458" s="562"/>
      <c r="H458" s="562"/>
      <c r="I458" s="562"/>
      <c r="J458" s="562"/>
      <c r="K458" s="562"/>
      <c r="L458" s="562"/>
      <c r="M458" s="562"/>
      <c r="N458" s="562"/>
      <c r="O458" s="570"/>
      <c r="P458" s="564" t="s">
        <v>75</v>
      </c>
      <c r="Q458" s="565"/>
      <c r="R458" s="565"/>
      <c r="S458" s="565"/>
      <c r="T458" s="565"/>
      <c r="U458" s="565"/>
      <c r="V458" s="566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x14ac:dyDescent="0.2">
      <c r="A459" s="562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70"/>
      <c r="P459" s="564" t="s">
        <v>75</v>
      </c>
      <c r="Q459" s="565"/>
      <c r="R459" s="565"/>
      <c r="S459" s="565"/>
      <c r="T459" s="565"/>
      <c r="U459" s="565"/>
      <c r="V459" s="566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customHeight="1" x14ac:dyDescent="0.2">
      <c r="A460" s="641" t="s">
        <v>714</v>
      </c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642"/>
      <c r="Z460" s="642"/>
      <c r="AA460" s="48"/>
      <c r="AB460" s="48"/>
      <c r="AC460" s="48"/>
    </row>
    <row r="461" spans="1:68" ht="16.5" customHeight="1" x14ac:dyDescent="0.25">
      <c r="A461" s="561" t="s">
        <v>714</v>
      </c>
      <c r="B461" s="562"/>
      <c r="C461" s="562"/>
      <c r="D461" s="562"/>
      <c r="E461" s="562"/>
      <c r="F461" s="562"/>
      <c r="G461" s="562"/>
      <c r="H461" s="562"/>
      <c r="I461" s="562"/>
      <c r="J461" s="562"/>
      <c r="K461" s="562"/>
      <c r="L461" s="562"/>
      <c r="M461" s="562"/>
      <c r="N461" s="562"/>
      <c r="O461" s="562"/>
      <c r="P461" s="562"/>
      <c r="Q461" s="562"/>
      <c r="R461" s="562"/>
      <c r="S461" s="562"/>
      <c r="T461" s="562"/>
      <c r="U461" s="562"/>
      <c r="V461" s="562"/>
      <c r="W461" s="562"/>
      <c r="X461" s="562"/>
      <c r="Y461" s="562"/>
      <c r="Z461" s="562"/>
      <c r="AA461" s="542"/>
      <c r="AB461" s="542"/>
      <c r="AC461" s="542"/>
    </row>
    <row r="462" spans="1:68" ht="14.25" customHeight="1" x14ac:dyDescent="0.25">
      <c r="A462" s="563" t="s">
        <v>101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3"/>
      <c r="AB462" s="543"/>
      <c r="AC462" s="543"/>
    </row>
    <row r="463" spans="1:68" ht="27" customHeight="1" x14ac:dyDescent="0.25">
      <c r="A463" s="54" t="s">
        <v>715</v>
      </c>
      <c r="B463" s="54" t="s">
        <v>716</v>
      </c>
      <c r="C463" s="31">
        <v>4301011763</v>
      </c>
      <c r="D463" s="559">
        <v>4640242181011</v>
      </c>
      <c r="E463" s="560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1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718</v>
      </c>
      <c r="B464" s="54" t="s">
        <v>719</v>
      </c>
      <c r="C464" s="31">
        <v>4301011585</v>
      </c>
      <c r="D464" s="559">
        <v>4640242180441</v>
      </c>
      <c r="E464" s="560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4301011584</v>
      </c>
      <c r="D465" s="559">
        <v>4640242180564</v>
      </c>
      <c r="E465" s="560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 t="s">
        <v>105</v>
      </c>
      <c r="M465" s="33" t="s">
        <v>106</v>
      </c>
      <c r="N465" s="33"/>
      <c r="O465" s="32">
        <v>50</v>
      </c>
      <c r="P465" s="8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 t="s">
        <v>108</v>
      </c>
      <c r="AK465" s="68">
        <v>96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4301011764</v>
      </c>
      <c r="D466" s="559">
        <v>4640242181189</v>
      </c>
      <c r="E466" s="560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9"/>
      <c r="B467" s="562"/>
      <c r="C467" s="562"/>
      <c r="D467" s="562"/>
      <c r="E467" s="562"/>
      <c r="F467" s="562"/>
      <c r="G467" s="562"/>
      <c r="H467" s="562"/>
      <c r="I467" s="562"/>
      <c r="J467" s="562"/>
      <c r="K467" s="562"/>
      <c r="L467" s="562"/>
      <c r="M467" s="562"/>
      <c r="N467" s="562"/>
      <c r="O467" s="570"/>
      <c r="P467" s="564" t="s">
        <v>75</v>
      </c>
      <c r="Q467" s="565"/>
      <c r="R467" s="565"/>
      <c r="S467" s="565"/>
      <c r="T467" s="565"/>
      <c r="U467" s="565"/>
      <c r="V467" s="566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70"/>
      <c r="P468" s="564" t="s">
        <v>75</v>
      </c>
      <c r="Q468" s="565"/>
      <c r="R468" s="565"/>
      <c r="S468" s="565"/>
      <c r="T468" s="565"/>
      <c r="U468" s="565"/>
      <c r="V468" s="566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customHeight="1" x14ac:dyDescent="0.25">
      <c r="A469" s="563" t="s">
        <v>137</v>
      </c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2"/>
      <c r="P469" s="562"/>
      <c r="Q469" s="562"/>
      <c r="R469" s="562"/>
      <c r="S469" s="562"/>
      <c r="T469" s="562"/>
      <c r="U469" s="562"/>
      <c r="V469" s="562"/>
      <c r="W469" s="562"/>
      <c r="X469" s="562"/>
      <c r="Y469" s="562"/>
      <c r="Z469" s="562"/>
      <c r="AA469" s="543"/>
      <c r="AB469" s="543"/>
      <c r="AC469" s="543"/>
    </row>
    <row r="470" spans="1:68" ht="27" customHeight="1" x14ac:dyDescent="0.25">
      <c r="A470" s="54" t="s">
        <v>726</v>
      </c>
      <c r="B470" s="54" t="s">
        <v>727</v>
      </c>
      <c r="C470" s="31">
        <v>4301020400</v>
      </c>
      <c r="D470" s="559">
        <v>4640242180519</v>
      </c>
      <c r="E470" s="560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729</v>
      </c>
      <c r="B471" s="54" t="s">
        <v>730</v>
      </c>
      <c r="C471" s="31">
        <v>4301020260</v>
      </c>
      <c r="D471" s="559">
        <v>4640242180526</v>
      </c>
      <c r="E471" s="560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3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9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70"/>
      <c r="P472" s="564" t="s">
        <v>75</v>
      </c>
      <c r="Q472" s="565"/>
      <c r="R472" s="565"/>
      <c r="S472" s="565"/>
      <c r="T472" s="565"/>
      <c r="U472" s="565"/>
      <c r="V472" s="566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70"/>
      <c r="P473" s="564" t="s">
        <v>75</v>
      </c>
      <c r="Q473" s="565"/>
      <c r="R473" s="565"/>
      <c r="S473" s="565"/>
      <c r="T473" s="565"/>
      <c r="U473" s="565"/>
      <c r="V473" s="566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customHeight="1" x14ac:dyDescent="0.25">
      <c r="A474" s="563" t="s">
        <v>64</v>
      </c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2"/>
      <c r="P474" s="562"/>
      <c r="Q474" s="562"/>
      <c r="R474" s="562"/>
      <c r="S474" s="562"/>
      <c r="T474" s="562"/>
      <c r="U474" s="562"/>
      <c r="V474" s="562"/>
      <c r="W474" s="562"/>
      <c r="X474" s="562"/>
      <c r="Y474" s="562"/>
      <c r="Z474" s="562"/>
      <c r="AA474" s="543"/>
      <c r="AB474" s="543"/>
      <c r="AC474" s="543"/>
    </row>
    <row r="475" spans="1:68" ht="27" customHeight="1" x14ac:dyDescent="0.25">
      <c r="A475" s="54" t="s">
        <v>732</v>
      </c>
      <c r="B475" s="54" t="s">
        <v>733</v>
      </c>
      <c r="C475" s="31">
        <v>4301031244</v>
      </c>
      <c r="D475" s="559">
        <v>4640242180595</v>
      </c>
      <c r="E475" s="560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/>
      <c r="M475" s="33" t="s">
        <v>68</v>
      </c>
      <c r="N475" s="33"/>
      <c r="O475" s="32">
        <v>40</v>
      </c>
      <c r="P475" s="79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9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70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70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customHeight="1" x14ac:dyDescent="0.25">
      <c r="A478" s="563" t="s">
        <v>77</v>
      </c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2"/>
      <c r="P478" s="562"/>
      <c r="Q478" s="562"/>
      <c r="R478" s="562"/>
      <c r="S478" s="562"/>
      <c r="T478" s="562"/>
      <c r="U478" s="562"/>
      <c r="V478" s="562"/>
      <c r="W478" s="562"/>
      <c r="X478" s="562"/>
      <c r="Y478" s="562"/>
      <c r="Z478" s="562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9">
        <v>4640242180533</v>
      </c>
      <c r="E479" s="560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6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9"/>
      <c r="B480" s="562"/>
      <c r="C480" s="562"/>
      <c r="D480" s="562"/>
      <c r="E480" s="562"/>
      <c r="F480" s="562"/>
      <c r="G480" s="562"/>
      <c r="H480" s="562"/>
      <c r="I480" s="562"/>
      <c r="J480" s="562"/>
      <c r="K480" s="562"/>
      <c r="L480" s="562"/>
      <c r="M480" s="562"/>
      <c r="N480" s="562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70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3" t="s">
        <v>162</v>
      </c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2"/>
      <c r="P482" s="562"/>
      <c r="Q482" s="562"/>
      <c r="R482" s="562"/>
      <c r="S482" s="562"/>
      <c r="T482" s="562"/>
      <c r="U482" s="562"/>
      <c r="V482" s="562"/>
      <c r="W482" s="562"/>
      <c r="X482" s="562"/>
      <c r="Y482" s="562"/>
      <c r="Z482" s="562"/>
      <c r="AA482" s="543"/>
      <c r="AB482" s="543"/>
      <c r="AC482" s="543"/>
    </row>
    <row r="483" spans="1:68" ht="27" customHeight="1" x14ac:dyDescent="0.25">
      <c r="A483" s="54" t="s">
        <v>738</v>
      </c>
      <c r="B483" s="54" t="s">
        <v>739</v>
      </c>
      <c r="C483" s="31">
        <v>4301060491</v>
      </c>
      <c r="D483" s="559">
        <v>4640242180120</v>
      </c>
      <c r="E483" s="560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0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741</v>
      </c>
      <c r="B484" s="54" t="s">
        <v>742</v>
      </c>
      <c r="C484" s="31">
        <v>4301060493</v>
      </c>
      <c r="D484" s="559">
        <v>4640242180137</v>
      </c>
      <c r="E484" s="560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9"/>
      <c r="B485" s="562"/>
      <c r="C485" s="562"/>
      <c r="D485" s="562"/>
      <c r="E485" s="562"/>
      <c r="F485" s="562"/>
      <c r="G485" s="562"/>
      <c r="H485" s="562"/>
      <c r="I485" s="562"/>
      <c r="J485" s="562"/>
      <c r="K485" s="562"/>
      <c r="L485" s="562"/>
      <c r="M485" s="562"/>
      <c r="N485" s="562"/>
      <c r="O485" s="570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70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1" t="s">
        <v>744</v>
      </c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2"/>
      <c r="P487" s="562"/>
      <c r="Q487" s="562"/>
      <c r="R487" s="562"/>
      <c r="S487" s="562"/>
      <c r="T487" s="562"/>
      <c r="U487" s="562"/>
      <c r="V487" s="562"/>
      <c r="W487" s="562"/>
      <c r="X487" s="562"/>
      <c r="Y487" s="562"/>
      <c r="Z487" s="562"/>
      <c r="AA487" s="542"/>
      <c r="AB487" s="542"/>
      <c r="AC487" s="542"/>
    </row>
    <row r="488" spans="1:68" ht="14.25" customHeight="1" x14ac:dyDescent="0.25">
      <c r="A488" s="563" t="s">
        <v>137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3"/>
      <c r="AB488" s="543"/>
      <c r="AC488" s="543"/>
    </row>
    <row r="489" spans="1:68" ht="27" customHeight="1" x14ac:dyDescent="0.25">
      <c r="A489" s="54" t="s">
        <v>745</v>
      </c>
      <c r="B489" s="54" t="s">
        <v>746</v>
      </c>
      <c r="C489" s="31">
        <v>4301020314</v>
      </c>
      <c r="D489" s="559">
        <v>4640242180090</v>
      </c>
      <c r="E489" s="560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9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70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70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5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721"/>
      <c r="P492" s="711" t="s">
        <v>748</v>
      </c>
      <c r="Q492" s="671"/>
      <c r="R492" s="671"/>
      <c r="S492" s="671"/>
      <c r="T492" s="671"/>
      <c r="U492" s="671"/>
      <c r="V492" s="672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9005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9159.01</v>
      </c>
      <c r="Z492" s="37"/>
      <c r="AA492" s="550"/>
      <c r="AB492" s="550"/>
      <c r="AC492" s="550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1"/>
      <c r="P493" s="711" t="s">
        <v>749</v>
      </c>
      <c r="Q493" s="671"/>
      <c r="R493" s="671"/>
      <c r="S493" s="671"/>
      <c r="T493" s="671"/>
      <c r="U493" s="671"/>
      <c r="V493" s="672"/>
      <c r="W493" s="37" t="s">
        <v>69</v>
      </c>
      <c r="X493" s="549">
        <f>IFERROR(SUM(BM22:BM489),"0")</f>
        <v>9681.5649522680505</v>
      </c>
      <c r="Y493" s="549">
        <f>IFERROR(SUM(BN22:BN489),"0")</f>
        <v>9846.5389999999989</v>
      </c>
      <c r="Z493" s="37"/>
      <c r="AA493" s="550"/>
      <c r="AB493" s="550"/>
      <c r="AC493" s="550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1"/>
      <c r="P494" s="711" t="s">
        <v>750</v>
      </c>
      <c r="Q494" s="671"/>
      <c r="R494" s="671"/>
      <c r="S494" s="671"/>
      <c r="T494" s="671"/>
      <c r="U494" s="671"/>
      <c r="V494" s="672"/>
      <c r="W494" s="37" t="s">
        <v>751</v>
      </c>
      <c r="X494" s="38">
        <f>ROUNDUP(SUM(BO22:BO489),0)</f>
        <v>16</v>
      </c>
      <c r="Y494" s="38">
        <f>ROUNDUP(SUM(BP22:BP489),0)</f>
        <v>16</v>
      </c>
      <c r="Z494" s="37"/>
      <c r="AA494" s="550"/>
      <c r="AB494" s="550"/>
      <c r="AC494" s="550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1"/>
      <c r="P495" s="711" t="s">
        <v>752</v>
      </c>
      <c r="Q495" s="671"/>
      <c r="R495" s="671"/>
      <c r="S495" s="671"/>
      <c r="T495" s="671"/>
      <c r="U495" s="671"/>
      <c r="V495" s="672"/>
      <c r="W495" s="37" t="s">
        <v>69</v>
      </c>
      <c r="X495" s="549">
        <f>GrossWeightTotal+PalletQtyTotal*25</f>
        <v>10081.564952268051</v>
      </c>
      <c r="Y495" s="549">
        <f>GrossWeightTotalR+PalletQtyTotalR*25</f>
        <v>10246.538999999999</v>
      </c>
      <c r="Z495" s="37"/>
      <c r="AA495" s="550"/>
      <c r="AB495" s="550"/>
      <c r="AC495" s="550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1"/>
      <c r="P496" s="711" t="s">
        <v>753</v>
      </c>
      <c r="Q496" s="671"/>
      <c r="R496" s="671"/>
      <c r="S496" s="671"/>
      <c r="T496" s="671"/>
      <c r="U496" s="671"/>
      <c r="V496" s="672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1606.1081756619042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1636</v>
      </c>
      <c r="Z496" s="37"/>
      <c r="AA496" s="550"/>
      <c r="AB496" s="550"/>
      <c r="AC496" s="550"/>
    </row>
    <row r="497" spans="1:32" ht="14.25" customHeight="1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1"/>
      <c r="P497" s="711" t="s">
        <v>754</v>
      </c>
      <c r="Q497" s="671"/>
      <c r="R497" s="671"/>
      <c r="S497" s="671"/>
      <c r="T497" s="671"/>
      <c r="U497" s="671"/>
      <c r="V497" s="672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18.685859999999998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7" t="s">
        <v>99</v>
      </c>
      <c r="D499" s="605"/>
      <c r="E499" s="605"/>
      <c r="F499" s="605"/>
      <c r="G499" s="605"/>
      <c r="H499" s="606"/>
      <c r="I499" s="597" t="s">
        <v>273</v>
      </c>
      <c r="J499" s="605"/>
      <c r="K499" s="605"/>
      <c r="L499" s="605"/>
      <c r="M499" s="605"/>
      <c r="N499" s="605"/>
      <c r="O499" s="605"/>
      <c r="P499" s="605"/>
      <c r="Q499" s="605"/>
      <c r="R499" s="606"/>
      <c r="S499" s="597" t="s">
        <v>554</v>
      </c>
      <c r="T499" s="606"/>
      <c r="U499" s="597" t="s">
        <v>608</v>
      </c>
      <c r="V499" s="605"/>
      <c r="W499" s="606"/>
      <c r="X499" s="544" t="s">
        <v>659</v>
      </c>
      <c r="Y499" s="597" t="s">
        <v>714</v>
      </c>
      <c r="Z499" s="606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7" t="s">
        <v>63</v>
      </c>
      <c r="C500" s="597" t="s">
        <v>100</v>
      </c>
      <c r="D500" s="597" t="s">
        <v>118</v>
      </c>
      <c r="E500" s="597" t="s">
        <v>169</v>
      </c>
      <c r="F500" s="597" t="s">
        <v>193</v>
      </c>
      <c r="G500" s="597" t="s">
        <v>230</v>
      </c>
      <c r="H500" s="597" t="s">
        <v>99</v>
      </c>
      <c r="I500" s="597" t="s">
        <v>274</v>
      </c>
      <c r="J500" s="597" t="s">
        <v>324</v>
      </c>
      <c r="K500" s="597" t="s">
        <v>383</v>
      </c>
      <c r="L500" s="597" t="s">
        <v>423</v>
      </c>
      <c r="M500" s="597" t="s">
        <v>439</v>
      </c>
      <c r="N500" s="545"/>
      <c r="O500" s="597" t="s">
        <v>450</v>
      </c>
      <c r="P500" s="597" t="s">
        <v>459</v>
      </c>
      <c r="Q500" s="597" t="s">
        <v>472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714</v>
      </c>
      <c r="Z500" s="597" t="s">
        <v>744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248.4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351.2</v>
      </c>
      <c r="E502" s="46">
        <f>IFERROR(Y85*1,"0")+IFERROR(Y86*1,"0")+IFERROR(Y87*1,"0")+IFERROR(Y88*1,"0")+IFERROR(Y92*1,"0")+IFERROR(Y93*1,"0")+IFERROR(Y94*1,"0")+IFERROR(Y95*1,"0")</f>
        <v>329.40000000000003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1171.2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94.62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1318.8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12.239999999999998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112.8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36.83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1935</v>
      </c>
      <c r="T502" s="46">
        <f>IFERROR(Y373*1,"0")+IFERROR(Y374*1,"0")+IFERROR(Y378*1,"0")+IFERROR(Y379*1,"0")+IFERROR(Y383*1,"0")+IFERROR(Y384*1,"0")+IFERROR(Y385*1,"0")</f>
        <v>513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46">
        <f>IFERROR(Y409*1,"0")+IFERROR(Y413*1,"0")+IFERROR(Y414*1,"0")+IFERROR(Y415*1,"0")+IFERROR(Y416*1,"0")</f>
        <v>0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3035.5200000000004</v>
      </c>
      <c r="Y502" s="46">
        <f>IFERROR(Y463*1,"0")+IFERROR(Y464*1,"0")+IFERROR(Y465*1,"0")+IFERROR(Y466*1,"0")+IFERROR(Y470*1,"0")+IFERROR(Y471*1,"0")+IFERROR(Y475*1,"0")+IFERROR(Y479*1,"0")+IFERROR(Y483*1,"0")+IFERROR(Y484*1,"0")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U01iM9xRYqNWWWM9DJf+f4AvNKcnmF9fJyX5yE1qC09FEjf01NhjPt2iAYdbpjAlkceOpqhGHy5YV4XcoUIL4w==" saltValue="sT5Q0aC1kk/fJfivtTXM/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D218:E218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A107:Z107"/>
    <mergeCell ref="A51:Z51"/>
    <mergeCell ref="D341:E341"/>
    <mergeCell ref="D170:E170"/>
    <mergeCell ref="P72:T72"/>
    <mergeCell ref="A58:O59"/>
    <mergeCell ref="P484:T484"/>
    <mergeCell ref="A478:Z478"/>
    <mergeCell ref="W500:W501"/>
    <mergeCell ref="P436:T436"/>
    <mergeCell ref="P145:V145"/>
    <mergeCell ref="D29:E29"/>
    <mergeCell ref="D23:E23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133:E133"/>
    <mergeCell ref="P381:V381"/>
    <mergeCell ref="A231:Z231"/>
    <mergeCell ref="D54:E54"/>
    <mergeCell ref="P185:V185"/>
    <mergeCell ref="D483:E483"/>
    <mergeCell ref="D57:E57"/>
    <mergeCell ref="AD17:AF18"/>
    <mergeCell ref="A310:O311"/>
    <mergeCell ref="D101:E101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64:O65"/>
    <mergeCell ref="D321:E321"/>
    <mergeCell ref="P278:T278"/>
    <mergeCell ref="D150:E150"/>
    <mergeCell ref="P129:V129"/>
    <mergeCell ref="P101:T101"/>
    <mergeCell ref="P465:T465"/>
    <mergeCell ref="D215:E215"/>
    <mergeCell ref="P250:V2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AA17:AA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38:E438"/>
    <mergeCell ref="P395:T395"/>
    <mergeCell ref="D359:E359"/>
    <mergeCell ref="H17:H18"/>
    <mergeCell ref="P261:T261"/>
    <mergeCell ref="D204:E204"/>
    <mergeCell ref="P217:T217"/>
    <mergeCell ref="D198:E198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A419:Z419"/>
    <mergeCell ref="P204:T204"/>
    <mergeCell ref="P306:T306"/>
    <mergeCell ref="A38:Z38"/>
    <mergeCell ref="P455:V455"/>
    <mergeCell ref="A147:Z147"/>
    <mergeCell ref="A454:O455"/>
    <mergeCell ref="P249:V249"/>
    <mergeCell ref="P207:T207"/>
    <mergeCell ref="A372:Z372"/>
    <mergeCell ref="P299:T299"/>
    <mergeCell ref="D138:E138"/>
    <mergeCell ref="T5:U5"/>
    <mergeCell ref="V5:W5"/>
    <mergeCell ref="P374:T374"/>
    <mergeCell ref="P203:T203"/>
    <mergeCell ref="A319:Z319"/>
    <mergeCell ref="D233:E233"/>
    <mergeCell ref="D111:E111"/>
    <mergeCell ref="P212:V212"/>
    <mergeCell ref="D409:E409"/>
    <mergeCell ref="A142:Z142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M500:M501"/>
    <mergeCell ref="A259:Z259"/>
    <mergeCell ref="O500:O501"/>
    <mergeCell ref="A126:Z126"/>
    <mergeCell ref="A424:Z424"/>
    <mergeCell ref="P228:V228"/>
    <mergeCell ref="A12:M12"/>
    <mergeCell ref="P355:V355"/>
    <mergeCell ref="P293:V293"/>
    <mergeCell ref="A482:Z482"/>
    <mergeCell ref="P397:T397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D335:E335"/>
    <mergeCell ref="D68:E68"/>
    <mergeCell ref="A375:O376"/>
    <mergeCell ref="D188:E188"/>
    <mergeCell ref="P322:T322"/>
    <mergeCell ref="D132:E132"/>
    <mergeCell ref="D399:E399"/>
    <mergeCell ref="A439:O440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A441:Z441"/>
    <mergeCell ref="P245:V245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73:T73"/>
    <mergeCell ref="P437:T437"/>
    <mergeCell ref="P315:T315"/>
    <mergeCell ref="P144:T144"/>
    <mergeCell ref="D174:E174"/>
    <mergeCell ref="A83:Z83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P393:T393"/>
    <mergeCell ref="D374:E374"/>
    <mergeCell ref="A338:Z338"/>
    <mergeCell ref="D203:E203"/>
    <mergeCell ref="P165:V165"/>
    <mergeCell ref="P232:T23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69 X171 X176 X194 X203:X208 X210 X214:X217 X219:X222 X239 X261 X263 X279:X280 X305 X313 X321 X328:X329 X341:X342 X348:X350 X358 X373 X378 X383:X384 X393 X427 X430:X431 X433 X442 X444 X448:X450 X465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LI8qPdIK8Jg6kmX8HSbDxws9WoiU1jQ7pHTt+d3QXRZybGGnKHdfYdn3y6WMGK8jUKEM/QwVW3q4keIcfp7DeQ==" saltValue="VzygxUSxri78WFZ5n2+pc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2025-12-19T08:03:06Z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