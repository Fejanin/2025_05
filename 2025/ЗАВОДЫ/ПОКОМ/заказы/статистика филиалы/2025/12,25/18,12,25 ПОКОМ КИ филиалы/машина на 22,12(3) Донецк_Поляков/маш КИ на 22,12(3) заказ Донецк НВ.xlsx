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машина на 22,12(3) Донецк_Поляков\"/>
    </mc:Choice>
  </mc:AlternateContent>
  <xr:revisionPtr revIDLastSave="0" documentId="13_ncr:1_{395D3F5E-F5C6-4E97-99C7-1A9EEB98743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Y467" i="1" s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Y154" i="1" s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Y145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492" i="1" s="1"/>
  <c r="X24" i="1"/>
  <c r="X496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2" i="1"/>
  <c r="X493" i="1"/>
  <c r="X494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Z44" i="1" s="1"/>
  <c r="BN41" i="1"/>
  <c r="BP41" i="1"/>
  <c r="Z43" i="1"/>
  <c r="BN43" i="1"/>
  <c r="Y44" i="1"/>
  <c r="Z47" i="1"/>
  <c r="Z48" i="1" s="1"/>
  <c r="D502" i="1"/>
  <c r="Y59" i="1"/>
  <c r="BP52" i="1"/>
  <c r="BN52" i="1"/>
  <c r="Z52" i="1"/>
  <c r="BP56" i="1"/>
  <c r="BN56" i="1"/>
  <c r="Z56" i="1"/>
  <c r="Y65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Z81" i="1" s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Y134" i="1"/>
  <c r="H502" i="1"/>
  <c r="BP144" i="1"/>
  <c r="BN144" i="1"/>
  <c r="Z144" i="1"/>
  <c r="Z145" i="1" s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Q502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Z323" i="1"/>
  <c r="BP321" i="1"/>
  <c r="BN321" i="1"/>
  <c r="Z321" i="1"/>
  <c r="Y323" i="1"/>
  <c r="F9" i="1"/>
  <c r="J9" i="1"/>
  <c r="Y45" i="1"/>
  <c r="Y492" i="1" s="1"/>
  <c r="Y48" i="1"/>
  <c r="BP47" i="1"/>
  <c r="BN47" i="1"/>
  <c r="Y493" i="1" s="1"/>
  <c r="BP54" i="1"/>
  <c r="BN54" i="1"/>
  <c r="Z54" i="1"/>
  <c r="Y58" i="1"/>
  <c r="BP62" i="1"/>
  <c r="Y494" i="1" s="1"/>
  <c r="BN62" i="1"/>
  <c r="Z62" i="1"/>
  <c r="Z64" i="1" s="1"/>
  <c r="BP74" i="1"/>
  <c r="BN74" i="1"/>
  <c r="Z74" i="1"/>
  <c r="BP87" i="1"/>
  <c r="BN87" i="1"/>
  <c r="Z87" i="1"/>
  <c r="BP95" i="1"/>
  <c r="BN95" i="1"/>
  <c r="Z95" i="1"/>
  <c r="Y97" i="1"/>
  <c r="F502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J502" i="1"/>
  <c r="Y195" i="1"/>
  <c r="Y212" i="1"/>
  <c r="BP203" i="1"/>
  <c r="BN203" i="1"/>
  <c r="BP205" i="1"/>
  <c r="BN205" i="1"/>
  <c r="Z205" i="1"/>
  <c r="Z211" i="1" s="1"/>
  <c r="BP209" i="1"/>
  <c r="BN209" i="1"/>
  <c r="Z209" i="1"/>
  <c r="Y224" i="1"/>
  <c r="BP217" i="1"/>
  <c r="BN217" i="1"/>
  <c r="Z217" i="1"/>
  <c r="Z223" i="1" s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Z301" i="1" s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BP349" i="1"/>
  <c r="BN349" i="1"/>
  <c r="Z349" i="1"/>
  <c r="Z355" i="1" s="1"/>
  <c r="Y355" i="1"/>
  <c r="BP353" i="1"/>
  <c r="BN353" i="1"/>
  <c r="Z353" i="1"/>
  <c r="BP392" i="1"/>
  <c r="BN392" i="1"/>
  <c r="Z392" i="1"/>
  <c r="Z400" i="1" s="1"/>
  <c r="U502" i="1"/>
  <c r="BP396" i="1"/>
  <c r="BN396" i="1"/>
  <c r="Z396" i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Z439" i="1" s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BP398" i="1"/>
  <c r="BN398" i="1"/>
  <c r="Z398" i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Z472" i="1" s="1"/>
  <c r="Y472" i="1"/>
  <c r="Z485" i="1"/>
  <c r="Y502" i="1"/>
  <c r="Y356" i="1"/>
  <c r="T502" i="1"/>
  <c r="Y375" i="1"/>
  <c r="X502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Z467" i="1" s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Y495" i="1" l="1"/>
  <c r="Z336" i="1"/>
  <c r="Z266" i="1"/>
  <c r="Z241" i="1"/>
  <c r="Z105" i="1"/>
  <c r="Z154" i="1"/>
  <c r="Z32" i="1"/>
  <c r="Z497" i="1" s="1"/>
  <c r="X495" i="1"/>
  <c r="Z454" i="1"/>
  <c r="Z417" i="1"/>
  <c r="Z274" i="1"/>
  <c r="Z257" i="1"/>
  <c r="Z179" i="1"/>
  <c r="Z317" i="1"/>
  <c r="Z96" i="1"/>
  <c r="Z89" i="1"/>
  <c r="Z76" i="1"/>
  <c r="Z58" i="1"/>
  <c r="Y496" i="1"/>
</calcChain>
</file>

<file path=xl/sharedStrings.xml><?xml version="1.0" encoding="utf-8"?>
<sst xmlns="http://schemas.openxmlformats.org/spreadsheetml/2006/main" count="2301" uniqueCount="774">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</sst>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69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0" t="s">
        <v>8</v>
      </c>
      <c r="B5" s="671"/>
      <c r="C5" s="672"/>
      <c r="D5" s="633"/>
      <c r="E5" s="634"/>
      <c r="F5" s="837" t="s">
        <v>9</v>
      </c>
      <c r="G5" s="672"/>
      <c r="H5" s="633"/>
      <c r="I5" s="781"/>
      <c r="J5" s="781"/>
      <c r="K5" s="781"/>
      <c r="L5" s="781"/>
      <c r="M5" s="634"/>
      <c r="N5" s="58"/>
      <c r="P5" s="24" t="s">
        <v>10</v>
      </c>
      <c r="Q5" s="849">
        <v>46013</v>
      </c>
      <c r="R5" s="668"/>
      <c r="T5" s="720" t="s">
        <v>11</v>
      </c>
      <c r="U5" s="721"/>
      <c r="V5" s="722" t="s">
        <v>12</v>
      </c>
      <c r="W5" s="668"/>
      <c r="AB5" s="51"/>
      <c r="AC5" s="51"/>
      <c r="AD5" s="51"/>
      <c r="AE5" s="51"/>
    </row>
    <row r="6" spans="1:32" s="541" customFormat="1" ht="24" customHeight="1" x14ac:dyDescent="0.2">
      <c r="A6" s="670" t="s">
        <v>13</v>
      </c>
      <c r="B6" s="671"/>
      <c r="C6" s="672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Понедельник</v>
      </c>
      <c r="R6" s="560"/>
      <c r="T6" s="726" t="s">
        <v>16</v>
      </c>
      <c r="U6" s="721"/>
      <c r="V6" s="768" t="s">
        <v>17</v>
      </c>
      <c r="W6" s="60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2"/>
      <c r="U7" s="721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2">
        <v>0.41666666666666669</v>
      </c>
      <c r="R8" s="610"/>
      <c r="T8" s="562"/>
      <c r="U8" s="721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1"/>
      <c r="E9" s="568"/>
      <c r="F9" s="6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9"/>
      <c r="P9" s="26" t="s">
        <v>21</v>
      </c>
      <c r="Q9" s="665"/>
      <c r="R9" s="666"/>
      <c r="T9" s="562"/>
      <c r="U9" s="721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1"/>
      <c r="E10" s="568"/>
      <c r="F10" s="6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0"/>
      <c r="P10" s="26" t="s">
        <v>22</v>
      </c>
      <c r="Q10" s="727"/>
      <c r="R10" s="728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5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2"/>
      <c r="R12" s="610"/>
      <c r="S12" s="23"/>
      <c r="U12" s="24"/>
      <c r="V12" s="629"/>
      <c r="W12" s="562"/>
      <c r="AB12" s="51"/>
      <c r="AC12" s="51"/>
      <c r="AD12" s="51"/>
      <c r="AE12" s="51"/>
    </row>
    <row r="13" spans="1:32" s="541" customFormat="1" ht="23.25" customHeight="1" x14ac:dyDescent="0.2">
      <c r="A13" s="715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4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5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3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1" t="s">
        <v>36</v>
      </c>
      <c r="B17" s="591" t="s">
        <v>37</v>
      </c>
      <c r="C17" s="687" t="s">
        <v>38</v>
      </c>
      <c r="D17" s="591" t="s">
        <v>39</v>
      </c>
      <c r="E17" s="652"/>
      <c r="F17" s="591" t="s">
        <v>40</v>
      </c>
      <c r="G17" s="591" t="s">
        <v>41</v>
      </c>
      <c r="H17" s="591" t="s">
        <v>42</v>
      </c>
      <c r="I17" s="591" t="s">
        <v>43</v>
      </c>
      <c r="J17" s="591" t="s">
        <v>44</v>
      </c>
      <c r="K17" s="591" t="s">
        <v>45</v>
      </c>
      <c r="L17" s="591" t="s">
        <v>46</v>
      </c>
      <c r="M17" s="591" t="s">
        <v>47</v>
      </c>
      <c r="N17" s="591" t="s">
        <v>48</v>
      </c>
      <c r="O17" s="591" t="s">
        <v>49</v>
      </c>
      <c r="P17" s="591" t="s">
        <v>50</v>
      </c>
      <c r="Q17" s="651"/>
      <c r="R17" s="651"/>
      <c r="S17" s="651"/>
      <c r="T17" s="652"/>
      <c r="U17" s="863" t="s">
        <v>51</v>
      </c>
      <c r="V17" s="672"/>
      <c r="W17" s="591" t="s">
        <v>52</v>
      </c>
      <c r="X17" s="591" t="s">
        <v>53</v>
      </c>
      <c r="Y17" s="864" t="s">
        <v>54</v>
      </c>
      <c r="Z17" s="779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2"/>
      <c r="B18" s="592"/>
      <c r="C18" s="592"/>
      <c r="D18" s="653"/>
      <c r="E18" s="655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2"/>
      <c r="X18" s="592"/>
      <c r="Y18" s="865"/>
      <c r="Z18" s="780"/>
      <c r="AA18" s="761"/>
      <c r="AB18" s="761"/>
      <c r="AC18" s="761"/>
      <c r="AD18" s="834"/>
      <c r="AE18" s="835"/>
      <c r="AF18" s="836"/>
      <c r="AG18" s="66"/>
      <c r="BD18" s="65"/>
    </row>
    <row r="19" spans="1:68" ht="27.75" customHeight="1" x14ac:dyDescent="0.2">
      <c r="A19" s="641" t="s">
        <v>63</v>
      </c>
      <c r="B19" s="642"/>
      <c r="C19" s="642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2"/>
      <c r="Q19" s="642"/>
      <c r="R19" s="642"/>
      <c r="S19" s="642"/>
      <c r="T19" s="642"/>
      <c r="U19" s="642"/>
      <c r="V19" s="642"/>
      <c r="W19" s="642"/>
      <c r="X19" s="642"/>
      <c r="Y19" s="642"/>
      <c r="Z19" s="642"/>
      <c r="AA19" s="48"/>
      <c r="AB19" s="48"/>
      <c r="AC19" s="48"/>
    </row>
    <row r="20" spans="1:68" ht="16.5" customHeight="1" x14ac:dyDescent="0.25">
      <c r="A20" s="561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2"/>
      <c r="AB20" s="542"/>
      <c r="AC20" s="542"/>
    </row>
    <row r="21" spans="1:68" ht="14.25" customHeight="1" x14ac:dyDescent="0.25">
      <c r="A21" s="563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9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9">
        <v>4607091388244</v>
      </c>
      <c r="E31" s="560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9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93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9">
        <v>4607091388503</v>
      </c>
      <c r="E35" s="560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9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1" t="s">
        <v>99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48"/>
      <c r="AB38" s="48"/>
      <c r="AC38" s="48"/>
    </row>
    <row r="39" spans="1:68" ht="16.5" customHeight="1" x14ac:dyDescent="0.25">
      <c r="A39" s="561" t="s">
        <v>100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2"/>
      <c r="AB39" s="542"/>
      <c r="AC39" s="542"/>
    </row>
    <row r="40" spans="1:68" ht="14.25" customHeight="1" x14ac:dyDescent="0.25">
      <c r="A40" s="563" t="s">
        <v>101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9">
        <v>4607091385670</v>
      </c>
      <c r="E41" s="560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59">
        <v>4680115882539</v>
      </c>
      <c r="E42" s="560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59">
        <v>4607091385687</v>
      </c>
      <c r="E43" s="560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3"/>
      <c r="AB46" s="543"/>
      <c r="AC46" s="543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59">
        <v>4680115884915</v>
      </c>
      <c r="E47" s="560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9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1" t="s">
        <v>118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2"/>
      <c r="AB50" s="542"/>
      <c r="AC50" s="542"/>
    </row>
    <row r="51" spans="1:68" ht="14.25" customHeight="1" x14ac:dyDescent="0.25">
      <c r="A51" s="563" t="s">
        <v>101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9">
        <v>4680115885882</v>
      </c>
      <c r="E52" s="560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9">
        <v>4680115881426</v>
      </c>
      <c r="E53" s="560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59">
        <v>4680115880283</v>
      </c>
      <c r="E54" s="560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9">
        <v>4680115881525</v>
      </c>
      <c r="E55" s="560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59">
        <v>4680115885899</v>
      </c>
      <c r="E56" s="560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9">
        <v>4680115881419</v>
      </c>
      <c r="E57" s="560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customHeight="1" x14ac:dyDescent="0.25">
      <c r="A60" s="563" t="s">
        <v>137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9">
        <v>4680115881440</v>
      </c>
      <c r="E61" s="560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59">
        <v>4680115885950</v>
      </c>
      <c r="E62" s="560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9">
        <v>4680115881433</v>
      </c>
      <c r="E63" s="560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3"/>
      <c r="AB66" s="543"/>
      <c r="AC66" s="543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59">
        <v>4680115885073</v>
      </c>
      <c r="E67" s="560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59">
        <v>4680115885097</v>
      </c>
      <c r="E68" s="560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9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63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3"/>
      <c r="AB71" s="543"/>
      <c r="AC71" s="543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59">
        <v>4680115885769</v>
      </c>
      <c r="E72" s="560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59">
        <v>4680115884311</v>
      </c>
      <c r="E73" s="560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59">
        <v>4680115885929</v>
      </c>
      <c r="E74" s="560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59">
        <v>4680115884403</v>
      </c>
      <c r="E75" s="560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9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63" t="s">
        <v>162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9">
        <v>4680115881532</v>
      </c>
      <c r="E79" s="560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9">
        <v>4680115881464</v>
      </c>
      <c r="E80" s="560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customHeight="1" x14ac:dyDescent="0.25">
      <c r="A83" s="561" t="s">
        <v>169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2"/>
      <c r="AB83" s="542"/>
      <c r="AC83" s="542"/>
    </row>
    <row r="84" spans="1:68" ht="14.25" customHeight="1" x14ac:dyDescent="0.25">
      <c r="A84" s="563" t="s">
        <v>101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9">
        <v>4680115881327</v>
      </c>
      <c r="E85" s="560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59">
        <v>4680115887732</v>
      </c>
      <c r="E86" s="560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59">
        <v>4680115881518</v>
      </c>
      <c r="E87" s="560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9">
        <v>4680115881303</v>
      </c>
      <c r="E88" s="560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49">
        <f>IFERROR(X85/H85,"0")+IFERROR(X86/H86,"0")+IFERROR(X87/H87,"0")+IFERROR(X88/H88,"0")</f>
        <v>0</v>
      </c>
      <c r="Y89" s="549">
        <f>IFERROR(Y85/H85,"0")+IFERROR(Y86/H86,"0")+IFERROR(Y87/H87,"0")+IFERROR(Y88/H88,"0")</f>
        <v>0</v>
      </c>
      <c r="Z89" s="549">
        <f>IFERROR(IF(Z85="",0,Z85),"0")+IFERROR(IF(Z86="",0,Z86),"0")+IFERROR(IF(Z87="",0,Z87),"0")+IFERROR(IF(Z88="",0,Z88),"0")</f>
        <v>0</v>
      </c>
      <c r="AA89" s="550"/>
      <c r="AB89" s="550"/>
      <c r="AC89" s="550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49">
        <f>IFERROR(SUM(X85:X88),"0")</f>
        <v>0</v>
      </c>
      <c r="Y90" s="549">
        <f>IFERROR(SUM(Y85:Y88),"0")</f>
        <v>0</v>
      </c>
      <c r="Z90" s="37"/>
      <c r="AA90" s="550"/>
      <c r="AB90" s="550"/>
      <c r="AC90" s="550"/>
    </row>
    <row r="91" spans="1:68" ht="14.25" customHeight="1" x14ac:dyDescent="0.25">
      <c r="A91" s="563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9">
        <v>4607091386967</v>
      </c>
      <c r="E92" s="560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59">
        <v>4680115884953</v>
      </c>
      <c r="E93" s="560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9">
        <v>4607091385731</v>
      </c>
      <c r="E94" s="560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 t="s">
        <v>189</v>
      </c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135</v>
      </c>
      <c r="Y94" s="548">
        <f>IFERROR(IF(X94="",0,CEILING((X94/$H94),1)*$H94),"")</f>
        <v>135</v>
      </c>
      <c r="Z94" s="36">
        <f>IFERROR(IF(Y94=0,"",ROUNDUP(Y94/H94,0)*0.00651),"")</f>
        <v>0.32550000000000001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147.6</v>
      </c>
      <c r="BN94" s="64">
        <f>IFERROR(Y94*I94/H94,"0")</f>
        <v>147.6</v>
      </c>
      <c r="BO94" s="64">
        <f>IFERROR(1/J94*(X94/H94),"0")</f>
        <v>0.27472527472527475</v>
      </c>
      <c r="BP94" s="64">
        <f>IFERROR(1/J94*(Y94/H94),"0")</f>
        <v>0.27472527472527475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59">
        <v>4680115880894</v>
      </c>
      <c r="E95" s="560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 t="s">
        <v>189</v>
      </c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49">
        <f>IFERROR(X92/H92,"0")+IFERROR(X93/H93,"0")+IFERROR(X94/H94,"0")+IFERROR(X95/H95,"0")</f>
        <v>50</v>
      </c>
      <c r="Y96" s="549">
        <f>IFERROR(Y92/H92,"0")+IFERROR(Y93/H93,"0")+IFERROR(Y94/H94,"0")+IFERROR(Y95/H95,"0")</f>
        <v>50</v>
      </c>
      <c r="Z96" s="549">
        <f>IFERROR(IF(Z92="",0,Z92),"0")+IFERROR(IF(Z93="",0,Z93),"0")+IFERROR(IF(Z94="",0,Z94),"0")+IFERROR(IF(Z95="",0,Z95),"0")</f>
        <v>0.32550000000000001</v>
      </c>
      <c r="AA96" s="550"/>
      <c r="AB96" s="550"/>
      <c r="AC96" s="550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49">
        <f>IFERROR(SUM(X92:X95),"0")</f>
        <v>135</v>
      </c>
      <c r="Y97" s="549">
        <f>IFERROR(SUM(Y92:Y95),"0")</f>
        <v>135</v>
      </c>
      <c r="Z97" s="37"/>
      <c r="AA97" s="550"/>
      <c r="AB97" s="550"/>
      <c r="AC97" s="550"/>
    </row>
    <row r="98" spans="1:68" ht="16.5" customHeight="1" x14ac:dyDescent="0.25">
      <c r="A98" s="561" t="s">
        <v>193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2"/>
      <c r="AB98" s="542"/>
      <c r="AC98" s="542"/>
    </row>
    <row r="99" spans="1:68" ht="14.25" customHeight="1" x14ac:dyDescent="0.25">
      <c r="A99" s="563" t="s">
        <v>101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3"/>
      <c r="AB99" s="543"/>
      <c r="AC99" s="543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59">
        <v>4680115882133</v>
      </c>
      <c r="E100" s="560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59">
        <v>4680115887718</v>
      </c>
      <c r="E101" s="560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59">
        <v>4680115880269</v>
      </c>
      <c r="E102" s="560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59">
        <v>4680115880429</v>
      </c>
      <c r="E103" s="560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59">
        <v>4680115881457</v>
      </c>
      <c r="E104" s="560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49">
        <f>IFERROR(X100/H100,"0")+IFERROR(X101/H101,"0")+IFERROR(X102/H102,"0")+IFERROR(X103/H103,"0")+IFERROR(X104/H104,"0")</f>
        <v>0</v>
      </c>
      <c r="Y105" s="549">
        <f>IFERROR(Y100/H100,"0")+IFERROR(Y101/H101,"0")+IFERROR(Y102/H102,"0")+IFERROR(Y103/H103,"0")+IFERROR(Y104/H104,"0")</f>
        <v>0</v>
      </c>
      <c r="Z105" s="549">
        <f>IFERROR(IF(Z100="",0,Z100),"0")+IFERROR(IF(Z101="",0,Z101),"0")+IFERROR(IF(Z102="",0,Z102),"0")+IFERROR(IF(Z103="",0,Z103),"0")+IFERROR(IF(Z104="",0,Z104),"0")</f>
        <v>0</v>
      </c>
      <c r="AA105" s="550"/>
      <c r="AB105" s="550"/>
      <c r="AC105" s="550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49">
        <f>IFERROR(SUM(X100:X104),"0")</f>
        <v>0</v>
      </c>
      <c r="Y106" s="549">
        <f>IFERROR(SUM(Y100:Y104),"0")</f>
        <v>0</v>
      </c>
      <c r="Z106" s="37"/>
      <c r="AA106" s="550"/>
      <c r="AB106" s="550"/>
      <c r="AC106" s="550"/>
    </row>
    <row r="107" spans="1:68" ht="14.25" customHeight="1" x14ac:dyDescent="0.25">
      <c r="A107" s="563" t="s">
        <v>137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3"/>
      <c r="AB107" s="543"/>
      <c r="AC107" s="543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59">
        <v>4680115881488</v>
      </c>
      <c r="E108" s="560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59">
        <v>4680115887664</v>
      </c>
      <c r="E109" s="560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59">
        <v>4680115882775</v>
      </c>
      <c r="E110" s="560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59">
        <v>4680115880658</v>
      </c>
      <c r="E111" s="560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customHeight="1" x14ac:dyDescent="0.25">
      <c r="A114" s="563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9">
        <v>4607091385168</v>
      </c>
      <c r="E115" s="560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400</v>
      </c>
      <c r="Y115" s="548">
        <f>IFERROR(IF(X115="",0,CEILING((X115/$H115),1)*$H115),"")</f>
        <v>405</v>
      </c>
      <c r="Z115" s="36">
        <f>IFERROR(IF(Y115=0,"",ROUNDUP(Y115/H115,0)*0.01898),"")</f>
        <v>0.94900000000000007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424.09876543209879</v>
      </c>
      <c r="BN115" s="64">
        <f>IFERROR(Y115*I115/H115,"0")</f>
        <v>429.4</v>
      </c>
      <c r="BO115" s="64">
        <f>IFERROR(1/J115*(X115/H115),"0")</f>
        <v>0.77160493827160492</v>
      </c>
      <c r="BP115" s="64">
        <f>IFERROR(1/J115*(Y115/H115),"0")</f>
        <v>0.78125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59">
        <v>4607091383256</v>
      </c>
      <c r="E116" s="560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9">
        <v>4607091385748</v>
      </c>
      <c r="E117" s="560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189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315</v>
      </c>
      <c r="Y117" s="548">
        <f>IFERROR(IF(X117="",0,CEILING((X117/$H117),1)*$H117),"")</f>
        <v>315.90000000000003</v>
      </c>
      <c r="Z117" s="36">
        <f>IFERROR(IF(Y117=0,"",ROUNDUP(Y117/H117,0)*0.00651),"")</f>
        <v>0.76167000000000007</v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344.4</v>
      </c>
      <c r="BN117" s="64">
        <f>IFERROR(Y117*I117/H117,"0")</f>
        <v>345.38400000000001</v>
      </c>
      <c r="BO117" s="64">
        <f>IFERROR(1/J117*(X117/H117),"0")</f>
        <v>0.64102564102564097</v>
      </c>
      <c r="BP117" s="64">
        <f>IFERROR(1/J117*(Y117/H117),"0")</f>
        <v>0.6428571428571429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49">
        <f>IFERROR(X115/H115,"0")+IFERROR(X116/H116,"0")+IFERROR(X117/H117,"0")+IFERROR(X118/H118,"0")</f>
        <v>166.04938271604937</v>
      </c>
      <c r="Y119" s="549">
        <f>IFERROR(Y115/H115,"0")+IFERROR(Y116/H116,"0")+IFERROR(Y117/H117,"0")+IFERROR(Y118/H118,"0")</f>
        <v>167</v>
      </c>
      <c r="Z119" s="549">
        <f>IFERROR(IF(Z115="",0,Z115),"0")+IFERROR(IF(Z116="",0,Z116),"0")+IFERROR(IF(Z117="",0,Z117),"0")+IFERROR(IF(Z118="",0,Z118),"0")</f>
        <v>1.7106700000000001</v>
      </c>
      <c r="AA119" s="550"/>
      <c r="AB119" s="550"/>
      <c r="AC119" s="550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49">
        <f>IFERROR(SUM(X115:X118),"0")</f>
        <v>715</v>
      </c>
      <c r="Y120" s="549">
        <f>IFERROR(SUM(Y115:Y118),"0")</f>
        <v>720.90000000000009</v>
      </c>
      <c r="Z120" s="37"/>
      <c r="AA120" s="550"/>
      <c r="AB120" s="550"/>
      <c r="AC120" s="550"/>
    </row>
    <row r="121" spans="1:68" ht="14.25" customHeight="1" x14ac:dyDescent="0.25">
      <c r="A121" s="563" t="s">
        <v>162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9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customHeight="1" x14ac:dyDescent="0.25">
      <c r="A125" s="561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2"/>
      <c r="AB125" s="542"/>
      <c r="AC125" s="542"/>
    </row>
    <row r="126" spans="1:68" ht="14.25" customHeight="1" x14ac:dyDescent="0.25">
      <c r="A126" s="563" t="s">
        <v>101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189</v>
      </c>
      <c r="M127" s="33" t="s">
        <v>96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189</v>
      </c>
      <c r="M128" s="33" t="s">
        <v>96</v>
      </c>
      <c r="N128" s="33"/>
      <c r="O128" s="32">
        <v>90</v>
      </c>
      <c r="P128" s="8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customHeight="1" x14ac:dyDescent="0.25">
      <c r="A131" s="563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189</v>
      </c>
      <c r="M133" s="33" t="s">
        <v>96</v>
      </c>
      <c r="N133" s="33"/>
      <c r="O133" s="32">
        <v>90</v>
      </c>
      <c r="P133" s="8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9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customHeight="1" x14ac:dyDescent="0.25">
      <c r="A136" s="563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9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customHeight="1" x14ac:dyDescent="0.25">
      <c r="A141" s="561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2"/>
      <c r="AB141" s="542"/>
      <c r="AC141" s="542"/>
    </row>
    <row r="142" spans="1:68" ht="14.25" customHeight="1" x14ac:dyDescent="0.25">
      <c r="A142" s="563" t="s">
        <v>101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9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63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8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2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78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9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63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9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1" t="s">
        <v>273</v>
      </c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48"/>
      <c r="AB160" s="48"/>
      <c r="AC160" s="48"/>
    </row>
    <row r="161" spans="1:68" ht="16.5" customHeight="1" x14ac:dyDescent="0.25">
      <c r="A161" s="561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2"/>
      <c r="AB161" s="542"/>
      <c r="AC161" s="542"/>
    </row>
    <row r="162" spans="1:68" ht="14.25" customHeight="1" x14ac:dyDescent="0.25">
      <c r="A162" s="563" t="s">
        <v>137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9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63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/>
      <c r="AK167" s="68">
        <v>0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9">
        <v>4680115887213</v>
      </c>
      <c r="E172" s="560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9">
        <v>4680115881785</v>
      </c>
      <c r="E173" s="560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9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70"/>
      <c r="P179" s="564" t="s">
        <v>75</v>
      </c>
      <c r="Q179" s="565"/>
      <c r="R179" s="565"/>
      <c r="S179" s="565"/>
      <c r="T179" s="565"/>
      <c r="U179" s="565"/>
      <c r="V179" s="566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70"/>
      <c r="P180" s="564" t="s">
        <v>75</v>
      </c>
      <c r="Q180" s="565"/>
      <c r="R180" s="565"/>
      <c r="S180" s="565"/>
      <c r="T180" s="565"/>
      <c r="U180" s="565"/>
      <c r="V180" s="566"/>
      <c r="W180" s="37" t="s">
        <v>69</v>
      </c>
      <c r="X180" s="549">
        <f>IFERROR(SUM(X167:X178),"0")</f>
        <v>0</v>
      </c>
      <c r="Y180" s="549">
        <f>IFERROR(SUM(Y167:Y178),"0")</f>
        <v>0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9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70"/>
      <c r="P185" s="564" t="s">
        <v>75</v>
      </c>
      <c r="Q185" s="565"/>
      <c r="R185" s="565"/>
      <c r="S185" s="565"/>
      <c r="T185" s="565"/>
      <c r="U185" s="565"/>
      <c r="V185" s="566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70"/>
      <c r="P186" s="564" t="s">
        <v>75</v>
      </c>
      <c r="Q186" s="565"/>
      <c r="R186" s="565"/>
      <c r="S186" s="565"/>
      <c r="T186" s="565"/>
      <c r="U186" s="565"/>
      <c r="V186" s="566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9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70"/>
      <c r="P189" s="564" t="s">
        <v>75</v>
      </c>
      <c r="Q189" s="565"/>
      <c r="R189" s="565"/>
      <c r="S189" s="565"/>
      <c r="T189" s="565"/>
      <c r="U189" s="565"/>
      <c r="V189" s="566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70"/>
      <c r="P190" s="564" t="s">
        <v>75</v>
      </c>
      <c r="Q190" s="565"/>
      <c r="R190" s="565"/>
      <c r="S190" s="565"/>
      <c r="T190" s="565"/>
      <c r="U190" s="565"/>
      <c r="V190" s="566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1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2"/>
      <c r="AB191" s="542"/>
      <c r="AC191" s="542"/>
    </row>
    <row r="192" spans="1:68" ht="14.25" customHeight="1" x14ac:dyDescent="0.25">
      <c r="A192" s="563" t="s">
        <v>101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189</v>
      </c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108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9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70"/>
      <c r="P195" s="564" t="s">
        <v>75</v>
      </c>
      <c r="Q195" s="565"/>
      <c r="R195" s="565"/>
      <c r="S195" s="565"/>
      <c r="T195" s="565"/>
      <c r="U195" s="565"/>
      <c r="V195" s="566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70"/>
      <c r="P196" s="564" t="s">
        <v>75</v>
      </c>
      <c r="Q196" s="565"/>
      <c r="R196" s="565"/>
      <c r="S196" s="565"/>
      <c r="T196" s="565"/>
      <c r="U196" s="565"/>
      <c r="V196" s="566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137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9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70"/>
      <c r="P200" s="564" t="s">
        <v>75</v>
      </c>
      <c r="Q200" s="565"/>
      <c r="R200" s="565"/>
      <c r="S200" s="565"/>
      <c r="T200" s="565"/>
      <c r="U200" s="565"/>
      <c r="V200" s="566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70"/>
      <c r="P201" s="564" t="s">
        <v>75</v>
      </c>
      <c r="Q201" s="565"/>
      <c r="R201" s="565"/>
      <c r="S201" s="565"/>
      <c r="T201" s="565"/>
      <c r="U201" s="565"/>
      <c r="V201" s="566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9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70"/>
      <c r="P211" s="564" t="s">
        <v>75</v>
      </c>
      <c r="Q211" s="565"/>
      <c r="R211" s="565"/>
      <c r="S211" s="565"/>
      <c r="T211" s="565"/>
      <c r="U211" s="565"/>
      <c r="V211" s="566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70"/>
      <c r="P212" s="564" t="s">
        <v>75</v>
      </c>
      <c r="Q212" s="565"/>
      <c r="R212" s="565"/>
      <c r="S212" s="565"/>
      <c r="T212" s="565"/>
      <c r="U212" s="565"/>
      <c r="V212" s="566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 t="s">
        <v>105</v>
      </c>
      <c r="M214" s="33" t="s">
        <v>80</v>
      </c>
      <c r="N214" s="33"/>
      <c r="O214" s="32">
        <v>40</v>
      </c>
      <c r="P21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 t="s">
        <v>108</v>
      </c>
      <c r="AK214" s="68">
        <v>64.8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 t="s">
        <v>105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 t="s">
        <v>108</v>
      </c>
      <c r="AK215" s="68">
        <v>64.8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189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80</v>
      </c>
      <c r="Y217" s="548">
        <f t="shared" si="20"/>
        <v>81.599999999999994</v>
      </c>
      <c r="Z217" s="36">
        <f t="shared" ref="Z217:Z222" si="25">IFERROR(IF(Y217=0,"",ROUNDUP(Y217/H217,0)*0.00651),"")</f>
        <v>0.22134000000000001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89</v>
      </c>
      <c r="BN217" s="64">
        <f t="shared" si="22"/>
        <v>90.78</v>
      </c>
      <c r="BO217" s="64">
        <f t="shared" si="23"/>
        <v>0.18315018315018317</v>
      </c>
      <c r="BP217" s="64">
        <f t="shared" si="24"/>
        <v>0.18681318681318682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189</v>
      </c>
      <c r="M219" s="33" t="s">
        <v>80</v>
      </c>
      <c r="N219" s="33"/>
      <c r="O219" s="32">
        <v>45</v>
      </c>
      <c r="P219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200</v>
      </c>
      <c r="Y219" s="548">
        <f t="shared" si="20"/>
        <v>201.6</v>
      </c>
      <c r="Z219" s="36">
        <f t="shared" si="25"/>
        <v>0.54683999999999999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221</v>
      </c>
      <c r="BN219" s="64">
        <f t="shared" si="22"/>
        <v>222.768</v>
      </c>
      <c r="BO219" s="64">
        <f t="shared" si="23"/>
        <v>0.45787545787545797</v>
      </c>
      <c r="BP219" s="64">
        <f t="shared" si="24"/>
        <v>0.46153846153846156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189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189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189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9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70"/>
      <c r="P223" s="564" t="s">
        <v>75</v>
      </c>
      <c r="Q223" s="565"/>
      <c r="R223" s="565"/>
      <c r="S223" s="565"/>
      <c r="T223" s="565"/>
      <c r="U223" s="565"/>
      <c r="V223" s="566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116.66666666666669</v>
      </c>
      <c r="Y223" s="549">
        <f>IFERROR(Y214/H214,"0")+IFERROR(Y215/H215,"0")+IFERROR(Y216/H216,"0")+IFERROR(Y217/H217,"0")+IFERROR(Y218/H218,"0")+IFERROR(Y219/H219,"0")+IFERROR(Y220/H220,"0")+IFERROR(Y221/H221,"0")+IFERROR(Y222/H222,"0")</f>
        <v>118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0.76817999999999997</v>
      </c>
      <c r="AA223" s="550"/>
      <c r="AB223" s="550"/>
      <c r="AC223" s="550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70"/>
      <c r="P224" s="564" t="s">
        <v>75</v>
      </c>
      <c r="Q224" s="565"/>
      <c r="R224" s="565"/>
      <c r="S224" s="565"/>
      <c r="T224" s="565"/>
      <c r="U224" s="565"/>
      <c r="V224" s="566"/>
      <c r="W224" s="37" t="s">
        <v>69</v>
      </c>
      <c r="X224" s="549">
        <f>IFERROR(SUM(X214:X222),"0")</f>
        <v>280</v>
      </c>
      <c r="Y224" s="549">
        <f>IFERROR(SUM(Y214:Y222),"0")</f>
        <v>283.2</v>
      </c>
      <c r="Z224" s="37"/>
      <c r="AA224" s="550"/>
      <c r="AB224" s="550"/>
      <c r="AC224" s="550"/>
    </row>
    <row r="225" spans="1:68" ht="14.25" customHeight="1" x14ac:dyDescent="0.25">
      <c r="A225" s="563" t="s">
        <v>162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9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70"/>
      <c r="P228" s="564" t="s">
        <v>75</v>
      </c>
      <c r="Q228" s="565"/>
      <c r="R228" s="565"/>
      <c r="S228" s="565"/>
      <c r="T228" s="565"/>
      <c r="U228" s="565"/>
      <c r="V228" s="566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70"/>
      <c r="P229" s="564" t="s">
        <v>75</v>
      </c>
      <c r="Q229" s="565"/>
      <c r="R229" s="565"/>
      <c r="S229" s="565"/>
      <c r="T229" s="565"/>
      <c r="U229" s="565"/>
      <c r="V229" s="566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1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2"/>
      <c r="AB230" s="542"/>
      <c r="AC230" s="542"/>
    </row>
    <row r="231" spans="1:68" ht="14.25" customHeight="1" x14ac:dyDescent="0.25">
      <c r="A231" s="563" t="s">
        <v>101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59">
        <v>4680115884144</v>
      </c>
      <c r="E235" s="560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59">
        <v>4680115884144</v>
      </c>
      <c r="E236" s="560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9">
        <v>4680115884205</v>
      </c>
      <c r="E239" s="560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 t="s">
        <v>114</v>
      </c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108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59">
        <v>4680115884205</v>
      </c>
      <c r="E240" s="560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9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70"/>
      <c r="P241" s="564" t="s">
        <v>75</v>
      </c>
      <c r="Q241" s="565"/>
      <c r="R241" s="565"/>
      <c r="S241" s="565"/>
      <c r="T241" s="565"/>
      <c r="U241" s="565"/>
      <c r="V241" s="566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70"/>
      <c r="P242" s="564" t="s">
        <v>75</v>
      </c>
      <c r="Q242" s="565"/>
      <c r="R242" s="565"/>
      <c r="S242" s="565"/>
      <c r="T242" s="565"/>
      <c r="U242" s="565"/>
      <c r="V242" s="566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137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9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70"/>
      <c r="P245" s="564" t="s">
        <v>75</v>
      </c>
      <c r="Q245" s="565"/>
      <c r="R245" s="565"/>
      <c r="S245" s="565"/>
      <c r="T245" s="565"/>
      <c r="U245" s="565"/>
      <c r="V245" s="566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70"/>
      <c r="P246" s="564" t="s">
        <v>75</v>
      </c>
      <c r="Q246" s="565"/>
      <c r="R246" s="565"/>
      <c r="S246" s="565"/>
      <c r="T246" s="565"/>
      <c r="U246" s="565"/>
      <c r="V246" s="566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9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70"/>
      <c r="P249" s="564" t="s">
        <v>75</v>
      </c>
      <c r="Q249" s="565"/>
      <c r="R249" s="565"/>
      <c r="S249" s="565"/>
      <c r="T249" s="565"/>
      <c r="U249" s="565"/>
      <c r="V249" s="566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70"/>
      <c r="P250" s="564" t="s">
        <v>75</v>
      </c>
      <c r="Q250" s="565"/>
      <c r="R250" s="565"/>
      <c r="S250" s="565"/>
      <c r="T250" s="565"/>
      <c r="U250" s="565"/>
      <c r="V250" s="566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9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70"/>
      <c r="P257" s="564" t="s">
        <v>75</v>
      </c>
      <c r="Q257" s="565"/>
      <c r="R257" s="565"/>
      <c r="S257" s="565"/>
      <c r="T257" s="565"/>
      <c r="U257" s="565"/>
      <c r="V257" s="566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70"/>
      <c r="P258" s="564" t="s">
        <v>75</v>
      </c>
      <c r="Q258" s="565"/>
      <c r="R258" s="565"/>
      <c r="S258" s="565"/>
      <c r="T258" s="565"/>
      <c r="U258" s="565"/>
      <c r="V258" s="566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1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2"/>
      <c r="AB259" s="542"/>
      <c r="AC259" s="542"/>
    </row>
    <row r="260" spans="1:68" ht="14.25" customHeight="1" x14ac:dyDescent="0.25">
      <c r="A260" s="563" t="s">
        <v>101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108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70"/>
      <c r="P266" s="564" t="s">
        <v>75</v>
      </c>
      <c r="Q266" s="565"/>
      <c r="R266" s="565"/>
      <c r="S266" s="565"/>
      <c r="T266" s="565"/>
      <c r="U266" s="565"/>
      <c r="V266" s="566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70"/>
      <c r="P267" s="564" t="s">
        <v>75</v>
      </c>
      <c r="Q267" s="565"/>
      <c r="R267" s="565"/>
      <c r="S267" s="565"/>
      <c r="T267" s="565"/>
      <c r="U267" s="565"/>
      <c r="V267" s="566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1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2"/>
      <c r="AB268" s="542"/>
      <c r="AC268" s="542"/>
    </row>
    <row r="269" spans="1:68" ht="14.25" customHeight="1" x14ac:dyDescent="0.25">
      <c r="A269" s="563" t="s">
        <v>101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9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70"/>
      <c r="P274" s="564" t="s">
        <v>75</v>
      </c>
      <c r="Q274" s="565"/>
      <c r="R274" s="565"/>
      <c r="S274" s="565"/>
      <c r="T274" s="565"/>
      <c r="U274" s="565"/>
      <c r="V274" s="566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70"/>
      <c r="P275" s="564" t="s">
        <v>75</v>
      </c>
      <c r="Q275" s="565"/>
      <c r="R275" s="565"/>
      <c r="S275" s="565"/>
      <c r="T275" s="565"/>
      <c r="U275" s="565"/>
      <c r="V275" s="566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1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2"/>
      <c r="AB276" s="542"/>
      <c r="AC276" s="542"/>
    </row>
    <row r="277" spans="1:68" ht="14.25" customHeight="1" x14ac:dyDescent="0.25">
      <c r="A277" s="563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189</v>
      </c>
      <c r="M279" s="33" t="s">
        <v>86</v>
      </c>
      <c r="N279" s="33"/>
      <c r="O279" s="32">
        <v>40</v>
      </c>
      <c r="P279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189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9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70"/>
      <c r="P281" s="564" t="s">
        <v>75</v>
      </c>
      <c r="Q281" s="565"/>
      <c r="R281" s="565"/>
      <c r="S281" s="565"/>
      <c r="T281" s="565"/>
      <c r="U281" s="565"/>
      <c r="V281" s="566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70"/>
      <c r="P282" s="564" t="s">
        <v>75</v>
      </c>
      <c r="Q282" s="565"/>
      <c r="R282" s="565"/>
      <c r="S282" s="565"/>
      <c r="T282" s="565"/>
      <c r="U282" s="565"/>
      <c r="V282" s="566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1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2"/>
      <c r="AB283" s="542"/>
      <c r="AC283" s="542"/>
    </row>
    <row r="284" spans="1:68" ht="14.25" customHeight="1" x14ac:dyDescent="0.25">
      <c r="A284" s="563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9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70"/>
      <c r="P287" s="564" t="s">
        <v>75</v>
      </c>
      <c r="Q287" s="565"/>
      <c r="R287" s="565"/>
      <c r="S287" s="565"/>
      <c r="T287" s="565"/>
      <c r="U287" s="565"/>
      <c r="V287" s="566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70"/>
      <c r="P288" s="564" t="s">
        <v>75</v>
      </c>
      <c r="Q288" s="565"/>
      <c r="R288" s="565"/>
      <c r="S288" s="565"/>
      <c r="T288" s="565"/>
      <c r="U288" s="565"/>
      <c r="V288" s="566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9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70"/>
      <c r="P292" s="564" t="s">
        <v>75</v>
      </c>
      <c r="Q292" s="565"/>
      <c r="R292" s="565"/>
      <c r="S292" s="565"/>
      <c r="T292" s="565"/>
      <c r="U292" s="565"/>
      <c r="V292" s="566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70"/>
      <c r="P293" s="564" t="s">
        <v>75</v>
      </c>
      <c r="Q293" s="565"/>
      <c r="R293" s="565"/>
      <c r="S293" s="565"/>
      <c r="T293" s="565"/>
      <c r="U293" s="565"/>
      <c r="V293" s="566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1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2"/>
      <c r="AB294" s="542"/>
      <c r="AC294" s="542"/>
    </row>
    <row r="295" spans="1:68" ht="14.25" customHeight="1" x14ac:dyDescent="0.25">
      <c r="A295" s="563" t="s">
        <v>101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9">
        <v>4680115885615</v>
      </c>
      <c r="E296" s="560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9">
        <v>4680115885646</v>
      </c>
      <c r="E297" s="560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9">
        <v>4680115885554</v>
      </c>
      <c r="E298" s="560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9">
        <v>4680115885622</v>
      </c>
      <c r="E299" s="560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9">
        <v>4680115885608</v>
      </c>
      <c r="E300" s="560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9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70"/>
      <c r="P301" s="564" t="s">
        <v>75</v>
      </c>
      <c r="Q301" s="565"/>
      <c r="R301" s="565"/>
      <c r="S301" s="565"/>
      <c r="T301" s="565"/>
      <c r="U301" s="565"/>
      <c r="V301" s="566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70"/>
      <c r="P302" s="564" t="s">
        <v>75</v>
      </c>
      <c r="Q302" s="565"/>
      <c r="R302" s="565"/>
      <c r="S302" s="565"/>
      <c r="T302" s="565"/>
      <c r="U302" s="565"/>
      <c r="V302" s="566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63" t="s">
        <v>64</v>
      </c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9">
        <v>4607091387193</v>
      </c>
      <c r="E304" s="560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9">
        <v>4607091387230</v>
      </c>
      <c r="E305" s="560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 t="s">
        <v>114</v>
      </c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108</v>
      </c>
      <c r="AK305" s="68">
        <v>50.4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9">
        <v>4607091387292</v>
      </c>
      <c r="E306" s="560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9">
        <v>4607091387285</v>
      </c>
      <c r="E307" s="560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9">
        <v>4607091389845</v>
      </c>
      <c r="E308" s="560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9">
        <v>4607091383836</v>
      </c>
      <c r="E309" s="560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69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70"/>
      <c r="P310" s="564" t="s">
        <v>75</v>
      </c>
      <c r="Q310" s="565"/>
      <c r="R310" s="565"/>
      <c r="S310" s="565"/>
      <c r="T310" s="565"/>
      <c r="U310" s="565"/>
      <c r="V310" s="566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x14ac:dyDescent="0.2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70"/>
      <c r="P311" s="564" t="s">
        <v>75</v>
      </c>
      <c r="Q311" s="565"/>
      <c r="R311" s="565"/>
      <c r="S311" s="565"/>
      <c r="T311" s="565"/>
      <c r="U311" s="565"/>
      <c r="V311" s="566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customHeight="1" x14ac:dyDescent="0.25">
      <c r="A312" s="563" t="s">
        <v>77</v>
      </c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2"/>
      <c r="P312" s="562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9">
        <v>4607091387766</v>
      </c>
      <c r="E313" s="560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 t="s">
        <v>105</v>
      </c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 t="s">
        <v>108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9">
        <v>4607091387957</v>
      </c>
      <c r="E314" s="560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9">
        <v>4607091387964</v>
      </c>
      <c r="E315" s="560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9">
        <v>4680115884588</v>
      </c>
      <c r="E316" s="560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9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70"/>
      <c r="P317" s="564" t="s">
        <v>75</v>
      </c>
      <c r="Q317" s="565"/>
      <c r="R317" s="565"/>
      <c r="S317" s="565"/>
      <c r="T317" s="565"/>
      <c r="U317" s="565"/>
      <c r="V317" s="566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70"/>
      <c r="P318" s="564" t="s">
        <v>75</v>
      </c>
      <c r="Q318" s="565"/>
      <c r="R318" s="565"/>
      <c r="S318" s="565"/>
      <c r="T318" s="565"/>
      <c r="U318" s="565"/>
      <c r="V318" s="566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63" t="s">
        <v>162</v>
      </c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2"/>
      <c r="P319" s="562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9">
        <v>4607091380880</v>
      </c>
      <c r="E320" s="560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/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9">
        <v>4607091384482</v>
      </c>
      <c r="E321" s="560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9">
        <v>4607091380897</v>
      </c>
      <c r="E322" s="560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/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9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70"/>
      <c r="P323" s="564" t="s">
        <v>75</v>
      </c>
      <c r="Q323" s="565"/>
      <c r="R323" s="565"/>
      <c r="S323" s="565"/>
      <c r="T323" s="565"/>
      <c r="U323" s="565"/>
      <c r="V323" s="566"/>
      <c r="W323" s="37" t="s">
        <v>76</v>
      </c>
      <c r="X323" s="549">
        <f>IFERROR(X320/H320,"0")+IFERROR(X321/H321,"0")+IFERROR(X322/H322,"0")</f>
        <v>0</v>
      </c>
      <c r="Y323" s="549">
        <f>IFERROR(Y320/H320,"0")+IFERROR(Y321/H321,"0")+IFERROR(Y322/H322,"0")</f>
        <v>0</v>
      </c>
      <c r="Z323" s="549">
        <f>IFERROR(IF(Z320="",0,Z320),"0")+IFERROR(IF(Z321="",0,Z321),"0")+IFERROR(IF(Z322="",0,Z322),"0")</f>
        <v>0</v>
      </c>
      <c r="AA323" s="550"/>
      <c r="AB323" s="550"/>
      <c r="AC323" s="550"/>
    </row>
    <row r="324" spans="1:68" x14ac:dyDescent="0.2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70"/>
      <c r="P324" s="564" t="s">
        <v>75</v>
      </c>
      <c r="Q324" s="565"/>
      <c r="R324" s="565"/>
      <c r="S324" s="565"/>
      <c r="T324" s="565"/>
      <c r="U324" s="565"/>
      <c r="V324" s="566"/>
      <c r="W324" s="37" t="s">
        <v>69</v>
      </c>
      <c r="X324" s="549">
        <f>IFERROR(SUM(X320:X322),"0")</f>
        <v>0</v>
      </c>
      <c r="Y324" s="549">
        <f>IFERROR(SUM(Y320:Y322),"0")</f>
        <v>0</v>
      </c>
      <c r="Z324" s="37"/>
      <c r="AA324" s="550"/>
      <c r="AB324" s="550"/>
      <c r="AC324" s="550"/>
    </row>
    <row r="325" spans="1:68" ht="14.25" customHeight="1" x14ac:dyDescent="0.25">
      <c r="A325" s="563" t="s">
        <v>93</v>
      </c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2"/>
      <c r="P325" s="562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9">
        <v>4607091388381</v>
      </c>
      <c r="E326" s="560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9">
        <v>4607091388374</v>
      </c>
      <c r="E327" s="560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9">
        <v>4607091383102</v>
      </c>
      <c r="E328" s="560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189</v>
      </c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9">
        <v>4607091388404</v>
      </c>
      <c r="E329" s="560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189</v>
      </c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9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70"/>
      <c r="P330" s="564" t="s">
        <v>75</v>
      </c>
      <c r="Q330" s="565"/>
      <c r="R330" s="565"/>
      <c r="S330" s="565"/>
      <c r="T330" s="565"/>
      <c r="U330" s="565"/>
      <c r="V330" s="566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70"/>
      <c r="P331" s="564" t="s">
        <v>75</v>
      </c>
      <c r="Q331" s="565"/>
      <c r="R331" s="565"/>
      <c r="S331" s="565"/>
      <c r="T331" s="565"/>
      <c r="U331" s="565"/>
      <c r="V331" s="566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customHeight="1" x14ac:dyDescent="0.25">
      <c r="A332" s="563" t="s">
        <v>535</v>
      </c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2"/>
      <c r="P332" s="562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9">
        <v>4680115881808</v>
      </c>
      <c r="E333" s="560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9">
        <v>4680115881822</v>
      </c>
      <c r="E334" s="560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9">
        <v>4680115880016</v>
      </c>
      <c r="E335" s="560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9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70"/>
      <c r="P336" s="564" t="s">
        <v>75</v>
      </c>
      <c r="Q336" s="565"/>
      <c r="R336" s="565"/>
      <c r="S336" s="565"/>
      <c r="T336" s="565"/>
      <c r="U336" s="565"/>
      <c r="V336" s="566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x14ac:dyDescent="0.2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70"/>
      <c r="P337" s="564" t="s">
        <v>75</v>
      </c>
      <c r="Q337" s="565"/>
      <c r="R337" s="565"/>
      <c r="S337" s="565"/>
      <c r="T337" s="565"/>
      <c r="U337" s="565"/>
      <c r="V337" s="566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customHeight="1" x14ac:dyDescent="0.25">
      <c r="A338" s="561" t="s">
        <v>544</v>
      </c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2"/>
      <c r="P338" s="562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  <c r="AA338" s="542"/>
      <c r="AB338" s="542"/>
      <c r="AC338" s="542"/>
    </row>
    <row r="339" spans="1:68" ht="14.25" customHeight="1" x14ac:dyDescent="0.25">
      <c r="A339" s="563" t="s">
        <v>77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9">
        <v>4607091387919</v>
      </c>
      <c r="E340" s="560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9">
        <v>4680115883604</v>
      </c>
      <c r="E341" s="560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189</v>
      </c>
      <c r="M341" s="33" t="s">
        <v>80</v>
      </c>
      <c r="N341" s="33"/>
      <c r="O341" s="32">
        <v>45</v>
      </c>
      <c r="P341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9">
        <v>4680115883567</v>
      </c>
      <c r="E342" s="560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189</v>
      </c>
      <c r="M342" s="33" t="s">
        <v>86</v>
      </c>
      <c r="N342" s="33"/>
      <c r="O342" s="32">
        <v>40</v>
      </c>
      <c r="P342" s="8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9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70"/>
      <c r="P343" s="564" t="s">
        <v>75</v>
      </c>
      <c r="Q343" s="565"/>
      <c r="R343" s="565"/>
      <c r="S343" s="565"/>
      <c r="T343" s="565"/>
      <c r="U343" s="565"/>
      <c r="V343" s="566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x14ac:dyDescent="0.2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70"/>
      <c r="P344" s="564" t="s">
        <v>75</v>
      </c>
      <c r="Q344" s="565"/>
      <c r="R344" s="565"/>
      <c r="S344" s="565"/>
      <c r="T344" s="565"/>
      <c r="U344" s="565"/>
      <c r="V344" s="566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customHeight="1" x14ac:dyDescent="0.2">
      <c r="A345" s="641" t="s">
        <v>554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48"/>
      <c r="AB345" s="48"/>
      <c r="AC345" s="48"/>
    </row>
    <row r="346" spans="1:68" ht="16.5" customHeight="1" x14ac:dyDescent="0.25">
      <c r="A346" s="561" t="s">
        <v>555</v>
      </c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2"/>
      <c r="P346" s="562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  <c r="AA346" s="542"/>
      <c r="AB346" s="542"/>
      <c r="AC346" s="542"/>
    </row>
    <row r="347" spans="1:68" ht="14.25" customHeight="1" x14ac:dyDescent="0.25">
      <c r="A347" s="563" t="s">
        <v>101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9">
        <v>4680115884847</v>
      </c>
      <c r="E348" s="560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400</v>
      </c>
      <c r="Y348" s="548">
        <f t="shared" ref="Y348:Y354" si="36">IFERROR(IF(X348="",0,CEILING((X348/$H348),1)*$H348),"")</f>
        <v>405</v>
      </c>
      <c r="Z348" s="36">
        <f>IFERROR(IF(Y348=0,"",ROUNDUP(Y348/H348,0)*0.02175),"")</f>
        <v>0.58724999999999994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412.53333333333336</v>
      </c>
      <c r="BN348" s="64">
        <f t="shared" ref="BN348:BN354" si="38">IFERROR(Y348*I348/H348,"0")</f>
        <v>417.69</v>
      </c>
      <c r="BO348" s="64">
        <f t="shared" ref="BO348:BO354" si="39">IFERROR(1/J348*(X348/H348),"0")</f>
        <v>0.55555555555555558</v>
      </c>
      <c r="BP348" s="64">
        <f t="shared" ref="BP348:BP354" si="40">IFERROR(1/J348*(Y348/H348),"0")</f>
        <v>0.5625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9">
        <v>4680115884854</v>
      </c>
      <c r="E349" s="560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9">
        <v>4680115884830</v>
      </c>
      <c r="E350" s="560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840</v>
      </c>
      <c r="Y350" s="548">
        <f t="shared" si="36"/>
        <v>840</v>
      </c>
      <c r="Z350" s="36">
        <f>IFERROR(IF(Y350=0,"",ROUNDUP(Y350/H350,0)*0.02175),"")</f>
        <v>1.218</v>
      </c>
      <c r="AA350" s="56"/>
      <c r="AB350" s="57"/>
      <c r="AC350" s="405" t="s">
        <v>564</v>
      </c>
      <c r="AG350" s="64"/>
      <c r="AJ350" s="68" t="s">
        <v>108</v>
      </c>
      <c r="AK350" s="68">
        <v>120</v>
      </c>
      <c r="BB350" s="406" t="s">
        <v>1</v>
      </c>
      <c r="BM350" s="64">
        <f t="shared" si="37"/>
        <v>866.32</v>
      </c>
      <c r="BN350" s="64">
        <f t="shared" si="38"/>
        <v>866.32</v>
      </c>
      <c r="BO350" s="64">
        <f t="shared" si="39"/>
        <v>1.1666666666666665</v>
      </c>
      <c r="BP350" s="64">
        <f t="shared" si="40"/>
        <v>1.1666666666666665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59">
        <v>4680115887046</v>
      </c>
      <c r="E351" s="560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6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9">
        <v>4680115882638</v>
      </c>
      <c r="E352" s="560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9">
        <v>4680115884922</v>
      </c>
      <c r="E353" s="560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9">
        <v>4680115884861</v>
      </c>
      <c r="E354" s="560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9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70"/>
      <c r="P355" s="564" t="s">
        <v>75</v>
      </c>
      <c r="Q355" s="565"/>
      <c r="R355" s="565"/>
      <c r="S355" s="565"/>
      <c r="T355" s="565"/>
      <c r="U355" s="565"/>
      <c r="V355" s="566"/>
      <c r="W355" s="37" t="s">
        <v>76</v>
      </c>
      <c r="X355" s="549">
        <f>IFERROR(X348/H348,"0")+IFERROR(X349/H349,"0")+IFERROR(X350/H350,"0")+IFERROR(X351/H351,"0")+IFERROR(X352/H352,"0")+IFERROR(X353/H353,"0")+IFERROR(X354/H354,"0")</f>
        <v>82.666666666666671</v>
      </c>
      <c r="Y355" s="549">
        <f>IFERROR(Y348/H348,"0")+IFERROR(Y349/H349,"0")+IFERROR(Y350/H350,"0")+IFERROR(Y351/H351,"0")+IFERROR(Y352/H352,"0")+IFERROR(Y353/H353,"0")+IFERROR(Y354/H354,"0")</f>
        <v>83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1.80525</v>
      </c>
      <c r="AA355" s="550"/>
      <c r="AB355" s="550"/>
      <c r="AC355" s="550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70"/>
      <c r="P356" s="564" t="s">
        <v>75</v>
      </c>
      <c r="Q356" s="565"/>
      <c r="R356" s="565"/>
      <c r="S356" s="565"/>
      <c r="T356" s="565"/>
      <c r="U356" s="565"/>
      <c r="V356" s="566"/>
      <c r="W356" s="37" t="s">
        <v>69</v>
      </c>
      <c r="X356" s="549">
        <f>IFERROR(SUM(X348:X354),"0")</f>
        <v>1240</v>
      </c>
      <c r="Y356" s="549">
        <f>IFERROR(SUM(Y348:Y354),"0")</f>
        <v>1245</v>
      </c>
      <c r="Z356" s="37"/>
      <c r="AA356" s="550"/>
      <c r="AB356" s="550"/>
      <c r="AC356" s="550"/>
    </row>
    <row r="357" spans="1:68" ht="14.25" customHeight="1" x14ac:dyDescent="0.25">
      <c r="A357" s="563" t="s">
        <v>137</v>
      </c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2"/>
      <c r="P357" s="562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9">
        <v>4607091383980</v>
      </c>
      <c r="E358" s="560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300</v>
      </c>
      <c r="Y358" s="548">
        <f>IFERROR(IF(X358="",0,CEILING((X358/$H358),1)*$H358),"")</f>
        <v>300</v>
      </c>
      <c r="Z358" s="36">
        <f>IFERROR(IF(Y358=0,"",ROUNDUP(Y358/H358,0)*0.02175),"")</f>
        <v>0.43499999999999994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309.39999999999998</v>
      </c>
      <c r="BN358" s="64">
        <f>IFERROR(Y358*I358/H358,"0")</f>
        <v>309.39999999999998</v>
      </c>
      <c r="BO358" s="64">
        <f>IFERROR(1/J358*(X358/H358),"0")</f>
        <v>0.41666666666666663</v>
      </c>
      <c r="BP358" s="64">
        <f>IFERROR(1/J358*(Y358/H358),"0")</f>
        <v>0.41666666666666663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9">
        <v>4607091384178</v>
      </c>
      <c r="E359" s="560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9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70"/>
      <c r="P360" s="564" t="s">
        <v>75</v>
      </c>
      <c r="Q360" s="565"/>
      <c r="R360" s="565"/>
      <c r="S360" s="565"/>
      <c r="T360" s="565"/>
      <c r="U360" s="565"/>
      <c r="V360" s="566"/>
      <c r="W360" s="37" t="s">
        <v>76</v>
      </c>
      <c r="X360" s="549">
        <f>IFERROR(X358/H358,"0")+IFERROR(X359/H359,"0")</f>
        <v>20</v>
      </c>
      <c r="Y360" s="549">
        <f>IFERROR(Y358/H358,"0")+IFERROR(Y359/H359,"0")</f>
        <v>20</v>
      </c>
      <c r="Z360" s="549">
        <f>IFERROR(IF(Z358="",0,Z358),"0")+IFERROR(IF(Z359="",0,Z359),"0")</f>
        <v>0.43499999999999994</v>
      </c>
      <c r="AA360" s="550"/>
      <c r="AB360" s="550"/>
      <c r="AC360" s="550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70"/>
      <c r="P361" s="564" t="s">
        <v>75</v>
      </c>
      <c r="Q361" s="565"/>
      <c r="R361" s="565"/>
      <c r="S361" s="565"/>
      <c r="T361" s="565"/>
      <c r="U361" s="565"/>
      <c r="V361" s="566"/>
      <c r="W361" s="37" t="s">
        <v>69</v>
      </c>
      <c r="X361" s="549">
        <f>IFERROR(SUM(X358:X359),"0")</f>
        <v>300</v>
      </c>
      <c r="Y361" s="549">
        <f>IFERROR(SUM(Y358:Y359),"0")</f>
        <v>300</v>
      </c>
      <c r="Z361" s="37"/>
      <c r="AA361" s="550"/>
      <c r="AB361" s="550"/>
      <c r="AC361" s="550"/>
    </row>
    <row r="362" spans="1:68" ht="14.25" customHeight="1" x14ac:dyDescent="0.25">
      <c r="A362" s="563" t="s">
        <v>77</v>
      </c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9">
        <v>4607091383928</v>
      </c>
      <c r="E363" s="560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9">
        <v>4607091384260</v>
      </c>
      <c r="E364" s="560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69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70"/>
      <c r="P365" s="564" t="s">
        <v>75</v>
      </c>
      <c r="Q365" s="565"/>
      <c r="R365" s="565"/>
      <c r="S365" s="565"/>
      <c r="T365" s="565"/>
      <c r="U365" s="565"/>
      <c r="V365" s="566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x14ac:dyDescent="0.2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70"/>
      <c r="P366" s="564" t="s">
        <v>75</v>
      </c>
      <c r="Q366" s="565"/>
      <c r="R366" s="565"/>
      <c r="S366" s="565"/>
      <c r="T366" s="565"/>
      <c r="U366" s="565"/>
      <c r="V366" s="566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customHeight="1" x14ac:dyDescent="0.25">
      <c r="A367" s="563" t="s">
        <v>162</v>
      </c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2"/>
      <c r="P367" s="562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9">
        <v>4607091384673</v>
      </c>
      <c r="E368" s="560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9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70"/>
      <c r="P369" s="564" t="s">
        <v>75</v>
      </c>
      <c r="Q369" s="565"/>
      <c r="R369" s="565"/>
      <c r="S369" s="565"/>
      <c r="T369" s="565"/>
      <c r="U369" s="565"/>
      <c r="V369" s="566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70"/>
      <c r="P370" s="564" t="s">
        <v>75</v>
      </c>
      <c r="Q370" s="565"/>
      <c r="R370" s="565"/>
      <c r="S370" s="565"/>
      <c r="T370" s="565"/>
      <c r="U370" s="565"/>
      <c r="V370" s="566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customHeight="1" x14ac:dyDescent="0.25">
      <c r="A371" s="561" t="s">
        <v>590</v>
      </c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2"/>
      <c r="P371" s="562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  <c r="AA371" s="542"/>
      <c r="AB371" s="542"/>
      <c r="AC371" s="542"/>
    </row>
    <row r="372" spans="1:68" ht="14.25" customHeight="1" x14ac:dyDescent="0.25">
      <c r="A372" s="563" t="s">
        <v>101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9">
        <v>4680115884885</v>
      </c>
      <c r="E373" s="560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9">
        <v>4680115884908</v>
      </c>
      <c r="E374" s="560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9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70"/>
      <c r="P375" s="564" t="s">
        <v>75</v>
      </c>
      <c r="Q375" s="565"/>
      <c r="R375" s="565"/>
      <c r="S375" s="565"/>
      <c r="T375" s="565"/>
      <c r="U375" s="565"/>
      <c r="V375" s="566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70"/>
      <c r="P376" s="564" t="s">
        <v>75</v>
      </c>
      <c r="Q376" s="565"/>
      <c r="R376" s="565"/>
      <c r="S376" s="565"/>
      <c r="T376" s="565"/>
      <c r="U376" s="565"/>
      <c r="V376" s="566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customHeight="1" x14ac:dyDescent="0.25">
      <c r="A377" s="563" t="s">
        <v>64</v>
      </c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2"/>
      <c r="P377" s="562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4301031303</v>
      </c>
      <c r="D378" s="559">
        <v>4607091384802</v>
      </c>
      <c r="E378" s="560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 t="s">
        <v>114</v>
      </c>
      <c r="M378" s="33" t="s">
        <v>68</v>
      </c>
      <c r="N378" s="33"/>
      <c r="O378" s="32">
        <v>35</v>
      </c>
      <c r="P378" s="6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 t="s">
        <v>108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4301031457</v>
      </c>
      <c r="D379" s="559">
        <v>4607091384802</v>
      </c>
      <c r="E379" s="560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9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70"/>
      <c r="P380" s="564" t="s">
        <v>75</v>
      </c>
      <c r="Q380" s="565"/>
      <c r="R380" s="565"/>
      <c r="S380" s="565"/>
      <c r="T380" s="565"/>
      <c r="U380" s="565"/>
      <c r="V380" s="566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70"/>
      <c r="P381" s="564" t="s">
        <v>75</v>
      </c>
      <c r="Q381" s="565"/>
      <c r="R381" s="565"/>
      <c r="S381" s="565"/>
      <c r="T381" s="565"/>
      <c r="U381" s="565"/>
      <c r="V381" s="566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63" t="s">
        <v>77</v>
      </c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9">
        <v>4607091384246</v>
      </c>
      <c r="E383" s="560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500</v>
      </c>
      <c r="Y383" s="548">
        <f>IFERROR(IF(X383="",0,CEILING((X383/$H383),1)*$H383),"")</f>
        <v>504</v>
      </c>
      <c r="Z383" s="36">
        <f>IFERROR(IF(Y383=0,"",ROUNDUP(Y383/H383,0)*0.01898),"")</f>
        <v>1.06288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527.44444444444446</v>
      </c>
      <c r="BN383" s="64">
        <f>IFERROR(Y383*I383/H383,"0")</f>
        <v>531.66399999999999</v>
      </c>
      <c r="BO383" s="64">
        <f>IFERROR(1/J383*(X383/H383),"0")</f>
        <v>0.86805555555555558</v>
      </c>
      <c r="BP383" s="64">
        <f>IFERROR(1/J383*(Y383/H383),"0")</f>
        <v>0.875</v>
      </c>
    </row>
    <row r="384" spans="1:68" ht="27" customHeight="1" x14ac:dyDescent="0.25">
      <c r="A384" s="54" t="s">
        <v>604</v>
      </c>
      <c r="B384" s="54" t="s">
        <v>605</v>
      </c>
      <c r="C384" s="31">
        <v>4301051660</v>
      </c>
      <c r="D384" s="559">
        <v>4607091384253</v>
      </c>
      <c r="E384" s="560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 t="s">
        <v>189</v>
      </c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 t="s">
        <v>108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606</v>
      </c>
      <c r="C385" s="31">
        <v>4301052069</v>
      </c>
      <c r="D385" s="559">
        <v>4607091384253</v>
      </c>
      <c r="E385" s="560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9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70"/>
      <c r="P386" s="564" t="s">
        <v>75</v>
      </c>
      <c r="Q386" s="565"/>
      <c r="R386" s="565"/>
      <c r="S386" s="565"/>
      <c r="T386" s="565"/>
      <c r="U386" s="565"/>
      <c r="V386" s="566"/>
      <c r="W386" s="37" t="s">
        <v>76</v>
      </c>
      <c r="X386" s="549">
        <f>IFERROR(X383/H383,"0")+IFERROR(X384/H384,"0")+IFERROR(X385/H385,"0")</f>
        <v>55.555555555555557</v>
      </c>
      <c r="Y386" s="549">
        <f>IFERROR(Y383/H383,"0")+IFERROR(Y384/H384,"0")+IFERROR(Y385/H385,"0")</f>
        <v>56</v>
      </c>
      <c r="Z386" s="549">
        <f>IFERROR(IF(Z383="",0,Z383),"0")+IFERROR(IF(Z384="",0,Z384),"0")+IFERROR(IF(Z385="",0,Z385),"0")</f>
        <v>1.06288</v>
      </c>
      <c r="AA386" s="550"/>
      <c r="AB386" s="550"/>
      <c r="AC386" s="550"/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70"/>
      <c r="P387" s="564" t="s">
        <v>75</v>
      </c>
      <c r="Q387" s="565"/>
      <c r="R387" s="565"/>
      <c r="S387" s="565"/>
      <c r="T387" s="565"/>
      <c r="U387" s="565"/>
      <c r="V387" s="566"/>
      <c r="W387" s="37" t="s">
        <v>69</v>
      </c>
      <c r="X387" s="549">
        <f>IFERROR(SUM(X383:X385),"0")</f>
        <v>500</v>
      </c>
      <c r="Y387" s="549">
        <f>IFERROR(SUM(Y383:Y385),"0")</f>
        <v>504</v>
      </c>
      <c r="Z387" s="37"/>
      <c r="AA387" s="550"/>
      <c r="AB387" s="550"/>
      <c r="AC387" s="550"/>
    </row>
    <row r="388" spans="1:68" ht="27.75" customHeight="1" x14ac:dyDescent="0.2">
      <c r="A388" s="641" t="s">
        <v>608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48"/>
      <c r="AB388" s="48"/>
      <c r="AC388" s="48"/>
    </row>
    <row r="389" spans="1:68" ht="16.5" customHeight="1" x14ac:dyDescent="0.25">
      <c r="A389" s="561" t="s">
        <v>609</v>
      </c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2"/>
      <c r="P389" s="562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  <c r="AA389" s="542"/>
      <c r="AB389" s="542"/>
      <c r="AC389" s="542"/>
    </row>
    <row r="390" spans="1:68" ht="14.25" customHeight="1" x14ac:dyDescent="0.25">
      <c r="A390" s="563" t="s">
        <v>64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9">
        <v>4680115886100</v>
      </c>
      <c r="E391" s="560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9">
        <v>4680115886117</v>
      </c>
      <c r="E392" s="560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9">
        <v>4680115886124</v>
      </c>
      <c r="E393" s="560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 t="s">
        <v>114</v>
      </c>
      <c r="M393" s="33" t="s">
        <v>68</v>
      </c>
      <c r="N393" s="33"/>
      <c r="O393" s="32">
        <v>50</v>
      </c>
      <c r="P393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 t="s">
        <v>108</v>
      </c>
      <c r="AK393" s="68">
        <v>64.8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9">
        <v>4680115883147</v>
      </c>
      <c r="E394" s="560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9">
        <v>4607091384338</v>
      </c>
      <c r="E395" s="560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9">
        <v>4607091389524</v>
      </c>
      <c r="E396" s="560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9">
        <v>4680115883161</v>
      </c>
      <c r="E397" s="560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9">
        <v>4607091389531</v>
      </c>
      <c r="E398" s="560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9">
        <v>4607091384345</v>
      </c>
      <c r="E399" s="560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9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70"/>
      <c r="P400" s="564" t="s">
        <v>75</v>
      </c>
      <c r="Q400" s="565"/>
      <c r="R400" s="565"/>
      <c r="S400" s="565"/>
      <c r="T400" s="565"/>
      <c r="U400" s="565"/>
      <c r="V400" s="566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70"/>
      <c r="P401" s="564" t="s">
        <v>75</v>
      </c>
      <c r="Q401" s="565"/>
      <c r="R401" s="565"/>
      <c r="S401" s="565"/>
      <c r="T401" s="565"/>
      <c r="U401" s="565"/>
      <c r="V401" s="566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customHeight="1" x14ac:dyDescent="0.25">
      <c r="A402" s="563" t="s">
        <v>77</v>
      </c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2"/>
      <c r="P402" s="562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9">
        <v>4607091384352</v>
      </c>
      <c r="E403" s="560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9">
        <v>4607091389654</v>
      </c>
      <c r="E404" s="560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9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70"/>
      <c r="P405" s="564" t="s">
        <v>75</v>
      </c>
      <c r="Q405" s="565"/>
      <c r="R405" s="565"/>
      <c r="S405" s="565"/>
      <c r="T405" s="565"/>
      <c r="U405" s="565"/>
      <c r="V405" s="566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70"/>
      <c r="P406" s="564" t="s">
        <v>75</v>
      </c>
      <c r="Q406" s="565"/>
      <c r="R406" s="565"/>
      <c r="S406" s="565"/>
      <c r="T406" s="565"/>
      <c r="U406" s="565"/>
      <c r="V406" s="566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61" t="s">
        <v>640</v>
      </c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2"/>
      <c r="P407" s="562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  <c r="AA407" s="542"/>
      <c r="AB407" s="542"/>
      <c r="AC407" s="542"/>
    </row>
    <row r="408" spans="1:68" ht="14.25" customHeight="1" x14ac:dyDescent="0.25">
      <c r="A408" s="563" t="s">
        <v>137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9">
        <v>4680115885240</v>
      </c>
      <c r="E409" s="560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9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70"/>
      <c r="P410" s="564" t="s">
        <v>75</v>
      </c>
      <c r="Q410" s="565"/>
      <c r="R410" s="565"/>
      <c r="S410" s="565"/>
      <c r="T410" s="565"/>
      <c r="U410" s="565"/>
      <c r="V410" s="566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70"/>
      <c r="P411" s="564" t="s">
        <v>75</v>
      </c>
      <c r="Q411" s="565"/>
      <c r="R411" s="565"/>
      <c r="S411" s="565"/>
      <c r="T411" s="565"/>
      <c r="U411" s="565"/>
      <c r="V411" s="566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63" t="s">
        <v>64</v>
      </c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9">
        <v>4680115886094</v>
      </c>
      <c r="E413" s="560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9">
        <v>4607091389425</v>
      </c>
      <c r="E414" s="560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9">
        <v>4680115880771</v>
      </c>
      <c r="E415" s="560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9">
        <v>4607091389500</v>
      </c>
      <c r="E416" s="560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9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70"/>
      <c r="P417" s="564" t="s">
        <v>75</v>
      </c>
      <c r="Q417" s="565"/>
      <c r="R417" s="565"/>
      <c r="S417" s="565"/>
      <c r="T417" s="565"/>
      <c r="U417" s="565"/>
      <c r="V417" s="566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70"/>
      <c r="P418" s="564" t="s">
        <v>75</v>
      </c>
      <c r="Q418" s="565"/>
      <c r="R418" s="565"/>
      <c r="S418" s="565"/>
      <c r="T418" s="565"/>
      <c r="U418" s="565"/>
      <c r="V418" s="566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customHeight="1" x14ac:dyDescent="0.25">
      <c r="A419" s="561" t="s">
        <v>655</v>
      </c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2"/>
      <c r="P419" s="562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  <c r="AA419" s="542"/>
      <c r="AB419" s="542"/>
      <c r="AC419" s="542"/>
    </row>
    <row r="420" spans="1:68" ht="14.25" customHeight="1" x14ac:dyDescent="0.25">
      <c r="A420" s="563" t="s">
        <v>64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9">
        <v>4680115885110</v>
      </c>
      <c r="E421" s="560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69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70"/>
      <c r="P422" s="564" t="s">
        <v>75</v>
      </c>
      <c r="Q422" s="565"/>
      <c r="R422" s="565"/>
      <c r="S422" s="565"/>
      <c r="T422" s="565"/>
      <c r="U422" s="565"/>
      <c r="V422" s="566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70"/>
      <c r="P423" s="564" t="s">
        <v>75</v>
      </c>
      <c r="Q423" s="565"/>
      <c r="R423" s="565"/>
      <c r="S423" s="565"/>
      <c r="T423" s="565"/>
      <c r="U423" s="565"/>
      <c r="V423" s="566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customHeight="1" x14ac:dyDescent="0.2">
      <c r="A424" s="641" t="s">
        <v>659</v>
      </c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48"/>
      <c r="AB424" s="48"/>
      <c r="AC424" s="48"/>
    </row>
    <row r="425" spans="1:68" ht="16.5" customHeight="1" x14ac:dyDescent="0.25">
      <c r="A425" s="561" t="s">
        <v>659</v>
      </c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  <c r="AA425" s="542"/>
      <c r="AB425" s="542"/>
      <c r="AC425" s="542"/>
    </row>
    <row r="426" spans="1:68" ht="14.25" customHeight="1" x14ac:dyDescent="0.25">
      <c r="A426" s="563" t="s">
        <v>101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9">
        <v>4607091389067</v>
      </c>
      <c r="E427" s="560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4301012210</v>
      </c>
      <c r="D428" s="559">
        <v>4607091383522</v>
      </c>
      <c r="E428" s="560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4301012145</v>
      </c>
      <c r="D429" s="559">
        <v>4607091383522</v>
      </c>
      <c r="E429" s="560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9">
        <v>4680115885271</v>
      </c>
      <c r="E430" s="560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9">
        <v>4680115885226</v>
      </c>
      <c r="E431" s="560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600</v>
      </c>
      <c r="Y431" s="548">
        <f t="shared" si="47"/>
        <v>601.92000000000007</v>
      </c>
      <c r="Z431" s="36">
        <f t="shared" si="48"/>
        <v>1.36344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639.77272727272725</v>
      </c>
      <c r="BN431" s="64">
        <f t="shared" si="50"/>
        <v>641.82000000000005</v>
      </c>
      <c r="BO431" s="64">
        <f t="shared" si="51"/>
        <v>1.0926573426573427</v>
      </c>
      <c r="BP431" s="64">
        <f t="shared" si="52"/>
        <v>1.0961538461538463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9">
        <v>4680115884502</v>
      </c>
      <c r="E432" s="560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9">
        <v>4607091389104</v>
      </c>
      <c r="E433" s="560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700</v>
      </c>
      <c r="Y433" s="548">
        <f t="shared" si="47"/>
        <v>702.24</v>
      </c>
      <c r="Z433" s="36">
        <f t="shared" si="48"/>
        <v>1.5906800000000001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746.40151515151513</v>
      </c>
      <c r="BN433" s="64">
        <f t="shared" si="50"/>
        <v>748.79</v>
      </c>
      <c r="BO433" s="64">
        <f t="shared" si="51"/>
        <v>1.2747668997668997</v>
      </c>
      <c r="BP433" s="64">
        <f t="shared" si="52"/>
        <v>1.278846153846154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9">
        <v>4680115886391</v>
      </c>
      <c r="E434" s="560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9">
        <v>4680115880603</v>
      </c>
      <c r="E435" s="560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120</v>
      </c>
      <c r="Y435" s="548">
        <f t="shared" si="47"/>
        <v>120</v>
      </c>
      <c r="Z435" s="36">
        <f>IFERROR(IF(Y435=0,"",ROUNDUP(Y435/H435,0)*0.00902),"")</f>
        <v>0.22550000000000001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172.75000000000003</v>
      </c>
      <c r="BN435" s="64">
        <f t="shared" si="50"/>
        <v>172.75000000000003</v>
      </c>
      <c r="BO435" s="64">
        <f t="shared" si="51"/>
        <v>0.18939393939393939</v>
      </c>
      <c r="BP435" s="64">
        <f t="shared" si="52"/>
        <v>0.18939393939393939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9">
        <v>4680115882782</v>
      </c>
      <c r="E436" s="560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9">
        <v>4680115885479</v>
      </c>
      <c r="E437" s="560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9">
        <v>4607091389982</v>
      </c>
      <c r="E438" s="560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9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70"/>
      <c r="P439" s="564" t="s">
        <v>75</v>
      </c>
      <c r="Q439" s="565"/>
      <c r="R439" s="565"/>
      <c r="S439" s="565"/>
      <c r="T439" s="565"/>
      <c r="U439" s="565"/>
      <c r="V439" s="566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271.21212121212119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272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3.1796199999999999</v>
      </c>
      <c r="AA439" s="550"/>
      <c r="AB439" s="550"/>
      <c r="AC439" s="550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70"/>
      <c r="P440" s="564" t="s">
        <v>75</v>
      </c>
      <c r="Q440" s="565"/>
      <c r="R440" s="565"/>
      <c r="S440" s="565"/>
      <c r="T440" s="565"/>
      <c r="U440" s="565"/>
      <c r="V440" s="566"/>
      <c r="W440" s="37" t="s">
        <v>69</v>
      </c>
      <c r="X440" s="549">
        <f>IFERROR(SUM(X427:X438),"0")</f>
        <v>1420</v>
      </c>
      <c r="Y440" s="549">
        <f>IFERROR(SUM(Y427:Y438),"0")</f>
        <v>1424.16</v>
      </c>
      <c r="Z440" s="37"/>
      <c r="AA440" s="550"/>
      <c r="AB440" s="550"/>
      <c r="AC440" s="550"/>
    </row>
    <row r="441" spans="1:68" ht="14.25" customHeight="1" x14ac:dyDescent="0.25">
      <c r="A441" s="563" t="s">
        <v>137</v>
      </c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9">
        <v>4607091388930</v>
      </c>
      <c r="E442" s="560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450</v>
      </c>
      <c r="Y442" s="548">
        <f>IFERROR(IF(X442="",0,CEILING((X442/$H442),1)*$H442),"")</f>
        <v>454.08000000000004</v>
      </c>
      <c r="Z442" s="36">
        <f>IFERROR(IF(Y442=0,"",ROUNDUP(Y442/H442,0)*0.01196),"")</f>
        <v>1.0285599999999999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479.82954545454544</v>
      </c>
      <c r="BN442" s="64">
        <f>IFERROR(Y442*I442/H442,"0")</f>
        <v>484.18</v>
      </c>
      <c r="BO442" s="64">
        <f>IFERROR(1/J442*(X442/H442),"0")</f>
        <v>0.81949300699300698</v>
      </c>
      <c r="BP442" s="64">
        <f>IFERROR(1/J442*(Y442/H442),"0")</f>
        <v>0.82692307692307698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9">
        <v>4680115886407</v>
      </c>
      <c r="E443" s="560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9">
        <v>4680115880054</v>
      </c>
      <c r="E444" s="560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114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9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70"/>
      <c r="P445" s="564" t="s">
        <v>75</v>
      </c>
      <c r="Q445" s="565"/>
      <c r="R445" s="565"/>
      <c r="S445" s="565"/>
      <c r="T445" s="565"/>
      <c r="U445" s="565"/>
      <c r="V445" s="566"/>
      <c r="W445" s="37" t="s">
        <v>76</v>
      </c>
      <c r="X445" s="549">
        <f>IFERROR(X442/H442,"0")+IFERROR(X443/H443,"0")+IFERROR(X444/H444,"0")</f>
        <v>85.22727272727272</v>
      </c>
      <c r="Y445" s="549">
        <f>IFERROR(Y442/H442,"0")+IFERROR(Y443/H443,"0")+IFERROR(Y444/H444,"0")</f>
        <v>86</v>
      </c>
      <c r="Z445" s="549">
        <f>IFERROR(IF(Z442="",0,Z442),"0")+IFERROR(IF(Z443="",0,Z443),"0")+IFERROR(IF(Z444="",0,Z444),"0")</f>
        <v>1.0285599999999999</v>
      </c>
      <c r="AA445" s="550"/>
      <c r="AB445" s="550"/>
      <c r="AC445" s="550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70"/>
      <c r="P446" s="564" t="s">
        <v>75</v>
      </c>
      <c r="Q446" s="565"/>
      <c r="R446" s="565"/>
      <c r="S446" s="565"/>
      <c r="T446" s="565"/>
      <c r="U446" s="565"/>
      <c r="V446" s="566"/>
      <c r="W446" s="37" t="s">
        <v>69</v>
      </c>
      <c r="X446" s="549">
        <f>IFERROR(SUM(X442:X444),"0")</f>
        <v>450</v>
      </c>
      <c r="Y446" s="549">
        <f>IFERROR(SUM(Y442:Y444),"0")</f>
        <v>454.08000000000004</v>
      </c>
      <c r="Z446" s="37"/>
      <c r="AA446" s="550"/>
      <c r="AB446" s="550"/>
      <c r="AC446" s="550"/>
    </row>
    <row r="447" spans="1:68" ht="14.25" customHeight="1" x14ac:dyDescent="0.25">
      <c r="A447" s="563" t="s">
        <v>64</v>
      </c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2"/>
      <c r="P447" s="562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9">
        <v>4680115883116</v>
      </c>
      <c r="E448" s="560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0</v>
      </c>
      <c r="Y448" s="548">
        <f t="shared" ref="Y448:Y453" si="53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0</v>
      </c>
      <c r="BN448" s="64">
        <f t="shared" ref="BN448:BN453" si="55">IFERROR(Y448*I448/H448,"0")</f>
        <v>0</v>
      </c>
      <c r="BO448" s="64">
        <f t="shared" ref="BO448:BO453" si="56">IFERROR(1/J448*(X448/H448),"0")</f>
        <v>0</v>
      </c>
      <c r="BP448" s="64">
        <f t="shared" ref="BP448:BP453" si="57">IFERROR(1/J448*(Y448/H448),"0")</f>
        <v>0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9">
        <v>4680115883093</v>
      </c>
      <c r="E449" s="560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9">
        <v>4680115883109</v>
      </c>
      <c r="E450" s="560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9">
        <v>4680115882072</v>
      </c>
      <c r="E451" s="560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9">
        <v>4680115882102</v>
      </c>
      <c r="E452" s="560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9">
        <v>4680115882096</v>
      </c>
      <c r="E453" s="560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9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70"/>
      <c r="P454" s="564" t="s">
        <v>75</v>
      </c>
      <c r="Q454" s="565"/>
      <c r="R454" s="565"/>
      <c r="S454" s="565"/>
      <c r="T454" s="565"/>
      <c r="U454" s="565"/>
      <c r="V454" s="566"/>
      <c r="W454" s="37" t="s">
        <v>76</v>
      </c>
      <c r="X454" s="549">
        <f>IFERROR(X448/H448,"0")+IFERROR(X449/H449,"0")+IFERROR(X450/H450,"0")+IFERROR(X451/H451,"0")+IFERROR(X452/H452,"0")+IFERROR(X453/H453,"0")</f>
        <v>0</v>
      </c>
      <c r="Y454" s="549">
        <f>IFERROR(Y448/H448,"0")+IFERROR(Y449/H449,"0")+IFERROR(Y450/H450,"0")+IFERROR(Y451/H451,"0")+IFERROR(Y452/H452,"0")+IFERROR(Y453/H453,"0")</f>
        <v>0</v>
      </c>
      <c r="Z454" s="549">
        <f>IFERROR(IF(Z448="",0,Z448),"0")+IFERROR(IF(Z449="",0,Z449),"0")+IFERROR(IF(Z450="",0,Z450),"0")+IFERROR(IF(Z451="",0,Z451),"0")+IFERROR(IF(Z452="",0,Z452),"0")+IFERROR(IF(Z453="",0,Z453),"0")</f>
        <v>0</v>
      </c>
      <c r="AA454" s="550"/>
      <c r="AB454" s="550"/>
      <c r="AC454" s="550"/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70"/>
      <c r="P455" s="564" t="s">
        <v>75</v>
      </c>
      <c r="Q455" s="565"/>
      <c r="R455" s="565"/>
      <c r="S455" s="565"/>
      <c r="T455" s="565"/>
      <c r="U455" s="565"/>
      <c r="V455" s="566"/>
      <c r="W455" s="37" t="s">
        <v>69</v>
      </c>
      <c r="X455" s="549">
        <f>IFERROR(SUM(X448:X453),"0")</f>
        <v>0</v>
      </c>
      <c r="Y455" s="549">
        <f>IFERROR(SUM(Y448:Y453),"0")</f>
        <v>0</v>
      </c>
      <c r="Z455" s="37"/>
      <c r="AA455" s="550"/>
      <c r="AB455" s="550"/>
      <c r="AC455" s="550"/>
    </row>
    <row r="456" spans="1:68" ht="14.25" customHeight="1" x14ac:dyDescent="0.25">
      <c r="A456" s="563" t="s">
        <v>77</v>
      </c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2"/>
      <c r="P456" s="562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9">
        <v>4680115883536</v>
      </c>
      <c r="E457" s="560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9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70"/>
      <c r="P458" s="564" t="s">
        <v>75</v>
      </c>
      <c r="Q458" s="565"/>
      <c r="R458" s="565"/>
      <c r="S458" s="565"/>
      <c r="T458" s="565"/>
      <c r="U458" s="565"/>
      <c r="V458" s="566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70"/>
      <c r="P459" s="564" t="s">
        <v>75</v>
      </c>
      <c r="Q459" s="565"/>
      <c r="R459" s="565"/>
      <c r="S459" s="565"/>
      <c r="T459" s="565"/>
      <c r="U459" s="565"/>
      <c r="V459" s="566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1" t="s">
        <v>714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48"/>
      <c r="AB460" s="48"/>
      <c r="AC460" s="48"/>
    </row>
    <row r="461" spans="1:68" ht="16.5" customHeight="1" x14ac:dyDescent="0.25">
      <c r="A461" s="561" t="s">
        <v>714</v>
      </c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2"/>
      <c r="P461" s="562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  <c r="AA461" s="542"/>
      <c r="AB461" s="542"/>
      <c r="AC461" s="542"/>
    </row>
    <row r="462" spans="1:68" ht="14.25" customHeight="1" x14ac:dyDescent="0.25">
      <c r="A462" s="563" t="s">
        <v>101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9">
        <v>4640242181011</v>
      </c>
      <c r="E463" s="560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9">
        <v>4640242180441</v>
      </c>
      <c r="E464" s="560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9">
        <v>4640242180564</v>
      </c>
      <c r="E465" s="560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 t="s">
        <v>105</v>
      </c>
      <c r="M465" s="33" t="s">
        <v>106</v>
      </c>
      <c r="N465" s="33"/>
      <c r="O465" s="32">
        <v>50</v>
      </c>
      <c r="P465" s="8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 t="s">
        <v>108</v>
      </c>
      <c r="AK465" s="68">
        <v>96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9">
        <v>4640242181189</v>
      </c>
      <c r="E466" s="560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9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70"/>
      <c r="P467" s="564" t="s">
        <v>75</v>
      </c>
      <c r="Q467" s="565"/>
      <c r="R467" s="565"/>
      <c r="S467" s="565"/>
      <c r="T467" s="565"/>
      <c r="U467" s="565"/>
      <c r="V467" s="566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70"/>
      <c r="P468" s="564" t="s">
        <v>75</v>
      </c>
      <c r="Q468" s="565"/>
      <c r="R468" s="565"/>
      <c r="S468" s="565"/>
      <c r="T468" s="565"/>
      <c r="U468" s="565"/>
      <c r="V468" s="566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63" t="s">
        <v>137</v>
      </c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2"/>
      <c r="P469" s="562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9">
        <v>4640242180519</v>
      </c>
      <c r="E470" s="560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9">
        <v>4640242180526</v>
      </c>
      <c r="E471" s="560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9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70"/>
      <c r="P472" s="564" t="s">
        <v>75</v>
      </c>
      <c r="Q472" s="565"/>
      <c r="R472" s="565"/>
      <c r="S472" s="565"/>
      <c r="T472" s="565"/>
      <c r="U472" s="565"/>
      <c r="V472" s="566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70"/>
      <c r="P473" s="564" t="s">
        <v>75</v>
      </c>
      <c r="Q473" s="565"/>
      <c r="R473" s="565"/>
      <c r="S473" s="565"/>
      <c r="T473" s="565"/>
      <c r="U473" s="565"/>
      <c r="V473" s="566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63" t="s">
        <v>64</v>
      </c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2"/>
      <c r="P474" s="562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9">
        <v>4640242180595</v>
      </c>
      <c r="E475" s="560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9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70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70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2"/>
      <c r="P478" s="562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9">
        <v>4640242180533</v>
      </c>
      <c r="E479" s="560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9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70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3" t="s">
        <v>162</v>
      </c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2"/>
      <c r="P482" s="562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9">
        <v>4640242180120</v>
      </c>
      <c r="E483" s="560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0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9">
        <v>4640242180137</v>
      </c>
      <c r="E484" s="560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9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70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70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1" t="s">
        <v>744</v>
      </c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2"/>
      <c r="P487" s="562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  <c r="AA487" s="542"/>
      <c r="AB487" s="542"/>
      <c r="AC487" s="542"/>
    </row>
    <row r="488" spans="1:68" ht="14.25" customHeight="1" x14ac:dyDescent="0.25">
      <c r="A488" s="563" t="s">
        <v>137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9">
        <v>4640242180090</v>
      </c>
      <c r="E489" s="560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9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70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70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5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721"/>
      <c r="P492" s="711" t="s">
        <v>748</v>
      </c>
      <c r="Q492" s="671"/>
      <c r="R492" s="671"/>
      <c r="S492" s="671"/>
      <c r="T492" s="671"/>
      <c r="U492" s="671"/>
      <c r="V492" s="672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5040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5066.34</v>
      </c>
      <c r="Z492" s="37"/>
      <c r="AA492" s="550"/>
      <c r="AB492" s="550"/>
      <c r="AC492" s="550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1"/>
      <c r="P493" s="711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49">
        <f>IFERROR(SUM(BM22:BM489),"0")</f>
        <v>5380.5503310886643</v>
      </c>
      <c r="Y493" s="549">
        <f>IFERROR(SUM(BN22:BN489),"0")</f>
        <v>5408.5460000000003</v>
      </c>
      <c r="Z493" s="37"/>
      <c r="AA493" s="550"/>
      <c r="AB493" s="550"/>
      <c r="AC493" s="550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1"/>
      <c r="P494" s="711" t="s">
        <v>750</v>
      </c>
      <c r="Q494" s="671"/>
      <c r="R494" s="671"/>
      <c r="S494" s="671"/>
      <c r="T494" s="671"/>
      <c r="U494" s="671"/>
      <c r="V494" s="672"/>
      <c r="W494" s="37" t="s">
        <v>751</v>
      </c>
      <c r="X494" s="38">
        <f>ROUNDUP(SUM(BO22:BO489),0)</f>
        <v>9</v>
      </c>
      <c r="Y494" s="38">
        <f>ROUNDUP(SUM(BP22:BP489),0)</f>
        <v>9</v>
      </c>
      <c r="Z494" s="37"/>
      <c r="AA494" s="550"/>
      <c r="AB494" s="550"/>
      <c r="AC494" s="550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1"/>
      <c r="P495" s="711" t="s">
        <v>752</v>
      </c>
      <c r="Q495" s="671"/>
      <c r="R495" s="671"/>
      <c r="S495" s="671"/>
      <c r="T495" s="671"/>
      <c r="U495" s="671"/>
      <c r="V495" s="672"/>
      <c r="W495" s="37" t="s">
        <v>69</v>
      </c>
      <c r="X495" s="549">
        <f>GrossWeightTotal+PalletQtyTotal*25</f>
        <v>5605.5503310886643</v>
      </c>
      <c r="Y495" s="549">
        <f>GrossWeightTotalR+PalletQtyTotalR*25</f>
        <v>5633.5460000000003</v>
      </c>
      <c r="Z495" s="37"/>
      <c r="AA495" s="550"/>
      <c r="AB495" s="550"/>
      <c r="AC495" s="550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1"/>
      <c r="P496" s="711" t="s">
        <v>753</v>
      </c>
      <c r="Q496" s="671"/>
      <c r="R496" s="671"/>
      <c r="S496" s="671"/>
      <c r="T496" s="671"/>
      <c r="U496" s="671"/>
      <c r="V496" s="672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847.37766554433222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852</v>
      </c>
      <c r="Z496" s="37"/>
      <c r="AA496" s="550"/>
      <c r="AB496" s="550"/>
      <c r="AC496" s="550"/>
    </row>
    <row r="497" spans="1:32" ht="14.25" customHeight="1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1"/>
      <c r="P497" s="711" t="s">
        <v>754</v>
      </c>
      <c r="Q497" s="671"/>
      <c r="R497" s="671"/>
      <c r="S497" s="671"/>
      <c r="T497" s="671"/>
      <c r="U497" s="671"/>
      <c r="V497" s="672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10.315659999999999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7" t="s">
        <v>99</v>
      </c>
      <c r="D499" s="605"/>
      <c r="E499" s="605"/>
      <c r="F499" s="605"/>
      <c r="G499" s="605"/>
      <c r="H499" s="606"/>
      <c r="I499" s="597" t="s">
        <v>273</v>
      </c>
      <c r="J499" s="605"/>
      <c r="K499" s="605"/>
      <c r="L499" s="605"/>
      <c r="M499" s="605"/>
      <c r="N499" s="605"/>
      <c r="O499" s="605"/>
      <c r="P499" s="605"/>
      <c r="Q499" s="605"/>
      <c r="R499" s="606"/>
      <c r="S499" s="597" t="s">
        <v>554</v>
      </c>
      <c r="T499" s="606"/>
      <c r="U499" s="597" t="s">
        <v>608</v>
      </c>
      <c r="V499" s="605"/>
      <c r="W499" s="606"/>
      <c r="X499" s="544" t="s">
        <v>659</v>
      </c>
      <c r="Y499" s="597" t="s">
        <v>714</v>
      </c>
      <c r="Z499" s="606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7" t="s">
        <v>63</v>
      </c>
      <c r="C500" s="597" t="s">
        <v>100</v>
      </c>
      <c r="D500" s="597" t="s">
        <v>118</v>
      </c>
      <c r="E500" s="597" t="s">
        <v>169</v>
      </c>
      <c r="F500" s="597" t="s">
        <v>193</v>
      </c>
      <c r="G500" s="597" t="s">
        <v>230</v>
      </c>
      <c r="H500" s="597" t="s">
        <v>99</v>
      </c>
      <c r="I500" s="597" t="s">
        <v>274</v>
      </c>
      <c r="J500" s="597" t="s">
        <v>324</v>
      </c>
      <c r="K500" s="597" t="s">
        <v>383</v>
      </c>
      <c r="L500" s="597" t="s">
        <v>423</v>
      </c>
      <c r="M500" s="597" t="s">
        <v>439</v>
      </c>
      <c r="N500" s="545"/>
      <c r="O500" s="597" t="s">
        <v>450</v>
      </c>
      <c r="P500" s="597" t="s">
        <v>459</v>
      </c>
      <c r="Q500" s="597" t="s">
        <v>472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714</v>
      </c>
      <c r="Z500" s="597" t="s">
        <v>744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2" s="46">
        <f>IFERROR(Y85*1,"0")+IFERROR(Y86*1,"0")+IFERROR(Y87*1,"0")+IFERROR(Y88*1,"0")+IFERROR(Y92*1,"0")+IFERROR(Y93*1,"0")+IFERROR(Y94*1,"0")+IFERROR(Y95*1,"0")</f>
        <v>135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720.90000000000009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283.2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0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1545</v>
      </c>
      <c r="T502" s="46">
        <f>IFERROR(Y373*1,"0")+IFERROR(Y374*1,"0")+IFERROR(Y378*1,"0")+IFERROR(Y379*1,"0")+IFERROR(Y383*1,"0")+IFERROR(Y384*1,"0")+IFERROR(Y385*1,"0")</f>
        <v>504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1878.2400000000002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U01iM9xRYqNWWWM9DJf+f4AvNKcnmF9fJyX5yE1qC09FEjf01NhjPt2iAYdbpjAlkceOpqhGHy5YV4XcoUIL4w==" saltValue="sT5Q0aC1kk/fJfivtTXM/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D218:E21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A107:Z107"/>
    <mergeCell ref="A51:Z51"/>
    <mergeCell ref="D341:E341"/>
    <mergeCell ref="D170:E170"/>
    <mergeCell ref="P72:T72"/>
    <mergeCell ref="A58:O59"/>
    <mergeCell ref="P484:T484"/>
    <mergeCell ref="A478:Z478"/>
    <mergeCell ref="W500:W501"/>
    <mergeCell ref="P436:T436"/>
    <mergeCell ref="P145:V145"/>
    <mergeCell ref="D29:E29"/>
    <mergeCell ref="D23:E23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AA17:AA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38:E438"/>
    <mergeCell ref="P395:T395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A419:Z419"/>
    <mergeCell ref="P204:T204"/>
    <mergeCell ref="P306:T30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T5:U5"/>
    <mergeCell ref="V5:W5"/>
    <mergeCell ref="P374:T374"/>
    <mergeCell ref="P203:T203"/>
    <mergeCell ref="A319:Z319"/>
    <mergeCell ref="D233:E233"/>
    <mergeCell ref="D111:E111"/>
    <mergeCell ref="P212:V212"/>
    <mergeCell ref="D409:E409"/>
    <mergeCell ref="A142:Z142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M500:M501"/>
    <mergeCell ref="A259:Z259"/>
    <mergeCell ref="O500:O501"/>
    <mergeCell ref="A126:Z126"/>
    <mergeCell ref="A424:Z424"/>
    <mergeCell ref="P228:V228"/>
    <mergeCell ref="A12:M12"/>
    <mergeCell ref="P355:V355"/>
    <mergeCell ref="P293:V293"/>
    <mergeCell ref="A482:Z482"/>
    <mergeCell ref="P397:T397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A441:Z441"/>
    <mergeCell ref="P245:V24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P393:T393"/>
    <mergeCell ref="D374:E374"/>
    <mergeCell ref="A338:Z338"/>
    <mergeCell ref="D203:E203"/>
    <mergeCell ref="P165:V165"/>
    <mergeCell ref="P232:T23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69 X171 X176 X194 X203:X208 X210 X214:X217 X219:X222 X239 X261 X263 X279:X280 X305 X313 X321 X328:X329 X341:X342 X348:X350 X358 X373 X378 X383:X384 X393 X427 X430:X431 X433 X442 X444 X448:X450 X465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I8qPdIK8Jg6kmX8HSbDxws9WoiU1jQ7pHTt+d3QXRZybGGnKHdfYdn3y6WMGK8jUKEM/QwVW3q4keIcfp7DeQ==" saltValue="VzygxUSxri78WFZ5n2+pc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2025-12-19T08:14:44Z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