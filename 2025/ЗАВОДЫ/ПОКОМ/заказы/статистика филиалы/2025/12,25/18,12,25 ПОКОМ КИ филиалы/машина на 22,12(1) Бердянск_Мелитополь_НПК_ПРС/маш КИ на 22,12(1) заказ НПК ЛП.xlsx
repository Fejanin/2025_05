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3C12D7A9-53AD-415E-85C2-A7824EAAF87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O351" i="1"/>
  <c r="BM351" i="1"/>
  <c r="Y351" i="1"/>
  <c r="BP351" i="1" s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Y312" i="1" s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Y292" i="1" s="1"/>
  <c r="P290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N198" i="1"/>
  <c r="BM198" i="1"/>
  <c r="Z198" i="1"/>
  <c r="Z200" i="1" s="1"/>
  <c r="Y198" i="1"/>
  <c r="P198" i="1"/>
  <c r="X196" i="1"/>
  <c r="X195" i="1"/>
  <c r="BP194" i="1"/>
  <c r="BO194" i="1"/>
  <c r="BN194" i="1"/>
  <c r="BM194" i="1"/>
  <c r="Z194" i="1"/>
  <c r="Y194" i="1"/>
  <c r="P194" i="1"/>
  <c r="BO193" i="1"/>
  <c r="BM193" i="1"/>
  <c r="Y193" i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Y186" i="1" s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BO149" i="1"/>
  <c r="BM149" i="1"/>
  <c r="Y149" i="1"/>
  <c r="BO148" i="1"/>
  <c r="BM148" i="1"/>
  <c r="Y148" i="1"/>
  <c r="H503" i="1" s="1"/>
  <c r="X146" i="1"/>
  <c r="Y145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Y130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3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351" i="1" l="1"/>
  <c r="BN351" i="1"/>
  <c r="Y33" i="1"/>
  <c r="D503" i="1"/>
  <c r="Y58" i="1"/>
  <c r="Y64" i="1"/>
  <c r="BP61" i="1"/>
  <c r="BN61" i="1"/>
  <c r="Z61" i="1"/>
  <c r="BP73" i="1"/>
  <c r="BN73" i="1"/>
  <c r="Z73" i="1"/>
  <c r="Z76" i="1" s="1"/>
  <c r="BP86" i="1"/>
  <c r="BN86" i="1"/>
  <c r="Z86" i="1"/>
  <c r="Z89" i="1" s="1"/>
  <c r="BP94" i="1"/>
  <c r="BN94" i="1"/>
  <c r="Z94" i="1"/>
  <c r="BP111" i="1"/>
  <c r="BN111" i="1"/>
  <c r="Z111" i="1"/>
  <c r="Y120" i="1"/>
  <c r="BP115" i="1"/>
  <c r="BN115" i="1"/>
  <c r="Z115" i="1"/>
  <c r="BP150" i="1"/>
  <c r="BN150" i="1"/>
  <c r="Z150" i="1"/>
  <c r="Y154" i="1"/>
  <c r="BP298" i="1"/>
  <c r="BN298" i="1"/>
  <c r="Z298" i="1"/>
  <c r="Y319" i="1"/>
  <c r="BP314" i="1"/>
  <c r="BN314" i="1"/>
  <c r="Z314" i="1"/>
  <c r="Y318" i="1"/>
  <c r="BP322" i="1"/>
  <c r="BN322" i="1"/>
  <c r="Z322" i="1"/>
  <c r="Z324" i="1" s="1"/>
  <c r="Y324" i="1"/>
  <c r="Y25" i="1"/>
  <c r="Y37" i="1"/>
  <c r="Y45" i="1"/>
  <c r="Y49" i="1"/>
  <c r="Y59" i="1"/>
  <c r="BP103" i="1"/>
  <c r="BN103" i="1"/>
  <c r="Z103" i="1"/>
  <c r="Y113" i="1"/>
  <c r="Y119" i="1"/>
  <c r="BP128" i="1"/>
  <c r="BN128" i="1"/>
  <c r="Z128" i="1"/>
  <c r="Z129" i="1" s="1"/>
  <c r="Y135" i="1"/>
  <c r="BP132" i="1"/>
  <c r="BN132" i="1"/>
  <c r="Z132" i="1"/>
  <c r="Z134" i="1" s="1"/>
  <c r="Y155" i="1"/>
  <c r="BP148" i="1"/>
  <c r="BN148" i="1"/>
  <c r="Z148" i="1"/>
  <c r="BP168" i="1"/>
  <c r="BN168" i="1"/>
  <c r="Z168" i="1"/>
  <c r="Z179" i="1" s="1"/>
  <c r="BP172" i="1"/>
  <c r="BN172" i="1"/>
  <c r="Z172" i="1"/>
  <c r="BP176" i="1"/>
  <c r="BN176" i="1"/>
  <c r="Z176" i="1"/>
  <c r="BP184" i="1"/>
  <c r="BN184" i="1"/>
  <c r="Z184" i="1"/>
  <c r="Y189" i="1"/>
  <c r="BP188" i="1"/>
  <c r="BN188" i="1"/>
  <c r="Z188" i="1"/>
  <c r="Z189" i="1" s="1"/>
  <c r="J503" i="1"/>
  <c r="Y196" i="1"/>
  <c r="BP193" i="1"/>
  <c r="BN193" i="1"/>
  <c r="Z193" i="1"/>
  <c r="Z195" i="1" s="1"/>
  <c r="Y302" i="1"/>
  <c r="BP306" i="1"/>
  <c r="BN306" i="1"/>
  <c r="Z306" i="1"/>
  <c r="Z311" i="1" s="1"/>
  <c r="BP310" i="1"/>
  <c r="BN310" i="1"/>
  <c r="Z310" i="1"/>
  <c r="H9" i="1"/>
  <c r="B503" i="1"/>
  <c r="X494" i="1"/>
  <c r="X495" i="1"/>
  <c r="Z23" i="1"/>
  <c r="Z24" i="1" s="1"/>
  <c r="BN23" i="1"/>
  <c r="Y494" i="1" s="1"/>
  <c r="Y24" i="1"/>
  <c r="X493" i="1"/>
  <c r="Z27" i="1"/>
  <c r="BN27" i="1"/>
  <c r="BP27" i="1"/>
  <c r="Y495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BP57" i="1"/>
  <c r="BN57" i="1"/>
  <c r="BP63" i="1"/>
  <c r="BN63" i="1"/>
  <c r="Z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Z105" i="1" s="1"/>
  <c r="Y105" i="1"/>
  <c r="BP109" i="1"/>
  <c r="BN109" i="1"/>
  <c r="Z109" i="1"/>
  <c r="Z112" i="1" s="1"/>
  <c r="BP117" i="1"/>
  <c r="BN117" i="1"/>
  <c r="Z117" i="1"/>
  <c r="Y134" i="1"/>
  <c r="BP138" i="1"/>
  <c r="BN138" i="1"/>
  <c r="Z138" i="1"/>
  <c r="Z139" i="1" s="1"/>
  <c r="Y140" i="1"/>
  <c r="Y146" i="1"/>
  <c r="BP143" i="1"/>
  <c r="BN143" i="1"/>
  <c r="Z143" i="1"/>
  <c r="Z145" i="1" s="1"/>
  <c r="BP149" i="1"/>
  <c r="BN149" i="1"/>
  <c r="Z149" i="1"/>
  <c r="BP152" i="1"/>
  <c r="BN152" i="1"/>
  <c r="Z152" i="1"/>
  <c r="Y179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Z185" i="1" s="1"/>
  <c r="Y195" i="1"/>
  <c r="BP204" i="1"/>
  <c r="BN204" i="1"/>
  <c r="Z204" i="1"/>
  <c r="Z211" i="1" s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Z241" i="1" s="1"/>
  <c r="BP237" i="1"/>
  <c r="BN237" i="1"/>
  <c r="Z237" i="1"/>
  <c r="Y241" i="1"/>
  <c r="BP253" i="1"/>
  <c r="BN253" i="1"/>
  <c r="Z253" i="1"/>
  <c r="Z257" i="1" s="1"/>
  <c r="Y257" i="1"/>
  <c r="BP262" i="1"/>
  <c r="BN262" i="1"/>
  <c r="Z262" i="1"/>
  <c r="Y266" i="1"/>
  <c r="BP271" i="1"/>
  <c r="BN271" i="1"/>
  <c r="Z271" i="1"/>
  <c r="Z274" i="1" s="1"/>
  <c r="Y275" i="1"/>
  <c r="BP280" i="1"/>
  <c r="BN280" i="1"/>
  <c r="Z280" i="1"/>
  <c r="Y282" i="1"/>
  <c r="P503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9" i="1"/>
  <c r="F503" i="1"/>
  <c r="Y106" i="1"/>
  <c r="G503" i="1"/>
  <c r="Y129" i="1"/>
  <c r="I503" i="1"/>
  <c r="Y165" i="1"/>
  <c r="Y201" i="1"/>
  <c r="BP198" i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L503" i="1"/>
  <c r="BP264" i="1"/>
  <c r="BN264" i="1"/>
  <c r="Z264" i="1"/>
  <c r="Z266" i="1" s="1"/>
  <c r="BP273" i="1"/>
  <c r="BN273" i="1"/>
  <c r="Z273" i="1"/>
  <c r="O503" i="1"/>
  <c r="Y281" i="1"/>
  <c r="BP278" i="1"/>
  <c r="BN278" i="1"/>
  <c r="Z278" i="1"/>
  <c r="Z281" i="1" s="1"/>
  <c r="BP291" i="1"/>
  <c r="BN291" i="1"/>
  <c r="Z291" i="1"/>
  <c r="Z292" i="1" s="1"/>
  <c r="Y293" i="1"/>
  <c r="Y303" i="1"/>
  <c r="BP296" i="1"/>
  <c r="BN296" i="1"/>
  <c r="Z296" i="1"/>
  <c r="Z302" i="1" s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Q503" i="1"/>
  <c r="K503" i="1"/>
  <c r="Y242" i="1"/>
  <c r="Y267" i="1"/>
  <c r="M503" i="1"/>
  <c r="Y274" i="1"/>
  <c r="S503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Z401" i="1" s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Z440" i="1" s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Z468" i="1" s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356" i="1" l="1"/>
  <c r="Y496" i="1"/>
  <c r="Z455" i="1"/>
  <c r="Z418" i="1"/>
  <c r="Z337" i="1"/>
  <c r="Z154" i="1"/>
  <c r="Y493" i="1"/>
  <c r="Z318" i="1"/>
  <c r="Z223" i="1"/>
  <c r="Z44" i="1"/>
  <c r="Z32" i="1"/>
  <c r="Z498" i="1" s="1"/>
  <c r="Y497" i="1"/>
  <c r="X496" i="1"/>
  <c r="Z119" i="1"/>
  <c r="Z64" i="1"/>
</calcChain>
</file>

<file path=xl/sharedStrings.xml><?xml version="1.0" encoding="utf-8"?>
<sst xmlns="http://schemas.openxmlformats.org/spreadsheetml/2006/main" count="2366" uniqueCount="777">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</sst>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8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31" t="s">
        <v>0</v>
      </c>
      <c r="E1" s="585"/>
      <c r="F1" s="585"/>
      <c r="G1" s="12" t="s">
        <v>1</v>
      </c>
      <c r="H1" s="631" t="s">
        <v>2</v>
      </c>
      <c r="I1" s="585"/>
      <c r="J1" s="585"/>
      <c r="K1" s="585"/>
      <c r="L1" s="585"/>
      <c r="M1" s="585"/>
      <c r="N1" s="585"/>
      <c r="O1" s="585"/>
      <c r="P1" s="585"/>
      <c r="Q1" s="585"/>
      <c r="R1" s="584" t="s">
        <v>3</v>
      </c>
      <c r="S1" s="585"/>
      <c r="T1" s="5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1" t="s">
        <v>8</v>
      </c>
      <c r="B5" s="672"/>
      <c r="C5" s="673"/>
      <c r="D5" s="636"/>
      <c r="E5" s="637"/>
      <c r="F5" s="843" t="s">
        <v>9</v>
      </c>
      <c r="G5" s="673"/>
      <c r="H5" s="636"/>
      <c r="I5" s="785"/>
      <c r="J5" s="785"/>
      <c r="K5" s="785"/>
      <c r="L5" s="785"/>
      <c r="M5" s="637"/>
      <c r="N5" s="58"/>
      <c r="P5" s="24" t="s">
        <v>10</v>
      </c>
      <c r="Q5" s="856">
        <v>46016</v>
      </c>
      <c r="R5" s="669"/>
      <c r="T5" s="721" t="s">
        <v>11</v>
      </c>
      <c r="U5" s="722"/>
      <c r="V5" s="723" t="s">
        <v>12</v>
      </c>
      <c r="W5" s="669"/>
      <c r="AB5" s="51"/>
      <c r="AC5" s="51"/>
      <c r="AD5" s="51"/>
      <c r="AE5" s="51"/>
    </row>
    <row r="6" spans="1:32" s="543" customFormat="1" ht="24" customHeight="1" x14ac:dyDescent="0.2">
      <c r="A6" s="671" t="s">
        <v>13</v>
      </c>
      <c r="B6" s="672"/>
      <c r="C6" s="673"/>
      <c r="D6" s="787" t="s">
        <v>14</v>
      </c>
      <c r="E6" s="788"/>
      <c r="F6" s="788"/>
      <c r="G6" s="788"/>
      <c r="H6" s="788"/>
      <c r="I6" s="788"/>
      <c r="J6" s="788"/>
      <c r="K6" s="788"/>
      <c r="L6" s="788"/>
      <c r="M6" s="669"/>
      <c r="N6" s="59"/>
      <c r="P6" s="24" t="s">
        <v>15</v>
      </c>
      <c r="Q6" s="864" t="str">
        <f>IF(Q5=0," ",CHOOSE(WEEKDAY(Q5,2),"Понедельник","Вторник","Среда","Четверг","Пятница","Суббота","Воскресенье"))</f>
        <v>Четверг</v>
      </c>
      <c r="R6" s="565"/>
      <c r="T6" s="727" t="s">
        <v>16</v>
      </c>
      <c r="U6" s="722"/>
      <c r="V6" s="772" t="s">
        <v>17</v>
      </c>
      <c r="W6" s="603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62"/>
      <c r="U7" s="722"/>
      <c r="V7" s="773"/>
      <c r="W7" s="774"/>
      <c r="AB7" s="51"/>
      <c r="AC7" s="51"/>
      <c r="AD7" s="51"/>
      <c r="AE7" s="51"/>
    </row>
    <row r="8" spans="1:32" s="543" customFormat="1" ht="25.5" customHeight="1" x14ac:dyDescent="0.2">
      <c r="A8" s="874" t="s">
        <v>18</v>
      </c>
      <c r="B8" s="569"/>
      <c r="C8" s="570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82">
        <v>0.41666666666666669</v>
      </c>
      <c r="R8" s="612"/>
      <c r="T8" s="562"/>
      <c r="U8" s="722"/>
      <c r="V8" s="773"/>
      <c r="W8" s="774"/>
      <c r="AB8" s="51"/>
      <c r="AC8" s="51"/>
      <c r="AD8" s="51"/>
      <c r="AE8" s="51"/>
    </row>
    <row r="9" spans="1:32" s="543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89"/>
      <c r="E9" s="57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1"/>
      <c r="P9" s="26" t="s">
        <v>21</v>
      </c>
      <c r="Q9" s="666"/>
      <c r="R9" s="667"/>
      <c r="T9" s="562"/>
      <c r="U9" s="722"/>
      <c r="V9" s="775"/>
      <c r="W9" s="776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89"/>
      <c r="E10" s="57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4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8"/>
      <c r="R10" s="729"/>
      <c r="U10" s="24" t="s">
        <v>23</v>
      </c>
      <c r="V10" s="602" t="s">
        <v>24</v>
      </c>
      <c r="W10" s="603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8"/>
      <c r="R11" s="669"/>
      <c r="U11" s="24" t="s">
        <v>27</v>
      </c>
      <c r="V11" s="807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3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2"/>
      <c r="R12" s="612"/>
      <c r="S12" s="23"/>
      <c r="U12" s="24"/>
      <c r="V12" s="585"/>
      <c r="W12" s="562"/>
      <c r="AB12" s="51"/>
      <c r="AC12" s="51"/>
      <c r="AD12" s="51"/>
      <c r="AE12" s="51"/>
    </row>
    <row r="13" spans="1:32" s="543" customFormat="1" ht="23.25" customHeight="1" x14ac:dyDescent="0.2">
      <c r="A13" s="713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7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3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41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2" t="s">
        <v>35</v>
      </c>
      <c r="Q15" s="585"/>
      <c r="R15" s="585"/>
      <c r="S15" s="585"/>
      <c r="T15" s="5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3"/>
      <c r="Q16" s="703"/>
      <c r="R16" s="703"/>
      <c r="S16" s="703"/>
      <c r="T16" s="7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86" t="s">
        <v>38</v>
      </c>
      <c r="D17" s="596" t="s">
        <v>39</v>
      </c>
      <c r="E17" s="654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3"/>
      <c r="R17" s="653"/>
      <c r="S17" s="653"/>
      <c r="T17" s="654"/>
      <c r="U17" s="869" t="s">
        <v>51</v>
      </c>
      <c r="V17" s="673"/>
      <c r="W17" s="596" t="s">
        <v>52</v>
      </c>
      <c r="X17" s="596" t="s">
        <v>53</v>
      </c>
      <c r="Y17" s="872" t="s">
        <v>54</v>
      </c>
      <c r="Z17" s="783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8"/>
      <c r="AF17" s="839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5"/>
      <c r="E18" s="657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5"/>
      <c r="Q18" s="656"/>
      <c r="R18" s="656"/>
      <c r="S18" s="656"/>
      <c r="T18" s="657"/>
      <c r="U18" s="67" t="s">
        <v>61</v>
      </c>
      <c r="V18" s="67" t="s">
        <v>62</v>
      </c>
      <c r="W18" s="597"/>
      <c r="X18" s="597"/>
      <c r="Y18" s="873"/>
      <c r="Z18" s="784"/>
      <c r="AA18" s="763"/>
      <c r="AB18" s="763"/>
      <c r="AC18" s="763"/>
      <c r="AD18" s="840"/>
      <c r="AE18" s="841"/>
      <c r="AF18" s="842"/>
      <c r="AG18" s="66"/>
      <c r="BD18" s="65"/>
    </row>
    <row r="19" spans="1:68" ht="27.75" customHeight="1" x14ac:dyDescent="0.2">
      <c r="A19" s="716" t="s">
        <v>63</v>
      </c>
      <c r="B19" s="717"/>
      <c r="C19" s="717"/>
      <c r="D19" s="717"/>
      <c r="E19" s="717"/>
      <c r="F19" s="717"/>
      <c r="G19" s="717"/>
      <c r="H19" s="717"/>
      <c r="I19" s="717"/>
      <c r="J19" s="717"/>
      <c r="K19" s="717"/>
      <c r="L19" s="717"/>
      <c r="M19" s="717"/>
      <c r="N19" s="717"/>
      <c r="O19" s="717"/>
      <c r="P19" s="717"/>
      <c r="Q19" s="717"/>
      <c r="R19" s="717"/>
      <c r="S19" s="717"/>
      <c r="T19" s="717"/>
      <c r="U19" s="717"/>
      <c r="V19" s="717"/>
      <c r="W19" s="717"/>
      <c r="X19" s="717"/>
      <c r="Y19" s="717"/>
      <c r="Z19" s="717"/>
      <c r="AA19" s="48"/>
      <c r="AB19" s="48"/>
      <c r="AC19" s="48"/>
    </row>
    <row r="20" spans="1:68" ht="16.5" customHeight="1" x14ac:dyDescent="0.25">
      <c r="A20" s="566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7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8" t="s">
        <v>75</v>
      </c>
      <c r="Q24" s="569"/>
      <c r="R24" s="569"/>
      <c r="S24" s="569"/>
      <c r="T24" s="569"/>
      <c r="U24" s="569"/>
      <c r="V24" s="570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8" t="s">
        <v>75</v>
      </c>
      <c r="Q25" s="569"/>
      <c r="R25" s="569"/>
      <c r="S25" s="569"/>
      <c r="T25" s="569"/>
      <c r="U25" s="569"/>
      <c r="V25" s="570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7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4"/>
      <c r="R31" s="554"/>
      <c r="S31" s="554"/>
      <c r="T31" s="555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1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8" t="s">
        <v>75</v>
      </c>
      <c r="Q32" s="569"/>
      <c r="R32" s="569"/>
      <c r="S32" s="569"/>
      <c r="T32" s="569"/>
      <c r="U32" s="569"/>
      <c r="V32" s="570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68" t="s">
        <v>75</v>
      </c>
      <c r="Q33" s="569"/>
      <c r="R33" s="569"/>
      <c r="S33" s="569"/>
      <c r="T33" s="569"/>
      <c r="U33" s="569"/>
      <c r="V33" s="570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customHeight="1" x14ac:dyDescent="0.25">
      <c r="A34" s="567" t="s">
        <v>95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5"/>
      <c r="AB34" s="545"/>
      <c r="AC34" s="545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4"/>
      <c r="R35" s="554"/>
      <c r="S35" s="554"/>
      <c r="T35" s="555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1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8" t="s">
        <v>75</v>
      </c>
      <c r="Q36" s="569"/>
      <c r="R36" s="569"/>
      <c r="S36" s="569"/>
      <c r="T36" s="569"/>
      <c r="U36" s="569"/>
      <c r="V36" s="570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68" t="s">
        <v>75</v>
      </c>
      <c r="Q37" s="569"/>
      <c r="R37" s="569"/>
      <c r="S37" s="569"/>
      <c r="T37" s="569"/>
      <c r="U37" s="569"/>
      <c r="V37" s="570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customHeight="1" x14ac:dyDescent="0.2">
      <c r="A38" s="716" t="s">
        <v>101</v>
      </c>
      <c r="B38" s="717"/>
      <c r="C38" s="717"/>
      <c r="D38" s="717"/>
      <c r="E38" s="717"/>
      <c r="F38" s="717"/>
      <c r="G38" s="717"/>
      <c r="H38" s="717"/>
      <c r="I38" s="717"/>
      <c r="J38" s="717"/>
      <c r="K38" s="717"/>
      <c r="L38" s="717"/>
      <c r="M38" s="717"/>
      <c r="N38" s="717"/>
      <c r="O38" s="717"/>
      <c r="P38" s="717"/>
      <c r="Q38" s="717"/>
      <c r="R38" s="717"/>
      <c r="S38" s="717"/>
      <c r="T38" s="717"/>
      <c r="U38" s="717"/>
      <c r="V38" s="717"/>
      <c r="W38" s="717"/>
      <c r="X38" s="717"/>
      <c r="Y38" s="717"/>
      <c r="Z38" s="717"/>
      <c r="AA38" s="48"/>
      <c r="AB38" s="48"/>
      <c r="AC38" s="48"/>
    </row>
    <row r="39" spans="1:68" ht="16.5" customHeight="1" x14ac:dyDescent="0.25">
      <c r="A39" s="566" t="s">
        <v>102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4"/>
      <c r="AB39" s="544"/>
      <c r="AC39" s="544"/>
    </row>
    <row r="40" spans="1:68" ht="14.25" customHeight="1" x14ac:dyDescent="0.25">
      <c r="A40" s="567" t="s">
        <v>103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5"/>
      <c r="AB40" s="545"/>
      <c r="AC40" s="545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150</v>
      </c>
      <c r="Y41" s="550">
        <f>IFERROR(IF(X41="",0,CEILING((X41/$H41),1)*$H41),"")</f>
        <v>151.20000000000002</v>
      </c>
      <c r="Z41" s="36">
        <f>IFERROR(IF(Y41=0,"",ROUNDUP(Y41/H41,0)*0.01898),"")</f>
        <v>0.26572000000000001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155.69444444444446</v>
      </c>
      <c r="BN41" s="64">
        <f>IFERROR(Y41*I41/H41,"0")</f>
        <v>156.94</v>
      </c>
      <c r="BO41" s="64">
        <f>IFERROR(1/J41*(X41/H41),"0")</f>
        <v>0.21701388888888887</v>
      </c>
      <c r="BP41" s="64">
        <f>IFERROR(1/J41*(Y41/H41),"0")</f>
        <v>0.21875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48">
        <v>0.4</v>
      </c>
      <c r="G43" s="32">
        <v>10</v>
      </c>
      <c r="H43" s="548">
        <v>4</v>
      </c>
      <c r="I43" s="548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4"/>
      <c r="R43" s="554"/>
      <c r="S43" s="554"/>
      <c r="T43" s="555"/>
      <c r="U43" s="34"/>
      <c r="V43" s="34"/>
      <c r="W43" s="35" t="s">
        <v>69</v>
      </c>
      <c r="X43" s="549">
        <v>96</v>
      </c>
      <c r="Y43" s="550">
        <f>IFERROR(IF(X43="",0,CEILING((X43/$H43),1)*$H43),"")</f>
        <v>96</v>
      </c>
      <c r="Z43" s="36">
        <f>IFERROR(IF(Y43=0,"",ROUNDUP(Y43/H43,0)*0.00902),"")</f>
        <v>0.21648000000000001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100.56</v>
      </c>
      <c r="BN43" s="64">
        <f>IFERROR(Y43*I43/H43,"0")</f>
        <v>100.56</v>
      </c>
      <c r="BO43" s="64">
        <f>IFERROR(1/J43*(X43/H43),"0")</f>
        <v>0.18181818181818182</v>
      </c>
      <c r="BP43" s="64">
        <f>IFERROR(1/J43*(Y43/H43),"0")</f>
        <v>0.18181818181818182</v>
      </c>
    </row>
    <row r="44" spans="1:68" x14ac:dyDescent="0.2">
      <c r="A44" s="561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8" t="s">
        <v>75</v>
      </c>
      <c r="Q44" s="569"/>
      <c r="R44" s="569"/>
      <c r="S44" s="569"/>
      <c r="T44" s="569"/>
      <c r="U44" s="569"/>
      <c r="V44" s="570"/>
      <c r="W44" s="37" t="s">
        <v>76</v>
      </c>
      <c r="X44" s="551">
        <f>IFERROR(X41/H41,"0")+IFERROR(X42/H42,"0")+IFERROR(X43/H43,"0")</f>
        <v>37.888888888888886</v>
      </c>
      <c r="Y44" s="551">
        <f>IFERROR(Y41/H41,"0")+IFERROR(Y42/H42,"0")+IFERROR(Y43/H43,"0")</f>
        <v>38</v>
      </c>
      <c r="Z44" s="551">
        <f>IFERROR(IF(Z41="",0,Z41),"0")+IFERROR(IF(Z42="",0,Z42),"0")+IFERROR(IF(Z43="",0,Z43),"0")</f>
        <v>0.48220000000000002</v>
      </c>
      <c r="AA44" s="552"/>
      <c r="AB44" s="552"/>
      <c r="AC44" s="552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68" t="s">
        <v>75</v>
      </c>
      <c r="Q45" s="569"/>
      <c r="R45" s="569"/>
      <c r="S45" s="569"/>
      <c r="T45" s="569"/>
      <c r="U45" s="569"/>
      <c r="V45" s="570"/>
      <c r="W45" s="37" t="s">
        <v>69</v>
      </c>
      <c r="X45" s="551">
        <f>IFERROR(SUM(X41:X43),"0")</f>
        <v>246</v>
      </c>
      <c r="Y45" s="551">
        <f>IFERROR(SUM(Y41:Y43),"0")</f>
        <v>247.20000000000002</v>
      </c>
      <c r="Z45" s="37"/>
      <c r="AA45" s="552"/>
      <c r="AB45" s="552"/>
      <c r="AC45" s="552"/>
    </row>
    <row r="46" spans="1:68" ht="14.25" customHeight="1" x14ac:dyDescent="0.25">
      <c r="A46" s="567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5"/>
      <c r="AB46" s="545"/>
      <c r="AC46" s="545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4"/>
      <c r="R47" s="554"/>
      <c r="S47" s="554"/>
      <c r="T47" s="555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1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8" t="s">
        <v>75</v>
      </c>
      <c r="Q48" s="569"/>
      <c r="R48" s="569"/>
      <c r="S48" s="569"/>
      <c r="T48" s="569"/>
      <c r="U48" s="569"/>
      <c r="V48" s="570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68" t="s">
        <v>75</v>
      </c>
      <c r="Q49" s="569"/>
      <c r="R49" s="569"/>
      <c r="S49" s="569"/>
      <c r="T49" s="569"/>
      <c r="U49" s="569"/>
      <c r="V49" s="570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customHeight="1" x14ac:dyDescent="0.25">
      <c r="A50" s="566" t="s">
        <v>119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4"/>
      <c r="AB50" s="544"/>
      <c r="AC50" s="544"/>
    </row>
    <row r="51" spans="1:68" ht="14.25" customHeight="1" x14ac:dyDescent="0.25">
      <c r="A51" s="567" t="s">
        <v>103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5"/>
      <c r="AB51" s="545"/>
      <c r="AC51" s="545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4"/>
      <c r="R53" s="554"/>
      <c r="S53" s="554"/>
      <c r="T53" s="555"/>
      <c r="U53" s="34"/>
      <c r="V53" s="34"/>
      <c r="W53" s="35" t="s">
        <v>69</v>
      </c>
      <c r="X53" s="549">
        <v>200</v>
      </c>
      <c r="Y53" s="550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3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4"/>
      <c r="R57" s="554"/>
      <c r="S57" s="554"/>
      <c r="T57" s="555"/>
      <c r="U57" s="34"/>
      <c r="V57" s="34"/>
      <c r="W57" s="35" t="s">
        <v>69</v>
      </c>
      <c r="X57" s="549">
        <v>0</v>
      </c>
      <c r="Y57" s="550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1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8" t="s">
        <v>75</v>
      </c>
      <c r="Q58" s="569"/>
      <c r="R58" s="569"/>
      <c r="S58" s="569"/>
      <c r="T58" s="569"/>
      <c r="U58" s="569"/>
      <c r="V58" s="570"/>
      <c r="W58" s="37" t="s">
        <v>76</v>
      </c>
      <c r="X58" s="551">
        <f>IFERROR(X52/H52,"0")+IFERROR(X53/H53,"0")+IFERROR(X54/H54,"0")+IFERROR(X55/H55,"0")+IFERROR(X56/H56,"0")+IFERROR(X57/H57,"0")</f>
        <v>18.518518518518519</v>
      </c>
      <c r="Y58" s="551">
        <f>IFERROR(Y52/H52,"0")+IFERROR(Y53/H53,"0")+IFERROR(Y54/H54,"0")+IFERROR(Y55/H55,"0")+IFERROR(Y56/H56,"0")+IFERROR(Y57/H57,"0")</f>
        <v>19</v>
      </c>
      <c r="Z58" s="551">
        <f>IFERROR(IF(Z52="",0,Z52),"0")+IFERROR(IF(Z53="",0,Z53),"0")+IFERROR(IF(Z54="",0,Z54),"0")+IFERROR(IF(Z55="",0,Z55),"0")+IFERROR(IF(Z56="",0,Z56),"0")+IFERROR(IF(Z57="",0,Z57),"0")</f>
        <v>0.36062</v>
      </c>
      <c r="AA58" s="552"/>
      <c r="AB58" s="552"/>
      <c r="AC58" s="552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68" t="s">
        <v>75</v>
      </c>
      <c r="Q59" s="569"/>
      <c r="R59" s="569"/>
      <c r="S59" s="569"/>
      <c r="T59" s="569"/>
      <c r="U59" s="569"/>
      <c r="V59" s="570"/>
      <c r="W59" s="37" t="s">
        <v>69</v>
      </c>
      <c r="X59" s="551">
        <f>IFERROR(SUM(X52:X57),"0")</f>
        <v>200</v>
      </c>
      <c r="Y59" s="551">
        <f>IFERROR(SUM(Y52:Y57),"0")</f>
        <v>205.20000000000002</v>
      </c>
      <c r="Z59" s="37"/>
      <c r="AA59" s="552"/>
      <c r="AB59" s="552"/>
      <c r="AC59" s="552"/>
    </row>
    <row r="60" spans="1:68" ht="14.25" customHeight="1" x14ac:dyDescent="0.25">
      <c r="A60" s="567" t="s">
        <v>138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5"/>
      <c r="AB60" s="545"/>
      <c r="AC60" s="545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4"/>
      <c r="R63" s="554"/>
      <c r="S63" s="554"/>
      <c r="T63" s="555"/>
      <c r="U63" s="34"/>
      <c r="V63" s="34"/>
      <c r="W63" s="35" t="s">
        <v>69</v>
      </c>
      <c r="X63" s="549">
        <v>0</v>
      </c>
      <c r="Y63" s="550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1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8" t="s">
        <v>75</v>
      </c>
      <c r="Q64" s="569"/>
      <c r="R64" s="569"/>
      <c r="S64" s="569"/>
      <c r="T64" s="569"/>
      <c r="U64" s="569"/>
      <c r="V64" s="570"/>
      <c r="W64" s="37" t="s">
        <v>76</v>
      </c>
      <c r="X64" s="551">
        <f>IFERROR(X61/H61,"0")+IFERROR(X62/H62,"0")+IFERROR(X63/H63,"0")</f>
        <v>0</v>
      </c>
      <c r="Y64" s="551">
        <f>IFERROR(Y61/H61,"0")+IFERROR(Y62/H62,"0")+IFERROR(Y63/H63,"0")</f>
        <v>0</v>
      </c>
      <c r="Z64" s="551">
        <f>IFERROR(IF(Z61="",0,Z61),"0")+IFERROR(IF(Z62="",0,Z62),"0")+IFERROR(IF(Z63="",0,Z63),"0")</f>
        <v>0</v>
      </c>
      <c r="AA64" s="552"/>
      <c r="AB64" s="552"/>
      <c r="AC64" s="552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3"/>
      <c r="P65" s="568" t="s">
        <v>75</v>
      </c>
      <c r="Q65" s="569"/>
      <c r="R65" s="569"/>
      <c r="S65" s="569"/>
      <c r="T65" s="569"/>
      <c r="U65" s="569"/>
      <c r="V65" s="570"/>
      <c r="W65" s="37" t="s">
        <v>69</v>
      </c>
      <c r="X65" s="551">
        <f>IFERROR(SUM(X61:X63),"0")</f>
        <v>0</v>
      </c>
      <c r="Y65" s="551">
        <f>IFERROR(SUM(Y61:Y63),"0")</f>
        <v>0</v>
      </c>
      <c r="Z65" s="37"/>
      <c r="AA65" s="552"/>
      <c r="AB65" s="552"/>
      <c r="AC65" s="552"/>
    </row>
    <row r="66" spans="1:68" ht="14.25" customHeight="1" x14ac:dyDescent="0.25">
      <c r="A66" s="567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5"/>
      <c r="AB66" s="545"/>
      <c r="AC66" s="545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4"/>
      <c r="R68" s="554"/>
      <c r="S68" s="554"/>
      <c r="T68" s="555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1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8" t="s">
        <v>75</v>
      </c>
      <c r="Q69" s="569"/>
      <c r="R69" s="569"/>
      <c r="S69" s="569"/>
      <c r="T69" s="569"/>
      <c r="U69" s="569"/>
      <c r="V69" s="570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68" t="s">
        <v>75</v>
      </c>
      <c r="Q70" s="569"/>
      <c r="R70" s="569"/>
      <c r="S70" s="569"/>
      <c r="T70" s="569"/>
      <c r="U70" s="569"/>
      <c r="V70" s="570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customHeight="1" x14ac:dyDescent="0.25">
      <c r="A71" s="567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5"/>
      <c r="AB71" s="545"/>
      <c r="AC71" s="54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5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4"/>
      <c r="R75" s="554"/>
      <c r="S75" s="554"/>
      <c r="T75" s="555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1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8" t="s">
        <v>75</v>
      </c>
      <c r="Q76" s="569"/>
      <c r="R76" s="569"/>
      <c r="S76" s="569"/>
      <c r="T76" s="569"/>
      <c r="U76" s="569"/>
      <c r="V76" s="570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68" t="s">
        <v>75</v>
      </c>
      <c r="Q77" s="569"/>
      <c r="R77" s="569"/>
      <c r="S77" s="569"/>
      <c r="T77" s="569"/>
      <c r="U77" s="569"/>
      <c r="V77" s="570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customHeight="1" x14ac:dyDescent="0.25">
      <c r="A78" s="567" t="s">
        <v>163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5"/>
      <c r="AB78" s="545"/>
      <c r="AC78" s="54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78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4"/>
      <c r="R80" s="554"/>
      <c r="S80" s="554"/>
      <c r="T80" s="555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1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8" t="s">
        <v>75</v>
      </c>
      <c r="Q81" s="569"/>
      <c r="R81" s="569"/>
      <c r="S81" s="569"/>
      <c r="T81" s="569"/>
      <c r="U81" s="569"/>
      <c r="V81" s="570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68" t="s">
        <v>75</v>
      </c>
      <c r="Q82" s="569"/>
      <c r="R82" s="569"/>
      <c r="S82" s="569"/>
      <c r="T82" s="569"/>
      <c r="U82" s="569"/>
      <c r="V82" s="570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customHeight="1" x14ac:dyDescent="0.25">
      <c r="A83" s="566" t="s">
        <v>170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4"/>
      <c r="AB83" s="544"/>
      <c r="AC83" s="544"/>
    </row>
    <row r="84" spans="1:68" ht="14.25" customHeight="1" x14ac:dyDescent="0.25">
      <c r="A84" s="567" t="s">
        <v>103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5"/>
      <c r="AB84" s="545"/>
      <c r="AC84" s="54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4"/>
      <c r="R85" s="554"/>
      <c r="S85" s="554"/>
      <c r="T85" s="555"/>
      <c r="U85" s="34"/>
      <c r="V85" s="34"/>
      <c r="W85" s="35" t="s">
        <v>69</v>
      </c>
      <c r="X85" s="549">
        <v>250</v>
      </c>
      <c r="Y85" s="550">
        <f>IFERROR(IF(X85="",0,CEILING((X85/$H85),1)*$H85),"")</f>
        <v>259.20000000000005</v>
      </c>
      <c r="Z85" s="36">
        <f>IFERROR(IF(Y85=0,"",ROUNDUP(Y85/H85,0)*0.01898),"")</f>
        <v>0.45552000000000004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259.4907407407407</v>
      </c>
      <c r="BN85" s="64">
        <f>IFERROR(Y85*I85/H85,"0")</f>
        <v>269.04000000000002</v>
      </c>
      <c r="BO85" s="64">
        <f>IFERROR(1/J85*(X85/H85),"0")</f>
        <v>0.36168981481481477</v>
      </c>
      <c r="BP85" s="64">
        <f>IFERROR(1/J85*(Y85/H85),"0")</f>
        <v>0.37500000000000006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4"/>
      <c r="R88" s="554"/>
      <c r="S88" s="554"/>
      <c r="T88" s="555"/>
      <c r="U88" s="34"/>
      <c r="V88" s="34"/>
      <c r="W88" s="35" t="s">
        <v>69</v>
      </c>
      <c r="X88" s="549">
        <v>0</v>
      </c>
      <c r="Y88" s="55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1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8" t="s">
        <v>75</v>
      </c>
      <c r="Q89" s="569"/>
      <c r="R89" s="569"/>
      <c r="S89" s="569"/>
      <c r="T89" s="569"/>
      <c r="U89" s="569"/>
      <c r="V89" s="570"/>
      <c r="W89" s="37" t="s">
        <v>76</v>
      </c>
      <c r="X89" s="551">
        <f>IFERROR(X85/H85,"0")+IFERROR(X86/H86,"0")+IFERROR(X87/H87,"0")+IFERROR(X88/H88,"0")</f>
        <v>23.148148148148145</v>
      </c>
      <c r="Y89" s="551">
        <f>IFERROR(Y85/H85,"0")+IFERROR(Y86/H86,"0")+IFERROR(Y87/H87,"0")+IFERROR(Y88/H88,"0")</f>
        <v>24.000000000000004</v>
      </c>
      <c r="Z89" s="551">
        <f>IFERROR(IF(Z85="",0,Z85),"0")+IFERROR(IF(Z86="",0,Z86),"0")+IFERROR(IF(Z87="",0,Z87),"0")+IFERROR(IF(Z88="",0,Z88),"0")</f>
        <v>0.45552000000000004</v>
      </c>
      <c r="AA89" s="552"/>
      <c r="AB89" s="552"/>
      <c r="AC89" s="552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68" t="s">
        <v>75</v>
      </c>
      <c r="Q90" s="569"/>
      <c r="R90" s="569"/>
      <c r="S90" s="569"/>
      <c r="T90" s="569"/>
      <c r="U90" s="569"/>
      <c r="V90" s="570"/>
      <c r="W90" s="37" t="s">
        <v>69</v>
      </c>
      <c r="X90" s="551">
        <f>IFERROR(SUM(X85:X88),"0")</f>
        <v>250</v>
      </c>
      <c r="Y90" s="551">
        <f>IFERROR(SUM(Y85:Y88),"0")</f>
        <v>259.20000000000005</v>
      </c>
      <c r="Z90" s="37"/>
      <c r="AA90" s="552"/>
      <c r="AB90" s="552"/>
      <c r="AC90" s="552"/>
    </row>
    <row r="91" spans="1:68" ht="14.25" customHeight="1" x14ac:dyDescent="0.25">
      <c r="A91" s="567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5"/>
      <c r="AB91" s="545"/>
      <c r="AC91" s="545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100</v>
      </c>
      <c r="Y92" s="550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106.09876543209877</v>
      </c>
      <c r="BN92" s="64">
        <f>IFERROR(Y92*I92/H92,"0")</f>
        <v>111.72199999999999</v>
      </c>
      <c r="BO92" s="64">
        <f>IFERROR(1/J92*(X92/H92),"0")</f>
        <v>0.19290123456790123</v>
      </c>
      <c r="BP92" s="64">
        <f>IFERROR(1/J92*(Y92/H92),"0")</f>
        <v>0.203125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64">
        <v>4607091385731</v>
      </c>
      <c r="E94" s="565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4"/>
      <c r="R94" s="554"/>
      <c r="S94" s="554"/>
      <c r="T94" s="555"/>
      <c r="U94" s="34"/>
      <c r="V94" s="34"/>
      <c r="W94" s="35" t="s">
        <v>69</v>
      </c>
      <c r="X94" s="549">
        <v>100</v>
      </c>
      <c r="Y94" s="550">
        <f>IFERROR(IF(X94="",0,CEILING((X94/$H94),1)*$H94),"")</f>
        <v>102.60000000000001</v>
      </c>
      <c r="Z94" s="36">
        <f>IFERROR(IF(Y94=0,"",ROUNDUP(Y94/H94,0)*0.00651),"")</f>
        <v>0.24738000000000002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109.33333333333333</v>
      </c>
      <c r="BN94" s="64">
        <f>IFERROR(Y94*I94/H94,"0")</f>
        <v>112.176</v>
      </c>
      <c r="BO94" s="64">
        <f>IFERROR(1/J94*(X94/H94),"0")</f>
        <v>0.20350020350020351</v>
      </c>
      <c r="BP94" s="64">
        <f>IFERROR(1/J94*(Y94/H94),"0")</f>
        <v>0.2087912087912088</v>
      </c>
    </row>
    <row r="95" spans="1:68" ht="16.5" customHeight="1" x14ac:dyDescent="0.25">
      <c r="A95" s="54" t="s">
        <v>190</v>
      </c>
      <c r="B95" s="54" t="s">
        <v>191</v>
      </c>
      <c r="C95" s="31">
        <v>4301051438</v>
      </c>
      <c r="D95" s="564">
        <v>4680115880894</v>
      </c>
      <c r="E95" s="565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4"/>
      <c r="R95" s="554"/>
      <c r="S95" s="554"/>
      <c r="T95" s="555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1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8" t="s">
        <v>75</v>
      </c>
      <c r="Q96" s="569"/>
      <c r="R96" s="569"/>
      <c r="S96" s="569"/>
      <c r="T96" s="569"/>
      <c r="U96" s="569"/>
      <c r="V96" s="570"/>
      <c r="W96" s="37" t="s">
        <v>76</v>
      </c>
      <c r="X96" s="551">
        <f>IFERROR(X92/H92,"0")+IFERROR(X93/H93,"0")+IFERROR(X94/H94,"0")+IFERROR(X95/H95,"0")</f>
        <v>49.382716049382715</v>
      </c>
      <c r="Y96" s="551">
        <f>IFERROR(Y92/H92,"0")+IFERROR(Y93/H93,"0")+IFERROR(Y94/H94,"0")+IFERROR(Y95/H95,"0")</f>
        <v>51</v>
      </c>
      <c r="Z96" s="551">
        <f>IFERROR(IF(Z92="",0,Z92),"0")+IFERROR(IF(Z93="",0,Z93),"0")+IFERROR(IF(Z94="",0,Z94),"0")+IFERROR(IF(Z95="",0,Z95),"0")</f>
        <v>0.49412</v>
      </c>
      <c r="AA96" s="552"/>
      <c r="AB96" s="552"/>
      <c r="AC96" s="552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68" t="s">
        <v>75</v>
      </c>
      <c r="Q97" s="569"/>
      <c r="R97" s="569"/>
      <c r="S97" s="569"/>
      <c r="T97" s="569"/>
      <c r="U97" s="569"/>
      <c r="V97" s="570"/>
      <c r="W97" s="37" t="s">
        <v>69</v>
      </c>
      <c r="X97" s="551">
        <f>IFERROR(SUM(X92:X95),"0")</f>
        <v>200</v>
      </c>
      <c r="Y97" s="551">
        <f>IFERROR(SUM(Y92:Y95),"0")</f>
        <v>207.9</v>
      </c>
      <c r="Z97" s="37"/>
      <c r="AA97" s="552"/>
      <c r="AB97" s="552"/>
      <c r="AC97" s="552"/>
    </row>
    <row r="98" spans="1:68" ht="16.5" customHeight="1" x14ac:dyDescent="0.25">
      <c r="A98" s="566" t="s">
        <v>193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4"/>
      <c r="AB98" s="544"/>
      <c r="AC98" s="544"/>
    </row>
    <row r="99" spans="1:68" ht="14.25" customHeight="1" x14ac:dyDescent="0.25">
      <c r="A99" s="567" t="s">
        <v>103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5"/>
      <c r="AB99" s="545"/>
      <c r="AC99" s="545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64">
        <v>4680115882133</v>
      </c>
      <c r="E100" s="565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250</v>
      </c>
      <c r="Y100" s="550">
        <f>IFERROR(IF(X100="",0,CEILING((X100/$H100),1)*$H100),"")</f>
        <v>259.20000000000005</v>
      </c>
      <c r="Z100" s="36">
        <f>IFERROR(IF(Y100=0,"",ROUNDUP(Y100/H100,0)*0.01898),"")</f>
        <v>0.45552000000000004</v>
      </c>
      <c r="AA100" s="56"/>
      <c r="AB100" s="57"/>
      <c r="AC100" s="143" t="s">
        <v>196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259.4907407407407</v>
      </c>
      <c r="BN100" s="64">
        <f>IFERROR(Y100*I100/H100,"0")</f>
        <v>269.04000000000002</v>
      </c>
      <c r="BO100" s="64">
        <f>IFERROR(1/J100*(X100/H100),"0")</f>
        <v>0.36168981481481477</v>
      </c>
      <c r="BP100" s="64">
        <f>IFERROR(1/J100*(Y100/H100),"0")</f>
        <v>0.37500000000000006</v>
      </c>
    </row>
    <row r="101" spans="1:68" ht="27" customHeight="1" x14ac:dyDescent="0.25">
      <c r="A101" s="54" t="s">
        <v>197</v>
      </c>
      <c r="B101" s="54" t="s">
        <v>198</v>
      </c>
      <c r="C101" s="31">
        <v>4301012051</v>
      </c>
      <c r="D101" s="564">
        <v>4680115887718</v>
      </c>
      <c r="E101" s="565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4301011417</v>
      </c>
      <c r="D102" s="564">
        <v>4680115880269</v>
      </c>
      <c r="E102" s="565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4301011415</v>
      </c>
      <c r="D103" s="564">
        <v>4680115880429</v>
      </c>
      <c r="E103" s="565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204</v>
      </c>
      <c r="B104" s="54" t="s">
        <v>205</v>
      </c>
      <c r="C104" s="31">
        <v>4301011462</v>
      </c>
      <c r="D104" s="564">
        <v>4680115881457</v>
      </c>
      <c r="E104" s="565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4"/>
      <c r="R104" s="554"/>
      <c r="S104" s="554"/>
      <c r="T104" s="555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1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8" t="s">
        <v>75</v>
      </c>
      <c r="Q105" s="569"/>
      <c r="R105" s="569"/>
      <c r="S105" s="569"/>
      <c r="T105" s="569"/>
      <c r="U105" s="569"/>
      <c r="V105" s="570"/>
      <c r="W105" s="37" t="s">
        <v>76</v>
      </c>
      <c r="X105" s="551">
        <f>IFERROR(X100/H100,"0")+IFERROR(X101/H101,"0")+IFERROR(X102/H102,"0")+IFERROR(X103/H103,"0")+IFERROR(X104/H104,"0")</f>
        <v>23.148148148148145</v>
      </c>
      <c r="Y105" s="551">
        <f>IFERROR(Y100/H100,"0")+IFERROR(Y101/H101,"0")+IFERROR(Y102/H102,"0")+IFERROR(Y103/H103,"0")+IFERROR(Y104/H104,"0")</f>
        <v>24.000000000000004</v>
      </c>
      <c r="Z105" s="551">
        <f>IFERROR(IF(Z100="",0,Z100),"0")+IFERROR(IF(Z101="",0,Z101),"0")+IFERROR(IF(Z102="",0,Z102),"0")+IFERROR(IF(Z103="",0,Z103),"0")+IFERROR(IF(Z104="",0,Z104),"0")</f>
        <v>0.45552000000000004</v>
      </c>
      <c r="AA105" s="552"/>
      <c r="AB105" s="552"/>
      <c r="AC105" s="552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68" t="s">
        <v>75</v>
      </c>
      <c r="Q106" s="569"/>
      <c r="R106" s="569"/>
      <c r="S106" s="569"/>
      <c r="T106" s="569"/>
      <c r="U106" s="569"/>
      <c r="V106" s="570"/>
      <c r="W106" s="37" t="s">
        <v>69</v>
      </c>
      <c r="X106" s="551">
        <f>IFERROR(SUM(X100:X104),"0")</f>
        <v>250</v>
      </c>
      <c r="Y106" s="551">
        <f>IFERROR(SUM(Y100:Y104),"0")</f>
        <v>259.20000000000005</v>
      </c>
      <c r="Z106" s="37"/>
      <c r="AA106" s="552"/>
      <c r="AB106" s="552"/>
      <c r="AC106" s="552"/>
    </row>
    <row r="107" spans="1:68" ht="14.25" customHeight="1" x14ac:dyDescent="0.25">
      <c r="A107" s="567" t="s">
        <v>138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5"/>
      <c r="AB107" s="545"/>
      <c r="AC107" s="545"/>
    </row>
    <row r="108" spans="1:68" ht="16.5" customHeight="1" x14ac:dyDescent="0.25">
      <c r="A108" s="54" t="s">
        <v>206</v>
      </c>
      <c r="B108" s="54" t="s">
        <v>207</v>
      </c>
      <c r="C108" s="31">
        <v>4301020345</v>
      </c>
      <c r="D108" s="564">
        <v>4680115881488</v>
      </c>
      <c r="E108" s="565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50</v>
      </c>
      <c r="Y108" s="550">
        <f>IFERROR(IF(X108="",0,CEILING((X108/$H108),1)*$H108),"")</f>
        <v>54</v>
      </c>
      <c r="Z108" s="36">
        <f>IFERROR(IF(Y108=0,"",ROUNDUP(Y108/H108,0)*0.01898),"")</f>
        <v>9.4899999999999998E-2</v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51.898148148148145</v>
      </c>
      <c r="BN108" s="64">
        <f>IFERROR(Y108*I108/H108,"0")</f>
        <v>56.05</v>
      </c>
      <c r="BO108" s="64">
        <f>IFERROR(1/J108*(X108/H108),"0")</f>
        <v>7.2337962962962965E-2</v>
      </c>
      <c r="BP108" s="64">
        <f>IFERROR(1/J108*(Y108/H108),"0")</f>
        <v>7.8125E-2</v>
      </c>
    </row>
    <row r="109" spans="1:68" ht="27" customHeight="1" x14ac:dyDescent="0.25">
      <c r="A109" s="54" t="s">
        <v>209</v>
      </c>
      <c r="B109" s="54" t="s">
        <v>210</v>
      </c>
      <c r="C109" s="31">
        <v>4301020186</v>
      </c>
      <c r="D109" s="564">
        <v>4680115887664</v>
      </c>
      <c r="E109" s="565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213</v>
      </c>
      <c r="B110" s="54" t="s">
        <v>214</v>
      </c>
      <c r="C110" s="31">
        <v>4301020346</v>
      </c>
      <c r="D110" s="564">
        <v>4680115882775</v>
      </c>
      <c r="E110" s="565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5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215</v>
      </c>
      <c r="B111" s="54" t="s">
        <v>216</v>
      </c>
      <c r="C111" s="31">
        <v>4301020344</v>
      </c>
      <c r="D111" s="564">
        <v>4680115880658</v>
      </c>
      <c r="E111" s="565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0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4"/>
      <c r="R111" s="554"/>
      <c r="S111" s="554"/>
      <c r="T111" s="555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1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8" t="s">
        <v>75</v>
      </c>
      <c r="Q112" s="569"/>
      <c r="R112" s="569"/>
      <c r="S112" s="569"/>
      <c r="T112" s="569"/>
      <c r="U112" s="569"/>
      <c r="V112" s="570"/>
      <c r="W112" s="37" t="s">
        <v>76</v>
      </c>
      <c r="X112" s="551">
        <f>IFERROR(X108/H108,"0")+IFERROR(X109/H109,"0")+IFERROR(X110/H110,"0")+IFERROR(X111/H111,"0")</f>
        <v>4.6296296296296298</v>
      </c>
      <c r="Y112" s="551">
        <f>IFERROR(Y108/H108,"0")+IFERROR(Y109/H109,"0")+IFERROR(Y110/H110,"0")+IFERROR(Y111/H111,"0")</f>
        <v>5</v>
      </c>
      <c r="Z112" s="551">
        <f>IFERROR(IF(Z108="",0,Z108),"0")+IFERROR(IF(Z109="",0,Z109),"0")+IFERROR(IF(Z110="",0,Z110),"0")+IFERROR(IF(Z111="",0,Z111),"0")</f>
        <v>9.4899999999999998E-2</v>
      </c>
      <c r="AA112" s="552"/>
      <c r="AB112" s="552"/>
      <c r="AC112" s="552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68" t="s">
        <v>75</v>
      </c>
      <c r="Q113" s="569"/>
      <c r="R113" s="569"/>
      <c r="S113" s="569"/>
      <c r="T113" s="569"/>
      <c r="U113" s="569"/>
      <c r="V113" s="570"/>
      <c r="W113" s="37" t="s">
        <v>69</v>
      </c>
      <c r="X113" s="551">
        <f>IFERROR(SUM(X108:X111),"0")</f>
        <v>50</v>
      </c>
      <c r="Y113" s="551">
        <f>IFERROR(SUM(Y108:Y111),"0")</f>
        <v>54</v>
      </c>
      <c r="Z113" s="37"/>
      <c r="AA113" s="552"/>
      <c r="AB113" s="552"/>
      <c r="AC113" s="552"/>
    </row>
    <row r="114" spans="1:68" ht="14.25" customHeight="1" x14ac:dyDescent="0.25">
      <c r="A114" s="567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5"/>
      <c r="AB114" s="545"/>
      <c r="AC114" s="545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64">
        <v>4607091385168</v>
      </c>
      <c r="E115" s="565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100</v>
      </c>
      <c r="Y115" s="550">
        <f>IFERROR(IF(X115="",0,CEILING((X115/$H115),1)*$H115),"")</f>
        <v>105.3</v>
      </c>
      <c r="Z115" s="36">
        <f>IFERROR(IF(Y115=0,"",ROUNDUP(Y115/H115,0)*0.01898),"")</f>
        <v>0.24674000000000001</v>
      </c>
      <c r="AA115" s="56"/>
      <c r="AB115" s="57"/>
      <c r="AC115" s="161" t="s">
        <v>219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106.0246913580247</v>
      </c>
      <c r="BN115" s="64">
        <f>IFERROR(Y115*I115/H115,"0")</f>
        <v>111.64399999999999</v>
      </c>
      <c r="BO115" s="64">
        <f>IFERROR(1/J115*(X115/H115),"0")</f>
        <v>0.19290123456790123</v>
      </c>
      <c r="BP115" s="64">
        <f>IFERROR(1/J115*(Y115/H115),"0")</f>
        <v>0.203125</v>
      </c>
    </row>
    <row r="116" spans="1:68" ht="27" customHeight="1" x14ac:dyDescent="0.25">
      <c r="A116" s="54" t="s">
        <v>220</v>
      </c>
      <c r="B116" s="54" t="s">
        <v>221</v>
      </c>
      <c r="C116" s="31">
        <v>4301051730</v>
      </c>
      <c r="D116" s="564">
        <v>4607091383256</v>
      </c>
      <c r="E116" s="565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64">
        <v>4607091385748</v>
      </c>
      <c r="E117" s="565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225</v>
      </c>
      <c r="Y117" s="550">
        <f>IFERROR(IF(X117="",0,CEILING((X117/$H117),1)*$H117),"")</f>
        <v>226.8</v>
      </c>
      <c r="Z117" s="36">
        <f>IFERROR(IF(Y117=0,"",ROUNDUP(Y117/H117,0)*0.00651),"")</f>
        <v>0.54683999999999999</v>
      </c>
      <c r="AA117" s="56"/>
      <c r="AB117" s="57"/>
      <c r="AC117" s="165" t="s">
        <v>219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246</v>
      </c>
      <c r="BN117" s="64">
        <f>IFERROR(Y117*I117/H117,"0")</f>
        <v>247.96799999999999</v>
      </c>
      <c r="BO117" s="64">
        <f>IFERROR(1/J117*(X117/H117),"0")</f>
        <v>0.45787545787545786</v>
      </c>
      <c r="BP117" s="64">
        <f>IFERROR(1/J117*(Y117/H117),"0")</f>
        <v>0.46153846153846156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64">
        <v>4680115884533</v>
      </c>
      <c r="E118" s="565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4"/>
      <c r="R118" s="554"/>
      <c r="S118" s="554"/>
      <c r="T118" s="555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1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8" t="s">
        <v>75</v>
      </c>
      <c r="Q119" s="569"/>
      <c r="R119" s="569"/>
      <c r="S119" s="569"/>
      <c r="T119" s="569"/>
      <c r="U119" s="569"/>
      <c r="V119" s="570"/>
      <c r="W119" s="37" t="s">
        <v>76</v>
      </c>
      <c r="X119" s="551">
        <f>IFERROR(X115/H115,"0")+IFERROR(X116/H116,"0")+IFERROR(X117/H117,"0")+IFERROR(X118/H118,"0")</f>
        <v>95.679012345679013</v>
      </c>
      <c r="Y119" s="551">
        <f>IFERROR(Y115/H115,"0")+IFERROR(Y116/H116,"0")+IFERROR(Y117/H117,"0")+IFERROR(Y118/H118,"0")</f>
        <v>97</v>
      </c>
      <c r="Z119" s="551">
        <f>IFERROR(IF(Z115="",0,Z115),"0")+IFERROR(IF(Z116="",0,Z116),"0")+IFERROR(IF(Z117="",0,Z117),"0")+IFERROR(IF(Z118="",0,Z118),"0")</f>
        <v>0.79357999999999995</v>
      </c>
      <c r="AA119" s="552"/>
      <c r="AB119" s="552"/>
      <c r="AC119" s="552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68" t="s">
        <v>75</v>
      </c>
      <c r="Q120" s="569"/>
      <c r="R120" s="569"/>
      <c r="S120" s="569"/>
      <c r="T120" s="569"/>
      <c r="U120" s="569"/>
      <c r="V120" s="570"/>
      <c r="W120" s="37" t="s">
        <v>69</v>
      </c>
      <c r="X120" s="551">
        <f>IFERROR(SUM(X115:X118),"0")</f>
        <v>325</v>
      </c>
      <c r="Y120" s="551">
        <f>IFERROR(SUM(Y115:Y118),"0")</f>
        <v>332.1</v>
      </c>
      <c r="Z120" s="37"/>
      <c r="AA120" s="552"/>
      <c r="AB120" s="552"/>
      <c r="AC120" s="552"/>
    </row>
    <row r="121" spans="1:68" ht="14.25" customHeight="1" x14ac:dyDescent="0.25">
      <c r="A121" s="567" t="s">
        <v>163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5"/>
      <c r="AB121" s="545"/>
      <c r="AC121" s="545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64">
        <v>4680115880238</v>
      </c>
      <c r="E122" s="565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1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4"/>
      <c r="R122" s="554"/>
      <c r="S122" s="554"/>
      <c r="T122" s="555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1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8" t="s">
        <v>75</v>
      </c>
      <c r="Q123" s="569"/>
      <c r="R123" s="569"/>
      <c r="S123" s="569"/>
      <c r="T123" s="569"/>
      <c r="U123" s="569"/>
      <c r="V123" s="570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68" t="s">
        <v>75</v>
      </c>
      <c r="Q124" s="569"/>
      <c r="R124" s="569"/>
      <c r="S124" s="569"/>
      <c r="T124" s="569"/>
      <c r="U124" s="569"/>
      <c r="V124" s="570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customHeight="1" x14ac:dyDescent="0.25">
      <c r="A125" s="566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4"/>
      <c r="AB125" s="544"/>
      <c r="AC125" s="544"/>
    </row>
    <row r="126" spans="1:68" ht="14.25" customHeight="1" x14ac:dyDescent="0.25">
      <c r="A126" s="567" t="s">
        <v>103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5"/>
      <c r="AB126" s="545"/>
      <c r="AC126" s="545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64">
        <v>4680115882577</v>
      </c>
      <c r="E127" s="565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64">
        <v>4680115882577</v>
      </c>
      <c r="E128" s="565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3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4"/>
      <c r="R128" s="554"/>
      <c r="S128" s="554"/>
      <c r="T128" s="555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1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8" t="s">
        <v>75</v>
      </c>
      <c r="Q129" s="569"/>
      <c r="R129" s="569"/>
      <c r="S129" s="569"/>
      <c r="T129" s="569"/>
      <c r="U129" s="569"/>
      <c r="V129" s="570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68" t="s">
        <v>75</v>
      </c>
      <c r="Q130" s="569"/>
      <c r="R130" s="569"/>
      <c r="S130" s="569"/>
      <c r="T130" s="569"/>
      <c r="U130" s="569"/>
      <c r="V130" s="570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customHeight="1" x14ac:dyDescent="0.25">
      <c r="A131" s="567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5"/>
      <c r="AB131" s="545"/>
      <c r="AC131" s="545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64">
        <v>4680115883444</v>
      </c>
      <c r="E132" s="565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6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64">
        <v>4680115883444</v>
      </c>
      <c r="E133" s="565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4"/>
      <c r="R133" s="554"/>
      <c r="S133" s="554"/>
      <c r="T133" s="555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1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8" t="s">
        <v>75</v>
      </c>
      <c r="Q134" s="569"/>
      <c r="R134" s="569"/>
      <c r="S134" s="569"/>
      <c r="T134" s="569"/>
      <c r="U134" s="569"/>
      <c r="V134" s="570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68" t="s">
        <v>75</v>
      </c>
      <c r="Q135" s="569"/>
      <c r="R135" s="569"/>
      <c r="S135" s="569"/>
      <c r="T135" s="569"/>
      <c r="U135" s="569"/>
      <c r="V135" s="570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customHeight="1" x14ac:dyDescent="0.25">
      <c r="A136" s="567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5"/>
      <c r="AB136" s="545"/>
      <c r="AC136" s="545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64">
        <v>4680115882584</v>
      </c>
      <c r="E137" s="565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64">
        <v>4680115882584</v>
      </c>
      <c r="E138" s="565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4"/>
      <c r="R138" s="554"/>
      <c r="S138" s="554"/>
      <c r="T138" s="555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1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8" t="s">
        <v>75</v>
      </c>
      <c r="Q139" s="569"/>
      <c r="R139" s="569"/>
      <c r="S139" s="569"/>
      <c r="T139" s="569"/>
      <c r="U139" s="569"/>
      <c r="V139" s="570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68" t="s">
        <v>75</v>
      </c>
      <c r="Q140" s="569"/>
      <c r="R140" s="569"/>
      <c r="S140" s="569"/>
      <c r="T140" s="569"/>
      <c r="U140" s="569"/>
      <c r="V140" s="570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customHeight="1" x14ac:dyDescent="0.25">
      <c r="A141" s="566" t="s">
        <v>101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4"/>
      <c r="AB141" s="544"/>
      <c r="AC141" s="544"/>
    </row>
    <row r="142" spans="1:68" ht="14.25" customHeight="1" x14ac:dyDescent="0.25">
      <c r="A142" s="567" t="s">
        <v>103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5"/>
      <c r="AB142" s="545"/>
      <c r="AC142" s="545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64">
        <v>4680115887374</v>
      </c>
      <c r="E143" s="565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4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64">
        <v>4607091384604</v>
      </c>
      <c r="E144" s="565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4"/>
      <c r="R144" s="554"/>
      <c r="S144" s="554"/>
      <c r="T144" s="555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1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8" t="s">
        <v>75</v>
      </c>
      <c r="Q145" s="569"/>
      <c r="R145" s="569"/>
      <c r="S145" s="569"/>
      <c r="T145" s="569"/>
      <c r="U145" s="569"/>
      <c r="V145" s="570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68" t="s">
        <v>75</v>
      </c>
      <c r="Q146" s="569"/>
      <c r="R146" s="569"/>
      <c r="S146" s="569"/>
      <c r="T146" s="569"/>
      <c r="U146" s="569"/>
      <c r="V146" s="570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customHeight="1" x14ac:dyDescent="0.25">
      <c r="A147" s="567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5"/>
      <c r="AB147" s="545"/>
      <c r="AC147" s="545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64">
        <v>4680115887428</v>
      </c>
      <c r="E148" s="565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641" t="s">
        <v>250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64">
        <v>4680115887336</v>
      </c>
      <c r="E149" s="565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68" t="s">
        <v>255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64">
        <v>4680115887398</v>
      </c>
      <c r="E150" s="565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580" t="s">
        <v>259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64">
        <v>4607091387667</v>
      </c>
      <c r="E151" s="565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 t="s">
        <v>107</v>
      </c>
      <c r="M151" s="33" t="s">
        <v>108</v>
      </c>
      <c r="N151" s="33"/>
      <c r="O151" s="32">
        <v>40</v>
      </c>
      <c r="P151" s="87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64">
        <v>4607091387636</v>
      </c>
      <c r="E152" s="565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64">
        <v>4607091382426</v>
      </c>
      <c r="E153" s="565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 t="s">
        <v>107</v>
      </c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4"/>
      <c r="R153" s="554"/>
      <c r="S153" s="554"/>
      <c r="T153" s="555"/>
      <c r="U153" s="34"/>
      <c r="V153" s="34"/>
      <c r="W153" s="35" t="s">
        <v>69</v>
      </c>
      <c r="X153" s="549">
        <v>0</v>
      </c>
      <c r="Y153" s="550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 t="s">
        <v>92</v>
      </c>
      <c r="AK153" s="68">
        <v>72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1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8" t="s">
        <v>75</v>
      </c>
      <c r="Q154" s="569"/>
      <c r="R154" s="569"/>
      <c r="S154" s="569"/>
      <c r="T154" s="569"/>
      <c r="U154" s="569"/>
      <c r="V154" s="570"/>
      <c r="W154" s="37" t="s">
        <v>76</v>
      </c>
      <c r="X154" s="551">
        <f>IFERROR(X148/H148,"0")+IFERROR(X149/H149,"0")+IFERROR(X150/H150,"0")+IFERROR(X151/H151,"0")+IFERROR(X152/H152,"0")+IFERROR(X153/H153,"0")</f>
        <v>0</v>
      </c>
      <c r="Y154" s="551">
        <f>IFERROR(Y148/H148,"0")+IFERROR(Y149/H149,"0")+IFERROR(Y150/H150,"0")+IFERROR(Y151/H151,"0")+IFERROR(Y152/H152,"0")+IFERROR(Y153/H153,"0")</f>
        <v>0</v>
      </c>
      <c r="Z154" s="551">
        <f>IFERROR(IF(Z148="",0,Z148),"0")+IFERROR(IF(Z149="",0,Z149),"0")+IFERROR(IF(Z150="",0,Z150),"0")+IFERROR(IF(Z151="",0,Z151),"0")+IFERROR(IF(Z152="",0,Z152),"0")+IFERROR(IF(Z153="",0,Z153),"0")</f>
        <v>0</v>
      </c>
      <c r="AA154" s="552"/>
      <c r="AB154" s="552"/>
      <c r="AC154" s="552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68" t="s">
        <v>75</v>
      </c>
      <c r="Q155" s="569"/>
      <c r="R155" s="569"/>
      <c r="S155" s="569"/>
      <c r="T155" s="569"/>
      <c r="U155" s="569"/>
      <c r="V155" s="570"/>
      <c r="W155" s="37" t="s">
        <v>69</v>
      </c>
      <c r="X155" s="551">
        <f>IFERROR(SUM(X148:X153),"0")</f>
        <v>0</v>
      </c>
      <c r="Y155" s="551">
        <f>IFERROR(SUM(Y148:Y153),"0")</f>
        <v>0</v>
      </c>
      <c r="Z155" s="37"/>
      <c r="AA155" s="552"/>
      <c r="AB155" s="552"/>
      <c r="AC155" s="552"/>
    </row>
    <row r="156" spans="1:68" ht="14.25" customHeight="1" x14ac:dyDescent="0.25">
      <c r="A156" s="567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5"/>
      <c r="AB156" s="545"/>
      <c r="AC156" s="545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64">
        <v>4680115887459</v>
      </c>
      <c r="E157" s="565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4"/>
      <c r="R157" s="554"/>
      <c r="S157" s="554"/>
      <c r="T157" s="555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1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8" t="s">
        <v>75</v>
      </c>
      <c r="Q158" s="569"/>
      <c r="R158" s="569"/>
      <c r="S158" s="569"/>
      <c r="T158" s="569"/>
      <c r="U158" s="569"/>
      <c r="V158" s="570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68" t="s">
        <v>75</v>
      </c>
      <c r="Q159" s="569"/>
      <c r="R159" s="569"/>
      <c r="S159" s="569"/>
      <c r="T159" s="569"/>
      <c r="U159" s="569"/>
      <c r="V159" s="570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customHeight="1" x14ac:dyDescent="0.2">
      <c r="A160" s="716" t="s">
        <v>273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48"/>
      <c r="AB160" s="48"/>
      <c r="AC160" s="48"/>
    </row>
    <row r="161" spans="1:68" ht="16.5" customHeight="1" x14ac:dyDescent="0.25">
      <c r="A161" s="566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4"/>
      <c r="AB161" s="544"/>
      <c r="AC161" s="544"/>
    </row>
    <row r="162" spans="1:68" ht="14.25" customHeight="1" x14ac:dyDescent="0.25">
      <c r="A162" s="567" t="s">
        <v>138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5"/>
      <c r="AB162" s="545"/>
      <c r="AC162" s="545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64">
        <v>4680115886223</v>
      </c>
      <c r="E163" s="565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4"/>
      <c r="R163" s="554"/>
      <c r="S163" s="554"/>
      <c r="T163" s="555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1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8" t="s">
        <v>75</v>
      </c>
      <c r="Q164" s="569"/>
      <c r="R164" s="569"/>
      <c r="S164" s="569"/>
      <c r="T164" s="569"/>
      <c r="U164" s="569"/>
      <c r="V164" s="570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68" t="s">
        <v>75</v>
      </c>
      <c r="Q165" s="569"/>
      <c r="R165" s="569"/>
      <c r="S165" s="569"/>
      <c r="T165" s="569"/>
      <c r="U165" s="569"/>
      <c r="V165" s="570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customHeight="1" x14ac:dyDescent="0.25">
      <c r="A166" s="567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5"/>
      <c r="AB166" s="545"/>
      <c r="AC166" s="545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64">
        <v>4680115880993</v>
      </c>
      <c r="E167" s="565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115</v>
      </c>
      <c r="M167" s="33" t="s">
        <v>68</v>
      </c>
      <c r="N167" s="33"/>
      <c r="O167" s="32">
        <v>40</v>
      </c>
      <c r="P167" s="67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92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64">
        <v>4680115881761</v>
      </c>
      <c r="E168" s="565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6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64">
        <v>4680115881563</v>
      </c>
      <c r="E169" s="565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50</v>
      </c>
      <c r="Y169" s="550">
        <f t="shared" si="10"/>
        <v>50.400000000000006</v>
      </c>
      <c r="Z169" s="36">
        <f>IFERROR(IF(Y169=0,"",ROUNDUP(Y169/H169,0)*0.00902),"")</f>
        <v>0.10824</v>
      </c>
      <c r="AA169" s="56"/>
      <c r="AB169" s="57"/>
      <c r="AC169" s="207" t="s">
        <v>286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52.261904761904752</v>
      </c>
      <c r="BN169" s="64">
        <f t="shared" si="12"/>
        <v>52.68</v>
      </c>
      <c r="BO169" s="64">
        <f t="shared" si="13"/>
        <v>9.0187590187590191E-2</v>
      </c>
      <c r="BP169" s="64">
        <f t="shared" si="14"/>
        <v>9.0909090909090912E-2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64">
        <v>4680115887565</v>
      </c>
      <c r="E170" s="565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64">
        <v>4680115880986</v>
      </c>
      <c r="E171" s="565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64">
        <v>4680115887213</v>
      </c>
      <c r="E172" s="565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64">
        <v>4680115881785</v>
      </c>
      <c r="E173" s="565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64">
        <v>4680115886537</v>
      </c>
      <c r="E174" s="565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64">
        <v>4680115887596</v>
      </c>
      <c r="E175" s="565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78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64">
        <v>4680115881679</v>
      </c>
      <c r="E176" s="565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64">
        <v>4680115880191</v>
      </c>
      <c r="E177" s="565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64">
        <v>4680115883963</v>
      </c>
      <c r="E178" s="565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1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1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63"/>
      <c r="P179" s="568" t="s">
        <v>75</v>
      </c>
      <c r="Q179" s="569"/>
      <c r="R179" s="569"/>
      <c r="S179" s="569"/>
      <c r="T179" s="569"/>
      <c r="U179" s="569"/>
      <c r="V179" s="570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11.904761904761905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12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0.10824</v>
      </c>
      <c r="AA179" s="552"/>
      <c r="AB179" s="552"/>
      <c r="AC179" s="552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8" t="s">
        <v>75</v>
      </c>
      <c r="Q180" s="569"/>
      <c r="R180" s="569"/>
      <c r="S180" s="569"/>
      <c r="T180" s="569"/>
      <c r="U180" s="569"/>
      <c r="V180" s="570"/>
      <c r="W180" s="37" t="s">
        <v>69</v>
      </c>
      <c r="X180" s="551">
        <f>IFERROR(SUM(X167:X178),"0")</f>
        <v>50</v>
      </c>
      <c r="Y180" s="551">
        <f>IFERROR(SUM(Y167:Y178),"0")</f>
        <v>50.400000000000006</v>
      </c>
      <c r="Z180" s="37"/>
      <c r="AA180" s="552"/>
      <c r="AB180" s="552"/>
      <c r="AC180" s="552"/>
    </row>
    <row r="181" spans="1:68" ht="14.25" customHeight="1" x14ac:dyDescent="0.25">
      <c r="A181" s="567" t="s">
        <v>95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5"/>
      <c r="AB181" s="545"/>
      <c r="AC181" s="545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64">
        <v>4680115886780</v>
      </c>
      <c r="E182" s="565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4"/>
      <c r="R182" s="554"/>
      <c r="S182" s="554"/>
      <c r="T182" s="555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64">
        <v>4680115886742</v>
      </c>
      <c r="E183" s="565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64">
        <v>4680115886766</v>
      </c>
      <c r="E184" s="565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1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63"/>
      <c r="P185" s="568" t="s">
        <v>75</v>
      </c>
      <c r="Q185" s="569"/>
      <c r="R185" s="569"/>
      <c r="S185" s="569"/>
      <c r="T185" s="569"/>
      <c r="U185" s="569"/>
      <c r="V185" s="570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8" t="s">
        <v>75</v>
      </c>
      <c r="Q186" s="569"/>
      <c r="R186" s="569"/>
      <c r="S186" s="569"/>
      <c r="T186" s="569"/>
      <c r="U186" s="569"/>
      <c r="V186" s="570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customHeight="1" x14ac:dyDescent="0.25">
      <c r="A187" s="567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5"/>
      <c r="AB187" s="545"/>
      <c r="AC187" s="545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64">
        <v>4680115886797</v>
      </c>
      <c r="E188" s="565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4"/>
      <c r="R188" s="554"/>
      <c r="S188" s="554"/>
      <c r="T188" s="555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1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68" t="s">
        <v>75</v>
      </c>
      <c r="Q189" s="569"/>
      <c r="R189" s="569"/>
      <c r="S189" s="569"/>
      <c r="T189" s="569"/>
      <c r="U189" s="569"/>
      <c r="V189" s="570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8" t="s">
        <v>75</v>
      </c>
      <c r="Q190" s="569"/>
      <c r="R190" s="569"/>
      <c r="S190" s="569"/>
      <c r="T190" s="569"/>
      <c r="U190" s="569"/>
      <c r="V190" s="570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customHeight="1" x14ac:dyDescent="0.25">
      <c r="A191" s="566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4"/>
      <c r="AB191" s="544"/>
      <c r="AC191" s="544"/>
    </row>
    <row r="192" spans="1:68" ht="14.25" customHeight="1" x14ac:dyDescent="0.25">
      <c r="A192" s="567" t="s">
        <v>103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5"/>
      <c r="AB192" s="545"/>
      <c r="AC192" s="545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64">
        <v>4680115881402</v>
      </c>
      <c r="E193" s="565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7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4"/>
      <c r="R193" s="554"/>
      <c r="S193" s="554"/>
      <c r="T193" s="555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64">
        <v>4680115881396</v>
      </c>
      <c r="E194" s="565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 t="s">
        <v>90</v>
      </c>
      <c r="M194" s="33" t="s">
        <v>108</v>
      </c>
      <c r="N194" s="33"/>
      <c r="O194" s="32">
        <v>55</v>
      </c>
      <c r="P194" s="65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1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63"/>
      <c r="P195" s="568" t="s">
        <v>75</v>
      </c>
      <c r="Q195" s="569"/>
      <c r="R195" s="569"/>
      <c r="S195" s="569"/>
      <c r="T195" s="569"/>
      <c r="U195" s="569"/>
      <c r="V195" s="570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8" t="s">
        <v>75</v>
      </c>
      <c r="Q196" s="569"/>
      <c r="R196" s="569"/>
      <c r="S196" s="569"/>
      <c r="T196" s="569"/>
      <c r="U196" s="569"/>
      <c r="V196" s="570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customHeight="1" x14ac:dyDescent="0.25">
      <c r="A197" s="567" t="s">
        <v>138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5"/>
      <c r="AB197" s="545"/>
      <c r="AC197" s="545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64">
        <v>4680115882935</v>
      </c>
      <c r="E198" s="565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83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4"/>
      <c r="R198" s="554"/>
      <c r="S198" s="554"/>
      <c r="T198" s="555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64">
        <v>4680115880764</v>
      </c>
      <c r="E199" s="565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1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63"/>
      <c r="P200" s="568" t="s">
        <v>75</v>
      </c>
      <c r="Q200" s="569"/>
      <c r="R200" s="569"/>
      <c r="S200" s="569"/>
      <c r="T200" s="569"/>
      <c r="U200" s="569"/>
      <c r="V200" s="570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8" t="s">
        <v>75</v>
      </c>
      <c r="Q201" s="569"/>
      <c r="R201" s="569"/>
      <c r="S201" s="569"/>
      <c r="T201" s="569"/>
      <c r="U201" s="569"/>
      <c r="V201" s="570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customHeight="1" x14ac:dyDescent="0.25">
      <c r="A202" s="567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5"/>
      <c r="AB202" s="545"/>
      <c r="AC202" s="545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64">
        <v>4680115882683</v>
      </c>
      <c r="E203" s="565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4"/>
      <c r="R203" s="554"/>
      <c r="S203" s="554"/>
      <c r="T203" s="555"/>
      <c r="U203" s="34"/>
      <c r="V203" s="34"/>
      <c r="W203" s="35" t="s">
        <v>69</v>
      </c>
      <c r="X203" s="549">
        <v>100</v>
      </c>
      <c r="Y203" s="550">
        <f t="shared" ref="Y203:Y210" si="15">IFERROR(IF(X203="",0,CEILING((X203/$H203),1)*$H203),"")</f>
        <v>102.60000000000001</v>
      </c>
      <c r="Z203" s="36">
        <f>IFERROR(IF(Y203=0,"",ROUNDUP(Y203/H203,0)*0.00902),"")</f>
        <v>0.17138</v>
      </c>
      <c r="AA203" s="56"/>
      <c r="AB203" s="57"/>
      <c r="AC203" s="243" t="s">
        <v>337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6">IFERROR(X203*I203/H203,"0")</f>
        <v>103.5185185185185</v>
      </c>
      <c r="BN203" s="64">
        <f t="shared" ref="BN203:BN210" si="17">IFERROR(Y203*I203/H203,"0")</f>
        <v>106.21</v>
      </c>
      <c r="BO203" s="64">
        <f t="shared" ref="BO203:BO210" si="18">IFERROR(1/J203*(X203/H203),"0")</f>
        <v>0.14029180695847362</v>
      </c>
      <c r="BP203" s="64">
        <f t="shared" ref="BP203:BP210" si="19">IFERROR(1/J203*(Y203/H203),"0")</f>
        <v>0.14393939393939395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64">
        <v>4680115882690</v>
      </c>
      <c r="E204" s="565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80</v>
      </c>
      <c r="Y204" s="550">
        <f t="shared" si="15"/>
        <v>81</v>
      </c>
      <c r="Z204" s="36">
        <f>IFERROR(IF(Y204=0,"",ROUNDUP(Y204/H204,0)*0.00902),"")</f>
        <v>0.1353</v>
      </c>
      <c r="AA204" s="56"/>
      <c r="AB204" s="57"/>
      <c r="AC204" s="245" t="s">
        <v>340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6"/>
        <v>82.81481481481481</v>
      </c>
      <c r="BN204" s="64">
        <f t="shared" si="17"/>
        <v>83.85</v>
      </c>
      <c r="BO204" s="64">
        <f t="shared" si="18"/>
        <v>0.11223344556677889</v>
      </c>
      <c r="BP204" s="64">
        <f t="shared" si="19"/>
        <v>0.11363636363636363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64">
        <v>4680115882669</v>
      </c>
      <c r="E205" s="565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120</v>
      </c>
      <c r="Y205" s="550">
        <f t="shared" si="15"/>
        <v>124.2</v>
      </c>
      <c r="Z205" s="36">
        <f>IFERROR(IF(Y205=0,"",ROUNDUP(Y205/H205,0)*0.00902),"")</f>
        <v>0.20746000000000001</v>
      </c>
      <c r="AA205" s="56"/>
      <c r="AB205" s="57"/>
      <c r="AC205" s="247" t="s">
        <v>343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124.2222222222222</v>
      </c>
      <c r="BN205" s="64">
        <f t="shared" si="17"/>
        <v>128.57</v>
      </c>
      <c r="BO205" s="64">
        <f t="shared" si="18"/>
        <v>0.16835016835016836</v>
      </c>
      <c r="BP205" s="64">
        <f t="shared" si="19"/>
        <v>0.17424242424242425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64">
        <v>4680115882676</v>
      </c>
      <c r="E206" s="565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120</v>
      </c>
      <c r="Y206" s="550">
        <f t="shared" si="15"/>
        <v>124.2</v>
      </c>
      <c r="Z206" s="36">
        <f>IFERROR(IF(Y206=0,"",ROUNDUP(Y206/H206,0)*0.00902),"")</f>
        <v>0.20746000000000001</v>
      </c>
      <c r="AA206" s="56"/>
      <c r="AB206" s="57"/>
      <c r="AC206" s="249" t="s">
        <v>346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124.2222222222222</v>
      </c>
      <c r="BN206" s="64">
        <f t="shared" si="17"/>
        <v>128.57</v>
      </c>
      <c r="BO206" s="64">
        <f t="shared" si="18"/>
        <v>0.16835016835016836</v>
      </c>
      <c r="BP206" s="64">
        <f t="shared" si="19"/>
        <v>0.17424242424242425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64">
        <v>4680115884014</v>
      </c>
      <c r="E207" s="565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64">
        <v>4680115884007</v>
      </c>
      <c r="E208" s="565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64">
        <v>4680115884038</v>
      </c>
      <c r="E209" s="565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64">
        <v>4680115884021</v>
      </c>
      <c r="E210" s="565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1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63"/>
      <c r="P211" s="568" t="s">
        <v>75</v>
      </c>
      <c r="Q211" s="569"/>
      <c r="R211" s="569"/>
      <c r="S211" s="569"/>
      <c r="T211" s="569"/>
      <c r="U211" s="569"/>
      <c r="V211" s="570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77.777777777777771</v>
      </c>
      <c r="Y211" s="551">
        <f>IFERROR(Y203/H203,"0")+IFERROR(Y204/H204,"0")+IFERROR(Y205/H205,"0")+IFERROR(Y206/H206,"0")+IFERROR(Y207/H207,"0")+IFERROR(Y208/H208,"0")+IFERROR(Y209/H209,"0")+IFERROR(Y210/H210,"0")</f>
        <v>80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0.72160000000000002</v>
      </c>
      <c r="AA211" s="552"/>
      <c r="AB211" s="552"/>
      <c r="AC211" s="552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8" t="s">
        <v>75</v>
      </c>
      <c r="Q212" s="569"/>
      <c r="R212" s="569"/>
      <c r="S212" s="569"/>
      <c r="T212" s="569"/>
      <c r="U212" s="569"/>
      <c r="V212" s="570"/>
      <c r="W212" s="37" t="s">
        <v>69</v>
      </c>
      <c r="X212" s="551">
        <f>IFERROR(SUM(X203:X210),"0")</f>
        <v>420</v>
      </c>
      <c r="Y212" s="551">
        <f>IFERROR(SUM(Y203:Y210),"0")</f>
        <v>432</v>
      </c>
      <c r="Z212" s="37"/>
      <c r="AA212" s="552"/>
      <c r="AB212" s="552"/>
      <c r="AC212" s="552"/>
    </row>
    <row r="213" spans="1:68" ht="14.25" customHeight="1" x14ac:dyDescent="0.25">
      <c r="A213" s="567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5"/>
      <c r="AB213" s="545"/>
      <c r="AC213" s="545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64">
        <v>4680115881594</v>
      </c>
      <c r="E214" s="565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80</v>
      </c>
      <c r="N214" s="33"/>
      <c r="O214" s="32">
        <v>40</v>
      </c>
      <c r="P214" s="81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4"/>
      <c r="R214" s="554"/>
      <c r="S214" s="554"/>
      <c r="T214" s="555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64">
        <v>4680115881617</v>
      </c>
      <c r="E215" s="565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80</v>
      </c>
      <c r="N215" s="33"/>
      <c r="O215" s="32">
        <v>40</v>
      </c>
      <c r="P215" s="5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50</v>
      </c>
      <c r="Y215" s="550">
        <f t="shared" si="20"/>
        <v>56.699999999999996</v>
      </c>
      <c r="Z215" s="36">
        <f>IFERROR(IF(Y215=0,"",ROUNDUP(Y215/H215,0)*0.01898),"")</f>
        <v>0.13286000000000001</v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52.938271604938272</v>
      </c>
      <c r="BN215" s="64">
        <f t="shared" si="22"/>
        <v>60.031999999999996</v>
      </c>
      <c r="BO215" s="64">
        <f t="shared" si="23"/>
        <v>9.6450617283950615E-2</v>
      </c>
      <c r="BP215" s="64">
        <f t="shared" si="24"/>
        <v>0.109375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64">
        <v>4680115880573</v>
      </c>
      <c r="E216" s="565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80</v>
      </c>
      <c r="N216" s="33"/>
      <c r="O216" s="32">
        <v>45</v>
      </c>
      <c r="P216" s="7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80</v>
      </c>
      <c r="Y216" s="550">
        <f t="shared" si="20"/>
        <v>87</v>
      </c>
      <c r="Z216" s="36">
        <f>IFERROR(IF(Y216=0,"",ROUNDUP(Y216/H216,0)*0.01898),"")</f>
        <v>0.1898</v>
      </c>
      <c r="AA216" s="56"/>
      <c r="AB216" s="57"/>
      <c r="AC216" s="263" t="s">
        <v>363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21"/>
        <v>84.542528735632203</v>
      </c>
      <c r="BN216" s="64">
        <f t="shared" si="22"/>
        <v>91.940000000000012</v>
      </c>
      <c r="BO216" s="64">
        <f t="shared" si="23"/>
        <v>0.14367816091954025</v>
      </c>
      <c r="BP216" s="64">
        <f t="shared" si="24"/>
        <v>0.15625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64">
        <v>4680115882195</v>
      </c>
      <c r="E217" s="565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50</v>
      </c>
      <c r="Y217" s="550">
        <f t="shared" si="20"/>
        <v>50.4</v>
      </c>
      <c r="Z217" s="36">
        <f t="shared" ref="Z217:Z222" si="25">IFERROR(IF(Y217=0,"",ROUNDUP(Y217/H217,0)*0.00651),"")</f>
        <v>0.13671</v>
      </c>
      <c r="AA217" s="56"/>
      <c r="AB217" s="57"/>
      <c r="AC217" s="265" t="s">
        <v>357</v>
      </c>
      <c r="AG217" s="64"/>
      <c r="AJ217" s="68" t="s">
        <v>92</v>
      </c>
      <c r="AK217" s="68">
        <v>33.6</v>
      </c>
      <c r="BB217" s="266" t="s">
        <v>1</v>
      </c>
      <c r="BM217" s="64">
        <f t="shared" si="21"/>
        <v>55.625</v>
      </c>
      <c r="BN217" s="64">
        <f t="shared" si="22"/>
        <v>56.069999999999993</v>
      </c>
      <c r="BO217" s="64">
        <f t="shared" si="23"/>
        <v>0.11446886446886449</v>
      </c>
      <c r="BP217" s="64">
        <f t="shared" si="24"/>
        <v>0.11538461538461539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64">
        <v>4680115882607</v>
      </c>
      <c r="E218" s="565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 t="s">
        <v>92</v>
      </c>
      <c r="AK218" s="68">
        <v>25.2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64">
        <v>4680115880092</v>
      </c>
      <c r="E219" s="565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363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64">
        <v>4680115880221</v>
      </c>
      <c r="E220" s="565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64">
        <v>4680115880504</v>
      </c>
      <c r="E221" s="565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50</v>
      </c>
      <c r="Y221" s="550">
        <f t="shared" si="20"/>
        <v>50.4</v>
      </c>
      <c r="Z221" s="36">
        <f t="shared" si="25"/>
        <v>0.13671</v>
      </c>
      <c r="AA221" s="56"/>
      <c r="AB221" s="57"/>
      <c r="AC221" s="273" t="s">
        <v>374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55.25</v>
      </c>
      <c r="BN221" s="64">
        <f t="shared" si="22"/>
        <v>55.692</v>
      </c>
      <c r="BO221" s="64">
        <f t="shared" si="23"/>
        <v>0.11446886446886449</v>
      </c>
      <c r="BP221" s="64">
        <f t="shared" si="24"/>
        <v>0.11538461538461539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64">
        <v>4680115882164</v>
      </c>
      <c r="E222" s="565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50</v>
      </c>
      <c r="Y222" s="550">
        <f t="shared" si="20"/>
        <v>50.4</v>
      </c>
      <c r="Z222" s="36">
        <f t="shared" si="25"/>
        <v>0.13671</v>
      </c>
      <c r="AA222" s="56"/>
      <c r="AB222" s="57"/>
      <c r="AC222" s="275" t="s">
        <v>360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55.375000000000007</v>
      </c>
      <c r="BN222" s="64">
        <f t="shared" si="22"/>
        <v>55.818000000000005</v>
      </c>
      <c r="BO222" s="64">
        <f t="shared" si="23"/>
        <v>0.11446886446886449</v>
      </c>
      <c r="BP222" s="64">
        <f t="shared" si="24"/>
        <v>0.11538461538461539</v>
      </c>
    </row>
    <row r="223" spans="1:68" x14ac:dyDescent="0.2">
      <c r="A223" s="561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63"/>
      <c r="P223" s="568" t="s">
        <v>75</v>
      </c>
      <c r="Q223" s="569"/>
      <c r="R223" s="569"/>
      <c r="S223" s="569"/>
      <c r="T223" s="569"/>
      <c r="U223" s="569"/>
      <c r="V223" s="570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77.868241805023416</v>
      </c>
      <c r="Y223" s="551">
        <f>IFERROR(Y214/H214,"0")+IFERROR(Y215/H215,"0")+IFERROR(Y216/H216,"0")+IFERROR(Y217/H217,"0")+IFERROR(Y218/H218,"0")+IFERROR(Y219/H219,"0")+IFERROR(Y220/H220,"0")+IFERROR(Y221/H221,"0")+IFERROR(Y222/H222,"0")</f>
        <v>80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0.73278999999999994</v>
      </c>
      <c r="AA223" s="552"/>
      <c r="AB223" s="552"/>
      <c r="AC223" s="552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8" t="s">
        <v>75</v>
      </c>
      <c r="Q224" s="569"/>
      <c r="R224" s="569"/>
      <c r="S224" s="569"/>
      <c r="T224" s="569"/>
      <c r="U224" s="569"/>
      <c r="V224" s="570"/>
      <c r="W224" s="37" t="s">
        <v>69</v>
      </c>
      <c r="X224" s="551">
        <f>IFERROR(SUM(X214:X222),"0")</f>
        <v>280</v>
      </c>
      <c r="Y224" s="551">
        <f>IFERROR(SUM(Y214:Y222),"0")</f>
        <v>294.89999999999998</v>
      </c>
      <c r="Z224" s="37"/>
      <c r="AA224" s="552"/>
      <c r="AB224" s="552"/>
      <c r="AC224" s="552"/>
    </row>
    <row r="225" spans="1:68" ht="14.25" customHeight="1" x14ac:dyDescent="0.25">
      <c r="A225" s="567" t="s">
        <v>163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5"/>
      <c r="AB225" s="545"/>
      <c r="AC225" s="545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64">
        <v>4680115880818</v>
      </c>
      <c r="E226" s="565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4"/>
      <c r="R226" s="554"/>
      <c r="S226" s="554"/>
      <c r="T226" s="555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64">
        <v>4680115880801</v>
      </c>
      <c r="E227" s="565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1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63"/>
      <c r="P228" s="568" t="s">
        <v>75</v>
      </c>
      <c r="Q228" s="569"/>
      <c r="R228" s="569"/>
      <c r="S228" s="569"/>
      <c r="T228" s="569"/>
      <c r="U228" s="569"/>
      <c r="V228" s="570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8" t="s">
        <v>75</v>
      </c>
      <c r="Q229" s="569"/>
      <c r="R229" s="569"/>
      <c r="S229" s="569"/>
      <c r="T229" s="569"/>
      <c r="U229" s="569"/>
      <c r="V229" s="570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customHeight="1" x14ac:dyDescent="0.25">
      <c r="A230" s="566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4"/>
      <c r="AB230" s="544"/>
      <c r="AC230" s="544"/>
    </row>
    <row r="231" spans="1:68" ht="14.25" customHeight="1" x14ac:dyDescent="0.25">
      <c r="A231" s="567" t="s">
        <v>103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5"/>
      <c r="AB231" s="545"/>
      <c r="AC231" s="545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64">
        <v>4680115884137</v>
      </c>
      <c r="E232" s="565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4"/>
      <c r="R232" s="554"/>
      <c r="S232" s="554"/>
      <c r="T232" s="555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64">
        <v>4680115884236</v>
      </c>
      <c r="E233" s="565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64">
        <v>4680115884175</v>
      </c>
      <c r="E234" s="565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64">
        <v>4680115884144</v>
      </c>
      <c r="E235" s="565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 t="s">
        <v>115</v>
      </c>
      <c r="M235" s="33" t="s">
        <v>108</v>
      </c>
      <c r="N235" s="33"/>
      <c r="O235" s="32">
        <v>55</v>
      </c>
      <c r="P235" s="7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 t="s">
        <v>92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4301012196</v>
      </c>
      <c r="D236" s="564">
        <v>4680115884144</v>
      </c>
      <c r="E236" s="565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64">
        <v>4680115886551</v>
      </c>
      <c r="E237" s="565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64">
        <v>4680115887282</v>
      </c>
      <c r="E238" s="565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64">
        <v>4680115884205</v>
      </c>
      <c r="E239" s="565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 t="s">
        <v>115</v>
      </c>
      <c r="M239" s="33" t="s">
        <v>108</v>
      </c>
      <c r="N239" s="33"/>
      <c r="O239" s="32">
        <v>55</v>
      </c>
      <c r="P239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92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4301012195</v>
      </c>
      <c r="D240" s="564">
        <v>4680115884205</v>
      </c>
      <c r="E240" s="565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/>
      <c r="M240" s="33" t="s">
        <v>108</v>
      </c>
      <c r="N240" s="33"/>
      <c r="O240" s="32">
        <v>55</v>
      </c>
      <c r="P240" s="64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1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63"/>
      <c r="P241" s="568" t="s">
        <v>75</v>
      </c>
      <c r="Q241" s="569"/>
      <c r="R241" s="569"/>
      <c r="S241" s="569"/>
      <c r="T241" s="569"/>
      <c r="U241" s="569"/>
      <c r="V241" s="570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8" t="s">
        <v>75</v>
      </c>
      <c r="Q242" s="569"/>
      <c r="R242" s="569"/>
      <c r="S242" s="569"/>
      <c r="T242" s="569"/>
      <c r="U242" s="569"/>
      <c r="V242" s="570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customHeight="1" x14ac:dyDescent="0.25">
      <c r="A243" s="567" t="s">
        <v>138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5"/>
      <c r="AB243" s="545"/>
      <c r="AC243" s="545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64">
        <v>4680115885981</v>
      </c>
      <c r="E244" s="565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4"/>
      <c r="R244" s="554"/>
      <c r="S244" s="554"/>
      <c r="T244" s="555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1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63"/>
      <c r="P245" s="568" t="s">
        <v>75</v>
      </c>
      <c r="Q245" s="569"/>
      <c r="R245" s="569"/>
      <c r="S245" s="569"/>
      <c r="T245" s="569"/>
      <c r="U245" s="569"/>
      <c r="V245" s="570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8" t="s">
        <v>75</v>
      </c>
      <c r="Q246" s="569"/>
      <c r="R246" s="569"/>
      <c r="S246" s="569"/>
      <c r="T246" s="569"/>
      <c r="U246" s="569"/>
      <c r="V246" s="570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customHeight="1" x14ac:dyDescent="0.25">
      <c r="A247" s="567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5"/>
      <c r="AB247" s="545"/>
      <c r="AC247" s="545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64">
        <v>4680115886803</v>
      </c>
      <c r="E248" s="565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4"/>
      <c r="R248" s="554"/>
      <c r="S248" s="554"/>
      <c r="T248" s="555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1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63"/>
      <c r="P249" s="568" t="s">
        <v>75</v>
      </c>
      <c r="Q249" s="569"/>
      <c r="R249" s="569"/>
      <c r="S249" s="569"/>
      <c r="T249" s="569"/>
      <c r="U249" s="569"/>
      <c r="V249" s="570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8" t="s">
        <v>75</v>
      </c>
      <c r="Q250" s="569"/>
      <c r="R250" s="569"/>
      <c r="S250" s="569"/>
      <c r="T250" s="569"/>
      <c r="U250" s="569"/>
      <c r="V250" s="570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customHeight="1" x14ac:dyDescent="0.25">
      <c r="A251" s="567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5"/>
      <c r="AB251" s="545"/>
      <c r="AC251" s="545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64">
        <v>4680115886704</v>
      </c>
      <c r="E252" s="565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4"/>
      <c r="R252" s="554"/>
      <c r="S252" s="554"/>
      <c r="T252" s="555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64">
        <v>4680115886681</v>
      </c>
      <c r="E253" s="565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64">
        <v>4680115886735</v>
      </c>
      <c r="E254" s="565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64">
        <v>4680115886728</v>
      </c>
      <c r="E255" s="565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64">
        <v>4680115886711</v>
      </c>
      <c r="E256" s="565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1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63"/>
      <c r="P257" s="568" t="s">
        <v>75</v>
      </c>
      <c r="Q257" s="569"/>
      <c r="R257" s="569"/>
      <c r="S257" s="569"/>
      <c r="T257" s="569"/>
      <c r="U257" s="569"/>
      <c r="V257" s="570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8" t="s">
        <v>75</v>
      </c>
      <c r="Q258" s="569"/>
      <c r="R258" s="569"/>
      <c r="S258" s="569"/>
      <c r="T258" s="569"/>
      <c r="U258" s="569"/>
      <c r="V258" s="570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customHeight="1" x14ac:dyDescent="0.25">
      <c r="A259" s="566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4"/>
      <c r="AB259" s="544"/>
      <c r="AC259" s="544"/>
    </row>
    <row r="260" spans="1:68" ht="14.25" customHeight="1" x14ac:dyDescent="0.25">
      <c r="A260" s="567" t="s">
        <v>103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5"/>
      <c r="AB260" s="545"/>
      <c r="AC260" s="545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64">
        <v>4680115885837</v>
      </c>
      <c r="E261" s="565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 t="s">
        <v>107</v>
      </c>
      <c r="M261" s="33" t="s">
        <v>108</v>
      </c>
      <c r="N261" s="33"/>
      <c r="O261" s="32">
        <v>55</v>
      </c>
      <c r="P261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4"/>
      <c r="R261" s="554"/>
      <c r="S261" s="554"/>
      <c r="T261" s="555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64">
        <v>4680115885851</v>
      </c>
      <c r="E262" s="565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8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64">
        <v>4680115885806</v>
      </c>
      <c r="E263" s="565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64">
        <v>4680115885844</v>
      </c>
      <c r="E264" s="565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6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64">
        <v>4680115885820</v>
      </c>
      <c r="E265" s="565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 t="s">
        <v>115</v>
      </c>
      <c r="M265" s="33" t="s">
        <v>108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1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63"/>
      <c r="P266" s="568" t="s">
        <v>75</v>
      </c>
      <c r="Q266" s="569"/>
      <c r="R266" s="569"/>
      <c r="S266" s="569"/>
      <c r="T266" s="569"/>
      <c r="U266" s="569"/>
      <c r="V266" s="570"/>
      <c r="W266" s="37" t="s">
        <v>76</v>
      </c>
      <c r="X266" s="551">
        <f>IFERROR(X261/H261,"0")+IFERROR(X262/H262,"0")+IFERROR(X263/H263,"0")+IFERROR(X264/H264,"0")+IFERROR(X265/H265,"0")</f>
        <v>0</v>
      </c>
      <c r="Y266" s="551">
        <f>IFERROR(Y261/H261,"0")+IFERROR(Y262/H262,"0")+IFERROR(Y263/H263,"0")+IFERROR(Y264/H264,"0")+IFERROR(Y265/H265,"0")</f>
        <v>0</v>
      </c>
      <c r="Z266" s="551">
        <f>IFERROR(IF(Z261="",0,Z261),"0")+IFERROR(IF(Z262="",0,Z262),"0")+IFERROR(IF(Z263="",0,Z263),"0")+IFERROR(IF(Z264="",0,Z264),"0")+IFERROR(IF(Z265="",0,Z265),"0")</f>
        <v>0</v>
      </c>
      <c r="AA266" s="552"/>
      <c r="AB266" s="552"/>
      <c r="AC266" s="552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8" t="s">
        <v>75</v>
      </c>
      <c r="Q267" s="569"/>
      <c r="R267" s="569"/>
      <c r="S267" s="569"/>
      <c r="T267" s="569"/>
      <c r="U267" s="569"/>
      <c r="V267" s="570"/>
      <c r="W267" s="37" t="s">
        <v>69</v>
      </c>
      <c r="X267" s="551">
        <f>IFERROR(SUM(X261:X265),"0")</f>
        <v>0</v>
      </c>
      <c r="Y267" s="551">
        <f>IFERROR(SUM(Y261:Y265),"0")</f>
        <v>0</v>
      </c>
      <c r="Z267" s="37"/>
      <c r="AA267" s="552"/>
      <c r="AB267" s="552"/>
      <c r="AC267" s="552"/>
    </row>
    <row r="268" spans="1:68" ht="16.5" customHeight="1" x14ac:dyDescent="0.25">
      <c r="A268" s="566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4"/>
      <c r="AB268" s="544"/>
      <c r="AC268" s="544"/>
    </row>
    <row r="269" spans="1:68" ht="14.25" customHeight="1" x14ac:dyDescent="0.25">
      <c r="A269" s="567" t="s">
        <v>103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5"/>
      <c r="AB269" s="545"/>
      <c r="AC269" s="545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64">
        <v>4607091383423</v>
      </c>
      <c r="E270" s="565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80</v>
      </c>
      <c r="N270" s="33"/>
      <c r="O270" s="32">
        <v>35</v>
      </c>
      <c r="P270" s="81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4"/>
      <c r="R270" s="554"/>
      <c r="S270" s="554"/>
      <c r="T270" s="555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64">
        <v>4680115886957</v>
      </c>
      <c r="E271" s="565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64">
        <v>4680115885660</v>
      </c>
      <c r="E272" s="565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64">
        <v>4680115886773</v>
      </c>
      <c r="E273" s="565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64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1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63"/>
      <c r="P274" s="568" t="s">
        <v>75</v>
      </c>
      <c r="Q274" s="569"/>
      <c r="R274" s="569"/>
      <c r="S274" s="569"/>
      <c r="T274" s="569"/>
      <c r="U274" s="569"/>
      <c r="V274" s="570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8" t="s">
        <v>75</v>
      </c>
      <c r="Q275" s="569"/>
      <c r="R275" s="569"/>
      <c r="S275" s="569"/>
      <c r="T275" s="569"/>
      <c r="U275" s="569"/>
      <c r="V275" s="570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customHeight="1" x14ac:dyDescent="0.25">
      <c r="A276" s="566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4"/>
      <c r="AB276" s="544"/>
      <c r="AC276" s="544"/>
    </row>
    <row r="277" spans="1:68" ht="14.25" customHeight="1" x14ac:dyDescent="0.25">
      <c r="A277" s="567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5"/>
      <c r="AB277" s="545"/>
      <c r="AC277" s="545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64">
        <v>4680115886186</v>
      </c>
      <c r="E278" s="565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4"/>
      <c r="R278" s="554"/>
      <c r="S278" s="554"/>
      <c r="T278" s="555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64">
        <v>4680115881228</v>
      </c>
      <c r="E279" s="565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64">
        <v>4680115881211</v>
      </c>
      <c r="E280" s="565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1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63"/>
      <c r="P281" s="568" t="s">
        <v>75</v>
      </c>
      <c r="Q281" s="569"/>
      <c r="R281" s="569"/>
      <c r="S281" s="569"/>
      <c r="T281" s="569"/>
      <c r="U281" s="569"/>
      <c r="V281" s="570"/>
      <c r="W281" s="37" t="s">
        <v>76</v>
      </c>
      <c r="X281" s="551">
        <f>IFERROR(X278/H278,"0")+IFERROR(X279/H279,"0")+IFERROR(X280/H280,"0")</f>
        <v>0</v>
      </c>
      <c r="Y281" s="551">
        <f>IFERROR(Y278/H278,"0")+IFERROR(Y279/H279,"0")+IFERROR(Y280/H280,"0")</f>
        <v>0</v>
      </c>
      <c r="Z281" s="551">
        <f>IFERROR(IF(Z278="",0,Z278),"0")+IFERROR(IF(Z279="",0,Z279),"0")+IFERROR(IF(Z280="",0,Z280),"0")</f>
        <v>0</v>
      </c>
      <c r="AA281" s="552"/>
      <c r="AB281" s="552"/>
      <c r="AC281" s="552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8" t="s">
        <v>75</v>
      </c>
      <c r="Q282" s="569"/>
      <c r="R282" s="569"/>
      <c r="S282" s="569"/>
      <c r="T282" s="569"/>
      <c r="U282" s="569"/>
      <c r="V282" s="570"/>
      <c r="W282" s="37" t="s">
        <v>69</v>
      </c>
      <c r="X282" s="551">
        <f>IFERROR(SUM(X278:X280),"0")</f>
        <v>0</v>
      </c>
      <c r="Y282" s="551">
        <f>IFERROR(SUM(Y278:Y280),"0")</f>
        <v>0</v>
      </c>
      <c r="Z282" s="37"/>
      <c r="AA282" s="552"/>
      <c r="AB282" s="552"/>
      <c r="AC282" s="552"/>
    </row>
    <row r="283" spans="1:68" ht="16.5" customHeight="1" x14ac:dyDescent="0.25">
      <c r="A283" s="566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4"/>
      <c r="AB283" s="544"/>
      <c r="AC283" s="544"/>
    </row>
    <row r="284" spans="1:68" ht="14.25" customHeight="1" x14ac:dyDescent="0.25">
      <c r="A284" s="567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5"/>
      <c r="AB284" s="545"/>
      <c r="AC284" s="545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64">
        <v>4680115880344</v>
      </c>
      <c r="E285" s="565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4"/>
      <c r="R285" s="554"/>
      <c r="S285" s="554"/>
      <c r="T285" s="555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64">
        <v>4680115886919</v>
      </c>
      <c r="E286" s="565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1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63"/>
      <c r="P287" s="568" t="s">
        <v>75</v>
      </c>
      <c r="Q287" s="569"/>
      <c r="R287" s="569"/>
      <c r="S287" s="569"/>
      <c r="T287" s="569"/>
      <c r="U287" s="569"/>
      <c r="V287" s="570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8" t="s">
        <v>75</v>
      </c>
      <c r="Q288" s="569"/>
      <c r="R288" s="569"/>
      <c r="S288" s="569"/>
      <c r="T288" s="569"/>
      <c r="U288" s="569"/>
      <c r="V288" s="570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customHeight="1" x14ac:dyDescent="0.25">
      <c r="A289" s="567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5"/>
      <c r="AB289" s="545"/>
      <c r="AC289" s="545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64">
        <v>4680115884618</v>
      </c>
      <c r="E290" s="565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 t="s">
        <v>115</v>
      </c>
      <c r="M290" s="33" t="s">
        <v>80</v>
      </c>
      <c r="N290" s="33"/>
      <c r="O290" s="32">
        <v>45</v>
      </c>
      <c r="P290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4"/>
      <c r="R290" s="554"/>
      <c r="S290" s="554"/>
      <c r="T290" s="555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64">
        <v>4680115887114</v>
      </c>
      <c r="E291" s="565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80</v>
      </c>
      <c r="N291" s="33"/>
      <c r="O291" s="32">
        <v>45</v>
      </c>
      <c r="P291" s="8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1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63"/>
      <c r="P292" s="568" t="s">
        <v>75</v>
      </c>
      <c r="Q292" s="569"/>
      <c r="R292" s="569"/>
      <c r="S292" s="569"/>
      <c r="T292" s="569"/>
      <c r="U292" s="569"/>
      <c r="V292" s="570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8" t="s">
        <v>75</v>
      </c>
      <c r="Q293" s="569"/>
      <c r="R293" s="569"/>
      <c r="S293" s="569"/>
      <c r="T293" s="569"/>
      <c r="U293" s="569"/>
      <c r="V293" s="570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customHeight="1" x14ac:dyDescent="0.25">
      <c r="A294" s="566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4"/>
      <c r="AB294" s="544"/>
      <c r="AC294" s="544"/>
    </row>
    <row r="295" spans="1:68" ht="14.25" customHeight="1" x14ac:dyDescent="0.25">
      <c r="A295" s="567" t="s">
        <v>103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5"/>
      <c r="AB295" s="545"/>
      <c r="AC295" s="545"/>
    </row>
    <row r="296" spans="1:68" ht="27" customHeight="1" x14ac:dyDescent="0.25">
      <c r="A296" s="54" t="s">
        <v>473</v>
      </c>
      <c r="B296" s="54" t="s">
        <v>474</v>
      </c>
      <c r="C296" s="31">
        <v>4301012126</v>
      </c>
      <c r="D296" s="564">
        <v>4607091386004</v>
      </c>
      <c r="E296" s="565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73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4"/>
      <c r="R296" s="554"/>
      <c r="S296" s="554"/>
      <c r="T296" s="555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customHeight="1" x14ac:dyDescent="0.25">
      <c r="A297" s="54" t="s">
        <v>476</v>
      </c>
      <c r="B297" s="54" t="s">
        <v>477</v>
      </c>
      <c r="C297" s="31">
        <v>4301012024</v>
      </c>
      <c r="D297" s="564">
        <v>4680115885615</v>
      </c>
      <c r="E297" s="565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 t="s">
        <v>107</v>
      </c>
      <c r="M297" s="33" t="s">
        <v>80</v>
      </c>
      <c r="N297" s="33"/>
      <c r="O297" s="32">
        <v>55</v>
      </c>
      <c r="P297" s="85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 t="shared" si="31"/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 t="s">
        <v>92</v>
      </c>
      <c r="AK297" s="68">
        <v>86.4</v>
      </c>
      <c r="BB297" s="348" t="s">
        <v>1</v>
      </c>
      <c r="BM297" s="64">
        <f t="shared" si="32"/>
        <v>0</v>
      </c>
      <c r="BN297" s="64">
        <f t="shared" si="33"/>
        <v>0</v>
      </c>
      <c r="BO297" s="64">
        <f t="shared" si="34"/>
        <v>0</v>
      </c>
      <c r="BP297" s="64">
        <f t="shared" si="35"/>
        <v>0</v>
      </c>
    </row>
    <row r="298" spans="1:68" ht="37.5" customHeight="1" x14ac:dyDescent="0.25">
      <c r="A298" s="54" t="s">
        <v>479</v>
      </c>
      <c r="B298" s="54" t="s">
        <v>480</v>
      </c>
      <c r="C298" s="31">
        <v>4301011858</v>
      </c>
      <c r="D298" s="564">
        <v>4680115885646</v>
      </c>
      <c r="E298" s="565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 t="s">
        <v>107</v>
      </c>
      <c r="M298" s="33" t="s">
        <v>108</v>
      </c>
      <c r="N298" s="33"/>
      <c r="O298" s="32">
        <v>55</v>
      </c>
      <c r="P298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4301012016</v>
      </c>
      <c r="D299" s="564">
        <v>4680115885554</v>
      </c>
      <c r="E299" s="565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80</v>
      </c>
      <c r="N299" s="33"/>
      <c r="O299" s="32">
        <v>55</v>
      </c>
      <c r="P299" s="7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485</v>
      </c>
      <c r="B300" s="54" t="s">
        <v>486</v>
      </c>
      <c r="C300" s="31">
        <v>4301011857</v>
      </c>
      <c r="D300" s="564">
        <v>4680115885622</v>
      </c>
      <c r="E300" s="565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 t="s">
        <v>115</v>
      </c>
      <c r="M300" s="33" t="s">
        <v>108</v>
      </c>
      <c r="N300" s="33"/>
      <c r="O300" s="32">
        <v>55</v>
      </c>
      <c r="P300" s="68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 t="shared" si="31"/>
        <v>0</v>
      </c>
      <c r="Z300" s="36" t="str">
        <f>IFERROR(IF(Y300=0,"",ROUNDUP(Y300/H300,0)*0.00902),"")</f>
        <v/>
      </c>
      <c r="AA300" s="56"/>
      <c r="AB300" s="57"/>
      <c r="AC300" s="353" t="s">
        <v>478</v>
      </c>
      <c r="AG300" s="64"/>
      <c r="AJ300" s="68" t="s">
        <v>92</v>
      </c>
      <c r="AK300" s="68">
        <v>48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4301011859</v>
      </c>
      <c r="D301" s="564">
        <v>4680115885608</v>
      </c>
      <c r="E301" s="565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 t="s">
        <v>115</v>
      </c>
      <c r="M301" s="33" t="s">
        <v>108</v>
      </c>
      <c r="N301" s="33"/>
      <c r="O301" s="32">
        <v>55</v>
      </c>
      <c r="P301" s="8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489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8" t="s">
        <v>75</v>
      </c>
      <c r="Q302" s="569"/>
      <c r="R302" s="569"/>
      <c r="S302" s="569"/>
      <c r="T302" s="569"/>
      <c r="U302" s="569"/>
      <c r="V302" s="570"/>
      <c r="W302" s="37" t="s">
        <v>76</v>
      </c>
      <c r="X302" s="551">
        <f>IFERROR(X296/H296,"0")+IFERROR(X297/H297,"0")+IFERROR(X298/H298,"0")+IFERROR(X299/H299,"0")+IFERROR(X300/H300,"0")+IFERROR(X301/H301,"0")</f>
        <v>0</v>
      </c>
      <c r="Y302" s="551">
        <f>IFERROR(Y296/H296,"0")+IFERROR(Y297/H297,"0")+IFERROR(Y298/H298,"0")+IFERROR(Y299/H299,"0")+IFERROR(Y300/H300,"0")+IFERROR(Y301/H301,"0")</f>
        <v>0</v>
      </c>
      <c r="Z302" s="551">
        <f>IFERROR(IF(Z296="",0,Z296),"0")+IFERROR(IF(Z297="",0,Z297),"0")+IFERROR(IF(Z298="",0,Z298),"0")+IFERROR(IF(Z299="",0,Z299),"0")+IFERROR(IF(Z300="",0,Z300),"0")+IFERROR(IF(Z301="",0,Z301),"0")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8" t="s">
        <v>75</v>
      </c>
      <c r="Q303" s="569"/>
      <c r="R303" s="569"/>
      <c r="S303" s="569"/>
      <c r="T303" s="569"/>
      <c r="U303" s="569"/>
      <c r="V303" s="570"/>
      <c r="W303" s="37" t="s">
        <v>69</v>
      </c>
      <c r="X303" s="551">
        <f>IFERROR(SUM(X296:X301),"0")</f>
        <v>0</v>
      </c>
      <c r="Y303" s="551">
        <f>IFERROR(SUM(Y296:Y301),"0")</f>
        <v>0</v>
      </c>
      <c r="Z303" s="37"/>
      <c r="AA303" s="552"/>
      <c r="AB303" s="552"/>
      <c r="AC303" s="552"/>
    </row>
    <row r="304" spans="1:68" ht="14.25" customHeight="1" x14ac:dyDescent="0.25">
      <c r="A304" s="567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490</v>
      </c>
      <c r="B305" s="54" t="s">
        <v>491</v>
      </c>
      <c r="C305" s="31">
        <v>4301030878</v>
      </c>
      <c r="D305" s="564">
        <v>4607091387193</v>
      </c>
      <c r="E305" s="565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 t="s">
        <v>115</v>
      </c>
      <c r="M305" s="33" t="s">
        <v>68</v>
      </c>
      <c r="N305" s="33"/>
      <c r="O305" s="32">
        <v>35</v>
      </c>
      <c r="P305" s="6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6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7">IFERROR(X305*I305/H305,"0")</f>
        <v>0</v>
      </c>
      <c r="BN305" s="64">
        <f t="shared" ref="BN305:BN310" si="38">IFERROR(Y305*I305/H305,"0")</f>
        <v>0</v>
      </c>
      <c r="BO305" s="64">
        <f t="shared" ref="BO305:BO310" si="39">IFERROR(1/J305*(X305/H305),"0")</f>
        <v>0</v>
      </c>
      <c r="BP305" s="64">
        <f t="shared" ref="BP305:BP310" si="40">IFERROR(1/J305*(Y305/H305),"0")</f>
        <v>0</v>
      </c>
    </row>
    <row r="306" spans="1:68" ht="27" customHeight="1" x14ac:dyDescent="0.25">
      <c r="A306" s="54" t="s">
        <v>493</v>
      </c>
      <c r="B306" s="54" t="s">
        <v>494</v>
      </c>
      <c r="C306" s="31">
        <v>4301031153</v>
      </c>
      <c r="D306" s="564">
        <v>4607091387230</v>
      </c>
      <c r="E306" s="565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 t="s">
        <v>115</v>
      </c>
      <c r="M306" s="33" t="s">
        <v>68</v>
      </c>
      <c r="N306" s="33"/>
      <c r="O306" s="32">
        <v>40</v>
      </c>
      <c r="P306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6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7"/>
        <v>0</v>
      </c>
      <c r="BN306" s="64">
        <f t="shared" si="38"/>
        <v>0</v>
      </c>
      <c r="BO306" s="64">
        <f t="shared" si="39"/>
        <v>0</v>
      </c>
      <c r="BP306" s="64">
        <f t="shared" si="40"/>
        <v>0</v>
      </c>
    </row>
    <row r="307" spans="1:68" ht="27" customHeight="1" x14ac:dyDescent="0.25">
      <c r="A307" s="54" t="s">
        <v>496</v>
      </c>
      <c r="B307" s="54" t="s">
        <v>497</v>
      </c>
      <c r="C307" s="31">
        <v>4301031154</v>
      </c>
      <c r="D307" s="564">
        <v>4607091387292</v>
      </c>
      <c r="E307" s="565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499</v>
      </c>
      <c r="B308" s="54" t="s">
        <v>500</v>
      </c>
      <c r="C308" s="31">
        <v>4301031152</v>
      </c>
      <c r="D308" s="564">
        <v>4607091387285</v>
      </c>
      <c r="E308" s="565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6"/>
        <v>0</v>
      </c>
      <c r="Z308" s="36" t="str">
        <f>IFERROR(IF(Y308=0,"",ROUNDUP(Y308/H308,0)*0.00502),"")</f>
        <v/>
      </c>
      <c r="AA308" s="56"/>
      <c r="AB308" s="57"/>
      <c r="AC308" s="363" t="s">
        <v>495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4301031305</v>
      </c>
      <c r="D309" s="564">
        <v>4607091389845</v>
      </c>
      <c r="E309" s="565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292</v>
      </c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503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4301031066</v>
      </c>
      <c r="D310" s="564">
        <v>4607091383836</v>
      </c>
      <c r="E310" s="565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6"/>
        <v>0</v>
      </c>
      <c r="Z310" s="36" t="str">
        <f>IFERROR(IF(Y310=0,"",ROUNDUP(Y310/H310,0)*0.00651),"")</f>
        <v/>
      </c>
      <c r="AA310" s="56"/>
      <c r="AB310" s="57"/>
      <c r="AC310" s="367" t="s">
        <v>506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8" t="s">
        <v>75</v>
      </c>
      <c r="Q311" s="569"/>
      <c r="R311" s="569"/>
      <c r="S311" s="569"/>
      <c r="T311" s="569"/>
      <c r="U311" s="569"/>
      <c r="V311" s="570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8" t="s">
        <v>75</v>
      </c>
      <c r="Q312" s="569"/>
      <c r="R312" s="569"/>
      <c r="S312" s="569"/>
      <c r="T312" s="569"/>
      <c r="U312" s="569"/>
      <c r="V312" s="570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customHeight="1" x14ac:dyDescent="0.25">
      <c r="A313" s="567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507</v>
      </c>
      <c r="B314" s="54" t="s">
        <v>508</v>
      </c>
      <c r="C314" s="31">
        <v>4301051100</v>
      </c>
      <c r="D314" s="564">
        <v>4607091387766</v>
      </c>
      <c r="E314" s="565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 t="s">
        <v>107</v>
      </c>
      <c r="M314" s="33" t="s">
        <v>80</v>
      </c>
      <c r="N314" s="33"/>
      <c r="O314" s="32">
        <v>40</v>
      </c>
      <c r="P314" s="78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20</v>
      </c>
      <c r="Y314" s="550">
        <f>IFERROR(IF(X314="",0,CEILING((X314/$H314),1)*$H314),"")</f>
        <v>23.4</v>
      </c>
      <c r="Z314" s="36">
        <f>IFERROR(IF(Y314=0,"",ROUNDUP(Y314/H314,0)*0.01898),"")</f>
        <v>5.6940000000000004E-2</v>
      </c>
      <c r="AA314" s="56"/>
      <c r="AB314" s="57"/>
      <c r="AC314" s="369" t="s">
        <v>509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21.25128205128205</v>
      </c>
      <c r="BN314" s="64">
        <f>IFERROR(Y314*I314/H314,"0")</f>
        <v>24.864000000000001</v>
      </c>
      <c r="BO314" s="64">
        <f>IFERROR(1/J314*(X314/H314),"0")</f>
        <v>4.0064102564102567E-2</v>
      </c>
      <c r="BP314" s="64">
        <f>IFERROR(1/J314*(Y314/H314),"0")</f>
        <v>4.6875E-2</v>
      </c>
    </row>
    <row r="315" spans="1:68" ht="27" customHeight="1" x14ac:dyDescent="0.25">
      <c r="A315" s="54" t="s">
        <v>510</v>
      </c>
      <c r="B315" s="54" t="s">
        <v>511</v>
      </c>
      <c r="C315" s="31">
        <v>4301051818</v>
      </c>
      <c r="D315" s="564">
        <v>4607091387957</v>
      </c>
      <c r="E315" s="565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4301051819</v>
      </c>
      <c r="D316" s="564">
        <v>4607091387964</v>
      </c>
      <c r="E316" s="565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516</v>
      </c>
      <c r="B317" s="54" t="s">
        <v>517</v>
      </c>
      <c r="C317" s="31">
        <v>4301051734</v>
      </c>
      <c r="D317" s="564">
        <v>4680115884588</v>
      </c>
      <c r="E317" s="565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518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8" t="s">
        <v>75</v>
      </c>
      <c r="Q318" s="569"/>
      <c r="R318" s="569"/>
      <c r="S318" s="569"/>
      <c r="T318" s="569"/>
      <c r="U318" s="569"/>
      <c r="V318" s="570"/>
      <c r="W318" s="37" t="s">
        <v>76</v>
      </c>
      <c r="X318" s="551">
        <f>IFERROR(X314/H314,"0")+IFERROR(X315/H315,"0")+IFERROR(X316/H316,"0")+IFERROR(X317/H317,"0")</f>
        <v>2.5641025641025643</v>
      </c>
      <c r="Y318" s="551">
        <f>IFERROR(Y314/H314,"0")+IFERROR(Y315/H315,"0")+IFERROR(Y316/H316,"0")+IFERROR(Y317/H317,"0")</f>
        <v>3</v>
      </c>
      <c r="Z318" s="551">
        <f>IFERROR(IF(Z314="",0,Z314),"0")+IFERROR(IF(Z315="",0,Z315),"0")+IFERROR(IF(Z316="",0,Z316),"0")+IFERROR(IF(Z317="",0,Z317),"0")</f>
        <v>5.6940000000000004E-2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8" t="s">
        <v>75</v>
      </c>
      <c r="Q319" s="569"/>
      <c r="R319" s="569"/>
      <c r="S319" s="569"/>
      <c r="T319" s="569"/>
      <c r="U319" s="569"/>
      <c r="V319" s="570"/>
      <c r="W319" s="37" t="s">
        <v>69</v>
      </c>
      <c r="X319" s="551">
        <f>IFERROR(SUM(X314:X317),"0")</f>
        <v>20</v>
      </c>
      <c r="Y319" s="551">
        <f>IFERROR(SUM(Y314:Y317),"0")</f>
        <v>23.4</v>
      </c>
      <c r="Z319" s="37"/>
      <c r="AA319" s="552"/>
      <c r="AB319" s="552"/>
      <c r="AC319" s="552"/>
    </row>
    <row r="320" spans="1:68" ht="14.25" customHeight="1" x14ac:dyDescent="0.25">
      <c r="A320" s="567" t="s">
        <v>163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519</v>
      </c>
      <c r="B321" s="54" t="s">
        <v>520</v>
      </c>
      <c r="C321" s="31">
        <v>4301060387</v>
      </c>
      <c r="D321" s="564">
        <v>4607091380880</v>
      </c>
      <c r="E321" s="565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80</v>
      </c>
      <c r="N321" s="33"/>
      <c r="O321" s="32">
        <v>30</v>
      </c>
      <c r="P321" s="80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522</v>
      </c>
      <c r="B322" s="54" t="s">
        <v>523</v>
      </c>
      <c r="C322" s="31">
        <v>4301060406</v>
      </c>
      <c r="D322" s="564">
        <v>4607091384482</v>
      </c>
      <c r="E322" s="565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80</v>
      </c>
      <c r="N322" s="33"/>
      <c r="O322" s="32">
        <v>30</v>
      </c>
      <c r="P322" s="7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525</v>
      </c>
      <c r="B323" s="54" t="s">
        <v>526</v>
      </c>
      <c r="C323" s="31">
        <v>4301060484</v>
      </c>
      <c r="D323" s="564">
        <v>4607091380897</v>
      </c>
      <c r="E323" s="565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 t="s">
        <v>107</v>
      </c>
      <c r="M323" s="33" t="s">
        <v>86</v>
      </c>
      <c r="N323" s="33"/>
      <c r="O323" s="32">
        <v>30</v>
      </c>
      <c r="P323" s="8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527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8" t="s">
        <v>75</v>
      </c>
      <c r="Q324" s="569"/>
      <c r="R324" s="569"/>
      <c r="S324" s="569"/>
      <c r="T324" s="569"/>
      <c r="U324" s="569"/>
      <c r="V324" s="570"/>
      <c r="W324" s="37" t="s">
        <v>76</v>
      </c>
      <c r="X324" s="551">
        <f>IFERROR(X321/H321,"0")+IFERROR(X322/H322,"0")+IFERROR(X323/H323,"0")</f>
        <v>0</v>
      </c>
      <c r="Y324" s="551">
        <f>IFERROR(Y321/H321,"0")+IFERROR(Y322/H322,"0")+IFERROR(Y323/H323,"0")</f>
        <v>0</v>
      </c>
      <c r="Z324" s="551">
        <f>IFERROR(IF(Z321="",0,Z321),"0")+IFERROR(IF(Z322="",0,Z322),"0")+IFERROR(IF(Z323="",0,Z323),"0")</f>
        <v>0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8" t="s">
        <v>75</v>
      </c>
      <c r="Q325" s="569"/>
      <c r="R325" s="569"/>
      <c r="S325" s="569"/>
      <c r="T325" s="569"/>
      <c r="U325" s="569"/>
      <c r="V325" s="570"/>
      <c r="W325" s="37" t="s">
        <v>69</v>
      </c>
      <c r="X325" s="551">
        <f>IFERROR(SUM(X321:X323),"0")</f>
        <v>0</v>
      </c>
      <c r="Y325" s="551">
        <f>IFERROR(SUM(Y321:Y323),"0")</f>
        <v>0</v>
      </c>
      <c r="Z325" s="37"/>
      <c r="AA325" s="552"/>
      <c r="AB325" s="552"/>
      <c r="AC325" s="552"/>
    </row>
    <row r="326" spans="1:68" ht="14.25" customHeight="1" x14ac:dyDescent="0.25">
      <c r="A326" s="567" t="s">
        <v>95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528</v>
      </c>
      <c r="B327" s="54" t="s">
        <v>529</v>
      </c>
      <c r="C327" s="31">
        <v>4301030235</v>
      </c>
      <c r="D327" s="564">
        <v>4607091388381</v>
      </c>
      <c r="E327" s="565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76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531</v>
      </c>
      <c r="B328" s="54" t="s">
        <v>532</v>
      </c>
      <c r="C328" s="31">
        <v>4301030232</v>
      </c>
      <c r="D328" s="564">
        <v>4607091388374</v>
      </c>
      <c r="E328" s="565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57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4301032015</v>
      </c>
      <c r="D329" s="564">
        <v>4607091383102</v>
      </c>
      <c r="E329" s="565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98</v>
      </c>
      <c r="N329" s="33"/>
      <c r="O329" s="32">
        <v>180</v>
      </c>
      <c r="P329" s="6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4301030233</v>
      </c>
      <c r="D330" s="564">
        <v>4607091388404</v>
      </c>
      <c r="E330" s="565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90</v>
      </c>
      <c r="M330" s="33" t="s">
        <v>98</v>
      </c>
      <c r="N330" s="33"/>
      <c r="O330" s="32">
        <v>180</v>
      </c>
      <c r="P330" s="7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8" t="s">
        <v>75</v>
      </c>
      <c r="Q331" s="569"/>
      <c r="R331" s="569"/>
      <c r="S331" s="569"/>
      <c r="T331" s="569"/>
      <c r="U331" s="569"/>
      <c r="V331" s="570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8" t="s">
        <v>75</v>
      </c>
      <c r="Q332" s="569"/>
      <c r="R332" s="569"/>
      <c r="S332" s="569"/>
      <c r="T332" s="569"/>
      <c r="U332" s="569"/>
      <c r="V332" s="570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67" t="s">
        <v>538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539</v>
      </c>
      <c r="B334" s="54" t="s">
        <v>540</v>
      </c>
      <c r="C334" s="31">
        <v>4301180007</v>
      </c>
      <c r="D334" s="564">
        <v>4680115881808</v>
      </c>
      <c r="E334" s="565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6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543</v>
      </c>
      <c r="B335" s="54" t="s">
        <v>544</v>
      </c>
      <c r="C335" s="31">
        <v>4301180006</v>
      </c>
      <c r="D335" s="564">
        <v>4680115881822</v>
      </c>
      <c r="E335" s="565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7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4301180001</v>
      </c>
      <c r="D336" s="564">
        <v>4680115880016</v>
      </c>
      <c r="E336" s="565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8" t="s">
        <v>75</v>
      </c>
      <c r="Q337" s="569"/>
      <c r="R337" s="569"/>
      <c r="S337" s="569"/>
      <c r="T337" s="569"/>
      <c r="U337" s="569"/>
      <c r="V337" s="570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8" t="s">
        <v>75</v>
      </c>
      <c r="Q338" s="569"/>
      <c r="R338" s="569"/>
      <c r="S338" s="569"/>
      <c r="T338" s="569"/>
      <c r="U338" s="569"/>
      <c r="V338" s="570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66" t="s">
        <v>547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7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548</v>
      </c>
      <c r="B341" s="54" t="s">
        <v>549</v>
      </c>
      <c r="C341" s="31">
        <v>4301051489</v>
      </c>
      <c r="D341" s="564">
        <v>4607091387919</v>
      </c>
      <c r="E341" s="565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 t="s">
        <v>107</v>
      </c>
      <c r="M341" s="33" t="s">
        <v>86</v>
      </c>
      <c r="N341" s="33"/>
      <c r="O341" s="32">
        <v>45</v>
      </c>
      <c r="P341" s="8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550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4301051461</v>
      </c>
      <c r="D342" s="564">
        <v>4680115883604</v>
      </c>
      <c r="E342" s="565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50</v>
      </c>
      <c r="Y342" s="550">
        <f>IFERROR(IF(X342="",0,CEILING((X342/$H342),1)*$H342),"")</f>
        <v>50.400000000000006</v>
      </c>
      <c r="Z342" s="36">
        <f>IFERROR(IF(Y342=0,"",ROUNDUP(Y342/H342,0)*0.00651),"")</f>
        <v>0.15623999999999999</v>
      </c>
      <c r="AA342" s="56"/>
      <c r="AB342" s="57"/>
      <c r="AC342" s="399" t="s">
        <v>553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55.999999999999993</v>
      </c>
      <c r="BN342" s="64">
        <f>IFERROR(Y342*I342/H342,"0")</f>
        <v>56.448</v>
      </c>
      <c r="BO342" s="64">
        <f>IFERROR(1/J342*(X342/H342),"0")</f>
        <v>0.13082155939298798</v>
      </c>
      <c r="BP342" s="64">
        <f>IFERROR(1/J342*(Y342/H342),"0")</f>
        <v>0.13186813186813187</v>
      </c>
    </row>
    <row r="343" spans="1:68" ht="27" customHeight="1" x14ac:dyDescent="0.25">
      <c r="A343" s="54" t="s">
        <v>554</v>
      </c>
      <c r="B343" s="54" t="s">
        <v>555</v>
      </c>
      <c r="C343" s="31">
        <v>4301051864</v>
      </c>
      <c r="D343" s="564">
        <v>4680115883567</v>
      </c>
      <c r="E343" s="565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50</v>
      </c>
      <c r="Y343" s="550">
        <f>IFERROR(IF(X343="",0,CEILING((X343/$H343),1)*$H343),"")</f>
        <v>50.400000000000006</v>
      </c>
      <c r="Z343" s="36">
        <f>IFERROR(IF(Y343=0,"",ROUNDUP(Y343/H343,0)*0.00651),"")</f>
        <v>0.15623999999999999</v>
      </c>
      <c r="AA343" s="56"/>
      <c r="AB343" s="57"/>
      <c r="AC343" s="401" t="s">
        <v>556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55.714285714285715</v>
      </c>
      <c r="BN343" s="64">
        <f>IFERROR(Y343*I343/H343,"0")</f>
        <v>56.160000000000004</v>
      </c>
      <c r="BO343" s="64">
        <f>IFERROR(1/J343*(X343/H343),"0")</f>
        <v>0.13082155939298798</v>
      </c>
      <c r="BP343" s="64">
        <f>IFERROR(1/J343*(Y343/H343),"0")</f>
        <v>0.13186813186813187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8" t="s">
        <v>75</v>
      </c>
      <c r="Q344" s="569"/>
      <c r="R344" s="569"/>
      <c r="S344" s="569"/>
      <c r="T344" s="569"/>
      <c r="U344" s="569"/>
      <c r="V344" s="570"/>
      <c r="W344" s="37" t="s">
        <v>76</v>
      </c>
      <c r="X344" s="551">
        <f>IFERROR(X341/H341,"0")+IFERROR(X342/H342,"0")+IFERROR(X343/H343,"0")</f>
        <v>47.61904761904762</v>
      </c>
      <c r="Y344" s="551">
        <f>IFERROR(Y341/H341,"0")+IFERROR(Y342/H342,"0")+IFERROR(Y343/H343,"0")</f>
        <v>48</v>
      </c>
      <c r="Z344" s="551">
        <f>IFERROR(IF(Z341="",0,Z341),"0")+IFERROR(IF(Z342="",0,Z342),"0")+IFERROR(IF(Z343="",0,Z343),"0")</f>
        <v>0.31247999999999998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8" t="s">
        <v>75</v>
      </c>
      <c r="Q345" s="569"/>
      <c r="R345" s="569"/>
      <c r="S345" s="569"/>
      <c r="T345" s="569"/>
      <c r="U345" s="569"/>
      <c r="V345" s="570"/>
      <c r="W345" s="37" t="s">
        <v>69</v>
      </c>
      <c r="X345" s="551">
        <f>IFERROR(SUM(X341:X343),"0")</f>
        <v>100</v>
      </c>
      <c r="Y345" s="551">
        <f>IFERROR(SUM(Y341:Y343),"0")</f>
        <v>100.80000000000001</v>
      </c>
      <c r="Z345" s="37"/>
      <c r="AA345" s="552"/>
      <c r="AB345" s="552"/>
      <c r="AC345" s="552"/>
    </row>
    <row r="346" spans="1:68" ht="27.75" customHeight="1" x14ac:dyDescent="0.2">
      <c r="A346" s="716" t="s">
        <v>557</v>
      </c>
      <c r="B346" s="717"/>
      <c r="C346" s="717"/>
      <c r="D346" s="717"/>
      <c r="E346" s="717"/>
      <c r="F346" s="717"/>
      <c r="G346" s="717"/>
      <c r="H346" s="717"/>
      <c r="I346" s="717"/>
      <c r="J346" s="717"/>
      <c r="K346" s="717"/>
      <c r="L346" s="717"/>
      <c r="M346" s="717"/>
      <c r="N346" s="717"/>
      <c r="O346" s="717"/>
      <c r="P346" s="717"/>
      <c r="Q346" s="717"/>
      <c r="R346" s="717"/>
      <c r="S346" s="717"/>
      <c r="T346" s="717"/>
      <c r="U346" s="717"/>
      <c r="V346" s="717"/>
      <c r="W346" s="717"/>
      <c r="X346" s="717"/>
      <c r="Y346" s="717"/>
      <c r="Z346" s="717"/>
      <c r="AA346" s="48"/>
      <c r="AB346" s="48"/>
      <c r="AC346" s="48"/>
    </row>
    <row r="347" spans="1:68" ht="16.5" customHeight="1" x14ac:dyDescent="0.25">
      <c r="A347" s="566" t="s">
        <v>558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7" t="s">
        <v>103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559</v>
      </c>
      <c r="B349" s="54" t="s">
        <v>560</v>
      </c>
      <c r="C349" s="31">
        <v>4301011869</v>
      </c>
      <c r="D349" s="564">
        <v>4680115884847</v>
      </c>
      <c r="E349" s="565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/>
      <c r="M349" s="33" t="s">
        <v>68</v>
      </c>
      <c r="N349" s="33"/>
      <c r="O349" s="32">
        <v>60</v>
      </c>
      <c r="P349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300</v>
      </c>
      <c r="Y349" s="550">
        <f t="shared" ref="Y349:Y355" si="41">IFERROR(IF(X349="",0,CEILING((X349/$H349),1)*$H349),"")</f>
        <v>300</v>
      </c>
      <c r="Z349" s="36">
        <f>IFERROR(IF(Y349=0,"",ROUNDUP(Y349/H349,0)*0.02175),"")</f>
        <v>0.43499999999999994</v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ref="BM349:BM355" si="42">IFERROR(X349*I349/H349,"0")</f>
        <v>309.39999999999998</v>
      </c>
      <c r="BN349" s="64">
        <f t="shared" ref="BN349:BN355" si="43">IFERROR(Y349*I349/H349,"0")</f>
        <v>309.39999999999998</v>
      </c>
      <c r="BO349" s="64">
        <f t="shared" ref="BO349:BO355" si="44">IFERROR(1/J349*(X349/H349),"0")</f>
        <v>0.41666666666666663</v>
      </c>
      <c r="BP349" s="64">
        <f t="shared" ref="BP349:BP355" si="45">IFERROR(1/J349*(Y349/H349),"0")</f>
        <v>0.41666666666666663</v>
      </c>
    </row>
    <row r="350" spans="1:68" ht="27" customHeight="1" x14ac:dyDescent="0.25">
      <c r="A350" s="54" t="s">
        <v>562</v>
      </c>
      <c r="B350" s="54" t="s">
        <v>563</v>
      </c>
      <c r="C350" s="31">
        <v>4301011870</v>
      </c>
      <c r="D350" s="564">
        <v>4680115884854</v>
      </c>
      <c r="E350" s="565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/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0</v>
      </c>
      <c r="Y350" s="550">
        <f t="shared" si="41"/>
        <v>0</v>
      </c>
      <c r="Z350" s="36" t="str">
        <f>IFERROR(IF(Y350=0,"",ROUNDUP(Y350/H350,0)*0.02175),"")</f>
        <v/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42"/>
        <v>0</v>
      </c>
      <c r="BN350" s="64">
        <f t="shared" si="43"/>
        <v>0</v>
      </c>
      <c r="BO350" s="64">
        <f t="shared" si="44"/>
        <v>0</v>
      </c>
      <c r="BP350" s="64">
        <f t="shared" si="45"/>
        <v>0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64">
        <v>4680115887046</v>
      </c>
      <c r="E351" s="565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/>
      <c r="M351" s="33" t="s">
        <v>86</v>
      </c>
      <c r="N351" s="33"/>
      <c r="O351" s="32">
        <v>60</v>
      </c>
      <c r="P351" s="69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100</v>
      </c>
      <c r="Y351" s="550">
        <f t="shared" si="41"/>
        <v>105</v>
      </c>
      <c r="Z351" s="36">
        <f>IFERROR(IF(Y351=0,"",ROUNDUP(Y351/H351,0)*0.02175),"")</f>
        <v>0.15225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42"/>
        <v>103.13333333333334</v>
      </c>
      <c r="BN351" s="64">
        <f t="shared" si="43"/>
        <v>108.29</v>
      </c>
      <c r="BO351" s="64">
        <f t="shared" si="44"/>
        <v>0.1388888888888889</v>
      </c>
      <c r="BP351" s="64">
        <f t="shared" si="45"/>
        <v>0.14583333333333331</v>
      </c>
    </row>
    <row r="352" spans="1:68" ht="37.5" customHeight="1" x14ac:dyDescent="0.25">
      <c r="A352" s="54" t="s">
        <v>568</v>
      </c>
      <c r="B352" s="54" t="s">
        <v>569</v>
      </c>
      <c r="C352" s="31">
        <v>4301011867</v>
      </c>
      <c r="D352" s="564">
        <v>4680115884830</v>
      </c>
      <c r="E352" s="565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200</v>
      </c>
      <c r="Y352" s="550">
        <f t="shared" si="41"/>
        <v>210</v>
      </c>
      <c r="Z352" s="36">
        <f>IFERROR(IF(Y352=0,"",ROUNDUP(Y352/H352,0)*0.02175),"")</f>
        <v>0.30449999999999999</v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206.26666666666668</v>
      </c>
      <c r="BN352" s="64">
        <f t="shared" si="43"/>
        <v>216.58</v>
      </c>
      <c r="BO352" s="64">
        <f t="shared" si="44"/>
        <v>0.27777777777777779</v>
      </c>
      <c r="BP352" s="64">
        <f t="shared" si="45"/>
        <v>0.29166666666666663</v>
      </c>
    </row>
    <row r="353" spans="1:68" ht="27" customHeight="1" x14ac:dyDescent="0.25">
      <c r="A353" s="54" t="s">
        <v>571</v>
      </c>
      <c r="B353" s="54" t="s">
        <v>572</v>
      </c>
      <c r="C353" s="31">
        <v>4301011433</v>
      </c>
      <c r="D353" s="564">
        <v>4680115882638</v>
      </c>
      <c r="E353" s="565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6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574</v>
      </c>
      <c r="B354" s="54" t="s">
        <v>575</v>
      </c>
      <c r="C354" s="31">
        <v>4301011952</v>
      </c>
      <c r="D354" s="564">
        <v>4680115884922</v>
      </c>
      <c r="E354" s="565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8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37.5" customHeight="1" x14ac:dyDescent="0.25">
      <c r="A355" s="54" t="s">
        <v>576</v>
      </c>
      <c r="B355" s="54" t="s">
        <v>577</v>
      </c>
      <c r="C355" s="31">
        <v>4301011868</v>
      </c>
      <c r="D355" s="564">
        <v>4680115884861</v>
      </c>
      <c r="E355" s="565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 t="s">
        <v>115</v>
      </c>
      <c r="M355" s="33" t="s">
        <v>68</v>
      </c>
      <c r="N355" s="33"/>
      <c r="O355" s="32">
        <v>60</v>
      </c>
      <c r="P355" s="86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570</v>
      </c>
      <c r="AG355" s="64"/>
      <c r="AJ355" s="68" t="s">
        <v>92</v>
      </c>
      <c r="AK355" s="68">
        <v>60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8" t="s">
        <v>75</v>
      </c>
      <c r="Q356" s="569"/>
      <c r="R356" s="569"/>
      <c r="S356" s="569"/>
      <c r="T356" s="569"/>
      <c r="U356" s="569"/>
      <c r="V356" s="570"/>
      <c r="W356" s="37" t="s">
        <v>76</v>
      </c>
      <c r="X356" s="551">
        <f>IFERROR(X349/H349,"0")+IFERROR(X350/H350,"0")+IFERROR(X351/H351,"0")+IFERROR(X352/H352,"0")+IFERROR(X353/H353,"0")+IFERROR(X354/H354,"0")+IFERROR(X355/H355,"0")</f>
        <v>40</v>
      </c>
      <c r="Y356" s="551">
        <f>IFERROR(Y349/H349,"0")+IFERROR(Y350/H350,"0")+IFERROR(Y351/H351,"0")+IFERROR(Y352/H352,"0")+IFERROR(Y353/H353,"0")+IFERROR(Y354/H354,"0")+IFERROR(Y355/H355,"0")</f>
        <v>41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0.89174999999999993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8" t="s">
        <v>75</v>
      </c>
      <c r="Q357" s="569"/>
      <c r="R357" s="569"/>
      <c r="S357" s="569"/>
      <c r="T357" s="569"/>
      <c r="U357" s="569"/>
      <c r="V357" s="570"/>
      <c r="W357" s="37" t="s">
        <v>69</v>
      </c>
      <c r="X357" s="551">
        <f>IFERROR(SUM(X349:X355),"0")</f>
        <v>600</v>
      </c>
      <c r="Y357" s="551">
        <f>IFERROR(SUM(Y349:Y355),"0")</f>
        <v>615</v>
      </c>
      <c r="Z357" s="37"/>
      <c r="AA357" s="552"/>
      <c r="AB357" s="552"/>
      <c r="AC357" s="552"/>
    </row>
    <row r="358" spans="1:68" ht="14.25" customHeight="1" x14ac:dyDescent="0.25">
      <c r="A358" s="567" t="s">
        <v>138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578</v>
      </c>
      <c r="B359" s="54" t="s">
        <v>579</v>
      </c>
      <c r="C359" s="31">
        <v>4301020178</v>
      </c>
      <c r="D359" s="564">
        <v>4607091383980</v>
      </c>
      <c r="E359" s="565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/>
      <c r="M359" s="33" t="s">
        <v>108</v>
      </c>
      <c r="N359" s="33"/>
      <c r="O359" s="32">
        <v>50</v>
      </c>
      <c r="P359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0</v>
      </c>
      <c r="Y359" s="550">
        <f>IFERROR(IF(X359="",0,CEILING((X359/$H359),1)*$H359),"")</f>
        <v>0</v>
      </c>
      <c r="Z359" s="36" t="str">
        <f>IFERROR(IF(Y359=0,"",ROUNDUP(Y359/H359,0)*0.02175),"")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581</v>
      </c>
      <c r="B360" s="54" t="s">
        <v>582</v>
      </c>
      <c r="C360" s="31">
        <v>4301020179</v>
      </c>
      <c r="D360" s="564">
        <v>4607091384178</v>
      </c>
      <c r="E360" s="565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8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8" t="s">
        <v>75</v>
      </c>
      <c r="Q361" s="569"/>
      <c r="R361" s="569"/>
      <c r="S361" s="569"/>
      <c r="T361" s="569"/>
      <c r="U361" s="569"/>
      <c r="V361" s="570"/>
      <c r="W361" s="37" t="s">
        <v>76</v>
      </c>
      <c r="X361" s="551">
        <f>IFERROR(X359/H359,"0")+IFERROR(X360/H360,"0")</f>
        <v>0</v>
      </c>
      <c r="Y361" s="551">
        <f>IFERROR(Y359/H359,"0")+IFERROR(Y360/H360,"0")</f>
        <v>0</v>
      </c>
      <c r="Z361" s="551">
        <f>IFERROR(IF(Z359="",0,Z359),"0")+IFERROR(IF(Z360="",0,Z360),"0")</f>
        <v>0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8" t="s">
        <v>75</v>
      </c>
      <c r="Q362" s="569"/>
      <c r="R362" s="569"/>
      <c r="S362" s="569"/>
      <c r="T362" s="569"/>
      <c r="U362" s="569"/>
      <c r="V362" s="570"/>
      <c r="W362" s="37" t="s">
        <v>69</v>
      </c>
      <c r="X362" s="551">
        <f>IFERROR(SUM(X359:X360),"0")</f>
        <v>0</v>
      </c>
      <c r="Y362" s="551">
        <f>IFERROR(SUM(Y359:Y360),"0")</f>
        <v>0</v>
      </c>
      <c r="Z362" s="37"/>
      <c r="AA362" s="552"/>
      <c r="AB362" s="552"/>
      <c r="AC362" s="552"/>
    </row>
    <row r="363" spans="1:68" ht="14.25" customHeight="1" x14ac:dyDescent="0.25">
      <c r="A363" s="567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584</v>
      </c>
      <c r="B364" s="54" t="s">
        <v>585</v>
      </c>
      <c r="C364" s="31">
        <v>4301051903</v>
      </c>
      <c r="D364" s="564">
        <v>4607091383928</v>
      </c>
      <c r="E364" s="565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 t="s">
        <v>107</v>
      </c>
      <c r="M364" s="33" t="s">
        <v>80</v>
      </c>
      <c r="N364" s="33"/>
      <c r="O364" s="32">
        <v>40</v>
      </c>
      <c r="P364" s="8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587</v>
      </c>
      <c r="B365" s="54" t="s">
        <v>588</v>
      </c>
      <c r="C365" s="31">
        <v>4301051897</v>
      </c>
      <c r="D365" s="564">
        <v>4607091384260</v>
      </c>
      <c r="E365" s="565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 t="s">
        <v>107</v>
      </c>
      <c r="M365" s="33" t="s">
        <v>80</v>
      </c>
      <c r="N365" s="33"/>
      <c r="O365" s="32">
        <v>40</v>
      </c>
      <c r="P365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589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8" t="s">
        <v>75</v>
      </c>
      <c r="Q366" s="569"/>
      <c r="R366" s="569"/>
      <c r="S366" s="569"/>
      <c r="T366" s="569"/>
      <c r="U366" s="569"/>
      <c r="V366" s="570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8" t="s">
        <v>75</v>
      </c>
      <c r="Q367" s="569"/>
      <c r="R367" s="569"/>
      <c r="S367" s="569"/>
      <c r="T367" s="569"/>
      <c r="U367" s="569"/>
      <c r="V367" s="570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7" t="s">
        <v>163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590</v>
      </c>
      <c r="B369" s="54" t="s">
        <v>591</v>
      </c>
      <c r="C369" s="31">
        <v>4301060524</v>
      </c>
      <c r="D369" s="564">
        <v>4607091384673</v>
      </c>
      <c r="E369" s="565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80</v>
      </c>
      <c r="N369" s="33"/>
      <c r="O369" s="32">
        <v>40</v>
      </c>
      <c r="P369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70</v>
      </c>
      <c r="Y369" s="550">
        <f>IFERROR(IF(X369="",0,CEILING((X369/$H369),1)*$H369),"")</f>
        <v>72</v>
      </c>
      <c r="Z369" s="36">
        <f>IFERROR(IF(Y369=0,"",ROUNDUP(Y369/H369,0)*0.01898),"")</f>
        <v>0.15184</v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73.842222222222219</v>
      </c>
      <c r="BN369" s="64">
        <f>IFERROR(Y369*I369/H369,"0")</f>
        <v>75.951999999999998</v>
      </c>
      <c r="BO369" s="64">
        <f>IFERROR(1/J369*(X369/H369),"0")</f>
        <v>0.12152777777777778</v>
      </c>
      <c r="BP369" s="64">
        <f>IFERROR(1/J369*(Y369/H369),"0")</f>
        <v>0.125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8" t="s">
        <v>75</v>
      </c>
      <c r="Q370" s="569"/>
      <c r="R370" s="569"/>
      <c r="S370" s="569"/>
      <c r="T370" s="569"/>
      <c r="U370" s="569"/>
      <c r="V370" s="570"/>
      <c r="W370" s="37" t="s">
        <v>76</v>
      </c>
      <c r="X370" s="551">
        <f>IFERROR(X369/H369,"0")</f>
        <v>7.7777777777777777</v>
      </c>
      <c r="Y370" s="551">
        <f>IFERROR(Y369/H369,"0")</f>
        <v>8</v>
      </c>
      <c r="Z370" s="551">
        <f>IFERROR(IF(Z369="",0,Z369),"0")</f>
        <v>0.15184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8" t="s">
        <v>75</v>
      </c>
      <c r="Q371" s="569"/>
      <c r="R371" s="569"/>
      <c r="S371" s="569"/>
      <c r="T371" s="569"/>
      <c r="U371" s="569"/>
      <c r="V371" s="570"/>
      <c r="W371" s="37" t="s">
        <v>69</v>
      </c>
      <c r="X371" s="551">
        <f>IFERROR(SUM(X369:X369),"0")</f>
        <v>70</v>
      </c>
      <c r="Y371" s="551">
        <f>IFERROR(SUM(Y369:Y369),"0")</f>
        <v>72</v>
      </c>
      <c r="Z371" s="37"/>
      <c r="AA371" s="552"/>
      <c r="AB371" s="552"/>
      <c r="AC371" s="552"/>
    </row>
    <row r="372" spans="1:68" ht="16.5" customHeight="1" x14ac:dyDescent="0.25">
      <c r="A372" s="566" t="s">
        <v>593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7" t="s">
        <v>103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594</v>
      </c>
      <c r="B374" s="54" t="s">
        <v>595</v>
      </c>
      <c r="C374" s="31">
        <v>4301011875</v>
      </c>
      <c r="D374" s="564">
        <v>4680115884885</v>
      </c>
      <c r="E374" s="565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 t="s">
        <v>107</v>
      </c>
      <c r="M374" s="33" t="s">
        <v>68</v>
      </c>
      <c r="N374" s="33"/>
      <c r="O374" s="32">
        <v>60</v>
      </c>
      <c r="P374" s="7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596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597</v>
      </c>
      <c r="B375" s="54" t="s">
        <v>598</v>
      </c>
      <c r="C375" s="31">
        <v>4301011871</v>
      </c>
      <c r="D375" s="564">
        <v>4680115884908</v>
      </c>
      <c r="E375" s="565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 t="s">
        <v>115</v>
      </c>
      <c r="M375" s="33" t="s">
        <v>68</v>
      </c>
      <c r="N375" s="33"/>
      <c r="O375" s="32">
        <v>60</v>
      </c>
      <c r="P375" s="74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8" t="s">
        <v>75</v>
      </c>
      <c r="Q376" s="569"/>
      <c r="R376" s="569"/>
      <c r="S376" s="569"/>
      <c r="T376" s="569"/>
      <c r="U376" s="569"/>
      <c r="V376" s="570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8" t="s">
        <v>75</v>
      </c>
      <c r="Q377" s="569"/>
      <c r="R377" s="569"/>
      <c r="S377" s="569"/>
      <c r="T377" s="569"/>
      <c r="U377" s="569"/>
      <c r="V377" s="570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7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599</v>
      </c>
      <c r="B379" s="54" t="s">
        <v>600</v>
      </c>
      <c r="C379" s="31">
        <v>4301031457</v>
      </c>
      <c r="D379" s="564">
        <v>4607091384802</v>
      </c>
      <c r="E379" s="565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50</v>
      </c>
      <c r="P379" s="6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599</v>
      </c>
      <c r="B380" s="54" t="s">
        <v>602</v>
      </c>
      <c r="C380" s="31">
        <v>4301031303</v>
      </c>
      <c r="D380" s="564">
        <v>4607091384802</v>
      </c>
      <c r="E380" s="565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112</v>
      </c>
      <c r="L380" s="32" t="s">
        <v>115</v>
      </c>
      <c r="M380" s="33" t="s">
        <v>68</v>
      </c>
      <c r="N380" s="33"/>
      <c r="O380" s="32">
        <v>35</v>
      </c>
      <c r="P380" s="73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8" t="s">
        <v>75</v>
      </c>
      <c r="Q381" s="569"/>
      <c r="R381" s="569"/>
      <c r="S381" s="569"/>
      <c r="T381" s="569"/>
      <c r="U381" s="569"/>
      <c r="V381" s="570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8" t="s">
        <v>75</v>
      </c>
      <c r="Q382" s="569"/>
      <c r="R382" s="569"/>
      <c r="S382" s="569"/>
      <c r="T382" s="569"/>
      <c r="U382" s="569"/>
      <c r="V382" s="570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7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604</v>
      </c>
      <c r="B384" s="54" t="s">
        <v>605</v>
      </c>
      <c r="C384" s="31">
        <v>4301051899</v>
      </c>
      <c r="D384" s="564">
        <v>4607091384246</v>
      </c>
      <c r="E384" s="565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 t="s">
        <v>107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606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607</v>
      </c>
      <c r="B385" s="54" t="s">
        <v>608</v>
      </c>
      <c r="C385" s="31">
        <v>4301051660</v>
      </c>
      <c r="D385" s="564">
        <v>4607091384253</v>
      </c>
      <c r="E385" s="565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150</v>
      </c>
      <c r="Y385" s="550">
        <f>IFERROR(IF(X385="",0,CEILING((X385/$H385),1)*$H385),"")</f>
        <v>151.19999999999999</v>
      </c>
      <c r="Z385" s="36">
        <f>IFERROR(IF(Y385=0,"",ROUNDUP(Y385/H385,0)*0.00651),"")</f>
        <v>0.41012999999999999</v>
      </c>
      <c r="AA385" s="56"/>
      <c r="AB385" s="57"/>
      <c r="AC385" s="437" t="s">
        <v>606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166.50000000000003</v>
      </c>
      <c r="BN385" s="64">
        <f>IFERROR(Y385*I385/H385,"0")</f>
        <v>167.83200000000002</v>
      </c>
      <c r="BO385" s="64">
        <f>IFERROR(1/J385*(X385/H385),"0")</f>
        <v>0.34340659340659341</v>
      </c>
      <c r="BP385" s="64">
        <f>IFERROR(1/J385*(Y385/H385),"0")</f>
        <v>0.3461538461538462</v>
      </c>
    </row>
    <row r="386" spans="1:68" ht="27" customHeight="1" x14ac:dyDescent="0.25">
      <c r="A386" s="54" t="s">
        <v>607</v>
      </c>
      <c r="B386" s="54" t="s">
        <v>609</v>
      </c>
      <c r="C386" s="31">
        <v>4301052069</v>
      </c>
      <c r="D386" s="564">
        <v>4607091384253</v>
      </c>
      <c r="E386" s="565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610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8" t="s">
        <v>75</v>
      </c>
      <c r="Q387" s="569"/>
      <c r="R387" s="569"/>
      <c r="S387" s="569"/>
      <c r="T387" s="569"/>
      <c r="U387" s="569"/>
      <c r="V387" s="570"/>
      <c r="W387" s="37" t="s">
        <v>76</v>
      </c>
      <c r="X387" s="551">
        <f>IFERROR(X384/H384,"0")+IFERROR(X385/H385,"0")+IFERROR(X386/H386,"0")</f>
        <v>62.5</v>
      </c>
      <c r="Y387" s="551">
        <f>IFERROR(Y384/H384,"0")+IFERROR(Y385/H385,"0")+IFERROR(Y386/H386,"0")</f>
        <v>63</v>
      </c>
      <c r="Z387" s="551">
        <f>IFERROR(IF(Z384="",0,Z384),"0")+IFERROR(IF(Z385="",0,Z385),"0")+IFERROR(IF(Z386="",0,Z386),"0")</f>
        <v>0.41012999999999999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8" t="s">
        <v>75</v>
      </c>
      <c r="Q388" s="569"/>
      <c r="R388" s="569"/>
      <c r="S388" s="569"/>
      <c r="T388" s="569"/>
      <c r="U388" s="569"/>
      <c r="V388" s="570"/>
      <c r="W388" s="37" t="s">
        <v>69</v>
      </c>
      <c r="X388" s="551">
        <f>IFERROR(SUM(X384:X386),"0")</f>
        <v>150</v>
      </c>
      <c r="Y388" s="551">
        <f>IFERROR(SUM(Y384:Y386),"0")</f>
        <v>151.19999999999999</v>
      </c>
      <c r="Z388" s="37"/>
      <c r="AA388" s="552"/>
      <c r="AB388" s="552"/>
      <c r="AC388" s="552"/>
    </row>
    <row r="389" spans="1:68" ht="27.75" customHeight="1" x14ac:dyDescent="0.2">
      <c r="A389" s="716" t="s">
        <v>611</v>
      </c>
      <c r="B389" s="717"/>
      <c r="C389" s="717"/>
      <c r="D389" s="717"/>
      <c r="E389" s="717"/>
      <c r="F389" s="717"/>
      <c r="G389" s="717"/>
      <c r="H389" s="717"/>
      <c r="I389" s="717"/>
      <c r="J389" s="717"/>
      <c r="K389" s="717"/>
      <c r="L389" s="717"/>
      <c r="M389" s="717"/>
      <c r="N389" s="717"/>
      <c r="O389" s="717"/>
      <c r="P389" s="717"/>
      <c r="Q389" s="717"/>
      <c r="R389" s="717"/>
      <c r="S389" s="717"/>
      <c r="T389" s="717"/>
      <c r="U389" s="717"/>
      <c r="V389" s="717"/>
      <c r="W389" s="717"/>
      <c r="X389" s="717"/>
      <c r="Y389" s="717"/>
      <c r="Z389" s="717"/>
      <c r="AA389" s="48"/>
      <c r="AB389" s="48"/>
      <c r="AC389" s="48"/>
    </row>
    <row r="390" spans="1:68" ht="16.5" customHeight="1" x14ac:dyDescent="0.25">
      <c r="A390" s="566" t="s">
        <v>612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7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613</v>
      </c>
      <c r="B392" s="54" t="s">
        <v>614</v>
      </c>
      <c r="C392" s="31">
        <v>4301031405</v>
      </c>
      <c r="D392" s="564">
        <v>4680115886100</v>
      </c>
      <c r="E392" s="565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 t="s">
        <v>115</v>
      </c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6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7">IFERROR(X392*I392/H392,"0")</f>
        <v>0</v>
      </c>
      <c r="BN392" s="64">
        <f t="shared" ref="BN392:BN400" si="48">IFERROR(Y392*I392/H392,"0")</f>
        <v>0</v>
      </c>
      <c r="BO392" s="64">
        <f t="shared" ref="BO392:BO400" si="49">IFERROR(1/J392*(X392/H392),"0")</f>
        <v>0</v>
      </c>
      <c r="BP392" s="64">
        <f t="shared" ref="BP392:BP400" si="50">IFERROR(1/J392*(Y392/H392),"0")</f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4301031406</v>
      </c>
      <c r="D393" s="564">
        <v>4680115886117</v>
      </c>
      <c r="E393" s="565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6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0</v>
      </c>
      <c r="BN393" s="64">
        <f t="shared" si="48"/>
        <v>0</v>
      </c>
      <c r="BO393" s="64">
        <f t="shared" si="49"/>
        <v>0</v>
      </c>
      <c r="BP393" s="64">
        <f t="shared" si="50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4301031402</v>
      </c>
      <c r="D394" s="564">
        <v>4680115886124</v>
      </c>
      <c r="E394" s="565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621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622</v>
      </c>
      <c r="B395" s="54" t="s">
        <v>623</v>
      </c>
      <c r="C395" s="31">
        <v>4301031366</v>
      </c>
      <c r="D395" s="564">
        <v>4680115883147</v>
      </c>
      <c r="E395" s="565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4301031362</v>
      </c>
      <c r="D396" s="564">
        <v>4607091384338</v>
      </c>
      <c r="E396" s="565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6"/>
        <v>0</v>
      </c>
      <c r="Z396" s="36" t="str">
        <f t="shared" si="51"/>
        <v/>
      </c>
      <c r="AA396" s="56"/>
      <c r="AB396" s="57"/>
      <c r="AC396" s="449" t="s">
        <v>615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37.5" customHeight="1" x14ac:dyDescent="0.25">
      <c r="A397" s="54" t="s">
        <v>626</v>
      </c>
      <c r="B397" s="54" t="s">
        <v>627</v>
      </c>
      <c r="C397" s="31">
        <v>4301031361</v>
      </c>
      <c r="D397" s="564">
        <v>4607091389524</v>
      </c>
      <c r="E397" s="565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6"/>
        <v>0</v>
      </c>
      <c r="Z397" s="36" t="str">
        <f t="shared" si="51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4301031364</v>
      </c>
      <c r="D398" s="564">
        <v>4680115883161</v>
      </c>
      <c r="E398" s="565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632</v>
      </c>
      <c r="B399" s="54" t="s">
        <v>633</v>
      </c>
      <c r="C399" s="31">
        <v>4301031358</v>
      </c>
      <c r="D399" s="564">
        <v>4607091389531</v>
      </c>
      <c r="E399" s="565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6"/>
        <v>0</v>
      </c>
      <c r="Z399" s="36" t="str">
        <f t="shared" si="51"/>
        <v/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37.5" customHeight="1" x14ac:dyDescent="0.25">
      <c r="A400" s="54" t="s">
        <v>635</v>
      </c>
      <c r="B400" s="54" t="s">
        <v>636</v>
      </c>
      <c r="C400" s="31">
        <v>4301031360</v>
      </c>
      <c r="D400" s="564">
        <v>4607091384345</v>
      </c>
      <c r="E400" s="565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6"/>
        <v>0</v>
      </c>
      <c r="Z400" s="36" t="str">
        <f t="shared" si="51"/>
        <v/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8" t="s">
        <v>75</v>
      </c>
      <c r="Q401" s="569"/>
      <c r="R401" s="569"/>
      <c r="S401" s="569"/>
      <c r="T401" s="569"/>
      <c r="U401" s="569"/>
      <c r="V401" s="570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8" t="s">
        <v>75</v>
      </c>
      <c r="Q402" s="569"/>
      <c r="R402" s="569"/>
      <c r="S402" s="569"/>
      <c r="T402" s="569"/>
      <c r="U402" s="569"/>
      <c r="V402" s="570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customHeight="1" x14ac:dyDescent="0.25">
      <c r="A403" s="567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637</v>
      </c>
      <c r="B404" s="54" t="s">
        <v>638</v>
      </c>
      <c r="C404" s="31">
        <v>4301051284</v>
      </c>
      <c r="D404" s="564">
        <v>4607091384352</v>
      </c>
      <c r="E404" s="565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 t="s">
        <v>115</v>
      </c>
      <c r="M404" s="33" t="s">
        <v>80</v>
      </c>
      <c r="N404" s="33"/>
      <c r="O404" s="32">
        <v>45</v>
      </c>
      <c r="P404" s="5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639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640</v>
      </c>
      <c r="B405" s="54" t="s">
        <v>641</v>
      </c>
      <c r="C405" s="31">
        <v>4301051431</v>
      </c>
      <c r="D405" s="564">
        <v>4607091389654</v>
      </c>
      <c r="E405" s="565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642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8" t="s">
        <v>75</v>
      </c>
      <c r="Q406" s="569"/>
      <c r="R406" s="569"/>
      <c r="S406" s="569"/>
      <c r="T406" s="569"/>
      <c r="U406" s="569"/>
      <c r="V406" s="570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8" t="s">
        <v>75</v>
      </c>
      <c r="Q407" s="569"/>
      <c r="R407" s="569"/>
      <c r="S407" s="569"/>
      <c r="T407" s="569"/>
      <c r="U407" s="569"/>
      <c r="V407" s="570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66" t="s">
        <v>643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7" t="s">
        <v>138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644</v>
      </c>
      <c r="B410" s="54" t="s">
        <v>645</v>
      </c>
      <c r="C410" s="31">
        <v>4301020319</v>
      </c>
      <c r="D410" s="564">
        <v>4680115885240</v>
      </c>
      <c r="E410" s="565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8" t="s">
        <v>75</v>
      </c>
      <c r="Q411" s="569"/>
      <c r="R411" s="569"/>
      <c r="S411" s="569"/>
      <c r="T411" s="569"/>
      <c r="U411" s="569"/>
      <c r="V411" s="570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8" t="s">
        <v>75</v>
      </c>
      <c r="Q412" s="569"/>
      <c r="R412" s="569"/>
      <c r="S412" s="569"/>
      <c r="T412" s="569"/>
      <c r="U412" s="569"/>
      <c r="V412" s="570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7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647</v>
      </c>
      <c r="B414" s="54" t="s">
        <v>648</v>
      </c>
      <c r="C414" s="31">
        <v>4301031403</v>
      </c>
      <c r="D414" s="564">
        <v>4680115886094</v>
      </c>
      <c r="E414" s="565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 t="s">
        <v>115</v>
      </c>
      <c r="M414" s="33" t="s">
        <v>108</v>
      </c>
      <c r="N414" s="33"/>
      <c r="O414" s="32">
        <v>50</v>
      </c>
      <c r="P414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649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4301031363</v>
      </c>
      <c r="D415" s="564">
        <v>4607091389425</v>
      </c>
      <c r="E415" s="565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4301031373</v>
      </c>
      <c r="D416" s="564">
        <v>4680115880771</v>
      </c>
      <c r="E416" s="565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656</v>
      </c>
      <c r="B417" s="54" t="s">
        <v>657</v>
      </c>
      <c r="C417" s="31">
        <v>4301031359</v>
      </c>
      <c r="D417" s="564">
        <v>4607091389500</v>
      </c>
      <c r="E417" s="565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8" t="s">
        <v>75</v>
      </c>
      <c r="Q418" s="569"/>
      <c r="R418" s="569"/>
      <c r="S418" s="569"/>
      <c r="T418" s="569"/>
      <c r="U418" s="569"/>
      <c r="V418" s="570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8" t="s">
        <v>75</v>
      </c>
      <c r="Q419" s="569"/>
      <c r="R419" s="569"/>
      <c r="S419" s="569"/>
      <c r="T419" s="569"/>
      <c r="U419" s="569"/>
      <c r="V419" s="570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66" t="s">
        <v>658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7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659</v>
      </c>
      <c r="B422" s="54" t="s">
        <v>660</v>
      </c>
      <c r="C422" s="31">
        <v>4301031347</v>
      </c>
      <c r="D422" s="564">
        <v>4680115885110</v>
      </c>
      <c r="E422" s="565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8" t="s">
        <v>75</v>
      </c>
      <c r="Q423" s="569"/>
      <c r="R423" s="569"/>
      <c r="S423" s="569"/>
      <c r="T423" s="569"/>
      <c r="U423" s="569"/>
      <c r="V423" s="570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8" t="s">
        <v>75</v>
      </c>
      <c r="Q424" s="569"/>
      <c r="R424" s="569"/>
      <c r="S424" s="569"/>
      <c r="T424" s="569"/>
      <c r="U424" s="569"/>
      <c r="V424" s="570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716" t="s">
        <v>662</v>
      </c>
      <c r="B425" s="717"/>
      <c r="C425" s="717"/>
      <c r="D425" s="717"/>
      <c r="E425" s="717"/>
      <c r="F425" s="717"/>
      <c r="G425" s="717"/>
      <c r="H425" s="717"/>
      <c r="I425" s="717"/>
      <c r="J425" s="717"/>
      <c r="K425" s="717"/>
      <c r="L425" s="717"/>
      <c r="M425" s="717"/>
      <c r="N425" s="717"/>
      <c r="O425" s="717"/>
      <c r="P425" s="717"/>
      <c r="Q425" s="717"/>
      <c r="R425" s="717"/>
      <c r="S425" s="717"/>
      <c r="T425" s="717"/>
      <c r="U425" s="717"/>
      <c r="V425" s="717"/>
      <c r="W425" s="717"/>
      <c r="X425" s="717"/>
      <c r="Y425" s="717"/>
      <c r="Z425" s="717"/>
      <c r="AA425" s="48"/>
      <c r="AB425" s="48"/>
      <c r="AC425" s="48"/>
    </row>
    <row r="426" spans="1:68" ht="16.5" customHeight="1" x14ac:dyDescent="0.25">
      <c r="A426" s="566" t="s">
        <v>662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7" t="s">
        <v>103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663</v>
      </c>
      <c r="B428" s="54" t="s">
        <v>664</v>
      </c>
      <c r="C428" s="31">
        <v>4301011795</v>
      </c>
      <c r="D428" s="564">
        <v>4607091389067</v>
      </c>
      <c r="E428" s="565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6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52">IFERROR(IF(X428="",0,CEILING((X428/$H428),1)*$H428),"")</f>
        <v>0</v>
      </c>
      <c r="Z428" s="36" t="str">
        <f t="shared" ref="Z428:Z434" si="53">IFERROR(IF(Y428=0,"",ROUNDUP(Y428/H428,0)*0.01196),"")</f>
        <v/>
      </c>
      <c r="AA428" s="56"/>
      <c r="AB428" s="57"/>
      <c r="AC428" s="475" t="s">
        <v>109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54">IFERROR(X428*I428/H428,"0")</f>
        <v>0</v>
      </c>
      <c r="BN428" s="64">
        <f t="shared" ref="BN428:BN439" si="55">IFERROR(Y428*I428/H428,"0")</f>
        <v>0</v>
      </c>
      <c r="BO428" s="64">
        <f t="shared" ref="BO428:BO439" si="56">IFERROR(1/J428*(X428/H428),"0")</f>
        <v>0</v>
      </c>
      <c r="BP428" s="64">
        <f t="shared" ref="BP428:BP439" si="57">IFERROR(1/J428*(Y428/H428),"0")</f>
        <v>0</v>
      </c>
    </row>
    <row r="429" spans="1:68" ht="27" customHeight="1" x14ac:dyDescent="0.25">
      <c r="A429" s="54" t="s">
        <v>665</v>
      </c>
      <c r="B429" s="54" t="s">
        <v>666</v>
      </c>
      <c r="C429" s="31">
        <v>4301012145</v>
      </c>
      <c r="D429" s="564">
        <v>4607091383522</v>
      </c>
      <c r="E429" s="565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66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52"/>
        <v>0</v>
      </c>
      <c r="Z429" s="36" t="str">
        <f t="shared" si="53"/>
        <v/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665</v>
      </c>
      <c r="B430" s="54" t="s">
        <v>668</v>
      </c>
      <c r="C430" s="31">
        <v>4301012210</v>
      </c>
      <c r="D430" s="564">
        <v>4607091383522</v>
      </c>
      <c r="E430" s="565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4301011961</v>
      </c>
      <c r="D431" s="564">
        <v>4680115885271</v>
      </c>
      <c r="E431" s="565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 t="s">
        <v>107</v>
      </c>
      <c r="M431" s="33" t="s">
        <v>108</v>
      </c>
      <c r="N431" s="33"/>
      <c r="O431" s="32">
        <v>60</v>
      </c>
      <c r="P431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52"/>
        <v>0</v>
      </c>
      <c r="Z431" s="36" t="str">
        <f t="shared" si="53"/>
        <v/>
      </c>
      <c r="AA431" s="56"/>
      <c r="AB431" s="57"/>
      <c r="AC431" s="481" t="s">
        <v>671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672</v>
      </c>
      <c r="B432" s="54" t="s">
        <v>673</v>
      </c>
      <c r="C432" s="31">
        <v>4301011376</v>
      </c>
      <c r="D432" s="564">
        <v>4680115885226</v>
      </c>
      <c r="E432" s="565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80</v>
      </c>
      <c r="N432" s="33"/>
      <c r="O432" s="32">
        <v>60</v>
      </c>
      <c r="P432" s="5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500</v>
      </c>
      <c r="Y432" s="550">
        <f t="shared" si="52"/>
        <v>501.6</v>
      </c>
      <c r="Z432" s="36">
        <f t="shared" si="53"/>
        <v>1.1362000000000001</v>
      </c>
      <c r="AA432" s="56"/>
      <c r="AB432" s="57"/>
      <c r="AC432" s="483" t="s">
        <v>674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533.14393939393938</v>
      </c>
      <c r="BN432" s="64">
        <f t="shared" si="55"/>
        <v>534.85</v>
      </c>
      <c r="BO432" s="64">
        <f t="shared" si="56"/>
        <v>0.91054778554778548</v>
      </c>
      <c r="BP432" s="64">
        <f t="shared" si="57"/>
        <v>0.91346153846153855</v>
      </c>
    </row>
    <row r="433" spans="1:68" ht="16.5" customHeight="1" x14ac:dyDescent="0.25">
      <c r="A433" s="54" t="s">
        <v>675</v>
      </c>
      <c r="B433" s="54" t="s">
        <v>676</v>
      </c>
      <c r="C433" s="31">
        <v>4301011774</v>
      </c>
      <c r="D433" s="564">
        <v>4680115884502</v>
      </c>
      <c r="E433" s="565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8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678</v>
      </c>
      <c r="B434" s="54" t="s">
        <v>679</v>
      </c>
      <c r="C434" s="31">
        <v>4301011771</v>
      </c>
      <c r="D434" s="564">
        <v>4607091389104</v>
      </c>
      <c r="E434" s="565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8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500</v>
      </c>
      <c r="Y434" s="550">
        <f t="shared" si="52"/>
        <v>501.6</v>
      </c>
      <c r="Z434" s="36">
        <f t="shared" si="53"/>
        <v>1.1362000000000001</v>
      </c>
      <c r="AA434" s="56"/>
      <c r="AB434" s="57"/>
      <c r="AC434" s="487" t="s">
        <v>680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533.14393939393938</v>
      </c>
      <c r="BN434" s="64">
        <f t="shared" si="55"/>
        <v>534.85</v>
      </c>
      <c r="BO434" s="64">
        <f t="shared" si="56"/>
        <v>0.91054778554778548</v>
      </c>
      <c r="BP434" s="64">
        <f t="shared" si="57"/>
        <v>0.91346153846153855</v>
      </c>
    </row>
    <row r="435" spans="1:68" ht="27" customHeight="1" x14ac:dyDescent="0.25">
      <c r="A435" s="54" t="s">
        <v>681</v>
      </c>
      <c r="B435" s="54" t="s">
        <v>682</v>
      </c>
      <c r="C435" s="31">
        <v>4301012125</v>
      </c>
      <c r="D435" s="564">
        <v>4680115886391</v>
      </c>
      <c r="E435" s="565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4301012035</v>
      </c>
      <c r="D436" s="564">
        <v>4680115880603</v>
      </c>
      <c r="E436" s="565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86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4301012036</v>
      </c>
      <c r="D437" s="564">
        <v>4680115882782</v>
      </c>
      <c r="E437" s="565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4301012050</v>
      </c>
      <c r="D438" s="564">
        <v>4680115885479</v>
      </c>
      <c r="E438" s="565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2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52"/>
        <v>0</v>
      </c>
      <c r="Z438" s="36" t="str">
        <f>IFERROR(IF(Y438=0,"",ROUNDUP(Y438/H438,0)*0.00651),"")</f>
        <v/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4301012034</v>
      </c>
      <c r="D439" s="564">
        <v>4607091389982</v>
      </c>
      <c r="E439" s="565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8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500</v>
      </c>
      <c r="Y439" s="550">
        <f t="shared" si="52"/>
        <v>504</v>
      </c>
      <c r="Z439" s="36">
        <f>IFERROR(IF(Y439=0,"",ROUNDUP(Y439/H439,0)*0.00902),"")</f>
        <v>0.94710000000000005</v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719.79166666666674</v>
      </c>
      <c r="BN439" s="64">
        <f t="shared" si="55"/>
        <v>725.55</v>
      </c>
      <c r="BO439" s="64">
        <f t="shared" si="56"/>
        <v>0.78914141414141425</v>
      </c>
      <c r="BP439" s="64">
        <f t="shared" si="57"/>
        <v>0.79545454545454553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8" t="s">
        <v>75</v>
      </c>
      <c r="Q440" s="569"/>
      <c r="R440" s="569"/>
      <c r="S440" s="569"/>
      <c r="T440" s="569"/>
      <c r="U440" s="569"/>
      <c r="V440" s="570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293.56060606060606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295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3.2195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8" t="s">
        <v>75</v>
      </c>
      <c r="Q441" s="569"/>
      <c r="R441" s="569"/>
      <c r="S441" s="569"/>
      <c r="T441" s="569"/>
      <c r="U441" s="569"/>
      <c r="V441" s="570"/>
      <c r="W441" s="37" t="s">
        <v>69</v>
      </c>
      <c r="X441" s="551">
        <f>IFERROR(SUM(X428:X439),"0")</f>
        <v>1500</v>
      </c>
      <c r="Y441" s="551">
        <f>IFERROR(SUM(Y428:Y439),"0")</f>
        <v>1507.2</v>
      </c>
      <c r="Z441" s="37"/>
      <c r="AA441" s="552"/>
      <c r="AB441" s="552"/>
      <c r="AC441" s="552"/>
    </row>
    <row r="442" spans="1:68" ht="14.25" customHeight="1" x14ac:dyDescent="0.25">
      <c r="A442" s="567" t="s">
        <v>138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692</v>
      </c>
      <c r="B443" s="54" t="s">
        <v>693</v>
      </c>
      <c r="C443" s="31">
        <v>4301020334</v>
      </c>
      <c r="D443" s="564">
        <v>4607091388930</v>
      </c>
      <c r="E443" s="565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 t="s">
        <v>107</v>
      </c>
      <c r="M443" s="33" t="s">
        <v>80</v>
      </c>
      <c r="N443" s="33"/>
      <c r="O443" s="32">
        <v>70</v>
      </c>
      <c r="P443" s="60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200</v>
      </c>
      <c r="Y443" s="550">
        <f>IFERROR(IF(X443="",0,CEILING((X443/$H443),1)*$H443),"")</f>
        <v>200.64000000000001</v>
      </c>
      <c r="Z443" s="36">
        <f>IFERROR(IF(Y443=0,"",ROUNDUP(Y443/H443,0)*0.01196),"")</f>
        <v>0.45448</v>
      </c>
      <c r="AA443" s="56"/>
      <c r="AB443" s="57"/>
      <c r="AC443" s="499" t="s">
        <v>694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213.25757575757575</v>
      </c>
      <c r="BN443" s="64">
        <f>IFERROR(Y443*I443/H443,"0")</f>
        <v>213.94</v>
      </c>
      <c r="BO443" s="64">
        <f>IFERROR(1/J443*(X443/H443),"0")</f>
        <v>0.36421911421911418</v>
      </c>
      <c r="BP443" s="64">
        <f>IFERROR(1/J443*(Y443/H443),"0")</f>
        <v>0.36538461538461542</v>
      </c>
    </row>
    <row r="444" spans="1:68" ht="16.5" customHeight="1" x14ac:dyDescent="0.25">
      <c r="A444" s="54" t="s">
        <v>695</v>
      </c>
      <c r="B444" s="54" t="s">
        <v>696</v>
      </c>
      <c r="C444" s="31">
        <v>4301020384</v>
      </c>
      <c r="D444" s="564">
        <v>4680115886407</v>
      </c>
      <c r="E444" s="565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4301020385</v>
      </c>
      <c r="D445" s="564">
        <v>4680115880054</v>
      </c>
      <c r="E445" s="565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8" t="s">
        <v>75</v>
      </c>
      <c r="Q446" s="569"/>
      <c r="R446" s="569"/>
      <c r="S446" s="569"/>
      <c r="T446" s="569"/>
      <c r="U446" s="569"/>
      <c r="V446" s="570"/>
      <c r="W446" s="37" t="s">
        <v>76</v>
      </c>
      <c r="X446" s="551">
        <f>IFERROR(X443/H443,"0")+IFERROR(X444/H444,"0")+IFERROR(X445/H445,"0")</f>
        <v>37.878787878787875</v>
      </c>
      <c r="Y446" s="551">
        <f>IFERROR(Y443/H443,"0")+IFERROR(Y444/H444,"0")+IFERROR(Y445/H445,"0")</f>
        <v>38</v>
      </c>
      <c r="Z446" s="551">
        <f>IFERROR(IF(Z443="",0,Z443),"0")+IFERROR(IF(Z444="",0,Z444),"0")+IFERROR(IF(Z445="",0,Z445),"0")</f>
        <v>0.45448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8" t="s">
        <v>75</v>
      </c>
      <c r="Q447" s="569"/>
      <c r="R447" s="569"/>
      <c r="S447" s="569"/>
      <c r="T447" s="569"/>
      <c r="U447" s="569"/>
      <c r="V447" s="570"/>
      <c r="W447" s="37" t="s">
        <v>69</v>
      </c>
      <c r="X447" s="551">
        <f>IFERROR(SUM(X443:X445),"0")</f>
        <v>200</v>
      </c>
      <c r="Y447" s="551">
        <f>IFERROR(SUM(Y443:Y445),"0")</f>
        <v>200.64000000000001</v>
      </c>
      <c r="Z447" s="37"/>
      <c r="AA447" s="552"/>
      <c r="AB447" s="552"/>
      <c r="AC447" s="552"/>
    </row>
    <row r="448" spans="1:68" ht="14.25" customHeight="1" x14ac:dyDescent="0.25">
      <c r="A448" s="567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699</v>
      </c>
      <c r="B449" s="54" t="s">
        <v>700</v>
      </c>
      <c r="C449" s="31">
        <v>4301031349</v>
      </c>
      <c r="D449" s="564">
        <v>4680115883116</v>
      </c>
      <c r="E449" s="565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 t="s">
        <v>107</v>
      </c>
      <c r="M449" s="33" t="s">
        <v>108</v>
      </c>
      <c r="N449" s="33"/>
      <c r="O449" s="32">
        <v>70</v>
      </c>
      <c r="P449" s="8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0</v>
      </c>
      <c r="Y449" s="550">
        <f t="shared" ref="Y449:Y454" si="58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701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9">IFERROR(X449*I449/H449,"0")</f>
        <v>0</v>
      </c>
      <c r="BN449" s="64">
        <f t="shared" ref="BN449:BN454" si="60">IFERROR(Y449*I449/H449,"0")</f>
        <v>0</v>
      </c>
      <c r="BO449" s="64">
        <f t="shared" ref="BO449:BO454" si="61">IFERROR(1/J449*(X449/H449),"0")</f>
        <v>0</v>
      </c>
      <c r="BP449" s="64">
        <f t="shared" ref="BP449:BP454" si="62">IFERROR(1/J449*(Y449/H449),"0")</f>
        <v>0</v>
      </c>
    </row>
    <row r="450" spans="1:68" ht="27" customHeight="1" x14ac:dyDescent="0.25">
      <c r="A450" s="54" t="s">
        <v>702</v>
      </c>
      <c r="B450" s="54" t="s">
        <v>703</v>
      </c>
      <c r="C450" s="31">
        <v>4301031350</v>
      </c>
      <c r="D450" s="564">
        <v>4680115883093</v>
      </c>
      <c r="E450" s="565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0</v>
      </c>
      <c r="Y450" s="550">
        <f t="shared" si="58"/>
        <v>0</v>
      </c>
      <c r="Z450" s="36" t="str">
        <f>IFERROR(IF(Y450=0,"",ROUNDUP(Y450/H450,0)*0.01196),"")</f>
        <v/>
      </c>
      <c r="AA450" s="56"/>
      <c r="AB450" s="57"/>
      <c r="AC450" s="507" t="s">
        <v>704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9"/>
        <v>0</v>
      </c>
      <c r="BN450" s="64">
        <f t="shared" si="60"/>
        <v>0</v>
      </c>
      <c r="BO450" s="64">
        <f t="shared" si="61"/>
        <v>0</v>
      </c>
      <c r="BP450" s="64">
        <f t="shared" si="62"/>
        <v>0</v>
      </c>
    </row>
    <row r="451" spans="1:68" ht="27" customHeight="1" x14ac:dyDescent="0.25">
      <c r="A451" s="54" t="s">
        <v>705</v>
      </c>
      <c r="B451" s="54" t="s">
        <v>706</v>
      </c>
      <c r="C451" s="31">
        <v>4301031353</v>
      </c>
      <c r="D451" s="564">
        <v>4680115883109</v>
      </c>
      <c r="E451" s="565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0</v>
      </c>
      <c r="Y451" s="550">
        <f t="shared" si="58"/>
        <v>0</v>
      </c>
      <c r="Z451" s="36" t="str">
        <f>IFERROR(IF(Y451=0,"",ROUNDUP(Y451/H451,0)*0.01196),"")</f>
        <v/>
      </c>
      <c r="AA451" s="56"/>
      <c r="AB451" s="57"/>
      <c r="AC451" s="509" t="s">
        <v>707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0</v>
      </c>
      <c r="BN451" s="64">
        <f t="shared" si="60"/>
        <v>0</v>
      </c>
      <c r="BO451" s="64">
        <f t="shared" si="61"/>
        <v>0</v>
      </c>
      <c r="BP451" s="64">
        <f t="shared" si="62"/>
        <v>0</v>
      </c>
    </row>
    <row r="452" spans="1:68" ht="27" customHeight="1" x14ac:dyDescent="0.25">
      <c r="A452" s="54" t="s">
        <v>708</v>
      </c>
      <c r="B452" s="54" t="s">
        <v>709</v>
      </c>
      <c r="C452" s="31">
        <v>4301031419</v>
      </c>
      <c r="D452" s="564">
        <v>4680115882072</v>
      </c>
      <c r="E452" s="565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5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4301031418</v>
      </c>
      <c r="D453" s="564">
        <v>4680115882102</v>
      </c>
      <c r="E453" s="565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6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4301031417</v>
      </c>
      <c r="D454" s="564">
        <v>4680115882096</v>
      </c>
      <c r="E454" s="565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5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8" t="s">
        <v>75</v>
      </c>
      <c r="Q455" s="569"/>
      <c r="R455" s="569"/>
      <c r="S455" s="569"/>
      <c r="T455" s="569"/>
      <c r="U455" s="569"/>
      <c r="V455" s="570"/>
      <c r="W455" s="37" t="s">
        <v>76</v>
      </c>
      <c r="X455" s="551">
        <f>IFERROR(X449/H449,"0")+IFERROR(X450/H450,"0")+IFERROR(X451/H451,"0")+IFERROR(X452/H452,"0")+IFERROR(X453/H453,"0")+IFERROR(X454/H454,"0")</f>
        <v>0</v>
      </c>
      <c r="Y455" s="551">
        <f>IFERROR(Y449/H449,"0")+IFERROR(Y450/H450,"0")+IFERROR(Y451/H451,"0")+IFERROR(Y452/H452,"0")+IFERROR(Y453/H453,"0")+IFERROR(Y454/H454,"0")</f>
        <v>0</v>
      </c>
      <c r="Z455" s="551">
        <f>IFERROR(IF(Z449="",0,Z449),"0")+IFERROR(IF(Z450="",0,Z450),"0")+IFERROR(IF(Z451="",0,Z451),"0")+IFERROR(IF(Z452="",0,Z452),"0")+IFERROR(IF(Z453="",0,Z453),"0")+IFERROR(IF(Z454="",0,Z454),"0")</f>
        <v>0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8" t="s">
        <v>75</v>
      </c>
      <c r="Q456" s="569"/>
      <c r="R456" s="569"/>
      <c r="S456" s="569"/>
      <c r="T456" s="569"/>
      <c r="U456" s="569"/>
      <c r="V456" s="570"/>
      <c r="W456" s="37" t="s">
        <v>69</v>
      </c>
      <c r="X456" s="551">
        <f>IFERROR(SUM(X449:X454),"0")</f>
        <v>0</v>
      </c>
      <c r="Y456" s="551">
        <f>IFERROR(SUM(Y449:Y454),"0")</f>
        <v>0</v>
      </c>
      <c r="Z456" s="37"/>
      <c r="AA456" s="552"/>
      <c r="AB456" s="552"/>
      <c r="AC456" s="552"/>
    </row>
    <row r="457" spans="1:68" ht="14.25" customHeight="1" x14ac:dyDescent="0.25">
      <c r="A457" s="567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714</v>
      </c>
      <c r="B458" s="54" t="s">
        <v>715</v>
      </c>
      <c r="C458" s="31">
        <v>4301051064</v>
      </c>
      <c r="D458" s="564">
        <v>4680115883536</v>
      </c>
      <c r="E458" s="565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8" t="s">
        <v>75</v>
      </c>
      <c r="Q459" s="569"/>
      <c r="R459" s="569"/>
      <c r="S459" s="569"/>
      <c r="T459" s="569"/>
      <c r="U459" s="569"/>
      <c r="V459" s="570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8" t="s">
        <v>75</v>
      </c>
      <c r="Q460" s="569"/>
      <c r="R460" s="569"/>
      <c r="S460" s="569"/>
      <c r="T460" s="569"/>
      <c r="U460" s="569"/>
      <c r="V460" s="570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716" t="s">
        <v>717</v>
      </c>
      <c r="B461" s="717"/>
      <c r="C461" s="717"/>
      <c r="D461" s="717"/>
      <c r="E461" s="717"/>
      <c r="F461" s="717"/>
      <c r="G461" s="717"/>
      <c r="H461" s="717"/>
      <c r="I461" s="717"/>
      <c r="J461" s="717"/>
      <c r="K461" s="717"/>
      <c r="L461" s="717"/>
      <c r="M461" s="717"/>
      <c r="N461" s="717"/>
      <c r="O461" s="717"/>
      <c r="P461" s="717"/>
      <c r="Q461" s="717"/>
      <c r="R461" s="717"/>
      <c r="S461" s="717"/>
      <c r="T461" s="717"/>
      <c r="U461" s="717"/>
      <c r="V461" s="717"/>
      <c r="W461" s="717"/>
      <c r="X461" s="717"/>
      <c r="Y461" s="717"/>
      <c r="Z461" s="717"/>
      <c r="AA461" s="48"/>
      <c r="AB461" s="48"/>
      <c r="AC461" s="48"/>
    </row>
    <row r="462" spans="1:68" ht="16.5" customHeight="1" x14ac:dyDescent="0.25">
      <c r="A462" s="566" t="s">
        <v>717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7" t="s">
        <v>103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718</v>
      </c>
      <c r="B464" s="54" t="s">
        <v>719</v>
      </c>
      <c r="C464" s="31">
        <v>4301011763</v>
      </c>
      <c r="D464" s="564">
        <v>4640242181011</v>
      </c>
      <c r="E464" s="565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80</v>
      </c>
      <c r="N464" s="33"/>
      <c r="O464" s="32">
        <v>55</v>
      </c>
      <c r="P464" s="6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4301011585</v>
      </c>
      <c r="D465" s="564">
        <v>4640242180441</v>
      </c>
      <c r="E465" s="565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81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4301011584</v>
      </c>
      <c r="D466" s="564">
        <v>4640242180564</v>
      </c>
      <c r="E466" s="565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 t="s">
        <v>107</v>
      </c>
      <c r="M466" s="33" t="s">
        <v>108</v>
      </c>
      <c r="N466" s="33"/>
      <c r="O466" s="32">
        <v>50</v>
      </c>
      <c r="P466" s="64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726</v>
      </c>
      <c r="AG466" s="64"/>
      <c r="AJ466" s="68" t="s">
        <v>92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727</v>
      </c>
      <c r="B467" s="54" t="s">
        <v>728</v>
      </c>
      <c r="C467" s="31">
        <v>4301011764</v>
      </c>
      <c r="D467" s="564">
        <v>4640242181189</v>
      </c>
      <c r="E467" s="565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80</v>
      </c>
      <c r="N467" s="33"/>
      <c r="O467" s="32">
        <v>55</v>
      </c>
      <c r="P467" s="68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8" t="s">
        <v>75</v>
      </c>
      <c r="Q468" s="569"/>
      <c r="R468" s="569"/>
      <c r="S468" s="569"/>
      <c r="T468" s="569"/>
      <c r="U468" s="569"/>
      <c r="V468" s="570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8" t="s">
        <v>75</v>
      </c>
      <c r="Q469" s="569"/>
      <c r="R469" s="569"/>
      <c r="S469" s="569"/>
      <c r="T469" s="569"/>
      <c r="U469" s="569"/>
      <c r="V469" s="570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7" t="s">
        <v>138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729</v>
      </c>
      <c r="B471" s="54" t="s">
        <v>730</v>
      </c>
      <c r="C471" s="31">
        <v>4301020400</v>
      </c>
      <c r="D471" s="564">
        <v>4640242180519</v>
      </c>
      <c r="E471" s="565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732</v>
      </c>
      <c r="B472" s="54" t="s">
        <v>733</v>
      </c>
      <c r="C472" s="31">
        <v>4301020260</v>
      </c>
      <c r="D472" s="564">
        <v>4640242180526</v>
      </c>
      <c r="E472" s="565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76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8" t="s">
        <v>75</v>
      </c>
      <c r="Q473" s="569"/>
      <c r="R473" s="569"/>
      <c r="S473" s="569"/>
      <c r="T473" s="569"/>
      <c r="U473" s="569"/>
      <c r="V473" s="570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8" t="s">
        <v>75</v>
      </c>
      <c r="Q474" s="569"/>
      <c r="R474" s="569"/>
      <c r="S474" s="569"/>
      <c r="T474" s="569"/>
      <c r="U474" s="569"/>
      <c r="V474" s="570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7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735</v>
      </c>
      <c r="B476" s="54" t="s">
        <v>736</v>
      </c>
      <c r="C476" s="31">
        <v>4301031244</v>
      </c>
      <c r="D476" s="564">
        <v>4640242180595</v>
      </c>
      <c r="E476" s="565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 t="s">
        <v>115</v>
      </c>
      <c r="M476" s="33" t="s">
        <v>68</v>
      </c>
      <c r="N476" s="33"/>
      <c r="O476" s="32">
        <v>40</v>
      </c>
      <c r="P476" s="63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737</v>
      </c>
      <c r="AG476" s="64"/>
      <c r="AJ476" s="68" t="s">
        <v>92</v>
      </c>
      <c r="AK476" s="68">
        <v>50.4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8" t="s">
        <v>75</v>
      </c>
      <c r="Q477" s="569"/>
      <c r="R477" s="569"/>
      <c r="S477" s="569"/>
      <c r="T477" s="569"/>
      <c r="U477" s="569"/>
      <c r="V477" s="570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8" t="s">
        <v>75</v>
      </c>
      <c r="Q478" s="569"/>
      <c r="R478" s="569"/>
      <c r="S478" s="569"/>
      <c r="T478" s="569"/>
      <c r="U478" s="569"/>
      <c r="V478" s="570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7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738</v>
      </c>
      <c r="B480" s="54" t="s">
        <v>739</v>
      </c>
      <c r="C480" s="31">
        <v>4301052046</v>
      </c>
      <c r="D480" s="564">
        <v>4640242180533</v>
      </c>
      <c r="E480" s="565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 t="s">
        <v>107</v>
      </c>
      <c r="M480" s="33" t="s">
        <v>86</v>
      </c>
      <c r="N480" s="33"/>
      <c r="O480" s="32">
        <v>45</v>
      </c>
      <c r="P480" s="6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100</v>
      </c>
      <c r="Y480" s="550">
        <f>IFERROR(IF(X480="",0,CEILING((X480/$H480),1)*$H480),"")</f>
        <v>108</v>
      </c>
      <c r="Z480" s="36">
        <f>IFERROR(IF(Y480=0,"",ROUNDUP(Y480/H480,0)*0.01898),"")</f>
        <v>0.22776000000000002</v>
      </c>
      <c r="AA480" s="56"/>
      <c r="AB480" s="57"/>
      <c r="AC480" s="533" t="s">
        <v>740</v>
      </c>
      <c r="AG480" s="64"/>
      <c r="AJ480" s="68" t="s">
        <v>92</v>
      </c>
      <c r="AK480" s="68">
        <v>72</v>
      </c>
      <c r="BB480" s="534" t="s">
        <v>1</v>
      </c>
      <c r="BM480" s="64">
        <f>IFERROR(X480*I480/H480,"0")</f>
        <v>105.48888888888888</v>
      </c>
      <c r="BN480" s="64">
        <f>IFERROR(Y480*I480/H480,"0")</f>
        <v>113.92799999999998</v>
      </c>
      <c r="BO480" s="64">
        <f>IFERROR(1/J480*(X480/H480),"0")</f>
        <v>0.1736111111111111</v>
      </c>
      <c r="BP480" s="64">
        <f>IFERROR(1/J480*(Y480/H480),"0")</f>
        <v>0.1875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8" t="s">
        <v>75</v>
      </c>
      <c r="Q481" s="569"/>
      <c r="R481" s="569"/>
      <c r="S481" s="569"/>
      <c r="T481" s="569"/>
      <c r="U481" s="569"/>
      <c r="V481" s="570"/>
      <c r="W481" s="37" t="s">
        <v>76</v>
      </c>
      <c r="X481" s="551">
        <f>IFERROR(X480/H480,"0")</f>
        <v>11.111111111111111</v>
      </c>
      <c r="Y481" s="551">
        <f>IFERROR(Y480/H480,"0")</f>
        <v>12</v>
      </c>
      <c r="Z481" s="551">
        <f>IFERROR(IF(Z480="",0,Z480),"0")</f>
        <v>0.22776000000000002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8" t="s">
        <v>75</v>
      </c>
      <c r="Q482" s="569"/>
      <c r="R482" s="569"/>
      <c r="S482" s="569"/>
      <c r="T482" s="569"/>
      <c r="U482" s="569"/>
      <c r="V482" s="570"/>
      <c r="W482" s="37" t="s">
        <v>69</v>
      </c>
      <c r="X482" s="551">
        <f>IFERROR(SUM(X480:X480),"0")</f>
        <v>100</v>
      </c>
      <c r="Y482" s="551">
        <f>IFERROR(SUM(Y480:Y480),"0")</f>
        <v>108</v>
      </c>
      <c r="Z482" s="37"/>
      <c r="AA482" s="552"/>
      <c r="AB482" s="552"/>
      <c r="AC482" s="552"/>
    </row>
    <row r="483" spans="1:68" ht="14.25" customHeight="1" x14ac:dyDescent="0.25">
      <c r="A483" s="567" t="s">
        <v>163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741</v>
      </c>
      <c r="B484" s="54" t="s">
        <v>742</v>
      </c>
      <c r="C484" s="31">
        <v>4301060491</v>
      </c>
      <c r="D484" s="564">
        <v>4640242180120</v>
      </c>
      <c r="E484" s="565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80</v>
      </c>
      <c r="N484" s="33"/>
      <c r="O484" s="32">
        <v>40</v>
      </c>
      <c r="P484" s="8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744</v>
      </c>
      <c r="B485" s="54" t="s">
        <v>745</v>
      </c>
      <c r="C485" s="31">
        <v>4301060493</v>
      </c>
      <c r="D485" s="564">
        <v>4640242180137</v>
      </c>
      <c r="E485" s="565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80</v>
      </c>
      <c r="N485" s="33"/>
      <c r="O485" s="32">
        <v>40</v>
      </c>
      <c r="P485" s="7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8" t="s">
        <v>75</v>
      </c>
      <c r="Q486" s="569"/>
      <c r="R486" s="569"/>
      <c r="S486" s="569"/>
      <c r="T486" s="569"/>
      <c r="U486" s="569"/>
      <c r="V486" s="570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8" t="s">
        <v>75</v>
      </c>
      <c r="Q487" s="569"/>
      <c r="R487" s="569"/>
      <c r="S487" s="569"/>
      <c r="T487" s="569"/>
      <c r="U487" s="569"/>
      <c r="V487" s="570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66" t="s">
        <v>747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7" t="s">
        <v>138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748</v>
      </c>
      <c r="B490" s="54" t="s">
        <v>749</v>
      </c>
      <c r="C490" s="31">
        <v>4301020314</v>
      </c>
      <c r="D490" s="564">
        <v>4640242180090</v>
      </c>
      <c r="E490" s="565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80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8" t="s">
        <v>75</v>
      </c>
      <c r="Q491" s="569"/>
      <c r="R491" s="569"/>
      <c r="S491" s="569"/>
      <c r="T491" s="569"/>
      <c r="U491" s="569"/>
      <c r="V491" s="570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8" t="s">
        <v>75</v>
      </c>
      <c r="Q492" s="569"/>
      <c r="R492" s="569"/>
      <c r="S492" s="569"/>
      <c r="T492" s="569"/>
      <c r="U492" s="569"/>
      <c r="V492" s="570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8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2"/>
      <c r="P493" s="709" t="s">
        <v>751</v>
      </c>
      <c r="Q493" s="672"/>
      <c r="R493" s="672"/>
      <c r="S493" s="672"/>
      <c r="T493" s="672"/>
      <c r="U493" s="672"/>
      <c r="V493" s="673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5011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5120.3400000000011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2"/>
      <c r="P494" s="709" t="s">
        <v>752</v>
      </c>
      <c r="Q494" s="672"/>
      <c r="R494" s="672"/>
      <c r="S494" s="672"/>
      <c r="T494" s="672"/>
      <c r="U494" s="672"/>
      <c r="V494" s="673"/>
      <c r="W494" s="37" t="s">
        <v>69</v>
      </c>
      <c r="X494" s="551">
        <f>IFERROR(SUM(BM22:BM490),"0")</f>
        <v>5489.8877397591768</v>
      </c>
      <c r="Y494" s="551">
        <f>IFERROR(SUM(BN22:BN490),"0")</f>
        <v>5606.2060000000001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2"/>
      <c r="P495" s="709" t="s">
        <v>753</v>
      </c>
      <c r="Q495" s="672"/>
      <c r="R495" s="672"/>
      <c r="S495" s="672"/>
      <c r="T495" s="672"/>
      <c r="U495" s="672"/>
      <c r="V495" s="673"/>
      <c r="W495" s="37" t="s">
        <v>754</v>
      </c>
      <c r="X495" s="38">
        <f>ROUNDUP(SUM(BO22:BO490),0)</f>
        <v>9</v>
      </c>
      <c r="Y495" s="38">
        <f>ROUNDUP(SUM(BP22:BP490),0)</f>
        <v>9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2"/>
      <c r="P496" s="709" t="s">
        <v>755</v>
      </c>
      <c r="Q496" s="672"/>
      <c r="R496" s="672"/>
      <c r="S496" s="672"/>
      <c r="T496" s="672"/>
      <c r="U496" s="672"/>
      <c r="V496" s="673"/>
      <c r="W496" s="37" t="s">
        <v>69</v>
      </c>
      <c r="X496" s="551">
        <f>GrossWeightTotal+PalletQtyTotal*25</f>
        <v>5714.8877397591768</v>
      </c>
      <c r="Y496" s="551">
        <f>GrossWeightTotalR+PalletQtyTotalR*25</f>
        <v>5831.2060000000001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2"/>
      <c r="P497" s="709" t="s">
        <v>756</v>
      </c>
      <c r="Q497" s="672"/>
      <c r="R497" s="672"/>
      <c r="S497" s="672"/>
      <c r="T497" s="672"/>
      <c r="U497" s="672"/>
      <c r="V497" s="673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922.95727622739116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938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22"/>
      <c r="P498" s="709" t="s">
        <v>757</v>
      </c>
      <c r="Q498" s="672"/>
      <c r="R498" s="672"/>
      <c r="S498" s="672"/>
      <c r="T498" s="672"/>
      <c r="U498" s="672"/>
      <c r="V498" s="673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10.423970000000001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6" t="s">
        <v>63</v>
      </c>
      <c r="C500" s="592" t="s">
        <v>101</v>
      </c>
      <c r="D500" s="744"/>
      <c r="E500" s="744"/>
      <c r="F500" s="744"/>
      <c r="G500" s="744"/>
      <c r="H500" s="745"/>
      <c r="I500" s="592" t="s">
        <v>273</v>
      </c>
      <c r="J500" s="744"/>
      <c r="K500" s="744"/>
      <c r="L500" s="744"/>
      <c r="M500" s="744"/>
      <c r="N500" s="744"/>
      <c r="O500" s="744"/>
      <c r="P500" s="744"/>
      <c r="Q500" s="744"/>
      <c r="R500" s="745"/>
      <c r="S500" s="592" t="s">
        <v>557</v>
      </c>
      <c r="T500" s="745"/>
      <c r="U500" s="592" t="s">
        <v>611</v>
      </c>
      <c r="V500" s="744"/>
      <c r="W500" s="745"/>
      <c r="X500" s="546" t="s">
        <v>662</v>
      </c>
      <c r="Y500" s="592" t="s">
        <v>717</v>
      </c>
      <c r="Z500" s="745"/>
      <c r="AB500" s="52"/>
      <c r="AC500" s="52"/>
      <c r="AF500" s="547"/>
    </row>
    <row r="501" spans="1:32" ht="14.25" customHeight="1" thickTop="1" x14ac:dyDescent="0.2">
      <c r="A501" s="796" t="s">
        <v>760</v>
      </c>
      <c r="B501" s="592" t="s">
        <v>63</v>
      </c>
      <c r="C501" s="592" t="s">
        <v>102</v>
      </c>
      <c r="D501" s="592" t="s">
        <v>119</v>
      </c>
      <c r="E501" s="592" t="s">
        <v>170</v>
      </c>
      <c r="F501" s="592" t="s">
        <v>193</v>
      </c>
      <c r="G501" s="592" t="s">
        <v>230</v>
      </c>
      <c r="H501" s="592" t="s">
        <v>101</v>
      </c>
      <c r="I501" s="592" t="s">
        <v>274</v>
      </c>
      <c r="J501" s="592" t="s">
        <v>324</v>
      </c>
      <c r="K501" s="592" t="s">
        <v>383</v>
      </c>
      <c r="L501" s="592" t="s">
        <v>423</v>
      </c>
      <c r="M501" s="592" t="s">
        <v>439</v>
      </c>
      <c r="N501" s="547"/>
      <c r="O501" s="592" t="s">
        <v>450</v>
      </c>
      <c r="P501" s="592" t="s">
        <v>459</v>
      </c>
      <c r="Q501" s="592" t="s">
        <v>472</v>
      </c>
      <c r="R501" s="592" t="s">
        <v>547</v>
      </c>
      <c r="S501" s="592" t="s">
        <v>558</v>
      </c>
      <c r="T501" s="592" t="s">
        <v>593</v>
      </c>
      <c r="U501" s="592" t="s">
        <v>612</v>
      </c>
      <c r="V501" s="592" t="s">
        <v>643</v>
      </c>
      <c r="W501" s="592" t="s">
        <v>658</v>
      </c>
      <c r="X501" s="592" t="s">
        <v>662</v>
      </c>
      <c r="Y501" s="592" t="s">
        <v>717</v>
      </c>
      <c r="Z501" s="592" t="s">
        <v>747</v>
      </c>
      <c r="AB501" s="52"/>
      <c r="AC501" s="52"/>
      <c r="AF501" s="547"/>
    </row>
    <row r="502" spans="1:32" ht="13.5" customHeight="1" thickBot="1" x14ac:dyDescent="0.25">
      <c r="A502" s="797"/>
      <c r="B502" s="593"/>
      <c r="C502" s="593"/>
      <c r="D502" s="593"/>
      <c r="E502" s="593"/>
      <c r="F502" s="593"/>
      <c r="G502" s="593"/>
      <c r="H502" s="593"/>
      <c r="I502" s="593"/>
      <c r="J502" s="593"/>
      <c r="K502" s="593"/>
      <c r="L502" s="593"/>
      <c r="M502" s="593"/>
      <c r="N502" s="547"/>
      <c r="O502" s="593"/>
      <c r="P502" s="593"/>
      <c r="Q502" s="593"/>
      <c r="R502" s="593"/>
      <c r="S502" s="593"/>
      <c r="T502" s="593"/>
      <c r="U502" s="593"/>
      <c r="V502" s="593"/>
      <c r="W502" s="593"/>
      <c r="X502" s="593"/>
      <c r="Y502" s="593"/>
      <c r="Z502" s="593"/>
      <c r="AB502" s="52"/>
      <c r="AC502" s="52"/>
      <c r="AF502" s="547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247.20000000000002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205.20000000000002</v>
      </c>
      <c r="E503" s="46">
        <f>IFERROR(Y85*1,"0")+IFERROR(Y86*1,"0")+IFERROR(Y87*1,"0")+IFERROR(Y88*1,"0")+IFERROR(Y92*1,"0")+IFERROR(Y93*1,"0")+IFERROR(Y94*1,"0")+IFERROR(Y95*1,"0")</f>
        <v>467.10000000000008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645.30000000000007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0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50.400000000000006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726.9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46">
        <f>IFERROR(Y261*1,"0")+IFERROR(Y262*1,"0")+IFERROR(Y263*1,"0")+IFERROR(Y264*1,"0")+IFERROR(Y265*1,"0")</f>
        <v>0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0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23.4</v>
      </c>
      <c r="R503" s="46">
        <f>IFERROR(Y341*1,"0")+IFERROR(Y342*1,"0")+IFERROR(Y343*1,"0")</f>
        <v>100.80000000000001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687</v>
      </c>
      <c r="T503" s="46">
        <f>IFERROR(Y374*1,"0")+IFERROR(Y375*1,"0")+IFERROR(Y379*1,"0")+IFERROR(Y380*1,"0")+IFERROR(Y384*1,"0")+IFERROR(Y385*1,"0")+IFERROR(Y386*1,"0")</f>
        <v>151.19999999999999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1707.8400000000001</v>
      </c>
      <c r="Y503" s="46">
        <f>IFERROR(Y464*1,"0")+IFERROR(Y465*1,"0")+IFERROR(Y466*1,"0")+IFERROR(Y467*1,"0")+IFERROR(Y471*1,"0")+IFERROR(Y472*1,"0")+IFERROR(Y476*1,"0")+IFERROR(Y480*1,"0")+IFERROR(Y484*1,"0")+IFERROR(Y485*1,"0")</f>
        <v>108</v>
      </c>
      <c r="Z503" s="46">
        <f>IFERROR(Y490*1,"0")</f>
        <v>0</v>
      </c>
      <c r="AB503" s="52"/>
      <c r="AC503" s="52"/>
      <c r="AF503" s="547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A344:O345"/>
    <mergeCell ref="P128:T128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A247:Z247"/>
    <mergeCell ref="P189:V189"/>
    <mergeCell ref="P456:V456"/>
    <mergeCell ref="A483:Z483"/>
    <mergeCell ref="P287:V287"/>
    <mergeCell ref="D177:E177"/>
    <mergeCell ref="P281:V281"/>
    <mergeCell ref="P354:T354"/>
    <mergeCell ref="D226:E226"/>
    <mergeCell ref="P183:T183"/>
    <mergeCell ref="P365:T365"/>
    <mergeCell ref="A245:O246"/>
    <mergeCell ref="U500:W500"/>
    <mergeCell ref="I501:I502"/>
    <mergeCell ref="K501:K502"/>
    <mergeCell ref="D323:E323"/>
    <mergeCell ref="D394:E394"/>
    <mergeCell ref="D450:E450"/>
    <mergeCell ref="P492:V492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279:E279"/>
    <mergeCell ref="D152:E152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V501:V502"/>
    <mergeCell ref="P359:T359"/>
    <mergeCell ref="X501:X502"/>
    <mergeCell ref="P490:T490"/>
    <mergeCell ref="D436:E436"/>
    <mergeCell ref="A105:O106"/>
    <mergeCell ref="D227:E227"/>
    <mergeCell ref="P321:T321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I500:R500"/>
    <mergeCell ref="P401:V401"/>
    <mergeCell ref="P97:V97"/>
    <mergeCell ref="Q13:R13"/>
    <mergeCell ref="A391:Z391"/>
    <mergeCell ref="A318:O319"/>
    <mergeCell ref="Y501:Y502"/>
    <mergeCell ref="D299:E299"/>
    <mergeCell ref="A501:A502"/>
    <mergeCell ref="A230:Z230"/>
    <mergeCell ref="D222:E222"/>
    <mergeCell ref="P35:T3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A461:Z461"/>
    <mergeCell ref="P123:V123"/>
    <mergeCell ref="D434:E434"/>
    <mergeCell ref="P482:V482"/>
    <mergeCell ref="A241:O242"/>
    <mergeCell ref="P111:T111"/>
    <mergeCell ref="S500:T500"/>
    <mergeCell ref="P175:T175"/>
    <mergeCell ref="P266:V266"/>
    <mergeCell ref="A292:O293"/>
    <mergeCell ref="P331:V331"/>
    <mergeCell ref="D143:E143"/>
    <mergeCell ref="P398:T398"/>
    <mergeCell ref="P227:T227"/>
    <mergeCell ref="P177:T177"/>
    <mergeCell ref="A223:O224"/>
    <mergeCell ref="P226:T226"/>
    <mergeCell ref="P335:T335"/>
    <mergeCell ref="D256:E256"/>
    <mergeCell ref="D207:E207"/>
    <mergeCell ref="A493:O498"/>
    <mergeCell ref="P176:T176"/>
    <mergeCell ref="A284:Z284"/>
    <mergeCell ref="D149:E149"/>
    <mergeCell ref="Y500:Z500"/>
    <mergeCell ref="D385:E385"/>
    <mergeCell ref="P301:T301"/>
    <mergeCell ref="P178:T178"/>
    <mergeCell ref="P214:T214"/>
    <mergeCell ref="P270:T270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A489:Z489"/>
    <mergeCell ref="P468:V468"/>
    <mergeCell ref="A160:Z160"/>
    <mergeCell ref="A141:Z141"/>
    <mergeCell ref="W501:W502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F501:F502"/>
    <mergeCell ref="H501:H502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D296:E296"/>
    <mergeCell ref="P275:V275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129:V129"/>
    <mergeCell ref="P101:T101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P58:V58"/>
    <mergeCell ref="A13:M13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C500:H500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D74:E74"/>
    <mergeCell ref="P87:T87"/>
    <mergeCell ref="P451:T451"/>
    <mergeCell ref="A470:Z470"/>
    <mergeCell ref="D335:E335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88:T88"/>
    <mergeCell ref="P153:T153"/>
    <mergeCell ref="P338:V338"/>
    <mergeCell ref="D285:E285"/>
    <mergeCell ref="P155:V155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D41:E41"/>
    <mergeCell ref="P296:T296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D280:E280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P286:T286"/>
    <mergeCell ref="D400:E400"/>
    <mergeCell ref="D108:E108"/>
    <mergeCell ref="D375:E375"/>
    <mergeCell ref="P429:T429"/>
    <mergeCell ref="D369:E369"/>
    <mergeCell ref="P52:T52"/>
    <mergeCell ref="P350:T350"/>
    <mergeCell ref="P201:V201"/>
    <mergeCell ref="P139:V139"/>
    <mergeCell ref="A26:Z26"/>
    <mergeCell ref="P59:V59"/>
    <mergeCell ref="P168:T168"/>
    <mergeCell ref="P130:V130"/>
    <mergeCell ref="P190:V190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210:E210"/>
    <mergeCell ref="A123:O124"/>
    <mergeCell ref="D308:E308"/>
    <mergeCell ref="A46:Z46"/>
    <mergeCell ref="D380:E380"/>
    <mergeCell ref="D209:E209"/>
    <mergeCell ref="D87:E87"/>
    <mergeCell ref="P464:T464"/>
    <mergeCell ref="D445:E445"/>
    <mergeCell ref="D301:E301"/>
    <mergeCell ref="A423:O424"/>
    <mergeCell ref="D122:E122"/>
    <mergeCell ref="P116:T116"/>
    <mergeCell ref="P103:T103"/>
    <mergeCell ref="A166:Z166"/>
    <mergeCell ref="D438:E438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D92:E92"/>
    <mergeCell ref="P453:T453"/>
    <mergeCell ref="D290:E290"/>
    <mergeCell ref="D94:E94"/>
    <mergeCell ref="D417:E417"/>
    <mergeCell ref="P471:T471"/>
    <mergeCell ref="A401:O402"/>
    <mergeCell ref="P148:T148"/>
    <mergeCell ref="P240:T240"/>
    <mergeCell ref="A96:O97"/>
    <mergeCell ref="D354:E354"/>
    <mergeCell ref="A475:Z475"/>
    <mergeCell ref="P460:V460"/>
    <mergeCell ref="P106:V106"/>
    <mergeCell ref="P164:V164"/>
    <mergeCell ref="D316:E316"/>
    <mergeCell ref="P45:V45"/>
    <mergeCell ref="P487:V487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405:T405"/>
    <mergeCell ref="P476:T476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D144:E144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A211:O212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P458:T458"/>
    <mergeCell ref="A459:O460"/>
    <mergeCell ref="A462:Z462"/>
    <mergeCell ref="P180:V180"/>
    <mergeCell ref="A446:O447"/>
    <mergeCell ref="R501:R502"/>
    <mergeCell ref="A311:O312"/>
    <mergeCell ref="P452:T452"/>
    <mergeCell ref="T501:T502"/>
    <mergeCell ref="P377:V377"/>
    <mergeCell ref="A202:Z202"/>
    <mergeCell ref="P37:V37"/>
    <mergeCell ref="P104:T104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  <mergeCell ref="P437:T437"/>
    <mergeCell ref="P315:T315"/>
    <mergeCell ref="P144:T144"/>
    <mergeCell ref="A361:O362"/>
    <mergeCell ref="D174:E174"/>
    <mergeCell ref="D472:E472"/>
    <mergeCell ref="A83:Z83"/>
    <mergeCell ref="D410:E410"/>
    <mergeCell ref="A276:Z276"/>
    <mergeCell ref="P454:T454"/>
    <mergeCell ref="P384:T384"/>
    <mergeCell ref="A158:O159"/>
    <mergeCell ref="P150:T150"/>
    <mergeCell ref="P432:T432"/>
    <mergeCell ref="P446:V446"/>
    <mergeCell ref="P402:V402"/>
    <mergeCell ref="P443:T443"/>
    <mergeCell ref="A84:Z84"/>
    <mergeCell ref="D443:E443"/>
    <mergeCell ref="P400:T400"/>
    <mergeCell ref="D272:E27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2025-12-19T06:54:15Z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