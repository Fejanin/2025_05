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66ADF4B-B16A-4844-9894-0294EBDF36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Y154" i="1" s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Y145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2" i="1" s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2" i="1"/>
  <c r="X493" i="1"/>
  <c r="X494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Z301" i="1" s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502" i="1"/>
  <c r="F9" i="1"/>
  <c r="J9" i="1"/>
  <c r="Y25" i="1"/>
  <c r="Y45" i="1"/>
  <c r="Y48" i="1"/>
  <c r="BP47" i="1"/>
  <c r="Y494" i="1" s="1"/>
  <c r="BN47" i="1"/>
  <c r="Y493" i="1" s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274" i="1"/>
  <c r="Z257" i="1"/>
  <c r="Z179" i="1"/>
  <c r="Y492" i="1"/>
  <c r="Z154" i="1"/>
  <c r="Z89" i="1"/>
  <c r="Z76" i="1"/>
  <c r="Z32" i="1"/>
  <c r="Z497" i="1" s="1"/>
  <c r="Z454" i="1"/>
  <c r="Z417" i="1"/>
  <c r="Z336" i="1"/>
  <c r="Z266" i="1"/>
  <c r="Z241" i="1"/>
  <c r="Z105" i="1"/>
  <c r="Z317" i="1"/>
  <c r="Z58" i="1"/>
  <c r="Y496" i="1"/>
  <c r="X495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<sst xmlns="http://schemas.openxmlformats.org/spreadsheetml/2006/main" count="2339" uniqueCount="774">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</sst>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5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1" t="s">
        <v>0</v>
      </c>
      <c r="E1" s="586"/>
      <c r="F1" s="586"/>
      <c r="G1" s="12" t="s">
        <v>1</v>
      </c>
      <c r="H1" s="791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719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7" t="s">
        <v>8</v>
      </c>
      <c r="B5" s="575"/>
      <c r="C5" s="576"/>
      <c r="D5" s="664"/>
      <c r="E5" s="666"/>
      <c r="F5" s="619" t="s">
        <v>9</v>
      </c>
      <c r="G5" s="576"/>
      <c r="H5" s="664"/>
      <c r="I5" s="665"/>
      <c r="J5" s="665"/>
      <c r="K5" s="665"/>
      <c r="L5" s="665"/>
      <c r="M5" s="666"/>
      <c r="N5" s="58"/>
      <c r="P5" s="24" t="s">
        <v>10</v>
      </c>
      <c r="Q5" s="598">
        <v>46013</v>
      </c>
      <c r="R5" s="599"/>
      <c r="T5" s="727" t="s">
        <v>11</v>
      </c>
      <c r="U5" s="671"/>
      <c r="V5" s="728" t="s">
        <v>12</v>
      </c>
      <c r="W5" s="599"/>
      <c r="AB5" s="51"/>
      <c r="AC5" s="51"/>
      <c r="AD5" s="51"/>
      <c r="AE5" s="51"/>
    </row>
    <row r="6" spans="1:32" s="541" customFormat="1" ht="24" customHeight="1" x14ac:dyDescent="0.2">
      <c r="A6" s="767" t="s">
        <v>13</v>
      </c>
      <c r="B6" s="575"/>
      <c r="C6" s="576"/>
      <c r="D6" s="668" t="s">
        <v>14</v>
      </c>
      <c r="E6" s="669"/>
      <c r="F6" s="669"/>
      <c r="G6" s="669"/>
      <c r="H6" s="669"/>
      <c r="I6" s="669"/>
      <c r="J6" s="669"/>
      <c r="K6" s="669"/>
      <c r="L6" s="669"/>
      <c r="M6" s="599"/>
      <c r="N6" s="59"/>
      <c r="P6" s="24" t="s">
        <v>15</v>
      </c>
      <c r="Q6" s="605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33" t="s">
        <v>16</v>
      </c>
      <c r="U6" s="671"/>
      <c r="V6" s="678" t="s">
        <v>17</v>
      </c>
      <c r="W6" s="679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25" t="str">
        <f>IFERROR(VLOOKUP(DeliveryAddress,Table,3,0),1)</f>
        <v>1</v>
      </c>
      <c r="E7" s="826"/>
      <c r="F7" s="826"/>
      <c r="G7" s="826"/>
      <c r="H7" s="826"/>
      <c r="I7" s="826"/>
      <c r="J7" s="826"/>
      <c r="K7" s="826"/>
      <c r="L7" s="826"/>
      <c r="M7" s="732"/>
      <c r="N7" s="60"/>
      <c r="P7" s="24"/>
      <c r="Q7" s="42"/>
      <c r="R7" s="42"/>
      <c r="T7" s="557"/>
      <c r="U7" s="671"/>
      <c r="V7" s="680"/>
      <c r="W7" s="681"/>
      <c r="AB7" s="51"/>
      <c r="AC7" s="51"/>
      <c r="AD7" s="51"/>
      <c r="AE7" s="51"/>
    </row>
    <row r="8" spans="1:32" s="541" customFormat="1" ht="25.5" customHeight="1" x14ac:dyDescent="0.2">
      <c r="A8" s="571" t="s">
        <v>18</v>
      </c>
      <c r="B8" s="554"/>
      <c r="C8" s="555"/>
      <c r="D8" s="815" t="s">
        <v>19</v>
      </c>
      <c r="E8" s="816"/>
      <c r="F8" s="816"/>
      <c r="G8" s="816"/>
      <c r="H8" s="816"/>
      <c r="I8" s="816"/>
      <c r="J8" s="816"/>
      <c r="K8" s="816"/>
      <c r="L8" s="816"/>
      <c r="M8" s="817"/>
      <c r="N8" s="61"/>
      <c r="P8" s="24" t="s">
        <v>20</v>
      </c>
      <c r="Q8" s="731">
        <v>0.41666666666666669</v>
      </c>
      <c r="R8" s="732"/>
      <c r="T8" s="557"/>
      <c r="U8" s="671"/>
      <c r="V8" s="680"/>
      <c r="W8" s="681"/>
      <c r="AB8" s="51"/>
      <c r="AC8" s="51"/>
      <c r="AD8" s="51"/>
      <c r="AE8" s="51"/>
    </row>
    <row r="9" spans="1:32" s="541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33"/>
      <c r="E9" s="634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634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4"/>
      <c r="L9" s="634"/>
      <c r="M9" s="634"/>
      <c r="N9" s="539"/>
      <c r="P9" s="26" t="s">
        <v>21</v>
      </c>
      <c r="Q9" s="774"/>
      <c r="R9" s="623"/>
      <c r="T9" s="557"/>
      <c r="U9" s="671"/>
      <c r="V9" s="682"/>
      <c r="W9" s="683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33"/>
      <c r="E10" s="634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93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34"/>
      <c r="R10" s="735"/>
      <c r="U10" s="24" t="s">
        <v>23</v>
      </c>
      <c r="V10" s="837" t="s">
        <v>24</v>
      </c>
      <c r="W10" s="679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5"/>
      <c r="R11" s="599"/>
      <c r="U11" s="24" t="s">
        <v>27</v>
      </c>
      <c r="V11" s="622" t="s">
        <v>28</v>
      </c>
      <c r="W11" s="62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8" t="s">
        <v>29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6"/>
      <c r="N12" s="62"/>
      <c r="P12" s="24" t="s">
        <v>30</v>
      </c>
      <c r="Q12" s="731"/>
      <c r="R12" s="732"/>
      <c r="S12" s="23"/>
      <c r="U12" s="24"/>
      <c r="V12" s="586"/>
      <c r="W12" s="557"/>
      <c r="AB12" s="51"/>
      <c r="AC12" s="51"/>
      <c r="AD12" s="51"/>
      <c r="AE12" s="51"/>
    </row>
    <row r="13" spans="1:32" s="541" customFormat="1" ht="23.25" customHeight="1" x14ac:dyDescent="0.2">
      <c r="A13" s="718" t="s">
        <v>31</v>
      </c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6"/>
      <c r="N13" s="62"/>
      <c r="O13" s="26"/>
      <c r="P13" s="26" t="s">
        <v>32</v>
      </c>
      <c r="Q13" s="622"/>
      <c r="R13" s="6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8" t="s">
        <v>33</v>
      </c>
      <c r="B14" s="575"/>
      <c r="C14" s="575"/>
      <c r="D14" s="575"/>
      <c r="E14" s="575"/>
      <c r="F14" s="575"/>
      <c r="G14" s="575"/>
      <c r="H14" s="575"/>
      <c r="I14" s="575"/>
      <c r="J14" s="575"/>
      <c r="K14" s="575"/>
      <c r="L14" s="575"/>
      <c r="M14" s="5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22" t="s">
        <v>34</v>
      </c>
      <c r="B15" s="575"/>
      <c r="C15" s="575"/>
      <c r="D15" s="575"/>
      <c r="E15" s="575"/>
      <c r="F15" s="575"/>
      <c r="G15" s="575"/>
      <c r="H15" s="575"/>
      <c r="I15" s="575"/>
      <c r="J15" s="575"/>
      <c r="K15" s="575"/>
      <c r="L15" s="575"/>
      <c r="M15" s="576"/>
      <c r="N15" s="63"/>
      <c r="P15" s="750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70" t="s">
        <v>38</v>
      </c>
      <c r="D17" s="579" t="s">
        <v>39</v>
      </c>
      <c r="E17" s="580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782"/>
      <c r="R17" s="782"/>
      <c r="S17" s="782"/>
      <c r="T17" s="580"/>
      <c r="U17" s="593" t="s">
        <v>51</v>
      </c>
      <c r="V17" s="576"/>
      <c r="W17" s="579" t="s">
        <v>52</v>
      </c>
      <c r="X17" s="579" t="s">
        <v>53</v>
      </c>
      <c r="Y17" s="594" t="s">
        <v>54</v>
      </c>
      <c r="Z17" s="690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581"/>
      <c r="E18" s="582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1"/>
      <c r="Q18" s="783"/>
      <c r="R18" s="783"/>
      <c r="S18" s="783"/>
      <c r="T18" s="582"/>
      <c r="U18" s="67" t="s">
        <v>61</v>
      </c>
      <c r="V18" s="67" t="s">
        <v>62</v>
      </c>
      <c r="W18" s="583"/>
      <c r="X18" s="583"/>
      <c r="Y18" s="595"/>
      <c r="Z18" s="691"/>
      <c r="AA18" s="692"/>
      <c r="AB18" s="692"/>
      <c r="AC18" s="692"/>
      <c r="AD18" s="616"/>
      <c r="AE18" s="617"/>
      <c r="AF18" s="618"/>
      <c r="AG18" s="66"/>
      <c r="BD18" s="65"/>
    </row>
    <row r="19" spans="1:68" ht="27.75" customHeight="1" x14ac:dyDescent="0.2">
      <c r="A19" s="648" t="s">
        <v>63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customHeight="1" x14ac:dyDescent="0.25">
      <c r="A20" s="58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1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1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0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1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1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56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0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1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1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8" t="s">
        <v>99</v>
      </c>
      <c r="B38" s="649"/>
      <c r="C38" s="649"/>
      <c r="D38" s="649"/>
      <c r="E38" s="649"/>
      <c r="F38" s="649"/>
      <c r="G38" s="649"/>
      <c r="H38" s="649"/>
      <c r="I38" s="649"/>
      <c r="J38" s="649"/>
      <c r="K38" s="649"/>
      <c r="L38" s="649"/>
      <c r="M38" s="649"/>
      <c r="N38" s="649"/>
      <c r="O38" s="649"/>
      <c r="P38" s="649"/>
      <c r="Q38" s="649"/>
      <c r="R38" s="649"/>
      <c r="S38" s="649"/>
      <c r="T38" s="649"/>
      <c r="U38" s="649"/>
      <c r="V38" s="649"/>
      <c r="W38" s="649"/>
      <c r="X38" s="649"/>
      <c r="Y38" s="649"/>
      <c r="Z38" s="649"/>
      <c r="AA38" s="48"/>
      <c r="AB38" s="48"/>
      <c r="AC38" s="48"/>
    </row>
    <row r="39" spans="1:68" ht="16.5" customHeight="1" x14ac:dyDescent="0.25">
      <c r="A39" s="588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customHeight="1" x14ac:dyDescent="0.25">
      <c r="A40" s="556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47">
        <v>50</v>
      </c>
      <c r="Y41" s="548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51.898148148148145</v>
      </c>
      <c r="BN41" s="64">
        <f>IFERROR(Y41*I41/H41,"0")</f>
        <v>56.05</v>
      </c>
      <c r="BO41" s="64">
        <f>IFERROR(1/J41*(X41/H41),"0")</f>
        <v>7.2337962962962965E-2</v>
      </c>
      <c r="BP41" s="64">
        <f>IFERROR(1/J41*(Y41/H41),"0")</f>
        <v>7.8125E-2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8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0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1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4.6296296296296298</v>
      </c>
      <c r="Y44" s="549">
        <f>IFERROR(Y41/H41,"0")+IFERROR(Y42/H42,"0")+IFERROR(Y43/H43,"0")</f>
        <v>5</v>
      </c>
      <c r="Z44" s="549">
        <f>IFERROR(IF(Z41="",0,Z41),"0")+IFERROR(IF(Z42="",0,Z42),"0")+IFERROR(IF(Z43="",0,Z43),"0")</f>
        <v>9.4899999999999998E-2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1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50</v>
      </c>
      <c r="Y45" s="549">
        <f>IFERROR(SUM(Y41:Y43),"0")</f>
        <v>54</v>
      </c>
      <c r="Z45" s="37"/>
      <c r="AA45" s="550"/>
      <c r="AB45" s="550"/>
      <c r="AC45" s="550"/>
    </row>
    <row r="46" spans="1:68" ht="14.25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0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1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1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88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customHeight="1" x14ac:dyDescent="0.25">
      <c r="A51" s="556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8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8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6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47">
        <v>22.5</v>
      </c>
      <c r="Y57" s="548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60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1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14.25925925925926</v>
      </c>
      <c r="Y58" s="549">
        <f>IFERROR(Y52/H52,"0")+IFERROR(Y53/H53,"0")+IFERROR(Y54/H54,"0")+IFERROR(Y55/H55,"0")+IFERROR(Y56/H56,"0")+IFERROR(Y57/H57,"0")</f>
        <v>15</v>
      </c>
      <c r="Z58" s="549">
        <f>IFERROR(IF(Z52="",0,Z52),"0")+IFERROR(IF(Z53="",0,Z53),"0")+IFERROR(IF(Z54="",0,Z54),"0")+IFERROR(IF(Z55="",0,Z55),"0")+IFERROR(IF(Z56="",0,Z56),"0")+IFERROR(IF(Z57="",0,Z57),"0")</f>
        <v>0.2349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1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122.5</v>
      </c>
      <c r="Y59" s="549">
        <f>IFERROR(SUM(Y52:Y57),"0")</f>
        <v>130.5</v>
      </c>
      <c r="Z59" s="37"/>
      <c r="AA59" s="550"/>
      <c r="AB59" s="550"/>
      <c r="AC59" s="550"/>
    </row>
    <row r="60" spans="1:68" ht="14.25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6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47">
        <v>150</v>
      </c>
      <c r="Y61" s="548">
        <f>IFERROR(IF(X61="",0,CEILING((X61/$H61),1)*$H61),"")</f>
        <v>151.20000000000002</v>
      </c>
      <c r="Z61" s="36">
        <f>IFERROR(IF(Y61=0,"",ROUNDUP(Y61/H61,0)*0.01898),"")</f>
        <v>0.26572000000000001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155.69444444444446</v>
      </c>
      <c r="BN61" s="64">
        <f>IFERROR(Y61*I61/H61,"0")</f>
        <v>156.94</v>
      </c>
      <c r="BO61" s="64">
        <f>IFERROR(1/J61*(X61/H61),"0")</f>
        <v>0.21701388888888887</v>
      </c>
      <c r="BP61" s="64">
        <f>IFERROR(1/J61*(Y61/H61),"0")</f>
        <v>0.21875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8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0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1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13.888888888888888</v>
      </c>
      <c r="Y64" s="549">
        <f>IFERROR(Y61/H61,"0")+IFERROR(Y62/H62,"0")+IFERROR(Y63/H63,"0")</f>
        <v>14</v>
      </c>
      <c r="Z64" s="549">
        <f>IFERROR(IF(Z61="",0,Z61),"0")+IFERROR(IF(Z62="",0,Z62),"0")+IFERROR(IF(Z63="",0,Z63),"0")</f>
        <v>0.26572000000000001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1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150</v>
      </c>
      <c r="Y65" s="549">
        <f>IFERROR(SUM(Y61:Y63),"0")</f>
        <v>151.20000000000002</v>
      </c>
      <c r="Z65" s="37"/>
      <c r="AA65" s="550"/>
      <c r="AB65" s="550"/>
      <c r="AC65" s="550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8">
        <v>4680115885097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1"/>
      <c r="P69" s="553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1"/>
      <c r="P70" s="553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56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8">
        <v>4680115885769</v>
      </c>
      <c r="E72" s="559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61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8">
        <v>4680115884311</v>
      </c>
      <c r="E73" s="559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8">
        <v>4680115885929</v>
      </c>
      <c r="E74" s="559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8">
        <v>4680115884403</v>
      </c>
      <c r="E75" s="559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1"/>
      <c r="P76" s="553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1"/>
      <c r="P77" s="553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56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8">
        <v>4680115881532</v>
      </c>
      <c r="E79" s="559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8">
        <v>4680115881464</v>
      </c>
      <c r="E80" s="559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1"/>
      <c r="P81" s="553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1"/>
      <c r="P82" s="553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88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8">
        <v>4680115881327</v>
      </c>
      <c r="E85" s="559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8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47">
        <v>250</v>
      </c>
      <c r="Y85" s="548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8">
        <v>4680115887732</v>
      </c>
      <c r="E86" s="559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8">
        <v>4680115881518</v>
      </c>
      <c r="E87" s="559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8">
        <v>4680115881303</v>
      </c>
      <c r="E88" s="559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0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1"/>
      <c r="P89" s="553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49">
        <f>IFERROR(X85/H85,"0")+IFERROR(X86/H86,"0")+IFERROR(X87/H87,"0")+IFERROR(X88/H88,"0")</f>
        <v>23.148148148148145</v>
      </c>
      <c r="Y89" s="549">
        <f>IFERROR(Y85/H85,"0")+IFERROR(Y86/H86,"0")+IFERROR(Y87/H87,"0")+IFERROR(Y88/H88,"0")</f>
        <v>24.000000000000004</v>
      </c>
      <c r="Z89" s="549">
        <f>IFERROR(IF(Z85="",0,Z85),"0")+IFERROR(IF(Z86="",0,Z86),"0")+IFERROR(IF(Z87="",0,Z87),"0")+IFERROR(IF(Z88="",0,Z88),"0")</f>
        <v>0.45552000000000004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1"/>
      <c r="P90" s="553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49">
        <f>IFERROR(SUM(X85:X88),"0")</f>
        <v>250</v>
      </c>
      <c r="Y90" s="549">
        <f>IFERROR(SUM(Y85:Y88),"0")</f>
        <v>259.20000000000005</v>
      </c>
      <c r="Z90" s="37"/>
      <c r="AA90" s="550"/>
      <c r="AB90" s="550"/>
      <c r="AC90" s="550"/>
    </row>
    <row r="91" spans="1:68" ht="14.25" customHeight="1" x14ac:dyDescent="0.25">
      <c r="A91" s="556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8">
        <v>4607091386967</v>
      </c>
      <c r="E92" s="559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47">
        <v>300</v>
      </c>
      <c r="Y92" s="548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8">
        <v>4680115884953</v>
      </c>
      <c r="E93" s="559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8">
        <v>4607091385731</v>
      </c>
      <c r="E94" s="559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83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58">
        <v>4680115880894</v>
      </c>
      <c r="E95" s="559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8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0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1"/>
      <c r="P96" s="553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49">
        <f>IFERROR(X92/H92,"0")+IFERROR(X93/H93,"0")+IFERROR(X94/H94,"0")+IFERROR(X95/H95,"0")</f>
        <v>37.037037037037038</v>
      </c>
      <c r="Y96" s="549">
        <f>IFERROR(Y92/H92,"0")+IFERROR(Y93/H93,"0")+IFERROR(Y94/H94,"0")+IFERROR(Y95/H95,"0")</f>
        <v>38</v>
      </c>
      <c r="Z96" s="549">
        <f>IFERROR(IF(Z92="",0,Z92),"0")+IFERROR(IF(Z93="",0,Z93),"0")+IFERROR(IF(Z94="",0,Z94),"0")+IFERROR(IF(Z95="",0,Z95),"0")</f>
        <v>0.72123999999999999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1"/>
      <c r="P97" s="553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49">
        <f>IFERROR(SUM(X92:X95),"0")</f>
        <v>300</v>
      </c>
      <c r="Y97" s="549">
        <f>IFERROR(SUM(Y92:Y95),"0")</f>
        <v>307.8</v>
      </c>
      <c r="Z97" s="37"/>
      <c r="AA97" s="550"/>
      <c r="AB97" s="550"/>
      <c r="AC97" s="550"/>
    </row>
    <row r="98" spans="1:68" ht="16.5" customHeight="1" x14ac:dyDescent="0.25">
      <c r="A98" s="58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customHeight="1" x14ac:dyDescent="0.25">
      <c r="A99" s="556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8">
        <v>4680115882133</v>
      </c>
      <c r="E100" s="559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47">
        <v>200</v>
      </c>
      <c r="Y100" s="548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58">
        <v>4680115887718</v>
      </c>
      <c r="E101" s="559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4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58">
        <v>4680115880269</v>
      </c>
      <c r="E102" s="559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6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8">
        <v>4680115880429</v>
      </c>
      <c r="E103" s="559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58">
        <v>4680115881457</v>
      </c>
      <c r="E104" s="559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0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1"/>
      <c r="P105" s="553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49">
        <f>IFERROR(X100/H100,"0")+IFERROR(X101/H101,"0")+IFERROR(X102/H102,"0")+IFERROR(X103/H103,"0")+IFERROR(X104/H104,"0")</f>
        <v>18.518518518518519</v>
      </c>
      <c r="Y105" s="549">
        <f>IFERROR(Y100/H100,"0")+IFERROR(Y101/H101,"0")+IFERROR(Y102/H102,"0")+IFERROR(Y103/H103,"0")+IFERROR(Y104/H104,"0")</f>
        <v>19</v>
      </c>
      <c r="Z105" s="549">
        <f>IFERROR(IF(Z100="",0,Z100),"0")+IFERROR(IF(Z101="",0,Z101),"0")+IFERROR(IF(Z102="",0,Z102),"0")+IFERROR(IF(Z103="",0,Z103),"0")+IFERROR(IF(Z104="",0,Z104),"0")</f>
        <v>0.36062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1"/>
      <c r="P106" s="553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49">
        <f>IFERROR(SUM(X100:X104),"0")</f>
        <v>200</v>
      </c>
      <c r="Y106" s="549">
        <f>IFERROR(SUM(Y100:Y104),"0")</f>
        <v>205.20000000000002</v>
      </c>
      <c r="Z106" s="37"/>
      <c r="AA106" s="550"/>
      <c r="AB106" s="550"/>
      <c r="AC106" s="550"/>
    </row>
    <row r="107" spans="1:68" ht="14.25" customHeight="1" x14ac:dyDescent="0.25">
      <c r="A107" s="556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8">
        <v>4680115881488</v>
      </c>
      <c r="E108" s="559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58">
        <v>4680115887664</v>
      </c>
      <c r="E109" s="559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58">
        <v>4680115882775</v>
      </c>
      <c r="E110" s="559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8">
        <v>4680115880658</v>
      </c>
      <c r="E111" s="559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65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0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1"/>
      <c r="P112" s="553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1"/>
      <c r="P113" s="553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56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8">
        <v>4607091385168</v>
      </c>
      <c r="E115" s="559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2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8">
        <v>4607091383256</v>
      </c>
      <c r="E116" s="559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8">
        <v>4607091385748</v>
      </c>
      <c r="E117" s="559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8">
        <v>4680115884533</v>
      </c>
      <c r="E118" s="559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0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1"/>
      <c r="P119" s="553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49">
        <f>IFERROR(X115/H115,"0")+IFERROR(X116/H116,"0")+IFERROR(X117/H117,"0")+IFERROR(X118/H118,"0")</f>
        <v>0</v>
      </c>
      <c r="Y119" s="549">
        <f>IFERROR(Y115/H115,"0")+IFERROR(Y116/H116,"0")+IFERROR(Y117/H117,"0")+IFERROR(Y118/H118,"0")</f>
        <v>0</v>
      </c>
      <c r="Z119" s="549">
        <f>IFERROR(IF(Z115="",0,Z115),"0")+IFERROR(IF(Z116="",0,Z116),"0")+IFERROR(IF(Z117="",0,Z117),"0")+IFERROR(IF(Z118="",0,Z118),"0")</f>
        <v>0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1"/>
      <c r="P120" s="553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49">
        <f>IFERROR(SUM(X115:X118),"0")</f>
        <v>0</v>
      </c>
      <c r="Y120" s="549">
        <f>IFERROR(SUM(Y115:Y118),"0")</f>
        <v>0</v>
      </c>
      <c r="Z120" s="37"/>
      <c r="AA120" s="550"/>
      <c r="AB120" s="550"/>
      <c r="AC120" s="550"/>
    </row>
    <row r="121" spans="1:68" ht="14.25" customHeight="1" x14ac:dyDescent="0.25">
      <c r="A121" s="556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8">
        <v>4680115880238</v>
      </c>
      <c r="E122" s="559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0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1"/>
      <c r="P123" s="553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1"/>
      <c r="P124" s="553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88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customHeight="1" x14ac:dyDescent="0.25">
      <c r="A126" s="556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8">
        <v>4680115882577</v>
      </c>
      <c r="E127" s="559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6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6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0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1"/>
      <c r="P129" s="553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1"/>
      <c r="P130" s="553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56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8">
        <v>4680115883444</v>
      </c>
      <c r="E132" s="559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62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0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1"/>
      <c r="P134" s="553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1"/>
      <c r="P135" s="553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56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8">
        <v>4680115882584</v>
      </c>
      <c r="E137" s="559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0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1"/>
      <c r="P139" s="553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1"/>
      <c r="P140" s="553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88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customHeight="1" x14ac:dyDescent="0.25">
      <c r="A142" s="556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8">
        <v>4680115887374</v>
      </c>
      <c r="E143" s="559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8">
        <v>4607091384604</v>
      </c>
      <c r="E144" s="559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0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1"/>
      <c r="P145" s="553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1"/>
      <c r="P146" s="553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56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805" t="s">
        <v>250</v>
      </c>
      <c r="Q148" s="565"/>
      <c r="R148" s="565"/>
      <c r="S148" s="565"/>
      <c r="T148" s="566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8">
        <v>4680115887336</v>
      </c>
      <c r="E149" s="559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2" t="s">
        <v>255</v>
      </c>
      <c r="Q149" s="565"/>
      <c r="R149" s="565"/>
      <c r="S149" s="565"/>
      <c r="T149" s="566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8">
        <v>4680115887398</v>
      </c>
      <c r="E150" s="559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874" t="s">
        <v>259</v>
      </c>
      <c r="Q150" s="565"/>
      <c r="R150" s="565"/>
      <c r="S150" s="565"/>
      <c r="T150" s="566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8">
        <v>4607091387667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57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5"/>
      <c r="R151" s="565"/>
      <c r="S151" s="565"/>
      <c r="T151" s="566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8">
        <v>4607091387636</v>
      </c>
      <c r="E152" s="559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5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8">
        <v>4607091382426</v>
      </c>
      <c r="E153" s="559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5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5"/>
      <c r="R153" s="565"/>
      <c r="S153" s="565"/>
      <c r="T153" s="566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0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1"/>
      <c r="P154" s="553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1"/>
      <c r="P155" s="553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56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8">
        <v>4680115887459</v>
      </c>
      <c r="E157" s="559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1"/>
      <c r="P158" s="553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1"/>
      <c r="P159" s="553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8" t="s">
        <v>273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48"/>
      <c r="AB160" s="48"/>
      <c r="AC160" s="48"/>
    </row>
    <row r="161" spans="1:68" ht="16.5" customHeight="1" x14ac:dyDescent="0.25">
      <c r="A161" s="588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customHeight="1" x14ac:dyDescent="0.25">
      <c r="A162" s="556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8">
        <v>4680115886223</v>
      </c>
      <c r="E163" s="559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0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1"/>
      <c r="P164" s="553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1"/>
      <c r="P165" s="553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56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8">
        <v>4680115880993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5"/>
      <c r="R167" s="565"/>
      <c r="S167" s="565"/>
      <c r="T167" s="566"/>
      <c r="U167" s="34"/>
      <c r="V167" s="34"/>
      <c r="W167" s="35" t="s">
        <v>69</v>
      </c>
      <c r="X167" s="547">
        <v>150</v>
      </c>
      <c r="Y167" s="548">
        <f t="shared" ref="Y167:Y178" si="10">IFERROR(IF(X167="",0,CEILING((X167/$H167),1)*$H167),"")</f>
        <v>151.20000000000002</v>
      </c>
      <c r="Z167" s="36">
        <f>IFERROR(IF(Y167=0,"",ROUNDUP(Y167/H167,0)*0.00902),"")</f>
        <v>0.32472000000000001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158.92857142857142</v>
      </c>
      <c r="BN167" s="64">
        <f t="shared" ref="BN167:BN178" si="12">IFERROR(Y167*I167/H167,"0")</f>
        <v>160.20000000000002</v>
      </c>
      <c r="BO167" s="64">
        <f t="shared" ref="BO167:BO178" si="13">IFERROR(1/J167*(X167/H167),"0")</f>
        <v>0.27056277056277056</v>
      </c>
      <c r="BP167" s="64">
        <f t="shared" ref="BP167:BP178" si="14">IFERROR(1/J167*(Y167/H167),"0")</f>
        <v>0.27272727272727271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8">
        <v>4680115881761</v>
      </c>
      <c r="E168" s="559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8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5"/>
      <c r="R168" s="565"/>
      <c r="S168" s="565"/>
      <c r="T168" s="566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8">
        <v>4680115881563</v>
      </c>
      <c r="E169" s="559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5"/>
      <c r="R169" s="565"/>
      <c r="S169" s="565"/>
      <c r="T169" s="566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8">
        <v>4680115887565</v>
      </c>
      <c r="E170" s="559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5"/>
      <c r="R170" s="565"/>
      <c r="S170" s="565"/>
      <c r="T170" s="566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8">
        <v>4680115880986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5"/>
      <c r="R171" s="565"/>
      <c r="S171" s="565"/>
      <c r="T171" s="566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8">
        <v>4680115887213</v>
      </c>
      <c r="E172" s="559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8">
        <v>4680115881785</v>
      </c>
      <c r="E173" s="559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5"/>
      <c r="R173" s="565"/>
      <c r="S173" s="565"/>
      <c r="T173" s="566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8">
        <v>4680115886537</v>
      </c>
      <c r="E174" s="559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5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8">
        <v>4680115887596</v>
      </c>
      <c r="E175" s="559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67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5"/>
      <c r="R175" s="565"/>
      <c r="S175" s="565"/>
      <c r="T175" s="566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8">
        <v>4680115881679</v>
      </c>
      <c r="E176" s="559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5"/>
      <c r="R176" s="565"/>
      <c r="S176" s="565"/>
      <c r="T176" s="566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8">
        <v>4680115880191</v>
      </c>
      <c r="E177" s="559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5"/>
      <c r="R177" s="565"/>
      <c r="S177" s="565"/>
      <c r="T177" s="566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8">
        <v>4680115883963</v>
      </c>
      <c r="E178" s="559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5"/>
      <c r="R178" s="565"/>
      <c r="S178" s="565"/>
      <c r="T178" s="566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0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1"/>
      <c r="P179" s="553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35.714285714285715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36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0.32472000000000001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1"/>
      <c r="P180" s="553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49">
        <f>IFERROR(SUM(X167:X178),"0")</f>
        <v>150</v>
      </c>
      <c r="Y180" s="549">
        <f>IFERROR(SUM(Y167:Y178),"0")</f>
        <v>151.20000000000002</v>
      </c>
      <c r="Z180" s="37"/>
      <c r="AA180" s="550"/>
      <c r="AB180" s="550"/>
      <c r="AC180" s="550"/>
    </row>
    <row r="181" spans="1:68" ht="14.25" customHeight="1" x14ac:dyDescent="0.25">
      <c r="A181" s="556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8">
        <v>4680115886780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5"/>
      <c r="R182" s="565"/>
      <c r="S182" s="565"/>
      <c r="T182" s="566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8">
        <v>4680115886742</v>
      </c>
      <c r="E183" s="559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5"/>
      <c r="R183" s="565"/>
      <c r="S183" s="565"/>
      <c r="T183" s="566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8">
        <v>4680115886766</v>
      </c>
      <c r="E184" s="559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1"/>
      <c r="P185" s="553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1"/>
      <c r="P186" s="553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56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8">
        <v>4680115886797</v>
      </c>
      <c r="E188" s="559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5"/>
      <c r="R188" s="565"/>
      <c r="S188" s="565"/>
      <c r="T188" s="566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1"/>
      <c r="P189" s="553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1"/>
      <c r="P190" s="553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88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customHeight="1" x14ac:dyDescent="0.25">
      <c r="A192" s="556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8">
        <v>4680115881402</v>
      </c>
      <c r="E193" s="559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5"/>
      <c r="R193" s="565"/>
      <c r="S193" s="565"/>
      <c r="T193" s="566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8">
        <v>4680115881396</v>
      </c>
      <c r="E194" s="559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5"/>
      <c r="R194" s="565"/>
      <c r="S194" s="565"/>
      <c r="T194" s="566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1"/>
      <c r="P195" s="553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1"/>
      <c r="P196" s="553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56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8">
        <v>4680115882935</v>
      </c>
      <c r="E198" s="559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5"/>
      <c r="R198" s="565"/>
      <c r="S198" s="565"/>
      <c r="T198" s="566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8">
        <v>4680115880764</v>
      </c>
      <c r="E199" s="559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5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5"/>
      <c r="R199" s="565"/>
      <c r="S199" s="565"/>
      <c r="T199" s="566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1"/>
      <c r="P200" s="553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1"/>
      <c r="P201" s="553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56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8">
        <v>4680115882683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5"/>
      <c r="R203" s="565"/>
      <c r="S203" s="565"/>
      <c r="T203" s="566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8">
        <v>4680115882690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5"/>
      <c r="R204" s="565"/>
      <c r="S204" s="565"/>
      <c r="T204" s="566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8">
        <v>4680115882669</v>
      </c>
      <c r="E205" s="559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8">
        <v>4680115882676</v>
      </c>
      <c r="E206" s="559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8">
        <v>4680115884014</v>
      </c>
      <c r="E207" s="559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8">
        <v>4680115884007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8">
        <v>4680115884038</v>
      </c>
      <c r="E209" s="559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8">
        <v>4680115884021</v>
      </c>
      <c r="E210" s="559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0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1"/>
      <c r="P211" s="553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1"/>
      <c r="P212" s="553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56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8">
        <v>4680115881594</v>
      </c>
      <c r="E214" s="559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6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5"/>
      <c r="R214" s="565"/>
      <c r="S214" s="565"/>
      <c r="T214" s="566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8">
        <v>4680115881617</v>
      </c>
      <c r="E215" s="559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85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5"/>
      <c r="R215" s="565"/>
      <c r="S215" s="565"/>
      <c r="T215" s="566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8">
        <v>4680115880573</v>
      </c>
      <c r="E216" s="559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8">
        <v>4680115882195</v>
      </c>
      <c r="E217" s="559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5"/>
      <c r="R217" s="565"/>
      <c r="S217" s="565"/>
      <c r="T217" s="566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8">
        <v>4680115882607</v>
      </c>
      <c r="E218" s="559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8">
        <v>4680115880092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8">
        <v>4680115880221</v>
      </c>
      <c r="E220" s="559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8">
        <v>4680115880504</v>
      </c>
      <c r="E221" s="559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8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5"/>
      <c r="R221" s="565"/>
      <c r="S221" s="565"/>
      <c r="T221" s="566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8">
        <v>4680115882164</v>
      </c>
      <c r="E222" s="559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6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0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1"/>
      <c r="P223" s="553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1"/>
      <c r="P224" s="553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customHeight="1" x14ac:dyDescent="0.25">
      <c r="A225" s="556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8">
        <v>4680115880818</v>
      </c>
      <c r="E226" s="559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5"/>
      <c r="R226" s="565"/>
      <c r="S226" s="565"/>
      <c r="T226" s="566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8">
        <v>4680115880801</v>
      </c>
      <c r="E227" s="559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6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5"/>
      <c r="R227" s="565"/>
      <c r="S227" s="565"/>
      <c r="T227" s="566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1"/>
      <c r="P228" s="553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1"/>
      <c r="P229" s="553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88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customHeight="1" x14ac:dyDescent="0.25">
      <c r="A231" s="556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8">
        <v>4680115884137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5"/>
      <c r="R232" s="565"/>
      <c r="S232" s="565"/>
      <c r="T232" s="566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8">
        <v>4680115884236</v>
      </c>
      <c r="E233" s="559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5"/>
      <c r="R233" s="565"/>
      <c r="S233" s="565"/>
      <c r="T233" s="566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8">
        <v>4680115884175</v>
      </c>
      <c r="E234" s="559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8">
        <v>4680115884144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8">
        <v>4680115884144</v>
      </c>
      <c r="E236" s="559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8">
        <v>4680115886551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8">
        <v>4680115887282</v>
      </c>
      <c r="E238" s="559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2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8">
        <v>4680115884205</v>
      </c>
      <c r="E239" s="559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8">
        <v>4680115884205</v>
      </c>
      <c r="E240" s="559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8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0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1"/>
      <c r="P241" s="553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1"/>
      <c r="P242" s="553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56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8">
        <v>4680115885981</v>
      </c>
      <c r="E244" s="559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5"/>
      <c r="R244" s="565"/>
      <c r="S244" s="565"/>
      <c r="T244" s="566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1"/>
      <c r="P245" s="553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1"/>
      <c r="P246" s="553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56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8">
        <v>4680115886803</v>
      </c>
      <c r="E248" s="559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5"/>
      <c r="R248" s="565"/>
      <c r="S248" s="565"/>
      <c r="T248" s="566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1"/>
      <c r="P249" s="553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1"/>
      <c r="P250" s="553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56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8">
        <v>4680115886704</v>
      </c>
      <c r="E252" s="559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5"/>
      <c r="R252" s="565"/>
      <c r="S252" s="565"/>
      <c r="T252" s="566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8">
        <v>4680115886681</v>
      </c>
      <c r="E253" s="559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2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5"/>
      <c r="R253" s="565"/>
      <c r="S253" s="565"/>
      <c r="T253" s="566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8">
        <v>4680115886735</v>
      </c>
      <c r="E254" s="559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8">
        <v>4680115886728</v>
      </c>
      <c r="E255" s="559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9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8">
        <v>4680115886711</v>
      </c>
      <c r="E256" s="559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1"/>
      <c r="P257" s="553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1"/>
      <c r="P258" s="553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88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customHeight="1" x14ac:dyDescent="0.25">
      <c r="A260" s="556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8">
        <v>4680115885837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5"/>
      <c r="R261" s="565"/>
      <c r="S261" s="565"/>
      <c r="T261" s="566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8">
        <v>4680115885851</v>
      </c>
      <c r="E262" s="559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5"/>
      <c r="R262" s="565"/>
      <c r="S262" s="565"/>
      <c r="T262" s="566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8">
        <v>4680115885806</v>
      </c>
      <c r="E263" s="559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8">
        <v>4680115885844</v>
      </c>
      <c r="E264" s="559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8">
        <v>4680115885820</v>
      </c>
      <c r="E265" s="559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8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1"/>
      <c r="P266" s="553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1"/>
      <c r="P267" s="553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88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customHeight="1" x14ac:dyDescent="0.25">
      <c r="A269" s="556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8">
        <v>4607091383423</v>
      </c>
      <c r="E270" s="559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6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5"/>
      <c r="R270" s="565"/>
      <c r="S270" s="565"/>
      <c r="T270" s="566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8">
        <v>4680115886957</v>
      </c>
      <c r="E271" s="559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5"/>
      <c r="R271" s="565"/>
      <c r="S271" s="565"/>
      <c r="T271" s="566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8">
        <v>4680115885660</v>
      </c>
      <c r="E272" s="559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5"/>
      <c r="R272" s="565"/>
      <c r="S272" s="565"/>
      <c r="T272" s="566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8">
        <v>4680115886773</v>
      </c>
      <c r="E273" s="559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7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1"/>
      <c r="P274" s="553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1"/>
      <c r="P275" s="553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88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customHeight="1" x14ac:dyDescent="0.25">
      <c r="A277" s="556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8">
        <v>4680115886186</v>
      </c>
      <c r="E278" s="559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5"/>
      <c r="R278" s="565"/>
      <c r="S278" s="565"/>
      <c r="T278" s="566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8">
        <v>4680115881228</v>
      </c>
      <c r="E279" s="559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5"/>
      <c r="R279" s="565"/>
      <c r="S279" s="565"/>
      <c r="T279" s="566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8">
        <v>4680115881211</v>
      </c>
      <c r="E280" s="559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5"/>
      <c r="R280" s="565"/>
      <c r="S280" s="565"/>
      <c r="T280" s="566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1"/>
      <c r="P281" s="553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1"/>
      <c r="P282" s="553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88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customHeight="1" x14ac:dyDescent="0.25">
      <c r="A284" s="556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8">
        <v>4680115880344</v>
      </c>
      <c r="E285" s="559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5"/>
      <c r="R285" s="565"/>
      <c r="S285" s="565"/>
      <c r="T285" s="566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8">
        <v>4680115886919</v>
      </c>
      <c r="E286" s="559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8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5"/>
      <c r="R286" s="565"/>
      <c r="S286" s="565"/>
      <c r="T286" s="566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1"/>
      <c r="P287" s="553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1"/>
      <c r="P288" s="553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56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8">
        <v>4680115884618</v>
      </c>
      <c r="E290" s="559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5"/>
      <c r="R290" s="565"/>
      <c r="S290" s="565"/>
      <c r="T290" s="566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8">
        <v>4680115887114</v>
      </c>
      <c r="E291" s="559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6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5"/>
      <c r="R291" s="565"/>
      <c r="S291" s="565"/>
      <c r="T291" s="566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1"/>
      <c r="P292" s="553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1"/>
      <c r="P293" s="553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88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customHeight="1" x14ac:dyDescent="0.25">
      <c r="A295" s="556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8">
        <v>4680115885615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5"/>
      <c r="R296" s="565"/>
      <c r="S296" s="565"/>
      <c r="T296" s="566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8">
        <v>4680115885646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60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5"/>
      <c r="R297" s="565"/>
      <c r="S297" s="565"/>
      <c r="T297" s="566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8">
        <v>4680115885554</v>
      </c>
      <c r="E298" s="559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8">
        <v>4680115885622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2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8">
        <v>4680115885608</v>
      </c>
      <c r="E300" s="559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76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0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1"/>
      <c r="P301" s="553" t="s">
        <v>75</v>
      </c>
      <c r="Q301" s="554"/>
      <c r="R301" s="554"/>
      <c r="S301" s="554"/>
      <c r="T301" s="554"/>
      <c r="U301" s="554"/>
      <c r="V301" s="555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1"/>
      <c r="P302" s="553" t="s">
        <v>75</v>
      </c>
      <c r="Q302" s="554"/>
      <c r="R302" s="554"/>
      <c r="S302" s="554"/>
      <c r="T302" s="554"/>
      <c r="U302" s="554"/>
      <c r="V302" s="555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56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8">
        <v>4607091387193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5"/>
      <c r="R304" s="565"/>
      <c r="S304" s="565"/>
      <c r="T304" s="566"/>
      <c r="U304" s="34"/>
      <c r="V304" s="34"/>
      <c r="W304" s="35" t="s">
        <v>69</v>
      </c>
      <c r="X304" s="547">
        <v>50</v>
      </c>
      <c r="Y304" s="548">
        <f t="shared" ref="Y304:Y309" si="31">IFERROR(IF(X304="",0,CEILING((X304/$H304),1)*$H304),"")</f>
        <v>50.400000000000006</v>
      </c>
      <c r="Z304" s="36">
        <f>IFERROR(IF(Y304=0,"",ROUNDUP(Y304/H304,0)*0.00902),"")</f>
        <v>0.10824</v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52.976190476190474</v>
      </c>
      <c r="BN304" s="64">
        <f t="shared" ref="BN304:BN309" si="33">IFERROR(Y304*I304/H304,"0")</f>
        <v>53.400000000000006</v>
      </c>
      <c r="BO304" s="64">
        <f t="shared" ref="BO304:BO309" si="34">IFERROR(1/J304*(X304/H304),"0")</f>
        <v>9.0187590187590191E-2</v>
      </c>
      <c r="BP304" s="64">
        <f t="shared" ref="BP304:BP309" si="35">IFERROR(1/J304*(Y304/H304),"0")</f>
        <v>9.0909090909090912E-2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8">
        <v>4607091387230</v>
      </c>
      <c r="E305" s="559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5"/>
      <c r="R305" s="565"/>
      <c r="S305" s="565"/>
      <c r="T305" s="566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8">
        <v>4607091387292</v>
      </c>
      <c r="E306" s="559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5"/>
      <c r="R306" s="565"/>
      <c r="S306" s="565"/>
      <c r="T306" s="566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8">
        <v>4607091387285</v>
      </c>
      <c r="E307" s="559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8">
        <v>4607091389845</v>
      </c>
      <c r="E308" s="559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8">
        <v>4607091383836</v>
      </c>
      <c r="E309" s="559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0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1"/>
      <c r="P310" s="553" t="s">
        <v>75</v>
      </c>
      <c r="Q310" s="554"/>
      <c r="R310" s="554"/>
      <c r="S310" s="554"/>
      <c r="T310" s="554"/>
      <c r="U310" s="554"/>
      <c r="V310" s="555"/>
      <c r="W310" s="37" t="s">
        <v>76</v>
      </c>
      <c r="X310" s="549">
        <f>IFERROR(X304/H304,"0")+IFERROR(X305/H305,"0")+IFERROR(X306/H306,"0")+IFERROR(X307/H307,"0")+IFERROR(X308/H308,"0")+IFERROR(X309/H309,"0")</f>
        <v>11.904761904761905</v>
      </c>
      <c r="Y310" s="549">
        <f>IFERROR(Y304/H304,"0")+IFERROR(Y305/H305,"0")+IFERROR(Y306/H306,"0")+IFERROR(Y307/H307,"0")+IFERROR(Y308/H308,"0")+IFERROR(Y309/H309,"0")</f>
        <v>12</v>
      </c>
      <c r="Z310" s="549">
        <f>IFERROR(IF(Z304="",0,Z304),"0")+IFERROR(IF(Z305="",0,Z305),"0")+IFERROR(IF(Z306="",0,Z306),"0")+IFERROR(IF(Z307="",0,Z307),"0")+IFERROR(IF(Z308="",0,Z308),"0")+IFERROR(IF(Z309="",0,Z309),"0")</f>
        <v>0.10824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1"/>
      <c r="P311" s="553" t="s">
        <v>75</v>
      </c>
      <c r="Q311" s="554"/>
      <c r="R311" s="554"/>
      <c r="S311" s="554"/>
      <c r="T311" s="554"/>
      <c r="U311" s="554"/>
      <c r="V311" s="555"/>
      <c r="W311" s="37" t="s">
        <v>69</v>
      </c>
      <c r="X311" s="549">
        <f>IFERROR(SUM(X304:X309),"0")</f>
        <v>50</v>
      </c>
      <c r="Y311" s="549">
        <f>IFERROR(SUM(Y304:Y309),"0")</f>
        <v>50.400000000000006</v>
      </c>
      <c r="Z311" s="37"/>
      <c r="AA311" s="550"/>
      <c r="AB311" s="550"/>
      <c r="AC311" s="550"/>
    </row>
    <row r="312" spans="1:68" ht="14.25" customHeight="1" x14ac:dyDescent="0.25">
      <c r="A312" s="556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8">
        <v>4607091387766</v>
      </c>
      <c r="E313" s="559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5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5"/>
      <c r="R313" s="565"/>
      <c r="S313" s="565"/>
      <c r="T313" s="566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8">
        <v>4607091387957</v>
      </c>
      <c r="E314" s="559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6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5"/>
      <c r="R314" s="565"/>
      <c r="S314" s="565"/>
      <c r="T314" s="566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8">
        <v>4607091387964</v>
      </c>
      <c r="E315" s="559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5"/>
      <c r="R315" s="565"/>
      <c r="S315" s="565"/>
      <c r="T315" s="566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8">
        <v>4680115884588</v>
      </c>
      <c r="E316" s="559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5"/>
      <c r="R316" s="565"/>
      <c r="S316" s="565"/>
      <c r="T316" s="566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0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1"/>
      <c r="P317" s="553" t="s">
        <v>75</v>
      </c>
      <c r="Q317" s="554"/>
      <c r="R317" s="554"/>
      <c r="S317" s="554"/>
      <c r="T317" s="554"/>
      <c r="U317" s="554"/>
      <c r="V317" s="555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1"/>
      <c r="P318" s="553" t="s">
        <v>75</v>
      </c>
      <c r="Q318" s="554"/>
      <c r="R318" s="554"/>
      <c r="S318" s="554"/>
      <c r="T318" s="554"/>
      <c r="U318" s="554"/>
      <c r="V318" s="555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56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8">
        <v>4607091380880</v>
      </c>
      <c r="E320" s="559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6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5"/>
      <c r="R320" s="565"/>
      <c r="S320" s="565"/>
      <c r="T320" s="566"/>
      <c r="U320" s="34"/>
      <c r="V320" s="34"/>
      <c r="W320" s="35" t="s">
        <v>69</v>
      </c>
      <c r="X320" s="547">
        <v>150</v>
      </c>
      <c r="Y320" s="548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8">
        <v>4607091384482</v>
      </c>
      <c r="E321" s="559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5"/>
      <c r="R321" s="565"/>
      <c r="S321" s="565"/>
      <c r="T321" s="566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8">
        <v>4607091380897</v>
      </c>
      <c r="E322" s="559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5"/>
      <c r="R322" s="565"/>
      <c r="S322" s="565"/>
      <c r="T322" s="566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0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1"/>
      <c r="P323" s="553" t="s">
        <v>75</v>
      </c>
      <c r="Q323" s="554"/>
      <c r="R323" s="554"/>
      <c r="S323" s="554"/>
      <c r="T323" s="554"/>
      <c r="U323" s="554"/>
      <c r="V323" s="555"/>
      <c r="W323" s="37" t="s">
        <v>76</v>
      </c>
      <c r="X323" s="549">
        <f>IFERROR(X320/H320,"0")+IFERROR(X321/H321,"0")+IFERROR(X322/H322,"0")</f>
        <v>17.857142857142858</v>
      </c>
      <c r="Y323" s="549">
        <f>IFERROR(Y320/H320,"0")+IFERROR(Y321/H321,"0")+IFERROR(Y322/H322,"0")</f>
        <v>18</v>
      </c>
      <c r="Z323" s="549">
        <f>IFERROR(IF(Z320="",0,Z320),"0")+IFERROR(IF(Z321="",0,Z321),"0")+IFERROR(IF(Z322="",0,Z322),"0")</f>
        <v>0.34164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1"/>
      <c r="P324" s="553" t="s">
        <v>75</v>
      </c>
      <c r="Q324" s="554"/>
      <c r="R324" s="554"/>
      <c r="S324" s="554"/>
      <c r="T324" s="554"/>
      <c r="U324" s="554"/>
      <c r="V324" s="555"/>
      <c r="W324" s="37" t="s">
        <v>69</v>
      </c>
      <c r="X324" s="549">
        <f>IFERROR(SUM(X320:X322),"0")</f>
        <v>150</v>
      </c>
      <c r="Y324" s="549">
        <f>IFERROR(SUM(Y320:Y322),"0")</f>
        <v>151.20000000000002</v>
      </c>
      <c r="Z324" s="37"/>
      <c r="AA324" s="550"/>
      <c r="AB324" s="550"/>
      <c r="AC324" s="550"/>
    </row>
    <row r="325" spans="1:68" ht="14.25" customHeight="1" x14ac:dyDescent="0.25">
      <c r="A325" s="556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8">
        <v>4607091388381</v>
      </c>
      <c r="E326" s="559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8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5"/>
      <c r="R326" s="565"/>
      <c r="S326" s="565"/>
      <c r="T326" s="566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8">
        <v>4607091388374</v>
      </c>
      <c r="E327" s="559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5"/>
      <c r="R327" s="565"/>
      <c r="S327" s="565"/>
      <c r="T327" s="566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8">
        <v>4607091383102</v>
      </c>
      <c r="E328" s="559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5"/>
      <c r="R328" s="565"/>
      <c r="S328" s="565"/>
      <c r="T328" s="566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8">
        <v>4607091388404</v>
      </c>
      <c r="E329" s="559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0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1"/>
      <c r="P330" s="553" t="s">
        <v>75</v>
      </c>
      <c r="Q330" s="554"/>
      <c r="R330" s="554"/>
      <c r="S330" s="554"/>
      <c r="T330" s="554"/>
      <c r="U330" s="554"/>
      <c r="V330" s="555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1"/>
      <c r="P331" s="553" t="s">
        <v>75</v>
      </c>
      <c r="Q331" s="554"/>
      <c r="R331" s="554"/>
      <c r="S331" s="554"/>
      <c r="T331" s="554"/>
      <c r="U331" s="554"/>
      <c r="V331" s="555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56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8">
        <v>4680115881808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5"/>
      <c r="R333" s="565"/>
      <c r="S333" s="565"/>
      <c r="T333" s="566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8">
        <v>4680115881822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5"/>
      <c r="R334" s="565"/>
      <c r="S334" s="565"/>
      <c r="T334" s="566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8">
        <v>4680115880016</v>
      </c>
      <c r="E335" s="559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5"/>
      <c r="R335" s="565"/>
      <c r="S335" s="565"/>
      <c r="T335" s="566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0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1"/>
      <c r="P336" s="553" t="s">
        <v>75</v>
      </c>
      <c r="Q336" s="554"/>
      <c r="R336" s="554"/>
      <c r="S336" s="554"/>
      <c r="T336" s="554"/>
      <c r="U336" s="554"/>
      <c r="V336" s="555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1"/>
      <c r="P337" s="553" t="s">
        <v>75</v>
      </c>
      <c r="Q337" s="554"/>
      <c r="R337" s="554"/>
      <c r="S337" s="554"/>
      <c r="T337" s="554"/>
      <c r="U337" s="554"/>
      <c r="V337" s="555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88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customHeight="1" x14ac:dyDescent="0.25">
      <c r="A339" s="556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8">
        <v>4607091387919</v>
      </c>
      <c r="E340" s="559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76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5"/>
      <c r="R340" s="565"/>
      <c r="S340" s="565"/>
      <c r="T340" s="566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8">
        <v>4680115883604</v>
      </c>
      <c r="E341" s="559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6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5"/>
      <c r="R341" s="565"/>
      <c r="S341" s="565"/>
      <c r="T341" s="566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8">
        <v>4680115883567</v>
      </c>
      <c r="E342" s="559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5"/>
      <c r="R342" s="565"/>
      <c r="S342" s="565"/>
      <c r="T342" s="566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0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1"/>
      <c r="P343" s="553" t="s">
        <v>75</v>
      </c>
      <c r="Q343" s="554"/>
      <c r="R343" s="554"/>
      <c r="S343" s="554"/>
      <c r="T343" s="554"/>
      <c r="U343" s="554"/>
      <c r="V343" s="555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1"/>
      <c r="P344" s="553" t="s">
        <v>75</v>
      </c>
      <c r="Q344" s="554"/>
      <c r="R344" s="554"/>
      <c r="S344" s="554"/>
      <c r="T344" s="554"/>
      <c r="U344" s="554"/>
      <c r="V344" s="555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8" t="s">
        <v>554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48"/>
      <c r="AB345" s="48"/>
      <c r="AC345" s="48"/>
    </row>
    <row r="346" spans="1:68" ht="16.5" customHeight="1" x14ac:dyDescent="0.25">
      <c r="A346" s="588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customHeight="1" x14ac:dyDescent="0.25">
      <c r="A347" s="556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8">
        <v>4680115884847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6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5"/>
      <c r="R348" s="565"/>
      <c r="S348" s="565"/>
      <c r="T348" s="566"/>
      <c r="U348" s="34"/>
      <c r="V348" s="34"/>
      <c r="W348" s="35" t="s">
        <v>69</v>
      </c>
      <c r="X348" s="547">
        <v>1500</v>
      </c>
      <c r="Y348" s="548">
        <f t="shared" ref="Y348:Y354" si="36">IFERROR(IF(X348="",0,CEILING((X348/$H348),1)*$H348),"")</f>
        <v>1500</v>
      </c>
      <c r="Z348" s="36">
        <f>IFERROR(IF(Y348=0,"",ROUNDUP(Y348/H348,0)*0.02175),"")</f>
        <v>2.1749999999999998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1547</v>
      </c>
      <c r="BN348" s="64">
        <f t="shared" ref="BN348:BN354" si="38">IFERROR(Y348*I348/H348,"0")</f>
        <v>1547</v>
      </c>
      <c r="BO348" s="64">
        <f t="shared" ref="BO348:BO354" si="39">IFERROR(1/J348*(X348/H348),"0")</f>
        <v>2.083333333333333</v>
      </c>
      <c r="BP348" s="64">
        <f t="shared" ref="BP348:BP354" si="40">IFERROR(1/J348*(Y348/H348),"0")</f>
        <v>2.083333333333333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8">
        <v>4680115884854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6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5"/>
      <c r="R349" s="565"/>
      <c r="S349" s="565"/>
      <c r="T349" s="566"/>
      <c r="U349" s="34"/>
      <c r="V349" s="34"/>
      <c r="W349" s="35" t="s">
        <v>69</v>
      </c>
      <c r="X349" s="547">
        <v>1000</v>
      </c>
      <c r="Y349" s="548">
        <f t="shared" si="36"/>
        <v>1005</v>
      </c>
      <c r="Z349" s="36">
        <f>IFERROR(IF(Y349=0,"",ROUNDUP(Y349/H349,0)*0.02175),"")</f>
        <v>1.4572499999999999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1031.3333333333333</v>
      </c>
      <c r="BN349" s="64">
        <f t="shared" si="38"/>
        <v>1036.49</v>
      </c>
      <c r="BO349" s="64">
        <f t="shared" si="39"/>
        <v>1.3888888888888888</v>
      </c>
      <c r="BP349" s="64">
        <f t="shared" si="40"/>
        <v>1.3958333333333333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8">
        <v>4680115884830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5"/>
      <c r="R350" s="565"/>
      <c r="S350" s="565"/>
      <c r="T350" s="566"/>
      <c r="U350" s="34"/>
      <c r="V350" s="34"/>
      <c r="W350" s="35" t="s">
        <v>69</v>
      </c>
      <c r="X350" s="547">
        <v>1500</v>
      </c>
      <c r="Y350" s="548">
        <f t="shared" si="36"/>
        <v>1500</v>
      </c>
      <c r="Z350" s="36">
        <f>IFERROR(IF(Y350=0,"",ROUNDUP(Y350/H350,0)*0.02175),"")</f>
        <v>2.1749999999999998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1547</v>
      </c>
      <c r="BN350" s="64">
        <f t="shared" si="38"/>
        <v>1547</v>
      </c>
      <c r="BO350" s="64">
        <f t="shared" si="39"/>
        <v>2.083333333333333</v>
      </c>
      <c r="BP350" s="64">
        <f t="shared" si="40"/>
        <v>2.083333333333333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8">
        <v>4680115887046</v>
      </c>
      <c r="E351" s="559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84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8">
        <v>4680115882638</v>
      </c>
      <c r="E352" s="559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5"/>
      <c r="R352" s="565"/>
      <c r="S352" s="565"/>
      <c r="T352" s="566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8">
        <v>4680115884922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7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5"/>
      <c r="R353" s="565"/>
      <c r="S353" s="565"/>
      <c r="T353" s="566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8">
        <v>4680115884861</v>
      </c>
      <c r="E354" s="559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64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1"/>
      <c r="P355" s="553" t="s">
        <v>75</v>
      </c>
      <c r="Q355" s="554"/>
      <c r="R355" s="554"/>
      <c r="S355" s="554"/>
      <c r="T355" s="554"/>
      <c r="U355" s="554"/>
      <c r="V355" s="555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266.66666666666669</v>
      </c>
      <c r="Y355" s="549">
        <f>IFERROR(Y348/H348,"0")+IFERROR(Y349/H349,"0")+IFERROR(Y350/H350,"0")+IFERROR(Y351/H351,"0")+IFERROR(Y352/H352,"0")+IFERROR(Y353/H353,"0")+IFERROR(Y354/H354,"0")</f>
        <v>267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5.8072499999999998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1"/>
      <c r="P356" s="553" t="s">
        <v>75</v>
      </c>
      <c r="Q356" s="554"/>
      <c r="R356" s="554"/>
      <c r="S356" s="554"/>
      <c r="T356" s="554"/>
      <c r="U356" s="554"/>
      <c r="V356" s="555"/>
      <c r="W356" s="37" t="s">
        <v>69</v>
      </c>
      <c r="X356" s="549">
        <f>IFERROR(SUM(X348:X354),"0")</f>
        <v>4000</v>
      </c>
      <c r="Y356" s="549">
        <f>IFERROR(SUM(Y348:Y354),"0")</f>
        <v>4005</v>
      </c>
      <c r="Z356" s="37"/>
      <c r="AA356" s="550"/>
      <c r="AB356" s="550"/>
      <c r="AC356" s="550"/>
    </row>
    <row r="357" spans="1:68" ht="14.25" customHeight="1" x14ac:dyDescent="0.25">
      <c r="A357" s="556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8">
        <v>4607091383980</v>
      </c>
      <c r="E358" s="559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7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5"/>
      <c r="R358" s="565"/>
      <c r="S358" s="565"/>
      <c r="T358" s="566"/>
      <c r="U358" s="34"/>
      <c r="V358" s="34"/>
      <c r="W358" s="35" t="s">
        <v>69</v>
      </c>
      <c r="X358" s="547">
        <v>3500</v>
      </c>
      <c r="Y358" s="548">
        <f>IFERROR(IF(X358="",0,CEILING((X358/$H358),1)*$H358),"")</f>
        <v>3510</v>
      </c>
      <c r="Z358" s="36">
        <f>IFERROR(IF(Y358=0,"",ROUNDUP(Y358/H358,0)*0.02175),"")</f>
        <v>5.0894999999999992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3609.6666666666665</v>
      </c>
      <c r="BN358" s="64">
        <f>IFERROR(Y358*I358/H358,"0")</f>
        <v>3619.9800000000005</v>
      </c>
      <c r="BO358" s="64">
        <f>IFERROR(1/J358*(X358/H358),"0")</f>
        <v>4.8611111111111107</v>
      </c>
      <c r="BP358" s="64">
        <f>IFERROR(1/J358*(Y358/H358),"0")</f>
        <v>4.875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8">
        <v>4607091384178</v>
      </c>
      <c r="E359" s="559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6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5"/>
      <c r="R359" s="565"/>
      <c r="S359" s="565"/>
      <c r="T359" s="566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1"/>
      <c r="P360" s="553" t="s">
        <v>75</v>
      </c>
      <c r="Q360" s="554"/>
      <c r="R360" s="554"/>
      <c r="S360" s="554"/>
      <c r="T360" s="554"/>
      <c r="U360" s="554"/>
      <c r="V360" s="555"/>
      <c r="W360" s="37" t="s">
        <v>76</v>
      </c>
      <c r="X360" s="549">
        <f>IFERROR(X358/H358,"0")+IFERROR(X359/H359,"0")</f>
        <v>233.33333333333334</v>
      </c>
      <c r="Y360" s="549">
        <f>IFERROR(Y358/H358,"0")+IFERROR(Y359/H359,"0")</f>
        <v>234</v>
      </c>
      <c r="Z360" s="549">
        <f>IFERROR(IF(Z358="",0,Z358),"0")+IFERROR(IF(Z359="",0,Z359),"0")</f>
        <v>5.0894999999999992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1"/>
      <c r="P361" s="553" t="s">
        <v>75</v>
      </c>
      <c r="Q361" s="554"/>
      <c r="R361" s="554"/>
      <c r="S361" s="554"/>
      <c r="T361" s="554"/>
      <c r="U361" s="554"/>
      <c r="V361" s="555"/>
      <c r="W361" s="37" t="s">
        <v>69</v>
      </c>
      <c r="X361" s="549">
        <f>IFERROR(SUM(X358:X359),"0")</f>
        <v>3500</v>
      </c>
      <c r="Y361" s="549">
        <f>IFERROR(SUM(Y358:Y359),"0")</f>
        <v>3510</v>
      </c>
      <c r="Z361" s="37"/>
      <c r="AA361" s="550"/>
      <c r="AB361" s="550"/>
      <c r="AC361" s="550"/>
    </row>
    <row r="362" spans="1:68" ht="14.25" customHeight="1" x14ac:dyDescent="0.25">
      <c r="A362" s="556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8">
        <v>4607091383928</v>
      </c>
      <c r="E363" s="559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56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5"/>
      <c r="R363" s="565"/>
      <c r="S363" s="565"/>
      <c r="T363" s="566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8">
        <v>4607091384260</v>
      </c>
      <c r="E364" s="559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6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5"/>
      <c r="R364" s="565"/>
      <c r="S364" s="565"/>
      <c r="T364" s="566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0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1"/>
      <c r="P365" s="553" t="s">
        <v>75</v>
      </c>
      <c r="Q365" s="554"/>
      <c r="R365" s="554"/>
      <c r="S365" s="554"/>
      <c r="T365" s="554"/>
      <c r="U365" s="554"/>
      <c r="V365" s="555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1"/>
      <c r="P366" s="553" t="s">
        <v>75</v>
      </c>
      <c r="Q366" s="554"/>
      <c r="R366" s="554"/>
      <c r="S366" s="554"/>
      <c r="T366" s="554"/>
      <c r="U366" s="554"/>
      <c r="V366" s="555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56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8">
        <v>4607091384673</v>
      </c>
      <c r="E368" s="559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5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5"/>
      <c r="R368" s="565"/>
      <c r="S368" s="565"/>
      <c r="T368" s="566"/>
      <c r="U368" s="34"/>
      <c r="V368" s="34"/>
      <c r="W368" s="35" t="s">
        <v>69</v>
      </c>
      <c r="X368" s="547">
        <v>300</v>
      </c>
      <c r="Y368" s="548">
        <f>IFERROR(IF(X368="",0,CEILING((X368/$H368),1)*$H368),"")</f>
        <v>306</v>
      </c>
      <c r="Z368" s="36">
        <f>IFERROR(IF(Y368=0,"",ROUNDUP(Y368/H368,0)*0.01898),"")</f>
        <v>0.64532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316.46666666666664</v>
      </c>
      <c r="BN368" s="64">
        <f>IFERROR(Y368*I368/H368,"0")</f>
        <v>322.79599999999999</v>
      </c>
      <c r="BO368" s="64">
        <f>IFERROR(1/J368*(X368/H368),"0")</f>
        <v>0.52083333333333337</v>
      </c>
      <c r="BP368" s="64">
        <f>IFERROR(1/J368*(Y368/H368),"0")</f>
        <v>0.53125</v>
      </c>
    </row>
    <row r="369" spans="1:68" x14ac:dyDescent="0.2">
      <c r="A369" s="560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1"/>
      <c r="P369" s="553" t="s">
        <v>75</v>
      </c>
      <c r="Q369" s="554"/>
      <c r="R369" s="554"/>
      <c r="S369" s="554"/>
      <c r="T369" s="554"/>
      <c r="U369" s="554"/>
      <c r="V369" s="555"/>
      <c r="W369" s="37" t="s">
        <v>76</v>
      </c>
      <c r="X369" s="549">
        <f>IFERROR(X368/H368,"0")</f>
        <v>33.333333333333336</v>
      </c>
      <c r="Y369" s="549">
        <f>IFERROR(Y368/H368,"0")</f>
        <v>34</v>
      </c>
      <c r="Z369" s="549">
        <f>IFERROR(IF(Z368="",0,Z368),"0")</f>
        <v>0.64532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1"/>
      <c r="P370" s="553" t="s">
        <v>75</v>
      </c>
      <c r="Q370" s="554"/>
      <c r="R370" s="554"/>
      <c r="S370" s="554"/>
      <c r="T370" s="554"/>
      <c r="U370" s="554"/>
      <c r="V370" s="555"/>
      <c r="W370" s="37" t="s">
        <v>69</v>
      </c>
      <c r="X370" s="549">
        <f>IFERROR(SUM(X368:X368),"0")</f>
        <v>300</v>
      </c>
      <c r="Y370" s="549">
        <f>IFERROR(SUM(Y368:Y368),"0")</f>
        <v>306</v>
      </c>
      <c r="Z370" s="37"/>
      <c r="AA370" s="550"/>
      <c r="AB370" s="550"/>
      <c r="AC370" s="550"/>
    </row>
    <row r="371" spans="1:68" ht="16.5" customHeight="1" x14ac:dyDescent="0.25">
      <c r="A371" s="588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customHeight="1" x14ac:dyDescent="0.25">
      <c r="A372" s="556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8">
        <v>4680115884885</v>
      </c>
      <c r="E373" s="559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5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5"/>
      <c r="R373" s="565"/>
      <c r="S373" s="565"/>
      <c r="T373" s="566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8">
        <v>4680115884908</v>
      </c>
      <c r="E374" s="559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5"/>
      <c r="R374" s="565"/>
      <c r="S374" s="565"/>
      <c r="T374" s="566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1"/>
      <c r="P375" s="553" t="s">
        <v>75</v>
      </c>
      <c r="Q375" s="554"/>
      <c r="R375" s="554"/>
      <c r="S375" s="554"/>
      <c r="T375" s="554"/>
      <c r="U375" s="554"/>
      <c r="V375" s="555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1"/>
      <c r="P376" s="553" t="s">
        <v>75</v>
      </c>
      <c r="Q376" s="554"/>
      <c r="R376" s="554"/>
      <c r="S376" s="554"/>
      <c r="T376" s="554"/>
      <c r="U376" s="554"/>
      <c r="V376" s="555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56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8">
        <v>4607091384802</v>
      </c>
      <c r="E378" s="559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7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5"/>
      <c r="R378" s="565"/>
      <c r="S378" s="565"/>
      <c r="T378" s="566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8">
        <v>4607091384802</v>
      </c>
      <c r="E379" s="559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84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0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1"/>
      <c r="P380" s="553" t="s">
        <v>75</v>
      </c>
      <c r="Q380" s="554"/>
      <c r="R380" s="554"/>
      <c r="S380" s="554"/>
      <c r="T380" s="554"/>
      <c r="U380" s="554"/>
      <c r="V380" s="555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1"/>
      <c r="P381" s="553" t="s">
        <v>75</v>
      </c>
      <c r="Q381" s="554"/>
      <c r="R381" s="554"/>
      <c r="S381" s="554"/>
      <c r="T381" s="554"/>
      <c r="U381" s="554"/>
      <c r="V381" s="555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56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8">
        <v>4607091384246</v>
      </c>
      <c r="E383" s="559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5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5"/>
      <c r="R383" s="565"/>
      <c r="S383" s="565"/>
      <c r="T383" s="566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5"/>
      <c r="R384" s="565"/>
      <c r="S384" s="565"/>
      <c r="T384" s="566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8">
        <v>4607091384253</v>
      </c>
      <c r="E385" s="559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0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1"/>
      <c r="P386" s="553" t="s">
        <v>75</v>
      </c>
      <c r="Q386" s="554"/>
      <c r="R386" s="554"/>
      <c r="S386" s="554"/>
      <c r="T386" s="554"/>
      <c r="U386" s="554"/>
      <c r="V386" s="555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1"/>
      <c r="P387" s="553" t="s">
        <v>75</v>
      </c>
      <c r="Q387" s="554"/>
      <c r="R387" s="554"/>
      <c r="S387" s="554"/>
      <c r="T387" s="554"/>
      <c r="U387" s="554"/>
      <c r="V387" s="555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customHeight="1" x14ac:dyDescent="0.2">
      <c r="A388" s="648" t="s">
        <v>608</v>
      </c>
      <c r="B388" s="649"/>
      <c r="C388" s="649"/>
      <c r="D388" s="649"/>
      <c r="E388" s="649"/>
      <c r="F388" s="649"/>
      <c r="G388" s="649"/>
      <c r="H388" s="649"/>
      <c r="I388" s="649"/>
      <c r="J388" s="649"/>
      <c r="K388" s="649"/>
      <c r="L388" s="649"/>
      <c r="M388" s="649"/>
      <c r="N388" s="649"/>
      <c r="O388" s="649"/>
      <c r="P388" s="649"/>
      <c r="Q388" s="649"/>
      <c r="R388" s="649"/>
      <c r="S388" s="649"/>
      <c r="T388" s="649"/>
      <c r="U388" s="649"/>
      <c r="V388" s="649"/>
      <c r="W388" s="649"/>
      <c r="X388" s="649"/>
      <c r="Y388" s="649"/>
      <c r="Z388" s="649"/>
      <c r="AA388" s="48"/>
      <c r="AB388" s="48"/>
      <c r="AC388" s="48"/>
    </row>
    <row r="389" spans="1:68" ht="16.5" customHeight="1" x14ac:dyDescent="0.25">
      <c r="A389" s="588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customHeight="1" x14ac:dyDescent="0.25">
      <c r="A390" s="556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8">
        <v>4680115886100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5"/>
      <c r="R391" s="565"/>
      <c r="S391" s="565"/>
      <c r="T391" s="566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8">
        <v>4680115886117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5"/>
      <c r="R392" s="565"/>
      <c r="S392" s="565"/>
      <c r="T392" s="566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8">
        <v>4680115886124</v>
      </c>
      <c r="E393" s="559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8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5"/>
      <c r="R393" s="565"/>
      <c r="S393" s="565"/>
      <c r="T393" s="566"/>
      <c r="U393" s="34"/>
      <c r="V393" s="34"/>
      <c r="W393" s="35" t="s">
        <v>69</v>
      </c>
      <c r="X393" s="547">
        <v>250</v>
      </c>
      <c r="Y393" s="548">
        <f t="shared" si="41"/>
        <v>253.8</v>
      </c>
      <c r="Z393" s="36">
        <f>IFERROR(IF(Y393=0,"",ROUNDUP(Y393/H393,0)*0.00902),"")</f>
        <v>0.42393999999999998</v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258.7962962962963</v>
      </c>
      <c r="BN393" s="64">
        <f t="shared" si="43"/>
        <v>262.72999999999996</v>
      </c>
      <c r="BO393" s="64">
        <f t="shared" si="44"/>
        <v>0.35072951739618402</v>
      </c>
      <c r="BP393" s="64">
        <f t="shared" si="45"/>
        <v>0.35606060606060608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8">
        <v>4680115883147</v>
      </c>
      <c r="E394" s="559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8">
        <v>4607091384338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5"/>
      <c r="R395" s="565"/>
      <c r="S395" s="565"/>
      <c r="T395" s="566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8">
        <v>4607091389524</v>
      </c>
      <c r="E396" s="559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5"/>
      <c r="R396" s="565"/>
      <c r="S396" s="565"/>
      <c r="T396" s="566"/>
      <c r="U396" s="34"/>
      <c r="V396" s="34"/>
      <c r="W396" s="35" t="s">
        <v>69</v>
      </c>
      <c r="X396" s="547">
        <v>8.3999999999999986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8.9199999999999982</v>
      </c>
      <c r="BN396" s="64">
        <f t="shared" si="43"/>
        <v>8.92</v>
      </c>
      <c r="BO396" s="64">
        <f t="shared" si="44"/>
        <v>1.7094017094017092E-2</v>
      </c>
      <c r="BP396" s="64">
        <f t="shared" si="45"/>
        <v>1.7094017094017096E-2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8">
        <v>4680115883161</v>
      </c>
      <c r="E397" s="559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8">
        <v>4607091389531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6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8">
        <v>4607091384345</v>
      </c>
      <c r="E399" s="559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1"/>
      <c r="P400" s="553" t="s">
        <v>75</v>
      </c>
      <c r="Q400" s="554"/>
      <c r="R400" s="554"/>
      <c r="S400" s="554"/>
      <c r="T400" s="554"/>
      <c r="U400" s="554"/>
      <c r="V400" s="555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50.296296296296291</v>
      </c>
      <c r="Y400" s="549">
        <f>IFERROR(Y391/H391,"0")+IFERROR(Y392/H392,"0")+IFERROR(Y393/H393,"0")+IFERROR(Y394/H394,"0")+IFERROR(Y395/H395,"0")+IFERROR(Y396/H396,"0")+IFERROR(Y397/H397,"0")+IFERROR(Y398/H398,"0")+IFERROR(Y399/H399,"0")</f>
        <v>51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0.44401999999999997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1"/>
      <c r="P401" s="553" t="s">
        <v>75</v>
      </c>
      <c r="Q401" s="554"/>
      <c r="R401" s="554"/>
      <c r="S401" s="554"/>
      <c r="T401" s="554"/>
      <c r="U401" s="554"/>
      <c r="V401" s="555"/>
      <c r="W401" s="37" t="s">
        <v>69</v>
      </c>
      <c r="X401" s="549">
        <f>IFERROR(SUM(X391:X399),"0")</f>
        <v>258.39999999999998</v>
      </c>
      <c r="Y401" s="549">
        <f>IFERROR(SUM(Y391:Y399),"0")</f>
        <v>262.2</v>
      </c>
      <c r="Z401" s="37"/>
      <c r="AA401" s="550"/>
      <c r="AB401" s="550"/>
      <c r="AC401" s="550"/>
    </row>
    <row r="402" spans="1:68" ht="14.25" customHeight="1" x14ac:dyDescent="0.25">
      <c r="A402" s="556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8">
        <v>4607091384352</v>
      </c>
      <c r="E403" s="559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5"/>
      <c r="R403" s="565"/>
      <c r="S403" s="565"/>
      <c r="T403" s="566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8">
        <v>4607091389654</v>
      </c>
      <c r="E404" s="559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5"/>
      <c r="R404" s="565"/>
      <c r="S404" s="565"/>
      <c r="T404" s="566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1"/>
      <c r="P405" s="553" t="s">
        <v>75</v>
      </c>
      <c r="Q405" s="554"/>
      <c r="R405" s="554"/>
      <c r="S405" s="554"/>
      <c r="T405" s="554"/>
      <c r="U405" s="554"/>
      <c r="V405" s="555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1"/>
      <c r="P406" s="553" t="s">
        <v>75</v>
      </c>
      <c r="Q406" s="554"/>
      <c r="R406" s="554"/>
      <c r="S406" s="554"/>
      <c r="T406" s="554"/>
      <c r="U406" s="554"/>
      <c r="V406" s="555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88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customHeight="1" x14ac:dyDescent="0.25">
      <c r="A408" s="556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8">
        <v>4680115885240</v>
      </c>
      <c r="E409" s="559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5"/>
      <c r="R409" s="565"/>
      <c r="S409" s="565"/>
      <c r="T409" s="566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0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1"/>
      <c r="P410" s="553" t="s">
        <v>75</v>
      </c>
      <c r="Q410" s="554"/>
      <c r="R410" s="554"/>
      <c r="S410" s="554"/>
      <c r="T410" s="554"/>
      <c r="U410" s="554"/>
      <c r="V410" s="555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1"/>
      <c r="P411" s="553" t="s">
        <v>75</v>
      </c>
      <c r="Q411" s="554"/>
      <c r="R411" s="554"/>
      <c r="S411" s="554"/>
      <c r="T411" s="554"/>
      <c r="U411" s="554"/>
      <c r="V411" s="555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56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8">
        <v>4680115886094</v>
      </c>
      <c r="E413" s="559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81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5"/>
      <c r="R413" s="565"/>
      <c r="S413" s="565"/>
      <c r="T413" s="566"/>
      <c r="U413" s="34"/>
      <c r="V413" s="34"/>
      <c r="W413" s="35" t="s">
        <v>69</v>
      </c>
      <c r="X413" s="547">
        <v>400</v>
      </c>
      <c r="Y413" s="548">
        <f>IFERROR(IF(X413="",0,CEILING((X413/$H413),1)*$H413),"")</f>
        <v>405</v>
      </c>
      <c r="Z413" s="36">
        <f>IFERROR(IF(Y413=0,"",ROUNDUP(Y413/H413,0)*0.00902),"")</f>
        <v>0.67649999999999999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414.07407407407402</v>
      </c>
      <c r="BN413" s="64">
        <f>IFERROR(Y413*I413/H413,"0")</f>
        <v>419.24999999999994</v>
      </c>
      <c r="BO413" s="64">
        <f>IFERROR(1/J413*(X413/H413),"0")</f>
        <v>0.5611672278338945</v>
      </c>
      <c r="BP413" s="64">
        <f>IFERROR(1/J413*(Y413/H413),"0")</f>
        <v>0.56818181818181823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8">
        <v>4607091389425</v>
      </c>
      <c r="E414" s="559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5"/>
      <c r="R414" s="565"/>
      <c r="S414" s="565"/>
      <c r="T414" s="566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8">
        <v>4680115880771</v>
      </c>
      <c r="E415" s="559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5"/>
      <c r="R415" s="565"/>
      <c r="S415" s="565"/>
      <c r="T415" s="566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8">
        <v>4607091389500</v>
      </c>
      <c r="E416" s="559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5"/>
      <c r="R416" s="565"/>
      <c r="S416" s="565"/>
      <c r="T416" s="566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1"/>
      <c r="P417" s="553" t="s">
        <v>75</v>
      </c>
      <c r="Q417" s="554"/>
      <c r="R417" s="554"/>
      <c r="S417" s="554"/>
      <c r="T417" s="554"/>
      <c r="U417" s="554"/>
      <c r="V417" s="555"/>
      <c r="W417" s="37" t="s">
        <v>76</v>
      </c>
      <c r="X417" s="549">
        <f>IFERROR(X413/H413,"0")+IFERROR(X414/H414,"0")+IFERROR(X415/H415,"0")+IFERROR(X416/H416,"0")</f>
        <v>74.074074074074076</v>
      </c>
      <c r="Y417" s="549">
        <f>IFERROR(Y413/H413,"0")+IFERROR(Y414/H414,"0")+IFERROR(Y415/H415,"0")+IFERROR(Y416/H416,"0")</f>
        <v>75</v>
      </c>
      <c r="Z417" s="549">
        <f>IFERROR(IF(Z413="",0,Z413),"0")+IFERROR(IF(Z414="",0,Z414),"0")+IFERROR(IF(Z415="",0,Z415),"0")+IFERROR(IF(Z416="",0,Z416),"0")</f>
        <v>0.67649999999999999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1"/>
      <c r="P418" s="553" t="s">
        <v>75</v>
      </c>
      <c r="Q418" s="554"/>
      <c r="R418" s="554"/>
      <c r="S418" s="554"/>
      <c r="T418" s="554"/>
      <c r="U418" s="554"/>
      <c r="V418" s="555"/>
      <c r="W418" s="37" t="s">
        <v>69</v>
      </c>
      <c r="X418" s="549">
        <f>IFERROR(SUM(X413:X416),"0")</f>
        <v>400</v>
      </c>
      <c r="Y418" s="549">
        <f>IFERROR(SUM(Y413:Y416),"0")</f>
        <v>405</v>
      </c>
      <c r="Z418" s="37"/>
      <c r="AA418" s="550"/>
      <c r="AB418" s="550"/>
      <c r="AC418" s="550"/>
    </row>
    <row r="419" spans="1:68" ht="16.5" customHeight="1" x14ac:dyDescent="0.25">
      <c r="A419" s="588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customHeight="1" x14ac:dyDescent="0.25">
      <c r="A420" s="556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8">
        <v>4680115885110</v>
      </c>
      <c r="E421" s="559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5"/>
      <c r="R421" s="565"/>
      <c r="S421" s="565"/>
      <c r="T421" s="566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0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1"/>
      <c r="P422" s="553" t="s">
        <v>75</v>
      </c>
      <c r="Q422" s="554"/>
      <c r="R422" s="554"/>
      <c r="S422" s="554"/>
      <c r="T422" s="554"/>
      <c r="U422" s="554"/>
      <c r="V422" s="555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1"/>
      <c r="P423" s="553" t="s">
        <v>75</v>
      </c>
      <c r="Q423" s="554"/>
      <c r="R423" s="554"/>
      <c r="S423" s="554"/>
      <c r="T423" s="554"/>
      <c r="U423" s="554"/>
      <c r="V423" s="555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8" t="s">
        <v>659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48"/>
      <c r="AB424" s="48"/>
      <c r="AC424" s="48"/>
    </row>
    <row r="425" spans="1:68" ht="16.5" customHeight="1" x14ac:dyDescent="0.25">
      <c r="A425" s="588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customHeight="1" x14ac:dyDescent="0.25">
      <c r="A426" s="556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8">
        <v>4607091389067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8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5"/>
      <c r="R427" s="565"/>
      <c r="S427" s="565"/>
      <c r="T427" s="566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78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65"/>
      <c r="R428" s="565"/>
      <c r="S428" s="565"/>
      <c r="T428" s="566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8">
        <v>4607091383522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8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5"/>
      <c r="R429" s="565"/>
      <c r="S429" s="565"/>
      <c r="T429" s="566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8">
        <v>4680115885271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5"/>
      <c r="R430" s="565"/>
      <c r="S430" s="565"/>
      <c r="T430" s="566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8">
        <v>4680115885226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7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5"/>
      <c r="R431" s="565"/>
      <c r="S431" s="565"/>
      <c r="T431" s="566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8">
        <v>4680115884502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5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5"/>
      <c r="R432" s="565"/>
      <c r="S432" s="565"/>
      <c r="T432" s="566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8">
        <v>4607091389104</v>
      </c>
      <c r="E433" s="559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6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47">
        <v>400</v>
      </c>
      <c r="Y433" s="548">
        <f t="shared" si="47"/>
        <v>401.28000000000003</v>
      </c>
      <c r="Z433" s="36">
        <f t="shared" si="48"/>
        <v>0.90895999999999999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426.5151515151515</v>
      </c>
      <c r="BN433" s="64">
        <f t="shared" si="50"/>
        <v>427.88</v>
      </c>
      <c r="BO433" s="64">
        <f t="shared" si="51"/>
        <v>0.72843822843822836</v>
      </c>
      <c r="BP433" s="64">
        <f t="shared" si="52"/>
        <v>0.73076923076923084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8">
        <v>4680115886391</v>
      </c>
      <c r="E434" s="559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5"/>
      <c r="R434" s="565"/>
      <c r="S434" s="565"/>
      <c r="T434" s="566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8">
        <v>4680115880603</v>
      </c>
      <c r="E435" s="559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6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8">
        <v>4680115882782</v>
      </c>
      <c r="E436" s="559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8">
        <v>4680115885479</v>
      </c>
      <c r="E437" s="559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87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5"/>
      <c r="R437" s="565"/>
      <c r="S437" s="565"/>
      <c r="T437" s="566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8">
        <v>4607091389982</v>
      </c>
      <c r="E438" s="559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1"/>
      <c r="P439" s="553" t="s">
        <v>75</v>
      </c>
      <c r="Q439" s="554"/>
      <c r="R439" s="554"/>
      <c r="S439" s="554"/>
      <c r="T439" s="554"/>
      <c r="U439" s="554"/>
      <c r="V439" s="555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1"/>
      <c r="P440" s="553" t="s">
        <v>75</v>
      </c>
      <c r="Q440" s="554"/>
      <c r="R440" s="554"/>
      <c r="S440" s="554"/>
      <c r="T440" s="554"/>
      <c r="U440" s="554"/>
      <c r="V440" s="555"/>
      <c r="W440" s="37" t="s">
        <v>69</v>
      </c>
      <c r="X440" s="549">
        <f>IFERROR(SUM(X427:X438),"0")</f>
        <v>400</v>
      </c>
      <c r="Y440" s="549">
        <f>IFERROR(SUM(Y427:Y438),"0")</f>
        <v>401.28000000000003</v>
      </c>
      <c r="Z440" s="37"/>
      <c r="AA440" s="550"/>
      <c r="AB440" s="550"/>
      <c r="AC440" s="550"/>
    </row>
    <row r="441" spans="1:68" ht="14.25" customHeight="1" x14ac:dyDescent="0.25">
      <c r="A441" s="556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8">
        <v>4607091388930</v>
      </c>
      <c r="E442" s="559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8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5"/>
      <c r="R442" s="565"/>
      <c r="S442" s="565"/>
      <c r="T442" s="566"/>
      <c r="U442" s="34"/>
      <c r="V442" s="34"/>
      <c r="W442" s="35" t="s">
        <v>69</v>
      </c>
      <c r="X442" s="547">
        <v>1000</v>
      </c>
      <c r="Y442" s="548">
        <f>IFERROR(IF(X442="",0,CEILING((X442/$H442),1)*$H442),"")</f>
        <v>1003.2</v>
      </c>
      <c r="Z442" s="36">
        <f>IFERROR(IF(Y442=0,"",ROUNDUP(Y442/H442,0)*0.01196),"")</f>
        <v>2.2724000000000002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1066.2878787878788</v>
      </c>
      <c r="BN442" s="64">
        <f>IFERROR(Y442*I442/H442,"0")</f>
        <v>1069.7</v>
      </c>
      <c r="BO442" s="64">
        <f>IFERROR(1/J442*(X442/H442),"0")</f>
        <v>1.821095571095571</v>
      </c>
      <c r="BP442" s="64">
        <f>IFERROR(1/J442*(Y442/H442),"0")</f>
        <v>1.8269230769230771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8">
        <v>4680115886407</v>
      </c>
      <c r="E443" s="559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5"/>
      <c r="R443" s="565"/>
      <c r="S443" s="565"/>
      <c r="T443" s="566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8">
        <v>4680115880054</v>
      </c>
      <c r="E444" s="559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5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5"/>
      <c r="R444" s="565"/>
      <c r="S444" s="565"/>
      <c r="T444" s="566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0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1"/>
      <c r="P445" s="553" t="s">
        <v>75</v>
      </c>
      <c r="Q445" s="554"/>
      <c r="R445" s="554"/>
      <c r="S445" s="554"/>
      <c r="T445" s="554"/>
      <c r="U445" s="554"/>
      <c r="V445" s="555"/>
      <c r="W445" s="37" t="s">
        <v>76</v>
      </c>
      <c r="X445" s="549">
        <f>IFERROR(X442/H442,"0")+IFERROR(X443/H443,"0")+IFERROR(X444/H444,"0")</f>
        <v>189.39393939393938</v>
      </c>
      <c r="Y445" s="549">
        <f>IFERROR(Y442/H442,"0")+IFERROR(Y443/H443,"0")+IFERROR(Y444/H444,"0")</f>
        <v>190</v>
      </c>
      <c r="Z445" s="549">
        <f>IFERROR(IF(Z442="",0,Z442),"0")+IFERROR(IF(Z443="",0,Z443),"0")+IFERROR(IF(Z444="",0,Z444),"0")</f>
        <v>2.2724000000000002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1"/>
      <c r="P446" s="553" t="s">
        <v>75</v>
      </c>
      <c r="Q446" s="554"/>
      <c r="R446" s="554"/>
      <c r="S446" s="554"/>
      <c r="T446" s="554"/>
      <c r="U446" s="554"/>
      <c r="V446" s="555"/>
      <c r="W446" s="37" t="s">
        <v>69</v>
      </c>
      <c r="X446" s="549">
        <f>IFERROR(SUM(X442:X444),"0")</f>
        <v>1000</v>
      </c>
      <c r="Y446" s="549">
        <f>IFERROR(SUM(Y442:Y444),"0")</f>
        <v>1003.2</v>
      </c>
      <c r="Z446" s="37"/>
      <c r="AA446" s="550"/>
      <c r="AB446" s="550"/>
      <c r="AC446" s="550"/>
    </row>
    <row r="447" spans="1:68" ht="14.25" customHeight="1" x14ac:dyDescent="0.25">
      <c r="A447" s="556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8">
        <v>4680115883116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5"/>
      <c r="R448" s="565"/>
      <c r="S448" s="565"/>
      <c r="T448" s="566"/>
      <c r="U448" s="34"/>
      <c r="V448" s="34"/>
      <c r="W448" s="35" t="s">
        <v>69</v>
      </c>
      <c r="X448" s="547">
        <v>400</v>
      </c>
      <c r="Y448" s="548">
        <f t="shared" ref="Y448:Y453" si="53">IFERROR(IF(X448="",0,CEILING((X448/$H448),1)*$H448),"")</f>
        <v>401.28000000000003</v>
      </c>
      <c r="Z448" s="36">
        <f>IFERROR(IF(Y448=0,"",ROUNDUP(Y448/H448,0)*0.01196),"")</f>
        <v>0.90895999999999999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426.5151515151515</v>
      </c>
      <c r="BN448" s="64">
        <f t="shared" ref="BN448:BN453" si="55">IFERROR(Y448*I448/H448,"0")</f>
        <v>427.88</v>
      </c>
      <c r="BO448" s="64">
        <f t="shared" ref="BO448:BO453" si="56">IFERROR(1/J448*(X448/H448),"0")</f>
        <v>0.72843822843822836</v>
      </c>
      <c r="BP448" s="64">
        <f t="shared" ref="BP448:BP453" si="57">IFERROR(1/J448*(Y448/H448),"0")</f>
        <v>0.73076923076923084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8">
        <v>4680115883093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5"/>
      <c r="R449" s="565"/>
      <c r="S449" s="565"/>
      <c r="T449" s="566"/>
      <c r="U449" s="34"/>
      <c r="V449" s="34"/>
      <c r="W449" s="35" t="s">
        <v>69</v>
      </c>
      <c r="X449" s="547">
        <v>250</v>
      </c>
      <c r="Y449" s="548">
        <f t="shared" si="53"/>
        <v>253.44</v>
      </c>
      <c r="Z449" s="36">
        <f>IFERROR(IF(Y449=0,"",ROUNDUP(Y449/H449,0)*0.01196),"")</f>
        <v>0.57408000000000003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266.57196969696969</v>
      </c>
      <c r="BN449" s="64">
        <f t="shared" si="55"/>
        <v>270.23999999999995</v>
      </c>
      <c r="BO449" s="64">
        <f t="shared" si="56"/>
        <v>0.45527389277389274</v>
      </c>
      <c r="BP449" s="64">
        <f t="shared" si="57"/>
        <v>0.46153846153846156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8">
        <v>4680115883109</v>
      </c>
      <c r="E450" s="559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8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5"/>
      <c r="R450" s="565"/>
      <c r="S450" s="565"/>
      <c r="T450" s="566"/>
      <c r="U450" s="34"/>
      <c r="V450" s="34"/>
      <c r="W450" s="35" t="s">
        <v>69</v>
      </c>
      <c r="X450" s="547">
        <v>250</v>
      </c>
      <c r="Y450" s="548">
        <f t="shared" si="53"/>
        <v>253.44</v>
      </c>
      <c r="Z450" s="36">
        <f>IFERROR(IF(Y450=0,"",ROUNDUP(Y450/H450,0)*0.01196),"")</f>
        <v>0.57408000000000003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266.57196969696969</v>
      </c>
      <c r="BN450" s="64">
        <f t="shared" si="55"/>
        <v>270.23999999999995</v>
      </c>
      <c r="BO450" s="64">
        <f t="shared" si="56"/>
        <v>0.45527389277389274</v>
      </c>
      <c r="BP450" s="64">
        <f t="shared" si="57"/>
        <v>0.46153846153846156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8">
        <v>4680115882072</v>
      </c>
      <c r="E451" s="559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8">
        <v>4680115882102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5"/>
      <c r="R452" s="565"/>
      <c r="S452" s="565"/>
      <c r="T452" s="566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8">
        <v>4680115882096</v>
      </c>
      <c r="E453" s="559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8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5"/>
      <c r="R453" s="565"/>
      <c r="S453" s="565"/>
      <c r="T453" s="566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1"/>
      <c r="P454" s="553" t="s">
        <v>75</v>
      </c>
      <c r="Q454" s="554"/>
      <c r="R454" s="554"/>
      <c r="S454" s="554"/>
      <c r="T454" s="554"/>
      <c r="U454" s="554"/>
      <c r="V454" s="555"/>
      <c r="W454" s="37" t="s">
        <v>76</v>
      </c>
      <c r="X454" s="549">
        <f>IFERROR(X448/H448,"0")+IFERROR(X449/H449,"0")+IFERROR(X450/H450,"0")+IFERROR(X451/H451,"0")+IFERROR(X452/H452,"0")+IFERROR(X453/H453,"0")</f>
        <v>170.45454545454544</v>
      </c>
      <c r="Y454" s="549">
        <f>IFERROR(Y448/H448,"0")+IFERROR(Y449/H449,"0")+IFERROR(Y450/H450,"0")+IFERROR(Y451/H451,"0")+IFERROR(Y452/H452,"0")+IFERROR(Y453/H453,"0")</f>
        <v>172</v>
      </c>
      <c r="Z454" s="549">
        <f>IFERROR(IF(Z448="",0,Z448),"0")+IFERROR(IF(Z449="",0,Z449),"0")+IFERROR(IF(Z450="",0,Z450),"0")+IFERROR(IF(Z451="",0,Z451),"0")+IFERROR(IF(Z452="",0,Z452),"0")+IFERROR(IF(Z453="",0,Z453),"0")</f>
        <v>2.0571199999999998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1"/>
      <c r="P455" s="553" t="s">
        <v>75</v>
      </c>
      <c r="Q455" s="554"/>
      <c r="R455" s="554"/>
      <c r="S455" s="554"/>
      <c r="T455" s="554"/>
      <c r="U455" s="554"/>
      <c r="V455" s="555"/>
      <c r="W455" s="37" t="s">
        <v>69</v>
      </c>
      <c r="X455" s="549">
        <f>IFERROR(SUM(X448:X453),"0")</f>
        <v>900</v>
      </c>
      <c r="Y455" s="549">
        <f>IFERROR(SUM(Y448:Y453),"0")</f>
        <v>908.16000000000008</v>
      </c>
      <c r="Z455" s="37"/>
      <c r="AA455" s="550"/>
      <c r="AB455" s="550"/>
      <c r="AC455" s="550"/>
    </row>
    <row r="456" spans="1:68" ht="14.25" customHeight="1" x14ac:dyDescent="0.25">
      <c r="A456" s="556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8">
        <v>4680115883536</v>
      </c>
      <c r="E457" s="559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85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5"/>
      <c r="R457" s="565"/>
      <c r="S457" s="565"/>
      <c r="T457" s="566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0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1"/>
      <c r="P458" s="553" t="s">
        <v>75</v>
      </c>
      <c r="Q458" s="554"/>
      <c r="R458" s="554"/>
      <c r="S458" s="554"/>
      <c r="T458" s="554"/>
      <c r="U458" s="554"/>
      <c r="V458" s="555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1"/>
      <c r="P459" s="553" t="s">
        <v>75</v>
      </c>
      <c r="Q459" s="554"/>
      <c r="R459" s="554"/>
      <c r="S459" s="554"/>
      <c r="T459" s="554"/>
      <c r="U459" s="554"/>
      <c r="V459" s="555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8" t="s">
        <v>714</v>
      </c>
      <c r="B460" s="649"/>
      <c r="C460" s="649"/>
      <c r="D460" s="649"/>
      <c r="E460" s="649"/>
      <c r="F460" s="649"/>
      <c r="G460" s="649"/>
      <c r="H460" s="649"/>
      <c r="I460" s="649"/>
      <c r="J460" s="649"/>
      <c r="K460" s="649"/>
      <c r="L460" s="649"/>
      <c r="M460" s="649"/>
      <c r="N460" s="649"/>
      <c r="O460" s="649"/>
      <c r="P460" s="649"/>
      <c r="Q460" s="649"/>
      <c r="R460" s="649"/>
      <c r="S460" s="649"/>
      <c r="T460" s="649"/>
      <c r="U460" s="649"/>
      <c r="V460" s="649"/>
      <c r="W460" s="649"/>
      <c r="X460" s="649"/>
      <c r="Y460" s="649"/>
      <c r="Z460" s="649"/>
      <c r="AA460" s="48"/>
      <c r="AB460" s="48"/>
      <c r="AC460" s="48"/>
    </row>
    <row r="461" spans="1:68" ht="16.5" customHeight="1" x14ac:dyDescent="0.25">
      <c r="A461" s="588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customHeight="1" x14ac:dyDescent="0.25">
      <c r="A462" s="556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8">
        <v>4640242181011</v>
      </c>
      <c r="E463" s="559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66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5"/>
      <c r="R463" s="565"/>
      <c r="S463" s="565"/>
      <c r="T463" s="566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8">
        <v>4640242180441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79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5"/>
      <c r="R464" s="565"/>
      <c r="S464" s="565"/>
      <c r="T464" s="566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8">
        <v>4640242180564</v>
      </c>
      <c r="E465" s="559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5"/>
      <c r="R465" s="565"/>
      <c r="S465" s="565"/>
      <c r="T465" s="566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8">
        <v>4640242181189</v>
      </c>
      <c r="E466" s="559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0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1"/>
      <c r="P467" s="553" t="s">
        <v>75</v>
      </c>
      <c r="Q467" s="554"/>
      <c r="R467" s="554"/>
      <c r="S467" s="554"/>
      <c r="T467" s="554"/>
      <c r="U467" s="554"/>
      <c r="V467" s="555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1"/>
      <c r="P468" s="553" t="s">
        <v>75</v>
      </c>
      <c r="Q468" s="554"/>
      <c r="R468" s="554"/>
      <c r="S468" s="554"/>
      <c r="T468" s="554"/>
      <c r="U468" s="554"/>
      <c r="V468" s="555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56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8">
        <v>4640242180519</v>
      </c>
      <c r="E470" s="559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5"/>
      <c r="R470" s="565"/>
      <c r="S470" s="565"/>
      <c r="T470" s="566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8">
        <v>4640242180526</v>
      </c>
      <c r="E471" s="559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5"/>
      <c r="R471" s="565"/>
      <c r="S471" s="565"/>
      <c r="T471" s="566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0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1"/>
      <c r="P472" s="553" t="s">
        <v>75</v>
      </c>
      <c r="Q472" s="554"/>
      <c r="R472" s="554"/>
      <c r="S472" s="554"/>
      <c r="T472" s="554"/>
      <c r="U472" s="554"/>
      <c r="V472" s="555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1"/>
      <c r="P473" s="553" t="s">
        <v>75</v>
      </c>
      <c r="Q473" s="554"/>
      <c r="R473" s="554"/>
      <c r="S473" s="554"/>
      <c r="T473" s="554"/>
      <c r="U473" s="554"/>
      <c r="V473" s="555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56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67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5"/>
      <c r="R475" s="565"/>
      <c r="S475" s="565"/>
      <c r="T475" s="566"/>
      <c r="U475" s="34"/>
      <c r="V475" s="34"/>
      <c r="W475" s="35" t="s">
        <v>69</v>
      </c>
      <c r="X475" s="547">
        <v>150</v>
      </c>
      <c r="Y475" s="548">
        <f>IFERROR(IF(X475="",0,CEILING((X475/$H475),1)*$H475),"")</f>
        <v>151.20000000000002</v>
      </c>
      <c r="Z475" s="36">
        <f>IFERROR(IF(Y475=0,"",ROUNDUP(Y475/H475,0)*0.00902),"")</f>
        <v>0.32472000000000001</v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158.92857142857142</v>
      </c>
      <c r="BN475" s="64">
        <f>IFERROR(Y475*I475/H475,"0")</f>
        <v>160.20000000000002</v>
      </c>
      <c r="BO475" s="64">
        <f>IFERROR(1/J475*(X475/H475),"0")</f>
        <v>0.27056277056277056</v>
      </c>
      <c r="BP475" s="64">
        <f>IFERROR(1/J475*(Y475/H475),"0")</f>
        <v>0.27272727272727271</v>
      </c>
    </row>
    <row r="476" spans="1:68" x14ac:dyDescent="0.2">
      <c r="A476" s="560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1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IFERROR(X475/H475,"0")</f>
        <v>35.714285714285715</v>
      </c>
      <c r="Y476" s="549">
        <f>IFERROR(Y475/H475,"0")</f>
        <v>36</v>
      </c>
      <c r="Z476" s="549">
        <f>IFERROR(IF(Z475="",0,Z475),"0")</f>
        <v>0.32472000000000001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1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IFERROR(SUM(X475:X475),"0")</f>
        <v>150</v>
      </c>
      <c r="Y477" s="549">
        <f>IFERROR(SUM(Y475:Y475),"0")</f>
        <v>151.20000000000002</v>
      </c>
      <c r="Z477" s="37"/>
      <c r="AA477" s="550"/>
      <c r="AB477" s="550"/>
      <c r="AC477" s="550"/>
    </row>
    <row r="478" spans="1:68" ht="14.25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7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0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1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1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56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6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6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5"/>
      <c r="R484" s="565"/>
      <c r="S484" s="565"/>
      <c r="T484" s="566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0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1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1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88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customHeight="1" x14ac:dyDescent="0.25">
      <c r="A488" s="556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4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5"/>
      <c r="R489" s="565"/>
      <c r="S489" s="565"/>
      <c r="T489" s="566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0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1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1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671"/>
      <c r="P492" s="574" t="s">
        <v>748</v>
      </c>
      <c r="Q492" s="575"/>
      <c r="R492" s="575"/>
      <c r="S492" s="575"/>
      <c r="T492" s="575"/>
      <c r="U492" s="575"/>
      <c r="V492" s="576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12330.9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12412.740000000003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671"/>
      <c r="P493" s="574" t="s">
        <v>749</v>
      </c>
      <c r="Q493" s="575"/>
      <c r="R493" s="575"/>
      <c r="S493" s="575"/>
      <c r="T493" s="575"/>
      <c r="U493" s="575"/>
      <c r="V493" s="576"/>
      <c r="W493" s="37" t="s">
        <v>69</v>
      </c>
      <c r="X493" s="549">
        <f>IFERROR(SUM(BM22:BM489),"0")</f>
        <v>12835.592438672438</v>
      </c>
      <c r="Y493" s="549">
        <f>IFERROR(SUM(BN22:BN489),"0")</f>
        <v>12921.14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671"/>
      <c r="P494" s="574" t="s">
        <v>750</v>
      </c>
      <c r="Q494" s="575"/>
      <c r="R494" s="575"/>
      <c r="S494" s="575"/>
      <c r="T494" s="575"/>
      <c r="U494" s="575"/>
      <c r="V494" s="576"/>
      <c r="W494" s="37" t="s">
        <v>751</v>
      </c>
      <c r="X494" s="38">
        <f>ROUNDUP(SUM(BO22:BO489),0)</f>
        <v>19</v>
      </c>
      <c r="Y494" s="38">
        <f>ROUNDUP(SUM(BP22:BP489),0)</f>
        <v>19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671"/>
      <c r="P495" s="574" t="s">
        <v>752</v>
      </c>
      <c r="Q495" s="575"/>
      <c r="R495" s="575"/>
      <c r="S495" s="575"/>
      <c r="T495" s="575"/>
      <c r="U495" s="575"/>
      <c r="V495" s="576"/>
      <c r="W495" s="37" t="s">
        <v>69</v>
      </c>
      <c r="X495" s="549">
        <f>GrossWeightTotal+PalletQtyTotal*25</f>
        <v>13310.592438672438</v>
      </c>
      <c r="Y495" s="549">
        <f>GrossWeightTotalR+PalletQtyTotalR*25</f>
        <v>13396.14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671"/>
      <c r="P496" s="574" t="s">
        <v>753</v>
      </c>
      <c r="Q496" s="575"/>
      <c r="R496" s="575"/>
      <c r="S496" s="575"/>
      <c r="T496" s="575"/>
      <c r="U496" s="575"/>
      <c r="V496" s="576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1305.9817219817223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1316</v>
      </c>
      <c r="Z496" s="37"/>
      <c r="AA496" s="550"/>
      <c r="AB496" s="550"/>
      <c r="AC496" s="550"/>
    </row>
    <row r="497" spans="1:32" ht="14.25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671"/>
      <c r="P497" s="574" t="s">
        <v>754</v>
      </c>
      <c r="Q497" s="575"/>
      <c r="R497" s="575"/>
      <c r="S497" s="575"/>
      <c r="T497" s="575"/>
      <c r="U497" s="575"/>
      <c r="V497" s="576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21.133289999999999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51" t="s">
        <v>99</v>
      </c>
      <c r="D499" s="584"/>
      <c r="E499" s="584"/>
      <c r="F499" s="584"/>
      <c r="G499" s="584"/>
      <c r="H499" s="585"/>
      <c r="I499" s="551" t="s">
        <v>273</v>
      </c>
      <c r="J499" s="584"/>
      <c r="K499" s="584"/>
      <c r="L499" s="584"/>
      <c r="M499" s="584"/>
      <c r="N499" s="584"/>
      <c r="O499" s="584"/>
      <c r="P499" s="584"/>
      <c r="Q499" s="584"/>
      <c r="R499" s="585"/>
      <c r="S499" s="551" t="s">
        <v>554</v>
      </c>
      <c r="T499" s="585"/>
      <c r="U499" s="551" t="s">
        <v>608</v>
      </c>
      <c r="V499" s="584"/>
      <c r="W499" s="585"/>
      <c r="X499" s="544" t="s">
        <v>659</v>
      </c>
      <c r="Y499" s="551" t="s">
        <v>714</v>
      </c>
      <c r="Z499" s="585"/>
      <c r="AB499" s="52"/>
      <c r="AC499" s="52"/>
      <c r="AF499" s="545"/>
    </row>
    <row r="500" spans="1:32" ht="14.25" customHeight="1" thickTop="1" x14ac:dyDescent="0.2">
      <c r="A500" s="562" t="s">
        <v>757</v>
      </c>
      <c r="B500" s="551" t="s">
        <v>63</v>
      </c>
      <c r="C500" s="551" t="s">
        <v>100</v>
      </c>
      <c r="D500" s="551" t="s">
        <v>118</v>
      </c>
      <c r="E500" s="551" t="s">
        <v>169</v>
      </c>
      <c r="F500" s="551" t="s">
        <v>193</v>
      </c>
      <c r="G500" s="551" t="s">
        <v>230</v>
      </c>
      <c r="H500" s="551" t="s">
        <v>99</v>
      </c>
      <c r="I500" s="551" t="s">
        <v>274</v>
      </c>
      <c r="J500" s="551" t="s">
        <v>324</v>
      </c>
      <c r="K500" s="551" t="s">
        <v>383</v>
      </c>
      <c r="L500" s="551" t="s">
        <v>423</v>
      </c>
      <c r="M500" s="551" t="s">
        <v>439</v>
      </c>
      <c r="N500" s="545"/>
      <c r="O500" s="551" t="s">
        <v>450</v>
      </c>
      <c r="P500" s="551" t="s">
        <v>459</v>
      </c>
      <c r="Q500" s="551" t="s">
        <v>472</v>
      </c>
      <c r="R500" s="551" t="s">
        <v>544</v>
      </c>
      <c r="S500" s="551" t="s">
        <v>555</v>
      </c>
      <c r="T500" s="551" t="s">
        <v>590</v>
      </c>
      <c r="U500" s="551" t="s">
        <v>609</v>
      </c>
      <c r="V500" s="551" t="s">
        <v>640</v>
      </c>
      <c r="W500" s="551" t="s">
        <v>655</v>
      </c>
      <c r="X500" s="551" t="s">
        <v>659</v>
      </c>
      <c r="Y500" s="551" t="s">
        <v>714</v>
      </c>
      <c r="Z500" s="551" t="s">
        <v>744</v>
      </c>
      <c r="AB500" s="52"/>
      <c r="AC500" s="52"/>
      <c r="AF500" s="545"/>
    </row>
    <row r="501" spans="1:32" ht="13.5" customHeight="1" thickBot="1" x14ac:dyDescent="0.25">
      <c r="A501" s="563"/>
      <c r="B501" s="552"/>
      <c r="C501" s="552"/>
      <c r="D501" s="552"/>
      <c r="E501" s="552"/>
      <c r="F501" s="552"/>
      <c r="G501" s="552"/>
      <c r="H501" s="552"/>
      <c r="I501" s="552"/>
      <c r="J501" s="552"/>
      <c r="K501" s="552"/>
      <c r="L501" s="552"/>
      <c r="M501" s="552"/>
      <c r="N501" s="545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54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281.70000000000005</v>
      </c>
      <c r="E502" s="46">
        <f>IFERROR(Y85*1,"0")+IFERROR(Y86*1,"0")+IFERROR(Y87*1,"0")+IFERROR(Y88*1,"0")+IFERROR(Y92*1,"0")+IFERROR(Y93*1,"0")+IFERROR(Y94*1,"0")+IFERROR(Y95*1,"0")</f>
        <v>567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205.20000000000002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151.20000000000002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201.60000000000002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7821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262.2</v>
      </c>
      <c r="V502" s="46">
        <f>IFERROR(Y409*1,"0")+IFERROR(Y413*1,"0")+IFERROR(Y414*1,"0")+IFERROR(Y415*1,"0")+IFERROR(Y416*1,"0")</f>
        <v>405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2312.64</v>
      </c>
      <c r="Y502" s="46">
        <f>IFERROR(Y463*1,"0")+IFERROR(Y464*1,"0")+IFERROR(Y465*1,"0")+IFERROR(Y466*1,"0")+IFERROR(Y470*1,"0")+IFERROR(Y471*1,"0")+IFERROR(Y475*1,"0")+IFERROR(Y479*1,"0")+IFERROR(Y483*1,"0")+IFERROR(Y484*1,"0")</f>
        <v>151.20000000000002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2025-12-19T06:51:08Z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