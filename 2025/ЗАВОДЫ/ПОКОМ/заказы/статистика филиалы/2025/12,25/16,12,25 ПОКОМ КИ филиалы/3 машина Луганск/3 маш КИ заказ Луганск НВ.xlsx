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04E4ECDB-DF44-4928-882E-32E211D3879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Y152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P22" i="1"/>
  <c r="H10" i="1"/>
  <c r="A9" i="1"/>
  <c r="F10" i="1" s="1"/>
  <c r="D7" i="1"/>
  <c r="Q6" i="1"/>
  <c r="P2" i="1"/>
  <c r="Z44" i="1" l="1"/>
  <c r="Z106" i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Z315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Z334" i="1"/>
  <c r="BP332" i="1"/>
  <c r="BN332" i="1"/>
  <c r="Z332" i="1"/>
  <c r="Y334" i="1"/>
  <c r="D501" i="1"/>
  <c r="F9" i="1"/>
  <c r="J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BN42" i="1"/>
  <c r="Y45" i="1"/>
  <c r="Y58" i="1"/>
  <c r="Z53" i="1"/>
  <c r="Z58" i="1" s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Z113" i="1" s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Z130" i="1" s="1"/>
  <c r="Y131" i="1"/>
  <c r="Y136" i="1"/>
  <c r="BP133" i="1"/>
  <c r="BN133" i="1"/>
  <c r="Z133" i="1"/>
  <c r="Z135" i="1" s="1"/>
  <c r="Y140" i="1"/>
  <c r="Y146" i="1"/>
  <c r="Z152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Z209" i="1" s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9" i="1" s="1"/>
  <c r="BP235" i="1"/>
  <c r="BN235" i="1"/>
  <c r="Z235" i="1"/>
  <c r="Y239" i="1"/>
  <c r="BP251" i="1"/>
  <c r="BN251" i="1"/>
  <c r="Z251" i="1"/>
  <c r="Z255" i="1" s="1"/>
  <c r="Y255" i="1"/>
  <c r="Z264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Z465" i="1" s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Z484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BP271" i="1"/>
  <c r="BN271" i="1"/>
  <c r="Z271" i="1"/>
  <c r="Z272" i="1" s="1"/>
  <c r="O501" i="1"/>
  <c r="Y279" i="1"/>
  <c r="BP276" i="1"/>
  <c r="BN276" i="1"/>
  <c r="Z276" i="1"/>
  <c r="Z279" i="1" s="1"/>
  <c r="BP289" i="1"/>
  <c r="BN289" i="1"/>
  <c r="Z289" i="1"/>
  <c r="Z290" i="1" s="1"/>
  <c r="Y291" i="1"/>
  <c r="Q501" i="1"/>
  <c r="Y299" i="1"/>
  <c r="BP294" i="1"/>
  <c r="BN294" i="1"/>
  <c r="Z294" i="1"/>
  <c r="Z299" i="1" s="1"/>
  <c r="BP298" i="1"/>
  <c r="BN298" i="1"/>
  <c r="Z298" i="1"/>
  <c r="Y300" i="1"/>
  <c r="Y309" i="1"/>
  <c r="BP302" i="1"/>
  <c r="BN302" i="1"/>
  <c r="Z302" i="1"/>
  <c r="Z308" i="1" s="1"/>
  <c r="BP306" i="1"/>
  <c r="BN306" i="1"/>
  <c r="Z306" i="1"/>
  <c r="Y315" i="1"/>
  <c r="BP314" i="1"/>
  <c r="BN314" i="1"/>
  <c r="Z314" i="1"/>
  <c r="Y321" i="1"/>
  <c r="BP318" i="1"/>
  <c r="BN318" i="1"/>
  <c r="Z318" i="1"/>
  <c r="Z321" i="1" s="1"/>
  <c r="BP326" i="1"/>
  <c r="BN326" i="1"/>
  <c r="Z326" i="1"/>
  <c r="Y335" i="1"/>
  <c r="Z341" i="1"/>
  <c r="BP339" i="1"/>
  <c r="BN339" i="1"/>
  <c r="Z339" i="1"/>
  <c r="BP349" i="1"/>
  <c r="BN349" i="1"/>
  <c r="Z349" i="1"/>
  <c r="Z353" i="1" s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Z384" i="1" s="1"/>
  <c r="Y399" i="1"/>
  <c r="BP392" i="1"/>
  <c r="BN392" i="1"/>
  <c r="Z392" i="1"/>
  <c r="Z398" i="1" s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Z437" i="1" s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Y485" i="1"/>
  <c r="Z501" i="1"/>
  <c r="Y489" i="1"/>
  <c r="BP488" i="1"/>
  <c r="BN488" i="1"/>
  <c r="Z488" i="1"/>
  <c r="Z489" i="1" s="1"/>
  <c r="Y490" i="1"/>
  <c r="W501" i="1"/>
  <c r="Y438" i="1"/>
  <c r="Z221" i="1" l="1"/>
  <c r="Y492" i="1"/>
  <c r="Z328" i="1"/>
  <c r="Z177" i="1"/>
  <c r="Y495" i="1"/>
  <c r="Z415" i="1"/>
  <c r="Y491" i="1"/>
  <c r="Y493" i="1"/>
  <c r="Z97" i="1"/>
  <c r="Z90" i="1"/>
  <c r="Z77" i="1"/>
  <c r="Z64" i="1"/>
  <c r="Z496" i="1" s="1"/>
  <c r="Y494" i="1" l="1"/>
</calcChain>
</file>

<file path=xl/sharedStrings.xml><?xml version="1.0" encoding="utf-8"?>
<sst xmlns="http://schemas.openxmlformats.org/spreadsheetml/2006/main" count="2271" uniqueCount="775">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</sst>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8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46004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Суббота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0.41666666666666669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387</v>
      </c>
      <c r="Y41" s="546">
        <f>IFERROR(IF(X41="",0,CEILING((X41/$H41),1)*$H41),"")</f>
        <v>388.8</v>
      </c>
      <c r="Z41" s="36">
        <f>IFERROR(IF(Y41=0,"",ROUNDUP(Y41/H41,0)*0.01898),"")</f>
        <v>0.68328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401.69166666666666</v>
      </c>
      <c r="BN41" s="64">
        <f>IFERROR(Y41*I41/H41,"0")</f>
        <v>403.56</v>
      </c>
      <c r="BO41" s="64">
        <f>IFERROR(1/J41*(X41/H41),"0")</f>
        <v>0.55989583333333326</v>
      </c>
      <c r="BP41" s="64">
        <f>IFERROR(1/J41*(Y41/H41),"0")</f>
        <v>0.5625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98</v>
      </c>
      <c r="Y43" s="546">
        <f>IFERROR(IF(X43="",0,CEILING((X43/$H43),1)*$H43),"")</f>
        <v>99.9</v>
      </c>
      <c r="Z43" s="36">
        <f>IFERROR(IF(Y43=0,"",ROUNDUP(Y43/H43,0)*0.00902),"")</f>
        <v>0.24354000000000001</v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103.03243243243243</v>
      </c>
      <c r="BN43" s="64">
        <f>IFERROR(Y43*I43/H43,"0")</f>
        <v>105.03</v>
      </c>
      <c r="BO43" s="64">
        <f>IFERROR(1/J43*(X43/H43),"0")</f>
        <v>0.20065520065520065</v>
      </c>
      <c r="BP43" s="64">
        <f>IFERROR(1/J43*(Y43/H43),"0")</f>
        <v>0.20454545454545456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62.319819819819813</v>
      </c>
      <c r="Y44" s="547">
        <f>IFERROR(Y41/H41,"0")+IFERROR(Y42/H42,"0")+IFERROR(Y43/H43,"0")</f>
        <v>63</v>
      </c>
      <c r="Z44" s="547">
        <f>IFERROR(IF(Z41="",0,Z41),"0")+IFERROR(IF(Z42="",0,Z42),"0")+IFERROR(IF(Z43="",0,Z43),"0")</f>
        <v>0.92681999999999998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485</v>
      </c>
      <c r="Y45" s="547">
        <f>IFERROR(SUM(Y41:Y43),"0")</f>
        <v>488.70000000000005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139</v>
      </c>
      <c r="Y52" s="546">
        <f t="shared" ref="Y52:Y57" si="0">IFERROR(IF(X52="",0,CEILING((X52/$H52),1)*$H52),"")</f>
        <v>145.6</v>
      </c>
      <c r="Z52" s="36">
        <f>IFERROR(IF(Y52=0,"",ROUNDUP(Y52/H52,0)*0.01898),"")</f>
        <v>0.24674000000000001</v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144.08839285714285</v>
      </c>
      <c r="BN52" s="64">
        <f t="shared" ref="BN52:BN57" si="2">IFERROR(Y52*I52/H52,"0")</f>
        <v>150.93</v>
      </c>
      <c r="BO52" s="64">
        <f t="shared" ref="BO52:BO57" si="3">IFERROR(1/J52*(X52/H52),"0")</f>
        <v>0.19391741071428573</v>
      </c>
      <c r="BP52" s="64">
        <f t="shared" ref="BP52:BP57" si="4">IFERROR(1/J52*(Y52/H52),"0")</f>
        <v>0.203125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123</v>
      </c>
      <c r="Y53" s="546">
        <f t="shared" si="0"/>
        <v>129.60000000000002</v>
      </c>
      <c r="Z53" s="36">
        <f>IFERROR(IF(Y53=0,"",ROUNDUP(Y53/H53,0)*0.01898),"")</f>
        <v>0.22776000000000002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127.66944444444445</v>
      </c>
      <c r="BN53" s="64">
        <f t="shared" si="2"/>
        <v>134.52000000000001</v>
      </c>
      <c r="BO53" s="64">
        <f t="shared" si="3"/>
        <v>0.17795138888888887</v>
      </c>
      <c r="BP53" s="64">
        <f t="shared" si="4"/>
        <v>0.18750000000000003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166</v>
      </c>
      <c r="Y55" s="546">
        <f t="shared" si="0"/>
        <v>168</v>
      </c>
      <c r="Z55" s="36">
        <f>IFERROR(IF(Y55=0,"",ROUNDUP(Y55/H55,0)*0.00902),"")</f>
        <v>0.37884000000000001</v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173.88500000000002</v>
      </c>
      <c r="BN55" s="64">
        <f t="shared" si="2"/>
        <v>175.98000000000002</v>
      </c>
      <c r="BO55" s="64">
        <f t="shared" si="3"/>
        <v>0.31439393939393939</v>
      </c>
      <c r="BP55" s="64">
        <f t="shared" si="4"/>
        <v>0.31818181818181818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65.299603174603178</v>
      </c>
      <c r="Y58" s="547">
        <f>IFERROR(Y52/H52,"0")+IFERROR(Y53/H53,"0")+IFERROR(Y54/H54,"0")+IFERROR(Y55/H55,"0")+IFERROR(Y56/H56,"0")+IFERROR(Y57/H57,"0")</f>
        <v>67</v>
      </c>
      <c r="Z58" s="547">
        <f>IFERROR(IF(Z52="",0,Z52),"0")+IFERROR(IF(Z53="",0,Z53),"0")+IFERROR(IF(Z54="",0,Z54),"0")+IFERROR(IF(Z55="",0,Z55),"0")+IFERROR(IF(Z56="",0,Z56),"0")+IFERROR(IF(Z57="",0,Z57),"0")</f>
        <v>0.85333999999999999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428</v>
      </c>
      <c r="Y59" s="547">
        <f>IFERROR(SUM(Y52:Y57),"0")</f>
        <v>443.20000000000005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347</v>
      </c>
      <c r="Y61" s="546">
        <f>IFERROR(IF(X61="",0,CEILING((X61/$H61),1)*$H61),"")</f>
        <v>356.40000000000003</v>
      </c>
      <c r="Z61" s="36">
        <f>IFERROR(IF(Y61=0,"",ROUNDUP(Y61/H61,0)*0.01898),"")</f>
        <v>0.62634000000000001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360.17314814814813</v>
      </c>
      <c r="BN61" s="64">
        <f>IFERROR(Y61*I61/H61,"0")</f>
        <v>369.93</v>
      </c>
      <c r="BO61" s="64">
        <f>IFERROR(1/J61*(X61/H61),"0")</f>
        <v>0.50202546296296291</v>
      </c>
      <c r="BP61" s="64">
        <f>IFERROR(1/J61*(Y61/H61),"0")</f>
        <v>0.515625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32.129629629629626</v>
      </c>
      <c r="Y64" s="547">
        <f>IFERROR(Y61/H61,"0")+IFERROR(Y62/H62,"0")+IFERROR(Y63/H63,"0")</f>
        <v>33</v>
      </c>
      <c r="Z64" s="547">
        <f>IFERROR(IF(Z61="",0,Z61),"0")+IFERROR(IF(Z62="",0,Z62),"0")+IFERROR(IF(Z63="",0,Z63),"0")</f>
        <v>0.62634000000000001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347</v>
      </c>
      <c r="Y65" s="547">
        <f>IFERROR(SUM(Y61:Y63),"0")</f>
        <v>356.40000000000003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140</v>
      </c>
      <c r="Y80" s="546">
        <f>IFERROR(IF(X80="",0,CEILING((X80/$H80),1)*$H80),"")</f>
        <v>140.4</v>
      </c>
      <c r="Z80" s="36">
        <f>IFERROR(IF(Y80=0,"",ROUNDUP(Y80/H80,0)*0.01898),"")</f>
        <v>0.34164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147.35897435897436</v>
      </c>
      <c r="BN80" s="64">
        <f>IFERROR(Y80*I80/H80,"0")</f>
        <v>147.78000000000003</v>
      </c>
      <c r="BO80" s="64">
        <f>IFERROR(1/J80*(X80/H80),"0")</f>
        <v>0.28044871794871795</v>
      </c>
      <c r="BP80" s="64">
        <f>IFERROR(1/J80*(Y80/H80),"0")</f>
        <v>0.28125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3</v>
      </c>
      <c r="Y81" s="546">
        <f>IFERROR(IF(X81="",0,CEILING((X81/$H81),1)*$H81),"")</f>
        <v>4.8</v>
      </c>
      <c r="Z81" s="36">
        <f>IFERROR(IF(Y81=0,"",ROUNDUP(Y81/H81,0)*0.00902),"")</f>
        <v>1.804E-2</v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3.2374999999999998</v>
      </c>
      <c r="BN81" s="64">
        <f>IFERROR(Y81*I81/H81,"0")</f>
        <v>5.18</v>
      </c>
      <c r="BO81" s="64">
        <f>IFERROR(1/J81*(X81/H81),"0")</f>
        <v>9.46969696969697E-3</v>
      </c>
      <c r="BP81" s="64">
        <f>IFERROR(1/J81*(Y81/H81),"0")</f>
        <v>1.5151515151515152E-2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19.198717948717949</v>
      </c>
      <c r="Y82" s="547">
        <f>IFERROR(Y80/H80,"0")+IFERROR(Y81/H81,"0")</f>
        <v>20</v>
      </c>
      <c r="Z82" s="547">
        <f>IFERROR(IF(Z80="",0,Z80),"0")+IFERROR(IF(Z81="",0,Z81),"0")</f>
        <v>0.35968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143</v>
      </c>
      <c r="Y83" s="547">
        <f>IFERROR(SUM(Y80:Y81),"0")</f>
        <v>145.20000000000002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376</v>
      </c>
      <c r="Y86" s="546">
        <f>IFERROR(IF(X86="",0,CEILING((X86/$H86),1)*$H86),"")</f>
        <v>378</v>
      </c>
      <c r="Z86" s="36">
        <f>IFERROR(IF(Y86=0,"",ROUNDUP(Y86/H86,0)*0.01898),"")</f>
        <v>0.6643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390.27407407407406</v>
      </c>
      <c r="BN86" s="64">
        <f>IFERROR(Y86*I86/H86,"0")</f>
        <v>392.34999999999997</v>
      </c>
      <c r="BO86" s="64">
        <f>IFERROR(1/J86*(X86/H86),"0")</f>
        <v>0.5439814814814814</v>
      </c>
      <c r="BP86" s="64">
        <f>IFERROR(1/J86*(Y86/H86),"0")</f>
        <v>0.546875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35</v>
      </c>
      <c r="Y89" s="546">
        <f>IFERROR(IF(X89="",0,CEILING((X89/$H89),1)*$H89),"")</f>
        <v>36</v>
      </c>
      <c r="Z89" s="36">
        <f>IFERROR(IF(Y89=0,"",ROUNDUP(Y89/H89,0)*0.00902),"")</f>
        <v>7.2160000000000002E-2</v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36.477777777777781</v>
      </c>
      <c r="BN89" s="64">
        <f>IFERROR(Y89*I89/H89,"0")</f>
        <v>37.520000000000003</v>
      </c>
      <c r="BO89" s="64">
        <f>IFERROR(1/J89*(X89/H89),"0")</f>
        <v>5.8922558922558925E-2</v>
      </c>
      <c r="BP89" s="64">
        <f>IFERROR(1/J89*(Y89/H89),"0")</f>
        <v>6.0606060606060608E-2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42.592592592592588</v>
      </c>
      <c r="Y90" s="547">
        <f>IFERROR(Y86/H86,"0")+IFERROR(Y87/H87,"0")+IFERROR(Y88/H88,"0")+IFERROR(Y89/H89,"0")</f>
        <v>43</v>
      </c>
      <c r="Z90" s="547">
        <f>IFERROR(IF(Z86="",0,Z86),"0")+IFERROR(IF(Z87="",0,Z87),"0")+IFERROR(IF(Z88="",0,Z88),"0")+IFERROR(IF(Z89="",0,Z89),"0")</f>
        <v>0.73646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411</v>
      </c>
      <c r="Y91" s="547">
        <f>IFERROR(SUM(Y86:Y89),"0")</f>
        <v>414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37</v>
      </c>
      <c r="Y93" s="546">
        <f>IFERROR(IF(X93="",0,CEILING((X93/$H93),1)*$H93),"")</f>
        <v>40.5</v>
      </c>
      <c r="Z93" s="36">
        <f>IFERROR(IF(Y93=0,"",ROUNDUP(Y93/H93,0)*0.01898),"")</f>
        <v>9.4899999999999998E-2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39.25654320987654</v>
      </c>
      <c r="BN93" s="64">
        <f>IFERROR(Y93*I93/H93,"0")</f>
        <v>42.97</v>
      </c>
      <c r="BO93" s="64">
        <f>IFERROR(1/J93*(X93/H93),"0")</f>
        <v>7.1373456790123455E-2</v>
      </c>
      <c r="BP93" s="64">
        <f>IFERROR(1/J93*(Y93/H93),"0")</f>
        <v>7.8125E-2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234</v>
      </c>
      <c r="Y95" s="546">
        <f>IFERROR(IF(X95="",0,CEILING((X95/$H95),1)*$H95),"")</f>
        <v>234.9</v>
      </c>
      <c r="Z95" s="36">
        <f>IFERROR(IF(Y95=0,"",ROUNDUP(Y95/H95,0)*0.00651),"")</f>
        <v>0.56637000000000004</v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255.84</v>
      </c>
      <c r="BN95" s="64">
        <f>IFERROR(Y95*I95/H95,"0")</f>
        <v>256.82400000000001</v>
      </c>
      <c r="BO95" s="64">
        <f>IFERROR(1/J95*(X95/H95),"0")</f>
        <v>0.47619047619047616</v>
      </c>
      <c r="BP95" s="64">
        <f>IFERROR(1/J95*(Y95/H95),"0")</f>
        <v>0.47802197802197804</v>
      </c>
    </row>
    <row r="96" spans="1:68" ht="16.5" customHeight="1" x14ac:dyDescent="0.25">
      <c r="A96" s="54" t="s">
        <v>194</v>
      </c>
      <c r="B96" s="54" t="s">
        <v>195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91.234567901234556</v>
      </c>
      <c r="Y97" s="547">
        <f>IFERROR(Y93/H93,"0")+IFERROR(Y94/H94,"0")+IFERROR(Y95/H95,"0")+IFERROR(Y96/H96,"0")</f>
        <v>92</v>
      </c>
      <c r="Z97" s="547">
        <f>IFERROR(IF(Z93="",0,Z93),"0")+IFERROR(IF(Z94="",0,Z94),"0")+IFERROR(IF(Z95="",0,Z95),"0")+IFERROR(IF(Z96="",0,Z96),"0")</f>
        <v>0.66127000000000002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271</v>
      </c>
      <c r="Y98" s="547">
        <f>IFERROR(SUM(Y93:Y96),"0")</f>
        <v>275.39999999999998</v>
      </c>
      <c r="Z98" s="37"/>
      <c r="AA98" s="548"/>
      <c r="AB98" s="548"/>
      <c r="AC98" s="548"/>
    </row>
    <row r="99" spans="1:68" ht="16.5" customHeight="1" x14ac:dyDescent="0.25">
      <c r="A99" s="591" t="s">
        <v>197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326</v>
      </c>
      <c r="Y101" s="546">
        <f>IFERROR(IF(X101="",0,CEILING((X101/$H101),1)*$H101),"")</f>
        <v>334.8</v>
      </c>
      <c r="Z101" s="36">
        <f>IFERROR(IF(Y101=0,"",ROUNDUP(Y101/H101,0)*0.01898),"")</f>
        <v>0.58838000000000001</v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338.37592592592597</v>
      </c>
      <c r="BN101" s="64">
        <f>IFERROR(Y101*I101/H101,"0")</f>
        <v>347.51000000000005</v>
      </c>
      <c r="BO101" s="64">
        <f>IFERROR(1/J101*(X101/H101),"0")</f>
        <v>0.47164351851851849</v>
      </c>
      <c r="BP101" s="64">
        <f>IFERROR(1/J101*(Y101/H101),"0")</f>
        <v>0.484375</v>
      </c>
    </row>
    <row r="102" spans="1:68" ht="27" customHeight="1" x14ac:dyDescent="0.25">
      <c r="A102" s="54" t="s">
        <v>201</v>
      </c>
      <c r="B102" s="54" t="s">
        <v>202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203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205</v>
      </c>
      <c r="B103" s="54" t="s">
        <v>206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230</v>
      </c>
      <c r="Y104" s="546">
        <f>IFERROR(IF(X104="",0,CEILING((X104/$H104),1)*$H104),"")</f>
        <v>234</v>
      </c>
      <c r="Z104" s="36">
        <f>IFERROR(IF(Y104=0,"",ROUNDUP(Y104/H104,0)*0.00902),"")</f>
        <v>0.46904000000000001</v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239.71111111111111</v>
      </c>
      <c r="BN104" s="64">
        <f>IFERROR(Y104*I104/H104,"0")</f>
        <v>243.88</v>
      </c>
      <c r="BO104" s="64">
        <f>IFERROR(1/J104*(X104/H104),"0")</f>
        <v>0.38720538720538722</v>
      </c>
      <c r="BP104" s="64">
        <f>IFERROR(1/J104*(Y104/H104),"0")</f>
        <v>0.39393939393939392</v>
      </c>
    </row>
    <row r="105" spans="1:68" ht="37.5" customHeight="1" x14ac:dyDescent="0.25">
      <c r="A105" s="54" t="s">
        <v>209</v>
      </c>
      <c r="B105" s="54" t="s">
        <v>210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81.296296296296305</v>
      </c>
      <c r="Y106" s="547">
        <f>IFERROR(Y101/H101,"0")+IFERROR(Y102/H102,"0")+IFERROR(Y103/H103,"0")+IFERROR(Y104/H104,"0")+IFERROR(Y105/H105,"0")</f>
        <v>83</v>
      </c>
      <c r="Z106" s="547">
        <f>IFERROR(IF(Z101="",0,Z101),"0")+IFERROR(IF(Z102="",0,Z102),"0")+IFERROR(IF(Z103="",0,Z103),"0")+IFERROR(IF(Z104="",0,Z104),"0")+IFERROR(IF(Z105="",0,Z105),"0")</f>
        <v>1.05742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556</v>
      </c>
      <c r="Y107" s="547">
        <f>IFERROR(SUM(Y101:Y105),"0")</f>
        <v>568.79999999999995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123</v>
      </c>
      <c r="Y109" s="546">
        <f>IFERROR(IF(X109="",0,CEILING((X109/$H109),1)*$H109),"")</f>
        <v>129.60000000000002</v>
      </c>
      <c r="Z109" s="36">
        <f>IFERROR(IF(Y109=0,"",ROUNDUP(Y109/H109,0)*0.01898),"")</f>
        <v>0.22776000000000002</v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127.66944444444445</v>
      </c>
      <c r="BN109" s="64">
        <f>IFERROR(Y109*I109/H109,"0")</f>
        <v>134.52000000000001</v>
      </c>
      <c r="BO109" s="64">
        <f>IFERROR(1/J109*(X109/H109),"0")</f>
        <v>0.17795138888888887</v>
      </c>
      <c r="BP109" s="64">
        <f>IFERROR(1/J109*(Y109/H109),"0")</f>
        <v>0.18750000000000003</v>
      </c>
    </row>
    <row r="110" spans="1:68" ht="27" customHeight="1" x14ac:dyDescent="0.25">
      <c r="A110" s="54" t="s">
        <v>214</v>
      </c>
      <c r="B110" s="54" t="s">
        <v>215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43" t="s">
        <v>217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219</v>
      </c>
      <c r="B111" s="54" t="s">
        <v>220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223</v>
      </c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96</v>
      </c>
      <c r="Y112" s="546">
        <f>IFERROR(IF(X112="",0,CEILING((X112/$H112),1)*$H112),"")</f>
        <v>96</v>
      </c>
      <c r="Z112" s="36">
        <f>IFERROR(IF(Y112=0,"",ROUNDUP(Y112/H112,0)*0.00651),"")</f>
        <v>0.26040000000000002</v>
      </c>
      <c r="AA112" s="56"/>
      <c r="AB112" s="57"/>
      <c r="AC112" s="161" t="s">
        <v>213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103.2</v>
      </c>
      <c r="BN112" s="64">
        <f>IFERROR(Y112*I112/H112,"0")</f>
        <v>103.2</v>
      </c>
      <c r="BO112" s="64">
        <f>IFERROR(1/J112*(X112/H112),"0")</f>
        <v>0.2197802197802198</v>
      </c>
      <c r="BP112" s="64">
        <f>IFERROR(1/J112*(Y112/H112),"0")</f>
        <v>0.2197802197802198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51.388888888888886</v>
      </c>
      <c r="Y113" s="547">
        <f>IFERROR(Y109/H109,"0")+IFERROR(Y110/H110,"0")+IFERROR(Y111/H111,"0")+IFERROR(Y112/H112,"0")</f>
        <v>52</v>
      </c>
      <c r="Z113" s="547">
        <f>IFERROR(IF(Z109="",0,Z109),"0")+IFERROR(IF(Z110="",0,Z110),"0")+IFERROR(IF(Z111="",0,Z111),"0")+IFERROR(IF(Z112="",0,Z112),"0")</f>
        <v>0.48816000000000004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219</v>
      </c>
      <c r="Y114" s="547">
        <f>IFERROR(SUM(Y109:Y112),"0")</f>
        <v>225.60000000000002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165</v>
      </c>
      <c r="Y116" s="546">
        <f>IFERROR(IF(X116="",0,CEILING((X116/$H116),1)*$H116),"")</f>
        <v>170.1</v>
      </c>
      <c r="Z116" s="36">
        <f>IFERROR(IF(Y116=0,"",ROUNDUP(Y116/H116,0)*0.01898),"")</f>
        <v>0.39857999999999999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174.94074074074072</v>
      </c>
      <c r="BN116" s="64">
        <f>IFERROR(Y116*I116/H116,"0")</f>
        <v>180.34799999999998</v>
      </c>
      <c r="BO116" s="64">
        <f>IFERROR(1/J116*(X116/H116),"0")</f>
        <v>0.31828703703703703</v>
      </c>
      <c r="BP116" s="64">
        <f>IFERROR(1/J116*(Y116/H116),"0")</f>
        <v>0.328125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223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538</v>
      </c>
      <c r="Y118" s="546">
        <f>IFERROR(IF(X118="",0,CEILING((X118/$H118),1)*$H118),"")</f>
        <v>540</v>
      </c>
      <c r="Z118" s="36">
        <f>IFERROR(IF(Y118=0,"",ROUNDUP(Y118/H118,0)*0.00651),"")</f>
        <v>1.302</v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588.21333333333325</v>
      </c>
      <c r="BN118" s="64">
        <f>IFERROR(Y118*I118/H118,"0")</f>
        <v>590.4</v>
      </c>
      <c r="BO118" s="64">
        <f>IFERROR(1/J118*(X118/H118),"0")</f>
        <v>1.0948310948310949</v>
      </c>
      <c r="BP118" s="64">
        <f>IFERROR(1/J118*(Y118/H118),"0")</f>
        <v>1.098901098901099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219.62962962962962</v>
      </c>
      <c r="Y120" s="547">
        <f>IFERROR(Y116/H116,"0")+IFERROR(Y117/H117,"0")+IFERROR(Y118/H118,"0")+IFERROR(Y119/H119,"0")</f>
        <v>221</v>
      </c>
      <c r="Z120" s="547">
        <f>IFERROR(IF(Z116="",0,Z116),"0")+IFERROR(IF(Z117="",0,Z117),"0")+IFERROR(IF(Z118="",0,Z118),"0")+IFERROR(IF(Z119="",0,Z119),"0")</f>
        <v>1.70058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703</v>
      </c>
      <c r="Y121" s="547">
        <f>IFERROR(SUM(Y116:Y119),"0")</f>
        <v>710.1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115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135</v>
      </c>
      <c r="Y166" s="546">
        <f t="shared" si="5"/>
        <v>138.6</v>
      </c>
      <c r="Z166" s="36">
        <f>IFERROR(IF(Y166=0,"",ROUNDUP(Y166/H166,0)*0.00902),"")</f>
        <v>0.29766000000000004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143.03571428571428</v>
      </c>
      <c r="BN166" s="64">
        <f t="shared" si="7"/>
        <v>146.85</v>
      </c>
      <c r="BO166" s="64">
        <f t="shared" si="8"/>
        <v>0.24350649350649348</v>
      </c>
      <c r="BP166" s="64">
        <f t="shared" si="9"/>
        <v>0.25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276</v>
      </c>
      <c r="Y168" s="546">
        <f t="shared" si="5"/>
        <v>277.2</v>
      </c>
      <c r="Z168" s="36">
        <f>IFERROR(IF(Y168=0,"",ROUNDUP(Y168/H168,0)*0.00902),"")</f>
        <v>0.59532000000000007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288.48571428571427</v>
      </c>
      <c r="BN168" s="64">
        <f t="shared" si="7"/>
        <v>289.73999999999995</v>
      </c>
      <c r="BO168" s="64">
        <f t="shared" si="8"/>
        <v>0.4978354978354978</v>
      </c>
      <c r="BP168" s="64">
        <f t="shared" si="9"/>
        <v>0.5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182</v>
      </c>
      <c r="Y169" s="546">
        <f t="shared" si="5"/>
        <v>182.70000000000002</v>
      </c>
      <c r="Z169" s="36">
        <f>IFERROR(IF(Y169=0,"",ROUNDUP(Y169/H169,0)*0.00502),"")</f>
        <v>0.43674000000000002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193.26666666666665</v>
      </c>
      <c r="BN169" s="64">
        <f t="shared" si="7"/>
        <v>194.01000000000002</v>
      </c>
      <c r="BO169" s="64">
        <f t="shared" si="8"/>
        <v>0.37037037037037035</v>
      </c>
      <c r="BP169" s="64">
        <f t="shared" si="9"/>
        <v>0.37179487179487181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75</v>
      </c>
      <c r="Y172" s="546">
        <f t="shared" si="5"/>
        <v>75.600000000000009</v>
      </c>
      <c r="Z172" s="36">
        <f>IFERROR(IF(Y172=0,"",ROUNDUP(Y172/H172,0)*0.00502),"")</f>
        <v>0.21084</v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80.416666666666671</v>
      </c>
      <c r="BN172" s="64">
        <f t="shared" si="7"/>
        <v>81.06</v>
      </c>
      <c r="BO172" s="64">
        <f t="shared" si="8"/>
        <v>0.17806267806267806</v>
      </c>
      <c r="BP172" s="64">
        <f t="shared" si="9"/>
        <v>0.17948717948717954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768</v>
      </c>
      <c r="Y174" s="546">
        <f t="shared" si="5"/>
        <v>768.6</v>
      </c>
      <c r="Z174" s="36">
        <f>IFERROR(IF(Y174=0,"",ROUNDUP(Y174/H174,0)*0.00502),"")</f>
        <v>1.8373200000000001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804.57142857142856</v>
      </c>
      <c r="BN174" s="64">
        <f t="shared" si="7"/>
        <v>805.20000000000016</v>
      </c>
      <c r="BO174" s="64">
        <f t="shared" si="8"/>
        <v>1.5628815628815631</v>
      </c>
      <c r="BP174" s="64">
        <f t="shared" si="9"/>
        <v>1.5641025641025643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591.90476190476193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594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3.3778800000000002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1436</v>
      </c>
      <c r="Y178" s="547">
        <f>IFERROR(SUM(Y165:Y176),"0")</f>
        <v>1442.7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7</v>
      </c>
      <c r="Y181" s="546">
        <f>IFERROR(IF(X181="",0,CEILING((X181/$H181),1)*$H181),"")</f>
        <v>7.5600000000000005</v>
      </c>
      <c r="Z181" s="36">
        <f>IFERROR(IF(Y181=0,"",ROUNDUP(Y181/H181,0)*0.0059),"")</f>
        <v>3.5400000000000001E-2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8.0555555555555554</v>
      </c>
      <c r="BN181" s="64">
        <f>IFERROR(Y181*I181/H181,"0")</f>
        <v>8.6999999999999993</v>
      </c>
      <c r="BO181" s="64">
        <f>IFERROR(1/J181*(X181/H181),"0")</f>
        <v>2.5720164609053495E-2</v>
      </c>
      <c r="BP181" s="64">
        <f>IFERROR(1/J181*(Y181/H181),"0")</f>
        <v>2.7777777777777776E-2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7</v>
      </c>
      <c r="Y182" s="546">
        <f>IFERROR(IF(X182="",0,CEILING((X182/$H182),1)*$H182),"")</f>
        <v>7.5600000000000005</v>
      </c>
      <c r="Z182" s="36">
        <f>IFERROR(IF(Y182=0,"",ROUNDUP(Y182/H182,0)*0.0059),"")</f>
        <v>3.5400000000000001E-2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8.0555555555555554</v>
      </c>
      <c r="BN182" s="64">
        <f>IFERROR(Y182*I182/H182,"0")</f>
        <v>8.6999999999999993</v>
      </c>
      <c r="BO182" s="64">
        <f>IFERROR(1/J182*(X182/H182),"0")</f>
        <v>2.5720164609053495E-2</v>
      </c>
      <c r="BP182" s="64">
        <f>IFERROR(1/J182*(Y182/H182),"0")</f>
        <v>2.7777777777777776E-2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11.111111111111111</v>
      </c>
      <c r="Y183" s="547">
        <f>IFERROR(Y180/H180,"0")+IFERROR(Y181/H181,"0")+IFERROR(Y182/H182,"0")</f>
        <v>12</v>
      </c>
      <c r="Z183" s="547">
        <f>IFERROR(IF(Z180="",0,Z180),"0")+IFERROR(IF(Z181="",0,Z181),"0")+IFERROR(IF(Z182="",0,Z182),"0")</f>
        <v>7.0800000000000002E-2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14</v>
      </c>
      <c r="Y184" s="547">
        <f>IFERROR(SUM(Y180:Y182),"0")</f>
        <v>15.120000000000001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4</v>
      </c>
      <c r="Y186" s="546">
        <f>IFERROR(IF(X186="",0,CEILING((X186/$H186),1)*$H186),"")</f>
        <v>5.04</v>
      </c>
      <c r="Z186" s="36">
        <f>IFERROR(IF(Y186=0,"",ROUNDUP(Y186/H186,0)*0.0059),"")</f>
        <v>2.3599999999999999E-2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4.6031746031746028</v>
      </c>
      <c r="BN186" s="64">
        <f>IFERROR(Y186*I186/H186,"0")</f>
        <v>5.8</v>
      </c>
      <c r="BO186" s="64">
        <f>IFERROR(1/J186*(X186/H186),"0")</f>
        <v>1.469723691945914E-2</v>
      </c>
      <c r="BP186" s="64">
        <f>IFERROR(1/J186*(Y186/H186),"0")</f>
        <v>1.8518518518518517E-2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3.1746031746031744</v>
      </c>
      <c r="Y187" s="547">
        <f>IFERROR(Y186/H186,"0")</f>
        <v>4</v>
      </c>
      <c r="Z187" s="547">
        <f>IFERROR(IF(Z186="",0,Z186),"0")</f>
        <v>2.3599999999999999E-2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4</v>
      </c>
      <c r="Y188" s="547">
        <f>IFERROR(SUM(Y186:Y186),"0")</f>
        <v>5.04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223</v>
      </c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433</v>
      </c>
      <c r="Y201" s="546">
        <f t="shared" ref="Y201:Y208" si="10">IFERROR(IF(X201="",0,CEILING((X201/$H201),1)*$H201),"")</f>
        <v>437.40000000000003</v>
      </c>
      <c r="Z201" s="36">
        <f>IFERROR(IF(Y201=0,"",ROUNDUP(Y201/H201,0)*0.00902),"")</f>
        <v>0.73062000000000005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448.23518518518512</v>
      </c>
      <c r="BN201" s="64">
        <f t="shared" ref="BN201:BN208" si="12">IFERROR(Y201*I201/H201,"0")</f>
        <v>452.79</v>
      </c>
      <c r="BO201" s="64">
        <f t="shared" ref="BO201:BO208" si="13">IFERROR(1/J201*(X201/H201),"0")</f>
        <v>0.60746352413019078</v>
      </c>
      <c r="BP201" s="64">
        <f t="shared" ref="BP201:BP208" si="14">IFERROR(1/J201*(Y201/H201),"0")</f>
        <v>0.61363636363636365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495</v>
      </c>
      <c r="Y202" s="546">
        <f t="shared" si="10"/>
        <v>496.8</v>
      </c>
      <c r="Z202" s="36">
        <f>IFERROR(IF(Y202=0,"",ROUNDUP(Y202/H202,0)*0.00902),"")</f>
        <v>0.82984000000000002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512.41666666666663</v>
      </c>
      <c r="BN202" s="64">
        <f t="shared" si="12"/>
        <v>514.28</v>
      </c>
      <c r="BO202" s="64">
        <f t="shared" si="13"/>
        <v>0.69444444444444442</v>
      </c>
      <c r="BP202" s="64">
        <f t="shared" si="14"/>
        <v>0.69696969696969702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/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661</v>
      </c>
      <c r="Y204" s="546">
        <f t="shared" si="10"/>
        <v>664.2</v>
      </c>
      <c r="Z204" s="36">
        <f>IFERROR(IF(Y204=0,"",ROUNDUP(Y204/H204,0)*0.00902),"")</f>
        <v>1.1094600000000001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684.2574074074073</v>
      </c>
      <c r="BN204" s="64">
        <f t="shared" si="12"/>
        <v>687.56999999999994</v>
      </c>
      <c r="BO204" s="64">
        <f t="shared" si="13"/>
        <v>0.92732884399551063</v>
      </c>
      <c r="BP204" s="64">
        <f t="shared" si="14"/>
        <v>0.93181818181818188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142</v>
      </c>
      <c r="Y205" s="546">
        <f t="shared" si="10"/>
        <v>142.20000000000002</v>
      </c>
      <c r="Z205" s="36">
        <f>IFERROR(IF(Y205=0,"",ROUNDUP(Y205/H205,0)*0.00502),"")</f>
        <v>0.39657999999999999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152.25555555555556</v>
      </c>
      <c r="BN205" s="64">
        <f t="shared" si="12"/>
        <v>152.47</v>
      </c>
      <c r="BO205" s="64">
        <f t="shared" si="13"/>
        <v>0.33713200379867048</v>
      </c>
      <c r="BP205" s="64">
        <f t="shared" si="14"/>
        <v>0.33760683760683768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128</v>
      </c>
      <c r="Y206" s="546">
        <f t="shared" si="10"/>
        <v>129.6</v>
      </c>
      <c r="Z206" s="36">
        <f>IFERROR(IF(Y206=0,"",ROUNDUP(Y206/H206,0)*0.00502),"")</f>
        <v>0.36143999999999998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135.11111111111111</v>
      </c>
      <c r="BN206" s="64">
        <f t="shared" si="12"/>
        <v>136.79999999999998</v>
      </c>
      <c r="BO206" s="64">
        <f t="shared" si="13"/>
        <v>0.3038936372269706</v>
      </c>
      <c r="BP206" s="64">
        <f t="shared" si="14"/>
        <v>0.30769230769230771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98</v>
      </c>
      <c r="Y208" s="546">
        <f t="shared" si="10"/>
        <v>99</v>
      </c>
      <c r="Z208" s="36">
        <f>IFERROR(IF(Y208=0,"",ROUNDUP(Y208/H208,0)*0.00502),"")</f>
        <v>0.27610000000000001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103.44444444444443</v>
      </c>
      <c r="BN208" s="64">
        <f t="shared" si="12"/>
        <v>104.5</v>
      </c>
      <c r="BO208" s="64">
        <f t="shared" si="13"/>
        <v>0.23266856600189936</v>
      </c>
      <c r="BP208" s="64">
        <f t="shared" si="14"/>
        <v>0.23504273504273507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498.7037037037037</v>
      </c>
      <c r="Y209" s="547">
        <f>IFERROR(Y201/H201,"0")+IFERROR(Y202/H202,"0")+IFERROR(Y203/H203,"0")+IFERROR(Y204/H204,"0")+IFERROR(Y205/H205,"0")+IFERROR(Y206/H206,"0")+IFERROR(Y207/H207,"0")+IFERROR(Y208/H208,"0")</f>
        <v>502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3.7040400000000004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1957</v>
      </c>
      <c r="Y210" s="547">
        <f>IFERROR(SUM(Y201:Y208),"0")</f>
        <v>1969.2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15</v>
      </c>
      <c r="Y212" s="546">
        <f t="shared" ref="Y212:Y220" si="15">IFERROR(IF(X212="",0,CEILING((X212/$H212),1)*$H212),"")</f>
        <v>16.2</v>
      </c>
      <c r="Z212" s="36">
        <f>IFERROR(IF(Y212=0,"",ROUNDUP(Y212/H212,0)*0.01898),"")</f>
        <v>3.7960000000000001E-2</v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15.914814814814815</v>
      </c>
      <c r="BN212" s="64">
        <f t="shared" ref="BN212:BN220" si="17">IFERROR(Y212*I212/H212,"0")</f>
        <v>17.187999999999999</v>
      </c>
      <c r="BO212" s="64">
        <f t="shared" ref="BO212:BO220" si="18">IFERROR(1/J212*(X212/H212),"0")</f>
        <v>2.8935185185185185E-2</v>
      </c>
      <c r="BP212" s="64">
        <f t="shared" ref="BP212:BP220" si="19">IFERROR(1/J212*(Y212/H212),"0")</f>
        <v>3.125E-2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63</v>
      </c>
      <c r="Y213" s="546">
        <f t="shared" si="15"/>
        <v>64.8</v>
      </c>
      <c r="Z213" s="36">
        <f>IFERROR(IF(Y213=0,"",ROUNDUP(Y213/H213,0)*0.01898),"")</f>
        <v>0.15184</v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66.702222222222233</v>
      </c>
      <c r="BN213" s="64">
        <f t="shared" si="17"/>
        <v>68.608000000000004</v>
      </c>
      <c r="BO213" s="64">
        <f t="shared" si="18"/>
        <v>0.12152777777777778</v>
      </c>
      <c r="BP213" s="64">
        <f t="shared" si="19"/>
        <v>0.125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223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235</v>
      </c>
      <c r="Y215" s="546">
        <f t="shared" si="15"/>
        <v>235.2</v>
      </c>
      <c r="Z215" s="36">
        <f t="shared" ref="Z215:Z220" si="20">IFERROR(IF(Y215=0,"",ROUNDUP(Y215/H215,0)*0.00651),"")</f>
        <v>0.63797999999999999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261.4375</v>
      </c>
      <c r="BN215" s="64">
        <f t="shared" si="17"/>
        <v>261.65999999999997</v>
      </c>
      <c r="BO215" s="64">
        <f t="shared" si="18"/>
        <v>0.53800366300366309</v>
      </c>
      <c r="BP215" s="64">
        <f t="shared" si="19"/>
        <v>0.53846153846153855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1139</v>
      </c>
      <c r="Y217" s="546">
        <f t="shared" si="15"/>
        <v>1140</v>
      </c>
      <c r="Z217" s="36">
        <f t="shared" si="20"/>
        <v>3.0922499999999999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1258.595</v>
      </c>
      <c r="BN217" s="64">
        <f t="shared" si="17"/>
        <v>1259.7</v>
      </c>
      <c r="BO217" s="64">
        <f t="shared" si="18"/>
        <v>2.6076007326007331</v>
      </c>
      <c r="BP217" s="64">
        <f t="shared" si="19"/>
        <v>2.6098901098901099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223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476</v>
      </c>
      <c r="Y218" s="546">
        <f t="shared" si="15"/>
        <v>477.59999999999997</v>
      </c>
      <c r="Z218" s="36">
        <f t="shared" si="20"/>
        <v>1.29549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525.98</v>
      </c>
      <c r="BN218" s="64">
        <f t="shared" si="17"/>
        <v>527.74800000000005</v>
      </c>
      <c r="BO218" s="64">
        <f t="shared" si="18"/>
        <v>1.0897435897435899</v>
      </c>
      <c r="BP218" s="64">
        <f t="shared" si="19"/>
        <v>1.0934065934065935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223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190</v>
      </c>
      <c r="Y219" s="546">
        <f t="shared" si="15"/>
        <v>192</v>
      </c>
      <c r="Z219" s="36">
        <f t="shared" si="20"/>
        <v>0.52080000000000004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209.95000000000002</v>
      </c>
      <c r="BN219" s="64">
        <f t="shared" si="17"/>
        <v>212.16000000000003</v>
      </c>
      <c r="BO219" s="64">
        <f t="shared" si="18"/>
        <v>0.43498168498168505</v>
      </c>
      <c r="BP219" s="64">
        <f t="shared" si="19"/>
        <v>0.43956043956043961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223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108</v>
      </c>
      <c r="Y220" s="546">
        <f t="shared" si="15"/>
        <v>108</v>
      </c>
      <c r="Z220" s="36">
        <f t="shared" si="20"/>
        <v>0.29294999999999999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119.60999999999999</v>
      </c>
      <c r="BN220" s="64">
        <f t="shared" si="17"/>
        <v>119.60999999999999</v>
      </c>
      <c r="BO220" s="64">
        <f t="shared" si="18"/>
        <v>0.24725274725274726</v>
      </c>
      <c r="BP220" s="64">
        <f t="shared" si="19"/>
        <v>0.24725274725274726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904.62962962962968</v>
      </c>
      <c r="Y221" s="547">
        <f>IFERROR(Y212/H212,"0")+IFERROR(Y213/H213,"0")+IFERROR(Y214/H214,"0")+IFERROR(Y215/H215,"0")+IFERROR(Y216/H216,"0")+IFERROR(Y217/H217,"0")+IFERROR(Y218/H218,"0")+IFERROR(Y219/H219,"0")+IFERROR(Y220/H220,"0")</f>
        <v>907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6.0292700000000004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2226</v>
      </c>
      <c r="Y222" s="547">
        <f>IFERROR(SUM(Y212:Y220),"0")</f>
        <v>2233.8000000000002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59</v>
      </c>
      <c r="Y224" s="546">
        <f>IFERROR(IF(X224="",0,CEILING((X224/$H224),1)*$H224),"")</f>
        <v>60</v>
      </c>
      <c r="Z224" s="36">
        <f>IFERROR(IF(Y224=0,"",ROUNDUP(Y224/H224,0)*0.00651),"")</f>
        <v>0.16275000000000001</v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65.195000000000007</v>
      </c>
      <c r="BN224" s="64">
        <f>IFERROR(Y224*I224/H224,"0")</f>
        <v>66.300000000000011</v>
      </c>
      <c r="BO224" s="64">
        <f>IFERROR(1/J224*(X224/H224),"0")</f>
        <v>0.13507326007326009</v>
      </c>
      <c r="BP224" s="64">
        <f>IFERROR(1/J224*(Y224/H224),"0")</f>
        <v>0.13736263736263737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223</v>
      </c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24</v>
      </c>
      <c r="Y225" s="546">
        <f>IFERROR(IF(X225="",0,CEILING((X225/$H225),1)*$H225),"")</f>
        <v>24</v>
      </c>
      <c r="Z225" s="36">
        <f>IFERROR(IF(Y225=0,"",ROUNDUP(Y225/H225,0)*0.00651),"")</f>
        <v>6.5100000000000005E-2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26.520000000000003</v>
      </c>
      <c r="BN225" s="64">
        <f>IFERROR(Y225*I225/H225,"0")</f>
        <v>26.520000000000003</v>
      </c>
      <c r="BO225" s="64">
        <f>IFERROR(1/J225*(X225/H225),"0")</f>
        <v>5.4945054945054951E-2</v>
      </c>
      <c r="BP225" s="64">
        <f>IFERROR(1/J225*(Y225/H225),"0")</f>
        <v>5.4945054945054951E-2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34.583333333333336</v>
      </c>
      <c r="Y226" s="547">
        <f>IFERROR(Y224/H224,"0")+IFERROR(Y225/H225,"0")</f>
        <v>35</v>
      </c>
      <c r="Z226" s="547">
        <f>IFERROR(IF(Z224="",0,Z224),"0")+IFERROR(IF(Z225="",0,Z225),"0")</f>
        <v>0.22785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83</v>
      </c>
      <c r="Y227" s="547">
        <f>IFERROR(SUM(Y224:Y225),"0")</f>
        <v>84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2</v>
      </c>
      <c r="Y246" s="546">
        <f>IFERROR(IF(X246="",0,CEILING((X246/$H246),1)*$H246),"")</f>
        <v>3.6</v>
      </c>
      <c r="Z246" s="36">
        <f>IFERROR(IF(Y246=0,"",ROUNDUP(Y246/H246,0)*0.0059),"")</f>
        <v>1.18E-2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2.1944444444444446</v>
      </c>
      <c r="BN246" s="64">
        <f>IFERROR(Y246*I246/H246,"0")</f>
        <v>3.95</v>
      </c>
      <c r="BO246" s="64">
        <f>IFERROR(1/J246*(X246/H246),"0")</f>
        <v>5.1440329218106996E-3</v>
      </c>
      <c r="BP246" s="64">
        <f>IFERROR(1/J246*(Y246/H246),"0")</f>
        <v>9.2592592592592587E-3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1.1111111111111112</v>
      </c>
      <c r="Y247" s="547">
        <f>IFERROR(Y246/H246,"0")</f>
        <v>2</v>
      </c>
      <c r="Z247" s="547">
        <f>IFERROR(IF(Z246="",0,Z246),"0")</f>
        <v>1.18E-2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2</v>
      </c>
      <c r="Y248" s="547">
        <f>IFERROR(SUM(Y246:Y246),"0")</f>
        <v>3.6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5</v>
      </c>
      <c r="Y252" s="546">
        <f>IFERROR(IF(X252="",0,CEILING((X252/$H252),1)*$H252),"")</f>
        <v>5.4</v>
      </c>
      <c r="Z252" s="36">
        <f>IFERROR(IF(Y252=0,"",ROUNDUP(Y252/H252,0)*0.0059),"")</f>
        <v>3.5400000000000001E-2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6.0555555555555554</v>
      </c>
      <c r="BN252" s="64">
        <f>IFERROR(Y252*I252/H252,"0")</f>
        <v>6.5400000000000009</v>
      </c>
      <c r="BO252" s="64">
        <f>IFERROR(1/J252*(X252/H252),"0")</f>
        <v>2.5720164609053495E-2</v>
      </c>
      <c r="BP252" s="64">
        <f>IFERROR(1/J252*(Y252/H252),"0")</f>
        <v>2.7777777777777776E-2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5</v>
      </c>
      <c r="Y253" s="546">
        <f>IFERROR(IF(X253="",0,CEILING((X253/$H253),1)*$H253),"")</f>
        <v>5.9399999999999995</v>
      </c>
      <c r="Z253" s="36">
        <f>IFERROR(IF(Y253=0,"",ROUNDUP(Y253/H253,0)*0.0059),"")</f>
        <v>3.5400000000000001E-2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5.9595959595959593</v>
      </c>
      <c r="BN253" s="64">
        <f>IFERROR(Y253*I253/H253,"0")</f>
        <v>7.0799999999999992</v>
      </c>
      <c r="BO253" s="64">
        <f>IFERROR(1/J253*(X253/H253),"0")</f>
        <v>2.3381967826412269E-2</v>
      </c>
      <c r="BP253" s="64">
        <f>IFERROR(1/J253*(Y253/H253),"0")</f>
        <v>2.7777777777777773E-2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4</v>
      </c>
      <c r="Y254" s="546">
        <f>IFERROR(IF(X254="",0,CEILING((X254/$H254),1)*$H254),"")</f>
        <v>4.95</v>
      </c>
      <c r="Z254" s="36">
        <f>IFERROR(IF(Y254=0,"",ROUNDUP(Y254/H254,0)*0.0059),"")</f>
        <v>2.9499999999999998E-2</v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4.7676767676767673</v>
      </c>
      <c r="BN254" s="64">
        <f>IFERROR(Y254*I254/H254,"0")</f>
        <v>5.9</v>
      </c>
      <c r="BO254" s="64">
        <f>IFERROR(1/J254*(X254/H254),"0")</f>
        <v>1.8705574261129818E-2</v>
      </c>
      <c r="BP254" s="64">
        <f>IFERROR(1/J254*(Y254/H254),"0")</f>
        <v>2.3148148148148147E-2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14.646464646464647</v>
      </c>
      <c r="Y255" s="547">
        <f>IFERROR(Y250/H250,"0")+IFERROR(Y251/H251,"0")+IFERROR(Y252/H252,"0")+IFERROR(Y253/H253,"0")+IFERROR(Y254/H254,"0")</f>
        <v>17</v>
      </c>
      <c r="Z255" s="547">
        <f>IFERROR(IF(Z250="",0,Z250),"0")+IFERROR(IF(Z251="",0,Z251),"0")+IFERROR(IF(Z252="",0,Z252),"0")+IFERROR(IF(Z253="",0,Z253),"0")+IFERROR(IF(Z254="",0,Z254),"0")</f>
        <v>0.1003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14</v>
      </c>
      <c r="Y256" s="547">
        <f>IFERROR(SUM(Y250:Y254),"0")</f>
        <v>16.29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223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64</v>
      </c>
      <c r="Y277" s="546">
        <f>IFERROR(IF(X277="",0,CEILING((X277/$H277),1)*$H277),"")</f>
        <v>64.8</v>
      </c>
      <c r="Z277" s="36">
        <f>IFERROR(IF(Y277=0,"",ROUNDUP(Y277/H277,0)*0.00651),"")</f>
        <v>0.17577000000000001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70.720000000000013</v>
      </c>
      <c r="BN277" s="64">
        <f>IFERROR(Y277*I277/H277,"0")</f>
        <v>71.604000000000013</v>
      </c>
      <c r="BO277" s="64">
        <f>IFERROR(1/J277*(X277/H277),"0")</f>
        <v>0.14652014652014653</v>
      </c>
      <c r="BP277" s="64">
        <f>IFERROR(1/J277*(Y277/H277),"0")</f>
        <v>0.14835164835164835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223</v>
      </c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208</v>
      </c>
      <c r="Y278" s="546">
        <f>IFERROR(IF(X278="",0,CEILING((X278/$H278),1)*$H278),"")</f>
        <v>208.79999999999998</v>
      </c>
      <c r="Z278" s="36">
        <f>IFERROR(IF(Y278=0,"",ROUNDUP(Y278/H278,0)*0.00651),"")</f>
        <v>0.56637000000000004</v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223.6</v>
      </c>
      <c r="BN278" s="64">
        <f>IFERROR(Y278*I278/H278,"0")</f>
        <v>224.45999999999998</v>
      </c>
      <c r="BO278" s="64">
        <f>IFERROR(1/J278*(X278/H278),"0")</f>
        <v>0.47619047619047628</v>
      </c>
      <c r="BP278" s="64">
        <f>IFERROR(1/J278*(Y278/H278),"0")</f>
        <v>0.47802197802197804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113.33333333333334</v>
      </c>
      <c r="Y279" s="547">
        <f>IFERROR(Y276/H276,"0")+IFERROR(Y277/H277,"0")+IFERROR(Y278/H278,"0")</f>
        <v>114</v>
      </c>
      <c r="Z279" s="547">
        <f>IFERROR(IF(Z276="",0,Z276),"0")+IFERROR(IF(Z277="",0,Z277),"0")+IFERROR(IF(Z278="",0,Z278),"0")</f>
        <v>0.74214000000000002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272</v>
      </c>
      <c r="Y280" s="547">
        <f>IFERROR(SUM(Y276:Y278),"0")</f>
        <v>273.59999999999997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60</v>
      </c>
      <c r="Y307" s="546">
        <f t="shared" si="26"/>
        <v>61.2</v>
      </c>
      <c r="Z307" s="36">
        <f>IFERROR(IF(Y307=0,"",ROUNDUP(Y307/H307,0)*0.00651),"")</f>
        <v>0.22134000000000001</v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67.600000000000009</v>
      </c>
      <c r="BN307" s="64">
        <f t="shared" si="28"/>
        <v>68.951999999999998</v>
      </c>
      <c r="BO307" s="64">
        <f t="shared" si="29"/>
        <v>0.18315018315018317</v>
      </c>
      <c r="BP307" s="64">
        <f t="shared" si="30"/>
        <v>0.18681318681318682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33.333333333333336</v>
      </c>
      <c r="Y308" s="547">
        <f>IFERROR(Y302/H302,"0")+IFERROR(Y303/H303,"0")+IFERROR(Y304/H304,"0")+IFERROR(Y305/H305,"0")+IFERROR(Y306/H306,"0")+IFERROR(Y307/H307,"0")</f>
        <v>34</v>
      </c>
      <c r="Z308" s="547">
        <f>IFERROR(IF(Z302="",0,Z302),"0")+IFERROR(IF(Z303="",0,Z303),"0")+IFERROR(IF(Z304="",0,Z304),"0")+IFERROR(IF(Z305="",0,Z305),"0")+IFERROR(IF(Z306="",0,Z306),"0")+IFERROR(IF(Z307="",0,Z307),"0")</f>
        <v>0.22134000000000001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60</v>
      </c>
      <c r="Y309" s="547">
        <f>IFERROR(SUM(Y302:Y307),"0")</f>
        <v>61.2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205</v>
      </c>
      <c r="Y318" s="546">
        <f>IFERROR(IF(X318="",0,CEILING((X318/$H318),1)*$H318),"")</f>
        <v>210</v>
      </c>
      <c r="Z318" s="36">
        <f>IFERROR(IF(Y318=0,"",ROUNDUP(Y318/H318,0)*0.01898),"")</f>
        <v>0.47450000000000003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217.05595238095236</v>
      </c>
      <c r="BN318" s="64">
        <f>IFERROR(Y318*I318/H318,"0")</f>
        <v>222.35</v>
      </c>
      <c r="BO318" s="64">
        <f>IFERROR(1/J318*(X318/H318),"0")</f>
        <v>0.38132440476190477</v>
      </c>
      <c r="BP318" s="64">
        <f>IFERROR(1/J318*(Y318/H318),"0")</f>
        <v>0.390625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594</v>
      </c>
      <c r="Y319" s="546">
        <f>IFERROR(IF(X319="",0,CEILING((X319/$H319),1)*$H319),"")</f>
        <v>600.6</v>
      </c>
      <c r="Z319" s="36">
        <f>IFERROR(IF(Y319=0,"",ROUNDUP(Y319/H319,0)*0.01898),"")</f>
        <v>1.46146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631.62000000000012</v>
      </c>
      <c r="BN319" s="64">
        <f>IFERROR(Y319*I319/H319,"0")</f>
        <v>638.63800000000003</v>
      </c>
      <c r="BO319" s="64">
        <f>IFERROR(1/J319*(X319/H319),"0")</f>
        <v>1.1899038461538463</v>
      </c>
      <c r="BP319" s="64">
        <f>IFERROR(1/J319*(Y319/H319),"0")</f>
        <v>1.203125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205</v>
      </c>
      <c r="Y320" s="546">
        <f>IFERROR(IF(X320="",0,CEILING((X320/$H320),1)*$H320),"")</f>
        <v>210</v>
      </c>
      <c r="Z320" s="36">
        <f>IFERROR(IF(Y320=0,"",ROUNDUP(Y320/H320,0)*0.01898),"")</f>
        <v>0.47450000000000003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217.05595238095236</v>
      </c>
      <c r="BN320" s="64">
        <f>IFERROR(Y320*I320/H320,"0")</f>
        <v>222.35</v>
      </c>
      <c r="BO320" s="64">
        <f>IFERROR(1/J320*(X320/H320),"0")</f>
        <v>0.38132440476190477</v>
      </c>
      <c r="BP320" s="64">
        <f>IFERROR(1/J320*(Y320/H320),"0")</f>
        <v>0.390625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124.96336996336996</v>
      </c>
      <c r="Y321" s="547">
        <f>IFERROR(Y318/H318,"0")+IFERROR(Y319/H319,"0")+IFERROR(Y320/H320,"0")</f>
        <v>127</v>
      </c>
      <c r="Z321" s="547">
        <f>IFERROR(IF(Z318="",0,Z318),"0")+IFERROR(IF(Z319="",0,Z319),"0")+IFERROR(IF(Z320="",0,Z320),"0")</f>
        <v>2.41046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1004</v>
      </c>
      <c r="Y322" s="547">
        <f>IFERROR(SUM(Y318:Y320),"0")</f>
        <v>1020.6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30</v>
      </c>
      <c r="Y326" s="546">
        <f>IFERROR(IF(X326="",0,CEILING((X326/$H326),1)*$H326),"")</f>
        <v>30.599999999999998</v>
      </c>
      <c r="Z326" s="36">
        <f>IFERROR(IF(Y326=0,"",ROUNDUP(Y326/H326,0)*0.00651),"")</f>
        <v>7.8119999999999995E-2</v>
      </c>
      <c r="AA326" s="56"/>
      <c r="AB326" s="57"/>
      <c r="AC326" s="381" t="s">
        <v>529</v>
      </c>
      <c r="AG326" s="64"/>
      <c r="AJ326" s="68"/>
      <c r="AK326" s="68">
        <v>0</v>
      </c>
      <c r="BB326" s="382" t="s">
        <v>1</v>
      </c>
      <c r="BM326" s="64">
        <f>IFERROR(X326*I326/H326,"0")</f>
        <v>34.764705882352949</v>
      </c>
      <c r="BN326" s="64">
        <f>IFERROR(Y326*I326/H326,"0")</f>
        <v>35.46</v>
      </c>
      <c r="BO326" s="64">
        <f>IFERROR(1/J326*(X326/H326),"0")</f>
        <v>6.4641241111829353E-2</v>
      </c>
      <c r="BP326" s="64">
        <f>IFERROR(1/J326*(Y326/H326),"0")</f>
        <v>6.5934065934065936E-2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223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84</v>
      </c>
      <c r="Y327" s="546">
        <f>IFERROR(IF(X327="",0,CEILING((X327/$H327),1)*$H327),"")</f>
        <v>84.149999999999991</v>
      </c>
      <c r="Z327" s="36">
        <f>IFERROR(IF(Y327=0,"",ROUNDUP(Y327/H327,0)*0.00651),"")</f>
        <v>0.21482999999999999</v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94.870588235294122</v>
      </c>
      <c r="BN327" s="64">
        <f>IFERROR(Y327*I327/H327,"0")</f>
        <v>95.039999999999992</v>
      </c>
      <c r="BO327" s="64">
        <f>IFERROR(1/J327*(X327/H327),"0")</f>
        <v>0.1809954751131222</v>
      </c>
      <c r="BP327" s="64">
        <f>IFERROR(1/J327*(Y327/H327),"0")</f>
        <v>0.18131868131868134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44.705882352941181</v>
      </c>
      <c r="Y328" s="547">
        <f>IFERROR(Y324/H324,"0")+IFERROR(Y325/H325,"0")+IFERROR(Y326/H326,"0")+IFERROR(Y327/H327,"0")</f>
        <v>45</v>
      </c>
      <c r="Z328" s="547">
        <f>IFERROR(IF(Z324="",0,Z324),"0")+IFERROR(IF(Z325="",0,Z325),"0")+IFERROR(IF(Z326="",0,Z326),"0")+IFERROR(IF(Z327="",0,Z327),"0")</f>
        <v>0.29294999999999999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114</v>
      </c>
      <c r="Y329" s="547">
        <f>IFERROR(SUM(Y324:Y327),"0")</f>
        <v>114.74999999999999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8</v>
      </c>
      <c r="Y331" s="546">
        <f>IFERROR(IF(X331="",0,CEILING((X331/$H331),1)*$H331),"")</f>
        <v>8</v>
      </c>
      <c r="Z331" s="36">
        <f>IFERROR(IF(Y331=0,"",ROUNDUP(Y331/H331,0)*0.00474),"")</f>
        <v>1.8960000000000001E-2</v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8.9600000000000009</v>
      </c>
      <c r="BN331" s="64">
        <f>IFERROR(Y331*I331/H331,"0")</f>
        <v>8.9600000000000009</v>
      </c>
      <c r="BO331" s="64">
        <f>IFERROR(1/J331*(X331/H331),"0")</f>
        <v>1.680672268907563E-2</v>
      </c>
      <c r="BP331" s="64">
        <f>IFERROR(1/J331*(Y331/H331),"0")</f>
        <v>1.680672268907563E-2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4</v>
      </c>
      <c r="Y332" s="546">
        <f>IFERROR(IF(X332="",0,CEILING((X332/$H332),1)*$H332),"")</f>
        <v>4</v>
      </c>
      <c r="Z332" s="36">
        <f>IFERROR(IF(Y332=0,"",ROUNDUP(Y332/H332,0)*0.00474),"")</f>
        <v>9.4800000000000006E-3</v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4.4800000000000004</v>
      </c>
      <c r="BN332" s="64">
        <f>IFERROR(Y332*I332/H332,"0")</f>
        <v>4.4800000000000004</v>
      </c>
      <c r="BO332" s="64">
        <f>IFERROR(1/J332*(X332/H332),"0")</f>
        <v>8.4033613445378148E-3</v>
      </c>
      <c r="BP332" s="64">
        <f>IFERROR(1/J332*(Y332/H332),"0")</f>
        <v>8.4033613445378148E-3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6</v>
      </c>
      <c r="Y334" s="547">
        <f>IFERROR(Y331/H331,"0")+IFERROR(Y332/H332,"0")+IFERROR(Y333/H333,"0")</f>
        <v>6</v>
      </c>
      <c r="Z334" s="547">
        <f>IFERROR(IF(Z331="",0,Z331),"0")+IFERROR(IF(Z332="",0,Z332),"0")+IFERROR(IF(Z333="",0,Z333),"0")</f>
        <v>2.844E-2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12</v>
      </c>
      <c r="Y335" s="547">
        <f>IFERROR(SUM(Y331:Y333),"0")</f>
        <v>12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4</v>
      </c>
      <c r="Y338" s="546">
        <f>IFERROR(IF(X338="",0,CEILING((X338/$H338),1)*$H338),"")</f>
        <v>8.1</v>
      </c>
      <c r="Z338" s="36">
        <f>IFERROR(IF(Y338=0,"",ROUNDUP(Y338/H338,0)*0.01898),"")</f>
        <v>1.898E-2</v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4.243950617283951</v>
      </c>
      <c r="BN338" s="64">
        <f>IFERROR(Y338*I338/H338,"0")</f>
        <v>8.5939999999999994</v>
      </c>
      <c r="BO338" s="64">
        <f>IFERROR(1/J338*(X338/H338),"0")</f>
        <v>7.7160493827160498E-3</v>
      </c>
      <c r="BP338" s="64">
        <f>IFERROR(1/J338*(Y338/H338),"0")</f>
        <v>1.5625E-2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/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/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0.49382716049382719</v>
      </c>
      <c r="Y341" s="547">
        <f>IFERROR(Y338/H338,"0")+IFERROR(Y339/H339,"0")+IFERROR(Y340/H340,"0")</f>
        <v>1</v>
      </c>
      <c r="Z341" s="547">
        <f>IFERROR(IF(Z338="",0,Z338),"0")+IFERROR(IF(Z339="",0,Z339),"0")+IFERROR(IF(Z340="",0,Z340),"0")</f>
        <v>1.898E-2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4</v>
      </c>
      <c r="Y342" s="547">
        <f>IFERROR(SUM(Y338:Y340),"0")</f>
        <v>8.1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1068</v>
      </c>
      <c r="Y346" s="546">
        <f t="shared" ref="Y346:Y352" si="31">IFERROR(IF(X346="",0,CEILING((X346/$H346),1)*$H346),"")</f>
        <v>1080</v>
      </c>
      <c r="Z346" s="36">
        <f>IFERROR(IF(Y346=0,"",ROUNDUP(Y346/H346,0)*0.02175),"")</f>
        <v>1.5659999999999998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1101.4639999999999</v>
      </c>
      <c r="BN346" s="64">
        <f t="shared" ref="BN346:BN352" si="33">IFERROR(Y346*I346/H346,"0")</f>
        <v>1113.8400000000001</v>
      </c>
      <c r="BO346" s="64">
        <f t="shared" ref="BO346:BO352" si="34">IFERROR(1/J346*(X346/H346),"0")</f>
        <v>1.4833333333333334</v>
      </c>
      <c r="BP346" s="64">
        <f t="shared" ref="BP346:BP352" si="35">IFERROR(1/J346*(Y346/H346),"0")</f>
        <v>1.5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592</v>
      </c>
      <c r="Y347" s="546">
        <f t="shared" si="31"/>
        <v>600</v>
      </c>
      <c r="Z347" s="36">
        <f>IFERROR(IF(Y347=0,"",ROUNDUP(Y347/H347,0)*0.02175),"")</f>
        <v>0.86999999999999988</v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610.54933333333327</v>
      </c>
      <c r="BN347" s="64">
        <f t="shared" si="33"/>
        <v>618.79999999999995</v>
      </c>
      <c r="BO347" s="64">
        <f t="shared" si="34"/>
        <v>0.82222222222222219</v>
      </c>
      <c r="BP347" s="64">
        <f t="shared" si="35"/>
        <v>0.83333333333333326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0</v>
      </c>
      <c r="Y348" s="546">
        <f t="shared" si="31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268</v>
      </c>
      <c r="Y349" s="546">
        <f t="shared" si="31"/>
        <v>270</v>
      </c>
      <c r="Z349" s="36">
        <f>IFERROR(IF(Y349=0,"",ROUNDUP(Y349/H349,0)*0.02175),"")</f>
        <v>0.39149999999999996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276.39733333333334</v>
      </c>
      <c r="BN349" s="64">
        <f t="shared" si="33"/>
        <v>278.46000000000004</v>
      </c>
      <c r="BO349" s="64">
        <f t="shared" si="34"/>
        <v>0.37222222222222223</v>
      </c>
      <c r="BP349" s="64">
        <f t="shared" si="35"/>
        <v>0.375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128.53333333333333</v>
      </c>
      <c r="Y353" s="547">
        <f>IFERROR(Y346/H346,"0")+IFERROR(Y347/H347,"0")+IFERROR(Y348/H348,"0")+IFERROR(Y349/H349,"0")+IFERROR(Y350/H350,"0")+IFERROR(Y351/H351,"0")+IFERROR(Y352/H352,"0")</f>
        <v>130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2.8274999999999997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1928</v>
      </c>
      <c r="Y354" s="547">
        <f>IFERROR(SUM(Y346:Y352),"0")</f>
        <v>1950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906</v>
      </c>
      <c r="Y356" s="546">
        <f>IFERROR(IF(X356="",0,CEILING((X356/$H356),1)*$H356),"")</f>
        <v>915</v>
      </c>
      <c r="Z356" s="36">
        <f>IFERROR(IF(Y356=0,"",ROUNDUP(Y356/H356,0)*0.02175),"")</f>
        <v>1.3267499999999999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934.38800000000003</v>
      </c>
      <c r="BN356" s="64">
        <f>IFERROR(Y356*I356/H356,"0")</f>
        <v>943.67000000000007</v>
      </c>
      <c r="BO356" s="64">
        <f>IFERROR(1/J356*(X356/H356),"0")</f>
        <v>1.2583333333333333</v>
      </c>
      <c r="BP356" s="64">
        <f>IFERROR(1/J356*(Y356/H356),"0")</f>
        <v>1.2708333333333333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60.4</v>
      </c>
      <c r="Y358" s="547">
        <f>IFERROR(Y356/H356,"0")+IFERROR(Y357/H357,"0")</f>
        <v>61</v>
      </c>
      <c r="Z358" s="547">
        <f>IFERROR(IF(Z356="",0,Z356),"0")+IFERROR(IF(Z357="",0,Z357),"0")</f>
        <v>1.3267499999999999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906</v>
      </c>
      <c r="Y359" s="547">
        <f>IFERROR(SUM(Y356:Y357),"0")</f>
        <v>915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20</v>
      </c>
      <c r="Y362" s="546">
        <f>IFERROR(IF(X362="",0,CEILING((X362/$H362),1)*$H362),"")</f>
        <v>27</v>
      </c>
      <c r="Z362" s="36">
        <f>IFERROR(IF(Y362=0,"",ROUNDUP(Y362/H362,0)*0.01898),"")</f>
        <v>5.6940000000000004E-2</v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21.097777777777779</v>
      </c>
      <c r="BN362" s="64">
        <f>IFERROR(Y362*I362/H362,"0")</f>
        <v>28.481999999999996</v>
      </c>
      <c r="BO362" s="64">
        <f>IFERROR(1/J362*(X362/H362),"0")</f>
        <v>3.4722222222222224E-2</v>
      </c>
      <c r="BP362" s="64">
        <f>IFERROR(1/J362*(Y362/H362),"0")</f>
        <v>4.6875E-2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2.2222222222222223</v>
      </c>
      <c r="Y363" s="547">
        <f>IFERROR(Y361/H361,"0")+IFERROR(Y362/H362,"0")</f>
        <v>3</v>
      </c>
      <c r="Z363" s="547">
        <f>IFERROR(IF(Z361="",0,Z361),"0")+IFERROR(IF(Z362="",0,Z362),"0")</f>
        <v>5.6940000000000004E-2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20</v>
      </c>
      <c r="Y364" s="547">
        <f>IFERROR(SUM(Y361:Y362),"0")</f>
        <v>27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98</v>
      </c>
      <c r="Y366" s="546">
        <f>IFERROR(IF(X366="",0,CEILING((X366/$H366),1)*$H366),"")</f>
        <v>99</v>
      </c>
      <c r="Z366" s="36">
        <f>IFERROR(IF(Y366=0,"",ROUNDUP(Y366/H366,0)*0.01898),"")</f>
        <v>0.20877999999999999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103.37911111111111</v>
      </c>
      <c r="BN366" s="64">
        <f>IFERROR(Y366*I366/H366,"0")</f>
        <v>104.434</v>
      </c>
      <c r="BO366" s="64">
        <f>IFERROR(1/J366*(X366/H366),"0")</f>
        <v>0.1701388888888889</v>
      </c>
      <c r="BP366" s="64">
        <f>IFERROR(1/J366*(Y366/H366),"0")</f>
        <v>0.171875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10.888888888888889</v>
      </c>
      <c r="Y367" s="547">
        <f>IFERROR(Y366/H366,"0")</f>
        <v>11</v>
      </c>
      <c r="Z367" s="547">
        <f>IFERROR(IF(Z366="",0,Z366),"0")</f>
        <v>0.20877999999999999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98</v>
      </c>
      <c r="Y368" s="547">
        <f>IFERROR(SUM(Y366:Y366),"0")</f>
        <v>99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2054</v>
      </c>
      <c r="Y381" s="546">
        <f>IFERROR(IF(X381="",0,CEILING((X381/$H381),1)*$H381),"")</f>
        <v>2061</v>
      </c>
      <c r="Z381" s="36">
        <f>IFERROR(IF(Y381=0,"",ROUNDUP(Y381/H381,0)*0.01898),"")</f>
        <v>4.3464200000000002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2166.7417777777778</v>
      </c>
      <c r="BN381" s="64">
        <f>IFERROR(Y381*I381/H381,"0")</f>
        <v>2174.1259999999997</v>
      </c>
      <c r="BO381" s="64">
        <f>IFERROR(1/J381*(X381/H381),"0")</f>
        <v>3.5659722222222223</v>
      </c>
      <c r="BP381" s="64">
        <f>IFERROR(1/J381*(Y381/H381),"0")</f>
        <v>3.578125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223</v>
      </c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37</v>
      </c>
      <c r="Y382" s="546">
        <f>IFERROR(IF(X382="",0,CEILING((X382/$H382),1)*$H382),"")</f>
        <v>38.4</v>
      </c>
      <c r="Z382" s="36">
        <f>IFERROR(IF(Y382=0,"",ROUNDUP(Y382/H382,0)*0.00651),"")</f>
        <v>0.10416</v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41.070000000000007</v>
      </c>
      <c r="BN382" s="64">
        <f>IFERROR(Y382*I382/H382,"0")</f>
        <v>42.624000000000002</v>
      </c>
      <c r="BO382" s="64">
        <f>IFERROR(1/J382*(X382/H382),"0")</f>
        <v>8.4706959706959725E-2</v>
      </c>
      <c r="BP382" s="64">
        <f>IFERROR(1/J382*(Y382/H382),"0")</f>
        <v>8.7912087912087919E-2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243.63888888888889</v>
      </c>
      <c r="Y384" s="547">
        <f>IFERROR(Y381/H381,"0")+IFERROR(Y382/H382,"0")+IFERROR(Y383/H383,"0")</f>
        <v>245</v>
      </c>
      <c r="Z384" s="547">
        <f>IFERROR(IF(Z381="",0,Z381),"0")+IFERROR(IF(Z382="",0,Z382),"0")+IFERROR(IF(Z383="",0,Z383),"0")</f>
        <v>4.4505800000000004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2091</v>
      </c>
      <c r="Y385" s="547">
        <f>IFERROR(SUM(Y381:Y383),"0")</f>
        <v>2099.4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184</v>
      </c>
      <c r="Y425" s="546">
        <f t="shared" ref="Y425:Y436" si="42">IFERROR(IF(X425="",0,CEILING((X425/$H425),1)*$H425),"")</f>
        <v>184.8</v>
      </c>
      <c r="Z425" s="36">
        <f t="shared" ref="Z425:Z431" si="43">IFERROR(IF(Y425=0,"",ROUNDUP(Y425/H425,0)*0.01196),"")</f>
        <v>0.41860000000000003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196.19696969696969</v>
      </c>
      <c r="BN425" s="64">
        <f t="shared" ref="BN425:BN436" si="45">IFERROR(Y425*I425/H425,"0")</f>
        <v>197.04999999999998</v>
      </c>
      <c r="BO425" s="64">
        <f t="shared" ref="BO425:BO436" si="46">IFERROR(1/J425*(X425/H425),"0")</f>
        <v>0.33508158508158503</v>
      </c>
      <c r="BP425" s="64">
        <f t="shared" ref="BP425:BP436" si="47">IFERROR(1/J425*(Y425/H425),"0")</f>
        <v>0.33653846153846156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152</v>
      </c>
      <c r="Y428" s="546">
        <f t="shared" si="42"/>
        <v>153.12</v>
      </c>
      <c r="Z428" s="36">
        <f t="shared" si="43"/>
        <v>0.34683999999999998</v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162.07575757575756</v>
      </c>
      <c r="BN428" s="64">
        <f t="shared" si="45"/>
        <v>163.26999999999998</v>
      </c>
      <c r="BO428" s="64">
        <f t="shared" si="46"/>
        <v>0.27680652680652679</v>
      </c>
      <c r="BP428" s="64">
        <f t="shared" si="47"/>
        <v>0.27884615384615385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383</v>
      </c>
      <c r="Y429" s="546">
        <f t="shared" si="42"/>
        <v>385.44</v>
      </c>
      <c r="Z429" s="36">
        <f t="shared" si="43"/>
        <v>0.87307999999999997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408.38825757575756</v>
      </c>
      <c r="BN429" s="64">
        <f t="shared" si="45"/>
        <v>410.98999999999995</v>
      </c>
      <c r="BO429" s="64">
        <f t="shared" si="46"/>
        <v>0.69747960372960371</v>
      </c>
      <c r="BP429" s="64">
        <f t="shared" si="47"/>
        <v>0.70192307692307698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404</v>
      </c>
      <c r="Y431" s="546">
        <f t="shared" si="42"/>
        <v>406.56</v>
      </c>
      <c r="Z431" s="36">
        <f t="shared" si="43"/>
        <v>0.92091999999999996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430.780303030303</v>
      </c>
      <c r="BN431" s="64">
        <f t="shared" si="45"/>
        <v>433.51</v>
      </c>
      <c r="BO431" s="64">
        <f t="shared" si="46"/>
        <v>0.7357226107226108</v>
      </c>
      <c r="BP431" s="64">
        <f t="shared" si="47"/>
        <v>0.74038461538461542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20</v>
      </c>
      <c r="Y433" s="546">
        <f t="shared" si="42"/>
        <v>24</v>
      </c>
      <c r="Z433" s="36">
        <f>IFERROR(IF(Y433=0,"",ROUNDUP(Y433/H433,0)*0.00902),"")</f>
        <v>4.5100000000000001E-2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28.791666666666664</v>
      </c>
      <c r="BN433" s="64">
        <f t="shared" si="45"/>
        <v>34.550000000000004</v>
      </c>
      <c r="BO433" s="64">
        <f t="shared" si="46"/>
        <v>3.1565656565656568E-2</v>
      </c>
      <c r="BP433" s="64">
        <f t="shared" si="47"/>
        <v>3.787878787878788E-2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216.85606060606059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219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2.6045400000000001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1143</v>
      </c>
      <c r="Y438" s="547">
        <f>IFERROR(SUM(Y425:Y436),"0")</f>
        <v>1153.92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188</v>
      </c>
      <c r="Y440" s="546">
        <f>IFERROR(IF(X440="",0,CEILING((X440/$H440),1)*$H440),"")</f>
        <v>190.08</v>
      </c>
      <c r="Z440" s="36">
        <f>IFERROR(IF(Y440=0,"",ROUNDUP(Y440/H440,0)*0.01196),"")</f>
        <v>0.43056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200.46212121212122</v>
      </c>
      <c r="BN440" s="64">
        <f>IFERROR(Y440*I440/H440,"0")</f>
        <v>202.67999999999998</v>
      </c>
      <c r="BO440" s="64">
        <f>IFERROR(1/J440*(X440/H440),"0")</f>
        <v>0.34236596736596736</v>
      </c>
      <c r="BP440" s="64">
        <f>IFERROR(1/J440*(Y440/H440),"0")</f>
        <v>0.34615384615384615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88</v>
      </c>
      <c r="Y442" s="546">
        <f>IFERROR(IF(X442="",0,CEILING((X442/$H442),1)*$H442),"")</f>
        <v>91.2</v>
      </c>
      <c r="Z442" s="36">
        <f>IFERROR(IF(Y442=0,"",ROUNDUP(Y442/H442,0)*0.00902),"")</f>
        <v>0.17138</v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126.68333333333335</v>
      </c>
      <c r="BN442" s="64">
        <f>IFERROR(Y442*I442/H442,"0")</f>
        <v>131.29000000000002</v>
      </c>
      <c r="BO442" s="64">
        <f>IFERROR(1/J442*(X442/H442),"0")</f>
        <v>0.13888888888888892</v>
      </c>
      <c r="BP442" s="64">
        <f>IFERROR(1/J442*(Y442/H442),"0")</f>
        <v>0.14393939393939395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53.939393939393938</v>
      </c>
      <c r="Y443" s="547">
        <f>IFERROR(Y440/H440,"0")+IFERROR(Y441/H441,"0")+IFERROR(Y442/H442,"0")</f>
        <v>55</v>
      </c>
      <c r="Z443" s="547">
        <f>IFERROR(IF(Z440="",0,Z440),"0")+IFERROR(IF(Z441="",0,Z441),"0")+IFERROR(IF(Z442="",0,Z442),"0")</f>
        <v>0.60194000000000003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276</v>
      </c>
      <c r="Y444" s="547">
        <f>IFERROR(SUM(Y440:Y442),"0")</f>
        <v>281.28000000000003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214</v>
      </c>
      <c r="Y446" s="546">
        <f t="shared" ref="Y446:Y451" si="48">IFERROR(IF(X446="",0,CEILING((X446/$H446),1)*$H446),"")</f>
        <v>216.48000000000002</v>
      </c>
      <c r="Z446" s="36">
        <f>IFERROR(IF(Y446=0,"",ROUNDUP(Y446/H446,0)*0.01196),"")</f>
        <v>0.49036000000000002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228.18560606060603</v>
      </c>
      <c r="BN446" s="64">
        <f t="shared" ref="BN446:BN451" si="50">IFERROR(Y446*I446/H446,"0")</f>
        <v>230.83</v>
      </c>
      <c r="BO446" s="64">
        <f t="shared" ref="BO446:BO451" si="51">IFERROR(1/J446*(X446/H446),"0")</f>
        <v>0.38971445221445222</v>
      </c>
      <c r="BP446" s="64">
        <f t="shared" ref="BP446:BP451" si="52">IFERROR(1/J446*(Y446/H446),"0")</f>
        <v>0.39423076923076927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15</v>
      </c>
      <c r="Y447" s="546">
        <f t="shared" si="48"/>
        <v>15.84</v>
      </c>
      <c r="Z447" s="36">
        <f>IFERROR(IF(Y447=0,"",ROUNDUP(Y447/H447,0)*0.01196),"")</f>
        <v>3.5880000000000002E-2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15.994318181818182</v>
      </c>
      <c r="BN447" s="64">
        <f t="shared" si="50"/>
        <v>16.889999999999997</v>
      </c>
      <c r="BO447" s="64">
        <f t="shared" si="51"/>
        <v>2.7316433566433568E-2</v>
      </c>
      <c r="BP447" s="64">
        <f t="shared" si="52"/>
        <v>2.8846153846153848E-2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57</v>
      </c>
      <c r="Y448" s="546">
        <f t="shared" si="48"/>
        <v>58.080000000000005</v>
      </c>
      <c r="Z448" s="36">
        <f>IFERROR(IF(Y448=0,"",ROUNDUP(Y448/H448,0)*0.01196),"")</f>
        <v>0.13156000000000001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60.778409090909079</v>
      </c>
      <c r="BN448" s="64">
        <f t="shared" si="50"/>
        <v>61.93</v>
      </c>
      <c r="BO448" s="64">
        <f t="shared" si="51"/>
        <v>0.10380244755244755</v>
      </c>
      <c r="BP448" s="64">
        <f t="shared" si="52"/>
        <v>0.10576923076923078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54.166666666666671</v>
      </c>
      <c r="Y452" s="547">
        <f>IFERROR(Y446/H446,"0")+IFERROR(Y447/H447,"0")+IFERROR(Y448/H448,"0")+IFERROR(Y449/H449,"0")+IFERROR(Y450/H450,"0")+IFERROR(Y451/H451,"0")</f>
        <v>55</v>
      </c>
      <c r="Z452" s="547">
        <f>IFERROR(IF(Z446="",0,Z446),"0")+IFERROR(IF(Z447="",0,Z447),"0")+IFERROR(IF(Z448="",0,Z448),"0")+IFERROR(IF(Z449="",0,Z449),"0")+IFERROR(IF(Z450="",0,Z450),"0")+IFERROR(IF(Z451="",0,Z451),"0")</f>
        <v>0.65780000000000005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286</v>
      </c>
      <c r="Y453" s="547">
        <f>IFERROR(SUM(Y446:Y451),"0")</f>
        <v>290.40000000000003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115</v>
      </c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115</v>
      </c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/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17513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17703.400000000001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18578.583391104657</v>
      </c>
      <c r="Y492" s="547">
        <f>IFERROR(SUM(BN22:BN488),"0")</f>
        <v>18782.18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32</v>
      </c>
      <c r="Y493" s="38">
        <f>ROUNDUP(SUM(BP22:BP488),0)</f>
        <v>32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19378.583391104657</v>
      </c>
      <c r="Y494" s="547">
        <f>GrossWeightTotalR+PalletQtyTotalR*25</f>
        <v>19582.18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3818.4296651850573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3853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37.404750000000007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197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488.70000000000005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944.80000000000007</v>
      </c>
      <c r="E501" s="46">
        <f>IFERROR(Y86*1,"0")+IFERROR(Y87*1,"0")+IFERROR(Y88*1,"0")+IFERROR(Y89*1,"0")+IFERROR(Y93*1,"0")+IFERROR(Y94*1,"0")+IFERROR(Y95*1,"0")+IFERROR(Y96*1,"0")</f>
        <v>689.4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1504.5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1462.86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4287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19.89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273.59999999999997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1208.55</v>
      </c>
      <c r="R501" s="46">
        <f>IFERROR(Y338*1,"0")+IFERROR(Y339*1,"0")+IFERROR(Y340*1,"0")</f>
        <v>8.1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2991</v>
      </c>
      <c r="T501" s="46">
        <f>IFERROR(Y371*1,"0")+IFERROR(Y372*1,"0")+IFERROR(Y376*1,"0")+IFERROR(Y377*1,"0")+IFERROR(Y381*1,"0")+IFERROR(Y382*1,"0")+IFERROR(Y383*1,"0")</f>
        <v>2099.4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1725.6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it5wKBCYpYRstziIoKkkREoYsze+/FMrz3BUx/tCa2AhL7pJxZUw6jel+QovIzobVBCno7zJ7QRoTJsLem9E9g==" saltValue="Bj2am83l1F2rppp8tNP/e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3 X80 X86 X89 X93 X101 X104 X109 X112 X116 X118 X166 X168:X169 X172 X174 X197 X201:X202 X204:X206 X208 X214:X215 X217:X220 X225 X230 X277:X278 X318:X320 X327 X338 X346:X348 X356 X381:X382 X425 X428:X429 X431 X440 X442 X446:X448 X473:X474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C/MjWYDvDegOf3aQc4M2ke2SvDBrKshFaOkMqOdlvG3iVrRtCNFHs79/Zd9ZJnxnVeO2mAkxlZbyPNG7++eaLg==" saltValue="32v+yLpvXUtLjMDPpgmz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2025-12-17T07:39:03Z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