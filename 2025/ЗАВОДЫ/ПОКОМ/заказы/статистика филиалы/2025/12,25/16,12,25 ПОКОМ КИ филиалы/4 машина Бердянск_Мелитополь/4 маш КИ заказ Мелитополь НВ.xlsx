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0BB1D85-A43D-49BB-8FBA-DBF82EC3EE5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Y421" i="1" s="1"/>
  <c r="P419" i="1"/>
  <c r="X416" i="1"/>
  <c r="X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Y415" i="1" s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P402" i="1"/>
  <c r="BO402" i="1"/>
  <c r="BN402" i="1"/>
  <c r="BM402" i="1"/>
  <c r="Z402" i="1"/>
  <c r="Y402" i="1"/>
  <c r="P402" i="1"/>
  <c r="BO401" i="1"/>
  <c r="BM401" i="1"/>
  <c r="Y401" i="1"/>
  <c r="Y404" i="1" s="1"/>
  <c r="P401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U501" i="1" s="1"/>
  <c r="P389" i="1"/>
  <c r="X385" i="1"/>
  <c r="X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Y384" i="1" s="1"/>
  <c r="P381" i="1"/>
  <c r="X379" i="1"/>
  <c r="X378" i="1"/>
  <c r="BO377" i="1"/>
  <c r="BM377" i="1"/>
  <c r="Y377" i="1"/>
  <c r="BP377" i="1" s="1"/>
  <c r="P377" i="1"/>
  <c r="BP376" i="1"/>
  <c r="BO376" i="1"/>
  <c r="BN376" i="1"/>
  <c r="BM376" i="1"/>
  <c r="Z376" i="1"/>
  <c r="Y376" i="1"/>
  <c r="Y378" i="1" s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T501" i="1" s="1"/>
  <c r="P371" i="1"/>
  <c r="X368" i="1"/>
  <c r="X367" i="1"/>
  <c r="BO366" i="1"/>
  <c r="BM366" i="1"/>
  <c r="Y366" i="1"/>
  <c r="Y367" i="1" s="1"/>
  <c r="P366" i="1"/>
  <c r="X364" i="1"/>
  <c r="X363" i="1"/>
  <c r="BO362" i="1"/>
  <c r="BM362" i="1"/>
  <c r="Y362" i="1"/>
  <c r="BP362" i="1" s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Y353" i="1" s="1"/>
  <c r="P346" i="1"/>
  <c r="X342" i="1"/>
  <c r="X341" i="1"/>
  <c r="BO340" i="1"/>
  <c r="BM340" i="1"/>
  <c r="Y340" i="1"/>
  <c r="BP340" i="1" s="1"/>
  <c r="P340" i="1"/>
  <c r="BP339" i="1"/>
  <c r="BO339" i="1"/>
  <c r="BN339" i="1"/>
  <c r="BM339" i="1"/>
  <c r="Z339" i="1"/>
  <c r="Y339" i="1"/>
  <c r="P339" i="1"/>
  <c r="BO338" i="1"/>
  <c r="BM338" i="1"/>
  <c r="Y338" i="1"/>
  <c r="R501" i="1" s="1"/>
  <c r="P338" i="1"/>
  <c r="X335" i="1"/>
  <c r="X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P324" i="1"/>
  <c r="BO324" i="1"/>
  <c r="BN324" i="1"/>
  <c r="BM324" i="1"/>
  <c r="Z324" i="1"/>
  <c r="Y324" i="1"/>
  <c r="Y328" i="1" s="1"/>
  <c r="P324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Y322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Y316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Y308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X291" i="1"/>
  <c r="Y290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0" i="1" s="1"/>
  <c r="P276" i="1"/>
  <c r="X273" i="1"/>
  <c r="X272" i="1"/>
  <c r="BP271" i="1"/>
  <c r="BO271" i="1"/>
  <c r="BN271" i="1"/>
  <c r="BM271" i="1"/>
  <c r="Z271" i="1"/>
  <c r="Y271" i="1"/>
  <c r="P271" i="1"/>
  <c r="BO270" i="1"/>
  <c r="BN270" i="1"/>
  <c r="BM270" i="1"/>
  <c r="Z270" i="1"/>
  <c r="Y270" i="1"/>
  <c r="BP270" i="1" s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Y272" i="1" s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Y264" i="1" s="1"/>
  <c r="P259" i="1"/>
  <c r="X256" i="1"/>
  <c r="X255" i="1"/>
  <c r="BO254" i="1"/>
  <c r="BM254" i="1"/>
  <c r="Z254" i="1"/>
  <c r="Y254" i="1"/>
  <c r="BP254" i="1" s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BP251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Z230" i="1"/>
  <c r="Y230" i="1"/>
  <c r="K5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7" i="1" s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491" i="1" s="1"/>
  <c r="X24" i="1"/>
  <c r="X495" i="1" s="1"/>
  <c r="BO23" i="1"/>
  <c r="BM23" i="1"/>
  <c r="Y23" i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Y24" i="1"/>
  <c r="X492" i="1"/>
  <c r="X493" i="1"/>
  <c r="BP29" i="1"/>
  <c r="BN29" i="1"/>
  <c r="Z29" i="1"/>
  <c r="F9" i="1"/>
  <c r="J9" i="1"/>
  <c r="BP23" i="1"/>
  <c r="Y493" i="1" s="1"/>
  <c r="BN23" i="1"/>
  <c r="Y492" i="1" s="1"/>
  <c r="Y494" i="1" s="1"/>
  <c r="Z23" i="1"/>
  <c r="Z24" i="1" s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Y226" i="1"/>
  <c r="BN230" i="1"/>
  <c r="BP230" i="1"/>
  <c r="Z232" i="1"/>
  <c r="BN232" i="1"/>
  <c r="Z234" i="1"/>
  <c r="BN234" i="1"/>
  <c r="Z236" i="1"/>
  <c r="BN236" i="1"/>
  <c r="Z238" i="1"/>
  <c r="BN238" i="1"/>
  <c r="Y239" i="1"/>
  <c r="BN254" i="1"/>
  <c r="Y255" i="1"/>
  <c r="BP277" i="1"/>
  <c r="BN277" i="1"/>
  <c r="Z277" i="1"/>
  <c r="Z279" i="1" s="1"/>
  <c r="BP295" i="1"/>
  <c r="BN295" i="1"/>
  <c r="Z295" i="1"/>
  <c r="Z299" i="1" s="1"/>
  <c r="Y299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Z77" i="1" s="1"/>
  <c r="BN74" i="1"/>
  <c r="Z76" i="1"/>
  <c r="BN76" i="1"/>
  <c r="Z80" i="1"/>
  <c r="Z82" i="1" s="1"/>
  <c r="BN80" i="1"/>
  <c r="BP80" i="1"/>
  <c r="E501" i="1"/>
  <c r="Z88" i="1"/>
  <c r="Z90" i="1" s="1"/>
  <c r="BN88" i="1"/>
  <c r="Y91" i="1"/>
  <c r="Z94" i="1"/>
  <c r="Z97" i="1" s="1"/>
  <c r="BN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Z117" i="1"/>
  <c r="Z120" i="1" s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1" i="1"/>
  <c r="Z145" i="1"/>
  <c r="Z146" i="1" s="1"/>
  <c r="BN145" i="1"/>
  <c r="Y146" i="1"/>
  <c r="Z149" i="1"/>
  <c r="Z152" i="1" s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1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31" i="1"/>
  <c r="Z239" i="1" s="1"/>
  <c r="BN231" i="1"/>
  <c r="Z233" i="1"/>
  <c r="BN233" i="1"/>
  <c r="Z235" i="1"/>
  <c r="BN235" i="1"/>
  <c r="Z237" i="1"/>
  <c r="BN237" i="1"/>
  <c r="Y240" i="1"/>
  <c r="Z251" i="1"/>
  <c r="Z255" i="1" s="1"/>
  <c r="BN251" i="1"/>
  <c r="Z253" i="1"/>
  <c r="BN253" i="1"/>
  <c r="L501" i="1"/>
  <c r="Z260" i="1"/>
  <c r="Z264" i="1" s="1"/>
  <c r="BN260" i="1"/>
  <c r="Z262" i="1"/>
  <c r="BN262" i="1"/>
  <c r="Y265" i="1"/>
  <c r="M501" i="1"/>
  <c r="Y273" i="1"/>
  <c r="Z269" i="1"/>
  <c r="Z272" i="1" s="1"/>
  <c r="BN269" i="1"/>
  <c r="Y279" i="1"/>
  <c r="BP284" i="1"/>
  <c r="BN284" i="1"/>
  <c r="Z284" i="1"/>
  <c r="Z285" i="1" s="1"/>
  <c r="Y286" i="1"/>
  <c r="Y291" i="1"/>
  <c r="BP288" i="1"/>
  <c r="BN288" i="1"/>
  <c r="Z288" i="1"/>
  <c r="Z290" i="1" s="1"/>
  <c r="Q501" i="1"/>
  <c r="BP297" i="1"/>
  <c r="BN297" i="1"/>
  <c r="Z297" i="1"/>
  <c r="Y309" i="1"/>
  <c r="Y315" i="1"/>
  <c r="Y321" i="1"/>
  <c r="Y329" i="1"/>
  <c r="Y335" i="1"/>
  <c r="Y342" i="1"/>
  <c r="Y354" i="1"/>
  <c r="Y358" i="1"/>
  <c r="Y364" i="1"/>
  <c r="Y368" i="1"/>
  <c r="Y373" i="1"/>
  <c r="Y379" i="1"/>
  <c r="Y385" i="1"/>
  <c r="Y399" i="1"/>
  <c r="Y403" i="1"/>
  <c r="Y416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S501" i="1"/>
  <c r="W501" i="1"/>
  <c r="P501" i="1"/>
  <c r="Y285" i="1"/>
  <c r="Y300" i="1"/>
  <c r="Z303" i="1"/>
  <c r="Z308" i="1" s="1"/>
  <c r="BN303" i="1"/>
  <c r="Z305" i="1"/>
  <c r="BN305" i="1"/>
  <c r="Z307" i="1"/>
  <c r="BN307" i="1"/>
  <c r="Z311" i="1"/>
  <c r="BN311" i="1"/>
  <c r="BP311" i="1"/>
  <c r="Z313" i="1"/>
  <c r="BN313" i="1"/>
  <c r="Z319" i="1"/>
  <c r="Z321" i="1" s="1"/>
  <c r="BN319" i="1"/>
  <c r="Z325" i="1"/>
  <c r="Z328" i="1" s="1"/>
  <c r="BN325" i="1"/>
  <c r="Z327" i="1"/>
  <c r="BN327" i="1"/>
  <c r="Z331" i="1"/>
  <c r="Z334" i="1" s="1"/>
  <c r="BN331" i="1"/>
  <c r="BP331" i="1"/>
  <c r="Z333" i="1"/>
  <c r="BN333" i="1"/>
  <c r="Z338" i="1"/>
  <c r="BN338" i="1"/>
  <c r="BP338" i="1"/>
  <c r="Z340" i="1"/>
  <c r="BN340" i="1"/>
  <c r="Y341" i="1"/>
  <c r="Z346" i="1"/>
  <c r="BN346" i="1"/>
  <c r="BP346" i="1"/>
  <c r="Z348" i="1"/>
  <c r="BN348" i="1"/>
  <c r="Z350" i="1"/>
  <c r="BN350" i="1"/>
  <c r="Z352" i="1"/>
  <c r="BN352" i="1"/>
  <c r="Z356" i="1"/>
  <c r="Z358" i="1" s="1"/>
  <c r="BN356" i="1"/>
  <c r="BP356" i="1"/>
  <c r="Z362" i="1"/>
  <c r="Z363" i="1" s="1"/>
  <c r="BN362" i="1"/>
  <c r="Z366" i="1"/>
  <c r="Z367" i="1" s="1"/>
  <c r="BN366" i="1"/>
  <c r="BP366" i="1"/>
  <c r="Z371" i="1"/>
  <c r="Z373" i="1" s="1"/>
  <c r="BN371" i="1"/>
  <c r="BP371" i="1"/>
  <c r="Y374" i="1"/>
  <c r="Z377" i="1"/>
  <c r="Z378" i="1" s="1"/>
  <c r="BN377" i="1"/>
  <c r="Z381" i="1"/>
  <c r="Z384" i="1" s="1"/>
  <c r="BN381" i="1"/>
  <c r="BP381" i="1"/>
  <c r="Z383" i="1"/>
  <c r="BN383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Z403" i="1" s="1"/>
  <c r="BN401" i="1"/>
  <c r="BP401" i="1"/>
  <c r="V501" i="1"/>
  <c r="Y409" i="1"/>
  <c r="Z412" i="1"/>
  <c r="Z415" i="1" s="1"/>
  <c r="BN412" i="1"/>
  <c r="Z414" i="1"/>
  <c r="BN414" i="1"/>
  <c r="Z419" i="1"/>
  <c r="Z420" i="1" s="1"/>
  <c r="BN419" i="1"/>
  <c r="BP419" i="1"/>
  <c r="Y420" i="1"/>
  <c r="X501" i="1"/>
  <c r="BP427" i="1"/>
  <c r="BN427" i="1"/>
  <c r="Z427" i="1"/>
  <c r="Z437" i="1" s="1"/>
  <c r="BP431" i="1"/>
  <c r="BN431" i="1"/>
  <c r="Z431" i="1"/>
  <c r="BP435" i="1"/>
  <c r="BN435" i="1"/>
  <c r="Z435" i="1"/>
  <c r="Y444" i="1"/>
  <c r="Y443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398" i="1" l="1"/>
  <c r="Z353" i="1"/>
  <c r="Z341" i="1"/>
  <c r="Z315" i="1"/>
  <c r="Z221" i="1"/>
  <c r="Z58" i="1"/>
  <c r="Z32" i="1"/>
  <c r="Z496" i="1" s="1"/>
  <c r="Y491" i="1"/>
  <c r="X494" i="1"/>
  <c r="Y495" i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<sst xmlns="http://schemas.openxmlformats.org/spreadsheetml/2006/main" count="2335" uniqueCount="775">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</sst>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113</v>
      </c>
      <c r="Y41" s="546">
        <f>IFERROR(IF(X41="",0,CEILING((X41/$H41),1)*$H41),"")</f>
        <v>118.80000000000001</v>
      </c>
      <c r="Z41" s="36">
        <f>IFERROR(IF(Y41=0,"",ROUNDUP(Y41/H41,0)*0.01898),"")</f>
        <v>0.20877999999999999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117.2898148148148</v>
      </c>
      <c r="BN41" s="64">
        <f>IFERROR(Y41*I41/H41,"0")</f>
        <v>123.31000000000002</v>
      </c>
      <c r="BO41" s="64">
        <f>IFERROR(1/J41*(X41/H41),"0")</f>
        <v>0.16348379629629628</v>
      </c>
      <c r="BP41" s="64">
        <f>IFERROR(1/J41*(Y41/H41),"0")</f>
        <v>0.171875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10.462962962962962</v>
      </c>
      <c r="Y44" s="547">
        <f>IFERROR(Y41/H41,"0")+IFERROR(Y42/H42,"0")+IFERROR(Y43/H43,"0")</f>
        <v>11</v>
      </c>
      <c r="Z44" s="547">
        <f>IFERROR(IF(Z41="",0,Z41),"0")+IFERROR(IF(Z42="",0,Z42),"0")+IFERROR(IF(Z43="",0,Z43),"0")</f>
        <v>0.20877999999999999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113</v>
      </c>
      <c r="Y45" s="547">
        <f>IFERROR(SUM(Y41:Y43),"0")</f>
        <v>118.80000000000001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11</v>
      </c>
      <c r="Y52" s="546">
        <f t="shared" ref="Y52:Y57" si="0">IFERROR(IF(X52="",0,CEILING((X52/$H52),1)*$H52),"")</f>
        <v>11.2</v>
      </c>
      <c r="Z52" s="36">
        <f>IFERROR(IF(Y52=0,"",ROUNDUP(Y52/H52,0)*0.01898),"")</f>
        <v>1.898E-2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11.402678571428572</v>
      </c>
      <c r="BN52" s="64">
        <f t="shared" ref="BN52:BN57" si="2">IFERROR(Y52*I52/H52,"0")</f>
        <v>11.61</v>
      </c>
      <c r="BO52" s="64">
        <f t="shared" ref="BO52:BO57" si="3">IFERROR(1/J52*(X52/H52),"0")</f>
        <v>1.5345982142857144E-2</v>
      </c>
      <c r="BP52" s="64">
        <f t="shared" ref="BP52:BP57" si="4">IFERROR(1/J52*(Y52/H52),"0")</f>
        <v>1.5625E-2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71</v>
      </c>
      <c r="Y55" s="546">
        <f t="shared" si="0"/>
        <v>72</v>
      </c>
      <c r="Z55" s="36">
        <f>IFERROR(IF(Y55=0,"",ROUNDUP(Y55/H55,0)*0.00902),"")</f>
        <v>0.16236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74.372500000000002</v>
      </c>
      <c r="BN55" s="64">
        <f t="shared" si="2"/>
        <v>75.42</v>
      </c>
      <c r="BO55" s="64">
        <f t="shared" si="3"/>
        <v>0.13446969696969696</v>
      </c>
      <c r="BP55" s="64">
        <f t="shared" si="4"/>
        <v>0.13636363636363635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18.732142857142858</v>
      </c>
      <c r="Y58" s="547">
        <f>IFERROR(Y52/H52,"0")+IFERROR(Y53/H53,"0")+IFERROR(Y54/H54,"0")+IFERROR(Y55/H55,"0")+IFERROR(Y56/H56,"0")+IFERROR(Y57/H57,"0")</f>
        <v>19</v>
      </c>
      <c r="Z58" s="547">
        <f>IFERROR(IF(Z52="",0,Z52),"0")+IFERROR(IF(Z53="",0,Z53),"0")+IFERROR(IF(Z54="",0,Z54),"0")+IFERROR(IF(Z55="",0,Z55),"0")+IFERROR(IF(Z56="",0,Z56),"0")+IFERROR(IF(Z57="",0,Z57),"0")</f>
        <v>0.18134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82</v>
      </c>
      <c r="Y59" s="547">
        <f>IFERROR(SUM(Y52:Y57),"0")</f>
        <v>83.2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45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46.708333333333336</v>
      </c>
      <c r="BN61" s="64">
        <f>IFERROR(Y61*I61/H61,"0")</f>
        <v>56.05</v>
      </c>
      <c r="BO61" s="64">
        <f>IFERROR(1/J61*(X61/H61),"0")</f>
        <v>6.5104166666666657E-2</v>
      </c>
      <c r="BP61" s="64">
        <f>IFERROR(1/J61*(Y61/H61),"0")</f>
        <v>7.8125E-2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4.1666666666666661</v>
      </c>
      <c r="Y64" s="547">
        <f>IFERROR(Y61/H61,"0")+IFERROR(Y62/H62,"0")+IFERROR(Y63/H63,"0")</f>
        <v>5</v>
      </c>
      <c r="Z64" s="547">
        <f>IFERROR(IF(Z61="",0,Z61),"0")+IFERROR(IF(Z62="",0,Z62),"0")+IFERROR(IF(Z63="",0,Z63),"0")</f>
        <v>9.4899999999999998E-2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45</v>
      </c>
      <c r="Y65" s="547">
        <f>IFERROR(SUM(Y61:Y63),"0")</f>
        <v>54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99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102.75833333333334</v>
      </c>
      <c r="BN86" s="64">
        <f>IFERROR(Y86*I86/H86,"0")</f>
        <v>112.1</v>
      </c>
      <c r="BO86" s="64">
        <f>IFERROR(1/J86*(X86/H86),"0")</f>
        <v>0.14322916666666666</v>
      </c>
      <c r="BP86" s="64">
        <f>IFERROR(1/J86*(Y86/H86),"0")</f>
        <v>0.15625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67</v>
      </c>
      <c r="Y89" s="546">
        <f>IFERROR(IF(X89="",0,CEILING((X89/$H89),1)*$H89),"")</f>
        <v>67.5</v>
      </c>
      <c r="Z89" s="36">
        <f>IFERROR(IF(Y89=0,"",ROUNDUP(Y89/H89,0)*0.00902),"")</f>
        <v>0.1353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69.828888888888898</v>
      </c>
      <c r="BN89" s="64">
        <f>IFERROR(Y89*I89/H89,"0")</f>
        <v>70.350000000000009</v>
      </c>
      <c r="BO89" s="64">
        <f>IFERROR(1/J89*(X89/H89),"0")</f>
        <v>0.11279461279461279</v>
      </c>
      <c r="BP89" s="64">
        <f>IFERROR(1/J89*(Y89/H89),"0")</f>
        <v>0.11363636363636365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24.055555555555557</v>
      </c>
      <c r="Y90" s="547">
        <f>IFERROR(Y86/H86,"0")+IFERROR(Y87/H87,"0")+IFERROR(Y88/H88,"0")+IFERROR(Y89/H89,"0")</f>
        <v>25</v>
      </c>
      <c r="Z90" s="547">
        <f>IFERROR(IF(Z86="",0,Z86),"0")+IFERROR(IF(Z87="",0,Z87),"0")+IFERROR(IF(Z88="",0,Z88),"0")+IFERROR(IF(Z89="",0,Z89),"0")</f>
        <v>0.3251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166</v>
      </c>
      <c r="Y91" s="547">
        <f>IFERROR(SUM(Y86:Y89),"0")</f>
        <v>175.5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99</v>
      </c>
      <c r="Y93" s="546">
        <f>IFERROR(IF(X93="",0,CEILING((X93/$H93),1)*$H93),"")</f>
        <v>105.3</v>
      </c>
      <c r="Z93" s="36">
        <f>IFERROR(IF(Y93=0,"",ROUNDUP(Y93/H93,0)*0.01898),"")</f>
        <v>0.24674000000000001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105.03777777777778</v>
      </c>
      <c r="BN93" s="64">
        <f>IFERROR(Y93*I93/H93,"0")</f>
        <v>111.72199999999999</v>
      </c>
      <c r="BO93" s="64">
        <f>IFERROR(1/J93*(X93/H93),"0")</f>
        <v>0.19097222222222224</v>
      </c>
      <c r="BP93" s="64">
        <f>IFERROR(1/J93*(Y93/H93),"0")</f>
        <v>0.203125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12.222222222222223</v>
      </c>
      <c r="Y97" s="547">
        <f>IFERROR(Y93/H93,"0")+IFERROR(Y94/H94,"0")+IFERROR(Y95/H95,"0")+IFERROR(Y96/H96,"0")</f>
        <v>13</v>
      </c>
      <c r="Z97" s="547">
        <f>IFERROR(IF(Z93="",0,Z93),"0")+IFERROR(IF(Z94="",0,Z94),"0")+IFERROR(IF(Z95="",0,Z95),"0")+IFERROR(IF(Z96="",0,Z96),"0")</f>
        <v>0.24674000000000001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99</v>
      </c>
      <c r="Y98" s="547">
        <f>IFERROR(SUM(Y93:Y96),"0")</f>
        <v>105.3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64</v>
      </c>
      <c r="Y101" s="546">
        <f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66.42962962962963</v>
      </c>
      <c r="BN101" s="64">
        <f>IFERROR(Y101*I101/H101,"0")</f>
        <v>67.260000000000005</v>
      </c>
      <c r="BO101" s="64">
        <f>IFERROR(1/J101*(X101/H101),"0")</f>
        <v>9.2592592592592587E-2</v>
      </c>
      <c r="BP101" s="64">
        <f>IFERROR(1/J101*(Y101/H101),"0")</f>
        <v>9.3750000000000014E-2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30</v>
      </c>
      <c r="Y104" s="546">
        <f>IFERROR(IF(X104="",0,CEILING((X104/$H104),1)*$H104),"")</f>
        <v>31.5</v>
      </c>
      <c r="Z104" s="36">
        <f>IFERROR(IF(Y104=0,"",ROUNDUP(Y104/H104,0)*0.00902),"")</f>
        <v>6.3140000000000002E-2</v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31.266666666666669</v>
      </c>
      <c r="BN104" s="64">
        <f>IFERROR(Y104*I104/H104,"0")</f>
        <v>32.830000000000005</v>
      </c>
      <c r="BO104" s="64">
        <f>IFERROR(1/J104*(X104/H104),"0")</f>
        <v>5.0505050505050511E-2</v>
      </c>
      <c r="BP104" s="64">
        <f>IFERROR(1/J104*(Y104/H104),"0")</f>
        <v>5.3030303030303032E-2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12.592592592592592</v>
      </c>
      <c r="Y106" s="547">
        <f>IFERROR(Y101/H101,"0")+IFERROR(Y102/H102,"0")+IFERROR(Y103/H103,"0")+IFERROR(Y104/H104,"0")+IFERROR(Y105/H105,"0")</f>
        <v>13</v>
      </c>
      <c r="Z106" s="547">
        <f>IFERROR(IF(Z101="",0,Z101),"0")+IFERROR(IF(Z102="",0,Z102),"0")+IFERROR(IF(Z103="",0,Z103),"0")+IFERROR(IF(Z104="",0,Z104),"0")+IFERROR(IF(Z105="",0,Z105),"0")</f>
        <v>0.17702000000000001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94</v>
      </c>
      <c r="Y107" s="547">
        <f>IFERROR(SUM(Y101:Y105),"0")</f>
        <v>96.300000000000011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49</v>
      </c>
      <c r="Y109" s="546">
        <f>IFERROR(IF(X109="",0,CEILING((X109/$H109),1)*$H109),"")</f>
        <v>54</v>
      </c>
      <c r="Z109" s="36">
        <f>IFERROR(IF(Y109=0,"",ROUNDUP(Y109/H109,0)*0.01898),"")</f>
        <v>9.4899999999999998E-2</v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50.860185185185188</v>
      </c>
      <c r="BN109" s="64">
        <f>IFERROR(Y109*I109/H109,"0")</f>
        <v>56.05</v>
      </c>
      <c r="BO109" s="64">
        <f>IFERROR(1/J109*(X109/H109),"0")</f>
        <v>7.0891203703703692E-2</v>
      </c>
      <c r="BP109" s="64">
        <f>IFERROR(1/J109*(Y109/H109),"0")</f>
        <v>7.8125E-2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48</v>
      </c>
      <c r="Y112" s="546">
        <f>IFERROR(IF(X112="",0,CEILING((X112/$H112),1)*$H112),"")</f>
        <v>48</v>
      </c>
      <c r="Z112" s="36">
        <f>IFERROR(IF(Y112=0,"",ROUNDUP(Y112/H112,0)*0.00651),"")</f>
        <v>0.13020000000000001</v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51.6</v>
      </c>
      <c r="BN112" s="64">
        <f>IFERROR(Y112*I112/H112,"0")</f>
        <v>51.6</v>
      </c>
      <c r="BO112" s="64">
        <f>IFERROR(1/J112*(X112/H112),"0")</f>
        <v>0.1098901098901099</v>
      </c>
      <c r="BP112" s="64">
        <f>IFERROR(1/J112*(Y112/H112),"0")</f>
        <v>0.1098901098901099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24.537037037037038</v>
      </c>
      <c r="Y113" s="547">
        <f>IFERROR(Y109/H109,"0")+IFERROR(Y110/H110,"0")+IFERROR(Y111/H111,"0")+IFERROR(Y112/H112,"0")</f>
        <v>25</v>
      </c>
      <c r="Z113" s="547">
        <f>IFERROR(IF(Z109="",0,Z109),"0")+IFERROR(IF(Z110="",0,Z110),"0")+IFERROR(IF(Z111="",0,Z111),"0")+IFERROR(IF(Z112="",0,Z112),"0")</f>
        <v>0.22510000000000002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97</v>
      </c>
      <c r="Y114" s="547">
        <f>IFERROR(SUM(Y109:Y112),"0")</f>
        <v>102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91</v>
      </c>
      <c r="Y116" s="546">
        <f>IFERROR(IF(X116="",0,CEILING((X116/$H116),1)*$H116),"")</f>
        <v>97.199999999999989</v>
      </c>
      <c r="Z116" s="36">
        <f>IFERROR(IF(Y116=0,"",ROUNDUP(Y116/H116,0)*0.01898),"")</f>
        <v>0.22776000000000002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96.482469135802461</v>
      </c>
      <c r="BN116" s="64">
        <f>IFERROR(Y116*I116/H116,"0")</f>
        <v>103.05599999999998</v>
      </c>
      <c r="BO116" s="64">
        <f>IFERROR(1/J116*(X116/H116),"0")</f>
        <v>0.17554012345679013</v>
      </c>
      <c r="BP116" s="64">
        <f>IFERROR(1/J116*(Y116/H116),"0")</f>
        <v>0.1875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64</v>
      </c>
      <c r="Y118" s="546">
        <f>IFERROR(IF(X118="",0,CEILING((X118/$H118),1)*$H118),"")</f>
        <v>64.800000000000011</v>
      </c>
      <c r="Z118" s="36">
        <f>IFERROR(IF(Y118=0,"",ROUNDUP(Y118/H118,0)*0.00651),"")</f>
        <v>0.15623999999999999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69.973333333333329</v>
      </c>
      <c r="BN118" s="64">
        <f>IFERROR(Y118*I118/H118,"0")</f>
        <v>70.848000000000013</v>
      </c>
      <c r="BO118" s="64">
        <f>IFERROR(1/J118*(X118/H118),"0")</f>
        <v>0.13024013024013023</v>
      </c>
      <c r="BP118" s="64">
        <f>IFERROR(1/J118*(Y118/H118),"0")</f>
        <v>0.1318681318681319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34.938271604938272</v>
      </c>
      <c r="Y120" s="547">
        <f>IFERROR(Y116/H116,"0")+IFERROR(Y117/H117,"0")+IFERROR(Y118/H118,"0")+IFERROR(Y119/H119,"0")</f>
        <v>36</v>
      </c>
      <c r="Z120" s="547">
        <f>IFERROR(IF(Z116="",0,Z116),"0")+IFERROR(IF(Z117="",0,Z117),"0")+IFERROR(IF(Z118="",0,Z118),"0")+IFERROR(IF(Z119="",0,Z119),"0")</f>
        <v>0.38400000000000001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155</v>
      </c>
      <c r="Y121" s="547">
        <f>IFERROR(SUM(Y116:Y119),"0")</f>
        <v>162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125</v>
      </c>
      <c r="Y166" s="546">
        <f t="shared" si="5"/>
        <v>126</v>
      </c>
      <c r="Z166" s="36">
        <f>IFERROR(IF(Y166=0,"",ROUNDUP(Y166/H166,0)*0.00902),"")</f>
        <v>0.27060000000000001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132.44047619047618</v>
      </c>
      <c r="BN166" s="64">
        <f t="shared" si="7"/>
        <v>133.5</v>
      </c>
      <c r="BO166" s="64">
        <f t="shared" si="8"/>
        <v>0.22546897546897546</v>
      </c>
      <c r="BP166" s="64">
        <f t="shared" si="9"/>
        <v>0.22727272727272729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101</v>
      </c>
      <c r="Y168" s="546">
        <f t="shared" si="5"/>
        <v>105</v>
      </c>
      <c r="Z168" s="36">
        <f>IFERROR(IF(Y168=0,"",ROUNDUP(Y168/H168,0)*0.00902),"")</f>
        <v>0.22550000000000001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105.56904761904761</v>
      </c>
      <c r="BN168" s="64">
        <f t="shared" si="7"/>
        <v>109.74999999999999</v>
      </c>
      <c r="BO168" s="64">
        <f t="shared" si="8"/>
        <v>0.18217893217893219</v>
      </c>
      <c r="BP168" s="64">
        <f t="shared" si="9"/>
        <v>0.18939393939393939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9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9.65</v>
      </c>
      <c r="BN172" s="64">
        <f t="shared" si="7"/>
        <v>9.65</v>
      </c>
      <c r="BO172" s="64">
        <f t="shared" si="8"/>
        <v>2.1367521367521368E-2</v>
      </c>
      <c r="BP172" s="64">
        <f t="shared" si="9"/>
        <v>2.1367521367521368E-2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90</v>
      </c>
      <c r="Y174" s="546">
        <f t="shared" si="5"/>
        <v>90.3</v>
      </c>
      <c r="Z174" s="36">
        <f>IFERROR(IF(Y174=0,"",ROUNDUP(Y174/H174,0)*0.00502),"")</f>
        <v>0.21586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94.285714285714292</v>
      </c>
      <c r="BN174" s="64">
        <f t="shared" si="7"/>
        <v>94.6</v>
      </c>
      <c r="BO174" s="64">
        <f t="shared" si="8"/>
        <v>0.18315018315018317</v>
      </c>
      <c r="BP174" s="64">
        <f t="shared" si="9"/>
        <v>0.18376068376068377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101.66666666666666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103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0.73706000000000005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325</v>
      </c>
      <c r="Y178" s="547">
        <f>IFERROR(SUM(Y165:Y176),"0")</f>
        <v>330.3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3.9682539682539679</v>
      </c>
      <c r="Y183" s="547">
        <f>IFERROR(Y180/H180,"0")+IFERROR(Y181/H181,"0")+IFERROR(Y182/H182,"0")</f>
        <v>5</v>
      </c>
      <c r="Z183" s="547">
        <f>IFERROR(IF(Z180="",0,Z180),"0")+IFERROR(IF(Z181="",0,Z181),"0")+IFERROR(IF(Z182="",0,Z182),"0")</f>
        <v>2.9499999999999998E-2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5</v>
      </c>
      <c r="Y184" s="547">
        <f>IFERROR(SUM(Y180:Y182),"0")</f>
        <v>6.3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2</v>
      </c>
      <c r="Y186" s="546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1.5873015873015872</v>
      </c>
      <c r="Y187" s="547">
        <f>IFERROR(Y186/H186,"0")</f>
        <v>2</v>
      </c>
      <c r="Z187" s="547">
        <f>IFERROR(IF(Z186="",0,Z186),"0")</f>
        <v>1.18E-2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2</v>
      </c>
      <c r="Y188" s="547">
        <f>IFERROR(SUM(Y186:Y186),"0")</f>
        <v>2.52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246</v>
      </c>
      <c r="Y201" s="546">
        <f t="shared" ref="Y201:Y208" si="10">IFERROR(IF(X201="",0,CEILING((X201/$H201),1)*$H201),"")</f>
        <v>248.4</v>
      </c>
      <c r="Z201" s="36">
        <f>IFERROR(IF(Y201=0,"",ROUNDUP(Y201/H201,0)*0.00902),"")</f>
        <v>0.41492000000000001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254.65555555555551</v>
      </c>
      <c r="BN201" s="64">
        <f t="shared" ref="BN201:BN208" si="12">IFERROR(Y201*I201/H201,"0")</f>
        <v>257.14</v>
      </c>
      <c r="BO201" s="64">
        <f t="shared" ref="BO201:BO208" si="13">IFERROR(1/J201*(X201/H201),"0")</f>
        <v>0.3451178451178451</v>
      </c>
      <c r="BP201" s="64">
        <f t="shared" ref="BP201:BP208" si="14">IFERROR(1/J201*(Y201/H201),"0")</f>
        <v>0.34848484848484851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49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50.724074074074068</v>
      </c>
      <c r="BN202" s="64">
        <f t="shared" si="12"/>
        <v>55.9</v>
      </c>
      <c r="BO202" s="64">
        <f t="shared" si="13"/>
        <v>6.8742985409652069E-2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179</v>
      </c>
      <c r="Y204" s="546">
        <f t="shared" si="10"/>
        <v>183.60000000000002</v>
      </c>
      <c r="Z204" s="36">
        <f>IFERROR(IF(Y204=0,"",ROUNDUP(Y204/H204,0)*0.00902),"")</f>
        <v>0.30668000000000001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185.29814814814813</v>
      </c>
      <c r="BN204" s="64">
        <f t="shared" si="12"/>
        <v>190.06</v>
      </c>
      <c r="BO204" s="64">
        <f t="shared" si="13"/>
        <v>0.25112233445566778</v>
      </c>
      <c r="BP204" s="64">
        <f t="shared" si="14"/>
        <v>0.25757575757575757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45</v>
      </c>
      <c r="Y205" s="546">
        <f t="shared" si="10"/>
        <v>45</v>
      </c>
      <c r="Z205" s="36">
        <f>IFERROR(IF(Y205=0,"",ROUNDUP(Y205/H205,0)*0.00502),"")</f>
        <v>0.1255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48.249999999999993</v>
      </c>
      <c r="BN205" s="64">
        <f t="shared" si="12"/>
        <v>48.249999999999993</v>
      </c>
      <c r="BO205" s="64">
        <f t="shared" si="13"/>
        <v>0.10683760683760685</v>
      </c>
      <c r="BP205" s="64">
        <f t="shared" si="14"/>
        <v>0.10683760683760685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6</v>
      </c>
      <c r="Y206" s="546">
        <f t="shared" si="10"/>
        <v>7.2</v>
      </c>
      <c r="Z206" s="36">
        <f>IFERROR(IF(Y206=0,"",ROUNDUP(Y206/H206,0)*0.00502),"")</f>
        <v>2.0080000000000001E-2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6.3333333333333321</v>
      </c>
      <c r="BN206" s="64">
        <f t="shared" si="12"/>
        <v>7.6</v>
      </c>
      <c r="BO206" s="64">
        <f t="shared" si="13"/>
        <v>1.4245014245014245E-2</v>
      </c>
      <c r="BP206" s="64">
        <f t="shared" si="14"/>
        <v>1.7094017094017096E-2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11</v>
      </c>
      <c r="Y208" s="546">
        <f t="shared" si="10"/>
        <v>12.6</v>
      </c>
      <c r="Z208" s="36">
        <f>IFERROR(IF(Y208=0,"",ROUNDUP(Y208/H208,0)*0.00502),"")</f>
        <v>3.5140000000000005E-2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11.611111111111111</v>
      </c>
      <c r="BN208" s="64">
        <f t="shared" si="12"/>
        <v>13.299999999999999</v>
      </c>
      <c r="BO208" s="64">
        <f t="shared" si="13"/>
        <v>2.6115859449192782E-2</v>
      </c>
      <c r="BP208" s="64">
        <f t="shared" si="14"/>
        <v>2.9914529914529919E-2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122.22222222222221</v>
      </c>
      <c r="Y209" s="547">
        <f>IFERROR(Y201/H201,"0")+IFERROR(Y202/H202,"0")+IFERROR(Y203/H203,"0")+IFERROR(Y204/H204,"0")+IFERROR(Y205/H205,"0")+IFERROR(Y206/H206,"0")+IFERROR(Y207/H207,"0")+IFERROR(Y208/H208,"0")</f>
        <v>126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0.99252000000000007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536</v>
      </c>
      <c r="Y210" s="547">
        <f>IFERROR(SUM(Y201:Y208),"0")</f>
        <v>550.80000000000007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24</v>
      </c>
      <c r="Y212" s="546">
        <f t="shared" ref="Y212:Y220" si="15">IFERROR(IF(X212="",0,CEILING((X212/$H212),1)*$H212),"")</f>
        <v>24.299999999999997</v>
      </c>
      <c r="Z212" s="36">
        <f>IFERROR(IF(Y212=0,"",ROUNDUP(Y212/H212,0)*0.01898),"")</f>
        <v>5.6940000000000004E-2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25.4637037037037</v>
      </c>
      <c r="BN212" s="64">
        <f t="shared" ref="BN212:BN220" si="17">IFERROR(Y212*I212/H212,"0")</f>
        <v>25.781999999999996</v>
      </c>
      <c r="BO212" s="64">
        <f t="shared" ref="BO212:BO220" si="18">IFERROR(1/J212*(X212/H212),"0")</f>
        <v>4.6296296296296301E-2</v>
      </c>
      <c r="BP212" s="64">
        <f t="shared" ref="BP212:BP220" si="19">IFERROR(1/J212*(Y212/H212),"0")</f>
        <v>4.6875E-2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21</v>
      </c>
      <c r="Y213" s="546">
        <f t="shared" si="15"/>
        <v>24.299999999999997</v>
      </c>
      <c r="Z213" s="36">
        <f>IFERROR(IF(Y213=0,"",ROUNDUP(Y213/H213,0)*0.01898),"")</f>
        <v>5.6940000000000004E-2</v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22.234074074074076</v>
      </c>
      <c r="BN213" s="64">
        <f t="shared" si="17"/>
        <v>25.727999999999998</v>
      </c>
      <c r="BO213" s="64">
        <f t="shared" si="18"/>
        <v>4.0509259259259259E-2</v>
      </c>
      <c r="BP213" s="64">
        <f t="shared" si="19"/>
        <v>4.6875E-2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174</v>
      </c>
      <c r="Y215" s="546">
        <f t="shared" si="15"/>
        <v>175.2</v>
      </c>
      <c r="Z215" s="36">
        <f t="shared" ref="Z215:Z220" si="20">IFERROR(IF(Y215=0,"",ROUNDUP(Y215/H215,0)*0.00651),"")</f>
        <v>0.47522999999999999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193.57499999999999</v>
      </c>
      <c r="BN215" s="64">
        <f t="shared" si="17"/>
        <v>194.90999999999997</v>
      </c>
      <c r="BO215" s="64">
        <f t="shared" si="18"/>
        <v>0.39835164835164838</v>
      </c>
      <c r="BP215" s="64">
        <f t="shared" si="19"/>
        <v>0.40109890109890112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105</v>
      </c>
      <c r="Y217" s="546">
        <f t="shared" si="15"/>
        <v>105.6</v>
      </c>
      <c r="Z217" s="36">
        <f t="shared" si="20"/>
        <v>0.28644000000000003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116.02500000000002</v>
      </c>
      <c r="BN217" s="64">
        <f t="shared" si="17"/>
        <v>116.688</v>
      </c>
      <c r="BO217" s="64">
        <f t="shared" si="18"/>
        <v>0.24038461538461539</v>
      </c>
      <c r="BP217" s="64">
        <f t="shared" si="19"/>
        <v>0.24175824175824179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130</v>
      </c>
      <c r="Y218" s="546">
        <f t="shared" si="15"/>
        <v>132</v>
      </c>
      <c r="Z218" s="36">
        <f t="shared" si="20"/>
        <v>0.35805000000000003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143.65</v>
      </c>
      <c r="BN218" s="64">
        <f t="shared" si="17"/>
        <v>145.86000000000001</v>
      </c>
      <c r="BO218" s="64">
        <f t="shared" si="18"/>
        <v>0.29761904761904767</v>
      </c>
      <c r="BP218" s="64">
        <f t="shared" si="19"/>
        <v>0.30219780219780223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91</v>
      </c>
      <c r="Y219" s="546">
        <f t="shared" si="15"/>
        <v>91.2</v>
      </c>
      <c r="Z219" s="36">
        <f t="shared" si="20"/>
        <v>0.24738000000000002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100.55500000000001</v>
      </c>
      <c r="BN219" s="64">
        <f t="shared" si="17"/>
        <v>100.77600000000001</v>
      </c>
      <c r="BO219" s="64">
        <f t="shared" si="18"/>
        <v>0.20833333333333337</v>
      </c>
      <c r="BP219" s="64">
        <f t="shared" si="19"/>
        <v>0.2087912087912088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132</v>
      </c>
      <c r="Y220" s="546">
        <f t="shared" si="15"/>
        <v>132</v>
      </c>
      <c r="Z220" s="36">
        <f t="shared" si="20"/>
        <v>0.35805000000000003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146.19</v>
      </c>
      <c r="BN220" s="64">
        <f t="shared" si="17"/>
        <v>146.19</v>
      </c>
      <c r="BO220" s="64">
        <f t="shared" si="18"/>
        <v>0.30219780219780223</v>
      </c>
      <c r="BP220" s="64">
        <f t="shared" si="19"/>
        <v>0.30219780219780223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268.88888888888891</v>
      </c>
      <c r="Y221" s="547">
        <f>IFERROR(Y212/H212,"0")+IFERROR(Y213/H213,"0")+IFERROR(Y214/H214,"0")+IFERROR(Y215/H215,"0")+IFERROR(Y216/H216,"0")+IFERROR(Y217/H217,"0")+IFERROR(Y218/H218,"0")+IFERROR(Y219/H219,"0")+IFERROR(Y220/H220,"0")</f>
        <v>271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1.8390299999999999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677</v>
      </c>
      <c r="Y222" s="547">
        <f>IFERROR(SUM(Y212:Y220),"0")</f>
        <v>684.6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8</v>
      </c>
      <c r="Y224" s="546">
        <f>IFERROR(IF(X224="",0,CEILING((X224/$H224),1)*$H224),"")</f>
        <v>9.6</v>
      </c>
      <c r="Z224" s="36">
        <f>IFERROR(IF(Y224=0,"",ROUNDUP(Y224/H224,0)*0.00651),"")</f>
        <v>2.6040000000000001E-2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8.8400000000000016</v>
      </c>
      <c r="BN224" s="64">
        <f>IFERROR(Y224*I224/H224,"0")</f>
        <v>10.608000000000001</v>
      </c>
      <c r="BO224" s="64">
        <f>IFERROR(1/J224*(X224/H224),"0")</f>
        <v>1.8315018315018316E-2</v>
      </c>
      <c r="BP224" s="64">
        <f>IFERROR(1/J224*(Y224/H224),"0")</f>
        <v>2.197802197802198E-2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11</v>
      </c>
      <c r="Y225" s="54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12.155000000000001</v>
      </c>
      <c r="BN225" s="64">
        <f>IFERROR(Y225*I225/H225,"0")</f>
        <v>13.260000000000002</v>
      </c>
      <c r="BO225" s="64">
        <f>IFERROR(1/J225*(X225/H225),"0")</f>
        <v>2.5183150183150187E-2</v>
      </c>
      <c r="BP225" s="64">
        <f>IFERROR(1/J225*(Y225/H225),"0")</f>
        <v>2.7472527472527476E-2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7.9166666666666679</v>
      </c>
      <c r="Y226" s="547">
        <f>IFERROR(Y224/H224,"0")+IFERROR(Y225/H225,"0")</f>
        <v>9</v>
      </c>
      <c r="Z226" s="547">
        <f>IFERROR(IF(Z224="",0,Z224),"0")+IFERROR(IF(Z225="",0,Z225),"0")</f>
        <v>5.8590000000000003E-2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19</v>
      </c>
      <c r="Y227" s="547">
        <f>IFERROR(SUM(Y224:Y225),"0")</f>
        <v>21.6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3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3.291666666666667</v>
      </c>
      <c r="BN246" s="64">
        <f>IFERROR(Y246*I246/H246,"0")</f>
        <v>3.95</v>
      </c>
      <c r="BO246" s="64">
        <f>IFERROR(1/J246*(X246/H246),"0")</f>
        <v>7.7160493827160481E-3</v>
      </c>
      <c r="BP246" s="64">
        <f>IFERROR(1/J246*(Y246/H246),"0")</f>
        <v>9.2592592592592587E-3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1.6666666666666665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3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2</v>
      </c>
      <c r="Y253" s="546">
        <f>IFERROR(IF(X253="",0,CEILING((X253/$H253),1)*$H253),"")</f>
        <v>2.9699999999999998</v>
      </c>
      <c r="Z253" s="36">
        <f>IFERROR(IF(Y253=0,"",ROUNDUP(Y253/H253,0)*0.0059),"")</f>
        <v>1.77E-2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2.3838383838383836</v>
      </c>
      <c r="BN253" s="64">
        <f>IFERROR(Y253*I253/H253,"0")</f>
        <v>3.5399999999999996</v>
      </c>
      <c r="BO253" s="64">
        <f>IFERROR(1/J253*(X253/H253),"0")</f>
        <v>9.3527871305649091E-3</v>
      </c>
      <c r="BP253" s="64">
        <f>IFERROR(1/J253*(Y253/H253),"0")</f>
        <v>1.3888888888888886E-2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1</v>
      </c>
      <c r="Y254" s="546">
        <f>IFERROR(IF(X254="",0,CEILING((X254/$H254),1)*$H254),"")</f>
        <v>1.98</v>
      </c>
      <c r="Z254" s="36">
        <f>IFERROR(IF(Y254=0,"",ROUNDUP(Y254/H254,0)*0.0059),"")</f>
        <v>1.18E-2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1.1919191919191918</v>
      </c>
      <c r="BN254" s="64">
        <f>IFERROR(Y254*I254/H254,"0")</f>
        <v>2.36</v>
      </c>
      <c r="BO254" s="64">
        <f>IFERROR(1/J254*(X254/H254),"0")</f>
        <v>4.6763935652824546E-3</v>
      </c>
      <c r="BP254" s="64">
        <f>IFERROR(1/J254*(Y254/H254),"0")</f>
        <v>9.2592592592592587E-3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4.1414141414141419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4</v>
      </c>
      <c r="Y256" s="547">
        <f>IFERROR(SUM(Y250:Y254),"0")</f>
        <v>6.75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57</v>
      </c>
      <c r="Y277" s="546">
        <f>IFERROR(IF(X277="",0,CEILING((X277/$H277),1)*$H277),"")</f>
        <v>57.599999999999994</v>
      </c>
      <c r="Z277" s="36">
        <f>IFERROR(IF(Y277=0,"",ROUNDUP(Y277/H277,0)*0.00651),"")</f>
        <v>0.15623999999999999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62.985000000000007</v>
      </c>
      <c r="BN277" s="64">
        <f>IFERROR(Y277*I277/H277,"0")</f>
        <v>63.648000000000003</v>
      </c>
      <c r="BO277" s="64">
        <f>IFERROR(1/J277*(X277/H277),"0")</f>
        <v>0.1304945054945055</v>
      </c>
      <c r="BP277" s="64">
        <f>IFERROR(1/J277*(Y277/H277),"0")</f>
        <v>0.13186813186813187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29</v>
      </c>
      <c r="Y278" s="546">
        <f>IFERROR(IF(X278="",0,CEILING((X278/$H278),1)*$H278),"")</f>
        <v>31.2</v>
      </c>
      <c r="Z278" s="36">
        <f>IFERROR(IF(Y278=0,"",ROUNDUP(Y278/H278,0)*0.00651),"")</f>
        <v>8.4629999999999997E-2</v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31.175000000000004</v>
      </c>
      <c r="BN278" s="64">
        <f>IFERROR(Y278*I278/H278,"0")</f>
        <v>33.54</v>
      </c>
      <c r="BO278" s="64">
        <f>IFERROR(1/J278*(X278/H278),"0")</f>
        <v>6.6391941391941406E-2</v>
      </c>
      <c r="BP278" s="64">
        <f>IFERROR(1/J278*(Y278/H278),"0")</f>
        <v>7.1428571428571438E-2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35.833333333333336</v>
      </c>
      <c r="Y279" s="547">
        <f>IFERROR(Y276/H276,"0")+IFERROR(Y277/H277,"0")+IFERROR(Y278/H278,"0")</f>
        <v>37</v>
      </c>
      <c r="Z279" s="547">
        <f>IFERROR(IF(Z276="",0,Z276),"0")+IFERROR(IF(Z277="",0,Z277),"0")+IFERROR(IF(Z278="",0,Z278),"0")</f>
        <v>0.24086999999999997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86</v>
      </c>
      <c r="Y280" s="547">
        <f>IFERROR(SUM(Y276:Y278),"0")</f>
        <v>88.8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8</v>
      </c>
      <c r="Y307" s="546">
        <f t="shared" si="26"/>
        <v>9</v>
      </c>
      <c r="Z307" s="36">
        <f>IFERROR(IF(Y307=0,"",ROUNDUP(Y307/H307,0)*0.00651),"")</f>
        <v>3.2550000000000003E-2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9.0133333333333336</v>
      </c>
      <c r="BN307" s="64">
        <f t="shared" si="28"/>
        <v>10.139999999999999</v>
      </c>
      <c r="BO307" s="64">
        <f t="shared" si="29"/>
        <v>2.4420024420024423E-2</v>
      </c>
      <c r="BP307" s="64">
        <f t="shared" si="30"/>
        <v>2.7472527472527476E-2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4.4444444444444446</v>
      </c>
      <c r="Y308" s="547">
        <f>IFERROR(Y302/H302,"0")+IFERROR(Y303/H303,"0")+IFERROR(Y304/H304,"0")+IFERROR(Y305/H305,"0")+IFERROR(Y306/H306,"0")+IFERROR(Y307/H307,"0")</f>
        <v>5</v>
      </c>
      <c r="Z308" s="547">
        <f>IFERROR(IF(Z302="",0,Z302),"0")+IFERROR(IF(Z303="",0,Z303),"0")+IFERROR(IF(Z304="",0,Z304),"0")+IFERROR(IF(Z305="",0,Z305),"0")+IFERROR(IF(Z306="",0,Z306),"0")+IFERROR(IF(Z307="",0,Z307),"0")</f>
        <v>3.2550000000000003E-2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8</v>
      </c>
      <c r="Y309" s="547">
        <f>IFERROR(SUM(Y302:Y307),"0")</f>
        <v>9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54</v>
      </c>
      <c r="Y318" s="546">
        <f>IFERROR(IF(X318="",0,CEILING((X318/$H318),1)*$H318),"")</f>
        <v>58.800000000000004</v>
      </c>
      <c r="Z318" s="36">
        <f>IFERROR(IF(Y318=0,"",ROUNDUP(Y318/H318,0)*0.01898),"")</f>
        <v>0.13286000000000001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57.175714285714285</v>
      </c>
      <c r="BN318" s="64">
        <f>IFERROR(Y318*I318/H318,"0")</f>
        <v>62.258000000000003</v>
      </c>
      <c r="BO318" s="64">
        <f>IFERROR(1/J318*(X318/H318),"0")</f>
        <v>0.10044642857142856</v>
      </c>
      <c r="BP318" s="64">
        <f>IFERROR(1/J318*(Y318/H318),"0")</f>
        <v>0.109375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10</v>
      </c>
      <c r="Y319" s="546">
        <f>IFERROR(IF(X319="",0,CEILING((X319/$H319),1)*$H319),"")</f>
        <v>15.6</v>
      </c>
      <c r="Z319" s="36">
        <f>IFERROR(IF(Y319=0,"",ROUNDUP(Y319/H319,0)*0.01898),"")</f>
        <v>3.7960000000000001E-2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10.633333333333333</v>
      </c>
      <c r="BN319" s="64">
        <f>IFERROR(Y319*I319/H319,"0")</f>
        <v>16.588000000000001</v>
      </c>
      <c r="BO319" s="64">
        <f>IFERROR(1/J319*(X319/H319),"0")</f>
        <v>2.0032051282051284E-2</v>
      </c>
      <c r="BP319" s="64">
        <f>IFERROR(1/J319*(Y319/H319),"0")</f>
        <v>3.125E-2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27</v>
      </c>
      <c r="Y320" s="546">
        <f>IFERROR(IF(X320="",0,CEILING((X320/$H320),1)*$H320),"")</f>
        <v>33.6</v>
      </c>
      <c r="Z320" s="36">
        <f>IFERROR(IF(Y320=0,"",ROUNDUP(Y320/H320,0)*0.01898),"")</f>
        <v>7.5920000000000001E-2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28.587857142857143</v>
      </c>
      <c r="BN320" s="64">
        <f>IFERROR(Y320*I320/H320,"0")</f>
        <v>35.576000000000001</v>
      </c>
      <c r="BO320" s="64">
        <f>IFERROR(1/J320*(X320/H320),"0")</f>
        <v>5.0223214285714281E-2</v>
      </c>
      <c r="BP320" s="64">
        <f>IFERROR(1/J320*(Y320/H320),"0")</f>
        <v>6.25E-2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10.924908424908423</v>
      </c>
      <c r="Y321" s="547">
        <f>IFERROR(Y318/H318,"0")+IFERROR(Y319/H319,"0")+IFERROR(Y320/H320,"0")</f>
        <v>13</v>
      </c>
      <c r="Z321" s="547">
        <f>IFERROR(IF(Z318="",0,Z318),"0")+IFERROR(IF(Z319="",0,Z319),"0")+IFERROR(IF(Z320="",0,Z320),"0")</f>
        <v>0.24674000000000001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91</v>
      </c>
      <c r="Y322" s="547">
        <f>IFERROR(SUM(Y318:Y320),"0")</f>
        <v>108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4</v>
      </c>
      <c r="Y324" s="546">
        <f>IFERROR(IF(X324="",0,CEILING((X324/$H324),1)*$H324),"")</f>
        <v>6.08</v>
      </c>
      <c r="Z324" s="36">
        <f>IFERROR(IF(Y324=0,"",ROUNDUP(Y324/H324,0)*0.00902),"")</f>
        <v>1.804E-2</v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4.3552631578947372</v>
      </c>
      <c r="BN324" s="64">
        <f>IFERROR(Y324*I324/H324,"0")</f>
        <v>6.62</v>
      </c>
      <c r="BO324" s="64">
        <f>IFERROR(1/J324*(X324/H324),"0")</f>
        <v>9.9681020733652318E-3</v>
      </c>
      <c r="BP324" s="64">
        <f>IFERROR(1/J324*(Y324/H324),"0")</f>
        <v>1.5151515151515152E-2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8</v>
      </c>
      <c r="Y327" s="546">
        <f>IFERROR(IF(X327="",0,CEILING((X327/$H327),1)*$H327),"")</f>
        <v>10.199999999999999</v>
      </c>
      <c r="Z327" s="36">
        <f>IFERROR(IF(Y327=0,"",ROUNDUP(Y327/H327,0)*0.00651),"")</f>
        <v>2.6040000000000001E-2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9.0352941176470587</v>
      </c>
      <c r="BN327" s="64">
        <f>IFERROR(Y327*I327/H327,"0")</f>
        <v>11.52</v>
      </c>
      <c r="BO327" s="64">
        <f>IFERROR(1/J327*(X327/H327),"0")</f>
        <v>1.7237664296487831E-2</v>
      </c>
      <c r="BP327" s="64">
        <f>IFERROR(1/J327*(Y327/H327),"0")</f>
        <v>2.197802197802198E-2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4.4530443756449953</v>
      </c>
      <c r="Y328" s="547">
        <f>IFERROR(Y324/H324,"0")+IFERROR(Y325/H325,"0")+IFERROR(Y326/H326,"0")+IFERROR(Y327/H327,"0")</f>
        <v>6</v>
      </c>
      <c r="Z328" s="547">
        <f>IFERROR(IF(Z324="",0,Z324),"0")+IFERROR(IF(Z325="",0,Z325),"0")+IFERROR(IF(Z326="",0,Z326),"0")+IFERROR(IF(Z327="",0,Z327),"0")</f>
        <v>4.4080000000000001E-2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12</v>
      </c>
      <c r="Y329" s="547">
        <f>IFERROR(SUM(Y324:Y327),"0")</f>
        <v>16.28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798</v>
      </c>
      <c r="Y346" s="546">
        <f t="shared" ref="Y346:Y352" si="31">IFERROR(IF(X346="",0,CEILING((X346/$H346),1)*$H346),"")</f>
        <v>810</v>
      </c>
      <c r="Z346" s="36">
        <f>IFERROR(IF(Y346=0,"",ROUNDUP(Y346/H346,0)*0.02175),"")</f>
        <v>1.1744999999999999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823.00400000000013</v>
      </c>
      <c r="BN346" s="64">
        <f t="shared" ref="BN346:BN352" si="33">IFERROR(Y346*I346/H346,"0")</f>
        <v>835.38</v>
      </c>
      <c r="BO346" s="64">
        <f t="shared" ref="BO346:BO352" si="34">IFERROR(1/J346*(X346/H346),"0")</f>
        <v>1.1083333333333334</v>
      </c>
      <c r="BP346" s="64">
        <f t="shared" ref="BP346:BP352" si="35">IFERROR(1/J346*(Y346/H346),"0")</f>
        <v>1.125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356</v>
      </c>
      <c r="Y347" s="546">
        <f t="shared" si="31"/>
        <v>360</v>
      </c>
      <c r="Z347" s="36">
        <f>IFERROR(IF(Y347=0,"",ROUNDUP(Y347/H347,0)*0.02175),"")</f>
        <v>0.52200000000000002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367.15466666666669</v>
      </c>
      <c r="BN347" s="64">
        <f t="shared" si="33"/>
        <v>371.28</v>
      </c>
      <c r="BO347" s="64">
        <f t="shared" si="34"/>
        <v>0.49444444444444446</v>
      </c>
      <c r="BP347" s="64">
        <f t="shared" si="35"/>
        <v>0.5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448</v>
      </c>
      <c r="Y348" s="546">
        <f t="shared" si="31"/>
        <v>450</v>
      </c>
      <c r="Z348" s="36">
        <f>IFERROR(IF(Y348=0,"",ROUNDUP(Y348/H348,0)*0.02175),"")</f>
        <v>0.65249999999999997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462.03733333333338</v>
      </c>
      <c r="BN348" s="64">
        <f t="shared" si="33"/>
        <v>464.1</v>
      </c>
      <c r="BO348" s="64">
        <f t="shared" si="34"/>
        <v>0.62222222222222223</v>
      </c>
      <c r="BP348" s="64">
        <f t="shared" si="35"/>
        <v>0.625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793</v>
      </c>
      <c r="Y349" s="546">
        <f t="shared" si="31"/>
        <v>795</v>
      </c>
      <c r="Z349" s="36">
        <f>IFERROR(IF(Y349=0,"",ROUNDUP(Y349/H349,0)*0.02175),"")</f>
        <v>1.1527499999999999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817.84733333333338</v>
      </c>
      <c r="BN349" s="64">
        <f t="shared" si="33"/>
        <v>819.91</v>
      </c>
      <c r="BO349" s="64">
        <f t="shared" si="34"/>
        <v>1.1013888888888888</v>
      </c>
      <c r="BP349" s="64">
        <f t="shared" si="35"/>
        <v>1.1041666666666665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159.66666666666669</v>
      </c>
      <c r="Y353" s="547">
        <f>IFERROR(Y346/H346,"0")+IFERROR(Y347/H347,"0")+IFERROR(Y348/H348,"0")+IFERROR(Y349/H349,"0")+IFERROR(Y350/H350,"0")+IFERROR(Y351/H351,"0")+IFERROR(Y352/H352,"0")</f>
        <v>161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3.5017499999999995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2395</v>
      </c>
      <c r="Y354" s="547">
        <f>IFERROR(SUM(Y346:Y352),"0")</f>
        <v>2415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1025</v>
      </c>
      <c r="Y356" s="546">
        <f>IFERROR(IF(X356="",0,CEILING((X356/$H356),1)*$H356),"")</f>
        <v>1035</v>
      </c>
      <c r="Z356" s="36">
        <f>IFERROR(IF(Y356=0,"",ROUNDUP(Y356/H356,0)*0.02175),"")</f>
        <v>1.5007499999999998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1057.1166666666666</v>
      </c>
      <c r="BN356" s="64">
        <f>IFERROR(Y356*I356/H356,"0")</f>
        <v>1067.43</v>
      </c>
      <c r="BO356" s="64">
        <f>IFERROR(1/J356*(X356/H356),"0")</f>
        <v>1.4236111111111109</v>
      </c>
      <c r="BP356" s="64">
        <f>IFERROR(1/J356*(Y356/H356),"0")</f>
        <v>1.4375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68.333333333333329</v>
      </c>
      <c r="Y358" s="547">
        <f>IFERROR(Y356/H356,"0")+IFERROR(Y357/H357,"0")</f>
        <v>69</v>
      </c>
      <c r="Z358" s="547">
        <f>IFERROR(IF(Z356="",0,Z356),"0")+IFERROR(IF(Z357="",0,Z357),"0")</f>
        <v>1.5007499999999998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1025</v>
      </c>
      <c r="Y359" s="547">
        <f>IFERROR(SUM(Y356:Y357),"0")</f>
        <v>1035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88</v>
      </c>
      <c r="Y366" s="546">
        <f>IFERROR(IF(X366="",0,CEILING((X366/$H366),1)*$H366),"")</f>
        <v>90</v>
      </c>
      <c r="Z366" s="36">
        <f>IFERROR(IF(Y366=0,"",ROUNDUP(Y366/H366,0)*0.01898),"")</f>
        <v>0.1898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92.830222222222218</v>
      </c>
      <c r="BN366" s="64">
        <f>IFERROR(Y366*I366/H366,"0")</f>
        <v>94.94</v>
      </c>
      <c r="BO366" s="64">
        <f>IFERROR(1/J366*(X366/H366),"0")</f>
        <v>0.15277777777777779</v>
      </c>
      <c r="BP366" s="64">
        <f>IFERROR(1/J366*(Y366/H366),"0")</f>
        <v>0.15625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9.7777777777777786</v>
      </c>
      <c r="Y367" s="547">
        <f>IFERROR(Y366/H366,"0")</f>
        <v>10</v>
      </c>
      <c r="Z367" s="547">
        <f>IFERROR(IF(Z366="",0,Z366),"0")</f>
        <v>0.1898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88</v>
      </c>
      <c r="Y368" s="547">
        <f>IFERROR(SUM(Y366:Y366),"0")</f>
        <v>90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334</v>
      </c>
      <c r="Y381" s="546">
        <f>IFERROR(IF(X381="",0,CEILING((X381/$H381),1)*$H381),"")</f>
        <v>342</v>
      </c>
      <c r="Z381" s="36">
        <f>IFERROR(IF(Y381=0,"",ROUNDUP(Y381/H381,0)*0.01898),"")</f>
        <v>0.72123999999999999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352.33288888888887</v>
      </c>
      <c r="BN381" s="64">
        <f>IFERROR(Y381*I381/H381,"0")</f>
        <v>360.77199999999999</v>
      </c>
      <c r="BO381" s="64">
        <f>IFERROR(1/J381*(X381/H381),"0")</f>
        <v>0.57986111111111116</v>
      </c>
      <c r="BP381" s="64">
        <f>IFERROR(1/J381*(Y381/H381),"0")</f>
        <v>0.59375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37.111111111111114</v>
      </c>
      <c r="Y384" s="547">
        <f>IFERROR(Y381/H381,"0")+IFERROR(Y382/H382,"0")+IFERROR(Y383/H383,"0")</f>
        <v>38</v>
      </c>
      <c r="Z384" s="547">
        <f>IFERROR(IF(Z381="",0,Z381),"0")+IFERROR(IF(Z382="",0,Z382),"0")+IFERROR(IF(Z383="",0,Z383),"0")</f>
        <v>0.72123999999999999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334</v>
      </c>
      <c r="Y385" s="547">
        <f>IFERROR(SUM(Y381:Y383),"0")</f>
        <v>342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90</v>
      </c>
      <c r="Y389" s="546">
        <f t="shared" ref="Y389:Y397" si="36">IFERROR(IF(X389="",0,CEILING((X389/$H389),1)*$H389),"")</f>
        <v>91.800000000000011</v>
      </c>
      <c r="Z389" s="36">
        <f>IFERROR(IF(Y389=0,"",ROUNDUP(Y389/H389,0)*0.00902),"")</f>
        <v>0.15334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93.166666666666657</v>
      </c>
      <c r="BN389" s="64">
        <f t="shared" ref="BN389:BN397" si="38">IFERROR(Y389*I389/H389,"0")</f>
        <v>95.03</v>
      </c>
      <c r="BO389" s="64">
        <f t="shared" ref="BO389:BO397" si="39">IFERROR(1/J389*(X389/H389),"0")</f>
        <v>0.12626262626262624</v>
      </c>
      <c r="BP389" s="64">
        <f t="shared" ref="BP389:BP397" si="40">IFERROR(1/J389*(Y389/H389),"0")</f>
        <v>0.12878787878787878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16.666666666666664</v>
      </c>
      <c r="Y398" s="547">
        <f>IFERROR(Y389/H389,"0")+IFERROR(Y390/H390,"0")+IFERROR(Y391/H391,"0")+IFERROR(Y392/H392,"0")+IFERROR(Y393/H393,"0")+IFERROR(Y394/H394,"0")+IFERROR(Y395/H395,"0")+IFERROR(Y396/H396,"0")+IFERROR(Y397/H397,"0")</f>
        <v>17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0.15334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90</v>
      </c>
      <c r="Y399" s="547">
        <f>IFERROR(SUM(Y389:Y397),"0")</f>
        <v>91.800000000000011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163</v>
      </c>
      <c r="Y411" s="546">
        <f>IFERROR(IF(X411="",0,CEILING((X411/$H411),1)*$H411),"")</f>
        <v>167.4</v>
      </c>
      <c r="Z411" s="36">
        <f>IFERROR(IF(Y411=0,"",ROUNDUP(Y411/H411,0)*0.00902),"")</f>
        <v>0.27961999999999998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168.73518518518517</v>
      </c>
      <c r="BN411" s="64">
        <f>IFERROR(Y411*I411/H411,"0")</f>
        <v>173.29</v>
      </c>
      <c r="BO411" s="64">
        <f>IFERROR(1/J411*(X411/H411),"0")</f>
        <v>0.228675645342312</v>
      </c>
      <c r="BP411" s="64">
        <f>IFERROR(1/J411*(Y411/H411),"0")</f>
        <v>0.23484848484848486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30.185185185185183</v>
      </c>
      <c r="Y415" s="547">
        <f>IFERROR(Y411/H411,"0")+IFERROR(Y412/H412,"0")+IFERROR(Y413/H413,"0")+IFERROR(Y414/H414,"0")</f>
        <v>31</v>
      </c>
      <c r="Z415" s="547">
        <f>IFERROR(IF(Z411="",0,Z411),"0")+IFERROR(IF(Z412="",0,Z412),"0")+IFERROR(IF(Z413="",0,Z413),"0")+IFERROR(IF(Z414="",0,Z414),"0")</f>
        <v>0.27961999999999998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163</v>
      </c>
      <c r="Y416" s="547">
        <f>IFERROR(SUM(Y411:Y414),"0")</f>
        <v>167.4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99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105.5625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0.18028846153846154</v>
      </c>
      <c r="BP425" s="64">
        <f t="shared" ref="BP425:BP436" si="47">IFERROR(1/J425*(Y425/H425),"0")</f>
        <v>0.18269230769230771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73</v>
      </c>
      <c r="Y429" s="546">
        <f t="shared" si="42"/>
        <v>73.92</v>
      </c>
      <c r="Z429" s="36">
        <f t="shared" si="43"/>
        <v>0.16744000000000001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77.839015151515156</v>
      </c>
      <c r="BN429" s="64">
        <f t="shared" si="45"/>
        <v>78.819999999999993</v>
      </c>
      <c r="BO429" s="64">
        <f t="shared" si="46"/>
        <v>0.13293997668997667</v>
      </c>
      <c r="BP429" s="64">
        <f t="shared" si="47"/>
        <v>0.13461538461538464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259</v>
      </c>
      <c r="Y431" s="546">
        <f t="shared" si="42"/>
        <v>264</v>
      </c>
      <c r="Z431" s="36">
        <f t="shared" si="43"/>
        <v>0.59799999999999998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276.16856060606062</v>
      </c>
      <c r="BN431" s="64">
        <f t="shared" si="45"/>
        <v>281.5</v>
      </c>
      <c r="BO431" s="64">
        <f t="shared" si="46"/>
        <v>0.4716637529137529</v>
      </c>
      <c r="BP431" s="64">
        <f t="shared" si="47"/>
        <v>0.48076923076923078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81.628787878787875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83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0.99268000000000001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431</v>
      </c>
      <c r="Y438" s="547">
        <f>IFERROR(SUM(Y425:Y436),"0")</f>
        <v>438.24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192</v>
      </c>
      <c r="Y440" s="546">
        <f>IFERROR(IF(X440="",0,CEILING((X440/$H440),1)*$H440),"")</f>
        <v>195.36</v>
      </c>
      <c r="Z440" s="36">
        <f>IFERROR(IF(Y440=0,"",ROUNDUP(Y440/H440,0)*0.01196),"")</f>
        <v>0.44252000000000002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204.72727272727272</v>
      </c>
      <c r="BN440" s="64">
        <f>IFERROR(Y440*I440/H440,"0")</f>
        <v>208.31</v>
      </c>
      <c r="BO440" s="64">
        <f>IFERROR(1/J440*(X440/H440),"0")</f>
        <v>0.34965034965034963</v>
      </c>
      <c r="BP440" s="64">
        <f>IFERROR(1/J440*(Y440/H440),"0")</f>
        <v>0.35576923076923078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36.36363636363636</v>
      </c>
      <c r="Y443" s="547">
        <f>IFERROR(Y440/H440,"0")+IFERROR(Y441/H441,"0")+IFERROR(Y442/H442,"0")</f>
        <v>37</v>
      </c>
      <c r="Z443" s="547">
        <f>IFERROR(IF(Z440="",0,Z440),"0")+IFERROR(IF(Z441="",0,Z441),"0")+IFERROR(IF(Z442="",0,Z442),"0")</f>
        <v>0.44252000000000002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192</v>
      </c>
      <c r="Y444" s="547">
        <f>IFERROR(SUM(Y440:Y442),"0")</f>
        <v>195.36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154</v>
      </c>
      <c r="Y446" s="546">
        <f t="shared" ref="Y446:Y451" si="48">IFERROR(IF(X446="",0,CEILING((X446/$H446),1)*$H446),"")</f>
        <v>158.4</v>
      </c>
      <c r="Z446" s="36">
        <f>IFERROR(IF(Y446=0,"",ROUNDUP(Y446/H446,0)*0.01196),"")</f>
        <v>0.35880000000000001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164.20833333333331</v>
      </c>
      <c r="BN446" s="64">
        <f t="shared" ref="BN446:BN451" si="50">IFERROR(Y446*I446/H446,"0")</f>
        <v>168.9</v>
      </c>
      <c r="BO446" s="64">
        <f t="shared" ref="BO446:BO451" si="51">IFERROR(1/J446*(X446/H446),"0")</f>
        <v>0.28044871794871795</v>
      </c>
      <c r="BP446" s="64">
        <f t="shared" ref="BP446:BP451" si="52">IFERROR(1/J446*(Y446/H446),"0")</f>
        <v>0.28846153846153849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121</v>
      </c>
      <c r="Y447" s="546">
        <f t="shared" si="48"/>
        <v>121.44000000000001</v>
      </c>
      <c r="Z447" s="36">
        <f>IFERROR(IF(Y447=0,"",ROUNDUP(Y447/H447,0)*0.01196),"")</f>
        <v>0.27507999999999999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129.02083333333334</v>
      </c>
      <c r="BN447" s="64">
        <f t="shared" si="50"/>
        <v>129.49</v>
      </c>
      <c r="BO447" s="64">
        <f t="shared" si="51"/>
        <v>0.2203525641025641</v>
      </c>
      <c r="BP447" s="64">
        <f t="shared" si="52"/>
        <v>0.22115384615384617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104</v>
      </c>
      <c r="Y448" s="546">
        <f t="shared" si="48"/>
        <v>105.60000000000001</v>
      </c>
      <c r="Z448" s="36">
        <f>IFERROR(IF(Y448=0,"",ROUNDUP(Y448/H448,0)*0.01196),"")</f>
        <v>0.2392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110.89393939393939</v>
      </c>
      <c r="BN448" s="64">
        <f t="shared" si="50"/>
        <v>112.6</v>
      </c>
      <c r="BO448" s="64">
        <f t="shared" si="51"/>
        <v>0.18939393939393939</v>
      </c>
      <c r="BP448" s="64">
        <f t="shared" si="52"/>
        <v>0.19230769230769232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71.780303030303031</v>
      </c>
      <c r="Y452" s="547">
        <f>IFERROR(Y446/H446,"0")+IFERROR(Y447/H447,"0")+IFERROR(Y448/H448,"0")+IFERROR(Y449/H449,"0")+IFERROR(Y450/H450,"0")+IFERROR(Y451/H451,"0")</f>
        <v>73</v>
      </c>
      <c r="Z452" s="547">
        <f>IFERROR(IF(Z446="",0,Z446),"0")+IFERROR(IF(Z447="",0,Z447),"0")+IFERROR(IF(Z448="",0,Z448),"0")+IFERROR(IF(Z449="",0,Z449),"0")+IFERROR(IF(Z450="",0,Z450),"0")+IFERROR(IF(Z451="",0,Z451),"0")</f>
        <v>0.87307999999999997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379</v>
      </c>
      <c r="Y453" s="547">
        <f>IFERROR(SUM(Y446:Y451),"0")</f>
        <v>385.44000000000005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62</v>
      </c>
      <c r="Y478" s="546">
        <f>IFERROR(IF(X478="",0,CEILING((X478/$H478),1)*$H478),"")</f>
        <v>63</v>
      </c>
      <c r="Z478" s="36">
        <f>IFERROR(IF(Y478=0,"",ROUNDUP(Y478/H478,0)*0.01898),"")</f>
        <v>0.13286000000000001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65.403111111111102</v>
      </c>
      <c r="BN478" s="64">
        <f>IFERROR(Y478*I478/H478,"0")</f>
        <v>66.457999999999998</v>
      </c>
      <c r="BO478" s="64">
        <f>IFERROR(1/J478*(X478/H478),"0")</f>
        <v>0.1076388888888889</v>
      </c>
      <c r="BP478" s="64">
        <f>IFERROR(1/J478*(Y478/H478),"0")</f>
        <v>0.109375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6.8888888888888893</v>
      </c>
      <c r="Y479" s="547">
        <f>IFERROR(Y478/H478,"0")</f>
        <v>7</v>
      </c>
      <c r="Z479" s="547">
        <f>IFERROR(IF(Z478="",0,Z478),"0")</f>
        <v>0.13286000000000001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62</v>
      </c>
      <c r="Y480" s="547">
        <f>IFERROR(SUM(Y478:Y478),"0")</f>
        <v>63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7778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7948.8899999999994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8158.6592636648311</v>
      </c>
      <c r="Y492" s="547">
        <f>IFERROR(SUM(BN22:BN488),"0")</f>
        <v>8339.0079999999998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13</v>
      </c>
      <c r="Y493" s="38">
        <f>ROUNDUP(SUM(BP22:BP488),0)</f>
        <v>14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8483.6592636648311</v>
      </c>
      <c r="Y494" s="547">
        <f>GrossWeightTotalR+PalletQtyTotalR*25</f>
        <v>8689.0079999999998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1227.8236197878869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1259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14.916459999999999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118.80000000000001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137.19999999999999</v>
      </c>
      <c r="E501" s="46">
        <f>IFERROR(Y86*1,"0")+IFERROR(Y87*1,"0")+IFERROR(Y88*1,"0")+IFERROR(Y89*1,"0")+IFERROR(Y93*1,"0")+IFERROR(Y94*1,"0")+IFERROR(Y95*1,"0")+IFERROR(Y96*1,"0")</f>
        <v>280.8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360.3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339.12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1256.9999999999998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10.350000000000001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88.8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133.28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3540</v>
      </c>
      <c r="T501" s="46">
        <f>IFERROR(Y371*1,"0")+IFERROR(Y372*1,"0")+IFERROR(Y376*1,"0")+IFERROR(Y377*1,"0")+IFERROR(Y381*1,"0")+IFERROR(Y382*1,"0")+IFERROR(Y383*1,"0")</f>
        <v>342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91.800000000000011</v>
      </c>
      <c r="V501" s="46">
        <f>IFERROR(Y407*1,"0")+IFERROR(Y411*1,"0")+IFERROR(Y412*1,"0")+IFERROR(Y413*1,"0")+IFERROR(Y414*1,"0")</f>
        <v>167.4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1019.0400000000001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63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