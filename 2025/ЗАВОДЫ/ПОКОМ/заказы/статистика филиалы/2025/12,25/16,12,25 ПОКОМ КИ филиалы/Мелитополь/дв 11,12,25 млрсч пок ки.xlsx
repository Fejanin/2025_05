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A2054DF3-D498-4197-B0B4-CA53EE849C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AH90" i="1" s="1"/>
  <c r="S91" i="1"/>
  <c r="S92" i="1"/>
  <c r="AH92" i="1" s="1"/>
  <c r="S93" i="1"/>
  <c r="S94" i="1"/>
  <c r="AH94" i="1" s="1"/>
  <c r="S6" i="1"/>
  <c r="AH6" i="1" s="1"/>
  <c r="AH7" i="1"/>
  <c r="AH9" i="1"/>
  <c r="AH11" i="1"/>
  <c r="AH13" i="1"/>
  <c r="AH15" i="1"/>
  <c r="AH17" i="1"/>
  <c r="AH19" i="1"/>
  <c r="AH21" i="1"/>
  <c r="AH23" i="1"/>
  <c r="AH25" i="1"/>
  <c r="AH27" i="1"/>
  <c r="AH29" i="1"/>
  <c r="AH31" i="1"/>
  <c r="AH33" i="1"/>
  <c r="AH35" i="1"/>
  <c r="AH37" i="1"/>
  <c r="AH39" i="1"/>
  <c r="AH41" i="1"/>
  <c r="AH43" i="1"/>
  <c r="AH45" i="1"/>
  <c r="AH47" i="1"/>
  <c r="AH49" i="1"/>
  <c r="AH51" i="1"/>
  <c r="AH53" i="1"/>
  <c r="AH55" i="1"/>
  <c r="AH57" i="1"/>
  <c r="AH59" i="1"/>
  <c r="AH61" i="1"/>
  <c r="AH63" i="1"/>
  <c r="AH65" i="1"/>
  <c r="AH67" i="1"/>
  <c r="AH69" i="1"/>
  <c r="AH71" i="1"/>
  <c r="AH73" i="1"/>
  <c r="AH75" i="1"/>
  <c r="AH77" i="1"/>
  <c r="AH79" i="1"/>
  <c r="AH81" i="1"/>
  <c r="AH83" i="1"/>
  <c r="AH85" i="1"/>
  <c r="AH87" i="1"/>
  <c r="AH89" i="1"/>
  <c r="AH91" i="1"/>
  <c r="AH93" i="1"/>
  <c r="W7" i="1"/>
  <c r="W9" i="1"/>
  <c r="W11" i="1"/>
  <c r="W13" i="1"/>
  <c r="W15" i="1"/>
  <c r="W17" i="1"/>
  <c r="W19" i="1"/>
  <c r="W21" i="1"/>
  <c r="W23" i="1"/>
  <c r="W25" i="1"/>
  <c r="W27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0" i="1"/>
  <c r="W91" i="1"/>
  <c r="W92" i="1"/>
  <c r="W93" i="1"/>
  <c r="W94" i="1"/>
  <c r="W6" i="1"/>
  <c r="R5" i="1"/>
  <c r="AH88" i="1" l="1"/>
  <c r="W88" i="1"/>
  <c r="AH86" i="1"/>
  <c r="W86" i="1"/>
  <c r="AH84" i="1"/>
  <c r="W84" i="1"/>
  <c r="AH82" i="1"/>
  <c r="W82" i="1"/>
  <c r="AH80" i="1"/>
  <c r="W80" i="1"/>
  <c r="AH78" i="1"/>
  <c r="W78" i="1"/>
  <c r="AH76" i="1"/>
  <c r="W76" i="1"/>
  <c r="AH74" i="1"/>
  <c r="W74" i="1"/>
  <c r="AH72" i="1"/>
  <c r="W72" i="1"/>
  <c r="AH70" i="1"/>
  <c r="W70" i="1"/>
  <c r="AH68" i="1"/>
  <c r="W68" i="1"/>
  <c r="AH66" i="1"/>
  <c r="W66" i="1"/>
  <c r="AH64" i="1"/>
  <c r="W64" i="1"/>
  <c r="AH62" i="1"/>
  <c r="W62" i="1"/>
  <c r="AH60" i="1"/>
  <c r="W60" i="1"/>
  <c r="AH58" i="1"/>
  <c r="W58" i="1"/>
  <c r="AH56" i="1"/>
  <c r="W56" i="1"/>
  <c r="AH54" i="1"/>
  <c r="W54" i="1"/>
  <c r="AH52" i="1"/>
  <c r="W52" i="1"/>
  <c r="AH50" i="1"/>
  <c r="W50" i="1"/>
  <c r="AH48" i="1"/>
  <c r="W48" i="1"/>
  <c r="AH46" i="1"/>
  <c r="W46" i="1"/>
  <c r="AH44" i="1"/>
  <c r="W44" i="1"/>
  <c r="AH42" i="1"/>
  <c r="W42" i="1"/>
  <c r="AH40" i="1"/>
  <c r="W40" i="1"/>
  <c r="AH38" i="1"/>
  <c r="W38" i="1"/>
  <c r="AH36" i="1"/>
  <c r="W36" i="1"/>
  <c r="AH34" i="1"/>
  <c r="W34" i="1"/>
  <c r="AH32" i="1"/>
  <c r="W32" i="1"/>
  <c r="AH30" i="1"/>
  <c r="W30" i="1"/>
  <c r="AH28" i="1"/>
  <c r="W28" i="1"/>
  <c r="AH26" i="1"/>
  <c r="W26" i="1"/>
  <c r="AH24" i="1"/>
  <c r="W24" i="1"/>
  <c r="AH22" i="1"/>
  <c r="W22" i="1"/>
  <c r="AH20" i="1"/>
  <c r="W20" i="1"/>
  <c r="AH18" i="1"/>
  <c r="W18" i="1"/>
  <c r="AH16" i="1"/>
  <c r="W16" i="1"/>
  <c r="AH14" i="1"/>
  <c r="W14" i="1"/>
  <c r="AH12" i="1"/>
  <c r="W12" i="1"/>
  <c r="AH10" i="1"/>
  <c r="W10" i="1"/>
  <c r="AH8" i="1"/>
  <c r="W8" i="1"/>
  <c r="S5" i="1"/>
  <c r="P94" i="1"/>
  <c r="M93" i="1"/>
  <c r="P93" i="1" s="1"/>
  <c r="L93" i="1"/>
  <c r="M92" i="1"/>
  <c r="P92" i="1" s="1"/>
  <c r="Q92" i="1" s="1"/>
  <c r="L92" i="1"/>
  <c r="M91" i="1"/>
  <c r="P91" i="1" s="1"/>
  <c r="L91" i="1"/>
  <c r="M90" i="1"/>
  <c r="P90" i="1" s="1"/>
  <c r="L90" i="1"/>
  <c r="M89" i="1"/>
  <c r="P89" i="1" s="1"/>
  <c r="Q89" i="1" s="1"/>
  <c r="L89" i="1"/>
  <c r="M88" i="1"/>
  <c r="P88" i="1" s="1"/>
  <c r="Q88" i="1" s="1"/>
  <c r="L88" i="1"/>
  <c r="M87" i="1"/>
  <c r="P87" i="1" s="1"/>
  <c r="L87" i="1"/>
  <c r="M86" i="1"/>
  <c r="P86" i="1" s="1"/>
  <c r="Q86" i="1" s="1"/>
  <c r="L86" i="1"/>
  <c r="M85" i="1"/>
  <c r="P85" i="1" s="1"/>
  <c r="L85" i="1"/>
  <c r="M84" i="1"/>
  <c r="P84" i="1" s="1"/>
  <c r="Q84" i="1" s="1"/>
  <c r="L84" i="1"/>
  <c r="M83" i="1"/>
  <c r="P83" i="1" s="1"/>
  <c r="L83" i="1"/>
  <c r="M82" i="1"/>
  <c r="P82" i="1" s="1"/>
  <c r="Q82" i="1" s="1"/>
  <c r="L82" i="1"/>
  <c r="M81" i="1"/>
  <c r="P81" i="1" s="1"/>
  <c r="Q81" i="1" s="1"/>
  <c r="L81" i="1"/>
  <c r="M80" i="1"/>
  <c r="P80" i="1" s="1"/>
  <c r="Q80" i="1" s="1"/>
  <c r="L80" i="1"/>
  <c r="M79" i="1"/>
  <c r="P79" i="1" s="1"/>
  <c r="Q79" i="1" s="1"/>
  <c r="L79" i="1"/>
  <c r="M78" i="1"/>
  <c r="P78" i="1" s="1"/>
  <c r="L78" i="1"/>
  <c r="M77" i="1"/>
  <c r="P77" i="1" s="1"/>
  <c r="Q77" i="1" s="1"/>
  <c r="L77" i="1"/>
  <c r="M76" i="1"/>
  <c r="P76" i="1" s="1"/>
  <c r="L76" i="1"/>
  <c r="M75" i="1"/>
  <c r="P75" i="1" s="1"/>
  <c r="Q75" i="1" s="1"/>
  <c r="L75" i="1"/>
  <c r="M74" i="1"/>
  <c r="P74" i="1" s="1"/>
  <c r="L74" i="1"/>
  <c r="M73" i="1"/>
  <c r="P73" i="1" s="1"/>
  <c r="L73" i="1"/>
  <c r="M72" i="1"/>
  <c r="P72" i="1" s="1"/>
  <c r="L72" i="1"/>
  <c r="M71" i="1"/>
  <c r="P71" i="1" s="1"/>
  <c r="L71" i="1"/>
  <c r="M70" i="1"/>
  <c r="P70" i="1" s="1"/>
  <c r="L70" i="1"/>
  <c r="M69" i="1"/>
  <c r="P69" i="1" s="1"/>
  <c r="L69" i="1"/>
  <c r="M68" i="1"/>
  <c r="P68" i="1" s="1"/>
  <c r="X68" i="1" s="1"/>
  <c r="L68" i="1"/>
  <c r="M67" i="1"/>
  <c r="L67" i="1"/>
  <c r="M66" i="1"/>
  <c r="P66" i="1" s="1"/>
  <c r="L66" i="1"/>
  <c r="M65" i="1"/>
  <c r="P65" i="1" s="1"/>
  <c r="L65" i="1"/>
  <c r="M64" i="1"/>
  <c r="P64" i="1" s="1"/>
  <c r="L64" i="1"/>
  <c r="M63" i="1"/>
  <c r="P63" i="1" s="1"/>
  <c r="Q63" i="1" s="1"/>
  <c r="L63" i="1"/>
  <c r="M62" i="1"/>
  <c r="P62" i="1" s="1"/>
  <c r="Q62" i="1" s="1"/>
  <c r="L62" i="1"/>
  <c r="M61" i="1"/>
  <c r="P61" i="1" s="1"/>
  <c r="L61" i="1"/>
  <c r="M60" i="1"/>
  <c r="P60" i="1" s="1"/>
  <c r="Q60" i="1" s="1"/>
  <c r="L60" i="1"/>
  <c r="M59" i="1"/>
  <c r="P59" i="1" s="1"/>
  <c r="L59" i="1"/>
  <c r="M58" i="1"/>
  <c r="P58" i="1" s="1"/>
  <c r="L58" i="1"/>
  <c r="M57" i="1"/>
  <c r="P57" i="1" s="1"/>
  <c r="L57" i="1"/>
  <c r="M56" i="1"/>
  <c r="P56" i="1" s="1"/>
  <c r="L56" i="1"/>
  <c r="M55" i="1"/>
  <c r="P55" i="1" s="1"/>
  <c r="Q55" i="1" s="1"/>
  <c r="L55" i="1"/>
  <c r="M54" i="1"/>
  <c r="P54" i="1" s="1"/>
  <c r="Q54" i="1" s="1"/>
  <c r="L54" i="1"/>
  <c r="M53" i="1"/>
  <c r="P53" i="1" s="1"/>
  <c r="L53" i="1"/>
  <c r="M52" i="1"/>
  <c r="P52" i="1" s="1"/>
  <c r="X52" i="1" s="1"/>
  <c r="L52" i="1"/>
  <c r="M51" i="1"/>
  <c r="P51" i="1" s="1"/>
  <c r="X51" i="1" s="1"/>
  <c r="L51" i="1"/>
  <c r="M50" i="1"/>
  <c r="P50" i="1" s="1"/>
  <c r="X50" i="1" s="1"/>
  <c r="L50" i="1"/>
  <c r="M49" i="1"/>
  <c r="P49" i="1" s="1"/>
  <c r="X49" i="1" s="1"/>
  <c r="L49" i="1"/>
  <c r="M48" i="1"/>
  <c r="P48" i="1" s="1"/>
  <c r="X48" i="1" s="1"/>
  <c r="L48" i="1"/>
  <c r="M47" i="1"/>
  <c r="P47" i="1" s="1"/>
  <c r="X47" i="1" s="1"/>
  <c r="L47" i="1"/>
  <c r="M46" i="1"/>
  <c r="P46" i="1" s="1"/>
  <c r="X46" i="1" s="1"/>
  <c r="L46" i="1"/>
  <c r="M45" i="1"/>
  <c r="P45" i="1" s="1"/>
  <c r="X45" i="1" s="1"/>
  <c r="L45" i="1"/>
  <c r="M44" i="1"/>
  <c r="P44" i="1" s="1"/>
  <c r="X44" i="1" s="1"/>
  <c r="L44" i="1"/>
  <c r="M43" i="1"/>
  <c r="P43" i="1" s="1"/>
  <c r="X43" i="1" s="1"/>
  <c r="L43" i="1"/>
  <c r="M42" i="1"/>
  <c r="P42" i="1" s="1"/>
  <c r="X42" i="1" s="1"/>
  <c r="L42" i="1"/>
  <c r="M41" i="1"/>
  <c r="P41" i="1" s="1"/>
  <c r="X41" i="1" s="1"/>
  <c r="L41" i="1"/>
  <c r="M40" i="1"/>
  <c r="P40" i="1" s="1"/>
  <c r="X40" i="1" s="1"/>
  <c r="L40" i="1"/>
  <c r="M39" i="1"/>
  <c r="P39" i="1" s="1"/>
  <c r="X39" i="1" s="1"/>
  <c r="L39" i="1"/>
  <c r="M38" i="1"/>
  <c r="P38" i="1" s="1"/>
  <c r="X38" i="1" s="1"/>
  <c r="L38" i="1"/>
  <c r="M37" i="1"/>
  <c r="P37" i="1" s="1"/>
  <c r="L37" i="1"/>
  <c r="M36" i="1"/>
  <c r="P36" i="1" s="1"/>
  <c r="L36" i="1"/>
  <c r="M35" i="1"/>
  <c r="P35" i="1" s="1"/>
  <c r="L35" i="1"/>
  <c r="M34" i="1"/>
  <c r="P34" i="1" s="1"/>
  <c r="L34" i="1"/>
  <c r="M33" i="1"/>
  <c r="P33" i="1" s="1"/>
  <c r="L33" i="1"/>
  <c r="M32" i="1"/>
  <c r="P32" i="1" s="1"/>
  <c r="L32" i="1"/>
  <c r="M31" i="1"/>
  <c r="P31" i="1" s="1"/>
  <c r="L31" i="1"/>
  <c r="M30" i="1"/>
  <c r="P30" i="1" s="1"/>
  <c r="L30" i="1"/>
  <c r="M29" i="1"/>
  <c r="P29" i="1" s="1"/>
  <c r="L29" i="1"/>
  <c r="M28" i="1"/>
  <c r="P28" i="1" s="1"/>
  <c r="X28" i="1" s="1"/>
  <c r="L28" i="1"/>
  <c r="M27" i="1"/>
  <c r="P27" i="1" s="1"/>
  <c r="X27" i="1" s="1"/>
  <c r="L27" i="1"/>
  <c r="M26" i="1"/>
  <c r="P26" i="1" s="1"/>
  <c r="X26" i="1" s="1"/>
  <c r="L26" i="1"/>
  <c r="M25" i="1"/>
  <c r="P25" i="1" s="1"/>
  <c r="X25" i="1" s="1"/>
  <c r="L25" i="1"/>
  <c r="M24" i="1"/>
  <c r="P24" i="1" s="1"/>
  <c r="X24" i="1" s="1"/>
  <c r="L24" i="1"/>
  <c r="M23" i="1"/>
  <c r="P23" i="1" s="1"/>
  <c r="X23" i="1" s="1"/>
  <c r="L23" i="1"/>
  <c r="M22" i="1"/>
  <c r="P22" i="1" s="1"/>
  <c r="X22" i="1" s="1"/>
  <c r="L22" i="1"/>
  <c r="M21" i="1"/>
  <c r="P21" i="1" s="1"/>
  <c r="X21" i="1" s="1"/>
  <c r="L21" i="1"/>
  <c r="M20" i="1"/>
  <c r="P20" i="1" s="1"/>
  <c r="X20" i="1" s="1"/>
  <c r="L20" i="1"/>
  <c r="M19" i="1"/>
  <c r="P19" i="1" s="1"/>
  <c r="L19" i="1"/>
  <c r="F19" i="1"/>
  <c r="X19" i="1" s="1"/>
  <c r="M18" i="1"/>
  <c r="P18" i="1" s="1"/>
  <c r="X18" i="1" s="1"/>
  <c r="L18" i="1"/>
  <c r="M17" i="1"/>
  <c r="P17" i="1" s="1"/>
  <c r="X17" i="1" s="1"/>
  <c r="L17" i="1"/>
  <c r="M16" i="1"/>
  <c r="P16" i="1" s="1"/>
  <c r="X16" i="1" s="1"/>
  <c r="L16" i="1"/>
  <c r="M15" i="1"/>
  <c r="P15" i="1" s="1"/>
  <c r="X15" i="1" s="1"/>
  <c r="L15" i="1"/>
  <c r="M14" i="1"/>
  <c r="P14" i="1" s="1"/>
  <c r="X14" i="1" s="1"/>
  <c r="L14" i="1"/>
  <c r="M13" i="1"/>
  <c r="P13" i="1" s="1"/>
  <c r="X13" i="1" s="1"/>
  <c r="L13" i="1"/>
  <c r="M12" i="1"/>
  <c r="P12" i="1" s="1"/>
  <c r="X12" i="1" s="1"/>
  <c r="L12" i="1"/>
  <c r="M11" i="1"/>
  <c r="P11" i="1" s="1"/>
  <c r="L11" i="1"/>
  <c r="M10" i="1"/>
  <c r="P10" i="1" s="1"/>
  <c r="L10" i="1"/>
  <c r="M9" i="1"/>
  <c r="P9" i="1" s="1"/>
  <c r="L9" i="1"/>
  <c r="M8" i="1"/>
  <c r="P8" i="1" s="1"/>
  <c r="L8" i="1"/>
  <c r="M7" i="1"/>
  <c r="P7" i="1" s="1"/>
  <c r="L7" i="1"/>
  <c r="M6" i="1"/>
  <c r="P6" i="1" s="1"/>
  <c r="L6" i="1"/>
  <c r="AF5" i="1"/>
  <c r="AE5" i="1"/>
  <c r="AD5" i="1"/>
  <c r="AC5" i="1"/>
  <c r="AB5" i="1"/>
  <c r="AA5" i="1"/>
  <c r="Z5" i="1"/>
  <c r="Y5" i="1"/>
  <c r="V5" i="1"/>
  <c r="T5" i="1"/>
  <c r="O5" i="1"/>
  <c r="N5" i="1"/>
  <c r="K5" i="1"/>
  <c r="E5" i="1"/>
  <c r="P67" i="1" l="1"/>
  <c r="X67" i="1" s="1"/>
  <c r="Q58" i="1"/>
  <c r="F5" i="1"/>
  <c r="Q61" i="1"/>
  <c r="Q65" i="1"/>
  <c r="X6" i="1"/>
  <c r="Q6" i="1"/>
  <c r="Q8" i="1"/>
  <c r="Q15" i="1"/>
  <c r="Q17" i="1"/>
  <c r="Q20" i="1"/>
  <c r="Q22" i="1"/>
  <c r="Q26" i="1"/>
  <c r="Q40" i="1"/>
  <c r="Q44" i="1"/>
  <c r="Q48" i="1"/>
  <c r="Q12" i="1"/>
  <c r="Q21" i="1"/>
  <c r="Q25" i="1"/>
  <c r="Q27" i="1"/>
  <c r="Q32" i="1"/>
  <c r="Q43" i="1"/>
  <c r="Q45" i="1"/>
  <c r="Q47" i="1"/>
  <c r="Q51" i="1"/>
  <c r="Q74" i="1"/>
  <c r="X10" i="1"/>
  <c r="X55" i="1"/>
  <c r="X59" i="1"/>
  <c r="X63" i="1"/>
  <c r="X69" i="1"/>
  <c r="X31" i="1"/>
  <c r="X35" i="1"/>
  <c r="X72" i="1"/>
  <c r="X76" i="1"/>
  <c r="X8" i="1"/>
  <c r="X29" i="1"/>
  <c r="X33" i="1"/>
  <c r="X37" i="1"/>
  <c r="X53" i="1"/>
  <c r="X57" i="1"/>
  <c r="X61" i="1"/>
  <c r="X65" i="1"/>
  <c r="X74" i="1"/>
  <c r="X78" i="1"/>
  <c r="X56" i="1"/>
  <c r="X60" i="1"/>
  <c r="X64" i="1"/>
  <c r="X70" i="1"/>
  <c r="X73" i="1"/>
  <c r="X77" i="1"/>
  <c r="X80" i="1"/>
  <c r="X82" i="1"/>
  <c r="X84" i="1"/>
  <c r="X86" i="1"/>
  <c r="X88" i="1"/>
  <c r="X90" i="1"/>
  <c r="X92" i="1"/>
  <c r="X94" i="1"/>
  <c r="M5" i="1"/>
  <c r="L5" i="1"/>
  <c r="P5" i="1"/>
  <c r="X7" i="1"/>
  <c r="X9" i="1"/>
  <c r="X11" i="1"/>
  <c r="X30" i="1"/>
  <c r="X32" i="1"/>
  <c r="X34" i="1"/>
  <c r="X36" i="1"/>
  <c r="X54" i="1"/>
  <c r="X58" i="1"/>
  <c r="X62" i="1"/>
  <c r="X66" i="1"/>
  <c r="X71" i="1"/>
  <c r="X75" i="1"/>
  <c r="X79" i="1"/>
  <c r="X81" i="1"/>
  <c r="X83" i="1"/>
  <c r="X85" i="1"/>
  <c r="X87" i="1"/>
  <c r="X89" i="1"/>
  <c r="X91" i="1"/>
  <c r="X93" i="1"/>
  <c r="Q5" i="1" l="1"/>
  <c r="AH5" i="1"/>
</calcChain>
</file>

<file path=xl/sharedStrings.xml><?xml version="1.0" encoding="utf-8"?>
<sst xmlns="http://schemas.openxmlformats.org/spreadsheetml/2006/main" count="351" uniqueCount="144">
  <si>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</si>
  <si>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</si>
  <si>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</si>
  <si>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</si>
  <si>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</si>
  <si>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</si>
  <si>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</si>
  <si>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</si>
  <si>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</si>
  <si>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</si>
  <si>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</si>
  <si>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</si>
  <si>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</si>
  <si>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</si>
  <si>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</si>
  <si>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</si>
  <si>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</si>
  <si>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</si>
  <si>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</si>
  <si>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</si>
  <si>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</si>
  <si>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</si>
  <si>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</si>
  <si>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</si>
  <si>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</si>
  <si>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13,12,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</si>
  <si>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</si>
  <si>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</si>
  <si>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</si>
  <si>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</si>
  <si>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</si>
  <si>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</si>
  <si>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</si>
  <si>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</si>
  <si>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</si>
  <si>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</si>
  <si>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</si>
  <si>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</si>
  <si>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</si>
  <si>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</si>
  <si>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</si>
  <si>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</si>
  <si>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</si>
  <si>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</si>
  <si>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</si>
  <si>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</si>
  <si>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</si>
  <si>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</si>
  <si>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</si>
  <si>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</si>
  <si>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</si>
  <si>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</si>
  <si>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</si>
  <si>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</si>
  <si>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</si>
  <si>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</si>
  <si>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</si>
  <si>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</si>
  <si>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</si>
  <si>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</si>
  <si>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</si>
  <si>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</si>
  <si>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</si>
  <si>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</si>
  <si>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</si>
  <si>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</si>
  <si>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</si>
  <si>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</si>
  <si>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</si>
  <si>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</si>
  <si>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</si>
  <si>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</si>
  <si>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</si>
  <si>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</si>
  <si>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</si>
  <si>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</si>
  <si>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</si>
  <si>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</si>
  <si>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</si>
  <si>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</si>
  <si>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</si>
  <si>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</si>
  <si>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</si>
  <si>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</si>
  <si>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</si>
  <si>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</si>
  <si>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</si>
  <si>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</si>
  <si>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</si>
  <si>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</si>
  <si>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</si>
  <si>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</si>
  <si>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</si>
  <si>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</si>
  <si>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</si>
  <si>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</si>
  <si>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</si>
  <si>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</si>
  <si>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</si>
  <si>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</si>
  <si>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</si>
  <si>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</si>
  <si>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</si>
  <si>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</si>
  <si>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</si>
  <si>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</si>
  <si>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</si>
  <si>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</si>
  <si>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</si>
  <si>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</si>
  <si>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</si>
  <si>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</si>
  <si>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</si>
  <si>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</si>
  <si>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</si>
  <si>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</si>
  <si>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</si>
  <si>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</si>
  <si>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</si>
  <si>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</si>
  <si>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</si>
  <si>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</si>
  <si>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</si>
  <si>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</si>
  <si>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</si>
  <si>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</si>
  <si>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</si>
  <si>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</si>
  <si>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</si>
  <si>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</si>
  <si>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</si>
  <si>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</si>
  <si>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</si>
  <si>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</si>
  <si>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</si>
  <si>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</si>
  <si>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Княжеская ТМ Стародворье сырокопч. из мяса птицы Поком</t>
  </si>
  <si>
    <t>не в матрице</t>
  </si>
  <si>
    <t>377  Колбаса Молочная Дугушка 0,6кг ТМ Стародворье  ПОКОМ</t>
  </si>
  <si>
    <t>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</si>
  <si>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Мера</t>
    </r>
  </si>
  <si>
    <t>до машины</t>
  </si>
  <si>
    <t>заказ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</si>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</sst>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2" fillId="0" borderId="1"/>
  </cellStyleXfs>
  <cellXfs count="30">
    <xf numFmtId="0" fontId="0" fillId="0" borderId="0" xfId="0" applyBorder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 applyBorder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164" fontId="5" fillId="2" borderId="1" xfId="1" applyNumberFormat="1" applyFont="1" applyFill="1"/>
    <xf numFmtId="164" fontId="2" fillId="0" borderId="1" xfId="1" applyNumberFormat="1"/>
    <xf numFmtId="0" fontId="0" fillId="0" borderId="0" xfId="0" applyBorder="1"/>
    <xf numFmtId="0" fontId="1" fillId="5" borderId="1" xfId="0" applyFont="1" applyFill="1"/>
    <xf numFmtId="164" fontId="6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164" fontId="2" fillId="5" borderId="2" xfId="1" applyNumberFormat="1" applyFill="1" applyBorder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7" fillId="9" borderId="1" xfId="1" applyNumberFormat="1" applyFont="1" applyFill="1"/>
    <xf numFmtId="164" fontId="2" fillId="10" borderId="1" xfId="1" applyNumberFormat="1" applyFill="1"/>
    <xf numFmtId="164" fontId="6" fillId="10" borderId="1" xfId="1" applyNumberFormat="1" applyFont="1" applyFill="1"/>
    <xf numFmtId="164" fontId="8" fillId="10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4" sqref="T4"/>
    </sheetView>
  </sheetViews>
  <sheetFormatPr defaultRowHeight="15" x14ac:dyDescent="0.25"/>
  <cols>
    <col min="1" max="1" width="60" style="11" customWidth="1"/>
    <col min="2" max="2" width="3" style="11" customWidth="1"/>
    <col min="3" max="4" width="6" style="11" customWidth="1"/>
    <col min="5" max="6" width="7" style="11" customWidth="1"/>
    <col min="7" max="7" width="5" style="5" customWidth="1"/>
    <col min="8" max="8" width="5" style="11" customWidth="1"/>
    <col min="9" max="9" width="12" style="11" customWidth="1"/>
    <col min="10" max="10" width="1" style="11" customWidth="1"/>
    <col min="11" max="17" width="7" style="11" customWidth="1"/>
    <col min="18" max="19" width="7" style="29" customWidth="1"/>
    <col min="20" max="20" width="7" style="11" customWidth="1"/>
    <col min="21" max="21" width="14" style="11" customWidth="1"/>
    <col min="22" max="22" width="7" style="11" customWidth="1"/>
    <col min="23" max="24" width="5" style="11" customWidth="1"/>
    <col min="25" max="32" width="6" style="11" customWidth="1"/>
    <col min="33" max="33" width="34.7109375" style="11" customWidth="1"/>
    <col min="34" max="34" width="7" style="11" customWidth="1"/>
    <col min="35" max="52" width="3" style="11" customWidth="1"/>
  </cols>
  <sheetData>
    <row r="1" spans="1:52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</row>
    <row r="2" spans="1:52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141</v>
      </c>
      <c r="S3" s="2" t="s">
        <v>142</v>
      </c>
      <c r="T3" s="6" t="s">
        <v>17</v>
      </c>
      <c r="U3" s="6" t="s">
        <v>18</v>
      </c>
      <c r="V3" s="9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</row>
    <row r="4" spans="1:52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25</v>
      </c>
      <c r="P4" s="10" t="s">
        <v>26</v>
      </c>
      <c r="Q4" s="10"/>
      <c r="R4" s="10"/>
      <c r="S4" s="10" t="s">
        <v>143</v>
      </c>
      <c r="T4" s="10"/>
      <c r="U4" s="10"/>
      <c r="V4" s="10"/>
      <c r="W4" s="10"/>
      <c r="X4" s="10"/>
      <c r="Y4" s="10" t="s">
        <v>27</v>
      </c>
      <c r="Z4" s="10" t="s">
        <v>28</v>
      </c>
      <c r="AA4" s="10" t="s">
        <v>29</v>
      </c>
      <c r="AB4" s="10" t="s">
        <v>30</v>
      </c>
      <c r="AC4" s="10" t="s">
        <v>31</v>
      </c>
      <c r="AD4" s="10" t="s">
        <v>32</v>
      </c>
      <c r="AE4" s="10" t="s">
        <v>33</v>
      </c>
      <c r="AF4" s="10" t="s">
        <v>34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</row>
    <row r="5" spans="1:52" x14ac:dyDescent="0.25">
      <c r="A5" s="10"/>
      <c r="B5" s="10"/>
      <c r="C5" s="10"/>
      <c r="D5" s="10"/>
      <c r="E5" s="3">
        <f>SUM(E6:E499)</f>
        <v>9922.021999999999</v>
      </c>
      <c r="F5" s="3">
        <f>SUM(F6:F499)</f>
        <v>18116.613000000001</v>
      </c>
      <c r="G5" s="7"/>
      <c r="H5" s="10"/>
      <c r="I5" s="10"/>
      <c r="J5" s="10"/>
      <c r="K5" s="3">
        <f t="shared" ref="K5:T5" si="0">SUM(K6:K499)</f>
        <v>10129.764999999999</v>
      </c>
      <c r="L5" s="3">
        <f t="shared" si="0"/>
        <v>-207.74299999999997</v>
      </c>
      <c r="M5" s="3">
        <f t="shared" si="0"/>
        <v>9801.107</v>
      </c>
      <c r="N5" s="3">
        <f t="shared" si="0"/>
        <v>120.91499999999998</v>
      </c>
      <c r="O5" s="3">
        <f t="shared" si="0"/>
        <v>3615.717000000001</v>
      </c>
      <c r="P5" s="3">
        <f t="shared" si="0"/>
        <v>1960.2214000000006</v>
      </c>
      <c r="Q5" s="3">
        <f t="shared" si="0"/>
        <v>3827.7810999999997</v>
      </c>
      <c r="R5" s="3">
        <f t="shared" si="0"/>
        <v>0</v>
      </c>
      <c r="S5" s="3">
        <f t="shared" si="0"/>
        <v>3827.7810999999997</v>
      </c>
      <c r="T5" s="3">
        <f t="shared" si="0"/>
        <v>0</v>
      </c>
      <c r="U5" s="10"/>
      <c r="V5" s="3">
        <f>SUM(V6:V499)</f>
        <v>0</v>
      </c>
      <c r="W5" s="10"/>
      <c r="X5" s="10"/>
      <c r="Y5" s="3">
        <f t="shared" ref="Y5:AF5" si="1">SUM(Y6:Y499)</f>
        <v>1898.6560000000002</v>
      </c>
      <c r="Z5" s="3">
        <f t="shared" si="1"/>
        <v>2035.7315999999998</v>
      </c>
      <c r="AA5" s="3">
        <f t="shared" si="1"/>
        <v>2084.4382000000001</v>
      </c>
      <c r="AB5" s="3">
        <f t="shared" si="1"/>
        <v>1914.4588000000008</v>
      </c>
      <c r="AC5" s="3">
        <f t="shared" si="1"/>
        <v>1896.8953999999999</v>
      </c>
      <c r="AD5" s="3">
        <f t="shared" si="1"/>
        <v>1945.3320000000003</v>
      </c>
      <c r="AE5" s="3">
        <f t="shared" si="1"/>
        <v>2136.6345999999999</v>
      </c>
      <c r="AF5" s="3">
        <f t="shared" si="1"/>
        <v>1903.8986000000002</v>
      </c>
      <c r="AG5" s="10"/>
      <c r="AH5" s="3">
        <f>SUM(AH6:AH499)</f>
        <v>3082</v>
      </c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</row>
    <row r="6" spans="1:52" x14ac:dyDescent="0.25">
      <c r="A6" s="10" t="s">
        <v>35</v>
      </c>
      <c r="B6" s="10" t="s">
        <v>36</v>
      </c>
      <c r="C6" s="10">
        <v>159.012</v>
      </c>
      <c r="D6" s="10">
        <v>10.706</v>
      </c>
      <c r="E6" s="10">
        <v>67.700999999999993</v>
      </c>
      <c r="F6" s="10">
        <v>104.40900000000001</v>
      </c>
      <c r="G6" s="7">
        <v>1</v>
      </c>
      <c r="H6" s="10">
        <v>50</v>
      </c>
      <c r="I6" s="10" t="s">
        <v>37</v>
      </c>
      <c r="J6" s="10"/>
      <c r="K6" s="10">
        <v>67.05</v>
      </c>
      <c r="L6" s="10">
        <f t="shared" ref="L6:L37" si="2">E6-K6</f>
        <v>0.65099999999999625</v>
      </c>
      <c r="M6" s="10">
        <f t="shared" ref="M6:M37" si="3">E6-N6</f>
        <v>67.700999999999993</v>
      </c>
      <c r="N6" s="10"/>
      <c r="O6" s="10">
        <v>0</v>
      </c>
      <c r="P6" s="10">
        <f t="shared" ref="P6:P37" si="4">M6/5</f>
        <v>13.540199999999999</v>
      </c>
      <c r="Q6" s="4">
        <f>12*P6-O6-F6</f>
        <v>58.073399999999978</v>
      </c>
      <c r="R6" s="4"/>
      <c r="S6" s="4">
        <f>R6+Q6</f>
        <v>58.073399999999978</v>
      </c>
      <c r="T6" s="4"/>
      <c r="U6" s="10"/>
      <c r="V6" s="10"/>
      <c r="W6" s="10">
        <f>(F6+O6+S6)/P6</f>
        <v>12</v>
      </c>
      <c r="X6" s="10">
        <f t="shared" ref="X6:X37" si="5">(F6+O6)/P6</f>
        <v>7.7110382416803311</v>
      </c>
      <c r="Y6" s="10">
        <v>11.7384</v>
      </c>
      <c r="Z6" s="10">
        <v>13.758599999999999</v>
      </c>
      <c r="AA6" s="10">
        <v>15.615399999999999</v>
      </c>
      <c r="AB6" s="10">
        <v>11.59</v>
      </c>
      <c r="AC6" s="10">
        <v>16.427199999999999</v>
      </c>
      <c r="AD6" s="10">
        <v>22.405799999999999</v>
      </c>
      <c r="AE6" s="10">
        <v>18.869399999999999</v>
      </c>
      <c r="AF6" s="10">
        <v>17.432200000000002</v>
      </c>
      <c r="AG6" s="10"/>
      <c r="AH6" s="10">
        <f>ROUND(G6*S6,0)</f>
        <v>58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</row>
    <row r="7" spans="1:52" x14ac:dyDescent="0.25">
      <c r="A7" s="10" t="s">
        <v>38</v>
      </c>
      <c r="B7" s="10" t="s">
        <v>36</v>
      </c>
      <c r="C7" s="10">
        <v>67.158000000000001</v>
      </c>
      <c r="D7" s="10">
        <v>362.49599999999998</v>
      </c>
      <c r="E7" s="10">
        <v>96.488</v>
      </c>
      <c r="F7" s="10">
        <v>344.42599999999999</v>
      </c>
      <c r="G7" s="7">
        <v>1</v>
      </c>
      <c r="H7" s="10">
        <v>45</v>
      </c>
      <c r="I7" s="10" t="s">
        <v>37</v>
      </c>
      <c r="J7" s="10"/>
      <c r="K7" s="10">
        <v>110.75</v>
      </c>
      <c r="L7" s="10">
        <f t="shared" si="2"/>
        <v>-14.262</v>
      </c>
      <c r="M7" s="10">
        <f t="shared" si="3"/>
        <v>96.488</v>
      </c>
      <c r="N7" s="10"/>
      <c r="O7" s="10">
        <v>0</v>
      </c>
      <c r="P7" s="10">
        <f t="shared" si="4"/>
        <v>19.297599999999999</v>
      </c>
      <c r="Q7" s="4"/>
      <c r="R7" s="4"/>
      <c r="S7" s="4">
        <f t="shared" ref="S7:S70" si="6">R7+Q7</f>
        <v>0</v>
      </c>
      <c r="T7" s="4"/>
      <c r="U7" s="10"/>
      <c r="V7" s="10"/>
      <c r="W7" s="10">
        <f t="shared" ref="W7:W70" si="7">(F7+O7+S7)/P7</f>
        <v>17.848126191858054</v>
      </c>
      <c r="X7" s="10">
        <f t="shared" si="5"/>
        <v>17.848126191858054</v>
      </c>
      <c r="Y7" s="10">
        <v>25.408200000000001</v>
      </c>
      <c r="Z7" s="10">
        <v>34.780200000000001</v>
      </c>
      <c r="AA7" s="10">
        <v>31.786200000000001</v>
      </c>
      <c r="AB7" s="10">
        <v>18.124600000000001</v>
      </c>
      <c r="AC7" s="10">
        <v>15.088200000000001</v>
      </c>
      <c r="AD7" s="10">
        <v>26.0062</v>
      </c>
      <c r="AE7" s="10">
        <v>30.057600000000001</v>
      </c>
      <c r="AF7" s="10">
        <v>21.827999999999999</v>
      </c>
      <c r="AG7" s="10" t="s">
        <v>39</v>
      </c>
      <c r="AH7" s="10">
        <f t="shared" ref="AH7:AH70" si="8">ROUND(G7*S7,0)</f>
        <v>0</v>
      </c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</row>
    <row r="8" spans="1:52" x14ac:dyDescent="0.25">
      <c r="A8" s="10" t="s">
        <v>40</v>
      </c>
      <c r="B8" s="10" t="s">
        <v>36</v>
      </c>
      <c r="C8" s="10">
        <v>89.588999999999999</v>
      </c>
      <c r="D8" s="10">
        <v>170.63300000000001</v>
      </c>
      <c r="E8" s="10">
        <v>126.39700000000001</v>
      </c>
      <c r="F8" s="10">
        <v>145.405</v>
      </c>
      <c r="G8" s="7">
        <v>1</v>
      </c>
      <c r="H8" s="10">
        <v>45</v>
      </c>
      <c r="I8" s="10" t="s">
        <v>37</v>
      </c>
      <c r="J8" s="10"/>
      <c r="K8" s="10">
        <v>123.295</v>
      </c>
      <c r="L8" s="10">
        <f t="shared" si="2"/>
        <v>3.1020000000000039</v>
      </c>
      <c r="M8" s="10">
        <f t="shared" si="3"/>
        <v>126.39700000000001</v>
      </c>
      <c r="N8" s="10"/>
      <c r="O8" s="10">
        <v>41.910799999999973</v>
      </c>
      <c r="P8" s="10">
        <f t="shared" si="4"/>
        <v>25.279400000000003</v>
      </c>
      <c r="Q8" s="4">
        <f t="shared" ref="Q8" si="9">12*P8-O8-F8</f>
        <v>116.03700000000001</v>
      </c>
      <c r="R8" s="4"/>
      <c r="S8" s="4">
        <f t="shared" si="6"/>
        <v>116.03700000000001</v>
      </c>
      <c r="T8" s="4"/>
      <c r="U8" s="10"/>
      <c r="V8" s="10"/>
      <c r="W8" s="10">
        <f t="shared" si="7"/>
        <v>11.999999999999998</v>
      </c>
      <c r="X8" s="10">
        <f t="shared" si="5"/>
        <v>7.4098198533193012</v>
      </c>
      <c r="Y8" s="10">
        <v>21.1968</v>
      </c>
      <c r="Z8" s="10">
        <v>20.295999999999999</v>
      </c>
      <c r="AA8" s="10">
        <v>20.936800000000002</v>
      </c>
      <c r="AB8" s="10">
        <v>17.07</v>
      </c>
      <c r="AC8" s="10">
        <v>15.868600000000001</v>
      </c>
      <c r="AD8" s="10">
        <v>23.098400000000002</v>
      </c>
      <c r="AE8" s="10">
        <v>21.492000000000001</v>
      </c>
      <c r="AF8" s="10">
        <v>20.203600000000002</v>
      </c>
      <c r="AG8" s="10"/>
      <c r="AH8" s="10">
        <f t="shared" si="8"/>
        <v>116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</row>
    <row r="9" spans="1:52" x14ac:dyDescent="0.25">
      <c r="A9" s="10" t="s">
        <v>41</v>
      </c>
      <c r="B9" s="10" t="s">
        <v>42</v>
      </c>
      <c r="C9" s="10">
        <v>183</v>
      </c>
      <c r="D9" s="10">
        <v>541</v>
      </c>
      <c r="E9" s="10">
        <v>101</v>
      </c>
      <c r="F9" s="10">
        <v>622</v>
      </c>
      <c r="G9" s="7">
        <v>0.45</v>
      </c>
      <c r="H9" s="10">
        <v>45</v>
      </c>
      <c r="I9" s="10" t="s">
        <v>37</v>
      </c>
      <c r="J9" s="10"/>
      <c r="K9" s="10">
        <v>107</v>
      </c>
      <c r="L9" s="10">
        <f t="shared" si="2"/>
        <v>-6</v>
      </c>
      <c r="M9" s="10">
        <f t="shared" si="3"/>
        <v>101</v>
      </c>
      <c r="N9" s="10"/>
      <c r="O9" s="10">
        <v>0</v>
      </c>
      <c r="P9" s="10">
        <f t="shared" si="4"/>
        <v>20.2</v>
      </c>
      <c r="Q9" s="4"/>
      <c r="R9" s="4"/>
      <c r="S9" s="4">
        <f t="shared" si="6"/>
        <v>0</v>
      </c>
      <c r="T9" s="4"/>
      <c r="U9" s="10"/>
      <c r="V9" s="10"/>
      <c r="W9" s="10">
        <f t="shared" si="7"/>
        <v>30.792079207920793</v>
      </c>
      <c r="X9" s="10">
        <f t="shared" si="5"/>
        <v>30.792079207920793</v>
      </c>
      <c r="Y9" s="10">
        <v>25.8</v>
      </c>
      <c r="Z9" s="10">
        <v>53.2</v>
      </c>
      <c r="AA9" s="10">
        <v>53.6</v>
      </c>
      <c r="AB9" s="10">
        <v>41.2</v>
      </c>
      <c r="AC9" s="10">
        <v>39.200000000000003</v>
      </c>
      <c r="AD9" s="10">
        <v>29.2</v>
      </c>
      <c r="AE9" s="10">
        <v>43.2</v>
      </c>
      <c r="AF9" s="10">
        <v>37.799999999999997</v>
      </c>
      <c r="AG9" s="27" t="s">
        <v>140</v>
      </c>
      <c r="AH9" s="10">
        <f t="shared" si="8"/>
        <v>0</v>
      </c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</row>
    <row r="10" spans="1:52" x14ac:dyDescent="0.25">
      <c r="A10" s="10" t="s">
        <v>43</v>
      </c>
      <c r="B10" s="10" t="s">
        <v>42</v>
      </c>
      <c r="C10" s="10">
        <v>255</v>
      </c>
      <c r="D10" s="10">
        <v>439</v>
      </c>
      <c r="E10" s="10">
        <v>180</v>
      </c>
      <c r="F10" s="10">
        <v>515</v>
      </c>
      <c r="G10" s="7">
        <v>0.45</v>
      </c>
      <c r="H10" s="10">
        <v>45</v>
      </c>
      <c r="I10" s="10" t="s">
        <v>37</v>
      </c>
      <c r="J10" s="10"/>
      <c r="K10" s="10">
        <v>186</v>
      </c>
      <c r="L10" s="10">
        <f t="shared" si="2"/>
        <v>-6</v>
      </c>
      <c r="M10" s="10">
        <f t="shared" si="3"/>
        <v>180</v>
      </c>
      <c r="N10" s="10"/>
      <c r="O10" s="10">
        <v>0</v>
      </c>
      <c r="P10" s="10">
        <f t="shared" si="4"/>
        <v>36</v>
      </c>
      <c r="Q10" s="4"/>
      <c r="R10" s="4"/>
      <c r="S10" s="4">
        <f t="shared" si="6"/>
        <v>0</v>
      </c>
      <c r="T10" s="4"/>
      <c r="U10" s="10"/>
      <c r="V10" s="10"/>
      <c r="W10" s="10">
        <f t="shared" si="7"/>
        <v>14.305555555555555</v>
      </c>
      <c r="X10" s="10">
        <f t="shared" si="5"/>
        <v>14.305555555555555</v>
      </c>
      <c r="Y10" s="10">
        <v>38.200000000000003</v>
      </c>
      <c r="Z10" s="10">
        <v>49.6</v>
      </c>
      <c r="AA10" s="10">
        <v>51.8</v>
      </c>
      <c r="AB10" s="10">
        <v>44.8</v>
      </c>
      <c r="AC10" s="10">
        <v>43.6</v>
      </c>
      <c r="AD10" s="10">
        <v>30.8</v>
      </c>
      <c r="AE10" s="10">
        <v>41.6</v>
      </c>
      <c r="AF10" s="10">
        <v>34.200000000000003</v>
      </c>
      <c r="AG10" s="10"/>
      <c r="AH10" s="10">
        <f t="shared" si="8"/>
        <v>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</row>
    <row r="11" spans="1:52" x14ac:dyDescent="0.25">
      <c r="A11" s="21" t="s">
        <v>44</v>
      </c>
      <c r="B11" s="21" t="s">
        <v>42</v>
      </c>
      <c r="C11" s="21"/>
      <c r="D11" s="21"/>
      <c r="E11" s="21"/>
      <c r="F11" s="21"/>
      <c r="G11" s="22">
        <v>0</v>
      </c>
      <c r="H11" s="21">
        <v>180</v>
      </c>
      <c r="I11" s="21" t="s">
        <v>37</v>
      </c>
      <c r="J11" s="21"/>
      <c r="K11" s="21"/>
      <c r="L11" s="21">
        <f t="shared" si="2"/>
        <v>0</v>
      </c>
      <c r="M11" s="21">
        <f t="shared" si="3"/>
        <v>0</v>
      </c>
      <c r="N11" s="21"/>
      <c r="O11" s="21">
        <v>0</v>
      </c>
      <c r="P11" s="21">
        <f t="shared" si="4"/>
        <v>0</v>
      </c>
      <c r="Q11" s="23"/>
      <c r="R11" s="23"/>
      <c r="S11" s="4">
        <f t="shared" si="6"/>
        <v>0</v>
      </c>
      <c r="T11" s="23"/>
      <c r="U11" s="21"/>
      <c r="V11" s="21"/>
      <c r="W11" s="10" t="e">
        <f t="shared" si="7"/>
        <v>#DIV/0!</v>
      </c>
      <c r="X11" s="21" t="e">
        <f t="shared" si="5"/>
        <v>#DIV/0!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 t="s">
        <v>45</v>
      </c>
      <c r="AH11" s="10">
        <f t="shared" si="8"/>
        <v>0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</row>
    <row r="12" spans="1:52" x14ac:dyDescent="0.25">
      <c r="A12" s="10" t="s">
        <v>46</v>
      </c>
      <c r="B12" s="10" t="s">
        <v>42</v>
      </c>
      <c r="C12" s="10">
        <v>6</v>
      </c>
      <c r="D12" s="10">
        <v>73</v>
      </c>
      <c r="E12" s="10">
        <v>34</v>
      </c>
      <c r="F12" s="10">
        <v>43</v>
      </c>
      <c r="G12" s="7">
        <v>0.3</v>
      </c>
      <c r="H12" s="10">
        <v>40</v>
      </c>
      <c r="I12" s="10" t="s">
        <v>37</v>
      </c>
      <c r="J12" s="10"/>
      <c r="K12" s="10">
        <v>36</v>
      </c>
      <c r="L12" s="10">
        <f t="shared" si="2"/>
        <v>-2</v>
      </c>
      <c r="M12" s="10">
        <f t="shared" si="3"/>
        <v>34</v>
      </c>
      <c r="N12" s="10"/>
      <c r="O12" s="10">
        <v>0</v>
      </c>
      <c r="P12" s="10">
        <f t="shared" si="4"/>
        <v>6.8</v>
      </c>
      <c r="Q12" s="4">
        <f t="shared" ref="Q12:Q17" si="10">12*P12-O12-F12</f>
        <v>38.599999999999994</v>
      </c>
      <c r="R12" s="4"/>
      <c r="S12" s="4">
        <f t="shared" si="6"/>
        <v>38.599999999999994</v>
      </c>
      <c r="T12" s="4"/>
      <c r="U12" s="10"/>
      <c r="V12" s="10"/>
      <c r="W12" s="10">
        <f t="shared" si="7"/>
        <v>12</v>
      </c>
      <c r="X12" s="10">
        <f t="shared" si="5"/>
        <v>6.3235294117647056</v>
      </c>
      <c r="Y12" s="10">
        <v>1.4</v>
      </c>
      <c r="Z12" s="10">
        <v>2.2000000000000002</v>
      </c>
      <c r="AA12" s="10">
        <v>6.6</v>
      </c>
      <c r="AB12" s="10">
        <v>5.4</v>
      </c>
      <c r="AC12" s="10">
        <v>3.6</v>
      </c>
      <c r="AD12" s="10">
        <v>3.6</v>
      </c>
      <c r="AE12" s="10">
        <v>4.2</v>
      </c>
      <c r="AF12" s="10">
        <v>4.8</v>
      </c>
      <c r="AG12" s="10"/>
      <c r="AH12" s="10">
        <f t="shared" si="8"/>
        <v>12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</row>
    <row r="13" spans="1:52" x14ac:dyDescent="0.25">
      <c r="A13" s="10" t="s">
        <v>47</v>
      </c>
      <c r="B13" s="10" t="s">
        <v>42</v>
      </c>
      <c r="C13" s="10">
        <v>65</v>
      </c>
      <c r="D13" s="10">
        <v>45</v>
      </c>
      <c r="E13" s="10">
        <v>19</v>
      </c>
      <c r="F13" s="10">
        <v>76</v>
      </c>
      <c r="G13" s="7">
        <v>0.17</v>
      </c>
      <c r="H13" s="10">
        <v>180</v>
      </c>
      <c r="I13" s="10" t="s">
        <v>37</v>
      </c>
      <c r="J13" s="10"/>
      <c r="K13" s="10">
        <v>19</v>
      </c>
      <c r="L13" s="10">
        <f t="shared" si="2"/>
        <v>0</v>
      </c>
      <c r="M13" s="10">
        <f t="shared" si="3"/>
        <v>19</v>
      </c>
      <c r="N13" s="10"/>
      <c r="O13" s="10">
        <v>0</v>
      </c>
      <c r="P13" s="10">
        <f t="shared" si="4"/>
        <v>3.8</v>
      </c>
      <c r="Q13" s="4"/>
      <c r="R13" s="4"/>
      <c r="S13" s="4">
        <f t="shared" si="6"/>
        <v>0</v>
      </c>
      <c r="T13" s="4"/>
      <c r="U13" s="10"/>
      <c r="V13" s="10"/>
      <c r="W13" s="10">
        <f t="shared" si="7"/>
        <v>20</v>
      </c>
      <c r="X13" s="10">
        <f t="shared" si="5"/>
        <v>20</v>
      </c>
      <c r="Y13" s="10">
        <v>6.2</v>
      </c>
      <c r="Z13" s="10">
        <v>8.4</v>
      </c>
      <c r="AA13" s="10">
        <v>6.4</v>
      </c>
      <c r="AB13" s="10">
        <v>3.8</v>
      </c>
      <c r="AC13" s="10">
        <v>4.2</v>
      </c>
      <c r="AD13" s="10">
        <v>9.8000000000000007</v>
      </c>
      <c r="AE13" s="10">
        <v>9.1999999999999993</v>
      </c>
      <c r="AF13" s="10">
        <v>5.6</v>
      </c>
      <c r="AG13" s="10"/>
      <c r="AH13" s="10">
        <f t="shared" si="8"/>
        <v>0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</row>
    <row r="14" spans="1:52" x14ac:dyDescent="0.25">
      <c r="A14" s="10" t="s">
        <v>48</v>
      </c>
      <c r="B14" s="10" t="s">
        <v>36</v>
      </c>
      <c r="C14" s="10">
        <v>158.923</v>
      </c>
      <c r="D14" s="10">
        <v>316.11399999999998</v>
      </c>
      <c r="E14" s="10">
        <v>160.51</v>
      </c>
      <c r="F14" s="10">
        <v>297.75400000000002</v>
      </c>
      <c r="G14" s="7">
        <v>1</v>
      </c>
      <c r="H14" s="10">
        <v>55</v>
      </c>
      <c r="I14" s="10" t="s">
        <v>37</v>
      </c>
      <c r="J14" s="10"/>
      <c r="K14" s="10">
        <v>156.84</v>
      </c>
      <c r="L14" s="10">
        <f t="shared" si="2"/>
        <v>3.6699999999999875</v>
      </c>
      <c r="M14" s="10">
        <f t="shared" si="3"/>
        <v>160.51</v>
      </c>
      <c r="N14" s="10"/>
      <c r="O14" s="10">
        <v>97.952299999999951</v>
      </c>
      <c r="P14" s="10">
        <f t="shared" si="4"/>
        <v>32.101999999999997</v>
      </c>
      <c r="Q14" s="4"/>
      <c r="R14" s="4"/>
      <c r="S14" s="4">
        <f t="shared" si="6"/>
        <v>0</v>
      </c>
      <c r="T14" s="4"/>
      <c r="U14" s="10"/>
      <c r="V14" s="10"/>
      <c r="W14" s="10">
        <f t="shared" si="7"/>
        <v>12.326531057255</v>
      </c>
      <c r="X14" s="10">
        <f t="shared" si="5"/>
        <v>12.326531057255</v>
      </c>
      <c r="Y14" s="10">
        <v>34.7866</v>
      </c>
      <c r="Z14" s="10">
        <v>32.297800000000002</v>
      </c>
      <c r="AA14" s="10">
        <v>29.584599999999998</v>
      </c>
      <c r="AB14" s="10">
        <v>31.9054</v>
      </c>
      <c r="AC14" s="10">
        <v>31.13</v>
      </c>
      <c r="AD14" s="10">
        <v>30.973600000000001</v>
      </c>
      <c r="AE14" s="10">
        <v>32.347200000000001</v>
      </c>
      <c r="AF14" s="10">
        <v>26.408200000000001</v>
      </c>
      <c r="AG14" s="10" t="s">
        <v>49</v>
      </c>
      <c r="AH14" s="10">
        <f t="shared" si="8"/>
        <v>0</v>
      </c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2" x14ac:dyDescent="0.25">
      <c r="A15" s="10" t="s">
        <v>50</v>
      </c>
      <c r="B15" s="10" t="s">
        <v>36</v>
      </c>
      <c r="C15" s="10">
        <v>753.27</v>
      </c>
      <c r="D15" s="10">
        <v>1009.155</v>
      </c>
      <c r="E15" s="10">
        <v>699.37599999999998</v>
      </c>
      <c r="F15" s="10">
        <v>941.4</v>
      </c>
      <c r="G15" s="7">
        <v>1</v>
      </c>
      <c r="H15" s="10">
        <v>50</v>
      </c>
      <c r="I15" s="10" t="s">
        <v>37</v>
      </c>
      <c r="J15" s="10"/>
      <c r="K15" s="10">
        <v>705</v>
      </c>
      <c r="L15" s="10">
        <f t="shared" si="2"/>
        <v>-5.6240000000000236</v>
      </c>
      <c r="M15" s="10">
        <f t="shared" si="3"/>
        <v>669.101</v>
      </c>
      <c r="N15" s="10">
        <v>30.274999999999999</v>
      </c>
      <c r="O15" s="10">
        <v>403.05398000000008</v>
      </c>
      <c r="P15" s="10">
        <f t="shared" si="4"/>
        <v>133.8202</v>
      </c>
      <c r="Q15" s="4">
        <f t="shared" si="10"/>
        <v>261.38841999999988</v>
      </c>
      <c r="R15" s="4"/>
      <c r="S15" s="4">
        <f t="shared" si="6"/>
        <v>261.38841999999988</v>
      </c>
      <c r="T15" s="4"/>
      <c r="U15" s="10"/>
      <c r="V15" s="10"/>
      <c r="W15" s="10">
        <f t="shared" si="7"/>
        <v>12</v>
      </c>
      <c r="X15" s="10">
        <f t="shared" si="5"/>
        <v>10.046719254641676</v>
      </c>
      <c r="Y15" s="10">
        <v>127.443</v>
      </c>
      <c r="Z15" s="10">
        <v>115.6288</v>
      </c>
      <c r="AA15" s="10">
        <v>114.50620000000001</v>
      </c>
      <c r="AB15" s="10">
        <v>113.3258</v>
      </c>
      <c r="AC15" s="10">
        <v>113.04300000000001</v>
      </c>
      <c r="AD15" s="10">
        <v>135.5318</v>
      </c>
      <c r="AE15" s="10">
        <v>137.45599999999999</v>
      </c>
      <c r="AF15" s="10">
        <v>134.53919999999999</v>
      </c>
      <c r="AG15" s="10" t="s">
        <v>51</v>
      </c>
      <c r="AH15" s="10">
        <f t="shared" si="8"/>
        <v>261</v>
      </c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</row>
    <row r="16" spans="1:52" x14ac:dyDescent="0.25">
      <c r="A16" s="10" t="s">
        <v>52</v>
      </c>
      <c r="B16" s="10" t="s">
        <v>36</v>
      </c>
      <c r="C16" s="10">
        <v>69.468999999999994</v>
      </c>
      <c r="D16" s="10">
        <v>273.65699999999998</v>
      </c>
      <c r="E16" s="10">
        <v>94.179000000000002</v>
      </c>
      <c r="F16" s="10">
        <v>233.995</v>
      </c>
      <c r="G16" s="7">
        <v>1</v>
      </c>
      <c r="H16" s="10">
        <v>60</v>
      </c>
      <c r="I16" s="10" t="s">
        <v>37</v>
      </c>
      <c r="J16" s="10"/>
      <c r="K16" s="10">
        <v>99.18</v>
      </c>
      <c r="L16" s="10">
        <f t="shared" si="2"/>
        <v>-5.0010000000000048</v>
      </c>
      <c r="M16" s="10">
        <f t="shared" si="3"/>
        <v>94.179000000000002</v>
      </c>
      <c r="N16" s="10"/>
      <c r="O16" s="10">
        <v>48.653199999999998</v>
      </c>
      <c r="P16" s="10">
        <f t="shared" si="4"/>
        <v>18.835799999999999</v>
      </c>
      <c r="Q16" s="4"/>
      <c r="R16" s="4"/>
      <c r="S16" s="4">
        <f t="shared" si="6"/>
        <v>0</v>
      </c>
      <c r="T16" s="4"/>
      <c r="U16" s="10"/>
      <c r="V16" s="10"/>
      <c r="W16" s="10">
        <f t="shared" si="7"/>
        <v>15.005903651557141</v>
      </c>
      <c r="X16" s="10">
        <f t="shared" si="5"/>
        <v>15.005903651557141</v>
      </c>
      <c r="Y16" s="10">
        <v>24.326599999999999</v>
      </c>
      <c r="Z16" s="10">
        <v>28.21</v>
      </c>
      <c r="AA16" s="10">
        <v>25.863399999999999</v>
      </c>
      <c r="AB16" s="10">
        <v>14.7568</v>
      </c>
      <c r="AC16" s="10">
        <v>13.9038</v>
      </c>
      <c r="AD16" s="10">
        <v>24.167400000000001</v>
      </c>
      <c r="AE16" s="10">
        <v>27.85</v>
      </c>
      <c r="AF16" s="10">
        <v>16.5398</v>
      </c>
      <c r="AG16" s="10"/>
      <c r="AH16" s="10">
        <f t="shared" si="8"/>
        <v>0</v>
      </c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</row>
    <row r="17" spans="1:52" x14ac:dyDescent="0.25">
      <c r="A17" s="10" t="s">
        <v>53</v>
      </c>
      <c r="B17" s="10" t="s">
        <v>36</v>
      </c>
      <c r="C17" s="10">
        <v>219.732</v>
      </c>
      <c r="D17" s="10">
        <v>1306.5429999999999</v>
      </c>
      <c r="E17" s="10">
        <v>631.52</v>
      </c>
      <c r="F17" s="10">
        <v>814.81299999999999</v>
      </c>
      <c r="G17" s="7">
        <v>1</v>
      </c>
      <c r="H17" s="10">
        <v>60</v>
      </c>
      <c r="I17" s="10" t="s">
        <v>37</v>
      </c>
      <c r="J17" s="10"/>
      <c r="K17" s="10">
        <v>650</v>
      </c>
      <c r="L17" s="10">
        <f t="shared" si="2"/>
        <v>-18.480000000000018</v>
      </c>
      <c r="M17" s="10">
        <f t="shared" si="3"/>
        <v>601.63199999999995</v>
      </c>
      <c r="N17" s="10">
        <v>29.888000000000002</v>
      </c>
      <c r="O17" s="10">
        <v>489.21897999999982</v>
      </c>
      <c r="P17" s="10">
        <f t="shared" si="4"/>
        <v>120.32639999999999</v>
      </c>
      <c r="Q17" s="4">
        <f t="shared" si="10"/>
        <v>139.8848200000001</v>
      </c>
      <c r="R17" s="4"/>
      <c r="S17" s="4">
        <f t="shared" si="6"/>
        <v>139.8848200000001</v>
      </c>
      <c r="T17" s="4"/>
      <c r="U17" s="10"/>
      <c r="V17" s="10"/>
      <c r="W17" s="10">
        <f t="shared" si="7"/>
        <v>12</v>
      </c>
      <c r="X17" s="10">
        <f t="shared" si="5"/>
        <v>10.837455288282536</v>
      </c>
      <c r="Y17" s="10">
        <v>115.4118</v>
      </c>
      <c r="Z17" s="10">
        <v>90.635599999999997</v>
      </c>
      <c r="AA17" s="10">
        <v>98.152200000000008</v>
      </c>
      <c r="AB17" s="10">
        <v>92.115200000000002</v>
      </c>
      <c r="AC17" s="10">
        <v>68.263800000000003</v>
      </c>
      <c r="AD17" s="10">
        <v>77.330200000000005</v>
      </c>
      <c r="AE17" s="10">
        <v>97.294399999999996</v>
      </c>
      <c r="AF17" s="10">
        <v>87.770399999999995</v>
      </c>
      <c r="AG17" s="10"/>
      <c r="AH17" s="10">
        <f t="shared" si="8"/>
        <v>140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</row>
    <row r="18" spans="1:52" x14ac:dyDescent="0.25">
      <c r="A18" s="21" t="s">
        <v>54</v>
      </c>
      <c r="B18" s="21" t="s">
        <v>36</v>
      </c>
      <c r="C18" s="21"/>
      <c r="D18" s="21"/>
      <c r="E18" s="21"/>
      <c r="F18" s="21"/>
      <c r="G18" s="22">
        <v>0</v>
      </c>
      <c r="H18" s="21">
        <v>60</v>
      </c>
      <c r="I18" s="21" t="s">
        <v>37</v>
      </c>
      <c r="J18" s="21"/>
      <c r="K18" s="21"/>
      <c r="L18" s="21">
        <f t="shared" si="2"/>
        <v>0</v>
      </c>
      <c r="M18" s="21">
        <f t="shared" si="3"/>
        <v>0</v>
      </c>
      <c r="N18" s="21"/>
      <c r="O18" s="21">
        <v>0</v>
      </c>
      <c r="P18" s="21">
        <f t="shared" si="4"/>
        <v>0</v>
      </c>
      <c r="Q18" s="23"/>
      <c r="R18" s="23"/>
      <c r="S18" s="4">
        <f t="shared" si="6"/>
        <v>0</v>
      </c>
      <c r="T18" s="23"/>
      <c r="U18" s="21"/>
      <c r="V18" s="21"/>
      <c r="W18" s="10" t="e">
        <f t="shared" si="7"/>
        <v>#DIV/0!</v>
      </c>
      <c r="X18" s="21" t="e">
        <f t="shared" si="5"/>
        <v>#DIV/0!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 t="s">
        <v>45</v>
      </c>
      <c r="AH18" s="10">
        <f t="shared" si="8"/>
        <v>0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</row>
    <row r="19" spans="1:52" x14ac:dyDescent="0.25">
      <c r="A19" s="10" t="s">
        <v>55</v>
      </c>
      <c r="B19" s="10" t="s">
        <v>36</v>
      </c>
      <c r="C19" s="10">
        <v>-0.16</v>
      </c>
      <c r="D19" s="10">
        <v>6.1689999999999996</v>
      </c>
      <c r="E19" s="10">
        <v>4.0229999999999997</v>
      </c>
      <c r="F19" s="25">
        <f>1.986+F93</f>
        <v>16.475000000000001</v>
      </c>
      <c r="G19" s="7">
        <v>1</v>
      </c>
      <c r="H19" s="10">
        <v>180</v>
      </c>
      <c r="I19" s="10" t="s">
        <v>37</v>
      </c>
      <c r="J19" s="10"/>
      <c r="K19" s="10">
        <v>4.7300000000000004</v>
      </c>
      <c r="L19" s="10">
        <f t="shared" si="2"/>
        <v>-0.70700000000000074</v>
      </c>
      <c r="M19" s="10">
        <f t="shared" si="3"/>
        <v>4.0229999999999997</v>
      </c>
      <c r="N19" s="10"/>
      <c r="O19" s="10">
        <v>0</v>
      </c>
      <c r="P19" s="10">
        <f t="shared" si="4"/>
        <v>0.80459999999999998</v>
      </c>
      <c r="Q19" s="4"/>
      <c r="R19" s="4"/>
      <c r="S19" s="4">
        <f t="shared" si="6"/>
        <v>0</v>
      </c>
      <c r="T19" s="4"/>
      <c r="U19" s="10"/>
      <c r="V19" s="10"/>
      <c r="W19" s="10">
        <f t="shared" si="7"/>
        <v>20.476012925677356</v>
      </c>
      <c r="X19" s="10">
        <f t="shared" si="5"/>
        <v>20.476012925677356</v>
      </c>
      <c r="Y19" s="10">
        <v>0.4748</v>
      </c>
      <c r="Z19" s="10">
        <v>1.3338000000000001</v>
      </c>
      <c r="AA19" s="10">
        <v>1.1761999999999999</v>
      </c>
      <c r="AB19" s="10">
        <v>1.1919999999999999</v>
      </c>
      <c r="AC19" s="10">
        <v>1.4008</v>
      </c>
      <c r="AD19" s="10">
        <v>0.92360000000000009</v>
      </c>
      <c r="AE19" s="10">
        <v>0.71639999999999993</v>
      </c>
      <c r="AF19" s="10">
        <v>0.318</v>
      </c>
      <c r="AG19" s="10"/>
      <c r="AH19" s="10">
        <f t="shared" si="8"/>
        <v>0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</row>
    <row r="20" spans="1:52" x14ac:dyDescent="0.25">
      <c r="A20" s="10" t="s">
        <v>56</v>
      </c>
      <c r="B20" s="10" t="s">
        <v>36</v>
      </c>
      <c r="C20" s="10">
        <v>329.02199999999999</v>
      </c>
      <c r="D20" s="10">
        <v>470.88</v>
      </c>
      <c r="E20" s="10">
        <v>287.89800000000002</v>
      </c>
      <c r="F20" s="10">
        <v>485.63400000000001</v>
      </c>
      <c r="G20" s="7">
        <v>1</v>
      </c>
      <c r="H20" s="10">
        <v>60</v>
      </c>
      <c r="I20" s="10" t="s">
        <v>37</v>
      </c>
      <c r="J20" s="10"/>
      <c r="K20" s="10">
        <v>272.95999999999998</v>
      </c>
      <c r="L20" s="10">
        <f t="shared" si="2"/>
        <v>14.938000000000045</v>
      </c>
      <c r="M20" s="10">
        <f t="shared" si="3"/>
        <v>287.89800000000002</v>
      </c>
      <c r="N20" s="10"/>
      <c r="O20" s="10">
        <v>143.29184000000009</v>
      </c>
      <c r="P20" s="10">
        <f t="shared" si="4"/>
        <v>57.579600000000006</v>
      </c>
      <c r="Q20" s="4">
        <f t="shared" ref="Q20:Q27" si="11">12*P20-O20-F20</f>
        <v>62.029359999999997</v>
      </c>
      <c r="R20" s="4"/>
      <c r="S20" s="4">
        <f t="shared" si="6"/>
        <v>62.029359999999997</v>
      </c>
      <c r="T20" s="4"/>
      <c r="U20" s="10"/>
      <c r="V20" s="10"/>
      <c r="W20" s="10">
        <f t="shared" si="7"/>
        <v>12</v>
      </c>
      <c r="X20" s="10">
        <f t="shared" si="5"/>
        <v>10.922719852169866</v>
      </c>
      <c r="Y20" s="10">
        <v>58.957599999999999</v>
      </c>
      <c r="Z20" s="10">
        <v>54.895400000000002</v>
      </c>
      <c r="AA20" s="10">
        <v>48.971400000000003</v>
      </c>
      <c r="AB20" s="10">
        <v>51.834600000000002</v>
      </c>
      <c r="AC20" s="10">
        <v>52.747599999999998</v>
      </c>
      <c r="AD20" s="10">
        <v>55.054400000000001</v>
      </c>
      <c r="AE20" s="10">
        <v>55.499000000000002</v>
      </c>
      <c r="AF20" s="10">
        <v>47.890799999999999</v>
      </c>
      <c r="AG20" s="10" t="s">
        <v>51</v>
      </c>
      <c r="AH20" s="10">
        <f t="shared" si="8"/>
        <v>62</v>
      </c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</row>
    <row r="21" spans="1:52" x14ac:dyDescent="0.25">
      <c r="A21" s="10" t="s">
        <v>57</v>
      </c>
      <c r="B21" s="10" t="s">
        <v>36</v>
      </c>
      <c r="C21" s="10">
        <v>107.279</v>
      </c>
      <c r="D21" s="10">
        <v>126.59</v>
      </c>
      <c r="E21" s="10">
        <v>108.17700000000001</v>
      </c>
      <c r="F21" s="10">
        <v>114.306</v>
      </c>
      <c r="G21" s="7">
        <v>1</v>
      </c>
      <c r="H21" s="10">
        <v>60</v>
      </c>
      <c r="I21" s="10" t="s">
        <v>37</v>
      </c>
      <c r="J21" s="10"/>
      <c r="K21" s="10">
        <v>103.66</v>
      </c>
      <c r="L21" s="10">
        <f t="shared" si="2"/>
        <v>4.5170000000000101</v>
      </c>
      <c r="M21" s="10">
        <f t="shared" si="3"/>
        <v>108.17700000000001</v>
      </c>
      <c r="N21" s="10"/>
      <c r="O21" s="10">
        <v>0</v>
      </c>
      <c r="P21" s="10">
        <f t="shared" si="4"/>
        <v>21.635400000000001</v>
      </c>
      <c r="Q21" s="4">
        <f t="shared" si="11"/>
        <v>145.31880000000001</v>
      </c>
      <c r="R21" s="4"/>
      <c r="S21" s="4">
        <f t="shared" si="6"/>
        <v>145.31880000000001</v>
      </c>
      <c r="T21" s="4"/>
      <c r="U21" s="10"/>
      <c r="V21" s="10"/>
      <c r="W21" s="10">
        <f t="shared" si="7"/>
        <v>12</v>
      </c>
      <c r="X21" s="10">
        <f t="shared" si="5"/>
        <v>5.2832857261709973</v>
      </c>
      <c r="Y21" s="10">
        <v>15.318199999999999</v>
      </c>
      <c r="Z21" s="10">
        <v>10.877000000000001</v>
      </c>
      <c r="AA21" s="10">
        <v>11.7576</v>
      </c>
      <c r="AB21" s="10">
        <v>18.473600000000001</v>
      </c>
      <c r="AC21" s="10">
        <v>16.8368</v>
      </c>
      <c r="AD21" s="10">
        <v>6.8116000000000003</v>
      </c>
      <c r="AE21" s="10">
        <v>6.6465999999999994</v>
      </c>
      <c r="AF21" s="10">
        <v>12.141400000000001</v>
      </c>
      <c r="AG21" s="10"/>
      <c r="AH21" s="10">
        <f t="shared" si="8"/>
        <v>145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</row>
    <row r="22" spans="1:52" x14ac:dyDescent="0.25">
      <c r="A22" s="10" t="s">
        <v>58</v>
      </c>
      <c r="B22" s="10" t="s">
        <v>36</v>
      </c>
      <c r="C22" s="10">
        <v>89.501000000000005</v>
      </c>
      <c r="D22" s="10">
        <v>58.21</v>
      </c>
      <c r="E22" s="10">
        <v>65.673000000000002</v>
      </c>
      <c r="F22" s="10">
        <v>65.381</v>
      </c>
      <c r="G22" s="7">
        <v>1</v>
      </c>
      <c r="H22" s="10">
        <v>60</v>
      </c>
      <c r="I22" s="10" t="s">
        <v>37</v>
      </c>
      <c r="J22" s="10"/>
      <c r="K22" s="10">
        <v>65.180000000000007</v>
      </c>
      <c r="L22" s="10">
        <f t="shared" si="2"/>
        <v>0.492999999999995</v>
      </c>
      <c r="M22" s="10">
        <f t="shared" si="3"/>
        <v>65.673000000000002</v>
      </c>
      <c r="N22" s="10"/>
      <c r="O22" s="10">
        <v>19.13380000000004</v>
      </c>
      <c r="P22" s="10">
        <f t="shared" si="4"/>
        <v>13.134600000000001</v>
      </c>
      <c r="Q22" s="4">
        <f t="shared" si="11"/>
        <v>73.100399999999979</v>
      </c>
      <c r="R22" s="4"/>
      <c r="S22" s="4">
        <f t="shared" si="6"/>
        <v>73.100399999999979</v>
      </c>
      <c r="T22" s="4"/>
      <c r="U22" s="10"/>
      <c r="V22" s="10"/>
      <c r="W22" s="10">
        <f t="shared" si="7"/>
        <v>12</v>
      </c>
      <c r="X22" s="10">
        <f t="shared" si="5"/>
        <v>6.4345164679548699</v>
      </c>
      <c r="Y22" s="10">
        <v>10.5968</v>
      </c>
      <c r="Z22" s="10">
        <v>10.4664</v>
      </c>
      <c r="AA22" s="10">
        <v>13.158200000000001</v>
      </c>
      <c r="AB22" s="10">
        <v>14.781599999999999</v>
      </c>
      <c r="AC22" s="10">
        <v>14.4458</v>
      </c>
      <c r="AD22" s="10">
        <v>10.848599999999999</v>
      </c>
      <c r="AE22" s="10">
        <v>9.6117999999999988</v>
      </c>
      <c r="AF22" s="10">
        <v>10.335000000000001</v>
      </c>
      <c r="AG22" s="10"/>
      <c r="AH22" s="10">
        <f t="shared" si="8"/>
        <v>73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x14ac:dyDescent="0.25">
      <c r="A23" s="10" t="s">
        <v>59</v>
      </c>
      <c r="B23" s="10" t="s">
        <v>36</v>
      </c>
      <c r="C23" s="10">
        <v>11.241</v>
      </c>
      <c r="D23" s="10">
        <v>16.895</v>
      </c>
      <c r="E23" s="10">
        <v>8.1790000000000003</v>
      </c>
      <c r="F23" s="10">
        <v>19.957000000000001</v>
      </c>
      <c r="G23" s="7">
        <v>1</v>
      </c>
      <c r="H23" s="10">
        <v>180</v>
      </c>
      <c r="I23" s="10" t="s">
        <v>37</v>
      </c>
      <c r="J23" s="10"/>
      <c r="K23" s="10">
        <v>8.94</v>
      </c>
      <c r="L23" s="10">
        <f t="shared" si="2"/>
        <v>-0.76099999999999923</v>
      </c>
      <c r="M23" s="10">
        <f t="shared" si="3"/>
        <v>8.1790000000000003</v>
      </c>
      <c r="N23" s="10"/>
      <c r="O23" s="10">
        <v>0</v>
      </c>
      <c r="P23" s="10">
        <f t="shared" si="4"/>
        <v>1.6358000000000001</v>
      </c>
      <c r="Q23" s="4"/>
      <c r="R23" s="4"/>
      <c r="S23" s="4">
        <f t="shared" si="6"/>
        <v>0</v>
      </c>
      <c r="T23" s="4"/>
      <c r="U23" s="10"/>
      <c r="V23" s="10"/>
      <c r="W23" s="10">
        <f t="shared" si="7"/>
        <v>12.200146717202591</v>
      </c>
      <c r="X23" s="10">
        <f t="shared" si="5"/>
        <v>12.200146717202591</v>
      </c>
      <c r="Y23" s="10">
        <v>1.3048</v>
      </c>
      <c r="Z23" s="10">
        <v>1.3133999999999999</v>
      </c>
      <c r="AA23" s="10">
        <v>1.1698</v>
      </c>
      <c r="AB23" s="10">
        <v>1.175</v>
      </c>
      <c r="AC23" s="10">
        <v>1.4066000000000001</v>
      </c>
      <c r="AD23" s="10">
        <v>0.81479999999999997</v>
      </c>
      <c r="AE23" s="10">
        <v>0.43680000000000002</v>
      </c>
      <c r="AF23" s="10">
        <v>0.36159999999999998</v>
      </c>
      <c r="AG23" s="10"/>
      <c r="AH23" s="10">
        <f t="shared" si="8"/>
        <v>0</v>
      </c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</row>
    <row r="24" spans="1:52" x14ac:dyDescent="0.25">
      <c r="A24" s="10" t="s">
        <v>60</v>
      </c>
      <c r="B24" s="10" t="s">
        <v>36</v>
      </c>
      <c r="C24" s="10">
        <v>122.083</v>
      </c>
      <c r="D24" s="10">
        <v>152.50899999999999</v>
      </c>
      <c r="E24" s="10">
        <v>108.03700000000001</v>
      </c>
      <c r="F24" s="10">
        <v>149.01900000000001</v>
      </c>
      <c r="G24" s="7">
        <v>1</v>
      </c>
      <c r="H24" s="10">
        <v>60</v>
      </c>
      <c r="I24" s="10" t="s">
        <v>37</v>
      </c>
      <c r="J24" s="10"/>
      <c r="K24" s="10">
        <v>105.02</v>
      </c>
      <c r="L24" s="10">
        <f t="shared" si="2"/>
        <v>3.0170000000000101</v>
      </c>
      <c r="M24" s="10">
        <f t="shared" si="3"/>
        <v>108.03700000000001</v>
      </c>
      <c r="N24" s="10"/>
      <c r="O24" s="10">
        <v>119.44880000000001</v>
      </c>
      <c r="P24" s="10">
        <f t="shared" si="4"/>
        <v>21.607400000000002</v>
      </c>
      <c r="Q24" s="4"/>
      <c r="R24" s="4"/>
      <c r="S24" s="4">
        <f t="shared" si="6"/>
        <v>0</v>
      </c>
      <c r="T24" s="4"/>
      <c r="U24" s="10"/>
      <c r="V24" s="10"/>
      <c r="W24" s="10">
        <f t="shared" si="7"/>
        <v>12.42480816757222</v>
      </c>
      <c r="X24" s="10">
        <f t="shared" si="5"/>
        <v>12.42480816757222</v>
      </c>
      <c r="Y24" s="10">
        <v>24.4312</v>
      </c>
      <c r="Z24" s="10">
        <v>22.273199999999999</v>
      </c>
      <c r="AA24" s="10">
        <v>18.735600000000002</v>
      </c>
      <c r="AB24" s="10">
        <v>22.119399999999999</v>
      </c>
      <c r="AC24" s="10">
        <v>23.171800000000001</v>
      </c>
      <c r="AD24" s="10">
        <v>17.504799999999999</v>
      </c>
      <c r="AE24" s="10">
        <v>18.215</v>
      </c>
      <c r="AF24" s="10">
        <v>22.4634</v>
      </c>
      <c r="AG24" s="10" t="s">
        <v>51</v>
      </c>
      <c r="AH24" s="10">
        <f t="shared" si="8"/>
        <v>0</v>
      </c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</row>
    <row r="25" spans="1:52" x14ac:dyDescent="0.25">
      <c r="A25" s="10" t="s">
        <v>61</v>
      </c>
      <c r="B25" s="10" t="s">
        <v>36</v>
      </c>
      <c r="C25" s="10">
        <v>0.70499999999999996</v>
      </c>
      <c r="D25" s="10">
        <v>76.498000000000005</v>
      </c>
      <c r="E25" s="10">
        <v>29.994</v>
      </c>
      <c r="F25" s="10">
        <v>42.433</v>
      </c>
      <c r="G25" s="7">
        <v>1</v>
      </c>
      <c r="H25" s="10">
        <v>30</v>
      </c>
      <c r="I25" s="10" t="s">
        <v>37</v>
      </c>
      <c r="J25" s="10"/>
      <c r="K25" s="10">
        <v>36.799999999999997</v>
      </c>
      <c r="L25" s="10">
        <f t="shared" si="2"/>
        <v>-6.8059999999999974</v>
      </c>
      <c r="M25" s="10">
        <f t="shared" si="3"/>
        <v>29.994</v>
      </c>
      <c r="N25" s="10"/>
      <c r="O25" s="10">
        <v>0</v>
      </c>
      <c r="P25" s="10">
        <f t="shared" si="4"/>
        <v>5.9988000000000001</v>
      </c>
      <c r="Q25" s="4">
        <f t="shared" si="11"/>
        <v>29.552600000000005</v>
      </c>
      <c r="R25" s="4"/>
      <c r="S25" s="4">
        <f t="shared" si="6"/>
        <v>29.552600000000005</v>
      </c>
      <c r="T25" s="4"/>
      <c r="U25" s="10"/>
      <c r="V25" s="10"/>
      <c r="W25" s="10">
        <f t="shared" si="7"/>
        <v>12</v>
      </c>
      <c r="X25" s="10">
        <f t="shared" si="5"/>
        <v>7.0735813829432548</v>
      </c>
      <c r="Y25" s="10">
        <v>3.6366000000000001</v>
      </c>
      <c r="Z25" s="10">
        <v>4.4817999999999998</v>
      </c>
      <c r="AA25" s="10">
        <v>6.4792000000000014</v>
      </c>
      <c r="AB25" s="10">
        <v>5.0358000000000001</v>
      </c>
      <c r="AC25" s="10">
        <v>2.8468</v>
      </c>
      <c r="AD25" s="10">
        <v>4.6814</v>
      </c>
      <c r="AE25" s="10">
        <v>4.5476000000000001</v>
      </c>
      <c r="AF25" s="10">
        <v>4.2598000000000003</v>
      </c>
      <c r="AG25" s="10"/>
      <c r="AH25" s="10">
        <f t="shared" si="8"/>
        <v>30</v>
      </c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</row>
    <row r="26" spans="1:52" x14ac:dyDescent="0.25">
      <c r="A26" s="10" t="s">
        <v>62</v>
      </c>
      <c r="B26" s="10" t="s">
        <v>36</v>
      </c>
      <c r="C26" s="10">
        <v>94.238</v>
      </c>
      <c r="D26" s="10">
        <v>230.89400000000001</v>
      </c>
      <c r="E26" s="10">
        <v>94.453999999999994</v>
      </c>
      <c r="F26" s="10">
        <v>210.935</v>
      </c>
      <c r="G26" s="7">
        <v>1</v>
      </c>
      <c r="H26" s="10">
        <v>30</v>
      </c>
      <c r="I26" s="10" t="s">
        <v>37</v>
      </c>
      <c r="J26" s="10"/>
      <c r="K26" s="10">
        <v>90.6</v>
      </c>
      <c r="L26" s="10">
        <f t="shared" si="2"/>
        <v>3.8539999999999992</v>
      </c>
      <c r="M26" s="10">
        <f t="shared" si="3"/>
        <v>94.453999999999994</v>
      </c>
      <c r="N26" s="10"/>
      <c r="O26" s="10">
        <v>0</v>
      </c>
      <c r="P26" s="10">
        <f t="shared" si="4"/>
        <v>18.890799999999999</v>
      </c>
      <c r="Q26" s="4">
        <f t="shared" si="11"/>
        <v>15.754599999999982</v>
      </c>
      <c r="R26" s="4"/>
      <c r="S26" s="4">
        <f t="shared" si="6"/>
        <v>15.754599999999982</v>
      </c>
      <c r="T26" s="4"/>
      <c r="U26" s="10"/>
      <c r="V26" s="10"/>
      <c r="W26" s="10">
        <f t="shared" si="7"/>
        <v>12</v>
      </c>
      <c r="X26" s="10">
        <f t="shared" si="5"/>
        <v>11.166017320600504</v>
      </c>
      <c r="Y26" s="10">
        <v>13.833600000000001</v>
      </c>
      <c r="Z26" s="10">
        <v>24.519200000000001</v>
      </c>
      <c r="AA26" s="10">
        <v>24.551600000000001</v>
      </c>
      <c r="AB26" s="10">
        <v>19.8628</v>
      </c>
      <c r="AC26" s="10">
        <v>19.8872</v>
      </c>
      <c r="AD26" s="10">
        <v>17.8294</v>
      </c>
      <c r="AE26" s="10">
        <v>20.827000000000002</v>
      </c>
      <c r="AF26" s="10">
        <v>17.749400000000001</v>
      </c>
      <c r="AG26" s="10"/>
      <c r="AH26" s="10">
        <f t="shared" si="8"/>
        <v>16</v>
      </c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</row>
    <row r="27" spans="1:52" x14ac:dyDescent="0.25">
      <c r="A27" s="10" t="s">
        <v>63</v>
      </c>
      <c r="B27" s="10" t="s">
        <v>36</v>
      </c>
      <c r="C27" s="10">
        <v>51.411000000000001</v>
      </c>
      <c r="D27" s="10">
        <v>160.50700000000001</v>
      </c>
      <c r="E27" s="10">
        <v>89.600999999999999</v>
      </c>
      <c r="F27" s="10">
        <v>106.292</v>
      </c>
      <c r="G27" s="7">
        <v>1</v>
      </c>
      <c r="H27" s="10">
        <v>30</v>
      </c>
      <c r="I27" s="10" t="s">
        <v>37</v>
      </c>
      <c r="J27" s="10"/>
      <c r="K27" s="10">
        <v>97</v>
      </c>
      <c r="L27" s="10">
        <f t="shared" si="2"/>
        <v>-7.3990000000000009</v>
      </c>
      <c r="M27" s="10">
        <f t="shared" si="3"/>
        <v>89.600999999999999</v>
      </c>
      <c r="N27" s="10"/>
      <c r="O27" s="10">
        <v>87.044399999999968</v>
      </c>
      <c r="P27" s="10">
        <f t="shared" si="4"/>
        <v>17.920200000000001</v>
      </c>
      <c r="Q27" s="4">
        <f t="shared" si="11"/>
        <v>21.706000000000046</v>
      </c>
      <c r="R27" s="4"/>
      <c r="S27" s="4">
        <f t="shared" si="6"/>
        <v>21.706000000000046</v>
      </c>
      <c r="T27" s="4"/>
      <c r="U27" s="10"/>
      <c r="V27" s="10"/>
      <c r="W27" s="10">
        <f t="shared" si="7"/>
        <v>12</v>
      </c>
      <c r="X27" s="10">
        <f t="shared" si="5"/>
        <v>10.788741197084851</v>
      </c>
      <c r="Y27" s="10">
        <v>21.265000000000001</v>
      </c>
      <c r="Z27" s="10">
        <v>16.261800000000001</v>
      </c>
      <c r="AA27" s="10">
        <v>15.2302</v>
      </c>
      <c r="AB27" s="10">
        <v>16.292999999999999</v>
      </c>
      <c r="AC27" s="10">
        <v>12.535600000000001</v>
      </c>
      <c r="AD27" s="10">
        <v>15.572800000000001</v>
      </c>
      <c r="AE27" s="10">
        <v>21.7758</v>
      </c>
      <c r="AF27" s="10">
        <v>22.566400000000002</v>
      </c>
      <c r="AG27" s="10" t="s">
        <v>51</v>
      </c>
      <c r="AH27" s="10">
        <f t="shared" si="8"/>
        <v>22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A28" s="21" t="s">
        <v>64</v>
      </c>
      <c r="B28" s="21" t="s">
        <v>36</v>
      </c>
      <c r="C28" s="21"/>
      <c r="D28" s="21"/>
      <c r="E28" s="21"/>
      <c r="F28" s="21"/>
      <c r="G28" s="22">
        <v>0</v>
      </c>
      <c r="H28" s="21">
        <v>45</v>
      </c>
      <c r="I28" s="21" t="s">
        <v>37</v>
      </c>
      <c r="J28" s="21"/>
      <c r="K28" s="21"/>
      <c r="L28" s="21">
        <f t="shared" si="2"/>
        <v>0</v>
      </c>
      <c r="M28" s="21">
        <f t="shared" si="3"/>
        <v>0</v>
      </c>
      <c r="N28" s="21"/>
      <c r="O28" s="21">
        <v>0</v>
      </c>
      <c r="P28" s="21">
        <f t="shared" si="4"/>
        <v>0</v>
      </c>
      <c r="Q28" s="23"/>
      <c r="R28" s="23"/>
      <c r="S28" s="4">
        <f t="shared" si="6"/>
        <v>0</v>
      </c>
      <c r="T28" s="23"/>
      <c r="U28" s="21"/>
      <c r="V28" s="21"/>
      <c r="W28" s="10" t="e">
        <f t="shared" si="7"/>
        <v>#DIV/0!</v>
      </c>
      <c r="X28" s="21" t="e">
        <f t="shared" si="5"/>
        <v>#DIV/0!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 t="s">
        <v>45</v>
      </c>
      <c r="AH28" s="10">
        <f t="shared" si="8"/>
        <v>0</v>
      </c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</row>
    <row r="29" spans="1:52" x14ac:dyDescent="0.25">
      <c r="A29" s="10" t="s">
        <v>65</v>
      </c>
      <c r="B29" s="10" t="s">
        <v>36</v>
      </c>
      <c r="C29" s="10">
        <v>59.965000000000003</v>
      </c>
      <c r="D29" s="10">
        <v>162.571</v>
      </c>
      <c r="E29" s="10">
        <v>61.917999999999999</v>
      </c>
      <c r="F29" s="10">
        <v>155.934</v>
      </c>
      <c r="G29" s="7">
        <v>1</v>
      </c>
      <c r="H29" s="10">
        <v>40</v>
      </c>
      <c r="I29" s="10" t="s">
        <v>37</v>
      </c>
      <c r="J29" s="10"/>
      <c r="K29" s="10">
        <v>58.4</v>
      </c>
      <c r="L29" s="10">
        <f t="shared" si="2"/>
        <v>3.5180000000000007</v>
      </c>
      <c r="M29" s="10">
        <f t="shared" si="3"/>
        <v>61.917999999999999</v>
      </c>
      <c r="N29" s="10"/>
      <c r="O29" s="10">
        <v>48.595800000000011</v>
      </c>
      <c r="P29" s="10">
        <f t="shared" si="4"/>
        <v>12.383599999999999</v>
      </c>
      <c r="Q29" s="4"/>
      <c r="R29" s="4"/>
      <c r="S29" s="4">
        <f t="shared" si="6"/>
        <v>0</v>
      </c>
      <c r="T29" s="4"/>
      <c r="U29" s="10"/>
      <c r="V29" s="10"/>
      <c r="W29" s="10">
        <f t="shared" si="7"/>
        <v>16.516182693239447</v>
      </c>
      <c r="X29" s="10">
        <f t="shared" si="5"/>
        <v>16.516182693239447</v>
      </c>
      <c r="Y29" s="10">
        <v>17.438199999999998</v>
      </c>
      <c r="Z29" s="10">
        <v>16.522200000000002</v>
      </c>
      <c r="AA29" s="10">
        <v>13.6046</v>
      </c>
      <c r="AB29" s="10">
        <v>9.2058</v>
      </c>
      <c r="AC29" s="10">
        <v>12.486800000000001</v>
      </c>
      <c r="AD29" s="10">
        <v>15.904199999999999</v>
      </c>
      <c r="AE29" s="10">
        <v>17.322800000000001</v>
      </c>
      <c r="AF29" s="10">
        <v>15.470599999999999</v>
      </c>
      <c r="AG29" s="10"/>
      <c r="AH29" s="10">
        <f t="shared" si="8"/>
        <v>0</v>
      </c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</row>
    <row r="30" spans="1:52" x14ac:dyDescent="0.25">
      <c r="A30" s="10" t="s">
        <v>66</v>
      </c>
      <c r="B30" s="10" t="s">
        <v>36</v>
      </c>
      <c r="C30" s="10">
        <v>5.9279999999999999</v>
      </c>
      <c r="D30" s="10">
        <v>26.478000000000002</v>
      </c>
      <c r="E30" s="10">
        <v>3.94</v>
      </c>
      <c r="F30" s="10">
        <v>22.103999999999999</v>
      </c>
      <c r="G30" s="7">
        <v>1</v>
      </c>
      <c r="H30" s="10">
        <v>30</v>
      </c>
      <c r="I30" s="10" t="s">
        <v>37</v>
      </c>
      <c r="J30" s="10"/>
      <c r="K30" s="10">
        <v>9.5</v>
      </c>
      <c r="L30" s="10">
        <f t="shared" si="2"/>
        <v>-5.5600000000000005</v>
      </c>
      <c r="M30" s="10">
        <f t="shared" si="3"/>
        <v>3.94</v>
      </c>
      <c r="N30" s="10"/>
      <c r="O30" s="10">
        <v>0</v>
      </c>
      <c r="P30" s="10">
        <f t="shared" si="4"/>
        <v>0.78800000000000003</v>
      </c>
      <c r="Q30" s="4"/>
      <c r="R30" s="4"/>
      <c r="S30" s="4">
        <f t="shared" si="6"/>
        <v>0</v>
      </c>
      <c r="T30" s="4"/>
      <c r="U30" s="10"/>
      <c r="V30" s="10"/>
      <c r="W30" s="10">
        <f t="shared" si="7"/>
        <v>28.050761421319795</v>
      </c>
      <c r="X30" s="10">
        <f t="shared" si="5"/>
        <v>28.050761421319795</v>
      </c>
      <c r="Y30" s="10">
        <v>0.96140000000000003</v>
      </c>
      <c r="Z30" s="10">
        <v>2.6095999999999999</v>
      </c>
      <c r="AA30" s="10">
        <v>3.3153999999999999</v>
      </c>
      <c r="AB30" s="10">
        <v>3.923</v>
      </c>
      <c r="AC30" s="10">
        <v>2.7642000000000002</v>
      </c>
      <c r="AD30" s="10">
        <v>2.4586000000000001</v>
      </c>
      <c r="AE30" s="10">
        <v>2.7709999999999999</v>
      </c>
      <c r="AF30" s="10">
        <v>2.4022000000000001</v>
      </c>
      <c r="AG30" s="10"/>
      <c r="AH30" s="10">
        <f t="shared" si="8"/>
        <v>0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</row>
    <row r="31" spans="1:52" x14ac:dyDescent="0.25">
      <c r="A31" s="10" t="s">
        <v>67</v>
      </c>
      <c r="B31" s="10" t="s">
        <v>36</v>
      </c>
      <c r="C31" s="10">
        <v>67.132999999999996</v>
      </c>
      <c r="D31" s="10">
        <v>148.09200000000001</v>
      </c>
      <c r="E31" s="10">
        <v>66.25</v>
      </c>
      <c r="F31" s="10">
        <v>136.696</v>
      </c>
      <c r="G31" s="7">
        <v>1</v>
      </c>
      <c r="H31" s="10">
        <v>50</v>
      </c>
      <c r="I31" s="10" t="s">
        <v>37</v>
      </c>
      <c r="J31" s="10"/>
      <c r="K31" s="10">
        <v>59.9</v>
      </c>
      <c r="L31" s="10">
        <f t="shared" si="2"/>
        <v>6.3500000000000014</v>
      </c>
      <c r="M31" s="10">
        <f t="shared" si="3"/>
        <v>55.268999999999998</v>
      </c>
      <c r="N31" s="10">
        <v>10.981</v>
      </c>
      <c r="O31" s="10">
        <v>0</v>
      </c>
      <c r="P31" s="10">
        <f t="shared" si="4"/>
        <v>11.053799999999999</v>
      </c>
      <c r="Q31" s="4"/>
      <c r="R31" s="4"/>
      <c r="S31" s="4">
        <f t="shared" si="6"/>
        <v>0</v>
      </c>
      <c r="T31" s="4"/>
      <c r="U31" s="10"/>
      <c r="V31" s="10"/>
      <c r="W31" s="10">
        <f t="shared" si="7"/>
        <v>12.366426025439216</v>
      </c>
      <c r="X31" s="10">
        <f t="shared" si="5"/>
        <v>12.366426025439216</v>
      </c>
      <c r="Y31" s="10">
        <v>7.2932000000000006</v>
      </c>
      <c r="Z31" s="10">
        <v>14.2464</v>
      </c>
      <c r="AA31" s="10">
        <v>18.599799999999998</v>
      </c>
      <c r="AB31" s="10">
        <v>17.170400000000001</v>
      </c>
      <c r="AC31" s="10">
        <v>14.8132</v>
      </c>
      <c r="AD31" s="10">
        <v>10.3552</v>
      </c>
      <c r="AE31" s="10">
        <v>15.049799999999999</v>
      </c>
      <c r="AF31" s="10">
        <v>11.4298</v>
      </c>
      <c r="AG31" s="10"/>
      <c r="AH31" s="10">
        <f t="shared" si="8"/>
        <v>0</v>
      </c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</row>
    <row r="32" spans="1:52" x14ac:dyDescent="0.25">
      <c r="A32" s="10" t="s">
        <v>68</v>
      </c>
      <c r="B32" s="10" t="s">
        <v>36</v>
      </c>
      <c r="C32" s="10">
        <v>19.948</v>
      </c>
      <c r="D32" s="10">
        <v>101.3</v>
      </c>
      <c r="E32" s="10">
        <v>46.31</v>
      </c>
      <c r="F32" s="10">
        <v>66.977999999999994</v>
      </c>
      <c r="G32" s="7">
        <v>1</v>
      </c>
      <c r="H32" s="10">
        <v>50</v>
      </c>
      <c r="I32" s="10" t="s">
        <v>37</v>
      </c>
      <c r="J32" s="10"/>
      <c r="K32" s="10">
        <v>44</v>
      </c>
      <c r="L32" s="10">
        <f t="shared" si="2"/>
        <v>2.3100000000000023</v>
      </c>
      <c r="M32" s="10">
        <f t="shared" si="3"/>
        <v>46.31</v>
      </c>
      <c r="N32" s="10"/>
      <c r="O32" s="10">
        <v>0</v>
      </c>
      <c r="P32" s="10">
        <f t="shared" si="4"/>
        <v>9.2620000000000005</v>
      </c>
      <c r="Q32" s="4">
        <f t="shared" ref="Q32" si="12">12*P32-O32-F32</f>
        <v>44.166000000000011</v>
      </c>
      <c r="R32" s="4"/>
      <c r="S32" s="4">
        <f t="shared" si="6"/>
        <v>44.166000000000011</v>
      </c>
      <c r="T32" s="4"/>
      <c r="U32" s="10"/>
      <c r="V32" s="10"/>
      <c r="W32" s="10">
        <f t="shared" si="7"/>
        <v>12</v>
      </c>
      <c r="X32" s="10">
        <f t="shared" si="5"/>
        <v>7.231483480889656</v>
      </c>
      <c r="Y32" s="10">
        <v>7.1505999999999998</v>
      </c>
      <c r="Z32" s="10">
        <v>6.9281999999999986</v>
      </c>
      <c r="AA32" s="10">
        <v>10.534800000000001</v>
      </c>
      <c r="AB32" s="10">
        <v>10.087400000000001</v>
      </c>
      <c r="AC32" s="10">
        <v>7.1971999999999996</v>
      </c>
      <c r="AD32" s="10">
        <v>6.9955999999999996</v>
      </c>
      <c r="AE32" s="10">
        <v>8.5993999999999993</v>
      </c>
      <c r="AF32" s="10">
        <v>7.5263999999999998</v>
      </c>
      <c r="AG32" s="10"/>
      <c r="AH32" s="10">
        <f t="shared" si="8"/>
        <v>44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</row>
    <row r="33" spans="1:52" x14ac:dyDescent="0.25">
      <c r="A33" s="10" t="s">
        <v>69</v>
      </c>
      <c r="B33" s="10" t="s">
        <v>42</v>
      </c>
      <c r="C33" s="10">
        <v>396</v>
      </c>
      <c r="D33" s="10">
        <v>792</v>
      </c>
      <c r="E33" s="10">
        <v>285</v>
      </c>
      <c r="F33" s="10">
        <v>899</v>
      </c>
      <c r="G33" s="7">
        <v>0.4</v>
      </c>
      <c r="H33" s="10">
        <v>45</v>
      </c>
      <c r="I33" s="10" t="s">
        <v>37</v>
      </c>
      <c r="J33" s="10"/>
      <c r="K33" s="10">
        <v>284</v>
      </c>
      <c r="L33" s="10">
        <f t="shared" si="2"/>
        <v>1</v>
      </c>
      <c r="M33" s="10">
        <f t="shared" si="3"/>
        <v>285</v>
      </c>
      <c r="N33" s="10"/>
      <c r="O33" s="10">
        <v>0</v>
      </c>
      <c r="P33" s="10">
        <f t="shared" si="4"/>
        <v>57</v>
      </c>
      <c r="Q33" s="4"/>
      <c r="R33" s="4"/>
      <c r="S33" s="4">
        <f t="shared" si="6"/>
        <v>0</v>
      </c>
      <c r="T33" s="4"/>
      <c r="U33" s="10"/>
      <c r="V33" s="10"/>
      <c r="W33" s="10">
        <f t="shared" si="7"/>
        <v>15.771929824561404</v>
      </c>
      <c r="X33" s="10">
        <f t="shared" si="5"/>
        <v>15.771929824561404</v>
      </c>
      <c r="Y33" s="10">
        <v>54</v>
      </c>
      <c r="Z33" s="10">
        <v>88.6</v>
      </c>
      <c r="AA33" s="10">
        <v>91</v>
      </c>
      <c r="AB33" s="10">
        <v>81.8</v>
      </c>
      <c r="AC33" s="10">
        <v>74.599999999999994</v>
      </c>
      <c r="AD33" s="10">
        <v>71.8</v>
      </c>
      <c r="AE33" s="10">
        <v>73.400000000000006</v>
      </c>
      <c r="AF33" s="10">
        <v>51.4</v>
      </c>
      <c r="AG33" s="10" t="s">
        <v>70</v>
      </c>
      <c r="AH33" s="10">
        <f t="shared" si="8"/>
        <v>0</v>
      </c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</row>
    <row r="34" spans="1:52" x14ac:dyDescent="0.25">
      <c r="A34" s="10" t="s">
        <v>71</v>
      </c>
      <c r="B34" s="10" t="s">
        <v>42</v>
      </c>
      <c r="C34" s="10">
        <v>39</v>
      </c>
      <c r="D34" s="10">
        <v>641</v>
      </c>
      <c r="E34" s="10">
        <v>253</v>
      </c>
      <c r="F34" s="10">
        <v>423</v>
      </c>
      <c r="G34" s="7">
        <v>0.45</v>
      </c>
      <c r="H34" s="10">
        <v>50</v>
      </c>
      <c r="I34" s="17" t="s">
        <v>72</v>
      </c>
      <c r="J34" s="10"/>
      <c r="K34" s="10">
        <v>265</v>
      </c>
      <c r="L34" s="10">
        <f t="shared" si="2"/>
        <v>-12</v>
      </c>
      <c r="M34" s="10">
        <f t="shared" si="3"/>
        <v>253</v>
      </c>
      <c r="N34" s="10"/>
      <c r="O34" s="10">
        <v>50</v>
      </c>
      <c r="P34" s="10">
        <f t="shared" si="4"/>
        <v>50.6</v>
      </c>
      <c r="Q34" s="4">
        <v>50</v>
      </c>
      <c r="R34" s="4"/>
      <c r="S34" s="4">
        <f t="shared" si="6"/>
        <v>50</v>
      </c>
      <c r="T34" s="4"/>
      <c r="U34" s="10"/>
      <c r="V34" s="10"/>
      <c r="W34" s="10">
        <f t="shared" si="7"/>
        <v>10.335968379446641</v>
      </c>
      <c r="X34" s="10">
        <f t="shared" si="5"/>
        <v>9.3478260869565215</v>
      </c>
      <c r="Y34" s="10">
        <v>52.8</v>
      </c>
      <c r="Z34" s="10">
        <v>46.4</v>
      </c>
      <c r="AA34" s="10">
        <v>48.2</v>
      </c>
      <c r="AB34" s="10">
        <v>28.4</v>
      </c>
      <c r="AC34" s="10">
        <v>27.4</v>
      </c>
      <c r="AD34" s="10">
        <v>21.6</v>
      </c>
      <c r="AE34" s="10">
        <v>34</v>
      </c>
      <c r="AF34" s="10">
        <v>32.6</v>
      </c>
      <c r="AG34" s="10" t="s">
        <v>39</v>
      </c>
      <c r="AH34" s="10">
        <f t="shared" si="8"/>
        <v>23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</row>
    <row r="35" spans="1:52" x14ac:dyDescent="0.25">
      <c r="A35" s="10" t="s">
        <v>73</v>
      </c>
      <c r="B35" s="10" t="s">
        <v>42</v>
      </c>
      <c r="C35" s="10">
        <v>359</v>
      </c>
      <c r="D35" s="10">
        <v>594</v>
      </c>
      <c r="E35" s="10">
        <v>256</v>
      </c>
      <c r="F35" s="10">
        <v>666</v>
      </c>
      <c r="G35" s="7">
        <v>0.4</v>
      </c>
      <c r="H35" s="10">
        <v>45</v>
      </c>
      <c r="I35" s="10" t="s">
        <v>37</v>
      </c>
      <c r="J35" s="10"/>
      <c r="K35" s="10">
        <v>269</v>
      </c>
      <c r="L35" s="10">
        <f t="shared" si="2"/>
        <v>-13</v>
      </c>
      <c r="M35" s="10">
        <f t="shared" si="3"/>
        <v>256</v>
      </c>
      <c r="N35" s="10"/>
      <c r="O35" s="10">
        <v>0</v>
      </c>
      <c r="P35" s="10">
        <f t="shared" si="4"/>
        <v>51.2</v>
      </c>
      <c r="Q35" s="4"/>
      <c r="R35" s="4"/>
      <c r="S35" s="4">
        <f t="shared" si="6"/>
        <v>0</v>
      </c>
      <c r="T35" s="4"/>
      <c r="U35" s="10"/>
      <c r="V35" s="10"/>
      <c r="W35" s="10">
        <f t="shared" si="7"/>
        <v>13.0078125</v>
      </c>
      <c r="X35" s="10">
        <f t="shared" si="5"/>
        <v>13.0078125</v>
      </c>
      <c r="Y35" s="10">
        <v>44.4</v>
      </c>
      <c r="Z35" s="10">
        <v>62.2</v>
      </c>
      <c r="AA35" s="10">
        <v>70</v>
      </c>
      <c r="AB35" s="10">
        <v>59</v>
      </c>
      <c r="AC35" s="10">
        <v>57.6</v>
      </c>
      <c r="AD35" s="10">
        <v>48.8</v>
      </c>
      <c r="AE35" s="10">
        <v>53.2</v>
      </c>
      <c r="AF35" s="10">
        <v>50.8</v>
      </c>
      <c r="AG35" s="10"/>
      <c r="AH35" s="10">
        <f t="shared" si="8"/>
        <v>0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</row>
    <row r="36" spans="1:52" x14ac:dyDescent="0.25">
      <c r="A36" s="10" t="s">
        <v>74</v>
      </c>
      <c r="B36" s="10" t="s">
        <v>42</v>
      </c>
      <c r="C36" s="10">
        <v>70</v>
      </c>
      <c r="D36" s="10"/>
      <c r="E36" s="10">
        <v>15</v>
      </c>
      <c r="F36" s="10">
        <v>52</v>
      </c>
      <c r="G36" s="7">
        <v>0.4</v>
      </c>
      <c r="H36" s="10">
        <v>40</v>
      </c>
      <c r="I36" s="10" t="s">
        <v>37</v>
      </c>
      <c r="J36" s="10"/>
      <c r="K36" s="10">
        <v>15</v>
      </c>
      <c r="L36" s="10">
        <f t="shared" si="2"/>
        <v>0</v>
      </c>
      <c r="M36" s="10">
        <f t="shared" si="3"/>
        <v>15</v>
      </c>
      <c r="N36" s="10"/>
      <c r="O36" s="10">
        <v>0</v>
      </c>
      <c r="P36" s="10">
        <f t="shared" si="4"/>
        <v>3</v>
      </c>
      <c r="Q36" s="4"/>
      <c r="R36" s="4"/>
      <c r="S36" s="4">
        <f t="shared" si="6"/>
        <v>0</v>
      </c>
      <c r="T36" s="4"/>
      <c r="U36" s="10"/>
      <c r="V36" s="10"/>
      <c r="W36" s="10">
        <f t="shared" si="7"/>
        <v>17.333333333333332</v>
      </c>
      <c r="X36" s="10">
        <f t="shared" si="5"/>
        <v>17.333333333333332</v>
      </c>
      <c r="Y36" s="10">
        <v>2.6</v>
      </c>
      <c r="Z36" s="10">
        <v>2.8</v>
      </c>
      <c r="AA36" s="10">
        <v>2.8</v>
      </c>
      <c r="AB36" s="10">
        <v>6</v>
      </c>
      <c r="AC36" s="10">
        <v>7.8</v>
      </c>
      <c r="AD36" s="10">
        <v>9</v>
      </c>
      <c r="AE36" s="10">
        <v>6.8</v>
      </c>
      <c r="AF36" s="10">
        <v>0.6</v>
      </c>
      <c r="AG36" s="28" t="s">
        <v>75</v>
      </c>
      <c r="AH36" s="10">
        <f t="shared" si="8"/>
        <v>0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</row>
    <row r="37" spans="1:52" x14ac:dyDescent="0.25">
      <c r="A37" s="21" t="s">
        <v>76</v>
      </c>
      <c r="B37" s="21" t="s">
        <v>36</v>
      </c>
      <c r="C37" s="21"/>
      <c r="D37" s="21"/>
      <c r="E37" s="21"/>
      <c r="F37" s="21"/>
      <c r="G37" s="22">
        <v>0</v>
      </c>
      <c r="H37" s="21">
        <v>45</v>
      </c>
      <c r="I37" s="21" t="s">
        <v>37</v>
      </c>
      <c r="J37" s="21"/>
      <c r="K37" s="21"/>
      <c r="L37" s="21">
        <f t="shared" si="2"/>
        <v>0</v>
      </c>
      <c r="M37" s="21">
        <f t="shared" si="3"/>
        <v>0</v>
      </c>
      <c r="N37" s="21"/>
      <c r="O37" s="21">
        <v>0</v>
      </c>
      <c r="P37" s="21">
        <f t="shared" si="4"/>
        <v>0</v>
      </c>
      <c r="Q37" s="23"/>
      <c r="R37" s="23"/>
      <c r="S37" s="4">
        <f t="shared" si="6"/>
        <v>0</v>
      </c>
      <c r="T37" s="23"/>
      <c r="U37" s="21"/>
      <c r="V37" s="21"/>
      <c r="W37" s="10" t="e">
        <f t="shared" si="7"/>
        <v>#DIV/0!</v>
      </c>
      <c r="X37" s="21" t="e">
        <f t="shared" si="5"/>
        <v>#DIV/0!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 t="s">
        <v>45</v>
      </c>
      <c r="AH37" s="10">
        <f t="shared" si="8"/>
        <v>0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</row>
    <row r="38" spans="1:52" x14ac:dyDescent="0.25">
      <c r="A38" s="10" t="s">
        <v>77</v>
      </c>
      <c r="B38" s="10" t="s">
        <v>42</v>
      </c>
      <c r="C38" s="10">
        <v>58</v>
      </c>
      <c r="D38" s="10">
        <v>60</v>
      </c>
      <c r="E38" s="10">
        <v>23</v>
      </c>
      <c r="F38" s="10">
        <v>94</v>
      </c>
      <c r="G38" s="7">
        <v>0.1</v>
      </c>
      <c r="H38" s="10">
        <v>730</v>
      </c>
      <c r="I38" s="10" t="s">
        <v>37</v>
      </c>
      <c r="J38" s="10"/>
      <c r="K38" s="10">
        <v>23</v>
      </c>
      <c r="L38" s="10">
        <f t="shared" ref="L38:L69" si="13">E38-K38</f>
        <v>0</v>
      </c>
      <c r="M38" s="10">
        <f t="shared" ref="M38:M69" si="14">E38-N38</f>
        <v>23</v>
      </c>
      <c r="N38" s="10"/>
      <c r="O38" s="10">
        <v>0</v>
      </c>
      <c r="P38" s="10">
        <f t="shared" ref="P38:P69" si="15">M38/5</f>
        <v>4.5999999999999996</v>
      </c>
      <c r="Q38" s="4"/>
      <c r="R38" s="4"/>
      <c r="S38" s="4">
        <f t="shared" si="6"/>
        <v>0</v>
      </c>
      <c r="T38" s="4"/>
      <c r="U38" s="10"/>
      <c r="V38" s="10"/>
      <c r="W38" s="10">
        <f t="shared" si="7"/>
        <v>20.434782608695652</v>
      </c>
      <c r="X38" s="10">
        <f t="shared" ref="X38:X69" si="16">(F38+O38)/P38</f>
        <v>20.434782608695652</v>
      </c>
      <c r="Y38" s="10">
        <v>8</v>
      </c>
      <c r="Z38" s="10">
        <v>8.6</v>
      </c>
      <c r="AA38" s="10">
        <v>5.8</v>
      </c>
      <c r="AB38" s="10">
        <v>5.8</v>
      </c>
      <c r="AC38" s="10">
        <v>8.6</v>
      </c>
      <c r="AD38" s="10">
        <v>11</v>
      </c>
      <c r="AE38" s="10">
        <v>8.4</v>
      </c>
      <c r="AF38" s="10">
        <v>11.2</v>
      </c>
      <c r="AG38" s="10"/>
      <c r="AH38" s="10">
        <f t="shared" si="8"/>
        <v>0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</row>
    <row r="39" spans="1:52" x14ac:dyDescent="0.25">
      <c r="A39" s="10" t="s">
        <v>78</v>
      </c>
      <c r="B39" s="10" t="s">
        <v>42</v>
      </c>
      <c r="C39" s="10">
        <v>139</v>
      </c>
      <c r="D39" s="10">
        <v>265</v>
      </c>
      <c r="E39" s="10">
        <v>73</v>
      </c>
      <c r="F39" s="10">
        <v>329</v>
      </c>
      <c r="G39" s="7">
        <v>0.35</v>
      </c>
      <c r="H39" s="10">
        <v>40</v>
      </c>
      <c r="I39" s="10" t="s">
        <v>37</v>
      </c>
      <c r="J39" s="10"/>
      <c r="K39" s="10">
        <v>81</v>
      </c>
      <c r="L39" s="10">
        <f t="shared" si="13"/>
        <v>-8</v>
      </c>
      <c r="M39" s="10">
        <f t="shared" si="14"/>
        <v>73</v>
      </c>
      <c r="N39" s="10"/>
      <c r="O39" s="10">
        <v>0</v>
      </c>
      <c r="P39" s="10">
        <f t="shared" si="15"/>
        <v>14.6</v>
      </c>
      <c r="Q39" s="4"/>
      <c r="R39" s="4"/>
      <c r="S39" s="4">
        <f t="shared" si="6"/>
        <v>0</v>
      </c>
      <c r="T39" s="4"/>
      <c r="U39" s="10"/>
      <c r="V39" s="10"/>
      <c r="W39" s="10">
        <f t="shared" si="7"/>
        <v>22.534246575342465</v>
      </c>
      <c r="X39" s="10">
        <f t="shared" si="16"/>
        <v>22.534246575342465</v>
      </c>
      <c r="Y39" s="10">
        <v>14.2</v>
      </c>
      <c r="Z39" s="10">
        <v>32.200000000000003</v>
      </c>
      <c r="AA39" s="10">
        <v>31</v>
      </c>
      <c r="AB39" s="10">
        <v>28.8</v>
      </c>
      <c r="AC39" s="10">
        <v>30.4</v>
      </c>
      <c r="AD39" s="10">
        <v>26</v>
      </c>
      <c r="AE39" s="10">
        <v>36.6</v>
      </c>
      <c r="AF39" s="10">
        <v>30.2</v>
      </c>
      <c r="AG39" s="27" t="s">
        <v>140</v>
      </c>
      <c r="AH39" s="10">
        <f t="shared" si="8"/>
        <v>0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x14ac:dyDescent="0.25">
      <c r="A40" s="10" t="s">
        <v>79</v>
      </c>
      <c r="B40" s="10" t="s">
        <v>36</v>
      </c>
      <c r="C40" s="10">
        <v>87.795000000000002</v>
      </c>
      <c r="D40" s="10">
        <v>127.212</v>
      </c>
      <c r="E40" s="10">
        <v>83.361999999999995</v>
      </c>
      <c r="F40" s="10">
        <v>121.535</v>
      </c>
      <c r="G40" s="7">
        <v>1</v>
      </c>
      <c r="H40" s="10">
        <v>40</v>
      </c>
      <c r="I40" s="10" t="s">
        <v>37</v>
      </c>
      <c r="J40" s="10"/>
      <c r="K40" s="10">
        <v>94.92</v>
      </c>
      <c r="L40" s="10">
        <f t="shared" si="13"/>
        <v>-11.558000000000007</v>
      </c>
      <c r="M40" s="10">
        <f t="shared" si="14"/>
        <v>74.710999999999999</v>
      </c>
      <c r="N40" s="10">
        <v>8.6509999999999998</v>
      </c>
      <c r="O40" s="10">
        <v>0</v>
      </c>
      <c r="P40" s="10">
        <f t="shared" si="15"/>
        <v>14.9422</v>
      </c>
      <c r="Q40" s="4">
        <f t="shared" ref="Q40:Q51" si="17">12*P40-O40-F40</f>
        <v>57.7714</v>
      </c>
      <c r="R40" s="4"/>
      <c r="S40" s="4">
        <f t="shared" si="6"/>
        <v>57.7714</v>
      </c>
      <c r="T40" s="4"/>
      <c r="U40" s="10"/>
      <c r="V40" s="10"/>
      <c r="W40" s="10">
        <f t="shared" si="7"/>
        <v>12</v>
      </c>
      <c r="X40" s="10">
        <f t="shared" si="16"/>
        <v>8.133675094698237</v>
      </c>
      <c r="Y40" s="10">
        <v>14.175000000000001</v>
      </c>
      <c r="Z40" s="10">
        <v>16.470600000000001</v>
      </c>
      <c r="AA40" s="10">
        <v>18.725200000000001</v>
      </c>
      <c r="AB40" s="10">
        <v>21.203600000000002</v>
      </c>
      <c r="AC40" s="10">
        <v>18.925999999999998</v>
      </c>
      <c r="AD40" s="10">
        <v>18.822399999999998</v>
      </c>
      <c r="AE40" s="10">
        <v>18.551200000000001</v>
      </c>
      <c r="AF40" s="10">
        <v>16.038399999999999</v>
      </c>
      <c r="AG40" s="10"/>
      <c r="AH40" s="10">
        <f t="shared" si="8"/>
        <v>58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25">
      <c r="A41" s="10" t="s">
        <v>80</v>
      </c>
      <c r="B41" s="10" t="s">
        <v>42</v>
      </c>
      <c r="C41" s="10">
        <v>29</v>
      </c>
      <c r="D41" s="10">
        <v>252</v>
      </c>
      <c r="E41" s="10">
        <v>39</v>
      </c>
      <c r="F41" s="10">
        <v>212</v>
      </c>
      <c r="G41" s="7">
        <v>0.4</v>
      </c>
      <c r="H41" s="10">
        <v>40</v>
      </c>
      <c r="I41" s="10" t="s">
        <v>37</v>
      </c>
      <c r="J41" s="10"/>
      <c r="K41" s="10">
        <v>67</v>
      </c>
      <c r="L41" s="10">
        <f t="shared" si="13"/>
        <v>-28</v>
      </c>
      <c r="M41" s="10">
        <f t="shared" si="14"/>
        <v>39</v>
      </c>
      <c r="N41" s="10"/>
      <c r="O41" s="10">
        <v>0</v>
      </c>
      <c r="P41" s="10">
        <f t="shared" si="15"/>
        <v>7.8</v>
      </c>
      <c r="Q41" s="4"/>
      <c r="R41" s="4"/>
      <c r="S41" s="4">
        <f t="shared" si="6"/>
        <v>0</v>
      </c>
      <c r="T41" s="4"/>
      <c r="U41" s="10"/>
      <c r="V41" s="10"/>
      <c r="W41" s="10">
        <f t="shared" si="7"/>
        <v>27.179487179487179</v>
      </c>
      <c r="X41" s="10">
        <f t="shared" si="16"/>
        <v>27.179487179487179</v>
      </c>
      <c r="Y41" s="10">
        <v>11</v>
      </c>
      <c r="Z41" s="10">
        <v>22.4</v>
      </c>
      <c r="AA41" s="10">
        <v>23.6</v>
      </c>
      <c r="AB41" s="10">
        <v>18.399999999999999</v>
      </c>
      <c r="AC41" s="10">
        <v>14.8</v>
      </c>
      <c r="AD41" s="10">
        <v>13</v>
      </c>
      <c r="AE41" s="10">
        <v>22.6</v>
      </c>
      <c r="AF41" s="10">
        <v>17.600000000000001</v>
      </c>
      <c r="AG41" s="10"/>
      <c r="AH41" s="10">
        <f t="shared" si="8"/>
        <v>0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  <row r="42" spans="1:52" x14ac:dyDescent="0.25">
      <c r="A42" s="10" t="s">
        <v>81</v>
      </c>
      <c r="B42" s="10" t="s">
        <v>42</v>
      </c>
      <c r="C42" s="10">
        <v>184</v>
      </c>
      <c r="D42" s="10">
        <v>516</v>
      </c>
      <c r="E42" s="10">
        <v>196</v>
      </c>
      <c r="F42" s="10">
        <v>482</v>
      </c>
      <c r="G42" s="7">
        <v>0.4</v>
      </c>
      <c r="H42" s="10">
        <v>45</v>
      </c>
      <c r="I42" s="10" t="s">
        <v>37</v>
      </c>
      <c r="J42" s="10"/>
      <c r="K42" s="10">
        <v>200</v>
      </c>
      <c r="L42" s="10">
        <f t="shared" si="13"/>
        <v>-4</v>
      </c>
      <c r="M42" s="10">
        <f t="shared" si="14"/>
        <v>196</v>
      </c>
      <c r="N42" s="10"/>
      <c r="O42" s="10">
        <v>0</v>
      </c>
      <c r="P42" s="10">
        <f t="shared" si="15"/>
        <v>39.200000000000003</v>
      </c>
      <c r="Q42" s="4"/>
      <c r="R42" s="4"/>
      <c r="S42" s="4">
        <f t="shared" si="6"/>
        <v>0</v>
      </c>
      <c r="T42" s="4"/>
      <c r="U42" s="10"/>
      <c r="V42" s="10"/>
      <c r="W42" s="10">
        <f t="shared" si="7"/>
        <v>12.295918367346937</v>
      </c>
      <c r="X42" s="10">
        <f t="shared" si="16"/>
        <v>12.295918367346937</v>
      </c>
      <c r="Y42" s="10">
        <v>45.2</v>
      </c>
      <c r="Z42" s="10">
        <v>54.4</v>
      </c>
      <c r="AA42" s="10">
        <v>50.4</v>
      </c>
      <c r="AB42" s="10">
        <v>39.200000000000003</v>
      </c>
      <c r="AC42" s="10">
        <v>36.6</v>
      </c>
      <c r="AD42" s="10">
        <v>28.2</v>
      </c>
      <c r="AE42" s="10">
        <v>40.200000000000003</v>
      </c>
      <c r="AF42" s="10">
        <v>21.2</v>
      </c>
      <c r="AG42" s="10"/>
      <c r="AH42" s="10">
        <f t="shared" si="8"/>
        <v>0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</row>
    <row r="43" spans="1:52" x14ac:dyDescent="0.25">
      <c r="A43" s="10" t="s">
        <v>82</v>
      </c>
      <c r="B43" s="10" t="s">
        <v>36</v>
      </c>
      <c r="C43" s="10">
        <v>74.628</v>
      </c>
      <c r="D43" s="10">
        <v>108.357</v>
      </c>
      <c r="E43" s="10">
        <v>77.311999999999998</v>
      </c>
      <c r="F43" s="10">
        <v>93.364000000000004</v>
      </c>
      <c r="G43" s="7">
        <v>1</v>
      </c>
      <c r="H43" s="10">
        <v>40</v>
      </c>
      <c r="I43" s="10" t="s">
        <v>37</v>
      </c>
      <c r="J43" s="10"/>
      <c r="K43" s="10">
        <v>89.82</v>
      </c>
      <c r="L43" s="10">
        <f t="shared" si="13"/>
        <v>-12.507999999999996</v>
      </c>
      <c r="M43" s="10">
        <f t="shared" si="14"/>
        <v>68.643000000000001</v>
      </c>
      <c r="N43" s="10">
        <v>8.6690000000000005</v>
      </c>
      <c r="O43" s="10">
        <v>21.38099999999999</v>
      </c>
      <c r="P43" s="10">
        <f t="shared" si="15"/>
        <v>13.7286</v>
      </c>
      <c r="Q43" s="4">
        <f t="shared" si="17"/>
        <v>49.998199999999997</v>
      </c>
      <c r="R43" s="4"/>
      <c r="S43" s="4">
        <f t="shared" si="6"/>
        <v>49.998199999999997</v>
      </c>
      <c r="T43" s="4"/>
      <c r="U43" s="10"/>
      <c r="V43" s="10"/>
      <c r="W43" s="10">
        <f t="shared" si="7"/>
        <v>12</v>
      </c>
      <c r="X43" s="10">
        <f t="shared" si="16"/>
        <v>8.3580991506781448</v>
      </c>
      <c r="Y43" s="10">
        <v>13.1746</v>
      </c>
      <c r="Z43" s="10">
        <v>13.57</v>
      </c>
      <c r="AA43" s="10">
        <v>14.661</v>
      </c>
      <c r="AB43" s="10">
        <v>17.441400000000002</v>
      </c>
      <c r="AC43" s="10">
        <v>16.0746</v>
      </c>
      <c r="AD43" s="10">
        <v>14.2468</v>
      </c>
      <c r="AE43" s="10">
        <v>12.8028</v>
      </c>
      <c r="AF43" s="10">
        <v>13.9732</v>
      </c>
      <c r="AG43" s="10"/>
      <c r="AH43" s="10">
        <f t="shared" si="8"/>
        <v>50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</row>
    <row r="44" spans="1:52" x14ac:dyDescent="0.25">
      <c r="A44" s="10" t="s">
        <v>83</v>
      </c>
      <c r="B44" s="10" t="s">
        <v>42</v>
      </c>
      <c r="C44" s="10">
        <v>87</v>
      </c>
      <c r="D44" s="10">
        <v>356</v>
      </c>
      <c r="E44" s="10">
        <v>217</v>
      </c>
      <c r="F44" s="10">
        <v>210</v>
      </c>
      <c r="G44" s="7">
        <v>0.35</v>
      </c>
      <c r="H44" s="10">
        <v>40</v>
      </c>
      <c r="I44" s="10" t="s">
        <v>37</v>
      </c>
      <c r="J44" s="10"/>
      <c r="K44" s="10">
        <v>222</v>
      </c>
      <c r="L44" s="10">
        <f t="shared" si="13"/>
        <v>-5</v>
      </c>
      <c r="M44" s="10">
        <f t="shared" si="14"/>
        <v>217</v>
      </c>
      <c r="N44" s="10"/>
      <c r="O44" s="10">
        <v>78.200000000000017</v>
      </c>
      <c r="P44" s="10">
        <f t="shared" si="15"/>
        <v>43.4</v>
      </c>
      <c r="Q44" s="4">
        <f t="shared" si="17"/>
        <v>232.59999999999991</v>
      </c>
      <c r="R44" s="4"/>
      <c r="S44" s="4">
        <f t="shared" si="6"/>
        <v>232.59999999999991</v>
      </c>
      <c r="T44" s="4"/>
      <c r="U44" s="10"/>
      <c r="V44" s="10"/>
      <c r="W44" s="10">
        <f t="shared" si="7"/>
        <v>12</v>
      </c>
      <c r="X44" s="10">
        <f t="shared" si="16"/>
        <v>6.6405529953917064</v>
      </c>
      <c r="Y44" s="10">
        <v>36.4</v>
      </c>
      <c r="Z44" s="10">
        <v>35.4</v>
      </c>
      <c r="AA44" s="10">
        <v>36.4</v>
      </c>
      <c r="AB44" s="10">
        <v>34.799999999999997</v>
      </c>
      <c r="AC44" s="10">
        <v>30.2</v>
      </c>
      <c r="AD44" s="10">
        <v>30.2</v>
      </c>
      <c r="AE44" s="10">
        <v>44.4</v>
      </c>
      <c r="AF44" s="10">
        <v>40.799999999999997</v>
      </c>
      <c r="AG44" s="10" t="s">
        <v>51</v>
      </c>
      <c r="AH44" s="10">
        <f t="shared" si="8"/>
        <v>81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</row>
    <row r="45" spans="1:52" x14ac:dyDescent="0.25">
      <c r="A45" s="10" t="s">
        <v>84</v>
      </c>
      <c r="B45" s="10" t="s">
        <v>42</v>
      </c>
      <c r="C45" s="10">
        <v>215</v>
      </c>
      <c r="D45" s="10">
        <v>606</v>
      </c>
      <c r="E45" s="10">
        <v>319</v>
      </c>
      <c r="F45" s="10">
        <v>470</v>
      </c>
      <c r="G45" s="7">
        <v>0.4</v>
      </c>
      <c r="H45" s="10">
        <v>40</v>
      </c>
      <c r="I45" s="10" t="s">
        <v>37</v>
      </c>
      <c r="J45" s="10"/>
      <c r="K45" s="10">
        <v>380</v>
      </c>
      <c r="L45" s="10">
        <f t="shared" si="13"/>
        <v>-61</v>
      </c>
      <c r="M45" s="10">
        <f t="shared" si="14"/>
        <v>319</v>
      </c>
      <c r="N45" s="10"/>
      <c r="O45" s="10">
        <v>227.00000000000011</v>
      </c>
      <c r="P45" s="10">
        <f t="shared" si="15"/>
        <v>63.8</v>
      </c>
      <c r="Q45" s="4">
        <f t="shared" si="17"/>
        <v>68.599999999999795</v>
      </c>
      <c r="R45" s="4"/>
      <c r="S45" s="4">
        <f t="shared" si="6"/>
        <v>68.599999999999795</v>
      </c>
      <c r="T45" s="4"/>
      <c r="U45" s="10"/>
      <c r="V45" s="10"/>
      <c r="W45" s="10">
        <f t="shared" si="7"/>
        <v>11.999999999999998</v>
      </c>
      <c r="X45" s="10">
        <f t="shared" si="16"/>
        <v>10.924764890282134</v>
      </c>
      <c r="Y45" s="10">
        <v>70.599999999999994</v>
      </c>
      <c r="Z45" s="10">
        <v>66.8</v>
      </c>
      <c r="AA45" s="10">
        <v>59.4</v>
      </c>
      <c r="AB45" s="10">
        <v>47.2</v>
      </c>
      <c r="AC45" s="10">
        <v>55.4</v>
      </c>
      <c r="AD45" s="10">
        <v>55.4</v>
      </c>
      <c r="AE45" s="10">
        <v>56.6</v>
      </c>
      <c r="AF45" s="10">
        <v>52.4</v>
      </c>
      <c r="AG45" s="10" t="s">
        <v>39</v>
      </c>
      <c r="AH45" s="10">
        <f t="shared" si="8"/>
        <v>27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</row>
    <row r="46" spans="1:52" x14ac:dyDescent="0.25">
      <c r="A46" s="10" t="s">
        <v>85</v>
      </c>
      <c r="B46" s="10" t="s">
        <v>36</v>
      </c>
      <c r="C46" s="10">
        <v>35.213000000000001</v>
      </c>
      <c r="D46" s="10">
        <v>53.957999999999998</v>
      </c>
      <c r="E46" s="10">
        <v>22.050999999999998</v>
      </c>
      <c r="F46" s="10">
        <v>64.959999999999994</v>
      </c>
      <c r="G46" s="7">
        <v>1</v>
      </c>
      <c r="H46" s="10">
        <v>50</v>
      </c>
      <c r="I46" s="10" t="s">
        <v>37</v>
      </c>
      <c r="J46" s="10"/>
      <c r="K46" s="10">
        <v>22.75</v>
      </c>
      <c r="L46" s="10">
        <f t="shared" si="13"/>
        <v>-0.69900000000000162</v>
      </c>
      <c r="M46" s="10">
        <f t="shared" si="14"/>
        <v>22.050999999999998</v>
      </c>
      <c r="N46" s="10"/>
      <c r="O46" s="10">
        <v>0</v>
      </c>
      <c r="P46" s="10">
        <f t="shared" si="15"/>
        <v>4.4101999999999997</v>
      </c>
      <c r="Q46" s="4"/>
      <c r="R46" s="4"/>
      <c r="S46" s="4">
        <f t="shared" si="6"/>
        <v>0</v>
      </c>
      <c r="T46" s="4"/>
      <c r="U46" s="10"/>
      <c r="V46" s="10"/>
      <c r="W46" s="10">
        <f t="shared" si="7"/>
        <v>14.729490726044171</v>
      </c>
      <c r="X46" s="10">
        <f t="shared" si="16"/>
        <v>14.729490726044171</v>
      </c>
      <c r="Y46" s="10">
        <v>4.3031999999999986</v>
      </c>
      <c r="Z46" s="10">
        <v>6.1943999999999999</v>
      </c>
      <c r="AA46" s="10">
        <v>6.4640000000000004</v>
      </c>
      <c r="AB46" s="10">
        <v>6.1959999999999997</v>
      </c>
      <c r="AC46" s="10">
        <v>5.8084000000000007</v>
      </c>
      <c r="AD46" s="10">
        <v>5.3073999999999986</v>
      </c>
      <c r="AE46" s="10">
        <v>4.9085999999999999</v>
      </c>
      <c r="AF46" s="10">
        <v>5.6554000000000002</v>
      </c>
      <c r="AG46" s="10"/>
      <c r="AH46" s="10">
        <f t="shared" si="8"/>
        <v>0</v>
      </c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</row>
    <row r="47" spans="1:52" x14ac:dyDescent="0.25">
      <c r="A47" s="10" t="s">
        <v>86</v>
      </c>
      <c r="B47" s="10" t="s">
        <v>36</v>
      </c>
      <c r="C47" s="10">
        <v>94.531000000000006</v>
      </c>
      <c r="D47" s="10">
        <v>108.238</v>
      </c>
      <c r="E47" s="10">
        <v>72.930000000000007</v>
      </c>
      <c r="F47" s="10">
        <v>126.842</v>
      </c>
      <c r="G47" s="7">
        <v>1</v>
      </c>
      <c r="H47" s="10">
        <v>50</v>
      </c>
      <c r="I47" s="10" t="s">
        <v>37</v>
      </c>
      <c r="J47" s="10"/>
      <c r="K47" s="10">
        <v>70.45</v>
      </c>
      <c r="L47" s="10">
        <f t="shared" si="13"/>
        <v>2.480000000000004</v>
      </c>
      <c r="M47" s="10">
        <f t="shared" si="14"/>
        <v>72.930000000000007</v>
      </c>
      <c r="N47" s="10"/>
      <c r="O47" s="10">
        <v>14.809600000000049</v>
      </c>
      <c r="P47" s="10">
        <f t="shared" si="15"/>
        <v>14.586000000000002</v>
      </c>
      <c r="Q47" s="4">
        <f t="shared" si="17"/>
        <v>33.380399999999995</v>
      </c>
      <c r="R47" s="4"/>
      <c r="S47" s="4">
        <f t="shared" si="6"/>
        <v>33.380399999999995</v>
      </c>
      <c r="T47" s="4"/>
      <c r="U47" s="10"/>
      <c r="V47" s="10"/>
      <c r="W47" s="10">
        <f t="shared" si="7"/>
        <v>12.000000000000002</v>
      </c>
      <c r="X47" s="10">
        <f t="shared" si="16"/>
        <v>9.7114767585355839</v>
      </c>
      <c r="Y47" s="10">
        <v>15.031599999999999</v>
      </c>
      <c r="Z47" s="10">
        <v>15.904400000000001</v>
      </c>
      <c r="AA47" s="10">
        <v>18.180399999999999</v>
      </c>
      <c r="AB47" s="10">
        <v>18.5212</v>
      </c>
      <c r="AC47" s="10">
        <v>19.061599999999999</v>
      </c>
      <c r="AD47" s="10">
        <v>19.158799999999999</v>
      </c>
      <c r="AE47" s="10">
        <v>17.422999999999998</v>
      </c>
      <c r="AF47" s="10">
        <v>17.433199999999999</v>
      </c>
      <c r="AG47" s="10"/>
      <c r="AH47" s="10">
        <f t="shared" si="8"/>
        <v>33</v>
      </c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</row>
    <row r="48" spans="1:52" x14ac:dyDescent="0.25">
      <c r="A48" s="10" t="s">
        <v>87</v>
      </c>
      <c r="B48" s="10" t="s">
        <v>36</v>
      </c>
      <c r="C48" s="10">
        <v>132.899</v>
      </c>
      <c r="D48" s="10">
        <v>162.16800000000001</v>
      </c>
      <c r="E48" s="10">
        <v>151.04499999999999</v>
      </c>
      <c r="F48" s="10">
        <v>109.67400000000001</v>
      </c>
      <c r="G48" s="7">
        <v>1</v>
      </c>
      <c r="H48" s="10">
        <v>40</v>
      </c>
      <c r="I48" s="10" t="s">
        <v>37</v>
      </c>
      <c r="J48" s="10"/>
      <c r="K48" s="10">
        <v>134.70599999999999</v>
      </c>
      <c r="L48" s="10">
        <f t="shared" si="13"/>
        <v>16.338999999999999</v>
      </c>
      <c r="M48" s="10">
        <f t="shared" si="14"/>
        <v>151.04499999999999</v>
      </c>
      <c r="N48" s="10"/>
      <c r="O48" s="10">
        <v>51.482800000000019</v>
      </c>
      <c r="P48" s="10">
        <f t="shared" si="15"/>
        <v>30.208999999999996</v>
      </c>
      <c r="Q48" s="4">
        <f t="shared" si="17"/>
        <v>201.35119999999992</v>
      </c>
      <c r="R48" s="4"/>
      <c r="S48" s="4">
        <f t="shared" si="6"/>
        <v>201.35119999999992</v>
      </c>
      <c r="T48" s="4"/>
      <c r="U48" s="10"/>
      <c r="V48" s="10"/>
      <c r="W48" s="10">
        <f t="shared" si="7"/>
        <v>11.999999999999998</v>
      </c>
      <c r="X48" s="10">
        <f t="shared" si="16"/>
        <v>5.3347280611738244</v>
      </c>
      <c r="Y48" s="10">
        <v>22.2088</v>
      </c>
      <c r="Z48" s="10">
        <v>22.597999999999999</v>
      </c>
      <c r="AA48" s="10">
        <v>22.935400000000001</v>
      </c>
      <c r="AB48" s="10">
        <v>15.862</v>
      </c>
      <c r="AC48" s="10">
        <v>15.1358</v>
      </c>
      <c r="AD48" s="10">
        <v>26.546399999999998</v>
      </c>
      <c r="AE48" s="10">
        <v>29.293399999999998</v>
      </c>
      <c r="AF48" s="10">
        <v>19.555399999999999</v>
      </c>
      <c r="AG48" s="10"/>
      <c r="AH48" s="10">
        <f t="shared" si="8"/>
        <v>201</v>
      </c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</row>
    <row r="49" spans="1:52" x14ac:dyDescent="0.25">
      <c r="A49" s="10" t="s">
        <v>88</v>
      </c>
      <c r="B49" s="10" t="s">
        <v>42</v>
      </c>
      <c r="C49" s="10">
        <v>47</v>
      </c>
      <c r="D49" s="10">
        <v>541</v>
      </c>
      <c r="E49" s="10">
        <v>72</v>
      </c>
      <c r="F49" s="10">
        <v>528</v>
      </c>
      <c r="G49" s="7">
        <v>0.45</v>
      </c>
      <c r="H49" s="10">
        <v>50</v>
      </c>
      <c r="I49" s="10" t="s">
        <v>37</v>
      </c>
      <c r="J49" s="10"/>
      <c r="K49" s="10">
        <v>73</v>
      </c>
      <c r="L49" s="10">
        <f t="shared" si="13"/>
        <v>-1</v>
      </c>
      <c r="M49" s="10">
        <f t="shared" si="14"/>
        <v>72</v>
      </c>
      <c r="N49" s="10"/>
      <c r="O49" s="10">
        <v>0</v>
      </c>
      <c r="P49" s="10">
        <f t="shared" si="15"/>
        <v>14.4</v>
      </c>
      <c r="Q49" s="4"/>
      <c r="R49" s="4"/>
      <c r="S49" s="4">
        <f t="shared" si="6"/>
        <v>0</v>
      </c>
      <c r="T49" s="4"/>
      <c r="U49" s="10"/>
      <c r="V49" s="10"/>
      <c r="W49" s="10">
        <f t="shared" si="7"/>
        <v>36.666666666666664</v>
      </c>
      <c r="X49" s="10">
        <f t="shared" si="16"/>
        <v>36.666666666666664</v>
      </c>
      <c r="Y49" s="10">
        <v>14.8</v>
      </c>
      <c r="Z49" s="10">
        <v>39.799999999999997</v>
      </c>
      <c r="AA49" s="10">
        <v>43.6</v>
      </c>
      <c r="AB49" s="10">
        <v>28.4</v>
      </c>
      <c r="AC49" s="10">
        <v>26.2</v>
      </c>
      <c r="AD49" s="10">
        <v>22.6</v>
      </c>
      <c r="AE49" s="10">
        <v>37.799999999999997</v>
      </c>
      <c r="AF49" s="10">
        <v>31</v>
      </c>
      <c r="AG49" s="28" t="s">
        <v>75</v>
      </c>
      <c r="AH49" s="10">
        <f t="shared" si="8"/>
        <v>0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</row>
    <row r="50" spans="1:52" x14ac:dyDescent="0.25">
      <c r="A50" s="10" t="s">
        <v>89</v>
      </c>
      <c r="B50" s="10" t="s">
        <v>42</v>
      </c>
      <c r="C50" s="10">
        <v>45</v>
      </c>
      <c r="D50" s="10">
        <v>228</v>
      </c>
      <c r="E50" s="10">
        <v>52</v>
      </c>
      <c r="F50" s="10">
        <v>211</v>
      </c>
      <c r="G50" s="7">
        <v>0.4</v>
      </c>
      <c r="H50" s="10">
        <v>40</v>
      </c>
      <c r="I50" s="10" t="s">
        <v>37</v>
      </c>
      <c r="J50" s="10"/>
      <c r="K50" s="10">
        <v>62</v>
      </c>
      <c r="L50" s="10">
        <f t="shared" si="13"/>
        <v>-10</v>
      </c>
      <c r="M50" s="10">
        <f t="shared" si="14"/>
        <v>52</v>
      </c>
      <c r="N50" s="10"/>
      <c r="O50" s="10">
        <v>0</v>
      </c>
      <c r="P50" s="10">
        <f t="shared" si="15"/>
        <v>10.4</v>
      </c>
      <c r="Q50" s="4"/>
      <c r="R50" s="4"/>
      <c r="S50" s="4">
        <f t="shared" si="6"/>
        <v>0</v>
      </c>
      <c r="T50" s="4"/>
      <c r="U50" s="10"/>
      <c r="V50" s="10"/>
      <c r="W50" s="10">
        <f t="shared" si="7"/>
        <v>20.288461538461537</v>
      </c>
      <c r="X50" s="10">
        <f t="shared" si="16"/>
        <v>20.288461538461537</v>
      </c>
      <c r="Y50" s="10">
        <v>8</v>
      </c>
      <c r="Z50" s="10">
        <v>19</v>
      </c>
      <c r="AA50" s="10">
        <v>27.2</v>
      </c>
      <c r="AB50" s="10">
        <v>17.600000000000001</v>
      </c>
      <c r="AC50" s="10">
        <v>17</v>
      </c>
      <c r="AD50" s="10">
        <v>17.399999999999999</v>
      </c>
      <c r="AE50" s="10">
        <v>21</v>
      </c>
      <c r="AF50" s="10">
        <v>12.4</v>
      </c>
      <c r="AG50" s="10"/>
      <c r="AH50" s="10">
        <f t="shared" si="8"/>
        <v>0</v>
      </c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</row>
    <row r="51" spans="1:52" x14ac:dyDescent="0.25">
      <c r="A51" s="10" t="s">
        <v>90</v>
      </c>
      <c r="B51" s="10" t="s">
        <v>42</v>
      </c>
      <c r="C51" s="10">
        <v>201</v>
      </c>
      <c r="D51" s="10">
        <v>108</v>
      </c>
      <c r="E51" s="10">
        <v>107</v>
      </c>
      <c r="F51" s="10">
        <v>177</v>
      </c>
      <c r="G51" s="7">
        <v>0.4</v>
      </c>
      <c r="H51" s="10">
        <v>40</v>
      </c>
      <c r="I51" s="10" t="s">
        <v>37</v>
      </c>
      <c r="J51" s="10"/>
      <c r="K51" s="10">
        <v>120</v>
      </c>
      <c r="L51" s="10">
        <f t="shared" si="13"/>
        <v>-13</v>
      </c>
      <c r="M51" s="10">
        <f t="shared" si="14"/>
        <v>107</v>
      </c>
      <c r="N51" s="10"/>
      <c r="O51" s="10">
        <v>0</v>
      </c>
      <c r="P51" s="10">
        <f t="shared" si="15"/>
        <v>21.4</v>
      </c>
      <c r="Q51" s="4">
        <f t="shared" si="17"/>
        <v>79.799999999999955</v>
      </c>
      <c r="R51" s="4"/>
      <c r="S51" s="4">
        <f t="shared" si="6"/>
        <v>79.799999999999955</v>
      </c>
      <c r="T51" s="4"/>
      <c r="U51" s="10"/>
      <c r="V51" s="10"/>
      <c r="W51" s="10">
        <f t="shared" si="7"/>
        <v>11.999999999999998</v>
      </c>
      <c r="X51" s="10">
        <f t="shared" si="16"/>
        <v>8.2710280373831786</v>
      </c>
      <c r="Y51" s="10">
        <v>17.399999999999999</v>
      </c>
      <c r="Z51" s="10">
        <v>-1.2</v>
      </c>
      <c r="AA51" s="10">
        <v>-0.8</v>
      </c>
      <c r="AB51" s="10">
        <v>25.8</v>
      </c>
      <c r="AC51" s="10">
        <v>33.799999999999997</v>
      </c>
      <c r="AD51" s="10">
        <v>10.6</v>
      </c>
      <c r="AE51" s="10">
        <v>8.6</v>
      </c>
      <c r="AF51" s="10">
        <v>15.6</v>
      </c>
      <c r="AG51" s="10" t="s">
        <v>51</v>
      </c>
      <c r="AH51" s="10">
        <f t="shared" si="8"/>
        <v>32</v>
      </c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</row>
    <row r="52" spans="1:52" x14ac:dyDescent="0.25">
      <c r="A52" s="21" t="s">
        <v>91</v>
      </c>
      <c r="B52" s="21" t="s">
        <v>36</v>
      </c>
      <c r="C52" s="21"/>
      <c r="D52" s="21"/>
      <c r="E52" s="21"/>
      <c r="F52" s="21"/>
      <c r="G52" s="22">
        <v>0</v>
      </c>
      <c r="H52" s="21">
        <v>50</v>
      </c>
      <c r="I52" s="21" t="s">
        <v>37</v>
      </c>
      <c r="J52" s="21"/>
      <c r="K52" s="21"/>
      <c r="L52" s="21">
        <f t="shared" si="13"/>
        <v>0</v>
      </c>
      <c r="M52" s="21">
        <f t="shared" si="14"/>
        <v>0</v>
      </c>
      <c r="N52" s="21"/>
      <c r="O52" s="21">
        <v>0</v>
      </c>
      <c r="P52" s="21">
        <f t="shared" si="15"/>
        <v>0</v>
      </c>
      <c r="Q52" s="23"/>
      <c r="R52" s="23"/>
      <c r="S52" s="4">
        <f t="shared" si="6"/>
        <v>0</v>
      </c>
      <c r="T52" s="23"/>
      <c r="U52" s="21"/>
      <c r="V52" s="21"/>
      <c r="W52" s="10" t="e">
        <f t="shared" si="7"/>
        <v>#DIV/0!</v>
      </c>
      <c r="X52" s="21" t="e">
        <f t="shared" si="16"/>
        <v>#DIV/0!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 t="s">
        <v>45</v>
      </c>
      <c r="AH52" s="10">
        <f t="shared" si="8"/>
        <v>0</v>
      </c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1:52" x14ac:dyDescent="0.25">
      <c r="A53" s="10" t="s">
        <v>92</v>
      </c>
      <c r="B53" s="10" t="s">
        <v>42</v>
      </c>
      <c r="C53" s="10">
        <v>49</v>
      </c>
      <c r="D53" s="10">
        <v>60</v>
      </c>
      <c r="E53" s="10">
        <v>25</v>
      </c>
      <c r="F53" s="10">
        <v>83</v>
      </c>
      <c r="G53" s="7">
        <v>0.1</v>
      </c>
      <c r="H53" s="10">
        <v>730</v>
      </c>
      <c r="I53" s="10" t="s">
        <v>37</v>
      </c>
      <c r="J53" s="10"/>
      <c r="K53" s="10">
        <v>25</v>
      </c>
      <c r="L53" s="10">
        <f t="shared" si="13"/>
        <v>0</v>
      </c>
      <c r="M53" s="10">
        <f t="shared" si="14"/>
        <v>25</v>
      </c>
      <c r="N53" s="10"/>
      <c r="O53" s="10">
        <v>8.7999999999999972</v>
      </c>
      <c r="P53" s="10">
        <f t="shared" si="15"/>
        <v>5</v>
      </c>
      <c r="Q53" s="4"/>
      <c r="R53" s="4"/>
      <c r="S53" s="4">
        <f t="shared" si="6"/>
        <v>0</v>
      </c>
      <c r="T53" s="4"/>
      <c r="U53" s="10"/>
      <c r="V53" s="10"/>
      <c r="W53" s="10">
        <f t="shared" si="7"/>
        <v>18.36</v>
      </c>
      <c r="X53" s="10">
        <f t="shared" si="16"/>
        <v>18.36</v>
      </c>
      <c r="Y53" s="10">
        <v>7.8</v>
      </c>
      <c r="Z53" s="10">
        <v>8</v>
      </c>
      <c r="AA53" s="10">
        <v>5.6</v>
      </c>
      <c r="AB53" s="10">
        <v>6.4</v>
      </c>
      <c r="AC53" s="10">
        <v>8.1999999999999993</v>
      </c>
      <c r="AD53" s="10">
        <v>8.8000000000000007</v>
      </c>
      <c r="AE53" s="10">
        <v>7</v>
      </c>
      <c r="AF53" s="10">
        <v>10</v>
      </c>
      <c r="AG53" s="10"/>
      <c r="AH53" s="10">
        <f t="shared" si="8"/>
        <v>0</v>
      </c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1:52" x14ac:dyDescent="0.25">
      <c r="A54" s="10" t="s">
        <v>93</v>
      </c>
      <c r="B54" s="10" t="s">
        <v>36</v>
      </c>
      <c r="C54" s="10">
        <v>88.602000000000004</v>
      </c>
      <c r="D54" s="10">
        <v>64.665999999999997</v>
      </c>
      <c r="E54" s="10">
        <v>71.605000000000004</v>
      </c>
      <c r="F54" s="10">
        <v>77.516999999999996</v>
      </c>
      <c r="G54" s="7">
        <v>1</v>
      </c>
      <c r="H54" s="10">
        <v>50</v>
      </c>
      <c r="I54" s="10" t="s">
        <v>37</v>
      </c>
      <c r="J54" s="10"/>
      <c r="K54" s="10">
        <v>67.900000000000006</v>
      </c>
      <c r="L54" s="10">
        <f t="shared" si="13"/>
        <v>3.7049999999999983</v>
      </c>
      <c r="M54" s="10">
        <f t="shared" si="14"/>
        <v>71.605000000000004</v>
      </c>
      <c r="N54" s="10"/>
      <c r="O54" s="10">
        <v>41.571599999999989</v>
      </c>
      <c r="P54" s="10">
        <f t="shared" si="15"/>
        <v>14.321000000000002</v>
      </c>
      <c r="Q54" s="4">
        <f t="shared" ref="Q54:Q65" si="18">12*P54-O54-F54</f>
        <v>52.763400000000047</v>
      </c>
      <c r="R54" s="4"/>
      <c r="S54" s="4">
        <f t="shared" si="6"/>
        <v>52.763400000000047</v>
      </c>
      <c r="T54" s="4"/>
      <c r="U54" s="10"/>
      <c r="V54" s="10"/>
      <c r="W54" s="10">
        <f t="shared" si="7"/>
        <v>12.000000000000002</v>
      </c>
      <c r="X54" s="10">
        <f t="shared" si="16"/>
        <v>8.3156623140842107</v>
      </c>
      <c r="Y54" s="10">
        <v>13.4536</v>
      </c>
      <c r="Z54" s="10">
        <v>11.087999999999999</v>
      </c>
      <c r="AA54" s="10">
        <v>15.3454</v>
      </c>
      <c r="AB54" s="10">
        <v>16.656400000000001</v>
      </c>
      <c r="AC54" s="10">
        <v>12.8786</v>
      </c>
      <c r="AD54" s="10">
        <v>18.8232</v>
      </c>
      <c r="AE54" s="10">
        <v>21.261399999999998</v>
      </c>
      <c r="AF54" s="10">
        <v>16.172000000000001</v>
      </c>
      <c r="AG54" s="10"/>
      <c r="AH54" s="10">
        <f t="shared" si="8"/>
        <v>53</v>
      </c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</row>
    <row r="55" spans="1:52" x14ac:dyDescent="0.25">
      <c r="A55" s="10" t="s">
        <v>94</v>
      </c>
      <c r="B55" s="10" t="s">
        <v>36</v>
      </c>
      <c r="C55" s="10">
        <v>36.423000000000002</v>
      </c>
      <c r="D55" s="10">
        <v>10.836</v>
      </c>
      <c r="E55" s="10">
        <v>18.917999999999999</v>
      </c>
      <c r="F55" s="10">
        <v>24.315000000000001</v>
      </c>
      <c r="G55" s="7">
        <v>1</v>
      </c>
      <c r="H55" s="10">
        <v>50</v>
      </c>
      <c r="I55" s="10" t="s">
        <v>37</v>
      </c>
      <c r="J55" s="10"/>
      <c r="K55" s="10">
        <v>19.25</v>
      </c>
      <c r="L55" s="10">
        <f t="shared" si="13"/>
        <v>-0.33200000000000074</v>
      </c>
      <c r="M55" s="10">
        <f t="shared" si="14"/>
        <v>18.917999999999999</v>
      </c>
      <c r="N55" s="10"/>
      <c r="O55" s="10">
        <v>0</v>
      </c>
      <c r="P55" s="10">
        <f t="shared" si="15"/>
        <v>3.7835999999999999</v>
      </c>
      <c r="Q55" s="4">
        <f t="shared" si="18"/>
        <v>21.088199999999997</v>
      </c>
      <c r="R55" s="4"/>
      <c r="S55" s="4">
        <f t="shared" si="6"/>
        <v>21.088199999999997</v>
      </c>
      <c r="T55" s="4"/>
      <c r="U55" s="10"/>
      <c r="V55" s="10"/>
      <c r="W55" s="10">
        <f t="shared" si="7"/>
        <v>12</v>
      </c>
      <c r="X55" s="10">
        <f t="shared" si="16"/>
        <v>6.4264192832223284</v>
      </c>
      <c r="Y55" s="10">
        <v>2.1604000000000001</v>
      </c>
      <c r="Z55" s="10">
        <v>3.2309999999999999</v>
      </c>
      <c r="AA55" s="10">
        <v>3.7675999999999998</v>
      </c>
      <c r="AB55" s="10">
        <v>3.2342</v>
      </c>
      <c r="AC55" s="10">
        <v>4.3137999999999996</v>
      </c>
      <c r="AD55" s="10">
        <v>4.5877999999999997</v>
      </c>
      <c r="AE55" s="10">
        <v>2.9767999999999999</v>
      </c>
      <c r="AF55" s="10">
        <v>4.3293999999999997</v>
      </c>
      <c r="AG55" s="10"/>
      <c r="AH55" s="10">
        <f t="shared" si="8"/>
        <v>21</v>
      </c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</row>
    <row r="56" spans="1:52" x14ac:dyDescent="0.25">
      <c r="A56" s="10" t="s">
        <v>95</v>
      </c>
      <c r="B56" s="10" t="s">
        <v>42</v>
      </c>
      <c r="C56" s="10">
        <v>61</v>
      </c>
      <c r="D56" s="10">
        <v>40</v>
      </c>
      <c r="E56" s="10">
        <v>18</v>
      </c>
      <c r="F56" s="10">
        <v>82</v>
      </c>
      <c r="G56" s="7">
        <v>0.1</v>
      </c>
      <c r="H56" s="10">
        <v>730</v>
      </c>
      <c r="I56" s="10" t="s">
        <v>37</v>
      </c>
      <c r="J56" s="10"/>
      <c r="K56" s="10">
        <v>18</v>
      </c>
      <c r="L56" s="10">
        <f t="shared" si="13"/>
        <v>0</v>
      </c>
      <c r="M56" s="10">
        <f t="shared" si="14"/>
        <v>18</v>
      </c>
      <c r="N56" s="10"/>
      <c r="O56" s="10">
        <v>0</v>
      </c>
      <c r="P56" s="10">
        <f t="shared" si="15"/>
        <v>3.6</v>
      </c>
      <c r="Q56" s="4"/>
      <c r="R56" s="4"/>
      <c r="S56" s="4">
        <f t="shared" si="6"/>
        <v>0</v>
      </c>
      <c r="T56" s="4"/>
      <c r="U56" s="10"/>
      <c r="V56" s="10"/>
      <c r="W56" s="10">
        <f t="shared" si="7"/>
        <v>22.777777777777779</v>
      </c>
      <c r="X56" s="10">
        <f t="shared" si="16"/>
        <v>22.777777777777779</v>
      </c>
      <c r="Y56" s="10">
        <v>7</v>
      </c>
      <c r="Z56" s="10">
        <v>8</v>
      </c>
      <c r="AA56" s="10">
        <v>5.6</v>
      </c>
      <c r="AB56" s="10">
        <v>6.4</v>
      </c>
      <c r="AC56" s="10">
        <v>8.8000000000000007</v>
      </c>
      <c r="AD56" s="10">
        <v>9.4</v>
      </c>
      <c r="AE56" s="10">
        <v>7.4</v>
      </c>
      <c r="AF56" s="10">
        <v>10.199999999999999</v>
      </c>
      <c r="AG56" s="10"/>
      <c r="AH56" s="10">
        <f t="shared" si="8"/>
        <v>0</v>
      </c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</row>
    <row r="57" spans="1:52" x14ac:dyDescent="0.25">
      <c r="A57" s="10" t="s">
        <v>96</v>
      </c>
      <c r="B57" s="10" t="s">
        <v>42</v>
      </c>
      <c r="C57" s="10">
        <v>140</v>
      </c>
      <c r="D57" s="10">
        <v>70</v>
      </c>
      <c r="E57" s="10">
        <v>35</v>
      </c>
      <c r="F57" s="10">
        <v>162</v>
      </c>
      <c r="G57" s="7">
        <v>0.4</v>
      </c>
      <c r="H57" s="10">
        <v>50</v>
      </c>
      <c r="I57" s="10" t="s">
        <v>37</v>
      </c>
      <c r="J57" s="10"/>
      <c r="K57" s="10">
        <v>44</v>
      </c>
      <c r="L57" s="10">
        <f t="shared" si="13"/>
        <v>-9</v>
      </c>
      <c r="M57" s="10">
        <f t="shared" si="14"/>
        <v>35</v>
      </c>
      <c r="N57" s="10"/>
      <c r="O57" s="10">
        <v>0</v>
      </c>
      <c r="P57" s="10">
        <f t="shared" si="15"/>
        <v>7</v>
      </c>
      <c r="Q57" s="4"/>
      <c r="R57" s="4"/>
      <c r="S57" s="4">
        <f t="shared" si="6"/>
        <v>0</v>
      </c>
      <c r="T57" s="4"/>
      <c r="U57" s="10"/>
      <c r="V57" s="10"/>
      <c r="W57" s="10">
        <f t="shared" si="7"/>
        <v>23.142857142857142</v>
      </c>
      <c r="X57" s="10">
        <f t="shared" si="16"/>
        <v>23.142857142857142</v>
      </c>
      <c r="Y57" s="10">
        <v>5.8</v>
      </c>
      <c r="Z57" s="10">
        <v>12</v>
      </c>
      <c r="AA57" s="10">
        <v>14.4</v>
      </c>
      <c r="AB57" s="10">
        <v>22.2</v>
      </c>
      <c r="AC57" s="10">
        <v>20.8</v>
      </c>
      <c r="AD57" s="10">
        <v>6</v>
      </c>
      <c r="AE57" s="10">
        <v>11.8</v>
      </c>
      <c r="AF57" s="10">
        <v>11.8</v>
      </c>
      <c r="AG57" s="28" t="s">
        <v>75</v>
      </c>
      <c r="AH57" s="10">
        <f t="shared" si="8"/>
        <v>0</v>
      </c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</row>
    <row r="58" spans="1:52" x14ac:dyDescent="0.25">
      <c r="A58" s="10" t="s">
        <v>97</v>
      </c>
      <c r="B58" s="10" t="s">
        <v>36</v>
      </c>
      <c r="C58" s="10">
        <v>29.19</v>
      </c>
      <c r="D58" s="10"/>
      <c r="E58" s="10">
        <v>21.856999999999999</v>
      </c>
      <c r="F58" s="10">
        <v>7.3330000000000002</v>
      </c>
      <c r="G58" s="7">
        <v>1</v>
      </c>
      <c r="H58" s="10">
        <v>40</v>
      </c>
      <c r="I58" s="10" t="s">
        <v>37</v>
      </c>
      <c r="J58" s="10"/>
      <c r="K58" s="10">
        <v>21.4</v>
      </c>
      <c r="L58" s="10">
        <f t="shared" si="13"/>
        <v>0.45700000000000074</v>
      </c>
      <c r="M58" s="10">
        <f t="shared" si="14"/>
        <v>21.856999999999999</v>
      </c>
      <c r="N58" s="10"/>
      <c r="O58" s="10">
        <v>0</v>
      </c>
      <c r="P58" s="10">
        <f t="shared" si="15"/>
        <v>4.3713999999999995</v>
      </c>
      <c r="Q58" s="4">
        <f>9*P58-O58-F58</f>
        <v>32.009599999999999</v>
      </c>
      <c r="R58" s="4"/>
      <c r="S58" s="4">
        <f t="shared" si="6"/>
        <v>32.009599999999999</v>
      </c>
      <c r="T58" s="4"/>
      <c r="U58" s="10"/>
      <c r="V58" s="10"/>
      <c r="W58" s="10">
        <f t="shared" si="7"/>
        <v>9</v>
      </c>
      <c r="X58" s="10">
        <f t="shared" si="16"/>
        <v>1.6774946241478705</v>
      </c>
      <c r="Y58" s="10">
        <v>1.9312</v>
      </c>
      <c r="Z58" s="10">
        <v>1.1220000000000001</v>
      </c>
      <c r="AA58" s="10">
        <v>1.956</v>
      </c>
      <c r="AB58" s="10">
        <v>2.5106000000000002</v>
      </c>
      <c r="AC58" s="10">
        <v>2.1991999999999998</v>
      </c>
      <c r="AD58" s="10">
        <v>4.1167999999999996</v>
      </c>
      <c r="AE58" s="10">
        <v>4.1332000000000004</v>
      </c>
      <c r="AF58" s="10">
        <v>1.3812</v>
      </c>
      <c r="AG58" s="10"/>
      <c r="AH58" s="10">
        <f t="shared" si="8"/>
        <v>32</v>
      </c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</row>
    <row r="59" spans="1:52" x14ac:dyDescent="0.25">
      <c r="A59" s="10" t="s">
        <v>98</v>
      </c>
      <c r="B59" s="10" t="s">
        <v>36</v>
      </c>
      <c r="C59" s="10">
        <v>31.878</v>
      </c>
      <c r="D59" s="10"/>
      <c r="E59" s="10">
        <v>13.417999999999999</v>
      </c>
      <c r="F59" s="10">
        <v>18.46</v>
      </c>
      <c r="G59" s="7">
        <v>1</v>
      </c>
      <c r="H59" s="10">
        <v>40</v>
      </c>
      <c r="I59" s="10" t="s">
        <v>37</v>
      </c>
      <c r="J59" s="10"/>
      <c r="K59" s="10">
        <v>13.4</v>
      </c>
      <c r="L59" s="10">
        <f t="shared" si="13"/>
        <v>1.7999999999998906E-2</v>
      </c>
      <c r="M59" s="10">
        <f t="shared" si="14"/>
        <v>13.417999999999999</v>
      </c>
      <c r="N59" s="10"/>
      <c r="O59" s="10">
        <v>0</v>
      </c>
      <c r="P59" s="10">
        <f t="shared" si="15"/>
        <v>2.6835999999999998</v>
      </c>
      <c r="Q59" s="4">
        <v>12</v>
      </c>
      <c r="R59" s="4"/>
      <c r="S59" s="4">
        <f t="shared" si="6"/>
        <v>12</v>
      </c>
      <c r="T59" s="4"/>
      <c r="U59" s="10"/>
      <c r="V59" s="10"/>
      <c r="W59" s="10">
        <f t="shared" si="7"/>
        <v>11.350424802504101</v>
      </c>
      <c r="X59" s="10">
        <f t="shared" si="16"/>
        <v>6.878819496199136</v>
      </c>
      <c r="Y59" s="10">
        <v>2.4140000000000001</v>
      </c>
      <c r="Z59" s="10">
        <v>1.5102</v>
      </c>
      <c r="AA59" s="10">
        <v>2.036</v>
      </c>
      <c r="AB59" s="10">
        <v>2.1518000000000002</v>
      </c>
      <c r="AC59" s="10">
        <v>1.3895999999999999</v>
      </c>
      <c r="AD59" s="10">
        <v>4.1614000000000004</v>
      </c>
      <c r="AE59" s="10">
        <v>4.4405999999999999</v>
      </c>
      <c r="AF59" s="10">
        <v>1.6668000000000001</v>
      </c>
      <c r="AG59" s="10"/>
      <c r="AH59" s="10">
        <f t="shared" si="8"/>
        <v>12</v>
      </c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</row>
    <row r="60" spans="1:52" x14ac:dyDescent="0.25">
      <c r="A60" s="10" t="s">
        <v>100</v>
      </c>
      <c r="B60" s="10" t="s">
        <v>42</v>
      </c>
      <c r="C60" s="10">
        <v>303</v>
      </c>
      <c r="D60" s="10">
        <v>846</v>
      </c>
      <c r="E60" s="10">
        <v>370</v>
      </c>
      <c r="F60" s="10">
        <v>759</v>
      </c>
      <c r="G60" s="7">
        <v>0.4</v>
      </c>
      <c r="H60" s="10">
        <v>40</v>
      </c>
      <c r="I60" s="10" t="s">
        <v>37</v>
      </c>
      <c r="J60" s="10"/>
      <c r="K60" s="10">
        <v>363</v>
      </c>
      <c r="L60" s="10">
        <f t="shared" si="13"/>
        <v>7</v>
      </c>
      <c r="M60" s="10">
        <f t="shared" si="14"/>
        <v>370</v>
      </c>
      <c r="N60" s="10"/>
      <c r="O60" s="10">
        <v>0</v>
      </c>
      <c r="P60" s="10">
        <f t="shared" si="15"/>
        <v>74</v>
      </c>
      <c r="Q60" s="4">
        <f t="shared" si="18"/>
        <v>129</v>
      </c>
      <c r="R60" s="4"/>
      <c r="S60" s="4">
        <f t="shared" si="6"/>
        <v>129</v>
      </c>
      <c r="T60" s="4"/>
      <c r="U60" s="10"/>
      <c r="V60" s="10"/>
      <c r="W60" s="10">
        <f t="shared" si="7"/>
        <v>12</v>
      </c>
      <c r="X60" s="10">
        <f t="shared" si="16"/>
        <v>10.256756756756756</v>
      </c>
      <c r="Y60" s="10">
        <v>63</v>
      </c>
      <c r="Z60" s="10">
        <v>93.2</v>
      </c>
      <c r="AA60" s="10">
        <v>101.8</v>
      </c>
      <c r="AB60" s="10">
        <v>82.6</v>
      </c>
      <c r="AC60" s="10">
        <v>82.8</v>
      </c>
      <c r="AD60" s="10">
        <v>70.2</v>
      </c>
      <c r="AE60" s="10">
        <v>82.4</v>
      </c>
      <c r="AF60" s="10">
        <v>80</v>
      </c>
      <c r="AG60" s="10"/>
      <c r="AH60" s="10">
        <f t="shared" si="8"/>
        <v>52</v>
      </c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1:52" x14ac:dyDescent="0.25">
      <c r="A61" s="10" t="s">
        <v>101</v>
      </c>
      <c r="B61" s="10" t="s">
        <v>42</v>
      </c>
      <c r="C61" s="10">
        <v>151</v>
      </c>
      <c r="D61" s="10">
        <v>792</v>
      </c>
      <c r="E61" s="10">
        <v>318</v>
      </c>
      <c r="F61" s="10">
        <v>618</v>
      </c>
      <c r="G61" s="7">
        <v>0.4</v>
      </c>
      <c r="H61" s="10">
        <v>40</v>
      </c>
      <c r="I61" s="10" t="s">
        <v>37</v>
      </c>
      <c r="J61" s="10"/>
      <c r="K61" s="10">
        <v>358</v>
      </c>
      <c r="L61" s="10">
        <f t="shared" si="13"/>
        <v>-40</v>
      </c>
      <c r="M61" s="10">
        <f t="shared" si="14"/>
        <v>318</v>
      </c>
      <c r="N61" s="10"/>
      <c r="O61" s="10">
        <v>39.199999999999989</v>
      </c>
      <c r="P61" s="10">
        <f t="shared" si="15"/>
        <v>63.6</v>
      </c>
      <c r="Q61" s="4">
        <f t="shared" si="18"/>
        <v>106</v>
      </c>
      <c r="R61" s="4"/>
      <c r="S61" s="4">
        <f t="shared" si="6"/>
        <v>106</v>
      </c>
      <c r="T61" s="4"/>
      <c r="U61" s="10"/>
      <c r="V61" s="10"/>
      <c r="W61" s="10">
        <f t="shared" si="7"/>
        <v>12</v>
      </c>
      <c r="X61" s="10">
        <f t="shared" si="16"/>
        <v>10.333333333333334</v>
      </c>
      <c r="Y61" s="10">
        <v>65.400000000000006</v>
      </c>
      <c r="Z61" s="10">
        <v>77.400000000000006</v>
      </c>
      <c r="AA61" s="10">
        <v>77.599999999999994</v>
      </c>
      <c r="AB61" s="10">
        <v>52.4</v>
      </c>
      <c r="AC61" s="10">
        <v>56.2</v>
      </c>
      <c r="AD61" s="10">
        <v>52</v>
      </c>
      <c r="AE61" s="10">
        <v>63.8</v>
      </c>
      <c r="AF61" s="10">
        <v>58.4</v>
      </c>
      <c r="AG61" s="10" t="s">
        <v>39</v>
      </c>
      <c r="AH61" s="10">
        <f t="shared" si="8"/>
        <v>42</v>
      </c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</row>
    <row r="62" spans="1:52" x14ac:dyDescent="0.25">
      <c r="A62" s="10" t="s">
        <v>102</v>
      </c>
      <c r="B62" s="10" t="s">
        <v>36</v>
      </c>
      <c r="C62" s="10">
        <v>137.43899999999999</v>
      </c>
      <c r="D62" s="10">
        <v>337.65199999999999</v>
      </c>
      <c r="E62" s="10">
        <v>225.072</v>
      </c>
      <c r="F62" s="10">
        <v>220.25299999999999</v>
      </c>
      <c r="G62" s="7">
        <v>1</v>
      </c>
      <c r="H62" s="10">
        <v>40</v>
      </c>
      <c r="I62" s="10" t="s">
        <v>37</v>
      </c>
      <c r="J62" s="10"/>
      <c r="K62" s="10">
        <v>207.7</v>
      </c>
      <c r="L62" s="10">
        <f t="shared" si="13"/>
        <v>17.372000000000014</v>
      </c>
      <c r="M62" s="10">
        <f t="shared" si="14"/>
        <v>214.30099999999999</v>
      </c>
      <c r="N62" s="10">
        <v>10.771000000000001</v>
      </c>
      <c r="O62" s="10">
        <v>88.124800000000135</v>
      </c>
      <c r="P62" s="10">
        <f t="shared" si="15"/>
        <v>42.860199999999999</v>
      </c>
      <c r="Q62" s="4">
        <f t="shared" si="18"/>
        <v>205.94459999999987</v>
      </c>
      <c r="R62" s="4"/>
      <c r="S62" s="4">
        <f t="shared" si="6"/>
        <v>205.94459999999987</v>
      </c>
      <c r="T62" s="4"/>
      <c r="U62" s="10"/>
      <c r="V62" s="10"/>
      <c r="W62" s="10">
        <f t="shared" si="7"/>
        <v>12</v>
      </c>
      <c r="X62" s="10">
        <f t="shared" si="16"/>
        <v>7.1949687588952012</v>
      </c>
      <c r="Y62" s="10">
        <v>37.9572</v>
      </c>
      <c r="Z62" s="10">
        <v>36.941000000000003</v>
      </c>
      <c r="AA62" s="10">
        <v>43.912199999999999</v>
      </c>
      <c r="AB62" s="10">
        <v>43.654600000000002</v>
      </c>
      <c r="AC62" s="10">
        <v>38.603200000000001</v>
      </c>
      <c r="AD62" s="10">
        <v>42.333799999999997</v>
      </c>
      <c r="AE62" s="10">
        <v>43.986800000000002</v>
      </c>
      <c r="AF62" s="10">
        <v>37.209400000000002</v>
      </c>
      <c r="AG62" s="10"/>
      <c r="AH62" s="10">
        <f t="shared" si="8"/>
        <v>206</v>
      </c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</row>
    <row r="63" spans="1:52" x14ac:dyDescent="0.25">
      <c r="A63" s="10" t="s">
        <v>103</v>
      </c>
      <c r="B63" s="10" t="s">
        <v>36</v>
      </c>
      <c r="C63" s="10">
        <v>130.95699999999999</v>
      </c>
      <c r="D63" s="10">
        <v>266.43200000000002</v>
      </c>
      <c r="E63" s="10">
        <v>216.22</v>
      </c>
      <c r="F63" s="10">
        <v>159.59899999999999</v>
      </c>
      <c r="G63" s="7">
        <v>1</v>
      </c>
      <c r="H63" s="10">
        <v>40</v>
      </c>
      <c r="I63" s="10" t="s">
        <v>37</v>
      </c>
      <c r="J63" s="10"/>
      <c r="K63" s="10">
        <v>203.9</v>
      </c>
      <c r="L63" s="10">
        <f t="shared" si="13"/>
        <v>12.319999999999993</v>
      </c>
      <c r="M63" s="10">
        <f t="shared" si="14"/>
        <v>205.381</v>
      </c>
      <c r="N63" s="10">
        <v>10.839</v>
      </c>
      <c r="O63" s="10">
        <v>77.080400000000054</v>
      </c>
      <c r="P63" s="10">
        <f t="shared" si="15"/>
        <v>41.0762</v>
      </c>
      <c r="Q63" s="4">
        <f t="shared" si="18"/>
        <v>256.23499999999996</v>
      </c>
      <c r="R63" s="4"/>
      <c r="S63" s="4">
        <f t="shared" si="6"/>
        <v>256.23499999999996</v>
      </c>
      <c r="T63" s="4"/>
      <c r="U63" s="10"/>
      <c r="V63" s="10"/>
      <c r="W63" s="10">
        <f t="shared" si="7"/>
        <v>12</v>
      </c>
      <c r="X63" s="10">
        <f t="shared" si="16"/>
        <v>5.7619594801856069</v>
      </c>
      <c r="Y63" s="10">
        <v>31.288399999999999</v>
      </c>
      <c r="Z63" s="10">
        <v>23.487200000000001</v>
      </c>
      <c r="AA63" s="10">
        <v>32.866799999999998</v>
      </c>
      <c r="AB63" s="10">
        <v>41.1252</v>
      </c>
      <c r="AC63" s="10">
        <v>30.4114</v>
      </c>
      <c r="AD63" s="10">
        <v>31.087599999999998</v>
      </c>
      <c r="AE63" s="10">
        <v>43.9026</v>
      </c>
      <c r="AF63" s="10">
        <v>43.043599999999998</v>
      </c>
      <c r="AG63" s="10"/>
      <c r="AH63" s="10">
        <f t="shared" si="8"/>
        <v>256</v>
      </c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</row>
    <row r="64" spans="1:52" x14ac:dyDescent="0.25">
      <c r="A64" s="10" t="s">
        <v>104</v>
      </c>
      <c r="B64" s="10" t="s">
        <v>36</v>
      </c>
      <c r="C64" s="10">
        <v>160.136</v>
      </c>
      <c r="D64" s="10">
        <v>325.12700000000001</v>
      </c>
      <c r="E64" s="10">
        <v>161.31100000000001</v>
      </c>
      <c r="F64" s="10">
        <v>311.33199999999999</v>
      </c>
      <c r="G64" s="7">
        <v>1</v>
      </c>
      <c r="H64" s="10">
        <v>40</v>
      </c>
      <c r="I64" s="10" t="s">
        <v>37</v>
      </c>
      <c r="J64" s="10"/>
      <c r="K64" s="10">
        <v>149.19999999999999</v>
      </c>
      <c r="L64" s="10">
        <f t="shared" si="13"/>
        <v>12.111000000000018</v>
      </c>
      <c r="M64" s="10">
        <f t="shared" si="14"/>
        <v>150.47</v>
      </c>
      <c r="N64" s="10">
        <v>10.840999999999999</v>
      </c>
      <c r="O64" s="10">
        <v>55.793199999999928</v>
      </c>
      <c r="P64" s="10">
        <f t="shared" si="15"/>
        <v>30.094000000000001</v>
      </c>
      <c r="Q64" s="4"/>
      <c r="R64" s="4"/>
      <c r="S64" s="4">
        <f t="shared" si="6"/>
        <v>0</v>
      </c>
      <c r="T64" s="4"/>
      <c r="U64" s="10"/>
      <c r="V64" s="10"/>
      <c r="W64" s="10">
        <f t="shared" si="7"/>
        <v>12.199282248953278</v>
      </c>
      <c r="X64" s="10">
        <f t="shared" si="16"/>
        <v>12.199282248953278</v>
      </c>
      <c r="Y64" s="10">
        <v>37.154800000000002</v>
      </c>
      <c r="Z64" s="10">
        <v>38.478200000000001</v>
      </c>
      <c r="AA64" s="10">
        <v>32.153399999999998</v>
      </c>
      <c r="AB64" s="10">
        <v>31.513000000000002</v>
      </c>
      <c r="AC64" s="10">
        <v>35.6464</v>
      </c>
      <c r="AD64" s="10">
        <v>35.776200000000003</v>
      </c>
      <c r="AE64" s="10">
        <v>30.697399999999998</v>
      </c>
      <c r="AF64" s="10">
        <v>24.968800000000002</v>
      </c>
      <c r="AG64" s="10"/>
      <c r="AH64" s="10">
        <f t="shared" si="8"/>
        <v>0</v>
      </c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</row>
    <row r="65" spans="1:52" x14ac:dyDescent="0.25">
      <c r="A65" s="10" t="s">
        <v>105</v>
      </c>
      <c r="B65" s="10" t="s">
        <v>36</v>
      </c>
      <c r="C65" s="10">
        <v>49.027999999999999</v>
      </c>
      <c r="D65" s="10">
        <v>24.402000000000001</v>
      </c>
      <c r="E65" s="10">
        <v>36.521000000000001</v>
      </c>
      <c r="F65" s="10">
        <v>28.120999999999999</v>
      </c>
      <c r="G65" s="7">
        <v>1</v>
      </c>
      <c r="H65" s="10">
        <v>30</v>
      </c>
      <c r="I65" s="10" t="s">
        <v>37</v>
      </c>
      <c r="J65" s="10"/>
      <c r="K65" s="10">
        <v>43</v>
      </c>
      <c r="L65" s="10">
        <f t="shared" si="13"/>
        <v>-6.4789999999999992</v>
      </c>
      <c r="M65" s="10">
        <f t="shared" si="14"/>
        <v>36.521000000000001</v>
      </c>
      <c r="N65" s="10"/>
      <c r="O65" s="10">
        <v>20.943999999999999</v>
      </c>
      <c r="P65" s="10">
        <f t="shared" si="15"/>
        <v>7.3041999999999998</v>
      </c>
      <c r="Q65" s="4">
        <f t="shared" si="18"/>
        <v>38.585399999999993</v>
      </c>
      <c r="R65" s="4"/>
      <c r="S65" s="4">
        <f t="shared" si="6"/>
        <v>38.585399999999993</v>
      </c>
      <c r="T65" s="4"/>
      <c r="U65" s="10"/>
      <c r="V65" s="10"/>
      <c r="W65" s="10">
        <f t="shared" si="7"/>
        <v>11.999999999999998</v>
      </c>
      <c r="X65" s="10">
        <f t="shared" si="16"/>
        <v>6.7173680895922896</v>
      </c>
      <c r="Y65" s="10">
        <v>5.5386000000000006</v>
      </c>
      <c r="Z65" s="10">
        <v>5.2718000000000007</v>
      </c>
      <c r="AA65" s="10">
        <v>5.8475999999999999</v>
      </c>
      <c r="AB65" s="10">
        <v>3.7094</v>
      </c>
      <c r="AC65" s="10">
        <v>5.0692000000000004</v>
      </c>
      <c r="AD65" s="10">
        <v>8.1430000000000007</v>
      </c>
      <c r="AE65" s="10">
        <v>8.3493999999999993</v>
      </c>
      <c r="AF65" s="10">
        <v>8.206999999999999</v>
      </c>
      <c r="AG65" s="10"/>
      <c r="AH65" s="10">
        <f t="shared" si="8"/>
        <v>39</v>
      </c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</row>
    <row r="66" spans="1:52" x14ac:dyDescent="0.25">
      <c r="A66" s="21" t="s">
        <v>106</v>
      </c>
      <c r="B66" s="21" t="s">
        <v>42</v>
      </c>
      <c r="C66" s="21"/>
      <c r="D66" s="21"/>
      <c r="E66" s="21"/>
      <c r="F66" s="21"/>
      <c r="G66" s="22">
        <v>0</v>
      </c>
      <c r="H66" s="21">
        <v>60</v>
      </c>
      <c r="I66" s="21" t="s">
        <v>37</v>
      </c>
      <c r="J66" s="21"/>
      <c r="K66" s="21"/>
      <c r="L66" s="21">
        <f t="shared" si="13"/>
        <v>0</v>
      </c>
      <c r="M66" s="21">
        <f t="shared" si="14"/>
        <v>0</v>
      </c>
      <c r="N66" s="21"/>
      <c r="O66" s="21">
        <v>0</v>
      </c>
      <c r="P66" s="21">
        <f t="shared" si="15"/>
        <v>0</v>
      </c>
      <c r="Q66" s="23"/>
      <c r="R66" s="23"/>
      <c r="S66" s="4">
        <f t="shared" si="6"/>
        <v>0</v>
      </c>
      <c r="T66" s="23"/>
      <c r="U66" s="21"/>
      <c r="V66" s="21"/>
      <c r="W66" s="10" t="e">
        <f t="shared" si="7"/>
        <v>#DIV/0!</v>
      </c>
      <c r="X66" s="21" t="e">
        <f t="shared" si="16"/>
        <v>#DIV/0!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 t="s">
        <v>45</v>
      </c>
      <c r="AH66" s="10">
        <f t="shared" si="8"/>
        <v>0</v>
      </c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</row>
    <row r="67" spans="1:52" x14ac:dyDescent="0.25">
      <c r="A67" s="10" t="s">
        <v>107</v>
      </c>
      <c r="B67" s="10" t="s">
        <v>42</v>
      </c>
      <c r="C67" s="10">
        <v>134</v>
      </c>
      <c r="D67" s="10">
        <v>280</v>
      </c>
      <c r="E67" s="10">
        <v>264</v>
      </c>
      <c r="F67" s="10">
        <v>139</v>
      </c>
      <c r="G67" s="7">
        <v>0.37</v>
      </c>
      <c r="H67" s="10">
        <v>50</v>
      </c>
      <c r="I67" s="17" t="s">
        <v>72</v>
      </c>
      <c r="J67" s="10"/>
      <c r="K67" s="10">
        <v>266</v>
      </c>
      <c r="L67" s="10">
        <f t="shared" si="13"/>
        <v>-2</v>
      </c>
      <c r="M67" s="10">
        <f t="shared" si="14"/>
        <v>264</v>
      </c>
      <c r="N67" s="10"/>
      <c r="O67" s="10">
        <v>200</v>
      </c>
      <c r="P67" s="10">
        <f t="shared" si="15"/>
        <v>52.8</v>
      </c>
      <c r="Q67" s="4">
        <v>150</v>
      </c>
      <c r="R67" s="4"/>
      <c r="S67" s="4">
        <f t="shared" si="6"/>
        <v>150</v>
      </c>
      <c r="T67" s="4"/>
      <c r="U67" s="10"/>
      <c r="V67" s="10"/>
      <c r="W67" s="10">
        <f t="shared" si="7"/>
        <v>9.2613636363636367</v>
      </c>
      <c r="X67" s="10">
        <f t="shared" si="16"/>
        <v>6.4204545454545459</v>
      </c>
      <c r="Y67" s="10">
        <v>53.6</v>
      </c>
      <c r="Z67" s="10">
        <v>22.6</v>
      </c>
      <c r="AA67" s="10">
        <v>22.2</v>
      </c>
      <c r="AB67" s="10">
        <v>23</v>
      </c>
      <c r="AC67" s="10">
        <v>23.8</v>
      </c>
      <c r="AD67" s="10">
        <v>12.4</v>
      </c>
      <c r="AE67" s="10">
        <v>15.4</v>
      </c>
      <c r="AF67" s="10">
        <v>18</v>
      </c>
      <c r="AG67" s="10" t="s">
        <v>39</v>
      </c>
      <c r="AH67" s="10">
        <f t="shared" si="8"/>
        <v>56</v>
      </c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1:52" x14ac:dyDescent="0.25">
      <c r="A68" s="21" t="s">
        <v>108</v>
      </c>
      <c r="B68" s="21" t="s">
        <v>42</v>
      </c>
      <c r="C68" s="21"/>
      <c r="D68" s="21"/>
      <c r="E68" s="21"/>
      <c r="F68" s="21"/>
      <c r="G68" s="22">
        <v>0</v>
      </c>
      <c r="H68" s="21">
        <v>30</v>
      </c>
      <c r="I68" s="21" t="s">
        <v>37</v>
      </c>
      <c r="J68" s="21"/>
      <c r="K68" s="21"/>
      <c r="L68" s="21">
        <f t="shared" si="13"/>
        <v>0</v>
      </c>
      <c r="M68" s="21">
        <f t="shared" si="14"/>
        <v>0</v>
      </c>
      <c r="N68" s="21"/>
      <c r="O68" s="21">
        <v>0</v>
      </c>
      <c r="P68" s="21">
        <f t="shared" si="15"/>
        <v>0</v>
      </c>
      <c r="Q68" s="23"/>
      <c r="R68" s="23"/>
      <c r="S68" s="4">
        <f t="shared" si="6"/>
        <v>0</v>
      </c>
      <c r="T68" s="23"/>
      <c r="U68" s="21"/>
      <c r="V68" s="21"/>
      <c r="W68" s="10" t="e">
        <f t="shared" si="7"/>
        <v>#DIV/0!</v>
      </c>
      <c r="X68" s="21" t="e">
        <f t="shared" si="16"/>
        <v>#DIV/0!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 t="s">
        <v>45</v>
      </c>
      <c r="AH68" s="10">
        <f t="shared" si="8"/>
        <v>0</v>
      </c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1:52" x14ac:dyDescent="0.25">
      <c r="A69" s="21" t="s">
        <v>109</v>
      </c>
      <c r="B69" s="21" t="s">
        <v>42</v>
      </c>
      <c r="C69" s="21"/>
      <c r="D69" s="21"/>
      <c r="E69" s="21"/>
      <c r="F69" s="21"/>
      <c r="G69" s="22">
        <v>0</v>
      </c>
      <c r="H69" s="21">
        <v>55</v>
      </c>
      <c r="I69" s="21" t="s">
        <v>37</v>
      </c>
      <c r="J69" s="21"/>
      <c r="K69" s="21"/>
      <c r="L69" s="21">
        <f t="shared" si="13"/>
        <v>0</v>
      </c>
      <c r="M69" s="21">
        <f t="shared" si="14"/>
        <v>0</v>
      </c>
      <c r="N69" s="21"/>
      <c r="O69" s="21">
        <v>0</v>
      </c>
      <c r="P69" s="21">
        <f t="shared" si="15"/>
        <v>0</v>
      </c>
      <c r="Q69" s="23"/>
      <c r="R69" s="23"/>
      <c r="S69" s="4">
        <f t="shared" si="6"/>
        <v>0</v>
      </c>
      <c r="T69" s="23"/>
      <c r="U69" s="21"/>
      <c r="V69" s="21"/>
      <c r="W69" s="10" t="e">
        <f t="shared" si="7"/>
        <v>#DIV/0!</v>
      </c>
      <c r="X69" s="21" t="e">
        <f t="shared" si="16"/>
        <v>#DIV/0!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 t="s">
        <v>45</v>
      </c>
      <c r="AH69" s="10">
        <f t="shared" si="8"/>
        <v>0</v>
      </c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1:52" x14ac:dyDescent="0.25">
      <c r="A70" s="21" t="s">
        <v>110</v>
      </c>
      <c r="B70" s="21" t="s">
        <v>42</v>
      </c>
      <c r="C70" s="21"/>
      <c r="D70" s="21"/>
      <c r="E70" s="21"/>
      <c r="F70" s="21"/>
      <c r="G70" s="22">
        <v>0</v>
      </c>
      <c r="H70" s="21">
        <v>40</v>
      </c>
      <c r="I70" s="21" t="s">
        <v>37</v>
      </c>
      <c r="J70" s="21"/>
      <c r="K70" s="21"/>
      <c r="L70" s="21">
        <f t="shared" ref="L70:L93" si="19">E70-K70</f>
        <v>0</v>
      </c>
      <c r="M70" s="21">
        <f t="shared" ref="M70:M93" si="20">E70-N70</f>
        <v>0</v>
      </c>
      <c r="N70" s="21"/>
      <c r="O70" s="21">
        <v>0</v>
      </c>
      <c r="P70" s="21">
        <f t="shared" ref="P70:P94" si="21">M70/5</f>
        <v>0</v>
      </c>
      <c r="Q70" s="23"/>
      <c r="R70" s="23"/>
      <c r="S70" s="4">
        <f t="shared" si="6"/>
        <v>0</v>
      </c>
      <c r="T70" s="23"/>
      <c r="U70" s="21"/>
      <c r="V70" s="21"/>
      <c r="W70" s="10" t="e">
        <f t="shared" si="7"/>
        <v>#DIV/0!</v>
      </c>
      <c r="X70" s="21" t="e">
        <f t="shared" ref="X70:X94" si="22">(F70+O70)/P70</f>
        <v>#DIV/0!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 t="s">
        <v>111</v>
      </c>
      <c r="AH70" s="10">
        <f t="shared" si="8"/>
        <v>0</v>
      </c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1:52" x14ac:dyDescent="0.25">
      <c r="A71" s="10" t="s">
        <v>112</v>
      </c>
      <c r="B71" s="10" t="s">
        <v>42</v>
      </c>
      <c r="C71" s="10">
        <v>157</v>
      </c>
      <c r="D71" s="10">
        <v>6</v>
      </c>
      <c r="E71" s="10">
        <v>37</v>
      </c>
      <c r="F71" s="10">
        <v>123</v>
      </c>
      <c r="G71" s="7">
        <v>0.4</v>
      </c>
      <c r="H71" s="10">
        <v>50</v>
      </c>
      <c r="I71" s="10" t="s">
        <v>37</v>
      </c>
      <c r="J71" s="10"/>
      <c r="K71" s="10">
        <v>37</v>
      </c>
      <c r="L71" s="10">
        <f t="shared" si="19"/>
        <v>0</v>
      </c>
      <c r="M71" s="10">
        <f t="shared" si="20"/>
        <v>37</v>
      </c>
      <c r="N71" s="10"/>
      <c r="O71" s="10">
        <v>0</v>
      </c>
      <c r="P71" s="10">
        <f t="shared" si="21"/>
        <v>7.4</v>
      </c>
      <c r="Q71" s="4"/>
      <c r="R71" s="4"/>
      <c r="S71" s="4">
        <f t="shared" ref="S71:S94" si="23">R71+Q71</f>
        <v>0</v>
      </c>
      <c r="T71" s="4"/>
      <c r="U71" s="10"/>
      <c r="V71" s="10"/>
      <c r="W71" s="10">
        <f t="shared" ref="W71:W94" si="24">(F71+O71+S71)/P71</f>
        <v>16.621621621621621</v>
      </c>
      <c r="X71" s="10">
        <f t="shared" si="22"/>
        <v>16.621621621621621</v>
      </c>
      <c r="Y71" s="10">
        <v>7.2</v>
      </c>
      <c r="Z71" s="10">
        <v>12.2</v>
      </c>
      <c r="AA71" s="10">
        <v>13</v>
      </c>
      <c r="AB71" s="10">
        <v>18.399999999999999</v>
      </c>
      <c r="AC71" s="10">
        <v>20</v>
      </c>
      <c r="AD71" s="10">
        <v>15.8</v>
      </c>
      <c r="AE71" s="10">
        <v>17.600000000000001</v>
      </c>
      <c r="AF71" s="10">
        <v>7.6</v>
      </c>
      <c r="AG71" s="28" t="s">
        <v>75</v>
      </c>
      <c r="AH71" s="10">
        <f t="shared" ref="AH71:AH94" si="25">ROUND(G71*S71,0)</f>
        <v>0</v>
      </c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1:52" x14ac:dyDescent="0.25">
      <c r="A72" s="10" t="s">
        <v>113</v>
      </c>
      <c r="B72" s="10" t="s">
        <v>42</v>
      </c>
      <c r="C72" s="10">
        <v>80</v>
      </c>
      <c r="D72" s="10">
        <v>80</v>
      </c>
      <c r="E72" s="10">
        <v>16</v>
      </c>
      <c r="F72" s="10">
        <v>144</v>
      </c>
      <c r="G72" s="7">
        <v>0.4</v>
      </c>
      <c r="H72" s="10">
        <v>55</v>
      </c>
      <c r="I72" s="10" t="s">
        <v>37</v>
      </c>
      <c r="J72" s="10"/>
      <c r="K72" s="10">
        <v>16</v>
      </c>
      <c r="L72" s="10">
        <f t="shared" si="19"/>
        <v>0</v>
      </c>
      <c r="M72" s="10">
        <f t="shared" si="20"/>
        <v>16</v>
      </c>
      <c r="N72" s="10"/>
      <c r="O72" s="10">
        <v>0</v>
      </c>
      <c r="P72" s="10">
        <f t="shared" si="21"/>
        <v>3.2</v>
      </c>
      <c r="Q72" s="4"/>
      <c r="R72" s="4"/>
      <c r="S72" s="4">
        <f t="shared" si="23"/>
        <v>0</v>
      </c>
      <c r="T72" s="4"/>
      <c r="U72" s="10"/>
      <c r="V72" s="10"/>
      <c r="W72" s="10">
        <f t="shared" si="24"/>
        <v>45</v>
      </c>
      <c r="X72" s="10">
        <f t="shared" si="22"/>
        <v>45</v>
      </c>
      <c r="Y72" s="10">
        <v>1.8</v>
      </c>
      <c r="Z72" s="10">
        <v>2</v>
      </c>
      <c r="AA72" s="10">
        <v>3.2</v>
      </c>
      <c r="AB72" s="10">
        <v>13.2</v>
      </c>
      <c r="AC72" s="10">
        <v>12.2</v>
      </c>
      <c r="AD72" s="10">
        <v>4.2</v>
      </c>
      <c r="AE72" s="10">
        <v>7.2</v>
      </c>
      <c r="AF72" s="10">
        <v>7.4</v>
      </c>
      <c r="AG72" s="28" t="s">
        <v>75</v>
      </c>
      <c r="AH72" s="10">
        <f t="shared" si="25"/>
        <v>0</v>
      </c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1:52" x14ac:dyDescent="0.25">
      <c r="A73" s="10" t="s">
        <v>114</v>
      </c>
      <c r="B73" s="10" t="s">
        <v>36</v>
      </c>
      <c r="C73" s="10">
        <v>38.045000000000002</v>
      </c>
      <c r="D73" s="10"/>
      <c r="E73" s="10">
        <v>12.945</v>
      </c>
      <c r="F73" s="10">
        <v>25.1</v>
      </c>
      <c r="G73" s="7">
        <v>1</v>
      </c>
      <c r="H73" s="10">
        <v>55</v>
      </c>
      <c r="I73" s="10" t="s">
        <v>37</v>
      </c>
      <c r="J73" s="10"/>
      <c r="K73" s="10">
        <v>12.1</v>
      </c>
      <c r="L73" s="10">
        <f t="shared" si="19"/>
        <v>0.84500000000000064</v>
      </c>
      <c r="M73" s="10">
        <f t="shared" si="20"/>
        <v>12.945</v>
      </c>
      <c r="N73" s="10"/>
      <c r="O73" s="10">
        <v>0</v>
      </c>
      <c r="P73" s="10">
        <f t="shared" si="21"/>
        <v>2.589</v>
      </c>
      <c r="Q73" s="4">
        <v>4</v>
      </c>
      <c r="R73" s="4"/>
      <c r="S73" s="4">
        <f t="shared" si="23"/>
        <v>4</v>
      </c>
      <c r="T73" s="4"/>
      <c r="U73" s="10"/>
      <c r="V73" s="10"/>
      <c r="W73" s="10">
        <f t="shared" si="24"/>
        <v>11.239860950173814</v>
      </c>
      <c r="X73" s="10">
        <f t="shared" si="22"/>
        <v>9.6948628814213986</v>
      </c>
      <c r="Y73" s="10">
        <v>2.5908000000000002</v>
      </c>
      <c r="Z73" s="10">
        <v>1.7248000000000001</v>
      </c>
      <c r="AA73" s="10">
        <v>1.1496</v>
      </c>
      <c r="AB73" s="10">
        <v>0.86499999999999999</v>
      </c>
      <c r="AC73" s="10">
        <v>2.0182000000000002</v>
      </c>
      <c r="AD73" s="10">
        <v>3.1703999999999999</v>
      </c>
      <c r="AE73" s="10">
        <v>2.59</v>
      </c>
      <c r="AF73" s="10">
        <v>2.3031999999999999</v>
      </c>
      <c r="AG73" s="10"/>
      <c r="AH73" s="10">
        <f t="shared" si="25"/>
        <v>4</v>
      </c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1:52" x14ac:dyDescent="0.25">
      <c r="A74" s="10" t="s">
        <v>115</v>
      </c>
      <c r="B74" s="10" t="s">
        <v>36</v>
      </c>
      <c r="C74" s="10">
        <v>131.75200000000001</v>
      </c>
      <c r="D74" s="10">
        <v>122.75</v>
      </c>
      <c r="E74" s="10">
        <v>104.146</v>
      </c>
      <c r="F74" s="10">
        <v>146.96199999999999</v>
      </c>
      <c r="G74" s="7">
        <v>1</v>
      </c>
      <c r="H74" s="10">
        <v>60</v>
      </c>
      <c r="I74" s="10" t="s">
        <v>37</v>
      </c>
      <c r="J74" s="10"/>
      <c r="K74" s="10">
        <v>104.02</v>
      </c>
      <c r="L74" s="10">
        <f t="shared" si="19"/>
        <v>0.12600000000000477</v>
      </c>
      <c r="M74" s="10">
        <f t="shared" si="20"/>
        <v>104.146</v>
      </c>
      <c r="N74" s="10"/>
      <c r="O74" s="10">
        <v>30.228000000000041</v>
      </c>
      <c r="P74" s="10">
        <f t="shared" si="21"/>
        <v>20.8292</v>
      </c>
      <c r="Q74" s="4">
        <f t="shared" ref="Q74:Q77" si="26">12*P74-O74-F74</f>
        <v>72.760399999999976</v>
      </c>
      <c r="R74" s="4"/>
      <c r="S74" s="4">
        <f t="shared" si="23"/>
        <v>72.760399999999976</v>
      </c>
      <c r="T74" s="4"/>
      <c r="U74" s="10"/>
      <c r="V74" s="10"/>
      <c r="W74" s="10">
        <f t="shared" si="24"/>
        <v>12</v>
      </c>
      <c r="X74" s="10">
        <f t="shared" si="22"/>
        <v>8.5068077506577318</v>
      </c>
      <c r="Y74" s="10">
        <v>19.3828</v>
      </c>
      <c r="Z74" s="10">
        <v>20.1402</v>
      </c>
      <c r="AA74" s="10">
        <v>20.0914</v>
      </c>
      <c r="AB74" s="10">
        <v>24.339400000000001</v>
      </c>
      <c r="AC74" s="10">
        <v>23.350200000000001</v>
      </c>
      <c r="AD74" s="10">
        <v>18.059200000000001</v>
      </c>
      <c r="AE74" s="10">
        <v>17.348400000000002</v>
      </c>
      <c r="AF74" s="10">
        <v>16.360800000000001</v>
      </c>
      <c r="AG74" s="10" t="s">
        <v>51</v>
      </c>
      <c r="AH74" s="10">
        <f t="shared" si="25"/>
        <v>73</v>
      </c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1:52" x14ac:dyDescent="0.25">
      <c r="A75" s="10" t="s">
        <v>116</v>
      </c>
      <c r="B75" s="10" t="s">
        <v>36</v>
      </c>
      <c r="C75" s="10">
        <v>395.74599999999998</v>
      </c>
      <c r="D75" s="10">
        <v>800.99900000000002</v>
      </c>
      <c r="E75" s="10">
        <v>389.43900000000002</v>
      </c>
      <c r="F75" s="10">
        <v>734.15700000000004</v>
      </c>
      <c r="G75" s="7">
        <v>1</v>
      </c>
      <c r="H75" s="10">
        <v>60</v>
      </c>
      <c r="I75" s="10" t="s">
        <v>37</v>
      </c>
      <c r="J75" s="10"/>
      <c r="K75" s="10">
        <v>400</v>
      </c>
      <c r="L75" s="10">
        <f t="shared" si="19"/>
        <v>-10.560999999999979</v>
      </c>
      <c r="M75" s="10">
        <f t="shared" si="20"/>
        <v>389.43900000000002</v>
      </c>
      <c r="N75" s="10"/>
      <c r="O75" s="10">
        <v>0</v>
      </c>
      <c r="P75" s="10">
        <f t="shared" si="21"/>
        <v>77.887799999999999</v>
      </c>
      <c r="Q75" s="4">
        <f t="shared" si="26"/>
        <v>200.49659999999994</v>
      </c>
      <c r="R75" s="4"/>
      <c r="S75" s="4">
        <f t="shared" si="23"/>
        <v>200.49659999999994</v>
      </c>
      <c r="T75" s="4"/>
      <c r="U75" s="10"/>
      <c r="V75" s="10"/>
      <c r="W75" s="10">
        <f t="shared" si="24"/>
        <v>12</v>
      </c>
      <c r="X75" s="10">
        <f t="shared" si="22"/>
        <v>9.4258279217027585</v>
      </c>
      <c r="Y75" s="10">
        <v>74.399799999999999</v>
      </c>
      <c r="Z75" s="10">
        <v>77.364800000000002</v>
      </c>
      <c r="AA75" s="10">
        <v>77.063199999999995</v>
      </c>
      <c r="AB75" s="10">
        <v>59.982999999999997</v>
      </c>
      <c r="AC75" s="10">
        <v>66.432400000000001</v>
      </c>
      <c r="AD75" s="10">
        <v>88.71459999999999</v>
      </c>
      <c r="AE75" s="10">
        <v>92.206600000000009</v>
      </c>
      <c r="AF75" s="10">
        <v>82.032799999999995</v>
      </c>
      <c r="AG75" s="10"/>
      <c r="AH75" s="10">
        <f t="shared" si="25"/>
        <v>200</v>
      </c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1:52" x14ac:dyDescent="0.25">
      <c r="A76" s="10" t="s">
        <v>117</v>
      </c>
      <c r="B76" s="10" t="s">
        <v>36</v>
      </c>
      <c r="C76" s="10">
        <v>476.613</v>
      </c>
      <c r="D76" s="10">
        <v>811.89400000000001</v>
      </c>
      <c r="E76" s="10">
        <v>333.05599999999998</v>
      </c>
      <c r="F76" s="10">
        <v>884.53700000000003</v>
      </c>
      <c r="G76" s="7">
        <v>1</v>
      </c>
      <c r="H76" s="10">
        <v>60</v>
      </c>
      <c r="I76" s="10" t="s">
        <v>37</v>
      </c>
      <c r="J76" s="10"/>
      <c r="K76" s="10">
        <v>340</v>
      </c>
      <c r="L76" s="10">
        <f t="shared" si="19"/>
        <v>-6.9440000000000168</v>
      </c>
      <c r="M76" s="10">
        <f t="shared" si="20"/>
        <v>333.05599999999998</v>
      </c>
      <c r="N76" s="10"/>
      <c r="O76" s="10">
        <v>0</v>
      </c>
      <c r="P76" s="10">
        <f t="shared" si="21"/>
        <v>66.611199999999997</v>
      </c>
      <c r="Q76" s="4"/>
      <c r="R76" s="4"/>
      <c r="S76" s="4">
        <f t="shared" si="23"/>
        <v>0</v>
      </c>
      <c r="T76" s="4"/>
      <c r="U76" s="10"/>
      <c r="V76" s="10"/>
      <c r="W76" s="10">
        <f t="shared" si="24"/>
        <v>13.279103213873944</v>
      </c>
      <c r="X76" s="10">
        <f t="shared" si="22"/>
        <v>13.279103213873944</v>
      </c>
      <c r="Y76" s="10">
        <v>70.506600000000006</v>
      </c>
      <c r="Z76" s="10">
        <v>85.866799999999998</v>
      </c>
      <c r="AA76" s="10">
        <v>82.857200000000006</v>
      </c>
      <c r="AB76" s="10">
        <v>64.6614</v>
      </c>
      <c r="AC76" s="10">
        <v>75.81280000000001</v>
      </c>
      <c r="AD76" s="10">
        <v>100.6258</v>
      </c>
      <c r="AE76" s="10">
        <v>95.500399999999999</v>
      </c>
      <c r="AF76" s="10">
        <v>87.543599999999998</v>
      </c>
      <c r="AG76" s="10" t="s">
        <v>51</v>
      </c>
      <c r="AH76" s="10">
        <f t="shared" si="25"/>
        <v>0</v>
      </c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1:52" x14ac:dyDescent="0.25">
      <c r="A77" s="10" t="s">
        <v>118</v>
      </c>
      <c r="B77" s="10" t="s">
        <v>36</v>
      </c>
      <c r="C77" s="10">
        <v>928.10599999999999</v>
      </c>
      <c r="D77" s="10">
        <v>1110.6030000000001</v>
      </c>
      <c r="E77" s="10">
        <v>840.02200000000005</v>
      </c>
      <c r="F77" s="10">
        <v>1101.817</v>
      </c>
      <c r="G77" s="7">
        <v>1</v>
      </c>
      <c r="H77" s="10">
        <v>60</v>
      </c>
      <c r="I77" s="10" t="s">
        <v>37</v>
      </c>
      <c r="J77" s="10"/>
      <c r="K77" s="10">
        <v>835.04399999999998</v>
      </c>
      <c r="L77" s="10">
        <f t="shared" si="19"/>
        <v>4.9780000000000655</v>
      </c>
      <c r="M77" s="10">
        <f t="shared" si="20"/>
        <v>840.02200000000005</v>
      </c>
      <c r="N77" s="10"/>
      <c r="O77" s="10">
        <v>755.62650000000042</v>
      </c>
      <c r="P77" s="10">
        <f t="shared" si="21"/>
        <v>168.0044</v>
      </c>
      <c r="Q77" s="4">
        <f t="shared" si="26"/>
        <v>158.60929999999962</v>
      </c>
      <c r="R77" s="4"/>
      <c r="S77" s="4">
        <f t="shared" si="23"/>
        <v>158.60929999999962</v>
      </c>
      <c r="T77" s="4"/>
      <c r="U77" s="10"/>
      <c r="V77" s="10"/>
      <c r="W77" s="10">
        <f t="shared" si="24"/>
        <v>12</v>
      </c>
      <c r="X77" s="10">
        <f t="shared" si="22"/>
        <v>11.055921749668462</v>
      </c>
      <c r="Y77" s="10">
        <v>166.23480000000001</v>
      </c>
      <c r="Z77" s="10">
        <v>135.21459999999999</v>
      </c>
      <c r="AA77" s="10">
        <v>127.8674</v>
      </c>
      <c r="AB77" s="10">
        <v>134.45060000000001</v>
      </c>
      <c r="AC77" s="10">
        <v>145.1</v>
      </c>
      <c r="AD77" s="10">
        <v>189.547</v>
      </c>
      <c r="AE77" s="10">
        <v>193.5958</v>
      </c>
      <c r="AF77" s="10">
        <v>151.4682</v>
      </c>
      <c r="AG77" s="10" t="s">
        <v>51</v>
      </c>
      <c r="AH77" s="10">
        <f t="shared" si="25"/>
        <v>159</v>
      </c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1:52" x14ac:dyDescent="0.25">
      <c r="A78" s="21" t="s">
        <v>119</v>
      </c>
      <c r="B78" s="21" t="s">
        <v>36</v>
      </c>
      <c r="C78" s="21"/>
      <c r="D78" s="21"/>
      <c r="E78" s="21"/>
      <c r="F78" s="21"/>
      <c r="G78" s="22">
        <v>0</v>
      </c>
      <c r="H78" s="21">
        <v>60</v>
      </c>
      <c r="I78" s="21" t="s">
        <v>37</v>
      </c>
      <c r="J78" s="21"/>
      <c r="K78" s="21"/>
      <c r="L78" s="21">
        <f t="shared" si="19"/>
        <v>0</v>
      </c>
      <c r="M78" s="21">
        <f t="shared" si="20"/>
        <v>0</v>
      </c>
      <c r="N78" s="21"/>
      <c r="O78" s="21">
        <v>0</v>
      </c>
      <c r="P78" s="21">
        <f t="shared" si="21"/>
        <v>0</v>
      </c>
      <c r="Q78" s="23"/>
      <c r="R78" s="23"/>
      <c r="S78" s="4">
        <f t="shared" si="23"/>
        <v>0</v>
      </c>
      <c r="T78" s="23"/>
      <c r="U78" s="21"/>
      <c r="V78" s="21"/>
      <c r="W78" s="10" t="e">
        <f t="shared" si="24"/>
        <v>#DIV/0!</v>
      </c>
      <c r="X78" s="21" t="e">
        <f t="shared" si="22"/>
        <v>#DIV/0!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 t="s">
        <v>45</v>
      </c>
      <c r="AH78" s="10">
        <f t="shared" si="25"/>
        <v>0</v>
      </c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1:52" x14ac:dyDescent="0.25">
      <c r="A79" s="10" t="s">
        <v>120</v>
      </c>
      <c r="B79" s="10" t="s">
        <v>42</v>
      </c>
      <c r="C79" s="10">
        <v>71</v>
      </c>
      <c r="D79" s="10">
        <v>73</v>
      </c>
      <c r="E79" s="10">
        <v>71</v>
      </c>
      <c r="F79" s="10">
        <v>64</v>
      </c>
      <c r="G79" s="7">
        <v>0.3</v>
      </c>
      <c r="H79" s="10">
        <v>40</v>
      </c>
      <c r="I79" s="10" t="s">
        <v>37</v>
      </c>
      <c r="J79" s="10"/>
      <c r="K79" s="10">
        <v>74</v>
      </c>
      <c r="L79" s="10">
        <f t="shared" si="19"/>
        <v>-3</v>
      </c>
      <c r="M79" s="10">
        <f t="shared" si="20"/>
        <v>71</v>
      </c>
      <c r="N79" s="10"/>
      <c r="O79" s="10">
        <v>75.399999999999977</v>
      </c>
      <c r="P79" s="10">
        <f t="shared" si="21"/>
        <v>14.2</v>
      </c>
      <c r="Q79" s="4">
        <f t="shared" ref="Q79:Q92" si="27">12*P79-O79-F79</f>
        <v>31</v>
      </c>
      <c r="R79" s="4"/>
      <c r="S79" s="4">
        <f t="shared" si="23"/>
        <v>31</v>
      </c>
      <c r="T79" s="4"/>
      <c r="U79" s="10"/>
      <c r="V79" s="10"/>
      <c r="W79" s="10">
        <f t="shared" si="24"/>
        <v>11.999999999999998</v>
      </c>
      <c r="X79" s="10">
        <f t="shared" si="22"/>
        <v>9.8169014084507022</v>
      </c>
      <c r="Y79" s="10">
        <v>15</v>
      </c>
      <c r="Z79" s="10">
        <v>10.8</v>
      </c>
      <c r="AA79" s="10">
        <v>9.6</v>
      </c>
      <c r="AB79" s="10">
        <v>8.1999999999999993</v>
      </c>
      <c r="AC79" s="10">
        <v>10.8</v>
      </c>
      <c r="AD79" s="10">
        <v>14</v>
      </c>
      <c r="AE79" s="10">
        <v>14.4</v>
      </c>
      <c r="AF79" s="10">
        <v>12.8</v>
      </c>
      <c r="AG79" s="10"/>
      <c r="AH79" s="10">
        <f t="shared" si="25"/>
        <v>9</v>
      </c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1:52" x14ac:dyDescent="0.25">
      <c r="A80" s="10" t="s">
        <v>121</v>
      </c>
      <c r="B80" s="10" t="s">
        <v>42</v>
      </c>
      <c r="C80" s="10">
        <v>17</v>
      </c>
      <c r="D80" s="10">
        <v>72</v>
      </c>
      <c r="E80" s="10">
        <v>29</v>
      </c>
      <c r="F80" s="10">
        <v>60</v>
      </c>
      <c r="G80" s="7">
        <v>7.0000000000000007E-2</v>
      </c>
      <c r="H80" s="10">
        <v>90</v>
      </c>
      <c r="I80" s="10" t="s">
        <v>37</v>
      </c>
      <c r="J80" s="10"/>
      <c r="K80" s="10">
        <v>29</v>
      </c>
      <c r="L80" s="10">
        <f t="shared" si="19"/>
        <v>0</v>
      </c>
      <c r="M80" s="10">
        <f t="shared" si="20"/>
        <v>29</v>
      </c>
      <c r="N80" s="10"/>
      <c r="O80" s="10">
        <v>0</v>
      </c>
      <c r="P80" s="10">
        <f t="shared" si="21"/>
        <v>5.8</v>
      </c>
      <c r="Q80" s="4">
        <f t="shared" si="27"/>
        <v>9.5999999999999943</v>
      </c>
      <c r="R80" s="4"/>
      <c r="S80" s="4">
        <f t="shared" si="23"/>
        <v>9.5999999999999943</v>
      </c>
      <c r="T80" s="4"/>
      <c r="U80" s="10"/>
      <c r="V80" s="10"/>
      <c r="W80" s="10">
        <f t="shared" si="24"/>
        <v>12</v>
      </c>
      <c r="X80" s="10">
        <f t="shared" si="22"/>
        <v>10.344827586206897</v>
      </c>
      <c r="Y80" s="10">
        <v>4.2</v>
      </c>
      <c r="Z80" s="10">
        <v>6.2</v>
      </c>
      <c r="AA80" s="10">
        <v>6.2</v>
      </c>
      <c r="AB80" s="10">
        <v>4.2</v>
      </c>
      <c r="AC80" s="10">
        <v>4.4000000000000004</v>
      </c>
      <c r="AD80" s="10">
        <v>5.8</v>
      </c>
      <c r="AE80" s="10">
        <v>3.2</v>
      </c>
      <c r="AF80" s="10">
        <v>5.4</v>
      </c>
      <c r="AG80" s="10"/>
      <c r="AH80" s="10">
        <f t="shared" si="25"/>
        <v>1</v>
      </c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1:52" x14ac:dyDescent="0.25">
      <c r="A81" s="10" t="s">
        <v>122</v>
      </c>
      <c r="B81" s="10" t="s">
        <v>42</v>
      </c>
      <c r="C81" s="10">
        <v>55</v>
      </c>
      <c r="D81" s="10">
        <v>18</v>
      </c>
      <c r="E81" s="10">
        <v>27</v>
      </c>
      <c r="F81" s="10">
        <v>44</v>
      </c>
      <c r="G81" s="7">
        <v>7.0000000000000007E-2</v>
      </c>
      <c r="H81" s="10">
        <v>90</v>
      </c>
      <c r="I81" s="10" t="s">
        <v>37</v>
      </c>
      <c r="J81" s="10"/>
      <c r="K81" s="10">
        <v>27</v>
      </c>
      <c r="L81" s="10">
        <f t="shared" si="19"/>
        <v>0</v>
      </c>
      <c r="M81" s="10">
        <f t="shared" si="20"/>
        <v>27</v>
      </c>
      <c r="N81" s="10"/>
      <c r="O81" s="10">
        <v>0</v>
      </c>
      <c r="P81" s="10">
        <f t="shared" si="21"/>
        <v>5.4</v>
      </c>
      <c r="Q81" s="4">
        <f t="shared" si="27"/>
        <v>20.800000000000011</v>
      </c>
      <c r="R81" s="4"/>
      <c r="S81" s="4">
        <f t="shared" si="23"/>
        <v>20.800000000000011</v>
      </c>
      <c r="T81" s="4"/>
      <c r="U81" s="10"/>
      <c r="V81" s="10"/>
      <c r="W81" s="10">
        <f t="shared" si="24"/>
        <v>12.000000000000002</v>
      </c>
      <c r="X81" s="10">
        <f t="shared" si="22"/>
        <v>8.148148148148147</v>
      </c>
      <c r="Y81" s="10">
        <v>3.8</v>
      </c>
      <c r="Z81" s="10">
        <v>5.6</v>
      </c>
      <c r="AA81" s="10">
        <v>5.6</v>
      </c>
      <c r="AB81" s="10">
        <v>6.2</v>
      </c>
      <c r="AC81" s="10">
        <v>7.6</v>
      </c>
      <c r="AD81" s="10">
        <v>8.1999999999999993</v>
      </c>
      <c r="AE81" s="10">
        <v>5.6</v>
      </c>
      <c r="AF81" s="10">
        <v>6.4</v>
      </c>
      <c r="AG81" s="10"/>
      <c r="AH81" s="10">
        <f t="shared" si="25"/>
        <v>1</v>
      </c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1:52" x14ac:dyDescent="0.25">
      <c r="A82" s="10" t="s">
        <v>123</v>
      </c>
      <c r="B82" s="10" t="s">
        <v>42</v>
      </c>
      <c r="C82" s="10">
        <v>74</v>
      </c>
      <c r="D82" s="10"/>
      <c r="E82" s="10">
        <v>26</v>
      </c>
      <c r="F82" s="10">
        <v>48</v>
      </c>
      <c r="G82" s="7">
        <v>7.0000000000000007E-2</v>
      </c>
      <c r="H82" s="10">
        <v>90</v>
      </c>
      <c r="I82" s="10" t="s">
        <v>37</v>
      </c>
      <c r="J82" s="10"/>
      <c r="K82" s="10">
        <v>26</v>
      </c>
      <c r="L82" s="10">
        <f t="shared" si="19"/>
        <v>0</v>
      </c>
      <c r="M82" s="10">
        <f t="shared" si="20"/>
        <v>26</v>
      </c>
      <c r="N82" s="10"/>
      <c r="O82" s="10">
        <v>0</v>
      </c>
      <c r="P82" s="10">
        <f t="shared" si="21"/>
        <v>5.2</v>
      </c>
      <c r="Q82" s="4">
        <f t="shared" si="27"/>
        <v>14.400000000000006</v>
      </c>
      <c r="R82" s="4"/>
      <c r="S82" s="4">
        <f t="shared" si="23"/>
        <v>14.400000000000006</v>
      </c>
      <c r="T82" s="4"/>
      <c r="U82" s="10"/>
      <c r="V82" s="10"/>
      <c r="W82" s="10">
        <f t="shared" si="24"/>
        <v>12</v>
      </c>
      <c r="X82" s="10">
        <f t="shared" si="22"/>
        <v>9.2307692307692299</v>
      </c>
      <c r="Y82" s="10">
        <v>5</v>
      </c>
      <c r="Z82" s="10">
        <v>6.4</v>
      </c>
      <c r="AA82" s="10">
        <v>5.6</v>
      </c>
      <c r="AB82" s="10">
        <v>5.4</v>
      </c>
      <c r="AC82" s="10">
        <v>6.4</v>
      </c>
      <c r="AD82" s="10">
        <v>8.4</v>
      </c>
      <c r="AE82" s="10">
        <v>5.4</v>
      </c>
      <c r="AF82" s="10">
        <v>6.8</v>
      </c>
      <c r="AG82" s="10"/>
      <c r="AH82" s="10">
        <f t="shared" si="25"/>
        <v>1</v>
      </c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1:52" x14ac:dyDescent="0.25">
      <c r="A83" s="10" t="s">
        <v>124</v>
      </c>
      <c r="B83" s="10" t="s">
        <v>42</v>
      </c>
      <c r="C83" s="10">
        <v>72</v>
      </c>
      <c r="D83" s="10"/>
      <c r="E83" s="10">
        <v>21</v>
      </c>
      <c r="F83" s="10">
        <v>49</v>
      </c>
      <c r="G83" s="7">
        <v>0.05</v>
      </c>
      <c r="H83" s="10">
        <v>90</v>
      </c>
      <c r="I83" s="10" t="s">
        <v>37</v>
      </c>
      <c r="J83" s="10"/>
      <c r="K83" s="10">
        <v>21</v>
      </c>
      <c r="L83" s="10">
        <f t="shared" si="19"/>
        <v>0</v>
      </c>
      <c r="M83" s="10">
        <f t="shared" si="20"/>
        <v>21</v>
      </c>
      <c r="N83" s="10"/>
      <c r="O83" s="10">
        <v>0</v>
      </c>
      <c r="P83" s="10">
        <f t="shared" si="21"/>
        <v>4.2</v>
      </c>
      <c r="Q83" s="4"/>
      <c r="R83" s="4"/>
      <c r="S83" s="4">
        <f t="shared" si="23"/>
        <v>0</v>
      </c>
      <c r="T83" s="4"/>
      <c r="U83" s="10"/>
      <c r="V83" s="10"/>
      <c r="W83" s="10">
        <f t="shared" si="24"/>
        <v>11.666666666666666</v>
      </c>
      <c r="X83" s="10">
        <f t="shared" si="22"/>
        <v>11.666666666666666</v>
      </c>
      <c r="Y83" s="10">
        <v>4.2</v>
      </c>
      <c r="Z83" s="10">
        <v>5.6</v>
      </c>
      <c r="AA83" s="10">
        <v>6.8</v>
      </c>
      <c r="AB83" s="10">
        <v>7.4</v>
      </c>
      <c r="AC83" s="10">
        <v>8.8000000000000007</v>
      </c>
      <c r="AD83" s="10">
        <v>10</v>
      </c>
      <c r="AE83" s="10">
        <v>7.8</v>
      </c>
      <c r="AF83" s="10">
        <v>9.1999999999999993</v>
      </c>
      <c r="AG83" s="10"/>
      <c r="AH83" s="10">
        <f t="shared" si="25"/>
        <v>0</v>
      </c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1:52" x14ac:dyDescent="0.25">
      <c r="A84" s="10" t="s">
        <v>125</v>
      </c>
      <c r="B84" s="10" t="s">
        <v>42</v>
      </c>
      <c r="C84" s="10">
        <v>100</v>
      </c>
      <c r="D84" s="10"/>
      <c r="E84" s="10">
        <v>30</v>
      </c>
      <c r="F84" s="10">
        <v>68</v>
      </c>
      <c r="G84" s="7">
        <v>0.05</v>
      </c>
      <c r="H84" s="10">
        <v>90</v>
      </c>
      <c r="I84" s="10" t="s">
        <v>37</v>
      </c>
      <c r="J84" s="10"/>
      <c r="K84" s="10">
        <v>30</v>
      </c>
      <c r="L84" s="10">
        <f t="shared" si="19"/>
        <v>0</v>
      </c>
      <c r="M84" s="10">
        <f t="shared" si="20"/>
        <v>30</v>
      </c>
      <c r="N84" s="10"/>
      <c r="O84" s="10">
        <v>0</v>
      </c>
      <c r="P84" s="10">
        <f t="shared" si="21"/>
        <v>6</v>
      </c>
      <c r="Q84" s="4">
        <f t="shared" si="27"/>
        <v>4</v>
      </c>
      <c r="R84" s="4"/>
      <c r="S84" s="4">
        <f t="shared" si="23"/>
        <v>4</v>
      </c>
      <c r="T84" s="4"/>
      <c r="U84" s="10"/>
      <c r="V84" s="10"/>
      <c r="W84" s="10">
        <f t="shared" si="24"/>
        <v>12</v>
      </c>
      <c r="X84" s="10">
        <f t="shared" si="22"/>
        <v>11.333333333333334</v>
      </c>
      <c r="Y84" s="10">
        <v>6.6</v>
      </c>
      <c r="Z84" s="10">
        <v>8</v>
      </c>
      <c r="AA84" s="10">
        <v>7.4</v>
      </c>
      <c r="AB84" s="10">
        <v>8.8000000000000007</v>
      </c>
      <c r="AC84" s="10">
        <v>10.199999999999999</v>
      </c>
      <c r="AD84" s="10">
        <v>10.8</v>
      </c>
      <c r="AE84" s="10">
        <v>8.1999999999999993</v>
      </c>
      <c r="AF84" s="10">
        <v>9.8000000000000007</v>
      </c>
      <c r="AG84" s="10"/>
      <c r="AH84" s="10">
        <f t="shared" si="25"/>
        <v>0</v>
      </c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1:52" x14ac:dyDescent="0.25">
      <c r="A85" s="10" t="s">
        <v>126</v>
      </c>
      <c r="B85" s="10" t="s">
        <v>42</v>
      </c>
      <c r="C85" s="10">
        <v>49</v>
      </c>
      <c r="D85" s="10">
        <v>72</v>
      </c>
      <c r="E85" s="10">
        <v>25</v>
      </c>
      <c r="F85" s="10">
        <v>94</v>
      </c>
      <c r="G85" s="7">
        <v>5.5E-2</v>
      </c>
      <c r="H85" s="10">
        <v>90</v>
      </c>
      <c r="I85" s="10" t="s">
        <v>37</v>
      </c>
      <c r="J85" s="10"/>
      <c r="K85" s="10">
        <v>25</v>
      </c>
      <c r="L85" s="10">
        <f t="shared" si="19"/>
        <v>0</v>
      </c>
      <c r="M85" s="10">
        <f t="shared" si="20"/>
        <v>25</v>
      </c>
      <c r="N85" s="10"/>
      <c r="O85" s="10">
        <v>0</v>
      </c>
      <c r="P85" s="10">
        <f t="shared" si="21"/>
        <v>5</v>
      </c>
      <c r="Q85" s="4"/>
      <c r="R85" s="4"/>
      <c r="S85" s="4">
        <f t="shared" si="23"/>
        <v>0</v>
      </c>
      <c r="T85" s="4"/>
      <c r="U85" s="10"/>
      <c r="V85" s="10"/>
      <c r="W85" s="10">
        <f t="shared" si="24"/>
        <v>18.8</v>
      </c>
      <c r="X85" s="10">
        <f t="shared" si="22"/>
        <v>18.8</v>
      </c>
      <c r="Y85" s="10">
        <v>6.2</v>
      </c>
      <c r="Z85" s="10">
        <v>8</v>
      </c>
      <c r="AA85" s="10">
        <v>8.1999999999999993</v>
      </c>
      <c r="AB85" s="10">
        <v>9.4</v>
      </c>
      <c r="AC85" s="10">
        <v>9</v>
      </c>
      <c r="AD85" s="10">
        <v>9.8000000000000007</v>
      </c>
      <c r="AE85" s="10">
        <v>9.8000000000000007</v>
      </c>
      <c r="AF85" s="10">
        <v>10.199999999999999</v>
      </c>
      <c r="AG85" s="26" t="s">
        <v>99</v>
      </c>
      <c r="AH85" s="10">
        <f t="shared" si="25"/>
        <v>0</v>
      </c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1:52" x14ac:dyDescent="0.25">
      <c r="A86" s="10" t="s">
        <v>127</v>
      </c>
      <c r="B86" s="10" t="s">
        <v>36</v>
      </c>
      <c r="C86" s="10">
        <v>324.74700000000001</v>
      </c>
      <c r="D86" s="10">
        <v>604.41600000000005</v>
      </c>
      <c r="E86" s="10">
        <v>416.82799999999997</v>
      </c>
      <c r="F86" s="10">
        <v>471.64</v>
      </c>
      <c r="G86" s="7">
        <v>1</v>
      </c>
      <c r="H86" s="10">
        <v>40</v>
      </c>
      <c r="I86" s="10" t="s">
        <v>37</v>
      </c>
      <c r="J86" s="10"/>
      <c r="K86" s="10">
        <v>389.05</v>
      </c>
      <c r="L86" s="10">
        <f t="shared" si="19"/>
        <v>27.777999999999963</v>
      </c>
      <c r="M86" s="10">
        <f t="shared" si="20"/>
        <v>416.82799999999997</v>
      </c>
      <c r="N86" s="10"/>
      <c r="O86" s="10">
        <v>222.1712</v>
      </c>
      <c r="P86" s="10">
        <f t="shared" si="21"/>
        <v>83.365600000000001</v>
      </c>
      <c r="Q86" s="4">
        <f t="shared" si="27"/>
        <v>306.57600000000002</v>
      </c>
      <c r="R86" s="4"/>
      <c r="S86" s="4">
        <f t="shared" si="23"/>
        <v>306.57600000000002</v>
      </c>
      <c r="T86" s="4"/>
      <c r="U86" s="10"/>
      <c r="V86" s="10"/>
      <c r="W86" s="10">
        <f t="shared" si="24"/>
        <v>12</v>
      </c>
      <c r="X86" s="10">
        <f t="shared" si="22"/>
        <v>8.3225119233832654</v>
      </c>
      <c r="Y86" s="10">
        <v>77.248999999999995</v>
      </c>
      <c r="Z86" s="10">
        <v>75.239400000000003</v>
      </c>
      <c r="AA86" s="10">
        <v>78.774599999999992</v>
      </c>
      <c r="AB86" s="10">
        <v>76.481799999999993</v>
      </c>
      <c r="AC86" s="10">
        <v>73.070799999999991</v>
      </c>
      <c r="AD86" s="10">
        <v>81.353800000000007</v>
      </c>
      <c r="AE86" s="10">
        <v>88.741399999999999</v>
      </c>
      <c r="AF86" s="10">
        <v>88.093600000000009</v>
      </c>
      <c r="AG86" s="10" t="s">
        <v>51</v>
      </c>
      <c r="AH86" s="10">
        <f t="shared" si="25"/>
        <v>307</v>
      </c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1:52" x14ac:dyDescent="0.25">
      <c r="A87" s="17" t="s">
        <v>128</v>
      </c>
      <c r="B87" s="10" t="s">
        <v>36</v>
      </c>
      <c r="C87" s="10"/>
      <c r="D87" s="10"/>
      <c r="E87" s="10">
        <v>-2.93</v>
      </c>
      <c r="F87" s="10"/>
      <c r="G87" s="7">
        <v>1</v>
      </c>
      <c r="H87" s="10">
        <v>60</v>
      </c>
      <c r="I87" s="10" t="s">
        <v>37</v>
      </c>
      <c r="J87" s="10"/>
      <c r="K87" s="10"/>
      <c r="L87" s="10">
        <f t="shared" si="19"/>
        <v>-2.93</v>
      </c>
      <c r="M87" s="10">
        <f t="shared" si="20"/>
        <v>-2.93</v>
      </c>
      <c r="N87" s="10"/>
      <c r="O87" s="17"/>
      <c r="P87" s="10">
        <f t="shared" si="21"/>
        <v>-0.58600000000000008</v>
      </c>
      <c r="Q87" s="24">
        <v>4</v>
      </c>
      <c r="R87" s="24"/>
      <c r="S87" s="4">
        <f t="shared" si="23"/>
        <v>4</v>
      </c>
      <c r="T87" s="4"/>
      <c r="U87" s="10"/>
      <c r="V87" s="10"/>
      <c r="W87" s="10">
        <f t="shared" si="24"/>
        <v>-6.8259385665529004</v>
      </c>
      <c r="X87" s="10">
        <f t="shared" si="22"/>
        <v>0</v>
      </c>
      <c r="Y87" s="10">
        <v>-0.58600000000000008</v>
      </c>
      <c r="Z87" s="10">
        <v>0</v>
      </c>
      <c r="AA87" s="10">
        <v>-0.186</v>
      </c>
      <c r="AB87" s="10">
        <v>-2.9481999999999999</v>
      </c>
      <c r="AC87" s="10">
        <v>-2.7622</v>
      </c>
      <c r="AD87" s="10">
        <v>0</v>
      </c>
      <c r="AE87" s="10">
        <v>0</v>
      </c>
      <c r="AF87" s="10">
        <v>3.6375999999999999</v>
      </c>
      <c r="AG87" s="17" t="s">
        <v>129</v>
      </c>
      <c r="AH87" s="10">
        <f t="shared" si="25"/>
        <v>4</v>
      </c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1:52" x14ac:dyDescent="0.25">
      <c r="A88" s="10" t="s">
        <v>130</v>
      </c>
      <c r="B88" s="10" t="s">
        <v>42</v>
      </c>
      <c r="C88" s="10">
        <v>143</v>
      </c>
      <c r="D88" s="10">
        <v>151</v>
      </c>
      <c r="E88" s="10">
        <v>106</v>
      </c>
      <c r="F88" s="10">
        <v>168</v>
      </c>
      <c r="G88" s="7">
        <v>0.3</v>
      </c>
      <c r="H88" s="10">
        <v>40</v>
      </c>
      <c r="I88" s="10" t="s">
        <v>37</v>
      </c>
      <c r="J88" s="10"/>
      <c r="K88" s="10">
        <v>119</v>
      </c>
      <c r="L88" s="10">
        <f t="shared" si="19"/>
        <v>-13</v>
      </c>
      <c r="M88" s="10">
        <f t="shared" si="20"/>
        <v>106</v>
      </c>
      <c r="N88" s="10"/>
      <c r="O88" s="10">
        <v>0</v>
      </c>
      <c r="P88" s="10">
        <f t="shared" si="21"/>
        <v>21.2</v>
      </c>
      <c r="Q88" s="4">
        <f t="shared" si="27"/>
        <v>86.399999999999977</v>
      </c>
      <c r="R88" s="4"/>
      <c r="S88" s="4">
        <f t="shared" si="23"/>
        <v>86.399999999999977</v>
      </c>
      <c r="T88" s="4"/>
      <c r="U88" s="10"/>
      <c r="V88" s="10"/>
      <c r="W88" s="10">
        <f t="shared" si="24"/>
        <v>12</v>
      </c>
      <c r="X88" s="10">
        <f t="shared" si="22"/>
        <v>7.9245283018867925</v>
      </c>
      <c r="Y88" s="10">
        <v>13.2</v>
      </c>
      <c r="Z88" s="10">
        <v>19.399999999999999</v>
      </c>
      <c r="AA88" s="10">
        <v>26</v>
      </c>
      <c r="AB88" s="10">
        <v>24.8</v>
      </c>
      <c r="AC88" s="10">
        <v>24.6</v>
      </c>
      <c r="AD88" s="10">
        <v>16.8</v>
      </c>
      <c r="AE88" s="10">
        <v>23.2</v>
      </c>
      <c r="AF88" s="10">
        <v>19</v>
      </c>
      <c r="AG88" s="10"/>
      <c r="AH88" s="10">
        <f t="shared" si="25"/>
        <v>26</v>
      </c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1:52" x14ac:dyDescent="0.25">
      <c r="A89" s="10" t="s">
        <v>131</v>
      </c>
      <c r="B89" s="10" t="s">
        <v>42</v>
      </c>
      <c r="C89" s="10">
        <v>38</v>
      </c>
      <c r="D89" s="10">
        <v>91</v>
      </c>
      <c r="E89" s="10">
        <v>78</v>
      </c>
      <c r="F89" s="10">
        <v>40</v>
      </c>
      <c r="G89" s="7">
        <v>0.3</v>
      </c>
      <c r="H89" s="10">
        <v>40</v>
      </c>
      <c r="I89" s="10" t="s">
        <v>37</v>
      </c>
      <c r="J89" s="10"/>
      <c r="K89" s="10">
        <v>82</v>
      </c>
      <c r="L89" s="10">
        <f t="shared" si="19"/>
        <v>-4</v>
      </c>
      <c r="M89" s="10">
        <f t="shared" si="20"/>
        <v>78</v>
      </c>
      <c r="N89" s="10"/>
      <c r="O89" s="10">
        <v>59.600000000000023</v>
      </c>
      <c r="P89" s="10">
        <f t="shared" si="21"/>
        <v>15.6</v>
      </c>
      <c r="Q89" s="4">
        <f t="shared" si="27"/>
        <v>87.599999999999966</v>
      </c>
      <c r="R89" s="4"/>
      <c r="S89" s="4">
        <f t="shared" si="23"/>
        <v>87.599999999999966</v>
      </c>
      <c r="T89" s="4"/>
      <c r="U89" s="10"/>
      <c r="V89" s="10"/>
      <c r="W89" s="10">
        <f t="shared" si="24"/>
        <v>12</v>
      </c>
      <c r="X89" s="10">
        <f t="shared" si="22"/>
        <v>6.3846153846153859</v>
      </c>
      <c r="Y89" s="10">
        <v>12.6</v>
      </c>
      <c r="Z89" s="10">
        <v>9.6</v>
      </c>
      <c r="AA89" s="10">
        <v>11.4</v>
      </c>
      <c r="AB89" s="10">
        <v>11.8</v>
      </c>
      <c r="AC89" s="10">
        <v>10.4</v>
      </c>
      <c r="AD89" s="10">
        <v>9.8000000000000007</v>
      </c>
      <c r="AE89" s="10">
        <v>12.8</v>
      </c>
      <c r="AF89" s="10">
        <v>11.8</v>
      </c>
      <c r="AG89" s="10" t="s">
        <v>132</v>
      </c>
      <c r="AH89" s="10">
        <f t="shared" si="25"/>
        <v>26</v>
      </c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1:52" x14ac:dyDescent="0.25">
      <c r="A90" s="10" t="s">
        <v>133</v>
      </c>
      <c r="B90" s="10" t="s">
        <v>36</v>
      </c>
      <c r="C90" s="10">
        <v>17.693999999999999</v>
      </c>
      <c r="D90" s="10">
        <v>10.835000000000001</v>
      </c>
      <c r="E90" s="10">
        <v>9.2690000000000001</v>
      </c>
      <c r="F90" s="10">
        <v>19.260000000000002</v>
      </c>
      <c r="G90" s="7">
        <v>1</v>
      </c>
      <c r="H90" s="10">
        <v>50</v>
      </c>
      <c r="I90" s="10" t="s">
        <v>37</v>
      </c>
      <c r="J90" s="10"/>
      <c r="K90" s="10">
        <v>9.35</v>
      </c>
      <c r="L90" s="10">
        <f t="shared" si="19"/>
        <v>-8.0999999999999517E-2</v>
      </c>
      <c r="M90" s="10">
        <f t="shared" si="20"/>
        <v>9.2690000000000001</v>
      </c>
      <c r="N90" s="10"/>
      <c r="O90" s="10">
        <v>0</v>
      </c>
      <c r="P90" s="10">
        <f t="shared" si="21"/>
        <v>1.8538000000000001</v>
      </c>
      <c r="Q90" s="4">
        <v>4</v>
      </c>
      <c r="R90" s="4"/>
      <c r="S90" s="4">
        <f t="shared" si="23"/>
        <v>4</v>
      </c>
      <c r="T90" s="4"/>
      <c r="U90" s="10"/>
      <c r="V90" s="10"/>
      <c r="W90" s="10">
        <f t="shared" si="24"/>
        <v>12.547200345236812</v>
      </c>
      <c r="X90" s="10">
        <f t="shared" si="22"/>
        <v>10.389470277268314</v>
      </c>
      <c r="Y90" s="10">
        <v>1.3133999999999999</v>
      </c>
      <c r="Z90" s="10">
        <v>1.5788</v>
      </c>
      <c r="AA90" s="10">
        <v>1.8406</v>
      </c>
      <c r="AB90" s="10">
        <v>1.6042000000000001</v>
      </c>
      <c r="AC90" s="10">
        <v>1.8904000000000001</v>
      </c>
      <c r="AD90" s="10">
        <v>1.8812</v>
      </c>
      <c r="AE90" s="10">
        <v>1.3391999999999999</v>
      </c>
      <c r="AF90" s="10">
        <v>2.1888000000000001</v>
      </c>
      <c r="AG90" s="10"/>
      <c r="AH90" s="10">
        <f t="shared" si="25"/>
        <v>4</v>
      </c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1:52" x14ac:dyDescent="0.25">
      <c r="A91" s="10" t="s">
        <v>134</v>
      </c>
      <c r="B91" s="10" t="s">
        <v>42</v>
      </c>
      <c r="C91" s="10">
        <v>24</v>
      </c>
      <c r="D91" s="10">
        <v>114</v>
      </c>
      <c r="E91" s="10">
        <v>38</v>
      </c>
      <c r="F91" s="10">
        <v>95</v>
      </c>
      <c r="G91" s="7">
        <v>0.3</v>
      </c>
      <c r="H91" s="10">
        <v>40</v>
      </c>
      <c r="I91" s="10" t="s">
        <v>37</v>
      </c>
      <c r="J91" s="10"/>
      <c r="K91" s="10">
        <v>41</v>
      </c>
      <c r="L91" s="10">
        <f t="shared" si="19"/>
        <v>-3</v>
      </c>
      <c r="M91" s="10">
        <f t="shared" si="20"/>
        <v>38</v>
      </c>
      <c r="N91" s="10"/>
      <c r="O91" s="10">
        <v>0</v>
      </c>
      <c r="P91" s="10">
        <f t="shared" si="21"/>
        <v>7.6</v>
      </c>
      <c r="Q91" s="4"/>
      <c r="R91" s="4"/>
      <c r="S91" s="4">
        <f t="shared" si="23"/>
        <v>0</v>
      </c>
      <c r="T91" s="4"/>
      <c r="U91" s="10"/>
      <c r="V91" s="10"/>
      <c r="W91" s="10">
        <f t="shared" si="24"/>
        <v>12.5</v>
      </c>
      <c r="X91" s="10">
        <f t="shared" si="22"/>
        <v>12.5</v>
      </c>
      <c r="Y91" s="10">
        <v>8.4</v>
      </c>
      <c r="Z91" s="10">
        <v>10.6</v>
      </c>
      <c r="AA91" s="10">
        <v>10.8</v>
      </c>
      <c r="AB91" s="10">
        <v>10.4</v>
      </c>
      <c r="AC91" s="10">
        <v>9.4</v>
      </c>
      <c r="AD91" s="10">
        <v>7.8</v>
      </c>
      <c r="AE91" s="10">
        <v>7.6</v>
      </c>
      <c r="AF91" s="10">
        <v>8.6</v>
      </c>
      <c r="AG91" s="10"/>
      <c r="AH91" s="10">
        <f t="shared" si="25"/>
        <v>0</v>
      </c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1:52" x14ac:dyDescent="0.25">
      <c r="A92" s="10" t="s">
        <v>135</v>
      </c>
      <c r="B92" s="10" t="s">
        <v>42</v>
      </c>
      <c r="C92" s="10">
        <v>39</v>
      </c>
      <c r="D92" s="10">
        <v>16</v>
      </c>
      <c r="E92" s="10">
        <v>22</v>
      </c>
      <c r="F92" s="10">
        <v>32</v>
      </c>
      <c r="G92" s="7">
        <v>0.12</v>
      </c>
      <c r="H92" s="10">
        <v>45</v>
      </c>
      <c r="I92" s="10" t="s">
        <v>37</v>
      </c>
      <c r="J92" s="10"/>
      <c r="K92" s="10">
        <v>23</v>
      </c>
      <c r="L92" s="10">
        <f t="shared" si="19"/>
        <v>-1</v>
      </c>
      <c r="M92" s="10">
        <f t="shared" si="20"/>
        <v>22</v>
      </c>
      <c r="N92" s="10"/>
      <c r="O92" s="10">
        <v>0</v>
      </c>
      <c r="P92" s="10">
        <f t="shared" si="21"/>
        <v>4.4000000000000004</v>
      </c>
      <c r="Q92" s="4">
        <f t="shared" si="27"/>
        <v>20.800000000000004</v>
      </c>
      <c r="R92" s="4"/>
      <c r="S92" s="4">
        <f t="shared" si="23"/>
        <v>20.800000000000004</v>
      </c>
      <c r="T92" s="4"/>
      <c r="U92" s="10"/>
      <c r="V92" s="10"/>
      <c r="W92" s="10">
        <f t="shared" si="24"/>
        <v>12</v>
      </c>
      <c r="X92" s="10">
        <f t="shared" si="22"/>
        <v>7.2727272727272725</v>
      </c>
      <c r="Y92" s="10">
        <v>2</v>
      </c>
      <c r="Z92" s="10">
        <v>4</v>
      </c>
      <c r="AA92" s="10">
        <v>4.4000000000000004</v>
      </c>
      <c r="AB92" s="10">
        <v>3.6</v>
      </c>
      <c r="AC92" s="10">
        <v>4.8</v>
      </c>
      <c r="AD92" s="10">
        <v>4.4000000000000004</v>
      </c>
      <c r="AE92" s="10">
        <v>2.8</v>
      </c>
      <c r="AF92" s="10">
        <v>7.4</v>
      </c>
      <c r="AG92" s="10"/>
      <c r="AH92" s="10">
        <f t="shared" si="25"/>
        <v>2</v>
      </c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1:52" x14ac:dyDescent="0.25">
      <c r="A93" s="18" t="s">
        <v>136</v>
      </c>
      <c r="B93" s="18" t="s">
        <v>36</v>
      </c>
      <c r="C93" s="18"/>
      <c r="D93" s="18">
        <v>14.489000000000001</v>
      </c>
      <c r="E93" s="18"/>
      <c r="F93" s="25">
        <v>14.489000000000001</v>
      </c>
      <c r="G93" s="19">
        <v>0</v>
      </c>
      <c r="H93" s="18">
        <v>180</v>
      </c>
      <c r="I93" s="18" t="s">
        <v>137</v>
      </c>
      <c r="J93" s="18" t="s">
        <v>55</v>
      </c>
      <c r="K93" s="18"/>
      <c r="L93" s="18">
        <f t="shared" si="19"/>
        <v>0</v>
      </c>
      <c r="M93" s="18">
        <f t="shared" si="20"/>
        <v>0</v>
      </c>
      <c r="N93" s="18"/>
      <c r="O93" s="18"/>
      <c r="P93" s="18">
        <f t="shared" si="21"/>
        <v>0</v>
      </c>
      <c r="Q93" s="20"/>
      <c r="R93" s="20"/>
      <c r="S93" s="4">
        <f t="shared" si="23"/>
        <v>0</v>
      </c>
      <c r="T93" s="20"/>
      <c r="U93" s="18"/>
      <c r="V93" s="18"/>
      <c r="W93" s="10" t="e">
        <f t="shared" si="24"/>
        <v>#DIV/0!</v>
      </c>
      <c r="X93" s="18" t="e">
        <f t="shared" si="22"/>
        <v>#DIV/0!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/>
      <c r="AH93" s="10">
        <f t="shared" si="25"/>
        <v>0</v>
      </c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1:52" x14ac:dyDescent="0.25">
      <c r="A94" s="12" t="s">
        <v>138</v>
      </c>
      <c r="B94" s="13" t="s">
        <v>42</v>
      </c>
      <c r="C94" s="14"/>
      <c r="D94" s="14"/>
      <c r="E94" s="14"/>
      <c r="F94" s="14"/>
      <c r="G94" s="15">
        <v>0.6</v>
      </c>
      <c r="H94" s="14">
        <v>60</v>
      </c>
      <c r="I94" s="14" t="s">
        <v>37</v>
      </c>
      <c r="J94" s="14"/>
      <c r="K94" s="14"/>
      <c r="L94" s="14"/>
      <c r="M94" s="14"/>
      <c r="N94" s="14"/>
      <c r="O94" s="14"/>
      <c r="P94" s="14">
        <f t="shared" si="21"/>
        <v>0</v>
      </c>
      <c r="Q94" s="16">
        <v>20</v>
      </c>
      <c r="R94" s="16"/>
      <c r="S94" s="4">
        <f t="shared" si="23"/>
        <v>20</v>
      </c>
      <c r="T94" s="16"/>
      <c r="U94" s="14"/>
      <c r="V94" s="14"/>
      <c r="W94" s="10" t="e">
        <f t="shared" si="24"/>
        <v>#DIV/0!</v>
      </c>
      <c r="X94" s="14" t="e">
        <f t="shared" si="22"/>
        <v>#DIV/0!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3" t="s">
        <v>139</v>
      </c>
      <c r="AH94" s="10">
        <f t="shared" si="25"/>
        <v>12</v>
      </c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1:52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1:52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1:52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1:52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1:52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1:52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1:52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1:52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1:52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1:52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1:52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1:52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1:52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1:52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1:52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1:52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1:52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1:52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1:52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1:52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1:52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1:52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1:52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1:52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1:52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1:52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1:52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1:52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1:52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1:52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1:52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1:52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1:52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1:52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1:52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1:52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1:52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1:52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1:52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1:52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1:52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1:52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1:52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1:52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1:52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1:52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1:52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1:52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1:52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1:52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1:52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1:52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1:52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1:52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1:52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1:52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1:52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1:52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1:52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1:52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1:52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1:52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1:52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1:52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1:52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1:52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1:52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1:52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1:52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1:52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1:52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1:52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1:52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1:52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1:52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1:52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1:52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1:52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1:52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1:52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1:52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1:52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1:52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1:52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1:52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1:52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1:52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1:52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1:52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1:52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1:52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1:52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1:52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1:52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1:52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1:52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1:52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1:52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1:52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1:52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1:52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1:52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1:52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1:52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1:52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1:52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1:52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1:52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1:52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1:52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1:52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1:52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1:52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1:52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1:52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1:52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1:52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1:52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1:52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1:52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1:52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1:52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1:52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1:52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1:52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1:52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1:52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1:52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1:52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1:52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1:52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1:52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1:52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1:52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1:52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1:52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1:52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1:52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1:52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1:52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1:52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1:52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1:52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1:52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1:52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1:52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1:52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1:52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1:52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1:52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1:52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1:52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1:52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1:52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1:52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1:52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1:52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1:52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1:52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1:52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1:52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1:52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1:52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1:52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1:52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1:52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1:52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1:52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1:52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1:52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1:52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1:52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1:52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1:52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1:52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1:52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1:52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1:52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1:52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1:52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1:52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1:52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1:52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1:52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1:52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1:52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1:52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1:52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1:52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1:52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1:52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1:52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1:52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1:52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1:52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1:52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1:52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1:52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1:52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1:52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1:52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1:52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1:52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1:52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1:52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1:52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1:52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1:52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1:52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1:52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1:52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1:52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1:52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1:52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1:52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1:52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1:52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1:52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1:52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1:52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1:52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1:52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1:52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1:52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1:52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1:52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1:52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1:52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1:52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1:52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1:52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1:52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1:52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1:52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1:52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1:52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1:52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1:52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1:52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1:52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1:52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1:52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1:52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1:52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1:52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1:52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1:52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1:52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1:52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1:52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1:52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1:52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1:52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1:52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1:52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1:52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1:52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1:52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1:52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1:52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1:52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1:52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1:52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1:52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1:52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1:52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1:52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1:52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1:52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1:52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1:52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1:52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1:52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1:52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1:52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1:52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1:52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1:52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1:52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1:52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1:52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1:52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1:52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1:52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1:52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1:52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1:52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1:52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1:52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1:52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1:52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1:52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1:52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1:52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1:52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1:52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1:52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1:52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1:52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1:52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1:52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1:52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1:52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1:52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1:52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1:52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1:52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1:52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1:52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1:52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1:52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1:52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1:52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1:52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1:52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1:52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1:52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1:52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1:52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1:52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1:52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1:52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1:52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1:52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1:52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1:52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1:52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1:52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1:52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1:52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1:52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1:52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1:52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1:52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1:52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1:52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1:52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1:52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1:52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1:52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1:52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1:52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1:52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1:52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1:52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1:52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1:52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1:52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1:52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1:52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1:52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1:52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1:52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1:52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1:52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1:52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1:52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1:52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1:52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1:52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1:52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1:52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1:52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1:52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1:52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1:52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1:52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1:52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1:52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1:52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1:52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1:52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1:52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1:52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1:52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1:52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1:52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1:52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1:52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1:52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1:52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1:52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1:52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1:52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1:52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1:52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1:52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1:52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1:52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1:52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1:52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1:52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1:52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1:52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1:52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1:52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1:52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1:52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1:52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1:52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1:52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1:52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1:52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1:52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1:52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</sheetData>
  <autoFilter ref="A3:AH9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2025-12-11T12:46:55Z</dcterms:created>
  <dcterms:modified xsi:type="dcterms:W3CDTF">2025-12-12T08:08:27Z</dcterms:modified>
</cp:coreProperties>
</file>