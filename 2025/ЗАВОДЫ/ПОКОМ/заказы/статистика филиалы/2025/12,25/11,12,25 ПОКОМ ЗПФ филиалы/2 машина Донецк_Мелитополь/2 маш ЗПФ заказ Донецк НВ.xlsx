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77B143E1-C062-4A71-B32A-8DCF043DD3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Z215" i="1" s="1"/>
  <c r="Y213" i="1"/>
  <c r="P213" i="1"/>
  <c r="X211" i="1"/>
  <c r="Z210" i="1"/>
  <c r="X210" i="1"/>
  <c r="BO209" i="1"/>
  <c r="BM209" i="1"/>
  <c r="Z209" i="1"/>
  <c r="Y209" i="1"/>
  <c r="Y211" i="1" s="1"/>
  <c r="P209" i="1"/>
  <c r="X206" i="1"/>
  <c r="Z205" i="1"/>
  <c r="X205" i="1"/>
  <c r="BO204" i="1"/>
  <c r="BM204" i="1"/>
  <c r="Z204" i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0" i="1" s="1"/>
  <c r="Y196" i="1"/>
  <c r="P196" i="1"/>
  <c r="BO195" i="1"/>
  <c r="BM195" i="1"/>
  <c r="Z195" i="1"/>
  <c r="Y195" i="1"/>
  <c r="Y201" i="1" s="1"/>
  <c r="P195" i="1"/>
  <c r="Y193" i="1"/>
  <c r="X193" i="1"/>
  <c r="Z192" i="1"/>
  <c r="X192" i="1"/>
  <c r="BO191" i="1"/>
  <c r="BM191" i="1"/>
  <c r="Z191" i="1"/>
  <c r="Y191" i="1"/>
  <c r="P191" i="1"/>
  <c r="X187" i="1"/>
  <c r="Z186" i="1"/>
  <c r="X186" i="1"/>
  <c r="BO185" i="1"/>
  <c r="BM185" i="1"/>
  <c r="Z185" i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Y168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Y158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Y148" i="1"/>
  <c r="X148" i="1"/>
  <c r="Z147" i="1"/>
  <c r="X147" i="1"/>
  <c r="BO146" i="1"/>
  <c r="BM146" i="1"/>
  <c r="Z146" i="1"/>
  <c r="Y146" i="1"/>
  <c r="P146" i="1"/>
  <c r="BP145" i="1"/>
  <c r="BO145" i="1"/>
  <c r="BN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P139" i="1"/>
  <c r="BO139" i="1"/>
  <c r="BN139" i="1"/>
  <c r="BM139" i="1"/>
  <c r="Z139" i="1"/>
  <c r="Z141" i="1" s="1"/>
  <c r="Y139" i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5" i="1" s="1"/>
  <c r="P133" i="1"/>
  <c r="X130" i="1"/>
  <c r="Z129" i="1"/>
  <c r="X129" i="1"/>
  <c r="BO128" i="1"/>
  <c r="BM128" i="1"/>
  <c r="Z128" i="1"/>
  <c r="Y128" i="1"/>
  <c r="Y130" i="1" s="1"/>
  <c r="P128" i="1"/>
  <c r="X126" i="1"/>
  <c r="Z125" i="1"/>
  <c r="X125" i="1"/>
  <c r="BO124" i="1"/>
  <c r="BM124" i="1"/>
  <c r="Z124" i="1"/>
  <c r="Y124" i="1"/>
  <c r="Y126" i="1" s="1"/>
  <c r="P124" i="1"/>
  <c r="X122" i="1"/>
  <c r="X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1" i="1" s="1"/>
  <c r="Y113" i="1"/>
  <c r="Y122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09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4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3" i="1" s="1"/>
  <c r="P91" i="1"/>
  <c r="X88" i="1"/>
  <c r="Z87" i="1"/>
  <c r="X87" i="1"/>
  <c r="BO86" i="1"/>
  <c r="BM86" i="1"/>
  <c r="Z86" i="1"/>
  <c r="Y86" i="1"/>
  <c r="Y88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6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0" i="1" s="1"/>
  <c r="P68" i="1"/>
  <c r="X66" i="1"/>
  <c r="Z65" i="1"/>
  <c r="X65" i="1"/>
  <c r="BO64" i="1"/>
  <c r="BM64" i="1"/>
  <c r="Z64" i="1"/>
  <c r="Y64" i="1"/>
  <c r="Y66" i="1" s="1"/>
  <c r="P64" i="1"/>
  <c r="X62" i="1"/>
  <c r="Z61" i="1"/>
  <c r="X61" i="1"/>
  <c r="BO60" i="1"/>
  <c r="BM60" i="1"/>
  <c r="Z60" i="1"/>
  <c r="Y60" i="1"/>
  <c r="Y62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7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Y34" i="1" s="1"/>
  <c r="P32" i="1"/>
  <c r="X29" i="1"/>
  <c r="X270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2" i="1" s="1"/>
  <c r="BM22" i="1"/>
  <c r="X271" i="1" s="1"/>
  <c r="X273" i="1" s="1"/>
  <c r="Z22" i="1"/>
  <c r="Z28" i="1" s="1"/>
  <c r="Y22" i="1"/>
  <c r="Y28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Y274" i="1" s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Z275" i="1" s="1"/>
  <c r="Y183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Y268" i="1"/>
  <c r="H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06" i="1"/>
  <c r="Y210" i="1"/>
  <c r="BP209" i="1"/>
  <c r="BN209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0" i="1"/>
  <c r="Y272" i="1"/>
  <c r="Y273" i="1" l="1"/>
  <c r="C283" i="1" s="1"/>
  <c r="A283" i="1"/>
  <c r="B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<sst xmlns="http://schemas.openxmlformats.org/spreadsheetml/2006/main" count="1222" uniqueCount="394">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</sst>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14</v>
      </c>
      <c r="Y39" s="269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28</v>
      </c>
      <c r="Y41" s="270">
        <f>IFERROR(SUM(Y39:Y40),"0")</f>
        <v>28</v>
      </c>
      <c r="Z41" s="270">
        <f>IFERROR(IF(Z39="",0,Z39),"0")+IFERROR(IF(Z40="",0,Z40),"0")</f>
        <v>0.26347999999999999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42</v>
      </c>
      <c r="Y42" s="270">
        <f>IFERROR(SUMPRODUCT(Y39:Y40*H39:H40),"0")</f>
        <v>42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24</v>
      </c>
      <c r="Y45" s="269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24</v>
      </c>
      <c r="Y46" s="269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24</v>
      </c>
      <c r="Y47" s="26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72</v>
      </c>
      <c r="Y48" s="270">
        <f>IFERROR(SUM(Y45:Y47),"0")</f>
        <v>72</v>
      </c>
      <c r="Z48" s="270">
        <f>IFERROR(IF(Z45="",0,Z45),"0")+IFERROR(IF(Z46="",0,Z46),"0")+IFERROR(IF(Z47="",0,Z47),"0")</f>
        <v>1.1160000000000001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403.19999999999993</v>
      </c>
      <c r="Y49" s="270">
        <f>IFERROR(SUMPRODUCT(Y45:Y47*H45:H47),"0")</f>
        <v>403.19999999999993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12</v>
      </c>
      <c r="Y52" s="269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12</v>
      </c>
      <c r="Y56" s="270">
        <f>IFERROR(SUM(Y52:Y55),"0")</f>
        <v>12</v>
      </c>
      <c r="Z56" s="270">
        <f>IFERROR(IF(Z52="",0,Z52),"0")+IFERROR(IF(Z53="",0,Z53),"0")+IFERROR(IF(Z54="",0,Z54),"0")+IFERROR(IF(Z55="",0,Z55),"0")</f>
        <v>0.186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84</v>
      </c>
      <c r="Y57" s="270">
        <f>IFERROR(SUMPRODUCT(Y52:Y55*H52:H55),"0")</f>
        <v>84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36</v>
      </c>
      <c r="Y81" s="269">
        <f>IFERROR(IF(X81="","",X81),"")</f>
        <v>36</v>
      </c>
      <c r="Z81" s="36">
        <f>IFERROR(IF(X81="","",X81*0.00866),"")</f>
        <v>0.31175999999999998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187.67519999999999</v>
      </c>
      <c r="BN81" s="67">
        <f>IFERROR(Y81*I81,"0")</f>
        <v>187.67519999999999</v>
      </c>
      <c r="BO81" s="67">
        <f>IFERROR(X81/J81,"0")</f>
        <v>0.25</v>
      </c>
      <c r="BP81" s="67">
        <f>IFERROR(Y81/J81,"0")</f>
        <v>0.25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36</v>
      </c>
      <c r="Y82" s="270">
        <f>IFERROR(SUM(Y80:Y81),"0")</f>
        <v>36</v>
      </c>
      <c r="Z82" s="270">
        <f>IFERROR(IF(Z80="",0,Z80),"0")+IFERROR(IF(Z81="",0,Z81),"0")</f>
        <v>0.31175999999999998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180</v>
      </c>
      <c r="Y83" s="270">
        <f>IFERROR(SUMPRODUCT(Y80:Y81*H80:H81),"0")</f>
        <v>180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56</v>
      </c>
      <c r="Y93" s="270">
        <f>IFERROR(SUM(Y91:Y92),"0")</f>
        <v>56</v>
      </c>
      <c r="Z93" s="270">
        <f>IFERROR(IF(Z91="",0,Z91),"0")+IFERROR(IF(Z92="",0,Z92),"0")</f>
        <v>1.0012799999999999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201.60000000000002</v>
      </c>
      <c r="Y94" s="270">
        <f>IFERROR(SUMPRODUCT(Y91:Y92*H91:H92),"0")</f>
        <v>201.60000000000002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28</v>
      </c>
      <c r="Y97" s="269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28</v>
      </c>
      <c r="Y98" s="269">
        <f t="shared" si="6"/>
        <v>28</v>
      </c>
      <c r="Z98" s="36">
        <f t="shared" si="7"/>
        <v>0.50063999999999997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100.3408</v>
      </c>
      <c r="BN98" s="67">
        <f t="shared" si="9"/>
        <v>100.3408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28</v>
      </c>
      <c r="Y100" s="269">
        <f t="shared" si="6"/>
        <v>28</v>
      </c>
      <c r="Z100" s="36">
        <f t="shared" si="7"/>
        <v>0.50063999999999997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100.3408</v>
      </c>
      <c r="BN100" s="67">
        <f t="shared" si="9"/>
        <v>100.3408</v>
      </c>
      <c r="BO100" s="67">
        <f t="shared" si="10"/>
        <v>0.4</v>
      </c>
      <c r="BP100" s="67">
        <f t="shared" si="11"/>
        <v>0.4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98</v>
      </c>
      <c r="Y103" s="270">
        <f>IFERROR(SUM(Y97:Y102),"0")</f>
        <v>98</v>
      </c>
      <c r="Z103" s="270">
        <f>IFERROR(IF(Z97="",0,Z97),"0")+IFERROR(IF(Z98="",0,Z98),"0")+IFERROR(IF(Z99="",0,Z99),"0")+IFERROR(IF(Z100="",0,Z100),"0")+IFERROR(IF(Z101="",0,Z101),"0")+IFERROR(IF(Z102="",0,Z102),"0")</f>
        <v>1.7522399999999998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282.24</v>
      </c>
      <c r="Y104" s="270">
        <f>IFERROR(SUMPRODUCT(Y97:Y102*H97:H102),"0")</f>
        <v>282.24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14</v>
      </c>
      <c r="Y107" s="269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14</v>
      </c>
      <c r="Y108" s="269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0.38135999999999998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80.64</v>
      </c>
      <c r="Y110" s="270">
        <f>IFERROR(SUMPRODUCT(Y107:Y108*H107:H108),"0")</f>
        <v>80.64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36</v>
      </c>
      <c r="Y116" s="269">
        <f t="shared" si="12"/>
        <v>36</v>
      </c>
      <c r="Z116" s="36">
        <f t="shared" si="13"/>
        <v>0.55800000000000005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24</v>
      </c>
      <c r="Y118" s="269">
        <f t="shared" si="12"/>
        <v>24</v>
      </c>
      <c r="Z118" s="36">
        <f t="shared" si="13"/>
        <v>0.372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72</v>
      </c>
      <c r="Y121" s="270">
        <f>IFERROR(SUM(Y113:Y120),"0")</f>
        <v>72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1.1160000000000001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489.6</v>
      </c>
      <c r="Y122" s="270">
        <f>IFERROR(SUMPRODUCT(Y113:Y120*H113:H120),"0")</f>
        <v>489.6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51.850399999999993</v>
      </c>
      <c r="BN133" s="67">
        <f>IFERROR(Y133*I133,"0")</f>
        <v>51.850399999999993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84</v>
      </c>
      <c r="Y135" s="270">
        <f>IFERROR(SUM(Y133:Y134),"0")</f>
        <v>84</v>
      </c>
      <c r="Z135" s="270">
        <f>IFERROR(IF(Z133="",0,Z133),"0")+IFERROR(IF(Z134="",0,Z134),"0")</f>
        <v>1.5019200000000001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252</v>
      </c>
      <c r="Y136" s="270">
        <f>IFERROR(SUMPRODUCT(Y133:Y134*H133:H134),"0")</f>
        <v>252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42</v>
      </c>
      <c r="Y140" s="269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56</v>
      </c>
      <c r="Y141" s="270">
        <f>IFERROR(SUM(Y139:Y140),"0")</f>
        <v>56</v>
      </c>
      <c r="Z141" s="270">
        <f>IFERROR(IF(Z139="",0,Z139),"0")+IFERROR(IF(Z140="",0,Z140),"0")</f>
        <v>1.0012799999999999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168</v>
      </c>
      <c r="Y142" s="270">
        <f>IFERROR(SUMPRODUCT(Y139:Y140*H139:H140),"0")</f>
        <v>168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28</v>
      </c>
      <c r="Y166" s="269">
        <f>IFERROR(IF(X166="","",X166),"")</f>
        <v>28</v>
      </c>
      <c r="Z166" s="36">
        <f>IFERROR(IF(X166="","",X166*0.00941),"")</f>
        <v>0.26347999999999999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58.850399999999993</v>
      </c>
      <c r="BN166" s="67">
        <f>IFERROR(Y166*I166,"0")</f>
        <v>58.850399999999993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28</v>
      </c>
      <c r="Y167" s="270">
        <f>IFERROR(SUM(Y166:Y166),"0")</f>
        <v>28</v>
      </c>
      <c r="Z167" s="270">
        <f>IFERROR(IF(Z166="",0,Z166),"0")</f>
        <v>0.26347999999999999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47.04</v>
      </c>
      <c r="Y168" s="270">
        <f>IFERROR(SUMPRODUCT(Y166:Y166*H166:H166),"0")</f>
        <v>47.04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60</v>
      </c>
      <c r="Y173" s="269">
        <f>IFERROR(IF(X173="","",X173),"")</f>
        <v>60</v>
      </c>
      <c r="Z173" s="36">
        <f>IFERROR(IF(X173="","",X173*0.00866),"")</f>
        <v>0.51959999999999995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312.79199999999997</v>
      </c>
      <c r="BN173" s="67">
        <f>IFERROR(Y173*I173,"0")</f>
        <v>312.79199999999997</v>
      </c>
      <c r="BO173" s="67">
        <f>IFERROR(X173/J173,"0")</f>
        <v>0.41666666666666669</v>
      </c>
      <c r="BP173" s="67">
        <f>IFERROR(Y173/J173,"0")</f>
        <v>0.41666666666666669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60</v>
      </c>
      <c r="Y174" s="270">
        <f>IFERROR(SUM(Y172:Y173),"0")</f>
        <v>60</v>
      </c>
      <c r="Z174" s="270">
        <f>IFERROR(IF(Z172="",0,Z172),"0")+IFERROR(IF(Z173="",0,Z173),"0")</f>
        <v>0.51959999999999995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300</v>
      </c>
      <c r="Y175" s="270">
        <f>IFERROR(SUMPRODUCT(Y172:Y173*H172:H173),"0")</f>
        <v>300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28</v>
      </c>
      <c r="Y179" s="269">
        <f>IFERROR(IF(X179="","",X179),"")</f>
        <v>28</v>
      </c>
      <c r="Z179" s="36">
        <f>IFERROR(IF(X179="","",X179*0.01788),"")</f>
        <v>0.50063999999999997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94.864000000000004</v>
      </c>
      <c r="BN179" s="67">
        <f>IFERROR(Y179*I179,"0")</f>
        <v>94.864000000000004</v>
      </c>
      <c r="BO179" s="67">
        <f>IFERROR(X179/J179,"0")</f>
        <v>0.4</v>
      </c>
      <c r="BP179" s="67">
        <f>IFERROR(Y179/J179,"0")</f>
        <v>0.4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28</v>
      </c>
      <c r="Y180" s="269">
        <f>IFERROR(IF(X180="","",X180),"")</f>
        <v>28</v>
      </c>
      <c r="Z180" s="36">
        <f>IFERROR(IF(X180="","",X180*0.01788),"")</f>
        <v>0.50063999999999997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94.864000000000004</v>
      </c>
      <c r="BN180" s="67">
        <f>IFERROR(Y180*I180,"0")</f>
        <v>94.864000000000004</v>
      </c>
      <c r="BO180" s="67">
        <f>IFERROR(X180/J180,"0")</f>
        <v>0.4</v>
      </c>
      <c r="BP180" s="67">
        <f>IFERROR(Y180/J180,"0")</f>
        <v>0.4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84</v>
      </c>
      <c r="Y182" s="270">
        <f>IFERROR(SUM(Y179:Y181),"0")</f>
        <v>84</v>
      </c>
      <c r="Z182" s="270">
        <f>IFERROR(IF(Z179="",0,Z179),"0")+IFERROR(IF(Z180="",0,Z180),"0")+IFERROR(IF(Z181="",0,Z181),"0")</f>
        <v>1.5019199999999999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252</v>
      </c>
      <c r="Y183" s="270">
        <f>IFERROR(SUMPRODUCT(Y179:Y181*H179:H181),"0")</f>
        <v>252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28</v>
      </c>
      <c r="Y191" s="269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83.44</v>
      </c>
      <c r="BN191" s="67">
        <f>IFERROR(Y191*I191,"0")</f>
        <v>83.44</v>
      </c>
      <c r="BO191" s="67">
        <f>IFERROR(X191/J191,"0")</f>
        <v>0.4</v>
      </c>
      <c r="BP191" s="67">
        <f>IFERROR(Y191/J191,"0")</f>
        <v>0.4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28</v>
      </c>
      <c r="Y192" s="270">
        <f>IFERROR(SUM(Y191:Y191),"0")</f>
        <v>28</v>
      </c>
      <c r="Z192" s="270">
        <f>IFERROR(IF(Z191="",0,Z191),"0")</f>
        <v>0.50063999999999997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77.28</v>
      </c>
      <c r="Y193" s="270">
        <f>IFERROR(SUMPRODUCT(Y191:Y191*H191:H191),"0")</f>
        <v>77.28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96</v>
      </c>
      <c r="Y247" s="269">
        <f>IFERROR(IF(X247="","",X247),"")</f>
        <v>96</v>
      </c>
      <c r="Z247" s="36">
        <f>IFERROR(IF(X247="","",X247*0.0155),"")</f>
        <v>1.488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600.96</v>
      </c>
      <c r="BN247" s="67">
        <f>IFERROR(Y247*I247,"0")</f>
        <v>600.96</v>
      </c>
      <c r="BO247" s="67">
        <f>IFERROR(X247/J247,"0")</f>
        <v>1.1428571428571428</v>
      </c>
      <c r="BP247" s="67">
        <f>IFERROR(Y247/J247,"0")</f>
        <v>1.1428571428571428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96</v>
      </c>
      <c r="Y249" s="270">
        <f>IFERROR(SUM(Y247:Y248),"0")</f>
        <v>96</v>
      </c>
      <c r="Z249" s="270">
        <f>IFERROR(IF(Z247="",0,Z247),"0")+IFERROR(IF(Z248="",0,Z248),"0")</f>
        <v>1.488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576</v>
      </c>
      <c r="Y250" s="270">
        <f>IFERROR(SUMPRODUCT(Y247:Y248*H247:H248),"0")</f>
        <v>576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14</v>
      </c>
      <c r="Y252" s="269">
        <f>IFERROR(IF(X252="","",X252),"")</f>
        <v>14</v>
      </c>
      <c r="Z252" s="36">
        <f>IFERROR(IF(X252="","",X252*0.00936),"")</f>
        <v>0.13103999999999999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40.468400000000003</v>
      </c>
      <c r="BN252" s="67">
        <f>IFERROR(Y252*I252,"0")</f>
        <v>40.468400000000003</v>
      </c>
      <c r="BO252" s="67">
        <f>IFERROR(X252/J252,"0")</f>
        <v>0.1111111111111111</v>
      </c>
      <c r="BP252" s="67">
        <f>IFERROR(Y252/J252,"0")</f>
        <v>0.1111111111111111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96</v>
      </c>
      <c r="Y253" s="269">
        <f>IFERROR(IF(X253="","",X253),"")</f>
        <v>96</v>
      </c>
      <c r="Z253" s="36">
        <f>IFERROR(IF(X253="","",X253*0.0155),"")</f>
        <v>1.488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502.56000000000006</v>
      </c>
      <c r="BN253" s="67">
        <f>IFERROR(Y253*I253,"0")</f>
        <v>502.56000000000006</v>
      </c>
      <c r="BO253" s="67">
        <f>IFERROR(X253/J253,"0")</f>
        <v>1.1428571428571428</v>
      </c>
      <c r="BP253" s="67">
        <f>IFERROR(Y253/J253,"0")</f>
        <v>1.1428571428571428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110</v>
      </c>
      <c r="Y255" s="270">
        <f>IFERROR(SUM(Y252:Y254),"0")</f>
        <v>110</v>
      </c>
      <c r="Z255" s="270">
        <f>IFERROR(IF(Z252="",0,Z252),"0")+IFERROR(IF(Z253="",0,Z253),"0")+IFERROR(IF(Z254="",0,Z254),"0")</f>
        <v>1.61904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517.79999999999995</v>
      </c>
      <c r="Y256" s="270">
        <f>IFERROR(SUMPRODUCT(Y252:Y254*H252:H254),"0")</f>
        <v>517.79999999999995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28</v>
      </c>
      <c r="Y259" s="269">
        <f t="shared" si="18"/>
        <v>28</v>
      </c>
      <c r="Z259" s="36">
        <f>IFERROR(IF(X259="","",X259*0.00936),"")</f>
        <v>0.26207999999999998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24</v>
      </c>
      <c r="Y260" s="269">
        <f t="shared" si="18"/>
        <v>24</v>
      </c>
      <c r="Z260" s="36">
        <f>IFERROR(IF(X260="","",X260*0.0155),"")</f>
        <v>0.372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137.64000000000001</v>
      </c>
      <c r="BN260" s="67">
        <f t="shared" si="20"/>
        <v>137.64000000000001</v>
      </c>
      <c r="BO260" s="67">
        <f t="shared" si="21"/>
        <v>0.2857142857142857</v>
      </c>
      <c r="BP260" s="67">
        <f t="shared" si="22"/>
        <v>0.2857142857142857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42</v>
      </c>
      <c r="Y262" s="269">
        <f t="shared" si="18"/>
        <v>42</v>
      </c>
      <c r="Z262" s="36">
        <f t="shared" si="23"/>
        <v>0.39312000000000002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163.464</v>
      </c>
      <c r="BN262" s="67">
        <f t="shared" si="20"/>
        <v>163.464</v>
      </c>
      <c r="BO262" s="67">
        <f t="shared" si="21"/>
        <v>0.33333333333333331</v>
      </c>
      <c r="BP262" s="67">
        <f t="shared" si="22"/>
        <v>0.33333333333333331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108</v>
      </c>
      <c r="Y268" s="270">
        <f>IFERROR(SUM(Y258:Y267),"0")</f>
        <v>108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1.1582400000000002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433</v>
      </c>
      <c r="Y269" s="270">
        <f>IFERROR(SUMPRODUCT(Y258:Y267*H258:H267),"0")</f>
        <v>433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4566.4000000000005</v>
      </c>
      <c r="Y270" s="270">
        <f>IFERROR(Y29+Y35+Y42+Y49+Y57+Y62+Y66+Y71+Y77+Y83+Y88+Y94+Y104+Y110+Y122+Y126+Y130+Y136+Y142+Y148+Y153+Y158+Y163+Y168+Y175+Y183+Y187+Y193+Y201+Y206+Y211+Y216+Y222+Y228+Y234+Y238+Y245+Y250+Y256+Y269,"0")</f>
        <v>4566.4000000000005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5005.2236000000003</v>
      </c>
      <c r="Y271" s="270">
        <f>IFERROR(SUM(BN22:BN267),"0")</f>
        <v>5005.2236000000003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13</v>
      </c>
      <c r="Y272" s="38">
        <f>ROUNDUP(SUM(BP22:BP267),0)</f>
        <v>13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5330.2236000000003</v>
      </c>
      <c r="Y273" s="270">
        <f>GrossWeightTotalR+PalletQtyTotalR*25</f>
        <v>5330.2236000000003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1092</v>
      </c>
      <c r="Y274" s="270">
        <f>IFERROR(Y28+Y34+Y41+Y48+Y56+Y61+Y65+Y70+Y76+Y82+Y87+Y93+Y103+Y109+Y121+Y125+Y129+Y135+Y141+Y147+Y152+Y157+Y162+Y167+Y174+Y182+Y186+Y192+Y200+Y205+Y210+Y215+Y221+Y227+Y233+Y237+Y244+Y249+Y255+Y268,"0")</f>
        <v>1092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16.24024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42</v>
      </c>
      <c r="E280" s="46">
        <f>IFERROR(X45*H45,"0")+IFERROR(X46*H46,"0")+IFERROR(X47*H47,"0")</f>
        <v>403.19999999999993</v>
      </c>
      <c r="F280" s="46">
        <f>IFERROR(X52*H52,"0")+IFERROR(X53*H53,"0")+IFERROR(X54*H54,"0")+IFERROR(X55*H55,"0")</f>
        <v>84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180</v>
      </c>
      <c r="I280" s="46">
        <f>IFERROR(X86*H86,"0")</f>
        <v>0</v>
      </c>
      <c r="J280" s="46">
        <f>IFERROR(X91*H91,"0")+IFERROR(X92*H92,"0")</f>
        <v>201.60000000000002</v>
      </c>
      <c r="K280" s="46">
        <f>IFERROR(X97*H97,"0")+IFERROR(X98*H98,"0")+IFERROR(X99*H99,"0")+IFERROR(X100*H100,"0")+IFERROR(X101*H101,"0")+IFERROR(X102*H102,"0")</f>
        <v>282.24</v>
      </c>
      <c r="L280" s="46">
        <f>IFERROR(X107*H107,"0")+IFERROR(X108*H108,"0")</f>
        <v>80.64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489.6</v>
      </c>
      <c r="N280" s="266"/>
      <c r="O280" s="46">
        <f>IFERROR(X133*H133,"0")+IFERROR(X134*H134,"0")</f>
        <v>252</v>
      </c>
      <c r="P280" s="46">
        <f>IFERROR(X139*H139,"0")+IFERROR(X140*H140,"0")</f>
        <v>168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47.04</v>
      </c>
      <c r="V280" s="46">
        <f>IFERROR(X172*H172,"0")+IFERROR(X173*H173,"0")</f>
        <v>300</v>
      </c>
      <c r="W280" s="46">
        <f>IFERROR(X179*H179,"0")+IFERROR(X180*H180,"0")+IFERROR(X181*H181,"0")+IFERROR(X185*H185,"0")</f>
        <v>252</v>
      </c>
      <c r="X280" s="46">
        <f>IFERROR(X191*H191,"0")+IFERROR(X195*H195,"0")+IFERROR(X196*H196,"0")+IFERROR(X197*H197,"0")+IFERROR(X198*H198,"0")+IFERROR(X199*H199,"0")</f>
        <v>77.28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1526.8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1636.8</v>
      </c>
      <c r="B283" s="60">
        <f>SUMPRODUCT(--(BB:BB="ПГП"),--(W:W="кор"),H:H,Y:Y)+SUMPRODUCT(--(BB:BB="ПГП"),--(W:W="кг"),Y:Y)</f>
        <v>2929.6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2025-12-12T09:13:08Z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