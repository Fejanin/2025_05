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9BE4CED0-36BE-4BAF-B085-631411F2A58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Y220" i="1"/>
  <c r="X220" i="1"/>
  <c r="BP219" i="1"/>
  <c r="BO219" i="1"/>
  <c r="BN219" i="1"/>
  <c r="BM219" i="1"/>
  <c r="Z219" i="1"/>
  <c r="Y219" i="1"/>
  <c r="P219" i="1"/>
  <c r="BO218" i="1"/>
  <c r="BN218" i="1"/>
  <c r="BM218" i="1"/>
  <c r="Z218" i="1"/>
  <c r="Z220" i="1" s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2" i="1" s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Z148" i="1"/>
  <c r="BP146" i="1"/>
  <c r="BN146" i="1"/>
  <c r="Z146" i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D498" i="1"/>
  <c r="H9" i="1"/>
  <c r="B498" i="1"/>
  <c r="X489" i="1"/>
  <c r="X491" i="1" s="1"/>
  <c r="X490" i="1"/>
  <c r="X492" i="1"/>
  <c r="Y24" i="1"/>
  <c r="Z27" i="1"/>
  <c r="Z31" i="1" s="1"/>
  <c r="BN27" i="1"/>
  <c r="Y489" i="1" s="1"/>
  <c r="Y491" i="1" s="1"/>
  <c r="Z29" i="1"/>
  <c r="BN29" i="1"/>
  <c r="C498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0" i="1" s="1"/>
  <c r="Z62" i="1"/>
  <c r="BN62" i="1"/>
  <c r="Z66" i="1"/>
  <c r="BN66" i="1"/>
  <c r="BP66" i="1"/>
  <c r="Z68" i="1"/>
  <c r="BN68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Z215" i="1" s="1"/>
  <c r="Y215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Z274" i="1" s="1"/>
  <c r="Y274" i="1"/>
  <c r="BP321" i="1"/>
  <c r="BN321" i="1"/>
  <c r="Z321" i="1"/>
  <c r="Z324" i="1" s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Z41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Z379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337" i="1" l="1"/>
  <c r="Z304" i="1"/>
  <c r="Z294" i="1"/>
  <c r="Z116" i="1"/>
  <c r="Z393" i="1"/>
  <c r="Z437" i="1"/>
  <c r="Z446" i="1"/>
  <c r="Z431" i="1"/>
  <c r="Z349" i="1"/>
  <c r="Z330" i="1"/>
  <c r="Z267" i="1"/>
  <c r="Z259" i="1"/>
  <c r="Z250" i="1"/>
  <c r="Z203" i="1"/>
  <c r="Z171" i="1"/>
  <c r="Z69" i="1"/>
  <c r="Z493" i="1" s="1"/>
  <c r="Y488" i="1"/>
</calcChain>
</file>

<file path=xl/sharedStrings.xml><?xml version="1.0" encoding="utf-8"?>
<sst xmlns="http://schemas.openxmlformats.org/spreadsheetml/2006/main" count="2246" uniqueCount="759">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</sst>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7</v>
      </c>
      <c r="B5" s="628"/>
      <c r="C5" s="629"/>
      <c r="D5" s="617"/>
      <c r="E5" s="618"/>
      <c r="F5" s="822" t="s">
        <v>8</v>
      </c>
      <c r="G5" s="629"/>
      <c r="H5" s="617"/>
      <c r="I5" s="761"/>
      <c r="J5" s="761"/>
      <c r="K5" s="761"/>
      <c r="L5" s="761"/>
      <c r="M5" s="618"/>
      <c r="N5" s="58"/>
      <c r="P5" s="24" t="s">
        <v>9</v>
      </c>
      <c r="Q5" s="836">
        <v>45985</v>
      </c>
      <c r="R5" s="651"/>
      <c r="T5" s="699" t="s">
        <v>10</v>
      </c>
      <c r="U5" s="700"/>
      <c r="V5" s="701" t="s">
        <v>11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12</v>
      </c>
      <c r="B6" s="628"/>
      <c r="C6" s="629"/>
      <c r="D6" s="764" t="s">
        <v>13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14</v>
      </c>
      <c r="Q6" s="844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15</v>
      </c>
      <c r="U6" s="700"/>
      <c r="V6" s="747" t="s">
        <v>16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17</v>
      </c>
      <c r="B8" s="558"/>
      <c r="C8" s="559"/>
      <c r="D8" s="609" t="s">
        <v>18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19</v>
      </c>
      <c r="Q8" s="658">
        <v>0.41666666666666669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20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21</v>
      </c>
      <c r="Q10" s="705"/>
      <c r="R10" s="706"/>
      <c r="U10" s="24" t="s">
        <v>22</v>
      </c>
      <c r="V10" s="584" t="s">
        <v>23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0"/>
      <c r="R11" s="651"/>
      <c r="U11" s="24" t="s">
        <v>26</v>
      </c>
      <c r="V11" s="787" t="s">
        <v>27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28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29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30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31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32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33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34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35</v>
      </c>
      <c r="B17" s="581" t="s">
        <v>36</v>
      </c>
      <c r="C17" s="666" t="s">
        <v>37</v>
      </c>
      <c r="D17" s="581" t="s">
        <v>38</v>
      </c>
      <c r="E17" s="636"/>
      <c r="F17" s="581" t="s">
        <v>39</v>
      </c>
      <c r="G17" s="581" t="s">
        <v>40</v>
      </c>
      <c r="H17" s="581" t="s">
        <v>41</v>
      </c>
      <c r="I17" s="581" t="s">
        <v>42</v>
      </c>
      <c r="J17" s="581" t="s">
        <v>43</v>
      </c>
      <c r="K17" s="581" t="s">
        <v>44</v>
      </c>
      <c r="L17" s="581" t="s">
        <v>45</v>
      </c>
      <c r="M17" s="581" t="s">
        <v>46</v>
      </c>
      <c r="N17" s="581" t="s">
        <v>47</v>
      </c>
      <c r="O17" s="581" t="s">
        <v>48</v>
      </c>
      <c r="P17" s="581" t="s">
        <v>49</v>
      </c>
      <c r="Q17" s="635"/>
      <c r="R17" s="635"/>
      <c r="S17" s="635"/>
      <c r="T17" s="636"/>
      <c r="U17" s="853" t="s">
        <v>50</v>
      </c>
      <c r="V17" s="629"/>
      <c r="W17" s="581" t="s">
        <v>51</v>
      </c>
      <c r="X17" s="581" t="s">
        <v>52</v>
      </c>
      <c r="Y17" s="854" t="s">
        <v>53</v>
      </c>
      <c r="Z17" s="759" t="s">
        <v>54</v>
      </c>
      <c r="AA17" s="738" t="s">
        <v>55</v>
      </c>
      <c r="AB17" s="738" t="s">
        <v>56</v>
      </c>
      <c r="AC17" s="738" t="s">
        <v>57</v>
      </c>
      <c r="AD17" s="738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62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62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63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64</v>
      </c>
      <c r="B22" s="54" t="s">
        <v>65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70</v>
      </c>
      <c r="Q23" s="558"/>
      <c r="R23" s="558"/>
      <c r="S23" s="558"/>
      <c r="T23" s="558"/>
      <c r="U23" s="558"/>
      <c r="V23" s="559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70</v>
      </c>
      <c r="Q24" s="558"/>
      <c r="R24" s="558"/>
      <c r="S24" s="558"/>
      <c r="T24" s="558"/>
      <c r="U24" s="558"/>
      <c r="V24" s="559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72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73</v>
      </c>
      <c r="B26" s="54" t="s">
        <v>74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78</v>
      </c>
      <c r="B27" s="54" t="s">
        <v>79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81</v>
      </c>
      <c r="B28" s="54" t="s">
        <v>82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70</v>
      </c>
      <c r="Q31" s="558"/>
      <c r="R31" s="558"/>
      <c r="S31" s="558"/>
      <c r="T31" s="558"/>
      <c r="U31" s="558"/>
      <c r="V31" s="559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70</v>
      </c>
      <c r="Q32" s="558"/>
      <c r="R32" s="558"/>
      <c r="S32" s="558"/>
      <c r="T32" s="558"/>
      <c r="U32" s="558"/>
      <c r="V32" s="559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90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91</v>
      </c>
      <c r="B34" s="54" t="s">
        <v>92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70</v>
      </c>
      <c r="Q35" s="558"/>
      <c r="R35" s="558"/>
      <c r="S35" s="558"/>
      <c r="T35" s="558"/>
      <c r="U35" s="558"/>
      <c r="V35" s="559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70</v>
      </c>
      <c r="Q36" s="558"/>
      <c r="R36" s="558"/>
      <c r="S36" s="558"/>
      <c r="T36" s="558"/>
      <c r="U36" s="558"/>
      <c r="V36" s="559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96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97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98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68</v>
      </c>
      <c r="X40" s="539">
        <v>394</v>
      </c>
      <c r="Y40" s="540">
        <f>IFERROR(IF(X40="",0,CEILING((X40/$H40),1)*$H40),"")</f>
        <v>399.6</v>
      </c>
      <c r="Z40" s="36">
        <f>IFERROR(IF(Y40=0,"",ROUNDUP(Y40/H40,0)*0.01898),"")</f>
        <v>0.70226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408.95740740740746</v>
      </c>
      <c r="BN40" s="64">
        <f>IFERROR(Y40*I40/H40,"0")</f>
        <v>414.77000000000004</v>
      </c>
      <c r="BO40" s="64">
        <f>IFERROR(1/J40*(X40/H40),"0")</f>
        <v>0.57002314814814814</v>
      </c>
      <c r="BP40" s="64">
        <f>IFERROR(1/J40*(Y40/H40),"0")</f>
        <v>0.578125</v>
      </c>
    </row>
    <row r="41" spans="1:68" ht="27" customHeight="1" x14ac:dyDescent="0.25">
      <c r="A41" s="54" t="s">
        <v>106</v>
      </c>
      <c r="B41" s="54" t="s">
        <v>107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/>
      <c r="M41" s="33" t="s">
        <v>76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 t="s">
        <v>111</v>
      </c>
      <c r="M42" s="33" t="s">
        <v>76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 t="s">
        <v>105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70</v>
      </c>
      <c r="Q43" s="558"/>
      <c r="R43" s="558"/>
      <c r="S43" s="558"/>
      <c r="T43" s="558"/>
      <c r="U43" s="558"/>
      <c r="V43" s="559"/>
      <c r="W43" s="37" t="s">
        <v>71</v>
      </c>
      <c r="X43" s="541">
        <f>IFERROR(X40/H40,"0")+IFERROR(X41/H41,"0")+IFERROR(X42/H42,"0")</f>
        <v>36.481481481481481</v>
      </c>
      <c r="Y43" s="541">
        <f>IFERROR(Y40/H40,"0")+IFERROR(Y41/H41,"0")+IFERROR(Y42/H42,"0")</f>
        <v>37</v>
      </c>
      <c r="Z43" s="541">
        <f>IFERROR(IF(Z40="",0,Z40),"0")+IFERROR(IF(Z41="",0,Z41),"0")+IFERROR(IF(Z42="",0,Z42),"0")</f>
        <v>0.70226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70</v>
      </c>
      <c r="Q44" s="558"/>
      <c r="R44" s="558"/>
      <c r="S44" s="558"/>
      <c r="T44" s="558"/>
      <c r="U44" s="558"/>
      <c r="V44" s="559"/>
      <c r="W44" s="37" t="s">
        <v>68</v>
      </c>
      <c r="X44" s="541">
        <f>IFERROR(SUM(X40:X42),"0")</f>
        <v>394</v>
      </c>
      <c r="Y44" s="541">
        <f>IFERROR(SUM(Y40:Y42),"0")</f>
        <v>399.6</v>
      </c>
      <c r="Z44" s="37"/>
      <c r="AA44" s="542"/>
      <c r="AB44" s="542"/>
      <c r="AC44" s="542"/>
    </row>
    <row r="45" spans="1:68" ht="14.25" customHeight="1" x14ac:dyDescent="0.25">
      <c r="A45" s="554" t="s">
        <v>72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70</v>
      </c>
      <c r="Q47" s="558"/>
      <c r="R47" s="558"/>
      <c r="S47" s="558"/>
      <c r="T47" s="558"/>
      <c r="U47" s="558"/>
      <c r="V47" s="559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70</v>
      </c>
      <c r="Q48" s="558"/>
      <c r="R48" s="558"/>
      <c r="S48" s="558"/>
      <c r="T48" s="558"/>
      <c r="U48" s="558"/>
      <c r="V48" s="559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115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98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 t="s">
        <v>102</v>
      </c>
      <c r="M51" s="33" t="s">
        <v>76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68</v>
      </c>
      <c r="X51" s="539">
        <v>67</v>
      </c>
      <c r="Y51" s="540">
        <f t="shared" ref="Y51:Y56" si="0">IFERROR(IF(X51="",0,CEILING((X51/$H51),1)*$H51),"")</f>
        <v>67.199999999999989</v>
      </c>
      <c r="Z51" s="36">
        <f>IFERROR(IF(Y51=0,"",ROUNDUP(Y51/H51,0)*0.01898),"")</f>
        <v>0.11388000000000001</v>
      </c>
      <c r="AA51" s="56"/>
      <c r="AB51" s="57"/>
      <c r="AC51" s="91" t="s">
        <v>118</v>
      </c>
      <c r="AG51" s="64"/>
      <c r="AJ51" s="68" t="s">
        <v>105</v>
      </c>
      <c r="AK51" s="68">
        <v>89.6</v>
      </c>
      <c r="BB51" s="92" t="s">
        <v>1</v>
      </c>
      <c r="BM51" s="64">
        <f t="shared" ref="BM51:BM56" si="1">IFERROR(X51*I51/H51,"0")</f>
        <v>69.452678571428578</v>
      </c>
      <c r="BN51" s="64">
        <f t="shared" ref="BN51:BN56" si="2">IFERROR(Y51*I51/H51,"0")</f>
        <v>69.659999999999982</v>
      </c>
      <c r="BO51" s="64">
        <f t="shared" ref="BO51:BO56" si="3">IFERROR(1/J51*(X51/H51),"0")</f>
        <v>9.3470982142857151E-2</v>
      </c>
      <c r="BP51" s="64">
        <f t="shared" ref="BP51:BP56" si="4">IFERROR(1/J51*(Y51/H51),"0")</f>
        <v>9.3749999999999986E-2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68</v>
      </c>
      <c r="X52" s="539">
        <v>78</v>
      </c>
      <c r="Y52" s="540">
        <f t="shared" si="0"/>
        <v>86.4</v>
      </c>
      <c r="Z52" s="36">
        <f>IFERROR(IF(Y52=0,"",ROUNDUP(Y52/H52,0)*0.01898),"")</f>
        <v>0.15184</v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80.961111111111123</v>
      </c>
      <c r="BN52" s="64">
        <f t="shared" si="2"/>
        <v>89.68</v>
      </c>
      <c r="BO52" s="64">
        <f t="shared" si="3"/>
        <v>0.11284722222222221</v>
      </c>
      <c r="BP52" s="64">
        <f t="shared" si="4"/>
        <v>0.125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111</v>
      </c>
      <c r="M54" s="33" t="s">
        <v>103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68</v>
      </c>
      <c r="X54" s="539">
        <v>26</v>
      </c>
      <c r="Y54" s="540">
        <f t="shared" si="0"/>
        <v>28</v>
      </c>
      <c r="Z54" s="36">
        <f>IFERROR(IF(Y54=0,"",ROUNDUP(Y54/H54,0)*0.00902),"")</f>
        <v>6.3140000000000002E-2</v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27.235000000000003</v>
      </c>
      <c r="BN54" s="64">
        <f t="shared" si="2"/>
        <v>29.330000000000002</v>
      </c>
      <c r="BO54" s="64">
        <f t="shared" si="3"/>
        <v>4.924242424242424E-2</v>
      </c>
      <c r="BP54" s="64">
        <f t="shared" si="4"/>
        <v>5.3030303030303032E-2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/>
      <c r="M56" s="33" t="s">
        <v>103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70</v>
      </c>
      <c r="Q57" s="558"/>
      <c r="R57" s="558"/>
      <c r="S57" s="558"/>
      <c r="T57" s="558"/>
      <c r="U57" s="558"/>
      <c r="V57" s="559"/>
      <c r="W57" s="37" t="s">
        <v>71</v>
      </c>
      <c r="X57" s="541">
        <f>IFERROR(X51/H51,"0")+IFERROR(X52/H52,"0")+IFERROR(X53/H53,"0")+IFERROR(X54/H54,"0")+IFERROR(X55/H55,"0")+IFERROR(X56/H56,"0")</f>
        <v>19.704365079365079</v>
      </c>
      <c r="Y57" s="541">
        <f>IFERROR(Y51/H51,"0")+IFERROR(Y52/H52,"0")+IFERROR(Y53/H53,"0")+IFERROR(Y54/H54,"0")+IFERROR(Y55/H55,"0")+IFERROR(Y56/H56,"0")</f>
        <v>21</v>
      </c>
      <c r="Z57" s="541">
        <f>IFERROR(IF(Z51="",0,Z51),"0")+IFERROR(IF(Z52="",0,Z52),"0")+IFERROR(IF(Z53="",0,Z53),"0")+IFERROR(IF(Z54="",0,Z54),"0")+IFERROR(IF(Z55="",0,Z55),"0")+IFERROR(IF(Z56="",0,Z56),"0")</f>
        <v>0.32886000000000004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70</v>
      </c>
      <c r="Q58" s="558"/>
      <c r="R58" s="558"/>
      <c r="S58" s="558"/>
      <c r="T58" s="558"/>
      <c r="U58" s="558"/>
      <c r="V58" s="559"/>
      <c r="W58" s="37" t="s">
        <v>68</v>
      </c>
      <c r="X58" s="541">
        <f>IFERROR(SUM(X51:X56),"0")</f>
        <v>171</v>
      </c>
      <c r="Y58" s="541">
        <f>IFERROR(SUM(Y51:Y56),"0")</f>
        <v>181.6</v>
      </c>
      <c r="Z58" s="37"/>
      <c r="AA58" s="542"/>
      <c r="AB58" s="542"/>
      <c r="AC58" s="542"/>
    </row>
    <row r="59" spans="1:68" ht="14.25" customHeight="1" x14ac:dyDescent="0.25">
      <c r="A59" s="554" t="s">
        <v>134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68</v>
      </c>
      <c r="X60" s="539">
        <v>163</v>
      </c>
      <c r="Y60" s="540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169.18796296296298</v>
      </c>
      <c r="BN60" s="64">
        <f>IFERROR(Y60*I60/H60,"0")</f>
        <v>179.36</v>
      </c>
      <c r="BO60" s="64">
        <f>IFERROR(1/J60*(X60/H60),"0")</f>
        <v>0.23582175925925924</v>
      </c>
      <c r="BP60" s="64">
        <f>IFERROR(1/J60*(Y60/H60),"0")</f>
        <v>0.25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70</v>
      </c>
      <c r="Q63" s="558"/>
      <c r="R63" s="558"/>
      <c r="S63" s="558"/>
      <c r="T63" s="558"/>
      <c r="U63" s="558"/>
      <c r="V63" s="559"/>
      <c r="W63" s="37" t="s">
        <v>71</v>
      </c>
      <c r="X63" s="541">
        <f>IFERROR(X60/H60,"0")+IFERROR(X61/H61,"0")+IFERROR(X62/H62,"0")</f>
        <v>15.092592592592592</v>
      </c>
      <c r="Y63" s="541">
        <f>IFERROR(Y60/H60,"0")+IFERROR(Y61/H61,"0")+IFERROR(Y62/H62,"0")</f>
        <v>16</v>
      </c>
      <c r="Z63" s="541">
        <f>IFERROR(IF(Z60="",0,Z60),"0")+IFERROR(IF(Z61="",0,Z61),"0")+IFERROR(IF(Z62="",0,Z62),"0")</f>
        <v>0.30368000000000001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70</v>
      </c>
      <c r="Q64" s="558"/>
      <c r="R64" s="558"/>
      <c r="S64" s="558"/>
      <c r="T64" s="558"/>
      <c r="U64" s="558"/>
      <c r="V64" s="559"/>
      <c r="W64" s="37" t="s">
        <v>68</v>
      </c>
      <c r="X64" s="541">
        <f>IFERROR(SUM(X60:X62),"0")</f>
        <v>163</v>
      </c>
      <c r="Y64" s="541">
        <f>IFERROR(SUM(Y60:Y62),"0")</f>
        <v>172.8</v>
      </c>
      <c r="Z64" s="37"/>
      <c r="AA64" s="542"/>
      <c r="AB64" s="542"/>
      <c r="AC64" s="542"/>
    </row>
    <row r="65" spans="1:68" ht="14.25" customHeight="1" x14ac:dyDescent="0.25">
      <c r="A65" s="554" t="s">
        <v>63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70</v>
      </c>
      <c r="Q69" s="558"/>
      <c r="R69" s="558"/>
      <c r="S69" s="558"/>
      <c r="T69" s="558"/>
      <c r="U69" s="558"/>
      <c r="V69" s="559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70</v>
      </c>
      <c r="Q70" s="558"/>
      <c r="R70" s="558"/>
      <c r="S70" s="558"/>
      <c r="T70" s="558"/>
      <c r="U70" s="558"/>
      <c r="V70" s="559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72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 t="s">
        <v>102</v>
      </c>
      <c r="M72" s="33" t="s">
        <v>76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105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70</v>
      </c>
      <c r="Q76" s="558"/>
      <c r="R76" s="558"/>
      <c r="S76" s="558"/>
      <c r="T76" s="558"/>
      <c r="U76" s="558"/>
      <c r="V76" s="559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70</v>
      </c>
      <c r="Q77" s="558"/>
      <c r="R77" s="558"/>
      <c r="S77" s="558"/>
      <c r="T77" s="558"/>
      <c r="U77" s="558"/>
      <c r="V77" s="559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162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68</v>
      </c>
      <c r="X79" s="539">
        <v>115</v>
      </c>
      <c r="Y79" s="540">
        <f>IFERROR(IF(X79="",0,CEILING((X79/$H79),1)*$H79),"")</f>
        <v>117</v>
      </c>
      <c r="Z79" s="36">
        <f>IFERROR(IF(Y79=0,"",ROUNDUP(Y79/H79,0)*0.01898),"")</f>
        <v>0.28470000000000001</v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121.04487179487181</v>
      </c>
      <c r="BN79" s="64">
        <f>IFERROR(Y79*I79/H79,"0")</f>
        <v>123.15</v>
      </c>
      <c r="BO79" s="64">
        <f>IFERROR(1/J79*(X79/H79),"0")</f>
        <v>0.23036858974358976</v>
      </c>
      <c r="BP79" s="64">
        <f>IFERROR(1/J79*(Y79/H79),"0")</f>
        <v>0.234375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70</v>
      </c>
      <c r="Q81" s="558"/>
      <c r="R81" s="558"/>
      <c r="S81" s="558"/>
      <c r="T81" s="558"/>
      <c r="U81" s="558"/>
      <c r="V81" s="559"/>
      <c r="W81" s="37" t="s">
        <v>71</v>
      </c>
      <c r="X81" s="541">
        <f>IFERROR(X79/H79,"0")+IFERROR(X80/H80,"0")</f>
        <v>14.743589743589745</v>
      </c>
      <c r="Y81" s="541">
        <f>IFERROR(Y79/H79,"0")+IFERROR(Y80/H80,"0")</f>
        <v>15</v>
      </c>
      <c r="Z81" s="541">
        <f>IFERROR(IF(Z79="",0,Z79),"0")+IFERROR(IF(Z80="",0,Z80),"0")</f>
        <v>0.28470000000000001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70</v>
      </c>
      <c r="Q82" s="558"/>
      <c r="R82" s="558"/>
      <c r="S82" s="558"/>
      <c r="T82" s="558"/>
      <c r="U82" s="558"/>
      <c r="V82" s="559"/>
      <c r="W82" s="37" t="s">
        <v>68</v>
      </c>
      <c r="X82" s="541">
        <f>IFERROR(SUM(X79:X80),"0")</f>
        <v>115</v>
      </c>
      <c r="Y82" s="541">
        <f>IFERROR(SUM(Y79:Y80),"0")</f>
        <v>117</v>
      </c>
      <c r="Z82" s="37"/>
      <c r="AA82" s="542"/>
      <c r="AB82" s="542"/>
      <c r="AC82" s="542"/>
    </row>
    <row r="83" spans="1:68" ht="16.5" customHeight="1" x14ac:dyDescent="0.25">
      <c r="A83" s="552" t="s">
        <v>169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98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68</v>
      </c>
      <c r="X85" s="539">
        <v>445</v>
      </c>
      <c r="Y85" s="540">
        <f>IFERROR(IF(X85="",0,CEILING((X85/$H85),1)*$H85),"")</f>
        <v>453.6</v>
      </c>
      <c r="Z85" s="36">
        <f>IFERROR(IF(Y85=0,"",ROUNDUP(Y85/H85,0)*0.01898),"")</f>
        <v>0.79715999999999998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461.89351851851853</v>
      </c>
      <c r="BN85" s="64">
        <f>IFERROR(Y85*I85/H85,"0")</f>
        <v>470.82000000000005</v>
      </c>
      <c r="BO85" s="64">
        <f>IFERROR(1/J85*(X85/H85),"0")</f>
        <v>0.64380787037037035</v>
      </c>
      <c r="BP85" s="64">
        <f>IFERROR(1/J85*(Y85/H85),"0")</f>
        <v>0.65625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111</v>
      </c>
      <c r="M87" s="33" t="s">
        <v>83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70</v>
      </c>
      <c r="Q88" s="558"/>
      <c r="R88" s="558"/>
      <c r="S88" s="558"/>
      <c r="T88" s="558"/>
      <c r="U88" s="558"/>
      <c r="V88" s="559"/>
      <c r="W88" s="37" t="s">
        <v>71</v>
      </c>
      <c r="X88" s="541">
        <f>IFERROR(X85/H85,"0")+IFERROR(X86/H86,"0")+IFERROR(X87/H87,"0")</f>
        <v>41.203703703703702</v>
      </c>
      <c r="Y88" s="541">
        <f>IFERROR(Y85/H85,"0")+IFERROR(Y86/H86,"0")+IFERROR(Y87/H87,"0")</f>
        <v>42</v>
      </c>
      <c r="Z88" s="541">
        <f>IFERROR(IF(Z85="",0,Z85),"0")+IFERROR(IF(Z86="",0,Z86),"0")+IFERROR(IF(Z87="",0,Z87),"0")</f>
        <v>0.79715999999999998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70</v>
      </c>
      <c r="Q89" s="558"/>
      <c r="R89" s="558"/>
      <c r="S89" s="558"/>
      <c r="T89" s="558"/>
      <c r="U89" s="558"/>
      <c r="V89" s="559"/>
      <c r="W89" s="37" t="s">
        <v>68</v>
      </c>
      <c r="X89" s="541">
        <f>IFERROR(SUM(X85:X87),"0")</f>
        <v>445</v>
      </c>
      <c r="Y89" s="541">
        <f>IFERROR(SUM(Y85:Y87),"0")</f>
        <v>453.6</v>
      </c>
      <c r="Z89" s="37"/>
      <c r="AA89" s="542"/>
      <c r="AB89" s="542"/>
      <c r="AC89" s="542"/>
    </row>
    <row r="90" spans="1:68" ht="14.25" customHeight="1" x14ac:dyDescent="0.25">
      <c r="A90" s="554" t="s">
        <v>72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68</v>
      </c>
      <c r="X91" s="539">
        <v>239</v>
      </c>
      <c r="Y91" s="540">
        <f>IFERROR(IF(X91="",0,CEILING((X91/$H91),1)*$H91),"")</f>
        <v>243</v>
      </c>
      <c r="Z91" s="36">
        <f>IFERROR(IF(Y91=0,"",ROUNDUP(Y91/H91,0)*0.01898),"")</f>
        <v>0.56940000000000002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253.57604938271604</v>
      </c>
      <c r="BN91" s="64">
        <f>IFERROR(Y91*I91/H91,"0")</f>
        <v>257.82</v>
      </c>
      <c r="BO91" s="64">
        <f>IFERROR(1/J91*(X91/H91),"0")</f>
        <v>0.46103395061728397</v>
      </c>
      <c r="BP91" s="64">
        <f>IFERROR(1/J91*(Y91/H91),"0")</f>
        <v>0.46875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/>
      <c r="M93" s="33" t="s">
        <v>83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68</v>
      </c>
      <c r="X93" s="539">
        <v>23</v>
      </c>
      <c r="Y93" s="540">
        <f>IFERROR(IF(X93="",0,CEILING((X93/$H93),1)*$H93),"")</f>
        <v>24.3</v>
      </c>
      <c r="Z93" s="36">
        <f>IFERROR(IF(Y93=0,"",ROUNDUP(Y93/H93,0)*0.00651),"")</f>
        <v>5.8590000000000003E-2</v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25.146666666666665</v>
      </c>
      <c r="BN93" s="64">
        <f>IFERROR(Y93*I93/H93,"0")</f>
        <v>26.567999999999998</v>
      </c>
      <c r="BO93" s="64">
        <f>IFERROR(1/J93*(X93/H93),"0")</f>
        <v>4.6805046805046803E-2</v>
      </c>
      <c r="BP93" s="64">
        <f>IFERROR(1/J93*(Y93/H93),"0")</f>
        <v>4.9450549450549455E-2</v>
      </c>
    </row>
    <row r="94" spans="1:68" ht="16.5" customHeight="1" x14ac:dyDescent="0.25">
      <c r="A94" s="54" t="s">
        <v>185</v>
      </c>
      <c r="B94" s="54" t="s">
        <v>186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/>
      <c r="M94" s="33" t="s">
        <v>76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70</v>
      </c>
      <c r="Q95" s="558"/>
      <c r="R95" s="558"/>
      <c r="S95" s="558"/>
      <c r="T95" s="558"/>
      <c r="U95" s="558"/>
      <c r="V95" s="559"/>
      <c r="W95" s="37" t="s">
        <v>71</v>
      </c>
      <c r="X95" s="541">
        <f>IFERROR(X91/H91,"0")+IFERROR(X92/H92,"0")+IFERROR(X93/H93,"0")+IFERROR(X94/H94,"0")</f>
        <v>38.02469135802469</v>
      </c>
      <c r="Y95" s="541">
        <f>IFERROR(Y91/H91,"0")+IFERROR(Y92/H92,"0")+IFERROR(Y93/H93,"0")+IFERROR(Y94/H94,"0")</f>
        <v>39</v>
      </c>
      <c r="Z95" s="541">
        <f>IFERROR(IF(Z91="",0,Z91),"0")+IFERROR(IF(Z92="",0,Z92),"0")+IFERROR(IF(Z93="",0,Z93),"0")+IFERROR(IF(Z94="",0,Z94),"0")</f>
        <v>0.62799000000000005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70</v>
      </c>
      <c r="Q96" s="558"/>
      <c r="R96" s="558"/>
      <c r="S96" s="558"/>
      <c r="T96" s="558"/>
      <c r="U96" s="558"/>
      <c r="V96" s="559"/>
      <c r="W96" s="37" t="s">
        <v>68</v>
      </c>
      <c r="X96" s="541">
        <f>IFERROR(SUM(X91:X94),"0")</f>
        <v>262</v>
      </c>
      <c r="Y96" s="541">
        <f>IFERROR(SUM(Y91:Y94),"0")</f>
        <v>267.3</v>
      </c>
      <c r="Z96" s="37"/>
      <c r="AA96" s="542"/>
      <c r="AB96" s="542"/>
      <c r="AC96" s="542"/>
    </row>
    <row r="97" spans="1:68" ht="16.5" customHeight="1" x14ac:dyDescent="0.25">
      <c r="A97" s="552" t="s">
        <v>188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98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68</v>
      </c>
      <c r="X99" s="539">
        <v>243</v>
      </c>
      <c r="Y99" s="540">
        <f>IFERROR(IF(X99="",0,CEILING((X99/$H99),1)*$H99),"")</f>
        <v>248.4</v>
      </c>
      <c r="Z99" s="36">
        <f>IFERROR(IF(Y99=0,"",ROUNDUP(Y99/H99,0)*0.01898),"")</f>
        <v>0.43653999999999998</v>
      </c>
      <c r="AA99" s="56"/>
      <c r="AB99" s="57"/>
      <c r="AC99" s="141" t="s">
        <v>191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252.22499999999999</v>
      </c>
      <c r="BN99" s="64">
        <f>IFERROR(Y99*I99/H99,"0")</f>
        <v>257.83</v>
      </c>
      <c r="BO99" s="64">
        <f>IFERROR(1/J99*(X99/H99),"0")</f>
        <v>0.3515625</v>
      </c>
      <c r="BP99" s="64">
        <f>IFERROR(1/J99*(Y99/H99),"0")</f>
        <v>0.359375</v>
      </c>
    </row>
    <row r="100" spans="1:68" ht="37.5" customHeight="1" x14ac:dyDescent="0.25">
      <c r="A100" s="54" t="s">
        <v>192</v>
      </c>
      <c r="B100" s="54" t="s">
        <v>193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/>
      <c r="M100" s="33" t="s">
        <v>76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111</v>
      </c>
      <c r="M101" s="33" t="s">
        <v>76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68</v>
      </c>
      <c r="X101" s="539">
        <v>69</v>
      </c>
      <c r="Y101" s="540">
        <f>IFERROR(IF(X101="",0,CEILING((X101/$H101),1)*$H101),"")</f>
        <v>72</v>
      </c>
      <c r="Z101" s="36">
        <f>IFERROR(IF(Y101=0,"",ROUNDUP(Y101/H101,0)*0.00902),"")</f>
        <v>0.14432</v>
      </c>
      <c r="AA101" s="56"/>
      <c r="AB101" s="57"/>
      <c r="AC101" s="145" t="s">
        <v>191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71.913333333333341</v>
      </c>
      <c r="BN101" s="64">
        <f>IFERROR(Y101*I101/H101,"0")</f>
        <v>75.040000000000006</v>
      </c>
      <c r="BO101" s="64">
        <f>IFERROR(1/J101*(X101/H101),"0")</f>
        <v>0.11616161616161617</v>
      </c>
      <c r="BP101" s="64">
        <f>IFERROR(1/J101*(Y101/H101),"0")</f>
        <v>0.12121212121212122</v>
      </c>
    </row>
    <row r="102" spans="1:68" ht="37.5" customHeight="1" x14ac:dyDescent="0.25">
      <c r="A102" s="54" t="s">
        <v>196</v>
      </c>
      <c r="B102" s="54" t="s">
        <v>197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70</v>
      </c>
      <c r="Q103" s="558"/>
      <c r="R103" s="558"/>
      <c r="S103" s="558"/>
      <c r="T103" s="558"/>
      <c r="U103" s="558"/>
      <c r="V103" s="559"/>
      <c r="W103" s="37" t="s">
        <v>71</v>
      </c>
      <c r="X103" s="541">
        <f>IFERROR(X99/H99,"0")+IFERROR(X100/H100,"0")+IFERROR(X101/H101,"0")+IFERROR(X102/H102,"0")</f>
        <v>37.833333333333336</v>
      </c>
      <c r="Y103" s="541">
        <f>IFERROR(Y99/H99,"0")+IFERROR(Y100/H100,"0")+IFERROR(Y101/H101,"0")+IFERROR(Y102/H102,"0")</f>
        <v>39</v>
      </c>
      <c r="Z103" s="541">
        <f>IFERROR(IF(Z99="",0,Z99),"0")+IFERROR(IF(Z100="",0,Z100),"0")+IFERROR(IF(Z101="",0,Z101),"0")+IFERROR(IF(Z102="",0,Z102),"0")</f>
        <v>0.58085999999999993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70</v>
      </c>
      <c r="Q104" s="558"/>
      <c r="R104" s="558"/>
      <c r="S104" s="558"/>
      <c r="T104" s="558"/>
      <c r="U104" s="558"/>
      <c r="V104" s="559"/>
      <c r="W104" s="37" t="s">
        <v>68</v>
      </c>
      <c r="X104" s="541">
        <f>IFERROR(SUM(X99:X102),"0")</f>
        <v>312</v>
      </c>
      <c r="Y104" s="541">
        <f>IFERROR(SUM(Y99:Y102),"0")</f>
        <v>320.39999999999998</v>
      </c>
      <c r="Z104" s="37"/>
      <c r="AA104" s="542"/>
      <c r="AB104" s="542"/>
      <c r="AC104" s="542"/>
    </row>
    <row r="105" spans="1:68" ht="14.25" customHeight="1" x14ac:dyDescent="0.25">
      <c r="A105" s="554" t="s">
        <v>134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198</v>
      </c>
      <c r="B106" s="54" t="s">
        <v>199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200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201</v>
      </c>
      <c r="B107" s="54" t="s">
        <v>202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203</v>
      </c>
      <c r="B108" s="54" t="s">
        <v>204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 t="s">
        <v>205</v>
      </c>
      <c r="M108" s="33" t="s">
        <v>103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200</v>
      </c>
      <c r="AG108" s="64"/>
      <c r="AJ108" s="68" t="s">
        <v>105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70</v>
      </c>
      <c r="Q109" s="558"/>
      <c r="R109" s="558"/>
      <c r="S109" s="558"/>
      <c r="T109" s="558"/>
      <c r="U109" s="558"/>
      <c r="V109" s="559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70</v>
      </c>
      <c r="Q110" s="558"/>
      <c r="R110" s="558"/>
      <c r="S110" s="558"/>
      <c r="T110" s="558"/>
      <c r="U110" s="558"/>
      <c r="V110" s="559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72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68</v>
      </c>
      <c r="X112" s="539">
        <v>157</v>
      </c>
      <c r="Y112" s="540">
        <f>IFERROR(IF(X112="",0,CEILING((X112/$H112),1)*$H112),"")</f>
        <v>162</v>
      </c>
      <c r="Z112" s="36">
        <f>IFERROR(IF(Y112=0,"",ROUNDUP(Y112/H112,0)*0.01898),"")</f>
        <v>0.37959999999999999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166.45876543209874</v>
      </c>
      <c r="BN112" s="64">
        <f>IFERROR(Y112*I112/H112,"0")</f>
        <v>171.76</v>
      </c>
      <c r="BO112" s="64">
        <f>IFERROR(1/J112*(X112/H112),"0")</f>
        <v>0.30285493827160498</v>
      </c>
      <c r="BP112" s="64">
        <f>IFERROR(1/J112*(Y112/H112),"0")</f>
        <v>0.3125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205</v>
      </c>
      <c r="M114" s="33" t="s">
        <v>83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68</v>
      </c>
      <c r="X114" s="539">
        <v>16</v>
      </c>
      <c r="Y114" s="540">
        <f>IFERROR(IF(X114="",0,CEILING((X114/$H114),1)*$H114),"")</f>
        <v>16.200000000000003</v>
      </c>
      <c r="Z114" s="36">
        <f>IFERROR(IF(Y114=0,"",ROUNDUP(Y114/H114,0)*0.00651),"")</f>
        <v>3.9059999999999997E-2</v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17.493333333333332</v>
      </c>
      <c r="BN114" s="64">
        <f>IFERROR(Y114*I114/H114,"0")</f>
        <v>17.712000000000003</v>
      </c>
      <c r="BO114" s="64">
        <f>IFERROR(1/J114*(X114/H114),"0")</f>
        <v>3.2560032560032558E-2</v>
      </c>
      <c r="BP114" s="64">
        <f>IFERROR(1/J114*(Y114/H114),"0")</f>
        <v>3.2967032967032975E-2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70</v>
      </c>
      <c r="Q116" s="558"/>
      <c r="R116" s="558"/>
      <c r="S116" s="558"/>
      <c r="T116" s="558"/>
      <c r="U116" s="558"/>
      <c r="V116" s="559"/>
      <c r="W116" s="37" t="s">
        <v>71</v>
      </c>
      <c r="X116" s="541">
        <f>IFERROR(X112/H112,"0")+IFERROR(X113/H113,"0")+IFERROR(X114/H114,"0")+IFERROR(X115/H115,"0")</f>
        <v>25.308641975308646</v>
      </c>
      <c r="Y116" s="541">
        <f>IFERROR(Y112/H112,"0")+IFERROR(Y113/H113,"0")+IFERROR(Y114/H114,"0")+IFERROR(Y115/H115,"0")</f>
        <v>26</v>
      </c>
      <c r="Z116" s="541">
        <f>IFERROR(IF(Z112="",0,Z112),"0")+IFERROR(IF(Z113="",0,Z113),"0")+IFERROR(IF(Z114="",0,Z114),"0")+IFERROR(IF(Z115="",0,Z115),"0")</f>
        <v>0.41865999999999998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70</v>
      </c>
      <c r="Q117" s="558"/>
      <c r="R117" s="558"/>
      <c r="S117" s="558"/>
      <c r="T117" s="558"/>
      <c r="U117" s="558"/>
      <c r="V117" s="559"/>
      <c r="W117" s="37" t="s">
        <v>68</v>
      </c>
      <c r="X117" s="541">
        <f>IFERROR(SUM(X112:X115),"0")</f>
        <v>173</v>
      </c>
      <c r="Y117" s="541">
        <f>IFERROR(SUM(Y112:Y115),"0")</f>
        <v>178.2</v>
      </c>
      <c r="Z117" s="37"/>
      <c r="AA117" s="542"/>
      <c r="AB117" s="542"/>
      <c r="AC117" s="542"/>
    </row>
    <row r="118" spans="1:68" ht="14.25" customHeight="1" x14ac:dyDescent="0.25">
      <c r="A118" s="554" t="s">
        <v>162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70</v>
      </c>
      <c r="Q120" s="558"/>
      <c r="R120" s="558"/>
      <c r="S120" s="558"/>
      <c r="T120" s="558"/>
      <c r="U120" s="558"/>
      <c r="V120" s="559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70</v>
      </c>
      <c r="Q121" s="558"/>
      <c r="R121" s="558"/>
      <c r="S121" s="558"/>
      <c r="T121" s="558"/>
      <c r="U121" s="558"/>
      <c r="V121" s="559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219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98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/>
      <c r="M124" s="33" t="s">
        <v>93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/>
      <c r="M125" s="33" t="s">
        <v>93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70</v>
      </c>
      <c r="Q126" s="558"/>
      <c r="R126" s="558"/>
      <c r="S126" s="558"/>
      <c r="T126" s="558"/>
      <c r="U126" s="558"/>
      <c r="V126" s="559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70</v>
      </c>
      <c r="Q127" s="558"/>
      <c r="R127" s="558"/>
      <c r="S127" s="558"/>
      <c r="T127" s="558"/>
      <c r="U127" s="558"/>
      <c r="V127" s="559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63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/>
      <c r="M130" s="33" t="s">
        <v>93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70</v>
      </c>
      <c r="Q131" s="558"/>
      <c r="R131" s="558"/>
      <c r="S131" s="558"/>
      <c r="T131" s="558"/>
      <c r="U131" s="558"/>
      <c r="V131" s="559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70</v>
      </c>
      <c r="Q132" s="558"/>
      <c r="R132" s="558"/>
      <c r="S132" s="558"/>
      <c r="T132" s="558"/>
      <c r="U132" s="558"/>
      <c r="V132" s="559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72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70</v>
      </c>
      <c r="Q136" s="558"/>
      <c r="R136" s="558"/>
      <c r="S136" s="558"/>
      <c r="T136" s="558"/>
      <c r="U136" s="558"/>
      <c r="V136" s="559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70</v>
      </c>
      <c r="Q137" s="558"/>
      <c r="R137" s="558"/>
      <c r="S137" s="558"/>
      <c r="T137" s="558"/>
      <c r="U137" s="558"/>
      <c r="V137" s="559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96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98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70</v>
      </c>
      <c r="Q142" s="558"/>
      <c r="R142" s="558"/>
      <c r="S142" s="558"/>
      <c r="T142" s="558"/>
      <c r="U142" s="558"/>
      <c r="V142" s="559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70</v>
      </c>
      <c r="Q143" s="558"/>
      <c r="R143" s="558"/>
      <c r="S143" s="558"/>
      <c r="T143" s="558"/>
      <c r="U143" s="558"/>
      <c r="V143" s="559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63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70</v>
      </c>
      <c r="Q148" s="558"/>
      <c r="R148" s="558"/>
      <c r="S148" s="558"/>
      <c r="T148" s="558"/>
      <c r="U148" s="558"/>
      <c r="V148" s="559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70</v>
      </c>
      <c r="Q149" s="558"/>
      <c r="R149" s="558"/>
      <c r="S149" s="558"/>
      <c r="T149" s="558"/>
      <c r="U149" s="558"/>
      <c r="V149" s="559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72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59" t="s">
        <v>248</v>
      </c>
      <c r="Q151" s="544"/>
      <c r="R151" s="544"/>
      <c r="S151" s="544"/>
      <c r="T151" s="545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70</v>
      </c>
      <c r="Q152" s="558"/>
      <c r="R152" s="558"/>
      <c r="S152" s="558"/>
      <c r="T152" s="558"/>
      <c r="U152" s="558"/>
      <c r="V152" s="559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70</v>
      </c>
      <c r="Q153" s="558"/>
      <c r="R153" s="558"/>
      <c r="S153" s="558"/>
      <c r="T153" s="558"/>
      <c r="U153" s="558"/>
      <c r="V153" s="559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250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251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134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70</v>
      </c>
      <c r="Q158" s="558"/>
      <c r="R158" s="558"/>
      <c r="S158" s="558"/>
      <c r="T158" s="558"/>
      <c r="U158" s="558"/>
      <c r="V158" s="559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70</v>
      </c>
      <c r="Q159" s="558"/>
      <c r="R159" s="558"/>
      <c r="S159" s="558"/>
      <c r="T159" s="558"/>
      <c r="U159" s="558"/>
      <c r="V159" s="559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63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111</v>
      </c>
      <c r="M161" s="33" t="s">
        <v>67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68</v>
      </c>
      <c r="X161" s="539">
        <v>10</v>
      </c>
      <c r="Y161" s="540">
        <f t="shared" ref="Y161:Y170" si="5">IFERROR(IF(X161="",0,CEILING((X161/$H161),1)*$H161),"")</f>
        <v>12.600000000000001</v>
      </c>
      <c r="Z161" s="36">
        <f>IFERROR(IF(Y161=0,"",ROUNDUP(Y161/H161,0)*0.00902),"")</f>
        <v>2.7060000000000001E-2</v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10.595238095238095</v>
      </c>
      <c r="BN161" s="64">
        <f t="shared" ref="BN161:BN170" si="7">IFERROR(Y161*I161/H161,"0")</f>
        <v>13.350000000000001</v>
      </c>
      <c r="BO161" s="64">
        <f t="shared" ref="BO161:BO170" si="8">IFERROR(1/J161*(X161/H161),"0")</f>
        <v>1.8037518037518036E-2</v>
      </c>
      <c r="BP161" s="64">
        <f t="shared" ref="BP161:BP170" si="9">IFERROR(1/J161*(Y161/H161),"0")</f>
        <v>2.2727272727272728E-2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111</v>
      </c>
      <c r="M163" s="33" t="s">
        <v>67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68</v>
      </c>
      <c r="X163" s="539">
        <v>81</v>
      </c>
      <c r="Y163" s="540">
        <f t="shared" si="5"/>
        <v>84</v>
      </c>
      <c r="Z163" s="36">
        <f>IFERROR(IF(Y163=0,"",ROUNDUP(Y163/H163,0)*0.00902),"")</f>
        <v>0.1804</v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84.664285714285711</v>
      </c>
      <c r="BN163" s="64">
        <f t="shared" si="7"/>
        <v>87.8</v>
      </c>
      <c r="BO163" s="64">
        <f t="shared" si="8"/>
        <v>0.1461038961038961</v>
      </c>
      <c r="BP163" s="64">
        <f t="shared" si="9"/>
        <v>0.15151515151515152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68</v>
      </c>
      <c r="X164" s="539">
        <v>70</v>
      </c>
      <c r="Y164" s="540">
        <f t="shared" si="5"/>
        <v>71.400000000000006</v>
      </c>
      <c r="Z164" s="36">
        <f>IFERROR(IF(Y164=0,"",ROUNDUP(Y164/H164,0)*0.00502),"")</f>
        <v>0.17068</v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74.333333333333329</v>
      </c>
      <c r="BN164" s="64">
        <f t="shared" si="7"/>
        <v>75.820000000000007</v>
      </c>
      <c r="BO164" s="64">
        <f t="shared" si="8"/>
        <v>0.14245014245014245</v>
      </c>
      <c r="BP164" s="64">
        <f t="shared" si="9"/>
        <v>0.14529914529914531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8" t="s">
        <v>269</v>
      </c>
      <c r="Q165" s="544"/>
      <c r="R165" s="544"/>
      <c r="S165" s="544"/>
      <c r="T165" s="545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 t="s">
        <v>266</v>
      </c>
      <c r="M167" s="33" t="s">
        <v>67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68</v>
      </c>
      <c r="X167" s="539">
        <v>36</v>
      </c>
      <c r="Y167" s="540">
        <f t="shared" si="5"/>
        <v>36</v>
      </c>
      <c r="Z167" s="36">
        <f>IFERROR(IF(Y167=0,"",ROUNDUP(Y167/H167,0)*0.00502),"")</f>
        <v>0.1004</v>
      </c>
      <c r="AA167" s="56"/>
      <c r="AB167" s="57"/>
      <c r="AC167" s="203" t="s">
        <v>275</v>
      </c>
      <c r="AG167" s="64"/>
      <c r="AJ167" s="68" t="s">
        <v>105</v>
      </c>
      <c r="AK167" s="68">
        <v>32.4</v>
      </c>
      <c r="BB167" s="204" t="s">
        <v>1</v>
      </c>
      <c r="BM167" s="64">
        <f t="shared" si="6"/>
        <v>38.6</v>
      </c>
      <c r="BN167" s="64">
        <f t="shared" si="7"/>
        <v>38.6</v>
      </c>
      <c r="BO167" s="64">
        <f t="shared" si="8"/>
        <v>8.5470085470085472E-2</v>
      </c>
      <c r="BP167" s="64">
        <f t="shared" si="9"/>
        <v>8.5470085470085472E-2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68</v>
      </c>
      <c r="X168" s="539">
        <v>212</v>
      </c>
      <c r="Y168" s="540">
        <f t="shared" si="5"/>
        <v>212.10000000000002</v>
      </c>
      <c r="Z168" s="36">
        <f>IFERROR(IF(Y168=0,"",ROUNDUP(Y168/H168,0)*0.00502),"")</f>
        <v>0.50702000000000003</v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222.0952380952381</v>
      </c>
      <c r="BN168" s="64">
        <f t="shared" si="7"/>
        <v>222.20000000000002</v>
      </c>
      <c r="BO168" s="64">
        <f t="shared" si="8"/>
        <v>0.43142043142043146</v>
      </c>
      <c r="BP168" s="64">
        <f t="shared" si="9"/>
        <v>0.43162393162393164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70</v>
      </c>
      <c r="Q171" s="558"/>
      <c r="R171" s="558"/>
      <c r="S171" s="558"/>
      <c r="T171" s="558"/>
      <c r="U171" s="558"/>
      <c r="V171" s="559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175.95238095238096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178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0.98555999999999999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70</v>
      </c>
      <c r="Q172" s="558"/>
      <c r="R172" s="558"/>
      <c r="S172" s="558"/>
      <c r="T172" s="558"/>
      <c r="U172" s="558"/>
      <c r="V172" s="559"/>
      <c r="W172" s="37" t="s">
        <v>68</v>
      </c>
      <c r="X172" s="541">
        <f>IFERROR(SUM(X161:X170),"0")</f>
        <v>409</v>
      </c>
      <c r="Y172" s="541">
        <f>IFERROR(SUM(Y161:Y170),"0")</f>
        <v>416.1</v>
      </c>
      <c r="Z172" s="37"/>
      <c r="AA172" s="542"/>
      <c r="AB172" s="542"/>
      <c r="AC172" s="542"/>
    </row>
    <row r="173" spans="1:68" ht="14.25" customHeight="1" x14ac:dyDescent="0.25">
      <c r="A173" s="554" t="s">
        <v>90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68</v>
      </c>
      <c r="X175" s="539">
        <v>4</v>
      </c>
      <c r="Y175" s="540">
        <f>IFERROR(IF(X175="",0,CEILING((X175/$H175),1)*$H175),"")</f>
        <v>5.04</v>
      </c>
      <c r="Z175" s="36">
        <f>IFERROR(IF(Y175=0,"",ROUNDUP(Y175/H175,0)*0.0059),"")</f>
        <v>2.3599999999999999E-2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4.6031746031746028</v>
      </c>
      <c r="BN175" s="64">
        <f>IFERROR(Y175*I175/H175,"0")</f>
        <v>5.8</v>
      </c>
      <c r="BO175" s="64">
        <f>IFERROR(1/J175*(X175/H175),"0")</f>
        <v>1.469723691945914E-2</v>
      </c>
      <c r="BP175" s="64">
        <f>IFERROR(1/J175*(Y175/H175),"0")</f>
        <v>1.8518518518518517E-2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68</v>
      </c>
      <c r="X176" s="539">
        <v>3</v>
      </c>
      <c r="Y176" s="540">
        <f>IFERROR(IF(X176="",0,CEILING((X176/$H176),1)*$H176),"")</f>
        <v>3.7800000000000002</v>
      </c>
      <c r="Z176" s="36">
        <f>IFERROR(IF(Y176=0,"",ROUNDUP(Y176/H176,0)*0.0059),"")</f>
        <v>1.77E-2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3.4523809523809521</v>
      </c>
      <c r="BN176" s="64">
        <f>IFERROR(Y176*I176/H176,"0")</f>
        <v>4.3499999999999996</v>
      </c>
      <c r="BO176" s="64">
        <f>IFERROR(1/J176*(X176/H176),"0")</f>
        <v>1.1022927689594356E-2</v>
      </c>
      <c r="BP176" s="64">
        <f>IFERROR(1/J176*(Y176/H176),"0")</f>
        <v>1.3888888888888888E-2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70</v>
      </c>
      <c r="Q177" s="558"/>
      <c r="R177" s="558"/>
      <c r="S177" s="558"/>
      <c r="T177" s="558"/>
      <c r="U177" s="558"/>
      <c r="V177" s="559"/>
      <c r="W177" s="37" t="s">
        <v>71</v>
      </c>
      <c r="X177" s="541">
        <f>IFERROR(X174/H174,"0")+IFERROR(X175/H175,"0")+IFERROR(X176/H176,"0")</f>
        <v>5.5555555555555554</v>
      </c>
      <c r="Y177" s="541">
        <f>IFERROR(Y174/H174,"0")+IFERROR(Y175/H175,"0")+IFERROR(Y176/H176,"0")</f>
        <v>7</v>
      </c>
      <c r="Z177" s="541">
        <f>IFERROR(IF(Z174="",0,Z174),"0")+IFERROR(IF(Z175="",0,Z175),"0")+IFERROR(IF(Z176="",0,Z176),"0")</f>
        <v>4.1300000000000003E-2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70</v>
      </c>
      <c r="Q178" s="558"/>
      <c r="R178" s="558"/>
      <c r="S178" s="558"/>
      <c r="T178" s="558"/>
      <c r="U178" s="558"/>
      <c r="V178" s="559"/>
      <c r="W178" s="37" t="s">
        <v>68</v>
      </c>
      <c r="X178" s="541">
        <f>IFERROR(SUM(X174:X176),"0")</f>
        <v>7</v>
      </c>
      <c r="Y178" s="541">
        <f>IFERROR(SUM(Y174:Y176),"0")</f>
        <v>8.82</v>
      </c>
      <c r="Z178" s="37"/>
      <c r="AA178" s="542"/>
      <c r="AB178" s="542"/>
      <c r="AC178" s="542"/>
    </row>
    <row r="179" spans="1:68" ht="14.25" customHeight="1" x14ac:dyDescent="0.25">
      <c r="A179" s="554" t="s">
        <v>293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68</v>
      </c>
      <c r="X180" s="539">
        <v>6</v>
      </c>
      <c r="Y180" s="540">
        <f>IFERROR(IF(X180="",0,CEILING((X180/$H180),1)*$H180),"")</f>
        <v>6.3</v>
      </c>
      <c r="Z180" s="36">
        <f>IFERROR(IF(Y180=0,"",ROUNDUP(Y180/H180,0)*0.0059),"")</f>
        <v>2.9499999999999998E-2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6.9047619047619042</v>
      </c>
      <c r="BN180" s="64">
        <f>IFERROR(Y180*I180/H180,"0")</f>
        <v>7.25</v>
      </c>
      <c r="BO180" s="64">
        <f>IFERROR(1/J180*(X180/H180),"0")</f>
        <v>2.2045855379188711E-2</v>
      </c>
      <c r="BP180" s="64">
        <f>IFERROR(1/J180*(Y180/H180),"0")</f>
        <v>2.3148148148148147E-2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70</v>
      </c>
      <c r="Q181" s="558"/>
      <c r="R181" s="558"/>
      <c r="S181" s="558"/>
      <c r="T181" s="558"/>
      <c r="U181" s="558"/>
      <c r="V181" s="559"/>
      <c r="W181" s="37" t="s">
        <v>71</v>
      </c>
      <c r="X181" s="541">
        <f>IFERROR(X180/H180,"0")</f>
        <v>4.7619047619047619</v>
      </c>
      <c r="Y181" s="541">
        <f>IFERROR(Y180/H180,"0")</f>
        <v>5</v>
      </c>
      <c r="Z181" s="541">
        <f>IFERROR(IF(Z180="",0,Z180),"0")</f>
        <v>2.9499999999999998E-2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70</v>
      </c>
      <c r="Q182" s="558"/>
      <c r="R182" s="558"/>
      <c r="S182" s="558"/>
      <c r="T182" s="558"/>
      <c r="U182" s="558"/>
      <c r="V182" s="559"/>
      <c r="W182" s="37" t="s">
        <v>68</v>
      </c>
      <c r="X182" s="541">
        <f>IFERROR(SUM(X180:X180),"0")</f>
        <v>6</v>
      </c>
      <c r="Y182" s="541">
        <f>IFERROR(SUM(Y180:Y180),"0")</f>
        <v>6.3</v>
      </c>
      <c r="Z182" s="37"/>
      <c r="AA182" s="542"/>
      <c r="AB182" s="542"/>
      <c r="AC182" s="542"/>
    </row>
    <row r="183" spans="1:68" ht="16.5" customHeight="1" x14ac:dyDescent="0.25">
      <c r="A183" s="552" t="s">
        <v>296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98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297</v>
      </c>
      <c r="B185" s="54" t="s">
        <v>298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70</v>
      </c>
      <c r="Q187" s="558"/>
      <c r="R187" s="558"/>
      <c r="S187" s="558"/>
      <c r="T187" s="558"/>
      <c r="U187" s="558"/>
      <c r="V187" s="559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70</v>
      </c>
      <c r="Q188" s="558"/>
      <c r="R188" s="558"/>
      <c r="S188" s="558"/>
      <c r="T188" s="558"/>
      <c r="U188" s="558"/>
      <c r="V188" s="559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134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 t="s">
        <v>205</v>
      </c>
      <c r="M191" s="33" t="s">
        <v>103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105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70</v>
      </c>
      <c r="Q192" s="558"/>
      <c r="R192" s="558"/>
      <c r="S192" s="558"/>
      <c r="T192" s="558"/>
      <c r="U192" s="558"/>
      <c r="V192" s="559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70</v>
      </c>
      <c r="Q193" s="558"/>
      <c r="R193" s="558"/>
      <c r="S193" s="558"/>
      <c r="T193" s="558"/>
      <c r="U193" s="558"/>
      <c r="V193" s="559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63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111</v>
      </c>
      <c r="M195" s="33" t="s">
        <v>67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68</v>
      </c>
      <c r="X195" s="539">
        <v>117</v>
      </c>
      <c r="Y195" s="540">
        <f t="shared" ref="Y195:Y202" si="10">IFERROR(IF(X195="",0,CEILING((X195/$H195),1)*$H195),"")</f>
        <v>118.80000000000001</v>
      </c>
      <c r="Z195" s="36">
        <f>IFERROR(IF(Y195=0,"",ROUNDUP(Y195/H195,0)*0.00902),"")</f>
        <v>0.19844000000000001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121.11666666666666</v>
      </c>
      <c r="BN195" s="64">
        <f t="shared" ref="BN195:BN202" si="12">IFERROR(Y195*I195/H195,"0")</f>
        <v>122.98</v>
      </c>
      <c r="BO195" s="64">
        <f t="shared" ref="BO195:BO202" si="13">IFERROR(1/J195*(X195/H195),"0")</f>
        <v>0.16414141414141412</v>
      </c>
      <c r="BP195" s="64">
        <f t="shared" ref="BP195:BP202" si="14">IFERROR(1/J195*(Y195/H195),"0")</f>
        <v>0.16666666666666669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111</v>
      </c>
      <c r="M196" s="33" t="s">
        <v>67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68</v>
      </c>
      <c r="X196" s="539">
        <v>80</v>
      </c>
      <c r="Y196" s="540">
        <f t="shared" si="10"/>
        <v>81</v>
      </c>
      <c r="Z196" s="36">
        <f>IFERROR(IF(Y196=0,"",ROUNDUP(Y196/H196,0)*0.00902),"")</f>
        <v>0.1353</v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82.81481481481481</v>
      </c>
      <c r="BN196" s="64">
        <f t="shared" si="12"/>
        <v>83.85</v>
      </c>
      <c r="BO196" s="64">
        <f t="shared" si="13"/>
        <v>0.11223344556677889</v>
      </c>
      <c r="BP196" s="64">
        <f t="shared" si="14"/>
        <v>0.11363636363636363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/>
      <c r="M197" s="33" t="s">
        <v>67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111</v>
      </c>
      <c r="M198" s="33" t="s">
        <v>67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68</v>
      </c>
      <c r="X198" s="539">
        <v>193</v>
      </c>
      <c r="Y198" s="540">
        <f t="shared" si="10"/>
        <v>194.4</v>
      </c>
      <c r="Z198" s="36">
        <f>IFERROR(IF(Y198=0,"",ROUNDUP(Y198/H198,0)*0.00902),"")</f>
        <v>0.32472000000000001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199.79074074074072</v>
      </c>
      <c r="BN198" s="64">
        <f t="shared" si="12"/>
        <v>201.23999999999998</v>
      </c>
      <c r="BO198" s="64">
        <f t="shared" si="13"/>
        <v>0.27076318742985411</v>
      </c>
      <c r="BP198" s="64">
        <f t="shared" si="14"/>
        <v>0.27272727272727271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68</v>
      </c>
      <c r="X199" s="539">
        <v>62</v>
      </c>
      <c r="Y199" s="540">
        <f t="shared" si="10"/>
        <v>63</v>
      </c>
      <c r="Z199" s="36">
        <f>IFERROR(IF(Y199=0,"",ROUNDUP(Y199/H199,0)*0.00502),"")</f>
        <v>0.1757</v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66.477777777777774</v>
      </c>
      <c r="BN199" s="64">
        <f t="shared" si="12"/>
        <v>67.55</v>
      </c>
      <c r="BO199" s="64">
        <f t="shared" si="13"/>
        <v>0.14719848053181386</v>
      </c>
      <c r="BP199" s="64">
        <f t="shared" si="14"/>
        <v>0.1495726495726496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68</v>
      </c>
      <c r="X200" s="539">
        <v>61</v>
      </c>
      <c r="Y200" s="540">
        <f t="shared" si="10"/>
        <v>61.2</v>
      </c>
      <c r="Z200" s="36">
        <f>IFERROR(IF(Y200=0,"",ROUNDUP(Y200/H200,0)*0.00502),"")</f>
        <v>0.17068</v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64.388888888888886</v>
      </c>
      <c r="BN200" s="64">
        <f t="shared" si="12"/>
        <v>64.599999999999994</v>
      </c>
      <c r="BO200" s="64">
        <f t="shared" si="13"/>
        <v>0.14482431149097816</v>
      </c>
      <c r="BP200" s="64">
        <f t="shared" si="14"/>
        <v>0.14529914529914531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68</v>
      </c>
      <c r="X202" s="539">
        <v>39</v>
      </c>
      <c r="Y202" s="540">
        <f t="shared" si="10"/>
        <v>39.6</v>
      </c>
      <c r="Z202" s="36">
        <f>IFERROR(IF(Y202=0,"",ROUNDUP(Y202/H202,0)*0.00502),"")</f>
        <v>0.11044000000000001</v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41.166666666666664</v>
      </c>
      <c r="BN202" s="64">
        <f t="shared" si="12"/>
        <v>41.8</v>
      </c>
      <c r="BO202" s="64">
        <f t="shared" si="13"/>
        <v>9.2592592592592601E-2</v>
      </c>
      <c r="BP202" s="64">
        <f t="shared" si="14"/>
        <v>9.401709401709403E-2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70</v>
      </c>
      <c r="Q203" s="558"/>
      <c r="R203" s="558"/>
      <c r="S203" s="558"/>
      <c r="T203" s="558"/>
      <c r="U203" s="558"/>
      <c r="V203" s="559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162.2222222222222</v>
      </c>
      <c r="Y203" s="541">
        <f>IFERROR(Y195/H195,"0")+IFERROR(Y196/H196,"0")+IFERROR(Y197/H197,"0")+IFERROR(Y198/H198,"0")+IFERROR(Y199/H199,"0")+IFERROR(Y200/H200,"0")+IFERROR(Y201/H201,"0")+IFERROR(Y202/H202,"0")</f>
        <v>164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1.11528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70</v>
      </c>
      <c r="Q204" s="558"/>
      <c r="R204" s="558"/>
      <c r="S204" s="558"/>
      <c r="T204" s="558"/>
      <c r="U204" s="558"/>
      <c r="V204" s="559"/>
      <c r="W204" s="37" t="s">
        <v>68</v>
      </c>
      <c r="X204" s="541">
        <f>IFERROR(SUM(X195:X202),"0")</f>
        <v>552</v>
      </c>
      <c r="Y204" s="541">
        <f>IFERROR(SUM(Y195:Y202),"0")</f>
        <v>558.00000000000011</v>
      </c>
      <c r="Z204" s="37"/>
      <c r="AA204" s="542"/>
      <c r="AB204" s="542"/>
      <c r="AC204" s="542"/>
    </row>
    <row r="205" spans="1:68" ht="14.25" customHeight="1" x14ac:dyDescent="0.25">
      <c r="A205" s="554" t="s">
        <v>72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/>
      <c r="M206" s="33" t="s">
        <v>76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/>
      <c r="M207" s="33" t="s">
        <v>76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68</v>
      </c>
      <c r="X207" s="539">
        <v>11</v>
      </c>
      <c r="Y207" s="540">
        <f t="shared" si="15"/>
        <v>16.2</v>
      </c>
      <c r="Z207" s="36">
        <f>IFERROR(IF(Y207=0,"",ROUNDUP(Y207/H207,0)*0.01898),"")</f>
        <v>3.7960000000000001E-2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11.646419753086422</v>
      </c>
      <c r="BN207" s="64">
        <f t="shared" si="17"/>
        <v>17.152000000000001</v>
      </c>
      <c r="BO207" s="64">
        <f t="shared" si="18"/>
        <v>2.1219135802469136E-2</v>
      </c>
      <c r="BP207" s="64">
        <f t="shared" si="19"/>
        <v>3.125E-2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68</v>
      </c>
      <c r="X208" s="539">
        <v>267</v>
      </c>
      <c r="Y208" s="540">
        <f t="shared" si="15"/>
        <v>269.7</v>
      </c>
      <c r="Z208" s="36">
        <f>IFERROR(IF(Y208=0,"",ROUNDUP(Y208/H208,0)*0.01898),"")</f>
        <v>0.58838000000000001</v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282.16068965517246</v>
      </c>
      <c r="BN208" s="64">
        <f t="shared" si="17"/>
        <v>285.01400000000007</v>
      </c>
      <c r="BO208" s="64">
        <f t="shared" si="18"/>
        <v>0.47952586206896558</v>
      </c>
      <c r="BP208" s="64">
        <f t="shared" si="19"/>
        <v>0.484375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205</v>
      </c>
      <c r="M209" s="33" t="s">
        <v>76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68</v>
      </c>
      <c r="X209" s="539">
        <v>190</v>
      </c>
      <c r="Y209" s="540">
        <f t="shared" si="15"/>
        <v>192</v>
      </c>
      <c r="Z209" s="36">
        <f t="shared" ref="Z209:Z214" si="20">IFERROR(IF(Y209=0,"",ROUNDUP(Y209/H209,0)*0.00651),"")</f>
        <v>0.52080000000000004</v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211.375</v>
      </c>
      <c r="BN209" s="64">
        <f t="shared" si="17"/>
        <v>213.6</v>
      </c>
      <c r="BO209" s="64">
        <f t="shared" si="18"/>
        <v>0.43498168498168505</v>
      </c>
      <c r="BP209" s="64">
        <f t="shared" si="19"/>
        <v>0.43956043956043961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205</v>
      </c>
      <c r="M211" s="33" t="s">
        <v>76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68</v>
      </c>
      <c r="X211" s="539">
        <v>173</v>
      </c>
      <c r="Y211" s="540">
        <f t="shared" si="15"/>
        <v>175.2</v>
      </c>
      <c r="Z211" s="36">
        <f t="shared" si="20"/>
        <v>0.47522999999999999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191.16500000000002</v>
      </c>
      <c r="BN211" s="64">
        <f t="shared" si="17"/>
        <v>193.596</v>
      </c>
      <c r="BO211" s="64">
        <f t="shared" si="18"/>
        <v>0.39606227106227115</v>
      </c>
      <c r="BP211" s="64">
        <f t="shared" si="19"/>
        <v>0.40109890109890112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205</v>
      </c>
      <c r="M212" s="33" t="s">
        <v>76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68</v>
      </c>
      <c r="X212" s="539">
        <v>206</v>
      </c>
      <c r="Y212" s="540">
        <f t="shared" si="15"/>
        <v>206.4</v>
      </c>
      <c r="Z212" s="36">
        <f t="shared" si="20"/>
        <v>0.55986000000000002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227.63000000000002</v>
      </c>
      <c r="BN212" s="64">
        <f t="shared" si="17"/>
        <v>228.07200000000006</v>
      </c>
      <c r="BO212" s="64">
        <f t="shared" si="18"/>
        <v>0.47161172161172171</v>
      </c>
      <c r="BP212" s="64">
        <f t="shared" si="19"/>
        <v>0.47252747252747257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205</v>
      </c>
      <c r="M213" s="33" t="s">
        <v>83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68</v>
      </c>
      <c r="X213" s="539">
        <v>156</v>
      </c>
      <c r="Y213" s="540">
        <f t="shared" si="15"/>
        <v>156</v>
      </c>
      <c r="Z213" s="36">
        <f t="shared" si="20"/>
        <v>0.42315000000000003</v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172.38000000000002</v>
      </c>
      <c r="BN213" s="64">
        <f t="shared" si="17"/>
        <v>172.38000000000002</v>
      </c>
      <c r="BO213" s="64">
        <f t="shared" si="18"/>
        <v>0.35714285714285715</v>
      </c>
      <c r="BP213" s="64">
        <f t="shared" si="19"/>
        <v>0.35714285714285715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205</v>
      </c>
      <c r="M214" s="33" t="s">
        <v>76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68</v>
      </c>
      <c r="X214" s="539">
        <v>79</v>
      </c>
      <c r="Y214" s="540">
        <f t="shared" si="15"/>
        <v>79.2</v>
      </c>
      <c r="Z214" s="36">
        <f t="shared" si="20"/>
        <v>0.21482999999999999</v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87.492500000000007</v>
      </c>
      <c r="BN214" s="64">
        <f t="shared" si="17"/>
        <v>87.713999999999999</v>
      </c>
      <c r="BO214" s="64">
        <f t="shared" si="18"/>
        <v>0.18086080586080591</v>
      </c>
      <c r="BP214" s="64">
        <f t="shared" si="19"/>
        <v>0.18131868131868134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70</v>
      </c>
      <c r="Q215" s="558"/>
      <c r="R215" s="558"/>
      <c r="S215" s="558"/>
      <c r="T215" s="558"/>
      <c r="U215" s="558"/>
      <c r="V215" s="559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367.04767986377186</v>
      </c>
      <c r="Y215" s="541">
        <f>IFERROR(Y206/H206,"0")+IFERROR(Y207/H207,"0")+IFERROR(Y208/H208,"0")+IFERROR(Y209/H209,"0")+IFERROR(Y210/H210,"0")+IFERROR(Y211/H211,"0")+IFERROR(Y212/H212,"0")+IFERROR(Y213/H213,"0")+IFERROR(Y214/H214,"0")</f>
        <v>370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2.8202100000000003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70</v>
      </c>
      <c r="Q216" s="558"/>
      <c r="R216" s="558"/>
      <c r="S216" s="558"/>
      <c r="T216" s="558"/>
      <c r="U216" s="558"/>
      <c r="V216" s="559"/>
      <c r="W216" s="37" t="s">
        <v>68</v>
      </c>
      <c r="X216" s="541">
        <f>IFERROR(SUM(X206:X214),"0")</f>
        <v>1082</v>
      </c>
      <c r="Y216" s="541">
        <f>IFERROR(SUM(Y206:Y214),"0")</f>
        <v>1094.6999999999998</v>
      </c>
      <c r="Z216" s="37"/>
      <c r="AA216" s="542"/>
      <c r="AB216" s="542"/>
      <c r="AC216" s="542"/>
    </row>
    <row r="217" spans="1:68" ht="14.25" customHeight="1" x14ac:dyDescent="0.25">
      <c r="A217" s="554" t="s">
        <v>162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68</v>
      </c>
      <c r="X218" s="539">
        <v>164</v>
      </c>
      <c r="Y218" s="540">
        <f>IFERROR(IF(X218="",0,CEILING((X218/$H218),1)*$H218),"")</f>
        <v>165.6</v>
      </c>
      <c r="Z218" s="36">
        <f>IFERROR(IF(Y218=0,"",ROUNDUP(Y218/H218,0)*0.00651),"")</f>
        <v>0.44919000000000003</v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181.22</v>
      </c>
      <c r="BN218" s="64">
        <f>IFERROR(Y218*I218/H218,"0")</f>
        <v>182.988</v>
      </c>
      <c r="BO218" s="64">
        <f>IFERROR(1/J218*(X218/H218),"0")</f>
        <v>0.37545787545787551</v>
      </c>
      <c r="BP218" s="64">
        <f>IFERROR(1/J218*(Y218/H218),"0")</f>
        <v>0.37912087912087916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 t="s">
        <v>205</v>
      </c>
      <c r="M219" s="33" t="s">
        <v>76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105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70</v>
      </c>
      <c r="Q220" s="558"/>
      <c r="R220" s="558"/>
      <c r="S220" s="558"/>
      <c r="T220" s="558"/>
      <c r="U220" s="558"/>
      <c r="V220" s="559"/>
      <c r="W220" s="37" t="s">
        <v>71</v>
      </c>
      <c r="X220" s="541">
        <f>IFERROR(X218/H218,"0")+IFERROR(X219/H219,"0")</f>
        <v>68.333333333333343</v>
      </c>
      <c r="Y220" s="541">
        <f>IFERROR(Y218/H218,"0")+IFERROR(Y219/H219,"0")</f>
        <v>69</v>
      </c>
      <c r="Z220" s="541">
        <f>IFERROR(IF(Z218="",0,Z218),"0")+IFERROR(IF(Z219="",0,Z219),"0")</f>
        <v>0.44919000000000003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70</v>
      </c>
      <c r="Q221" s="558"/>
      <c r="R221" s="558"/>
      <c r="S221" s="558"/>
      <c r="T221" s="558"/>
      <c r="U221" s="558"/>
      <c r="V221" s="559"/>
      <c r="W221" s="37" t="s">
        <v>68</v>
      </c>
      <c r="X221" s="541">
        <f>IFERROR(SUM(X218:X219),"0")</f>
        <v>164</v>
      </c>
      <c r="Y221" s="541">
        <f>IFERROR(SUM(Y218:Y219),"0")</f>
        <v>165.6</v>
      </c>
      <c r="Z221" s="37"/>
      <c r="AA221" s="542"/>
      <c r="AB221" s="542"/>
      <c r="AC221" s="542"/>
    </row>
    <row r="222" spans="1:68" ht="16.5" customHeight="1" x14ac:dyDescent="0.25">
      <c r="A222" s="552" t="s">
        <v>355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98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 t="s">
        <v>102</v>
      </c>
      <c r="M224" s="33" t="s">
        <v>103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68</v>
      </c>
      <c r="X224" s="539">
        <v>94</v>
      </c>
      <c r="Y224" s="540">
        <f t="shared" ref="Y224:Y233" si="21">IFERROR(IF(X224="",0,CEILING((X224/$H224),1)*$H224),"")</f>
        <v>104.39999999999999</v>
      </c>
      <c r="Z224" s="36">
        <f>IFERROR(IF(Y224=0,"",ROUNDUP(Y224/H224,0)*0.01898),"")</f>
        <v>0.17082</v>
      </c>
      <c r="AA224" s="56"/>
      <c r="AB224" s="57"/>
      <c r="AC224" s="265" t="s">
        <v>358</v>
      </c>
      <c r="AG224" s="64"/>
      <c r="AJ224" s="68" t="s">
        <v>105</v>
      </c>
      <c r="AK224" s="68">
        <v>92.8</v>
      </c>
      <c r="BB224" s="266" t="s">
        <v>1</v>
      </c>
      <c r="BM224" s="64">
        <f t="shared" ref="BM224:BM233" si="22">IFERROR(X224*I224/H224,"0")</f>
        <v>97.322413793103451</v>
      </c>
      <c r="BN224" s="64">
        <f t="shared" ref="BN224:BN233" si="23">IFERROR(Y224*I224/H224,"0")</f>
        <v>108.08999999999999</v>
      </c>
      <c r="BO224" s="64">
        <f t="shared" ref="BO224:BO233" si="24">IFERROR(1/J224*(X224/H224),"0")</f>
        <v>0.12661637931034483</v>
      </c>
      <c r="BP224" s="64">
        <f t="shared" ref="BP224:BP233" si="25">IFERROR(1/J224*(Y224/H224),"0")</f>
        <v>0.140625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70</v>
      </c>
      <c r="Q234" s="558"/>
      <c r="R234" s="558"/>
      <c r="S234" s="558"/>
      <c r="T234" s="558"/>
      <c r="U234" s="558"/>
      <c r="V234" s="559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8.1034482758620694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9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0.17082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70</v>
      </c>
      <c r="Q235" s="558"/>
      <c r="R235" s="558"/>
      <c r="S235" s="558"/>
      <c r="T235" s="558"/>
      <c r="U235" s="558"/>
      <c r="V235" s="559"/>
      <c r="W235" s="37" t="s">
        <v>68</v>
      </c>
      <c r="X235" s="541">
        <f>IFERROR(SUM(X224:X233),"0")</f>
        <v>94</v>
      </c>
      <c r="Y235" s="541">
        <f>IFERROR(SUM(Y224:Y233),"0")</f>
        <v>104.39999999999999</v>
      </c>
      <c r="Z235" s="37"/>
      <c r="AA235" s="542"/>
      <c r="AB235" s="542"/>
      <c r="AC235" s="542"/>
    </row>
    <row r="236" spans="1:68" ht="14.25" customHeight="1" x14ac:dyDescent="0.25">
      <c r="A236" s="554" t="s">
        <v>134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70</v>
      </c>
      <c r="Q238" s="558"/>
      <c r="R238" s="558"/>
      <c r="S238" s="558"/>
      <c r="T238" s="558"/>
      <c r="U238" s="558"/>
      <c r="V238" s="559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70</v>
      </c>
      <c r="Q239" s="558"/>
      <c r="R239" s="558"/>
      <c r="S239" s="558"/>
      <c r="T239" s="558"/>
      <c r="U239" s="558"/>
      <c r="V239" s="559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381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68</v>
      </c>
      <c r="X241" s="539">
        <v>9</v>
      </c>
      <c r="Y241" s="540">
        <f>IFERROR(IF(X241="",0,CEILING((X241/$H241),1)*$H241),"")</f>
        <v>9</v>
      </c>
      <c r="Z241" s="36">
        <f>IFERROR(IF(Y241=0,"",ROUNDUP(Y241/H241,0)*0.0059),"")</f>
        <v>2.9499999999999998E-2</v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9.8750000000000018</v>
      </c>
      <c r="BN241" s="64">
        <f>IFERROR(Y241*I241/H241,"0")</f>
        <v>9.8750000000000018</v>
      </c>
      <c r="BO241" s="64">
        <f>IFERROR(1/J241*(X241/H241),"0")</f>
        <v>2.3148148148148147E-2</v>
      </c>
      <c r="BP241" s="64">
        <f>IFERROR(1/J241*(Y241/H241),"0")</f>
        <v>2.3148148148148147E-2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70</v>
      </c>
      <c r="Q242" s="558"/>
      <c r="R242" s="558"/>
      <c r="S242" s="558"/>
      <c r="T242" s="558"/>
      <c r="U242" s="558"/>
      <c r="V242" s="559"/>
      <c r="W242" s="37" t="s">
        <v>71</v>
      </c>
      <c r="X242" s="541">
        <f>IFERROR(X241/H241,"0")</f>
        <v>5</v>
      </c>
      <c r="Y242" s="541">
        <f>IFERROR(Y241/H241,"0")</f>
        <v>5</v>
      </c>
      <c r="Z242" s="541">
        <f>IFERROR(IF(Z241="",0,Z241),"0")</f>
        <v>2.9499999999999998E-2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70</v>
      </c>
      <c r="Q243" s="558"/>
      <c r="R243" s="558"/>
      <c r="S243" s="558"/>
      <c r="T243" s="558"/>
      <c r="U243" s="558"/>
      <c r="V243" s="559"/>
      <c r="W243" s="37" t="s">
        <v>68</v>
      </c>
      <c r="X243" s="541">
        <f>IFERROR(SUM(X241:X241),"0")</f>
        <v>9</v>
      </c>
      <c r="Y243" s="541">
        <f>IFERROR(SUM(Y241:Y241),"0")</f>
        <v>9</v>
      </c>
      <c r="Z243" s="37"/>
      <c r="AA243" s="542"/>
      <c r="AB243" s="542"/>
      <c r="AC243" s="542"/>
    </row>
    <row r="244" spans="1:68" ht="14.25" customHeight="1" x14ac:dyDescent="0.25">
      <c r="A244" s="554" t="s">
        <v>385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68</v>
      </c>
      <c r="X247" s="539">
        <v>1</v>
      </c>
      <c r="Y247" s="540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68</v>
      </c>
      <c r="X248" s="539">
        <v>3</v>
      </c>
      <c r="Y248" s="540">
        <f>IFERROR(IF(X248="",0,CEILING((X248/$H248),1)*$H248),"")</f>
        <v>3.96</v>
      </c>
      <c r="Z248" s="36">
        <f>IFERROR(IF(Y248=0,"",ROUNDUP(Y248/H248,0)*0.0059),"")</f>
        <v>2.3599999999999999E-2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3.5757575757575757</v>
      </c>
      <c r="BN248" s="64">
        <f>IFERROR(Y248*I248/H248,"0")</f>
        <v>4.72</v>
      </c>
      <c r="BO248" s="64">
        <f>IFERROR(1/J248*(X248/H248),"0")</f>
        <v>1.4029180695847361E-2</v>
      </c>
      <c r="BP248" s="64">
        <f>IFERROR(1/J248*(Y248/H248),"0")</f>
        <v>1.8518518518518517E-2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70</v>
      </c>
      <c r="Q250" s="558"/>
      <c r="R250" s="558"/>
      <c r="S250" s="558"/>
      <c r="T250" s="558"/>
      <c r="U250" s="558"/>
      <c r="V250" s="559"/>
      <c r="W250" s="37" t="s">
        <v>71</v>
      </c>
      <c r="X250" s="541">
        <f>IFERROR(X245/H245,"0")+IFERROR(X246/H246,"0")+IFERROR(X247/H247,"0")+IFERROR(X248/H248,"0")+IFERROR(X249/H249,"0")</f>
        <v>4.1414141414141419</v>
      </c>
      <c r="Y250" s="541">
        <f>IFERROR(Y245/H245,"0")+IFERROR(Y246/H246,"0")+IFERROR(Y247/H247,"0")+IFERROR(Y248/H248,"0")+IFERROR(Y249/H249,"0")</f>
        <v>6</v>
      </c>
      <c r="Z250" s="541">
        <f>IFERROR(IF(Z245="",0,Z245),"0")+IFERROR(IF(Z246="",0,Z246),"0")+IFERROR(IF(Z247="",0,Z247),"0")+IFERROR(IF(Z248="",0,Z248),"0")+IFERROR(IF(Z249="",0,Z249),"0")</f>
        <v>3.5400000000000001E-2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70</v>
      </c>
      <c r="Q251" s="558"/>
      <c r="R251" s="558"/>
      <c r="S251" s="558"/>
      <c r="T251" s="558"/>
      <c r="U251" s="558"/>
      <c r="V251" s="559"/>
      <c r="W251" s="37" t="s">
        <v>68</v>
      </c>
      <c r="X251" s="541">
        <f>IFERROR(SUM(X245:X249),"0")</f>
        <v>4</v>
      </c>
      <c r="Y251" s="541">
        <f>IFERROR(SUM(Y245:Y249),"0")</f>
        <v>5.76</v>
      </c>
      <c r="Z251" s="37"/>
      <c r="AA251" s="542"/>
      <c r="AB251" s="542"/>
      <c r="AC251" s="542"/>
    </row>
    <row r="252" spans="1:68" ht="16.5" customHeight="1" x14ac:dyDescent="0.25">
      <c r="A252" s="552" t="s">
        <v>397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98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/>
      <c r="M254" s="33" t="s">
        <v>103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70</v>
      </c>
      <c r="Q259" s="558"/>
      <c r="R259" s="558"/>
      <c r="S259" s="558"/>
      <c r="T259" s="558"/>
      <c r="U259" s="558"/>
      <c r="V259" s="559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70</v>
      </c>
      <c r="Q260" s="558"/>
      <c r="R260" s="558"/>
      <c r="S260" s="558"/>
      <c r="T260" s="558"/>
      <c r="U260" s="558"/>
      <c r="V260" s="559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413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98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70</v>
      </c>
      <c r="Q267" s="558"/>
      <c r="R267" s="558"/>
      <c r="S267" s="558"/>
      <c r="T267" s="558"/>
      <c r="U267" s="558"/>
      <c r="V267" s="559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70</v>
      </c>
      <c r="Q268" s="558"/>
      <c r="R268" s="558"/>
      <c r="S268" s="558"/>
      <c r="T268" s="558"/>
      <c r="U268" s="558"/>
      <c r="V268" s="559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424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72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205</v>
      </c>
      <c r="M272" s="33" t="s">
        <v>83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205</v>
      </c>
      <c r="M273" s="33" t="s">
        <v>76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68</v>
      </c>
      <c r="X273" s="539">
        <v>54</v>
      </c>
      <c r="Y273" s="540">
        <f>IFERROR(IF(X273="",0,CEILING((X273/$H273),1)*$H273),"")</f>
        <v>55.199999999999996</v>
      </c>
      <c r="Z273" s="36">
        <f>IFERROR(IF(Y273=0,"",ROUNDUP(Y273/H273,0)*0.00651),"")</f>
        <v>0.14973</v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58.05</v>
      </c>
      <c r="BN273" s="64">
        <f>IFERROR(Y273*I273/H273,"0")</f>
        <v>59.34</v>
      </c>
      <c r="BO273" s="64">
        <f>IFERROR(1/J273*(X273/H273),"0")</f>
        <v>0.12362637362637363</v>
      </c>
      <c r="BP273" s="64">
        <f>IFERROR(1/J273*(Y273/H273),"0")</f>
        <v>0.1263736263736264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70</v>
      </c>
      <c r="Q274" s="558"/>
      <c r="R274" s="558"/>
      <c r="S274" s="558"/>
      <c r="T274" s="558"/>
      <c r="U274" s="558"/>
      <c r="V274" s="559"/>
      <c r="W274" s="37" t="s">
        <v>71</v>
      </c>
      <c r="X274" s="541">
        <f>IFERROR(X271/H271,"0")+IFERROR(X272/H272,"0")+IFERROR(X273/H273,"0")</f>
        <v>22.5</v>
      </c>
      <c r="Y274" s="541">
        <f>IFERROR(Y271/H271,"0")+IFERROR(Y272/H272,"0")+IFERROR(Y273/H273,"0")</f>
        <v>23</v>
      </c>
      <c r="Z274" s="541">
        <f>IFERROR(IF(Z271="",0,Z271),"0")+IFERROR(IF(Z272="",0,Z272),"0")+IFERROR(IF(Z273="",0,Z273),"0")</f>
        <v>0.14973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70</v>
      </c>
      <c r="Q275" s="558"/>
      <c r="R275" s="558"/>
      <c r="S275" s="558"/>
      <c r="T275" s="558"/>
      <c r="U275" s="558"/>
      <c r="V275" s="559"/>
      <c r="W275" s="37" t="s">
        <v>68</v>
      </c>
      <c r="X275" s="541">
        <f>IFERROR(SUM(X271:X273),"0")</f>
        <v>54</v>
      </c>
      <c r="Y275" s="541">
        <f>IFERROR(SUM(Y271:Y273),"0")</f>
        <v>55.199999999999996</v>
      </c>
      <c r="Z275" s="37"/>
      <c r="AA275" s="542"/>
      <c r="AB275" s="542"/>
      <c r="AC275" s="542"/>
    </row>
    <row r="276" spans="1:68" ht="16.5" customHeight="1" x14ac:dyDescent="0.25">
      <c r="A276" s="552" t="s">
        <v>433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63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70</v>
      </c>
      <c r="Q280" s="558"/>
      <c r="R280" s="558"/>
      <c r="S280" s="558"/>
      <c r="T280" s="558"/>
      <c r="U280" s="558"/>
      <c r="V280" s="559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70</v>
      </c>
      <c r="Q281" s="558"/>
      <c r="R281" s="558"/>
      <c r="S281" s="558"/>
      <c r="T281" s="558"/>
      <c r="U281" s="558"/>
      <c r="V281" s="559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72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33" t="s">
        <v>445</v>
      </c>
      <c r="Q284" s="544"/>
      <c r="R284" s="544"/>
      <c r="S284" s="544"/>
      <c r="T284" s="545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70</v>
      </c>
      <c r="Q285" s="558"/>
      <c r="R285" s="558"/>
      <c r="S285" s="558"/>
      <c r="T285" s="558"/>
      <c r="U285" s="558"/>
      <c r="V285" s="559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70</v>
      </c>
      <c r="Q286" s="558"/>
      <c r="R286" s="558"/>
      <c r="S286" s="558"/>
      <c r="T286" s="558"/>
      <c r="U286" s="558"/>
      <c r="V286" s="559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447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98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70</v>
      </c>
      <c r="Q294" s="558"/>
      <c r="R294" s="558"/>
      <c r="S294" s="558"/>
      <c r="T294" s="558"/>
      <c r="U294" s="558"/>
      <c r="V294" s="559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70</v>
      </c>
      <c r="Q295" s="558"/>
      <c r="R295" s="558"/>
      <c r="S295" s="558"/>
      <c r="T295" s="558"/>
      <c r="U295" s="558"/>
      <c r="V295" s="559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63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/>
      <c r="M298" s="33" t="s">
        <v>67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68</v>
      </c>
      <c r="X303" s="539">
        <v>14</v>
      </c>
      <c r="Y303" s="540">
        <f t="shared" si="26"/>
        <v>14.4</v>
      </c>
      <c r="Z303" s="36">
        <f>IFERROR(IF(Y303=0,"",ROUNDUP(Y303/H303,0)*0.00651),"")</f>
        <v>5.2080000000000001E-2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15.773333333333333</v>
      </c>
      <c r="BN303" s="64">
        <f t="shared" si="28"/>
        <v>16.224</v>
      </c>
      <c r="BO303" s="64">
        <f t="shared" si="29"/>
        <v>4.2735042735042736E-2</v>
      </c>
      <c r="BP303" s="64">
        <f t="shared" si="30"/>
        <v>4.3956043956043959E-2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70</v>
      </c>
      <c r="Q304" s="558"/>
      <c r="R304" s="558"/>
      <c r="S304" s="558"/>
      <c r="T304" s="558"/>
      <c r="U304" s="558"/>
      <c r="V304" s="559"/>
      <c r="W304" s="37" t="s">
        <v>71</v>
      </c>
      <c r="X304" s="541">
        <f>IFERROR(X297/H297,"0")+IFERROR(X298/H298,"0")+IFERROR(X299/H299,"0")+IFERROR(X300/H300,"0")+IFERROR(X301/H301,"0")+IFERROR(X302/H302,"0")+IFERROR(X303/H303,"0")</f>
        <v>7.7777777777777777</v>
      </c>
      <c r="Y304" s="541">
        <f>IFERROR(Y297/H297,"0")+IFERROR(Y298/H298,"0")+IFERROR(Y299/H299,"0")+IFERROR(Y300/H300,"0")+IFERROR(Y301/H301,"0")+IFERROR(Y302/H302,"0")+IFERROR(Y303/H303,"0")</f>
        <v>8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5.2080000000000001E-2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70</v>
      </c>
      <c r="Q305" s="558"/>
      <c r="R305" s="558"/>
      <c r="S305" s="558"/>
      <c r="T305" s="558"/>
      <c r="U305" s="558"/>
      <c r="V305" s="559"/>
      <c r="W305" s="37" t="s">
        <v>68</v>
      </c>
      <c r="X305" s="541">
        <f>IFERROR(SUM(X297:X303),"0")</f>
        <v>14</v>
      </c>
      <c r="Y305" s="541">
        <f>IFERROR(SUM(Y297:Y303),"0")</f>
        <v>14.4</v>
      </c>
      <c r="Z305" s="37"/>
      <c r="AA305" s="542"/>
      <c r="AB305" s="542"/>
      <c r="AC305" s="542"/>
    </row>
    <row r="306" spans="1:68" ht="14.25" customHeight="1" x14ac:dyDescent="0.25">
      <c r="A306" s="554" t="s">
        <v>72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/>
      <c r="M307" s="33" t="s">
        <v>76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70</v>
      </c>
      <c r="Q311" s="558"/>
      <c r="R311" s="558"/>
      <c r="S311" s="558"/>
      <c r="T311" s="558"/>
      <c r="U311" s="558"/>
      <c r="V311" s="559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70</v>
      </c>
      <c r="Q312" s="558"/>
      <c r="R312" s="558"/>
      <c r="S312" s="558"/>
      <c r="T312" s="558"/>
      <c r="U312" s="558"/>
      <c r="V312" s="559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162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 t="s">
        <v>102</v>
      </c>
      <c r="M314" s="33" t="s">
        <v>76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68</v>
      </c>
      <c r="X314" s="539">
        <v>215</v>
      </c>
      <c r="Y314" s="540">
        <f>IFERROR(IF(X314="",0,CEILING((X314/$H314),1)*$H314),"")</f>
        <v>218.4</v>
      </c>
      <c r="Z314" s="36">
        <f>IFERROR(IF(Y314=0,"",ROUNDUP(Y314/H314,0)*0.01898),"")</f>
        <v>0.49348000000000003</v>
      </c>
      <c r="AA314" s="56"/>
      <c r="AB314" s="57"/>
      <c r="AC314" s="363" t="s">
        <v>495</v>
      </c>
      <c r="AG314" s="64"/>
      <c r="AJ314" s="68" t="s">
        <v>105</v>
      </c>
      <c r="AK314" s="68">
        <v>67.2</v>
      </c>
      <c r="BB314" s="364" t="s">
        <v>1</v>
      </c>
      <c r="BM314" s="64">
        <f>IFERROR(X314*I314/H314,"0")</f>
        <v>227.64404761904763</v>
      </c>
      <c r="BN314" s="64">
        <f>IFERROR(Y314*I314/H314,"0")</f>
        <v>231.244</v>
      </c>
      <c r="BO314" s="64">
        <f>IFERROR(1/J314*(X314/H314),"0")</f>
        <v>0.39992559523809523</v>
      </c>
      <c r="BP314" s="64">
        <f>IFERROR(1/J314*(Y314/H314),"0")</f>
        <v>0.40625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68</v>
      </c>
      <c r="X315" s="539">
        <v>427</v>
      </c>
      <c r="Y315" s="540">
        <f>IFERROR(IF(X315="",0,CEILING((X315/$H315),1)*$H315),"")</f>
        <v>429</v>
      </c>
      <c r="Z315" s="36">
        <f>IFERROR(IF(Y315=0,"",ROUNDUP(Y315/H315,0)*0.01898),"")</f>
        <v>1.0439000000000001</v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454.04333333333335</v>
      </c>
      <c r="BN315" s="64">
        <f>IFERROR(Y315*I315/H315,"0")</f>
        <v>456.17</v>
      </c>
      <c r="BO315" s="64">
        <f>IFERROR(1/J315*(X315/H315),"0")</f>
        <v>0.85536858974358976</v>
      </c>
      <c r="BP315" s="64">
        <f>IFERROR(1/J315*(Y315/H315),"0")</f>
        <v>0.859375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 t="s">
        <v>102</v>
      </c>
      <c r="M316" s="33" t="s">
        <v>83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68</v>
      </c>
      <c r="X316" s="539">
        <v>13</v>
      </c>
      <c r="Y316" s="540">
        <f>IFERROR(IF(X316="",0,CEILING((X316/$H316),1)*$H316),"")</f>
        <v>16.8</v>
      </c>
      <c r="Z316" s="36">
        <f>IFERROR(IF(Y316=0,"",ROUNDUP(Y316/H316,0)*0.01898),"")</f>
        <v>3.7960000000000001E-2</v>
      </c>
      <c r="AA316" s="56"/>
      <c r="AB316" s="57"/>
      <c r="AC316" s="367" t="s">
        <v>501</v>
      </c>
      <c r="AG316" s="64"/>
      <c r="AJ316" s="68" t="s">
        <v>105</v>
      </c>
      <c r="AK316" s="68">
        <v>67.2</v>
      </c>
      <c r="BB316" s="368" t="s">
        <v>1</v>
      </c>
      <c r="BM316" s="64">
        <f>IFERROR(X316*I316/H316,"0")</f>
        <v>13.764523809523808</v>
      </c>
      <c r="BN316" s="64">
        <f>IFERROR(Y316*I316/H316,"0")</f>
        <v>17.788</v>
      </c>
      <c r="BO316" s="64">
        <f>IFERROR(1/J316*(X316/H316),"0")</f>
        <v>2.4181547619047616E-2</v>
      </c>
      <c r="BP316" s="64">
        <f>IFERROR(1/J316*(Y316/H316),"0")</f>
        <v>3.125E-2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70</v>
      </c>
      <c r="Q317" s="558"/>
      <c r="R317" s="558"/>
      <c r="S317" s="558"/>
      <c r="T317" s="558"/>
      <c r="U317" s="558"/>
      <c r="V317" s="559"/>
      <c r="W317" s="37" t="s">
        <v>71</v>
      </c>
      <c r="X317" s="541">
        <f>IFERROR(X314/H314,"0")+IFERROR(X315/H315,"0")+IFERROR(X316/H316,"0")</f>
        <v>81.88644688644689</v>
      </c>
      <c r="Y317" s="541">
        <f>IFERROR(Y314/H314,"0")+IFERROR(Y315/H315,"0")+IFERROR(Y316/H316,"0")</f>
        <v>83</v>
      </c>
      <c r="Z317" s="541">
        <f>IFERROR(IF(Z314="",0,Z314),"0")+IFERROR(IF(Z315="",0,Z315),"0")+IFERROR(IF(Z316="",0,Z316),"0")</f>
        <v>1.5753400000000002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70</v>
      </c>
      <c r="Q318" s="558"/>
      <c r="R318" s="558"/>
      <c r="S318" s="558"/>
      <c r="T318" s="558"/>
      <c r="U318" s="558"/>
      <c r="V318" s="559"/>
      <c r="W318" s="37" t="s">
        <v>68</v>
      </c>
      <c r="X318" s="541">
        <f>IFERROR(SUM(X314:X316),"0")</f>
        <v>655</v>
      </c>
      <c r="Y318" s="541">
        <f>IFERROR(SUM(Y314:Y316),"0")</f>
        <v>664.19999999999993</v>
      </c>
      <c r="Z318" s="37"/>
      <c r="AA318" s="542"/>
      <c r="AB318" s="542"/>
      <c r="AC318" s="542"/>
    </row>
    <row r="319" spans="1:68" ht="14.25" customHeight="1" x14ac:dyDescent="0.25">
      <c r="A319" s="554" t="s">
        <v>90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68</v>
      </c>
      <c r="X320" s="539">
        <v>4</v>
      </c>
      <c r="Y320" s="540">
        <f>IFERROR(IF(X320="",0,CEILING((X320/$H320),1)*$H320),"")</f>
        <v>6.08</v>
      </c>
      <c r="Z320" s="36">
        <f>IFERROR(IF(Y320=0,"",ROUNDUP(Y320/H320,0)*0.00902),"")</f>
        <v>1.804E-2</v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4.3552631578947372</v>
      </c>
      <c r="BN320" s="64">
        <f>IFERROR(Y320*I320/H320,"0")</f>
        <v>6.62</v>
      </c>
      <c r="BO320" s="64">
        <f>IFERROR(1/J320*(X320/H320),"0")</f>
        <v>9.9681020733652318E-3</v>
      </c>
      <c r="BP320" s="64">
        <f>IFERROR(1/J320*(Y320/H320),"0")</f>
        <v>1.5151515151515152E-2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68</v>
      </c>
      <c r="X321" s="539">
        <v>4</v>
      </c>
      <c r="Y321" s="540">
        <f>IFERROR(IF(X321="",0,CEILING((X321/$H321),1)*$H321),"")</f>
        <v>6.08</v>
      </c>
      <c r="Z321" s="36">
        <f>IFERROR(IF(Y321=0,"",ROUNDUP(Y321/H321,0)*0.00902),"")</f>
        <v>1.804E-2</v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4.3026315789473681</v>
      </c>
      <c r="BN321" s="64">
        <f>IFERROR(Y321*I321/H321,"0")</f>
        <v>6.5399999999999991</v>
      </c>
      <c r="BO321" s="64">
        <f>IFERROR(1/J321*(X321/H321),"0")</f>
        <v>9.9681020733652318E-3</v>
      </c>
      <c r="BP321" s="64">
        <f>IFERROR(1/J321*(Y321/H321),"0")</f>
        <v>1.5151515151515152E-2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/>
      <c r="M322" s="33" t="s">
        <v>93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205</v>
      </c>
      <c r="M323" s="33" t="s">
        <v>93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68</v>
      </c>
      <c r="X323" s="539">
        <v>28</v>
      </c>
      <c r="Y323" s="540">
        <f>IFERROR(IF(X323="",0,CEILING((X323/$H323),1)*$H323),"")</f>
        <v>28.049999999999997</v>
      </c>
      <c r="Z323" s="36">
        <f>IFERROR(IF(Y323=0,"",ROUNDUP(Y323/H323,0)*0.00651),"")</f>
        <v>7.1610000000000007E-2</v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31.623529411764707</v>
      </c>
      <c r="BN323" s="64">
        <f>IFERROR(Y323*I323/H323,"0")</f>
        <v>31.68</v>
      </c>
      <c r="BO323" s="64">
        <f>IFERROR(1/J323*(X323/H323),"0")</f>
        <v>6.0331825037707398E-2</v>
      </c>
      <c r="BP323" s="64">
        <f>IFERROR(1/J323*(Y323/H323),"0")</f>
        <v>6.0439560439560447E-2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70</v>
      </c>
      <c r="Q324" s="558"/>
      <c r="R324" s="558"/>
      <c r="S324" s="558"/>
      <c r="T324" s="558"/>
      <c r="U324" s="558"/>
      <c r="V324" s="559"/>
      <c r="W324" s="37" t="s">
        <v>71</v>
      </c>
      <c r="X324" s="541">
        <f>IFERROR(X320/H320,"0")+IFERROR(X321/H321,"0")+IFERROR(X322/H322,"0")+IFERROR(X323/H323,"0")</f>
        <v>13.611971104231166</v>
      </c>
      <c r="Y324" s="541">
        <f>IFERROR(Y320/H320,"0")+IFERROR(Y321/H321,"0")+IFERROR(Y322/H322,"0")+IFERROR(Y323/H323,"0")</f>
        <v>15</v>
      </c>
      <c r="Z324" s="541">
        <f>IFERROR(IF(Z320="",0,Z320),"0")+IFERROR(IF(Z321="",0,Z321),"0")+IFERROR(IF(Z322="",0,Z322),"0")+IFERROR(IF(Z323="",0,Z323),"0")</f>
        <v>0.10769000000000001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70</v>
      </c>
      <c r="Q325" s="558"/>
      <c r="R325" s="558"/>
      <c r="S325" s="558"/>
      <c r="T325" s="558"/>
      <c r="U325" s="558"/>
      <c r="V325" s="559"/>
      <c r="W325" s="37" t="s">
        <v>68</v>
      </c>
      <c r="X325" s="541">
        <f>IFERROR(SUM(X320:X323),"0")</f>
        <v>36</v>
      </c>
      <c r="Y325" s="541">
        <f>IFERROR(SUM(Y320:Y323),"0")</f>
        <v>40.209999999999994</v>
      </c>
      <c r="Z325" s="37"/>
      <c r="AA325" s="542"/>
      <c r="AB325" s="542"/>
      <c r="AC325" s="542"/>
    </row>
    <row r="326" spans="1:68" ht="14.25" customHeight="1" x14ac:dyDescent="0.25">
      <c r="A326" s="554" t="s">
        <v>512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68</v>
      </c>
      <c r="X327" s="539">
        <v>7</v>
      </c>
      <c r="Y327" s="540">
        <f>IFERROR(IF(X327="",0,CEILING((X327/$H327),1)*$H327),"")</f>
        <v>8</v>
      </c>
      <c r="Z327" s="36">
        <f>IFERROR(IF(Y327=0,"",ROUNDUP(Y327/H327,0)*0.00474),"")</f>
        <v>1.8960000000000001E-2</v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7.8400000000000007</v>
      </c>
      <c r="BN327" s="64">
        <f>IFERROR(Y327*I327/H327,"0")</f>
        <v>8.9600000000000009</v>
      </c>
      <c r="BO327" s="64">
        <f>IFERROR(1/J327*(X327/H327),"0")</f>
        <v>1.4705882352941176E-2</v>
      </c>
      <c r="BP327" s="64">
        <f>IFERROR(1/J327*(Y327/H327),"0")</f>
        <v>1.680672268907563E-2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68</v>
      </c>
      <c r="X328" s="539">
        <v>2</v>
      </c>
      <c r="Y328" s="540">
        <f>IFERROR(IF(X328="",0,CEILING((X328/$H328),1)*$H328),"")</f>
        <v>2</v>
      </c>
      <c r="Z328" s="36">
        <f>IFERROR(IF(Y328=0,"",ROUNDUP(Y328/H328,0)*0.00474),"")</f>
        <v>4.7400000000000003E-3</v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2.2400000000000002</v>
      </c>
      <c r="BN328" s="64">
        <f>IFERROR(Y328*I328/H328,"0")</f>
        <v>2.2400000000000002</v>
      </c>
      <c r="BO328" s="64">
        <f>IFERROR(1/J328*(X328/H328),"0")</f>
        <v>4.2016806722689074E-3</v>
      </c>
      <c r="BP328" s="64">
        <f>IFERROR(1/J328*(Y328/H328),"0")</f>
        <v>4.2016806722689074E-3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68</v>
      </c>
      <c r="X329" s="539">
        <v>11</v>
      </c>
      <c r="Y329" s="540">
        <f>IFERROR(IF(X329="",0,CEILING((X329/$H329),1)*$H329),"")</f>
        <v>12</v>
      </c>
      <c r="Z329" s="36">
        <f>IFERROR(IF(Y329=0,"",ROUNDUP(Y329/H329,0)*0.00474),"")</f>
        <v>2.844E-2</v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12.32</v>
      </c>
      <c r="BN329" s="64">
        <f>IFERROR(Y329*I329/H329,"0")</f>
        <v>13.440000000000001</v>
      </c>
      <c r="BO329" s="64">
        <f>IFERROR(1/J329*(X329/H329),"0")</f>
        <v>2.3109243697478989E-2</v>
      </c>
      <c r="BP329" s="64">
        <f>IFERROR(1/J329*(Y329/H329),"0")</f>
        <v>2.5210084033613446E-2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70</v>
      </c>
      <c r="Q330" s="558"/>
      <c r="R330" s="558"/>
      <c r="S330" s="558"/>
      <c r="T330" s="558"/>
      <c r="U330" s="558"/>
      <c r="V330" s="559"/>
      <c r="W330" s="37" t="s">
        <v>71</v>
      </c>
      <c r="X330" s="541">
        <f>IFERROR(X327/H327,"0")+IFERROR(X328/H328,"0")+IFERROR(X329/H329,"0")</f>
        <v>10</v>
      </c>
      <c r="Y330" s="541">
        <f>IFERROR(Y327/H327,"0")+IFERROR(Y328/H328,"0")+IFERROR(Y329/H329,"0")</f>
        <v>11</v>
      </c>
      <c r="Z330" s="541">
        <f>IFERROR(IF(Z327="",0,Z327),"0")+IFERROR(IF(Z328="",0,Z328),"0")+IFERROR(IF(Z329="",0,Z329),"0")</f>
        <v>5.2140000000000006E-2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70</v>
      </c>
      <c r="Q331" s="558"/>
      <c r="R331" s="558"/>
      <c r="S331" s="558"/>
      <c r="T331" s="558"/>
      <c r="U331" s="558"/>
      <c r="V331" s="559"/>
      <c r="W331" s="37" t="s">
        <v>68</v>
      </c>
      <c r="X331" s="541">
        <f>IFERROR(SUM(X327:X329),"0")</f>
        <v>20</v>
      </c>
      <c r="Y331" s="541">
        <f>IFERROR(SUM(Y327:Y329),"0")</f>
        <v>22</v>
      </c>
      <c r="Z331" s="37"/>
      <c r="AA331" s="542"/>
      <c r="AB331" s="542"/>
      <c r="AC331" s="542"/>
    </row>
    <row r="332" spans="1:68" ht="16.5" customHeight="1" x14ac:dyDescent="0.25">
      <c r="A332" s="552" t="s">
        <v>521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72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 t="s">
        <v>102</v>
      </c>
      <c r="M334" s="33" t="s">
        <v>83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68</v>
      </c>
      <c r="X334" s="539">
        <v>22</v>
      </c>
      <c r="Y334" s="540">
        <f>IFERROR(IF(X334="",0,CEILING((X334/$H334),1)*$H334),"")</f>
        <v>24.299999999999997</v>
      </c>
      <c r="Z334" s="36">
        <f>IFERROR(IF(Y334=0,"",ROUNDUP(Y334/H334,0)*0.01898),"")</f>
        <v>5.6940000000000004E-2</v>
      </c>
      <c r="AA334" s="56"/>
      <c r="AB334" s="57"/>
      <c r="AC334" s="383" t="s">
        <v>524</v>
      </c>
      <c r="AG334" s="64"/>
      <c r="AJ334" s="68" t="s">
        <v>105</v>
      </c>
      <c r="AK334" s="68">
        <v>64.8</v>
      </c>
      <c r="BB334" s="384" t="s">
        <v>1</v>
      </c>
      <c r="BM334" s="64">
        <f>IFERROR(X334*I334/H334,"0")</f>
        <v>23.341728395061729</v>
      </c>
      <c r="BN334" s="64">
        <f>IFERROR(Y334*I334/H334,"0")</f>
        <v>25.781999999999996</v>
      </c>
      <c r="BO334" s="64">
        <f>IFERROR(1/J334*(X334/H334),"0")</f>
        <v>4.2438271604938273E-2</v>
      </c>
      <c r="BP334" s="64">
        <f>IFERROR(1/J334*(Y334/H334),"0")</f>
        <v>4.6875E-2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/>
      <c r="M335" s="33" t="s">
        <v>76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/>
      <c r="M336" s="33" t="s">
        <v>83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70</v>
      </c>
      <c r="Q337" s="558"/>
      <c r="R337" s="558"/>
      <c r="S337" s="558"/>
      <c r="T337" s="558"/>
      <c r="U337" s="558"/>
      <c r="V337" s="559"/>
      <c r="W337" s="37" t="s">
        <v>71</v>
      </c>
      <c r="X337" s="541">
        <f>IFERROR(X334/H334,"0")+IFERROR(X335/H335,"0")+IFERROR(X336/H336,"0")</f>
        <v>2.7160493827160495</v>
      </c>
      <c r="Y337" s="541">
        <f>IFERROR(Y334/H334,"0")+IFERROR(Y335/H335,"0")+IFERROR(Y336/H336,"0")</f>
        <v>3</v>
      </c>
      <c r="Z337" s="541">
        <f>IFERROR(IF(Z334="",0,Z334),"0")+IFERROR(IF(Z335="",0,Z335),"0")+IFERROR(IF(Z336="",0,Z336),"0")</f>
        <v>5.6940000000000004E-2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70</v>
      </c>
      <c r="Q338" s="558"/>
      <c r="R338" s="558"/>
      <c r="S338" s="558"/>
      <c r="T338" s="558"/>
      <c r="U338" s="558"/>
      <c r="V338" s="559"/>
      <c r="W338" s="37" t="s">
        <v>68</v>
      </c>
      <c r="X338" s="541">
        <f>IFERROR(SUM(X334:X336),"0")</f>
        <v>22</v>
      </c>
      <c r="Y338" s="541">
        <f>IFERROR(SUM(Y334:Y336),"0")</f>
        <v>24.299999999999997</v>
      </c>
      <c r="Z338" s="37"/>
      <c r="AA338" s="542"/>
      <c r="AB338" s="542"/>
      <c r="AC338" s="542"/>
    </row>
    <row r="339" spans="1:68" ht="27.75" customHeight="1" x14ac:dyDescent="0.2">
      <c r="A339" s="693" t="s">
        <v>531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532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98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68</v>
      </c>
      <c r="X342" s="539">
        <v>169</v>
      </c>
      <c r="Y342" s="540">
        <f t="shared" ref="Y342:Y348" si="31">IFERROR(IF(X342="",0,CEILING((X342/$H342),1)*$H342),"")</f>
        <v>180</v>
      </c>
      <c r="Z342" s="36">
        <f>IFERROR(IF(Y342=0,"",ROUNDUP(Y342/H342,0)*0.02175),"")</f>
        <v>0.26100000000000001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174.29533333333336</v>
      </c>
      <c r="BN342" s="64">
        <f t="shared" ref="BN342:BN348" si="33">IFERROR(Y342*I342/H342,"0")</f>
        <v>185.64</v>
      </c>
      <c r="BO342" s="64">
        <f t="shared" ref="BO342:BO348" si="34">IFERROR(1/J342*(X342/H342),"0")</f>
        <v>0.23472222222222222</v>
      </c>
      <c r="BP342" s="64">
        <f t="shared" ref="BP342:BP348" si="35">IFERROR(1/J342*(Y342/H342),"0")</f>
        <v>0.25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68</v>
      </c>
      <c r="X343" s="539">
        <v>767</v>
      </c>
      <c r="Y343" s="540">
        <f t="shared" si="31"/>
        <v>780</v>
      </c>
      <c r="Z343" s="36">
        <f>IFERROR(IF(Y343=0,"",ROUNDUP(Y343/H343,0)*0.02175),"")</f>
        <v>1.131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791.03266666666661</v>
      </c>
      <c r="BN343" s="64">
        <f t="shared" si="33"/>
        <v>804.44</v>
      </c>
      <c r="BO343" s="64">
        <f t="shared" si="34"/>
        <v>1.0652777777777778</v>
      </c>
      <c r="BP343" s="64">
        <f t="shared" si="35"/>
        <v>1.0833333333333333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68</v>
      </c>
      <c r="X344" s="539">
        <v>123</v>
      </c>
      <c r="Y344" s="540">
        <f t="shared" si="31"/>
        <v>135</v>
      </c>
      <c r="Z344" s="36">
        <f>IFERROR(IF(Y344=0,"",ROUNDUP(Y344/H344,0)*0.02175),"")</f>
        <v>0.19574999999999998</v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126.85400000000001</v>
      </c>
      <c r="BN344" s="64">
        <f t="shared" si="33"/>
        <v>139.23000000000002</v>
      </c>
      <c r="BO344" s="64">
        <f t="shared" si="34"/>
        <v>0.17083333333333331</v>
      </c>
      <c r="BP344" s="64">
        <f t="shared" si="35"/>
        <v>0.1875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70</v>
      </c>
      <c r="Q349" s="558"/>
      <c r="R349" s="558"/>
      <c r="S349" s="558"/>
      <c r="T349" s="558"/>
      <c r="U349" s="558"/>
      <c r="V349" s="559"/>
      <c r="W349" s="37" t="s">
        <v>71</v>
      </c>
      <c r="X349" s="541">
        <f>IFERROR(X342/H342,"0")+IFERROR(X343/H343,"0")+IFERROR(X344/H344,"0")+IFERROR(X345/H345,"0")+IFERROR(X346/H346,"0")+IFERROR(X347/H347,"0")+IFERROR(X348/H348,"0")</f>
        <v>70.599999999999994</v>
      </c>
      <c r="Y349" s="541">
        <f>IFERROR(Y342/H342,"0")+IFERROR(Y343/H343,"0")+IFERROR(Y344/H344,"0")+IFERROR(Y345/H345,"0")+IFERROR(Y346/H346,"0")+IFERROR(Y347/H347,"0")+IFERROR(Y348/H348,"0")</f>
        <v>73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1.5877499999999998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70</v>
      </c>
      <c r="Q350" s="558"/>
      <c r="R350" s="558"/>
      <c r="S350" s="558"/>
      <c r="T350" s="558"/>
      <c r="U350" s="558"/>
      <c r="V350" s="559"/>
      <c r="W350" s="37" t="s">
        <v>68</v>
      </c>
      <c r="X350" s="541">
        <f>IFERROR(SUM(X342:X348),"0")</f>
        <v>1059</v>
      </c>
      <c r="Y350" s="541">
        <f>IFERROR(SUM(Y342:Y348),"0")</f>
        <v>1095</v>
      </c>
      <c r="Z350" s="37"/>
      <c r="AA350" s="542"/>
      <c r="AB350" s="542"/>
      <c r="AC350" s="542"/>
    </row>
    <row r="351" spans="1:68" ht="14.25" customHeight="1" x14ac:dyDescent="0.25">
      <c r="A351" s="554" t="s">
        <v>134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68</v>
      </c>
      <c r="X352" s="539">
        <v>682</v>
      </c>
      <c r="Y352" s="540">
        <f>IFERROR(IF(X352="",0,CEILING((X352/$H352),1)*$H352),"")</f>
        <v>690</v>
      </c>
      <c r="Z352" s="36">
        <f>IFERROR(IF(Y352=0,"",ROUNDUP(Y352/H352,0)*0.02175),"")</f>
        <v>1.0004999999999999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703.36933333333343</v>
      </c>
      <c r="BN352" s="64">
        <f>IFERROR(Y352*I352/H352,"0")</f>
        <v>711.62000000000012</v>
      </c>
      <c r="BO352" s="64">
        <f>IFERROR(1/J352*(X352/H352),"0")</f>
        <v>0.94722222222222219</v>
      </c>
      <c r="BP352" s="64">
        <f>IFERROR(1/J352*(Y352/H352),"0")</f>
        <v>0.95833333333333326</v>
      </c>
    </row>
    <row r="353" spans="1:68" ht="16.5" customHeight="1" x14ac:dyDescent="0.25">
      <c r="A353" s="54" t="s">
        <v>555</v>
      </c>
      <c r="B353" s="54" t="s">
        <v>556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70</v>
      </c>
      <c r="Q354" s="558"/>
      <c r="R354" s="558"/>
      <c r="S354" s="558"/>
      <c r="T354" s="558"/>
      <c r="U354" s="558"/>
      <c r="V354" s="559"/>
      <c r="W354" s="37" t="s">
        <v>71</v>
      </c>
      <c r="X354" s="541">
        <f>IFERROR(X352/H352,"0")+IFERROR(X353/H353,"0")</f>
        <v>45.466666666666669</v>
      </c>
      <c r="Y354" s="541">
        <f>IFERROR(Y352/H352,"0")+IFERROR(Y353/H353,"0")</f>
        <v>46</v>
      </c>
      <c r="Z354" s="541">
        <f>IFERROR(IF(Z352="",0,Z352),"0")+IFERROR(IF(Z353="",0,Z353),"0")</f>
        <v>1.0004999999999999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70</v>
      </c>
      <c r="Q355" s="558"/>
      <c r="R355" s="558"/>
      <c r="S355" s="558"/>
      <c r="T355" s="558"/>
      <c r="U355" s="558"/>
      <c r="V355" s="559"/>
      <c r="W355" s="37" t="s">
        <v>68</v>
      </c>
      <c r="X355" s="541">
        <f>IFERROR(SUM(X352:X353),"0")</f>
        <v>682</v>
      </c>
      <c r="Y355" s="541">
        <f>IFERROR(SUM(Y352:Y353),"0")</f>
        <v>690</v>
      </c>
      <c r="Z355" s="37"/>
      <c r="AA355" s="542"/>
      <c r="AB355" s="542"/>
      <c r="AC355" s="542"/>
    </row>
    <row r="356" spans="1:68" ht="14.25" customHeight="1" x14ac:dyDescent="0.25">
      <c r="A356" s="554" t="s">
        <v>72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68</v>
      </c>
      <c r="X358" s="539">
        <v>7</v>
      </c>
      <c r="Y358" s="540">
        <f>IFERROR(IF(X358="",0,CEILING((X358/$H358),1)*$H358),"")</f>
        <v>9</v>
      </c>
      <c r="Z358" s="36">
        <f>IFERROR(IF(Y358=0,"",ROUNDUP(Y358/H358,0)*0.01898),"")</f>
        <v>1.898E-2</v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7.3842222222222222</v>
      </c>
      <c r="BN358" s="64">
        <f>IFERROR(Y358*I358/H358,"0")</f>
        <v>9.4939999999999998</v>
      </c>
      <c r="BO358" s="64">
        <f>IFERROR(1/J358*(X358/H358),"0")</f>
        <v>1.2152777777777778E-2</v>
      </c>
      <c r="BP358" s="64">
        <f>IFERROR(1/J358*(Y358/H358),"0")</f>
        <v>1.5625E-2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70</v>
      </c>
      <c r="Q359" s="558"/>
      <c r="R359" s="558"/>
      <c r="S359" s="558"/>
      <c r="T359" s="558"/>
      <c r="U359" s="558"/>
      <c r="V359" s="559"/>
      <c r="W359" s="37" t="s">
        <v>71</v>
      </c>
      <c r="X359" s="541">
        <f>IFERROR(X357/H357,"0")+IFERROR(X358/H358,"0")</f>
        <v>0.77777777777777779</v>
      </c>
      <c r="Y359" s="541">
        <f>IFERROR(Y357/H357,"0")+IFERROR(Y358/H358,"0")</f>
        <v>1</v>
      </c>
      <c r="Z359" s="541">
        <f>IFERROR(IF(Z357="",0,Z357),"0")+IFERROR(IF(Z358="",0,Z358),"0")</f>
        <v>1.898E-2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70</v>
      </c>
      <c r="Q360" s="558"/>
      <c r="R360" s="558"/>
      <c r="S360" s="558"/>
      <c r="T360" s="558"/>
      <c r="U360" s="558"/>
      <c r="V360" s="559"/>
      <c r="W360" s="37" t="s">
        <v>68</v>
      </c>
      <c r="X360" s="541">
        <f>IFERROR(SUM(X357:X358),"0")</f>
        <v>7</v>
      </c>
      <c r="Y360" s="541">
        <f>IFERROR(SUM(Y357:Y358),"0")</f>
        <v>9</v>
      </c>
      <c r="Z360" s="37"/>
      <c r="AA360" s="542"/>
      <c r="AB360" s="542"/>
      <c r="AC360" s="542"/>
    </row>
    <row r="361" spans="1:68" ht="14.25" customHeight="1" x14ac:dyDescent="0.25">
      <c r="A361" s="554" t="s">
        <v>162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68</v>
      </c>
      <c r="X362" s="539">
        <v>216</v>
      </c>
      <c r="Y362" s="540">
        <f>IFERROR(IF(X362="",0,CEILING((X362/$H362),1)*$H362),"")</f>
        <v>216</v>
      </c>
      <c r="Z362" s="36">
        <f>IFERROR(IF(Y362=0,"",ROUNDUP(Y362/H362,0)*0.01898),"")</f>
        <v>0.45552000000000004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227.85599999999997</v>
      </c>
      <c r="BN362" s="64">
        <f>IFERROR(Y362*I362/H362,"0")</f>
        <v>227.85599999999997</v>
      </c>
      <c r="BO362" s="64">
        <f>IFERROR(1/J362*(X362/H362),"0")</f>
        <v>0.375</v>
      </c>
      <c r="BP362" s="64">
        <f>IFERROR(1/J362*(Y362/H362),"0")</f>
        <v>0.375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70</v>
      </c>
      <c r="Q363" s="558"/>
      <c r="R363" s="558"/>
      <c r="S363" s="558"/>
      <c r="T363" s="558"/>
      <c r="U363" s="558"/>
      <c r="V363" s="559"/>
      <c r="W363" s="37" t="s">
        <v>71</v>
      </c>
      <c r="X363" s="541">
        <f>IFERROR(X362/H362,"0")</f>
        <v>24</v>
      </c>
      <c r="Y363" s="541">
        <f>IFERROR(Y362/H362,"0")</f>
        <v>24</v>
      </c>
      <c r="Z363" s="541">
        <f>IFERROR(IF(Z362="",0,Z362),"0")</f>
        <v>0.45552000000000004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70</v>
      </c>
      <c r="Q364" s="558"/>
      <c r="R364" s="558"/>
      <c r="S364" s="558"/>
      <c r="T364" s="558"/>
      <c r="U364" s="558"/>
      <c r="V364" s="559"/>
      <c r="W364" s="37" t="s">
        <v>68</v>
      </c>
      <c r="X364" s="541">
        <f>IFERROR(SUM(X362:X362),"0")</f>
        <v>216</v>
      </c>
      <c r="Y364" s="541">
        <f>IFERROR(SUM(Y362:Y362),"0")</f>
        <v>216</v>
      </c>
      <c r="Z364" s="37"/>
      <c r="AA364" s="542"/>
      <c r="AB364" s="542"/>
      <c r="AC364" s="542"/>
    </row>
    <row r="365" spans="1:68" ht="16.5" customHeight="1" x14ac:dyDescent="0.25">
      <c r="A365" s="552" t="s">
        <v>566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98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/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68</v>
      </c>
      <c r="X367" s="539">
        <v>14</v>
      </c>
      <c r="Y367" s="540">
        <f>IFERROR(IF(X367="",0,CEILING((X367/$H367),1)*$H367),"")</f>
        <v>24</v>
      </c>
      <c r="Z367" s="36">
        <f>IFERROR(IF(Y367=0,"",ROUNDUP(Y367/H367,0)*0.01898),"")</f>
        <v>3.7960000000000001E-2</v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14.478333333333333</v>
      </c>
      <c r="BN367" s="64">
        <f>IFERROR(Y367*I367/H367,"0")</f>
        <v>24.820000000000004</v>
      </c>
      <c r="BO367" s="64">
        <f>IFERROR(1/J367*(X367/H367),"0")</f>
        <v>1.8229166666666668E-2</v>
      </c>
      <c r="BP367" s="64">
        <f>IFERROR(1/J367*(Y367/H367),"0")</f>
        <v>3.125E-2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70</v>
      </c>
      <c r="Q369" s="558"/>
      <c r="R369" s="558"/>
      <c r="S369" s="558"/>
      <c r="T369" s="558"/>
      <c r="U369" s="558"/>
      <c r="V369" s="559"/>
      <c r="W369" s="37" t="s">
        <v>71</v>
      </c>
      <c r="X369" s="541">
        <f>IFERROR(X367/H367,"0")+IFERROR(X368/H368,"0")</f>
        <v>1.1666666666666667</v>
      </c>
      <c r="Y369" s="541">
        <f>IFERROR(Y367/H367,"0")+IFERROR(Y368/H368,"0")</f>
        <v>2</v>
      </c>
      <c r="Z369" s="541">
        <f>IFERROR(IF(Z367="",0,Z367),"0")+IFERROR(IF(Z368="",0,Z368),"0")</f>
        <v>3.7960000000000001E-2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70</v>
      </c>
      <c r="Q370" s="558"/>
      <c r="R370" s="558"/>
      <c r="S370" s="558"/>
      <c r="T370" s="558"/>
      <c r="U370" s="558"/>
      <c r="V370" s="559"/>
      <c r="W370" s="37" t="s">
        <v>68</v>
      </c>
      <c r="X370" s="541">
        <f>IFERROR(SUM(X367:X368),"0")</f>
        <v>14</v>
      </c>
      <c r="Y370" s="541">
        <f>IFERROR(SUM(Y367:Y368),"0")</f>
        <v>24</v>
      </c>
      <c r="Z370" s="37"/>
      <c r="AA370" s="542"/>
      <c r="AB370" s="542"/>
      <c r="AC370" s="542"/>
    </row>
    <row r="371" spans="1:68" ht="14.25" customHeight="1" x14ac:dyDescent="0.25">
      <c r="A371" s="554" t="s">
        <v>63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/>
      <c r="M372" s="33" t="s">
        <v>67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70</v>
      </c>
      <c r="Q374" s="558"/>
      <c r="R374" s="558"/>
      <c r="S374" s="558"/>
      <c r="T374" s="558"/>
      <c r="U374" s="558"/>
      <c r="V374" s="559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70</v>
      </c>
      <c r="Q375" s="558"/>
      <c r="R375" s="558"/>
      <c r="S375" s="558"/>
      <c r="T375" s="558"/>
      <c r="U375" s="558"/>
      <c r="V375" s="559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72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68</v>
      </c>
      <c r="X377" s="539">
        <v>1185</v>
      </c>
      <c r="Y377" s="540">
        <f>IFERROR(IF(X377="",0,CEILING((X377/$H377),1)*$H377),"")</f>
        <v>1188</v>
      </c>
      <c r="Z377" s="36">
        <f>IFERROR(IF(Y377=0,"",ROUNDUP(Y377/H377,0)*0.01898),"")</f>
        <v>2.50536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1250.0433333333333</v>
      </c>
      <c r="BN377" s="64">
        <f>IFERROR(Y377*I377/H377,"0")</f>
        <v>1253.2079999999999</v>
      </c>
      <c r="BO377" s="64">
        <f>IFERROR(1/J377*(X377/H377),"0")</f>
        <v>2.0572916666666665</v>
      </c>
      <c r="BP377" s="64">
        <f>IFERROR(1/J377*(Y377/H377),"0")</f>
        <v>2.0625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205</v>
      </c>
      <c r="M378" s="33" t="s">
        <v>76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68</v>
      </c>
      <c r="X378" s="539">
        <v>7</v>
      </c>
      <c r="Y378" s="540">
        <f>IFERROR(IF(X378="",0,CEILING((X378/$H378),1)*$H378),"")</f>
        <v>7.1999999999999993</v>
      </c>
      <c r="Z378" s="36">
        <f>IFERROR(IF(Y378=0,"",ROUNDUP(Y378/H378,0)*0.00651),"")</f>
        <v>1.9529999999999999E-2</v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7.7700000000000005</v>
      </c>
      <c r="BN378" s="64">
        <f>IFERROR(Y378*I378/H378,"0")</f>
        <v>7.9919999999999991</v>
      </c>
      <c r="BO378" s="64">
        <f>IFERROR(1/J378*(X378/H378),"0")</f>
        <v>1.6025641025641028E-2</v>
      </c>
      <c r="BP378" s="64">
        <f>IFERROR(1/J378*(Y378/H378),"0")</f>
        <v>1.6483516483516484E-2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70</v>
      </c>
      <c r="Q379" s="558"/>
      <c r="R379" s="558"/>
      <c r="S379" s="558"/>
      <c r="T379" s="558"/>
      <c r="U379" s="558"/>
      <c r="V379" s="559"/>
      <c r="W379" s="37" t="s">
        <v>71</v>
      </c>
      <c r="X379" s="541">
        <f>IFERROR(X377/H377,"0")+IFERROR(X378/H378,"0")</f>
        <v>134.58333333333331</v>
      </c>
      <c r="Y379" s="541">
        <f>IFERROR(Y377/H377,"0")+IFERROR(Y378/H378,"0")</f>
        <v>135</v>
      </c>
      <c r="Z379" s="541">
        <f>IFERROR(IF(Z377="",0,Z377),"0")+IFERROR(IF(Z378="",0,Z378),"0")</f>
        <v>2.5248900000000001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70</v>
      </c>
      <c r="Q380" s="558"/>
      <c r="R380" s="558"/>
      <c r="S380" s="558"/>
      <c r="T380" s="558"/>
      <c r="U380" s="558"/>
      <c r="V380" s="559"/>
      <c r="W380" s="37" t="s">
        <v>68</v>
      </c>
      <c r="X380" s="541">
        <f>IFERROR(SUM(X377:X378),"0")</f>
        <v>1192</v>
      </c>
      <c r="Y380" s="541">
        <f>IFERROR(SUM(Y377:Y378),"0")</f>
        <v>1195.2</v>
      </c>
      <c r="Z380" s="37"/>
      <c r="AA380" s="542"/>
      <c r="AB380" s="542"/>
      <c r="AC380" s="542"/>
    </row>
    <row r="381" spans="1:68" ht="27.75" customHeight="1" x14ac:dyDescent="0.2">
      <c r="A381" s="693" t="s">
        <v>582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583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63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/>
      <c r="M386" s="33" t="s">
        <v>67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597</v>
      </c>
      <c r="B389" s="54" t="s">
        <v>598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600</v>
      </c>
      <c r="B390" s="54" t="s">
        <v>601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606</v>
      </c>
      <c r="B392" s="54" t="s">
        <v>607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70</v>
      </c>
      <c r="Q393" s="558"/>
      <c r="R393" s="558"/>
      <c r="S393" s="558"/>
      <c r="T393" s="558"/>
      <c r="U393" s="558"/>
      <c r="V393" s="559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70</v>
      </c>
      <c r="Q394" s="558"/>
      <c r="R394" s="558"/>
      <c r="S394" s="558"/>
      <c r="T394" s="558"/>
      <c r="U394" s="558"/>
      <c r="V394" s="559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72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608</v>
      </c>
      <c r="B396" s="54" t="s">
        <v>609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611</v>
      </c>
      <c r="B397" s="54" t="s">
        <v>612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70</v>
      </c>
      <c r="Q398" s="558"/>
      <c r="R398" s="558"/>
      <c r="S398" s="558"/>
      <c r="T398" s="558"/>
      <c r="U398" s="558"/>
      <c r="V398" s="559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70</v>
      </c>
      <c r="Q399" s="558"/>
      <c r="R399" s="558"/>
      <c r="S399" s="558"/>
      <c r="T399" s="558"/>
      <c r="U399" s="558"/>
      <c r="V399" s="559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614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134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615</v>
      </c>
      <c r="B402" s="54" t="s">
        <v>616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70</v>
      </c>
      <c r="Q403" s="558"/>
      <c r="R403" s="558"/>
      <c r="S403" s="558"/>
      <c r="T403" s="558"/>
      <c r="U403" s="558"/>
      <c r="V403" s="559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70</v>
      </c>
      <c r="Q404" s="558"/>
      <c r="R404" s="558"/>
      <c r="S404" s="558"/>
      <c r="T404" s="558"/>
      <c r="U404" s="558"/>
      <c r="V404" s="559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63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621</v>
      </c>
      <c r="B407" s="54" t="s">
        <v>622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70</v>
      </c>
      <c r="Q410" s="558"/>
      <c r="R410" s="558"/>
      <c r="S410" s="558"/>
      <c r="T410" s="558"/>
      <c r="U410" s="558"/>
      <c r="V410" s="559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70</v>
      </c>
      <c r="Q411" s="558"/>
      <c r="R411" s="558"/>
      <c r="S411" s="558"/>
      <c r="T411" s="558"/>
      <c r="U411" s="558"/>
      <c r="V411" s="559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629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63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630</v>
      </c>
      <c r="B414" s="54" t="s">
        <v>631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70</v>
      </c>
      <c r="Q415" s="558"/>
      <c r="R415" s="558"/>
      <c r="S415" s="558"/>
      <c r="T415" s="558"/>
      <c r="U415" s="558"/>
      <c r="V415" s="559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70</v>
      </c>
      <c r="Q416" s="558"/>
      <c r="R416" s="558"/>
      <c r="S416" s="558"/>
      <c r="T416" s="558"/>
      <c r="U416" s="558"/>
      <c r="V416" s="559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633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633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98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68</v>
      </c>
      <c r="X420" s="539">
        <v>34</v>
      </c>
      <c r="Y420" s="540">
        <f t="shared" ref="Y420:Y430" si="42">IFERROR(IF(X420="",0,CEILING((X420/$H420),1)*$H420),"")</f>
        <v>36.96</v>
      </c>
      <c r="Z420" s="36">
        <f t="shared" ref="Z420:Z425" si="43">IFERROR(IF(Y420=0,"",ROUNDUP(Y420/H420,0)*0.01196),"")</f>
        <v>8.3720000000000003E-2</v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36.253787878787875</v>
      </c>
      <c r="BN420" s="64">
        <f t="shared" ref="BN420:BN430" si="45">IFERROR(Y420*I420/H420,"0")</f>
        <v>39.409999999999997</v>
      </c>
      <c r="BO420" s="64">
        <f t="shared" ref="BO420:BO430" si="46">IFERROR(1/J420*(X420/H420),"0")</f>
        <v>6.1917249417249423E-2</v>
      </c>
      <c r="BP420" s="64">
        <f t="shared" ref="BP420:BP430" si="47">IFERROR(1/J420*(Y420/H420),"0")</f>
        <v>6.7307692307692318E-2</v>
      </c>
    </row>
    <row r="421" spans="1:68" ht="27" customHeight="1" x14ac:dyDescent="0.25">
      <c r="A421" s="54" t="s">
        <v>636</v>
      </c>
      <c r="B421" s="54" t="s">
        <v>637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68</v>
      </c>
      <c r="X422" s="539">
        <v>48</v>
      </c>
      <c r="Y422" s="540">
        <f t="shared" si="42"/>
        <v>52.800000000000004</v>
      </c>
      <c r="Z422" s="36">
        <f t="shared" si="43"/>
        <v>0.1196</v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51.18181818181818</v>
      </c>
      <c r="BN422" s="64">
        <f t="shared" si="45"/>
        <v>56.3</v>
      </c>
      <c r="BO422" s="64">
        <f t="shared" si="46"/>
        <v>8.7412587412587409E-2</v>
      </c>
      <c r="BP422" s="64">
        <f t="shared" si="47"/>
        <v>9.6153846153846159E-2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68</v>
      </c>
      <c r="X423" s="539">
        <v>345</v>
      </c>
      <c r="Y423" s="540">
        <f t="shared" si="42"/>
        <v>348.48</v>
      </c>
      <c r="Z423" s="36">
        <f t="shared" si="43"/>
        <v>0.78936000000000006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367.86931818181813</v>
      </c>
      <c r="BN423" s="64">
        <f t="shared" si="45"/>
        <v>371.58</v>
      </c>
      <c r="BO423" s="64">
        <f t="shared" si="46"/>
        <v>0.62827797202797209</v>
      </c>
      <c r="BP423" s="64">
        <f t="shared" si="47"/>
        <v>0.63461538461538469</v>
      </c>
    </row>
    <row r="424" spans="1:68" ht="16.5" customHeight="1" x14ac:dyDescent="0.25">
      <c r="A424" s="54" t="s">
        <v>645</v>
      </c>
      <c r="B424" s="54" t="s">
        <v>646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68</v>
      </c>
      <c r="X425" s="539">
        <v>348</v>
      </c>
      <c r="Y425" s="540">
        <f t="shared" si="42"/>
        <v>348.48</v>
      </c>
      <c r="Z425" s="36">
        <f t="shared" si="43"/>
        <v>0.78936000000000006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371.06818181818181</v>
      </c>
      <c r="BN425" s="64">
        <f t="shared" si="45"/>
        <v>371.58</v>
      </c>
      <c r="BO425" s="64">
        <f t="shared" si="46"/>
        <v>0.63374125874125875</v>
      </c>
      <c r="BP425" s="64">
        <f t="shared" si="47"/>
        <v>0.63461538461538469</v>
      </c>
    </row>
    <row r="426" spans="1:68" ht="27" customHeight="1" x14ac:dyDescent="0.25">
      <c r="A426" s="54" t="s">
        <v>651</v>
      </c>
      <c r="B426" s="54" t="s">
        <v>652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68</v>
      </c>
      <c r="X427" s="539">
        <v>44</v>
      </c>
      <c r="Y427" s="540">
        <f t="shared" si="42"/>
        <v>48</v>
      </c>
      <c r="Z427" s="36">
        <f>IFERROR(IF(Y427=0,"",ROUNDUP(Y427/H427,0)*0.00902),"")</f>
        <v>9.0200000000000002E-2</v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63.341666666666676</v>
      </c>
      <c r="BN427" s="64">
        <f t="shared" si="45"/>
        <v>69.100000000000009</v>
      </c>
      <c r="BO427" s="64">
        <f t="shared" si="46"/>
        <v>6.9444444444444461E-2</v>
      </c>
      <c r="BP427" s="64">
        <f t="shared" si="47"/>
        <v>7.575757575757576E-2</v>
      </c>
    </row>
    <row r="428" spans="1:68" ht="27" customHeight="1" x14ac:dyDescent="0.25">
      <c r="A428" s="54" t="s">
        <v>655</v>
      </c>
      <c r="B428" s="54" t="s">
        <v>656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70</v>
      </c>
      <c r="Q431" s="558"/>
      <c r="R431" s="558"/>
      <c r="S431" s="558"/>
      <c r="T431" s="558"/>
      <c r="U431" s="558"/>
      <c r="V431" s="559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155.94696969696969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159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1.8722400000000001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70</v>
      </c>
      <c r="Q432" s="558"/>
      <c r="R432" s="558"/>
      <c r="S432" s="558"/>
      <c r="T432" s="558"/>
      <c r="U432" s="558"/>
      <c r="V432" s="559"/>
      <c r="W432" s="37" t="s">
        <v>68</v>
      </c>
      <c r="X432" s="541">
        <f>IFERROR(SUM(X420:X430),"0")</f>
        <v>819</v>
      </c>
      <c r="Y432" s="541">
        <f>IFERROR(SUM(Y420:Y430),"0")</f>
        <v>834.72</v>
      </c>
      <c r="Z432" s="37"/>
      <c r="AA432" s="542"/>
      <c r="AB432" s="542"/>
      <c r="AC432" s="542"/>
    </row>
    <row r="433" spans="1:68" ht="14.25" customHeight="1" x14ac:dyDescent="0.25">
      <c r="A433" s="554" t="s">
        <v>134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68</v>
      </c>
      <c r="X434" s="539">
        <v>206</v>
      </c>
      <c r="Y434" s="540">
        <f>IFERROR(IF(X434="",0,CEILING((X434/$H434),1)*$H434),"")</f>
        <v>211.20000000000002</v>
      </c>
      <c r="Z434" s="36">
        <f>IFERROR(IF(Y434=0,"",ROUNDUP(Y434/H434,0)*0.01196),"")</f>
        <v>0.47839999999999999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219.655303030303</v>
      </c>
      <c r="BN434" s="64">
        <f>IFERROR(Y434*I434/H434,"0")</f>
        <v>225.2</v>
      </c>
      <c r="BO434" s="64">
        <f>IFERROR(1/J434*(X434/H434),"0")</f>
        <v>0.37514568764568768</v>
      </c>
      <c r="BP434" s="64">
        <f>IFERROR(1/J434*(Y434/H434),"0")</f>
        <v>0.38461538461538464</v>
      </c>
    </row>
    <row r="435" spans="1:68" ht="16.5" customHeight="1" x14ac:dyDescent="0.25">
      <c r="A435" s="54" t="s">
        <v>665</v>
      </c>
      <c r="B435" s="54" t="s">
        <v>666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111</v>
      </c>
      <c r="M436" s="33" t="s">
        <v>103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68</v>
      </c>
      <c r="X436" s="539">
        <v>18</v>
      </c>
      <c r="Y436" s="540">
        <f>IFERROR(IF(X436="",0,CEILING((X436/$H436),1)*$H436),"")</f>
        <v>19.2</v>
      </c>
      <c r="Z436" s="36">
        <f>IFERROR(IF(Y436=0,"",ROUNDUP(Y436/H436,0)*0.00902),"")</f>
        <v>3.6080000000000001E-2</v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25.912500000000001</v>
      </c>
      <c r="BN436" s="64">
        <f>IFERROR(Y436*I436/H436,"0")</f>
        <v>27.64</v>
      </c>
      <c r="BO436" s="64">
        <f>IFERROR(1/J436*(X436/H436),"0")</f>
        <v>2.8409090909090912E-2</v>
      </c>
      <c r="BP436" s="64">
        <f>IFERROR(1/J436*(Y436/H436),"0")</f>
        <v>3.0303030303030304E-2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70</v>
      </c>
      <c r="Q437" s="558"/>
      <c r="R437" s="558"/>
      <c r="S437" s="558"/>
      <c r="T437" s="558"/>
      <c r="U437" s="558"/>
      <c r="V437" s="559"/>
      <c r="W437" s="37" t="s">
        <v>71</v>
      </c>
      <c r="X437" s="541">
        <f>IFERROR(X434/H434,"0")+IFERROR(X435/H435,"0")+IFERROR(X436/H436,"0")</f>
        <v>42.765151515151516</v>
      </c>
      <c r="Y437" s="541">
        <f>IFERROR(Y434/H434,"0")+IFERROR(Y435/H435,"0")+IFERROR(Y436/H436,"0")</f>
        <v>44</v>
      </c>
      <c r="Z437" s="541">
        <f>IFERROR(IF(Z434="",0,Z434),"0")+IFERROR(IF(Z435="",0,Z435),"0")+IFERROR(IF(Z436="",0,Z436),"0")</f>
        <v>0.51448000000000005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70</v>
      </c>
      <c r="Q438" s="558"/>
      <c r="R438" s="558"/>
      <c r="S438" s="558"/>
      <c r="T438" s="558"/>
      <c r="U438" s="558"/>
      <c r="V438" s="559"/>
      <c r="W438" s="37" t="s">
        <v>68</v>
      </c>
      <c r="X438" s="541">
        <f>IFERROR(SUM(X434:X436),"0")</f>
        <v>224</v>
      </c>
      <c r="Y438" s="541">
        <f>IFERROR(SUM(Y434:Y436),"0")</f>
        <v>230.4</v>
      </c>
      <c r="Z438" s="37"/>
      <c r="AA438" s="542"/>
      <c r="AB438" s="542"/>
      <c r="AC438" s="542"/>
    </row>
    <row r="439" spans="1:68" ht="14.25" customHeight="1" x14ac:dyDescent="0.25">
      <c r="A439" s="554" t="s">
        <v>63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68</v>
      </c>
      <c r="X440" s="539">
        <v>18</v>
      </c>
      <c r="Y440" s="540">
        <f t="shared" ref="Y440:Y445" si="48">IFERROR(IF(X440="",0,CEILING((X440/$H440),1)*$H440),"")</f>
        <v>21.12</v>
      </c>
      <c r="Z440" s="36">
        <f>IFERROR(IF(Y440=0,"",ROUNDUP(Y440/H440,0)*0.01196),"")</f>
        <v>4.7840000000000001E-2</v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19.193181818181817</v>
      </c>
      <c r="BN440" s="64">
        <f t="shared" ref="BN440:BN445" si="50">IFERROR(Y440*I440/H440,"0")</f>
        <v>22.52</v>
      </c>
      <c r="BO440" s="64">
        <f t="shared" ref="BO440:BO445" si="51">IFERROR(1/J440*(X440/H440),"0")</f>
        <v>3.277972027972028E-2</v>
      </c>
      <c r="BP440" s="64">
        <f t="shared" ref="BP440:BP445" si="52">IFERROR(1/J440*(Y440/H440),"0")</f>
        <v>3.8461538461538464E-2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68</v>
      </c>
      <c r="X441" s="539">
        <v>132</v>
      </c>
      <c r="Y441" s="540">
        <f t="shared" si="48"/>
        <v>132</v>
      </c>
      <c r="Z441" s="36">
        <f>IFERROR(IF(Y441=0,"",ROUNDUP(Y441/H441,0)*0.01196),"")</f>
        <v>0.29899999999999999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140.75</v>
      </c>
      <c r="BN441" s="64">
        <f t="shared" si="50"/>
        <v>140.75</v>
      </c>
      <c r="BO441" s="64">
        <f t="shared" si="51"/>
        <v>0.24038461538461539</v>
      </c>
      <c r="BP441" s="64">
        <f t="shared" si="52"/>
        <v>0.24038461538461539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68</v>
      </c>
      <c r="X442" s="539">
        <v>343</v>
      </c>
      <c r="Y442" s="540">
        <f t="shared" si="48"/>
        <v>343.2</v>
      </c>
      <c r="Z442" s="36">
        <f>IFERROR(IF(Y442=0,"",ROUNDUP(Y442/H442,0)*0.01196),"")</f>
        <v>0.77739999999999998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365.73674242424238</v>
      </c>
      <c r="BN442" s="64">
        <f t="shared" si="50"/>
        <v>365.95</v>
      </c>
      <c r="BO442" s="64">
        <f t="shared" si="51"/>
        <v>0.62463578088578087</v>
      </c>
      <c r="BP442" s="64">
        <f t="shared" si="52"/>
        <v>0.625</v>
      </c>
    </row>
    <row r="443" spans="1:68" ht="27" customHeight="1" x14ac:dyDescent="0.25">
      <c r="A443" s="54" t="s">
        <v>678</v>
      </c>
      <c r="B443" s="54" t="s">
        <v>679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70</v>
      </c>
      <c r="Q446" s="558"/>
      <c r="R446" s="558"/>
      <c r="S446" s="558"/>
      <c r="T446" s="558"/>
      <c r="U446" s="558"/>
      <c r="V446" s="559"/>
      <c r="W446" s="37" t="s">
        <v>71</v>
      </c>
      <c r="X446" s="541">
        <f>IFERROR(X440/H440,"0")+IFERROR(X441/H441,"0")+IFERROR(X442/H442,"0")+IFERROR(X443/H443,"0")+IFERROR(X444/H444,"0")+IFERROR(X445/H445,"0")</f>
        <v>93.37121212121211</v>
      </c>
      <c r="Y446" s="541">
        <f>IFERROR(Y440/H440,"0")+IFERROR(Y441/H441,"0")+IFERROR(Y442/H442,"0")+IFERROR(Y443/H443,"0")+IFERROR(Y444/H444,"0")+IFERROR(Y445/H445,"0")</f>
        <v>94</v>
      </c>
      <c r="Z446" s="541">
        <f>IFERROR(IF(Z440="",0,Z440),"0")+IFERROR(IF(Z441="",0,Z441),"0")+IFERROR(IF(Z442="",0,Z442),"0")+IFERROR(IF(Z443="",0,Z443),"0")+IFERROR(IF(Z444="",0,Z444),"0")+IFERROR(IF(Z445="",0,Z445),"0")</f>
        <v>1.1242399999999999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70</v>
      </c>
      <c r="Q447" s="558"/>
      <c r="R447" s="558"/>
      <c r="S447" s="558"/>
      <c r="T447" s="558"/>
      <c r="U447" s="558"/>
      <c r="V447" s="559"/>
      <c r="W447" s="37" t="s">
        <v>68</v>
      </c>
      <c r="X447" s="541">
        <f>IFERROR(SUM(X440:X445),"0")</f>
        <v>493</v>
      </c>
      <c r="Y447" s="541">
        <f>IFERROR(SUM(Y440:Y445),"0")</f>
        <v>496.32</v>
      </c>
      <c r="Z447" s="37"/>
      <c r="AA447" s="542"/>
      <c r="AB447" s="542"/>
      <c r="AC447" s="542"/>
    </row>
    <row r="448" spans="1:68" ht="14.25" customHeight="1" x14ac:dyDescent="0.25">
      <c r="A448" s="554" t="s">
        <v>72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684</v>
      </c>
      <c r="B449" s="54" t="s">
        <v>685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687</v>
      </c>
      <c r="B450" s="54" t="s">
        <v>688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690</v>
      </c>
      <c r="B451" s="54" t="s">
        <v>691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70</v>
      </c>
      <c r="Q452" s="558"/>
      <c r="R452" s="558"/>
      <c r="S452" s="558"/>
      <c r="T452" s="558"/>
      <c r="U452" s="558"/>
      <c r="V452" s="559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70</v>
      </c>
      <c r="Q453" s="558"/>
      <c r="R453" s="558"/>
      <c r="S453" s="558"/>
      <c r="T453" s="558"/>
      <c r="U453" s="558"/>
      <c r="V453" s="559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693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693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98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694</v>
      </c>
      <c r="B457" s="54" t="s">
        <v>695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697</v>
      </c>
      <c r="B458" s="54" t="s">
        <v>698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/>
      <c r="M459" s="33" t="s">
        <v>103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70</v>
      </c>
      <c r="Q461" s="558"/>
      <c r="R461" s="558"/>
      <c r="S461" s="558"/>
      <c r="T461" s="558"/>
      <c r="U461" s="558"/>
      <c r="V461" s="559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70</v>
      </c>
      <c r="Q462" s="558"/>
      <c r="R462" s="558"/>
      <c r="S462" s="558"/>
      <c r="T462" s="558"/>
      <c r="U462" s="558"/>
      <c r="V462" s="559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134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705</v>
      </c>
      <c r="B464" s="54" t="s">
        <v>706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708</v>
      </c>
      <c r="B465" s="54" t="s">
        <v>709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70</v>
      </c>
      <c r="Q467" s="558"/>
      <c r="R467" s="558"/>
      <c r="S467" s="558"/>
      <c r="T467" s="558"/>
      <c r="U467" s="558"/>
      <c r="V467" s="559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70</v>
      </c>
      <c r="Q468" s="558"/>
      <c r="R468" s="558"/>
      <c r="S468" s="558"/>
      <c r="T468" s="558"/>
      <c r="U468" s="558"/>
      <c r="V468" s="559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63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 t="s">
        <v>111</v>
      </c>
      <c r="M470" s="33" t="s">
        <v>67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 t="s">
        <v>105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717</v>
      </c>
      <c r="B471" s="54" t="s">
        <v>718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 t="s">
        <v>111</v>
      </c>
      <c r="M471" s="33" t="s">
        <v>67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105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70</v>
      </c>
      <c r="Q472" s="558"/>
      <c r="R472" s="558"/>
      <c r="S472" s="558"/>
      <c r="T472" s="558"/>
      <c r="U472" s="558"/>
      <c r="V472" s="559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70</v>
      </c>
      <c r="Q473" s="558"/>
      <c r="R473" s="558"/>
      <c r="S473" s="558"/>
      <c r="T473" s="558"/>
      <c r="U473" s="558"/>
      <c r="V473" s="559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72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/>
      <c r="M475" s="33" t="s">
        <v>83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/>
      <c r="AK475" s="68">
        <v>0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70</v>
      </c>
      <c r="Q476" s="558"/>
      <c r="R476" s="558"/>
      <c r="S476" s="558"/>
      <c r="T476" s="558"/>
      <c r="U476" s="558"/>
      <c r="V476" s="559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70</v>
      </c>
      <c r="Q477" s="558"/>
      <c r="R477" s="558"/>
      <c r="S477" s="558"/>
      <c r="T477" s="558"/>
      <c r="U477" s="558"/>
      <c r="V477" s="559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162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723</v>
      </c>
      <c r="B479" s="54" t="s">
        <v>724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726</v>
      </c>
      <c r="B480" s="54" t="s">
        <v>727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70</v>
      </c>
      <c r="Q481" s="558"/>
      <c r="R481" s="558"/>
      <c r="S481" s="558"/>
      <c r="T481" s="558"/>
      <c r="U481" s="558"/>
      <c r="V481" s="559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70</v>
      </c>
      <c r="Q482" s="558"/>
      <c r="R482" s="558"/>
      <c r="S482" s="558"/>
      <c r="T482" s="558"/>
      <c r="U482" s="558"/>
      <c r="V482" s="559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729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134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730</v>
      </c>
      <c r="B485" s="54" t="s">
        <v>731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70</v>
      </c>
      <c r="Q486" s="558"/>
      <c r="R486" s="558"/>
      <c r="S486" s="558"/>
      <c r="T486" s="558"/>
      <c r="U486" s="558"/>
      <c r="V486" s="559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70</v>
      </c>
      <c r="Q487" s="558"/>
      <c r="R487" s="558"/>
      <c r="S487" s="558"/>
      <c r="T487" s="558"/>
      <c r="U487" s="558"/>
      <c r="V487" s="559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733</v>
      </c>
      <c r="Q488" s="628"/>
      <c r="R488" s="628"/>
      <c r="S488" s="628"/>
      <c r="T488" s="628"/>
      <c r="U488" s="628"/>
      <c r="V488" s="629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9869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10070.129999999999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734</v>
      </c>
      <c r="Q489" s="628"/>
      <c r="R489" s="628"/>
      <c r="S489" s="628"/>
      <c r="T489" s="628"/>
      <c r="U489" s="628"/>
      <c r="V489" s="629"/>
      <c r="W489" s="37" t="s">
        <v>68</v>
      </c>
      <c r="X489" s="541">
        <f>IFERROR(SUM(BM22:BM485),"0")</f>
        <v>10442.947671517779</v>
      </c>
      <c r="Y489" s="541">
        <f>IFERROR(SUM(BN22:BN485),"0")</f>
        <v>10656.429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735</v>
      </c>
      <c r="Q490" s="628"/>
      <c r="R490" s="628"/>
      <c r="S490" s="628"/>
      <c r="T490" s="628"/>
      <c r="U490" s="628"/>
      <c r="V490" s="629"/>
      <c r="W490" s="37" t="s">
        <v>736</v>
      </c>
      <c r="X490" s="38">
        <f>ROUNDUP(SUM(BO22:BO485),0)</f>
        <v>18</v>
      </c>
      <c r="Y490" s="38">
        <f>ROUNDUP(SUM(BP22:BP485),0)</f>
        <v>18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737</v>
      </c>
      <c r="Q491" s="628"/>
      <c r="R491" s="628"/>
      <c r="S491" s="628"/>
      <c r="T491" s="628"/>
      <c r="U491" s="628"/>
      <c r="V491" s="629"/>
      <c r="W491" s="37" t="s">
        <v>68</v>
      </c>
      <c r="X491" s="541">
        <f>GrossWeightTotal+PalletQtyTotal*25</f>
        <v>10892.947671517779</v>
      </c>
      <c r="Y491" s="541">
        <f>GrossWeightTotalR+PalletQtyTotalR*25</f>
        <v>11106.429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738</v>
      </c>
      <c r="Q492" s="628"/>
      <c r="R492" s="628"/>
      <c r="S492" s="628"/>
      <c r="T492" s="628"/>
      <c r="U492" s="628"/>
      <c r="V492" s="629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1736.6803613027935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1769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739</v>
      </c>
      <c r="Q493" s="628"/>
      <c r="R493" s="628"/>
      <c r="S493" s="628"/>
      <c r="T493" s="628"/>
      <c r="U493" s="628"/>
      <c r="V493" s="629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20.851410000000001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6" t="s">
        <v>96</v>
      </c>
      <c r="D495" s="594"/>
      <c r="E495" s="594"/>
      <c r="F495" s="594"/>
      <c r="G495" s="594"/>
      <c r="H495" s="595"/>
      <c r="I495" s="576" t="s">
        <v>250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531</v>
      </c>
      <c r="T495" s="595"/>
      <c r="U495" s="576" t="s">
        <v>582</v>
      </c>
      <c r="V495" s="594"/>
      <c r="W495" s="595"/>
      <c r="X495" s="536" t="s">
        <v>633</v>
      </c>
      <c r="Y495" s="576" t="s">
        <v>693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742</v>
      </c>
      <c r="B496" s="576" t="s">
        <v>62</v>
      </c>
      <c r="C496" s="576" t="s">
        <v>97</v>
      </c>
      <c r="D496" s="576" t="s">
        <v>115</v>
      </c>
      <c r="E496" s="576" t="s">
        <v>169</v>
      </c>
      <c r="F496" s="576" t="s">
        <v>188</v>
      </c>
      <c r="G496" s="576" t="s">
        <v>219</v>
      </c>
      <c r="H496" s="576" t="s">
        <v>96</v>
      </c>
      <c r="I496" s="576" t="s">
        <v>251</v>
      </c>
      <c r="J496" s="576" t="s">
        <v>296</v>
      </c>
      <c r="K496" s="576" t="s">
        <v>355</v>
      </c>
      <c r="L496" s="576" t="s">
        <v>397</v>
      </c>
      <c r="M496" s="576" t="s">
        <v>413</v>
      </c>
      <c r="N496" s="537"/>
      <c r="O496" s="576" t="s">
        <v>424</v>
      </c>
      <c r="P496" s="576" t="s">
        <v>433</v>
      </c>
      <c r="Q496" s="576" t="s">
        <v>447</v>
      </c>
      <c r="R496" s="576" t="s">
        <v>521</v>
      </c>
      <c r="S496" s="576" t="s">
        <v>532</v>
      </c>
      <c r="T496" s="576" t="s">
        <v>566</v>
      </c>
      <c r="U496" s="576" t="s">
        <v>583</v>
      </c>
      <c r="V496" s="576" t="s">
        <v>614</v>
      </c>
      <c r="W496" s="576" t="s">
        <v>629</v>
      </c>
      <c r="X496" s="576" t="s">
        <v>633</v>
      </c>
      <c r="Y496" s="576" t="s">
        <v>693</v>
      </c>
      <c r="Z496" s="576" t="s">
        <v>729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399.6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471.4</v>
      </c>
      <c r="E498" s="46">
        <f>IFERROR(Y85*1,"0")+IFERROR(Y86*1,"0")+IFERROR(Y87*1,"0")+IFERROR(Y91*1,"0")+IFERROR(Y92*1,"0")+IFERROR(Y93*1,"0")+IFERROR(Y94*1,"0")</f>
        <v>720.9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498.59999999999997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431.22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1818.3000000000002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119.15999999999998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55.199999999999996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740.81</v>
      </c>
      <c r="R498" s="46">
        <f>IFERROR(Y334*1,"0")+IFERROR(Y335*1,"0")+IFERROR(Y336*1,"0")</f>
        <v>24.299999999999997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2010</v>
      </c>
      <c r="T498" s="46">
        <f>IFERROR(Y367*1,"0")+IFERROR(Y368*1,"0")+IFERROR(Y372*1,"0")+IFERROR(Y373*1,"0")+IFERROR(Y377*1,"0")+IFERROR(Y378*1,"0")</f>
        <v>1219.2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1561.44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hN27Qks6R5GZDn894hiwAC6pxPtL3TD1iz+kA0JzTEcW54nSvBqJbJUM15hFoTLpwS6VBRx0A5HLjs4q4265ow==" saltValue="G/0/sdqDXwvcrN2FQuAor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1 X163:X164 X167:X168 X191 X195:X196 X198:X200 X202 X208:X209 X211:X214 X219 X224 X272:X273 X314:X316 X323 X334 X342:X344 X352 X377:X378 X420 X422:X423 X425 X434 X436 X440:X442 X470:X47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xTDxBxv3x/1RW9W2AnrBfs9+gCWEfd0a9DFwuHKg4lcTsoVRHZCQ4xqH5pe/lmudEVMeNsxt2unYnn4+BohwPw==" saltValue="t4bjI3lqeEdF2lpZKhxR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2025-11-21T08:38:07Z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