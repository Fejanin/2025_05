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B01C744B-A7FA-4179-ABA9-1AFA33DE23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8" i="1" l="1"/>
  <c r="S7" i="1"/>
  <c r="U7" i="1" s="1"/>
  <c r="S11" i="1"/>
  <c r="S18" i="1"/>
  <c r="U18" i="1" s="1"/>
  <c r="S19" i="1"/>
  <c r="S22" i="1"/>
  <c r="U22" i="1" s="1"/>
  <c r="S23" i="1"/>
  <c r="S25" i="1"/>
  <c r="U25" i="1" s="1"/>
  <c r="AJ25" i="1" s="1"/>
  <c r="S26" i="1"/>
  <c r="U26" i="1" s="1"/>
  <c r="S27" i="1"/>
  <c r="S28" i="1"/>
  <c r="U28" i="1" s="1"/>
  <c r="S29" i="1"/>
  <c r="U29" i="1" s="1"/>
  <c r="AJ29" i="1" s="1"/>
  <c r="S34" i="1"/>
  <c r="U34" i="1" s="1"/>
  <c r="S37" i="1"/>
  <c r="U37" i="1" s="1"/>
  <c r="AJ37" i="1" s="1"/>
  <c r="S38" i="1"/>
  <c r="U38" i="1" s="1"/>
  <c r="S42" i="1"/>
  <c r="U42" i="1" s="1"/>
  <c r="S49" i="1"/>
  <c r="S50" i="1"/>
  <c r="U50" i="1" s="1"/>
  <c r="S51" i="1"/>
  <c r="S52" i="1"/>
  <c r="U52" i="1" s="1"/>
  <c r="S53" i="1"/>
  <c r="S55" i="1"/>
  <c r="U55" i="1" s="1"/>
  <c r="S56" i="1"/>
  <c r="U56" i="1" s="1"/>
  <c r="S57" i="1"/>
  <c r="U57" i="1" s="1"/>
  <c r="AJ57" i="1" s="1"/>
  <c r="S62" i="1"/>
  <c r="U62" i="1" s="1"/>
  <c r="S65" i="1"/>
  <c r="S66" i="1"/>
  <c r="U66" i="1" s="1"/>
  <c r="S67" i="1"/>
  <c r="U67" i="1" s="1"/>
  <c r="S68" i="1"/>
  <c r="U68" i="1" s="1"/>
  <c r="S69" i="1"/>
  <c r="U69" i="1" s="1"/>
  <c r="AJ69" i="1" s="1"/>
  <c r="S70" i="1"/>
  <c r="U70" i="1" s="1"/>
  <c r="S71" i="1"/>
  <c r="U71" i="1" s="1"/>
  <c r="S72" i="1"/>
  <c r="U72" i="1" s="1"/>
  <c r="S73" i="1"/>
  <c r="U73" i="1" s="1"/>
  <c r="AJ73" i="1" s="1"/>
  <c r="S78" i="1"/>
  <c r="U78" i="1" s="1"/>
  <c r="S79" i="1"/>
  <c r="U79" i="1" s="1"/>
  <c r="AJ79" i="1" s="1"/>
  <c r="S81" i="1"/>
  <c r="S82" i="1"/>
  <c r="U82" i="1" s="1"/>
  <c r="S84" i="1"/>
  <c r="U84" i="1" s="1"/>
  <c r="S85" i="1"/>
  <c r="U85" i="1" s="1"/>
  <c r="AJ85" i="1" s="1"/>
  <c r="S86" i="1"/>
  <c r="U86" i="1" s="1"/>
  <c r="S87" i="1"/>
  <c r="U87" i="1" s="1"/>
  <c r="AJ87" i="1" s="1"/>
  <c r="S89" i="1"/>
  <c r="S91" i="1"/>
  <c r="U91" i="1" s="1"/>
  <c r="AJ91" i="1" s="1"/>
  <c r="S92" i="1"/>
  <c r="U92" i="1" s="1"/>
  <c r="AJ92" i="1" s="1"/>
  <c r="S93" i="1"/>
  <c r="U93" i="1" s="1"/>
  <c r="AJ93" i="1" s="1"/>
  <c r="S95" i="1"/>
  <c r="S96" i="1"/>
  <c r="U96" i="1" s="1"/>
  <c r="AJ96" i="1" s="1"/>
  <c r="U11" i="1"/>
  <c r="U19" i="1"/>
  <c r="AJ19" i="1" s="1"/>
  <c r="U23" i="1"/>
  <c r="U27" i="1"/>
  <c r="U49" i="1"/>
  <c r="AJ49" i="1" s="1"/>
  <c r="U51" i="1"/>
  <c r="U53" i="1"/>
  <c r="AJ53" i="1" s="1"/>
  <c r="U65" i="1"/>
  <c r="AJ65" i="1" s="1"/>
  <c r="U81" i="1"/>
  <c r="AJ81" i="1" s="1"/>
  <c r="U89" i="1"/>
  <c r="AJ89" i="1" s="1"/>
  <c r="U95" i="1"/>
  <c r="AJ95" i="1" s="1"/>
  <c r="AJ51" i="1"/>
  <c r="AJ67" i="1" l="1"/>
  <c r="AJ27" i="1"/>
  <c r="AJ11" i="1"/>
  <c r="AJ71" i="1"/>
  <c r="AJ55" i="1"/>
  <c r="AJ23" i="1"/>
  <c r="AJ7" i="1"/>
  <c r="AJ86" i="1"/>
  <c r="AJ84" i="1"/>
  <c r="AJ82" i="1"/>
  <c r="AJ78" i="1"/>
  <c r="AJ72" i="1"/>
  <c r="AJ70" i="1"/>
  <c r="AJ68" i="1"/>
  <c r="AJ66" i="1"/>
  <c r="AJ62" i="1"/>
  <c r="AJ56" i="1"/>
  <c r="AJ52" i="1"/>
  <c r="AJ50" i="1"/>
  <c r="AJ42" i="1"/>
  <c r="AJ38" i="1"/>
  <c r="AJ34" i="1"/>
  <c r="AJ28" i="1"/>
  <c r="AJ26" i="1"/>
  <c r="AJ22" i="1"/>
  <c r="AJ18" i="1"/>
  <c r="X5" i="1"/>
  <c r="Q7" i="1"/>
  <c r="Y7" i="1" s="1"/>
  <c r="Q8" i="1"/>
  <c r="R8" i="1" s="1"/>
  <c r="S8" i="1" s="1"/>
  <c r="U8" i="1" s="1"/>
  <c r="AJ8" i="1" s="1"/>
  <c r="Q9" i="1"/>
  <c r="Q10" i="1"/>
  <c r="T10" i="1" s="1"/>
  <c r="Q11" i="1"/>
  <c r="Y11" i="1" s="1"/>
  <c r="Q12" i="1"/>
  <c r="Q13" i="1"/>
  <c r="R13" i="1" s="1"/>
  <c r="S13" i="1" s="1"/>
  <c r="U13" i="1" s="1"/>
  <c r="Q14" i="1"/>
  <c r="R14" i="1" s="1"/>
  <c r="S14" i="1" s="1"/>
  <c r="U14" i="1" s="1"/>
  <c r="AJ14" i="1" s="1"/>
  <c r="Q15" i="1"/>
  <c r="Q16" i="1"/>
  <c r="R16" i="1" s="1"/>
  <c r="S16" i="1" s="1"/>
  <c r="U16" i="1" s="1"/>
  <c r="AJ16" i="1" s="1"/>
  <c r="Q17" i="1"/>
  <c r="Q18" i="1"/>
  <c r="Y18" i="1" s="1"/>
  <c r="Q19" i="1"/>
  <c r="Y19" i="1" s="1"/>
  <c r="Q20" i="1"/>
  <c r="T20" i="1" s="1"/>
  <c r="Q21" i="1"/>
  <c r="R21" i="1" s="1"/>
  <c r="S21" i="1" s="1"/>
  <c r="U21" i="1" s="1"/>
  <c r="Q22" i="1"/>
  <c r="Y22" i="1" s="1"/>
  <c r="Q23" i="1"/>
  <c r="Y23" i="1" s="1"/>
  <c r="Q24" i="1"/>
  <c r="Q25" i="1"/>
  <c r="Y25" i="1" s="1"/>
  <c r="Q26" i="1"/>
  <c r="Y26" i="1" s="1"/>
  <c r="Q27" i="1"/>
  <c r="Y27" i="1" s="1"/>
  <c r="Q28" i="1"/>
  <c r="Y28" i="1" s="1"/>
  <c r="Q29" i="1"/>
  <c r="Y29" i="1" s="1"/>
  <c r="Q30" i="1"/>
  <c r="Q31" i="1"/>
  <c r="R31" i="1" s="1"/>
  <c r="S31" i="1" s="1"/>
  <c r="U31" i="1" s="1"/>
  <c r="Y31" i="1" s="1"/>
  <c r="Q32" i="1"/>
  <c r="Q33" i="1"/>
  <c r="Q34" i="1"/>
  <c r="Y34" i="1" s="1"/>
  <c r="Q35" i="1"/>
  <c r="Q36" i="1"/>
  <c r="R36" i="1" s="1"/>
  <c r="S36" i="1" s="1"/>
  <c r="U36" i="1" s="1"/>
  <c r="AJ36" i="1" s="1"/>
  <c r="Q37" i="1"/>
  <c r="Y37" i="1" s="1"/>
  <c r="Q38" i="1"/>
  <c r="Y38" i="1" s="1"/>
  <c r="Q39" i="1"/>
  <c r="R39" i="1" s="1"/>
  <c r="S39" i="1" s="1"/>
  <c r="U39" i="1" s="1"/>
  <c r="Y39" i="1" s="1"/>
  <c r="Q40" i="1"/>
  <c r="Q41" i="1"/>
  <c r="R41" i="1" s="1"/>
  <c r="S41" i="1" s="1"/>
  <c r="U41" i="1" s="1"/>
  <c r="Q42" i="1"/>
  <c r="Y42" i="1" s="1"/>
  <c r="Q43" i="1"/>
  <c r="R43" i="1" s="1"/>
  <c r="S43" i="1" s="1"/>
  <c r="U43" i="1" s="1"/>
  <c r="Q44" i="1"/>
  <c r="Q45" i="1"/>
  <c r="R45" i="1" s="1"/>
  <c r="S45" i="1" s="1"/>
  <c r="U45" i="1" s="1"/>
  <c r="Q46" i="1"/>
  <c r="Q47" i="1"/>
  <c r="R47" i="1" s="1"/>
  <c r="S47" i="1" s="1"/>
  <c r="U47" i="1" s="1"/>
  <c r="Y47" i="1" s="1"/>
  <c r="Q48" i="1"/>
  <c r="Q49" i="1"/>
  <c r="Y49" i="1" s="1"/>
  <c r="Q50" i="1"/>
  <c r="Y50" i="1" s="1"/>
  <c r="Q51" i="1"/>
  <c r="Y51" i="1" s="1"/>
  <c r="Q52" i="1"/>
  <c r="Y52" i="1" s="1"/>
  <c r="Q53" i="1"/>
  <c r="Y53" i="1" s="1"/>
  <c r="Q54" i="1"/>
  <c r="Q55" i="1"/>
  <c r="Y55" i="1" s="1"/>
  <c r="Q56" i="1"/>
  <c r="Y56" i="1" s="1"/>
  <c r="Q57" i="1"/>
  <c r="Y57" i="1" s="1"/>
  <c r="Q58" i="1"/>
  <c r="R58" i="1" s="1"/>
  <c r="S58" i="1" s="1"/>
  <c r="U58" i="1" s="1"/>
  <c r="AJ58" i="1" s="1"/>
  <c r="Q59" i="1"/>
  <c r="R59" i="1" s="1"/>
  <c r="S59" i="1" s="1"/>
  <c r="U59" i="1" s="1"/>
  <c r="Q60" i="1"/>
  <c r="Q61" i="1"/>
  <c r="Q62" i="1"/>
  <c r="Y62" i="1" s="1"/>
  <c r="Q63" i="1"/>
  <c r="Q64" i="1"/>
  <c r="Q65" i="1"/>
  <c r="Y65" i="1" s="1"/>
  <c r="Q66" i="1"/>
  <c r="Y66" i="1" s="1"/>
  <c r="Q67" i="1"/>
  <c r="Y67" i="1" s="1"/>
  <c r="Q68" i="1"/>
  <c r="Y68" i="1" s="1"/>
  <c r="Q69" i="1"/>
  <c r="Y69" i="1" s="1"/>
  <c r="Q70" i="1"/>
  <c r="Y70" i="1" s="1"/>
  <c r="Q71" i="1"/>
  <c r="Y71" i="1" s="1"/>
  <c r="Q72" i="1"/>
  <c r="Y72" i="1" s="1"/>
  <c r="Q73" i="1"/>
  <c r="Y73" i="1" s="1"/>
  <c r="Q74" i="1"/>
  <c r="Q75" i="1"/>
  <c r="Q76" i="1"/>
  <c r="T76" i="1" s="1"/>
  <c r="Q77" i="1"/>
  <c r="Q78" i="1"/>
  <c r="Y78" i="1" s="1"/>
  <c r="Q79" i="1"/>
  <c r="Y79" i="1" s="1"/>
  <c r="Q80" i="1"/>
  <c r="Q81" i="1"/>
  <c r="Y81" i="1" s="1"/>
  <c r="Q82" i="1"/>
  <c r="Y82" i="1" s="1"/>
  <c r="Q83" i="1"/>
  <c r="R83" i="1" s="1"/>
  <c r="S83" i="1" s="1"/>
  <c r="U83" i="1" s="1"/>
  <c r="Q84" i="1"/>
  <c r="Y84" i="1" s="1"/>
  <c r="Q85" i="1"/>
  <c r="Y85" i="1" s="1"/>
  <c r="Q86" i="1"/>
  <c r="Y86" i="1" s="1"/>
  <c r="Q87" i="1"/>
  <c r="Y87" i="1" s="1"/>
  <c r="Q88" i="1"/>
  <c r="Q89" i="1"/>
  <c r="Y89" i="1" s="1"/>
  <c r="Q90" i="1"/>
  <c r="Q91" i="1"/>
  <c r="Y91" i="1" s="1"/>
  <c r="Q92" i="1"/>
  <c r="Z92" i="1" s="1"/>
  <c r="Q93" i="1"/>
  <c r="Q94" i="1"/>
  <c r="Q95" i="1"/>
  <c r="Q96" i="1"/>
  <c r="Y96" i="1" s="1"/>
  <c r="Q6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P5" i="1"/>
  <c r="O5" i="1"/>
  <c r="N5" i="1"/>
  <c r="M5" i="1"/>
  <c r="K5" i="1"/>
  <c r="F5" i="1"/>
  <c r="E5" i="1"/>
  <c r="R77" i="1" l="1"/>
  <c r="S77" i="1" s="1"/>
  <c r="U77" i="1" s="1"/>
  <c r="Y77" i="1" s="1"/>
  <c r="T77" i="1"/>
  <c r="R75" i="1"/>
  <c r="S75" i="1" s="1"/>
  <c r="U75" i="1" s="1"/>
  <c r="AJ75" i="1" s="1"/>
  <c r="T75" i="1"/>
  <c r="R35" i="1"/>
  <c r="S35" i="1" s="1"/>
  <c r="U35" i="1" s="1"/>
  <c r="AJ35" i="1" s="1"/>
  <c r="T35" i="1"/>
  <c r="R33" i="1"/>
  <c r="S33" i="1" s="1"/>
  <c r="U33" i="1" s="1"/>
  <c r="Y33" i="1" s="1"/>
  <c r="T33" i="1"/>
  <c r="R17" i="1"/>
  <c r="S17" i="1" s="1"/>
  <c r="U17" i="1" s="1"/>
  <c r="Y17" i="1" s="1"/>
  <c r="T17" i="1"/>
  <c r="R15" i="1"/>
  <c r="S15" i="1" s="1"/>
  <c r="U15" i="1" s="1"/>
  <c r="Y15" i="1" s="1"/>
  <c r="T15" i="1"/>
  <c r="R9" i="1"/>
  <c r="S9" i="1" s="1"/>
  <c r="U9" i="1" s="1"/>
  <c r="Y9" i="1" s="1"/>
  <c r="T9" i="1"/>
  <c r="T5" i="1" s="1"/>
  <c r="AJ39" i="1"/>
  <c r="Y8" i="1"/>
  <c r="Y14" i="1"/>
  <c r="Y16" i="1"/>
  <c r="Y36" i="1"/>
  <c r="Y58" i="1"/>
  <c r="Z95" i="1"/>
  <c r="Y95" i="1"/>
  <c r="Z93" i="1"/>
  <c r="Y93" i="1"/>
  <c r="Y83" i="1"/>
  <c r="AJ83" i="1"/>
  <c r="AJ77" i="1"/>
  <c r="Y59" i="1"/>
  <c r="AJ59" i="1"/>
  <c r="AJ45" i="1"/>
  <c r="Y45" i="1"/>
  <c r="Y43" i="1"/>
  <c r="AJ43" i="1"/>
  <c r="AJ41" i="1"/>
  <c r="Y41" i="1"/>
  <c r="AJ21" i="1"/>
  <c r="Y21" i="1"/>
  <c r="AJ13" i="1"/>
  <c r="Y13" i="1"/>
  <c r="AJ31" i="1"/>
  <c r="AJ47" i="1"/>
  <c r="Y92" i="1"/>
  <c r="Z96" i="1"/>
  <c r="Z94" i="1"/>
  <c r="R94" i="1"/>
  <c r="S94" i="1" s="1"/>
  <c r="U94" i="1" s="1"/>
  <c r="R90" i="1"/>
  <c r="S90" i="1" s="1"/>
  <c r="U90" i="1" s="1"/>
  <c r="R88" i="1"/>
  <c r="S88" i="1" s="1"/>
  <c r="U88" i="1" s="1"/>
  <c r="R80" i="1"/>
  <c r="S80" i="1" s="1"/>
  <c r="U80" i="1" s="1"/>
  <c r="R76" i="1"/>
  <c r="S76" i="1" s="1"/>
  <c r="U76" i="1" s="1"/>
  <c r="R74" i="1"/>
  <c r="S74" i="1" s="1"/>
  <c r="U74" i="1" s="1"/>
  <c r="R64" i="1"/>
  <c r="S64" i="1" s="1"/>
  <c r="U64" i="1" s="1"/>
  <c r="R60" i="1"/>
  <c r="S60" i="1" s="1"/>
  <c r="U60" i="1" s="1"/>
  <c r="R54" i="1"/>
  <c r="S54" i="1" s="1"/>
  <c r="U54" i="1" s="1"/>
  <c r="R48" i="1"/>
  <c r="U48" i="1" s="1"/>
  <c r="R46" i="1"/>
  <c r="S46" i="1" s="1"/>
  <c r="U46" i="1" s="1"/>
  <c r="R44" i="1"/>
  <c r="S44" i="1" s="1"/>
  <c r="U44" i="1" s="1"/>
  <c r="R40" i="1"/>
  <c r="S40" i="1" s="1"/>
  <c r="U40" i="1" s="1"/>
  <c r="R32" i="1"/>
  <c r="S32" i="1" s="1"/>
  <c r="U32" i="1" s="1"/>
  <c r="R30" i="1"/>
  <c r="S30" i="1" s="1"/>
  <c r="U30" i="1" s="1"/>
  <c r="R24" i="1"/>
  <c r="S24" i="1" s="1"/>
  <c r="U24" i="1" s="1"/>
  <c r="R20" i="1"/>
  <c r="S20" i="1" s="1"/>
  <c r="U20" i="1" s="1"/>
  <c r="R12" i="1"/>
  <c r="S12" i="1" s="1"/>
  <c r="U12" i="1" s="1"/>
  <c r="R10" i="1"/>
  <c r="S10" i="1" s="1"/>
  <c r="U10" i="1" s="1"/>
  <c r="R6" i="1"/>
  <c r="S6" i="1" s="1"/>
  <c r="R61" i="1"/>
  <c r="S61" i="1" s="1"/>
  <c r="U61" i="1" s="1"/>
  <c r="R63" i="1"/>
  <c r="S63" i="1" s="1"/>
  <c r="U63" i="1" s="1"/>
  <c r="Z6" i="1"/>
  <c r="Z90" i="1"/>
  <c r="Z88" i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Z91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3" i="1"/>
  <c r="Z61" i="1"/>
  <c r="Z59" i="1"/>
  <c r="Z57" i="1"/>
  <c r="Z55" i="1"/>
  <c r="Z53" i="1"/>
  <c r="Z51" i="1"/>
  <c r="Z49" i="1"/>
  <c r="Z47" i="1"/>
  <c r="Z45" i="1"/>
  <c r="Z43" i="1"/>
  <c r="Z41" i="1"/>
  <c r="Z39" i="1"/>
  <c r="Z37" i="1"/>
  <c r="Z35" i="1"/>
  <c r="Z33" i="1"/>
  <c r="Z31" i="1"/>
  <c r="Z29" i="1"/>
  <c r="Z27" i="1"/>
  <c r="Z25" i="1"/>
  <c r="Z23" i="1"/>
  <c r="Z21" i="1"/>
  <c r="Z19" i="1"/>
  <c r="Z17" i="1"/>
  <c r="Z15" i="1"/>
  <c r="Z13" i="1"/>
  <c r="Z11" i="1"/>
  <c r="Z9" i="1"/>
  <c r="Z7" i="1"/>
  <c r="L5" i="1"/>
  <c r="Q5" i="1"/>
  <c r="AJ17" i="1" l="1"/>
  <c r="AJ15" i="1"/>
  <c r="Y35" i="1"/>
  <c r="AJ9" i="1"/>
  <c r="AJ33" i="1"/>
  <c r="Y75" i="1"/>
  <c r="AJ61" i="1"/>
  <c r="Y61" i="1"/>
  <c r="AJ10" i="1"/>
  <c r="Y10" i="1"/>
  <c r="AJ20" i="1"/>
  <c r="Y20" i="1"/>
  <c r="AJ30" i="1"/>
  <c r="Y30" i="1"/>
  <c r="AJ40" i="1"/>
  <c r="Y40" i="1"/>
  <c r="AJ46" i="1"/>
  <c r="Y46" i="1"/>
  <c r="AJ54" i="1"/>
  <c r="Y54" i="1"/>
  <c r="AJ64" i="1"/>
  <c r="Y64" i="1"/>
  <c r="AJ76" i="1"/>
  <c r="Y76" i="1"/>
  <c r="AJ88" i="1"/>
  <c r="Y88" i="1"/>
  <c r="AJ94" i="1"/>
  <c r="Y94" i="1"/>
  <c r="Y63" i="1"/>
  <c r="AJ63" i="1"/>
  <c r="U6" i="1"/>
  <c r="S5" i="1"/>
  <c r="AJ12" i="1"/>
  <c r="Y12" i="1"/>
  <c r="AJ24" i="1"/>
  <c r="Y24" i="1"/>
  <c r="AJ32" i="1"/>
  <c r="Y32" i="1"/>
  <c r="AJ44" i="1"/>
  <c r="Y44" i="1"/>
  <c r="AJ48" i="1"/>
  <c r="Y48" i="1"/>
  <c r="AJ60" i="1"/>
  <c r="Y60" i="1"/>
  <c r="AJ74" i="1"/>
  <c r="Y74" i="1"/>
  <c r="AJ80" i="1"/>
  <c r="Y80" i="1"/>
  <c r="AJ90" i="1"/>
  <c r="Y90" i="1"/>
  <c r="R5" i="1"/>
  <c r="AJ6" i="1" l="1"/>
  <c r="AJ5" i="1" s="1"/>
  <c r="U5" i="1"/>
  <c r="Y6" i="1"/>
</calcChain>
</file>

<file path=xl/sharedStrings.xml><?xml version="1.0" encoding="utf-8"?>
<sst xmlns="http://schemas.openxmlformats.org/spreadsheetml/2006/main" count="371" uniqueCount="159">
  <si>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</si>
  <si>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</si>
  <si>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</si>
  <si>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</si>
  <si>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</si>
  <si>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</si>
  <si>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</si>
  <si>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</si>
  <si>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</si>
  <si>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</si>
  <si>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</si>
  <si>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</si>
  <si>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</si>
  <si>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</si>
  <si>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</si>
  <si>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</si>
  <si>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</si>
  <si>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</si>
  <si>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</si>
  <si>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</si>
  <si>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</si>
  <si>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</si>
  <si>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</si>
  <si>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</si>
  <si>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15,11,</t>
  </si>
  <si>
    <t>17,11,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</si>
  <si>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</si>
  <si>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</si>
  <si>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</si>
  <si>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</si>
  <si>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</si>
  <si>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</si>
  <si>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</si>
  <si>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</si>
  <si>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</si>
  <si>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</si>
  <si>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</si>
  <si>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</si>
  <si>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</si>
  <si>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</si>
  <si>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</si>
  <si>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</si>
  <si>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</si>
  <si>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</si>
  <si>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</si>
  <si>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</si>
  <si>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</si>
  <si>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</si>
  <si>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</si>
  <si>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</si>
  <si>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</si>
  <si>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</si>
  <si>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</si>
  <si>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</si>
  <si>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</si>
  <si>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</si>
  <si>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</si>
  <si>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</si>
  <si>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</si>
  <si>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</si>
  <si>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</si>
  <si>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</si>
  <si>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</si>
  <si>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</si>
  <si>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</si>
  <si>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</si>
  <si>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</si>
  <si>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</si>
  <si>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</si>
  <si>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</si>
  <si>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</si>
  <si>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</si>
  <si>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</si>
  <si>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</si>
  <si>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</si>
  <si>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</si>
  <si>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</si>
  <si>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</si>
  <si>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</si>
  <si>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</si>
  <si>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</si>
  <si>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</si>
  <si>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</si>
  <si>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</si>
  <si>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</si>
  <si>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</si>
  <si>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</si>
  <si>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</si>
  <si>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</si>
  <si>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</si>
  <si>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</si>
  <si>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</si>
  <si>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</si>
  <si>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</si>
  <si>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</si>
  <si>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</si>
  <si>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</si>
  <si>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</si>
  <si>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</si>
  <si>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</si>
  <si>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</si>
  <si>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</si>
  <si>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</si>
  <si>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</si>
  <si>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</si>
  <si>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</si>
  <si>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</si>
  <si>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</si>
  <si>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</si>
  <si>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</si>
  <si>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</si>
  <si>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</si>
  <si>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</si>
  <si>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</si>
  <si>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</si>
  <si>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</si>
  <si>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</si>
  <si>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</si>
  <si>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</si>
  <si>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</si>
  <si>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</si>
  <si>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</si>
  <si>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</si>
  <si>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</si>
  <si>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</si>
  <si>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</si>
  <si>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</si>
  <si>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</si>
  <si>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</si>
  <si>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</si>
  <si>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>нужно увеличить продажи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</si>
  <si>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</si>
  <si>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</si>
  <si>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</si>
  <si>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</si>
  <si>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</si>
  <si>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</si>
  <si>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</si>
  <si>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</si>
  <si>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нужно увеличить продажи!!! / 12,09,25 списание 14шт. (недостача)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</si>
  <si>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</si>
  <si>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</si>
  <si>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</si>
  <si>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</si>
  <si>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</si>
  <si>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</si>
  <si>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</si>
  <si>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</si>
  <si>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</si>
  <si>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</si>
  <si>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</si>
  <si>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</si>
  <si>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</si>
  <si>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</si>
  <si>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29,10,25 заказываем</t>
    </r>
  </si>
  <si>
    <t>с учетом ТК</t>
  </si>
  <si>
    <t>до машины</t>
  </si>
  <si>
    <t>заказ</t>
  </si>
  <si>
    <t>22,11,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</si>
</sst>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9" borderId="1" xfId="1" applyNumberFormat="1" applyFill="1"/>
    <xf numFmtId="164" fontId="7" fillId="9" borderId="1" xfId="1" applyNumberFormat="1" applyFont="1" applyFill="1"/>
    <xf numFmtId="164" fontId="6" fillId="9" borderId="1" xfId="1" applyNumberFormat="1" applyFont="1" applyFill="1"/>
    <xf numFmtId="164" fontId="1" fillId="9" borderId="2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24" customWidth="1"/>
    <col min="22" max="22" width="7" customWidth="1"/>
    <col min="23" max="23" width="21" customWidth="1"/>
    <col min="24" max="24" width="7" customWidth="1"/>
    <col min="25" max="26" width="5" customWidth="1"/>
    <col min="27" max="34" width="6" customWidth="1"/>
    <col min="35" max="35" width="29.85546875" customWidth="1"/>
    <col min="36" max="36" width="7" customWidth="1"/>
    <col min="37" max="54" width="3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5">
        <v>0.8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155</v>
      </c>
      <c r="T3" s="3" t="s">
        <v>156</v>
      </c>
      <c r="U3" s="3" t="s">
        <v>157</v>
      </c>
      <c r="V3" s="7" t="s">
        <v>17</v>
      </c>
      <c r="W3" s="7" t="s">
        <v>18</v>
      </c>
      <c r="X3" s="10" t="s">
        <v>151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158</v>
      </c>
      <c r="V4" s="1"/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12563.925999999999</v>
      </c>
      <c r="F5" s="4">
        <f>SUM(F6:F500)</f>
        <v>5447.4</v>
      </c>
      <c r="G5" s="8"/>
      <c r="H5" s="1"/>
      <c r="I5" s="1"/>
      <c r="J5" s="1"/>
      <c r="K5" s="4">
        <f t="shared" ref="K5:X5" si="0">SUM(K6:K500)</f>
        <v>12956.741</v>
      </c>
      <c r="L5" s="4">
        <f t="shared" si="0"/>
        <v>-392.815</v>
      </c>
      <c r="M5" s="4">
        <f t="shared" si="0"/>
        <v>0</v>
      </c>
      <c r="N5" s="4">
        <f t="shared" si="0"/>
        <v>0</v>
      </c>
      <c r="O5" s="4">
        <f t="shared" si="0"/>
        <v>8404.963899999997</v>
      </c>
      <c r="P5" s="4">
        <f t="shared" si="0"/>
        <v>8969.579160000003</v>
      </c>
      <c r="Q5" s="4">
        <f t="shared" si="0"/>
        <v>2512.7852000000003</v>
      </c>
      <c r="R5" s="4">
        <f t="shared" si="0"/>
        <v>6122.3843400000005</v>
      </c>
      <c r="S5" s="4">
        <f t="shared" si="0"/>
        <v>7410.1387400000012</v>
      </c>
      <c r="T5" s="4">
        <f t="shared" si="0"/>
        <v>1001.8438400000001</v>
      </c>
      <c r="U5" s="4">
        <f t="shared" si="0"/>
        <v>8411.9825800000035</v>
      </c>
      <c r="V5" s="4">
        <f t="shared" si="0"/>
        <v>1300</v>
      </c>
      <c r="W5" s="1"/>
      <c r="X5" s="4">
        <f t="shared" si="0"/>
        <v>0</v>
      </c>
      <c r="Y5" s="1"/>
      <c r="Z5" s="1"/>
      <c r="AA5" s="4">
        <f t="shared" ref="AA5:AH5" si="1">SUM(AA6:AA500)</f>
        <v>2404.3861999999999</v>
      </c>
      <c r="AB5" s="4">
        <f t="shared" si="1"/>
        <v>2088.7852000000007</v>
      </c>
      <c r="AC5" s="4">
        <f t="shared" si="1"/>
        <v>1927.2731999999994</v>
      </c>
      <c r="AD5" s="4">
        <f t="shared" si="1"/>
        <v>1931.2177999999999</v>
      </c>
      <c r="AE5" s="4">
        <f t="shared" si="1"/>
        <v>2321.7342000000003</v>
      </c>
      <c r="AF5" s="4">
        <f t="shared" si="1"/>
        <v>2193.2891999999993</v>
      </c>
      <c r="AG5" s="4">
        <f t="shared" si="1"/>
        <v>2061.5051999999996</v>
      </c>
      <c r="AH5" s="4">
        <f t="shared" si="1"/>
        <v>2114.7403999999997</v>
      </c>
      <c r="AI5" s="1"/>
      <c r="AJ5" s="4">
        <f>SUM(AJ6:AJ500)</f>
        <v>7152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201.36699999999999</v>
      </c>
      <c r="D6" s="1"/>
      <c r="E6" s="1">
        <v>118.693</v>
      </c>
      <c r="F6" s="1">
        <v>82.674000000000007</v>
      </c>
      <c r="G6" s="8">
        <v>1</v>
      </c>
      <c r="H6" s="1">
        <v>50</v>
      </c>
      <c r="I6" s="1" t="s">
        <v>37</v>
      </c>
      <c r="J6" s="1"/>
      <c r="K6" s="1">
        <v>112.6</v>
      </c>
      <c r="L6" s="1">
        <f t="shared" ref="L6:L37" si="2">E6-K6</f>
        <v>6.0930000000000035</v>
      </c>
      <c r="M6" s="1"/>
      <c r="N6" s="1"/>
      <c r="O6" s="1">
        <v>0</v>
      </c>
      <c r="P6" s="1">
        <v>43.765800000000013</v>
      </c>
      <c r="Q6" s="1">
        <f>E6/5</f>
        <v>23.738599999999998</v>
      </c>
      <c r="R6" s="5">
        <f>11*Q6-P6-O6-F6</f>
        <v>134.68479999999997</v>
      </c>
      <c r="S6" s="5">
        <f>R6</f>
        <v>134.68479999999997</v>
      </c>
      <c r="T6" s="5"/>
      <c r="U6" s="5">
        <f>T6+S6</f>
        <v>134.68479999999997</v>
      </c>
      <c r="V6" s="5"/>
      <c r="W6" s="1"/>
      <c r="X6" s="1"/>
      <c r="Y6" s="1">
        <f>(F6+O6+P6+U6)/Q6</f>
        <v>11</v>
      </c>
      <c r="Z6" s="1">
        <f>(F6+O6+P6)/Q6</f>
        <v>5.3263376947250478</v>
      </c>
      <c r="AA6" s="1">
        <v>17.1004</v>
      </c>
      <c r="AB6" s="1">
        <v>17.651599999999998</v>
      </c>
      <c r="AC6" s="1">
        <v>19.516400000000001</v>
      </c>
      <c r="AD6" s="1">
        <v>14.5044</v>
      </c>
      <c r="AE6" s="1">
        <v>22.097799999999999</v>
      </c>
      <c r="AF6" s="1">
        <v>26.941400000000002</v>
      </c>
      <c r="AG6" s="1">
        <v>20.011399999999998</v>
      </c>
      <c r="AH6" s="1">
        <v>17.285</v>
      </c>
      <c r="AI6" s="1"/>
      <c r="AJ6" s="1">
        <f>ROUND(G6*U6,0)</f>
        <v>135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57.868000000000002</v>
      </c>
      <c r="D7" s="1">
        <v>32.720999999999997</v>
      </c>
      <c r="E7" s="1">
        <v>17.818000000000001</v>
      </c>
      <c r="F7" s="1">
        <v>66.016000000000005</v>
      </c>
      <c r="G7" s="8">
        <v>1</v>
      </c>
      <c r="H7" s="1">
        <v>45</v>
      </c>
      <c r="I7" s="1" t="s">
        <v>37</v>
      </c>
      <c r="J7" s="1"/>
      <c r="K7" s="1">
        <v>23.7</v>
      </c>
      <c r="L7" s="1">
        <f t="shared" si="2"/>
        <v>-5.8819999999999979</v>
      </c>
      <c r="M7" s="1"/>
      <c r="N7" s="1"/>
      <c r="O7" s="1">
        <v>100.926</v>
      </c>
      <c r="P7" s="1">
        <v>0</v>
      </c>
      <c r="Q7" s="1">
        <f t="shared" ref="Q7:Q70" si="3">E7/5</f>
        <v>3.5636000000000001</v>
      </c>
      <c r="R7" s="5"/>
      <c r="S7" s="5">
        <f t="shared" ref="S7:S70" si="4">R7</f>
        <v>0</v>
      </c>
      <c r="T7" s="5"/>
      <c r="U7" s="5">
        <f t="shared" ref="U7:U70" si="5">T7+S7</f>
        <v>0</v>
      </c>
      <c r="V7" s="5"/>
      <c r="W7" s="1"/>
      <c r="X7" s="1"/>
      <c r="Y7" s="1">
        <f t="shared" ref="Y7:Y70" si="6">(F7+O7+P7+U7)/Q7</f>
        <v>46.8464474127287</v>
      </c>
      <c r="Z7" s="1">
        <f t="shared" ref="Z7:Z70" si="7">(F7+O7+P7)/Q7</f>
        <v>46.8464474127287</v>
      </c>
      <c r="AA7" s="1">
        <v>11.3546</v>
      </c>
      <c r="AB7" s="1">
        <v>18.198</v>
      </c>
      <c r="AC7" s="1">
        <v>11.243600000000001</v>
      </c>
      <c r="AD7" s="1">
        <v>14.307600000000001</v>
      </c>
      <c r="AE7" s="1">
        <v>13.9976</v>
      </c>
      <c r="AF7" s="1">
        <v>2.9958</v>
      </c>
      <c r="AG7" s="1">
        <v>12.664999999999999</v>
      </c>
      <c r="AH7" s="1">
        <v>15.3398</v>
      </c>
      <c r="AI7" s="1" t="s">
        <v>39</v>
      </c>
      <c r="AJ7" s="1">
        <f t="shared" ref="AJ7:AJ70" si="8">ROUND(G7*U7,0)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36</v>
      </c>
      <c r="C8" s="1">
        <v>82.040999999999997</v>
      </c>
      <c r="D8" s="1">
        <v>24.254000000000001</v>
      </c>
      <c r="E8" s="1">
        <v>79.096000000000004</v>
      </c>
      <c r="F8" s="1">
        <v>25.829000000000001</v>
      </c>
      <c r="G8" s="8">
        <v>1</v>
      </c>
      <c r="H8" s="1">
        <v>45</v>
      </c>
      <c r="I8" s="1" t="s">
        <v>37</v>
      </c>
      <c r="J8" s="1"/>
      <c r="K8" s="1">
        <v>76.099999999999994</v>
      </c>
      <c r="L8" s="1">
        <f t="shared" si="2"/>
        <v>2.9960000000000093</v>
      </c>
      <c r="M8" s="1"/>
      <c r="N8" s="1"/>
      <c r="O8" s="1">
        <v>9.2155999999999807</v>
      </c>
      <c r="P8" s="1">
        <v>18.961600000000001</v>
      </c>
      <c r="Q8" s="1">
        <f t="shared" si="3"/>
        <v>15.8192</v>
      </c>
      <c r="R8" s="5">
        <f>9*Q8-P8-O8-F8</f>
        <v>88.366600000000034</v>
      </c>
      <c r="S8" s="5">
        <f t="shared" si="4"/>
        <v>88.366600000000034</v>
      </c>
      <c r="T8" s="5"/>
      <c r="U8" s="5">
        <f t="shared" si="5"/>
        <v>88.366600000000034</v>
      </c>
      <c r="V8" s="5"/>
      <c r="W8" s="1"/>
      <c r="X8" s="1"/>
      <c r="Y8" s="1">
        <f t="shared" si="6"/>
        <v>9</v>
      </c>
      <c r="Z8" s="1">
        <f t="shared" si="7"/>
        <v>3.4139653079801744</v>
      </c>
      <c r="AA8" s="1">
        <v>9.6616</v>
      </c>
      <c r="AB8" s="1">
        <v>10.4476</v>
      </c>
      <c r="AC8" s="1">
        <v>11.976800000000001</v>
      </c>
      <c r="AD8" s="1">
        <v>9.2382000000000009</v>
      </c>
      <c r="AE8" s="1">
        <v>14.6676</v>
      </c>
      <c r="AF8" s="1">
        <v>14.117599999999999</v>
      </c>
      <c r="AG8" s="1">
        <v>8.4833999999999996</v>
      </c>
      <c r="AH8" s="1">
        <v>10.9948</v>
      </c>
      <c r="AI8" s="1"/>
      <c r="AJ8" s="1">
        <f t="shared" si="8"/>
        <v>88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41</v>
      </c>
      <c r="B9" s="1" t="s">
        <v>42</v>
      </c>
      <c r="C9" s="1">
        <v>292</v>
      </c>
      <c r="D9" s="1">
        <v>1</v>
      </c>
      <c r="E9" s="1">
        <v>207</v>
      </c>
      <c r="F9" s="1">
        <v>81</v>
      </c>
      <c r="G9" s="8">
        <v>0.45</v>
      </c>
      <c r="H9" s="1">
        <v>45</v>
      </c>
      <c r="I9" s="1" t="s">
        <v>37</v>
      </c>
      <c r="J9" s="1"/>
      <c r="K9" s="1">
        <v>208</v>
      </c>
      <c r="L9" s="1">
        <f t="shared" si="2"/>
        <v>-1</v>
      </c>
      <c r="M9" s="1"/>
      <c r="N9" s="1"/>
      <c r="O9" s="1">
        <v>0</v>
      </c>
      <c r="P9" s="1">
        <v>209.4</v>
      </c>
      <c r="Q9" s="1">
        <f t="shared" si="3"/>
        <v>41.4</v>
      </c>
      <c r="R9" s="5">
        <f t="shared" ref="R9:R24" si="9">11*Q9-P9-O9-F9</f>
        <v>164.99999999999997</v>
      </c>
      <c r="S9" s="5">
        <f t="shared" si="4"/>
        <v>164.99999999999997</v>
      </c>
      <c r="T9" s="5">
        <f>$T$1*Q9</f>
        <v>33.119999999999997</v>
      </c>
      <c r="U9" s="5">
        <f t="shared" si="5"/>
        <v>198.11999999999998</v>
      </c>
      <c r="V9" s="5"/>
      <c r="W9" s="1"/>
      <c r="X9" s="1"/>
      <c r="Y9" s="1">
        <f t="shared" si="6"/>
        <v>11.8</v>
      </c>
      <c r="Z9" s="1">
        <f t="shared" si="7"/>
        <v>7.0144927536231885</v>
      </c>
      <c r="AA9" s="1">
        <v>33.200000000000003</v>
      </c>
      <c r="AB9" s="1">
        <v>14.8</v>
      </c>
      <c r="AC9" s="1">
        <v>18.2</v>
      </c>
      <c r="AD9" s="1">
        <v>23.8</v>
      </c>
      <c r="AE9" s="1">
        <v>36</v>
      </c>
      <c r="AF9" s="1">
        <v>36.200000000000003</v>
      </c>
      <c r="AG9" s="1">
        <v>27.2</v>
      </c>
      <c r="AH9" s="1">
        <v>26.2</v>
      </c>
      <c r="AI9" s="1" t="s">
        <v>39</v>
      </c>
      <c r="AJ9" s="1">
        <f t="shared" si="8"/>
        <v>89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43</v>
      </c>
      <c r="B10" s="1" t="s">
        <v>42</v>
      </c>
      <c r="C10" s="1">
        <v>353</v>
      </c>
      <c r="D10" s="1">
        <v>19</v>
      </c>
      <c r="E10" s="1">
        <v>351</v>
      </c>
      <c r="F10" s="1">
        <v>11</v>
      </c>
      <c r="G10" s="8">
        <v>0.45</v>
      </c>
      <c r="H10" s="1">
        <v>45</v>
      </c>
      <c r="I10" s="1" t="s">
        <v>37</v>
      </c>
      <c r="J10" s="1"/>
      <c r="K10" s="1">
        <v>366</v>
      </c>
      <c r="L10" s="1">
        <f t="shared" si="2"/>
        <v>-15</v>
      </c>
      <c r="M10" s="1"/>
      <c r="N10" s="1"/>
      <c r="O10" s="1">
        <v>138.39999999999989</v>
      </c>
      <c r="P10" s="1">
        <v>297.80000000000018</v>
      </c>
      <c r="Q10" s="1">
        <f t="shared" si="3"/>
        <v>70.2</v>
      </c>
      <c r="R10" s="5">
        <f t="shared" si="9"/>
        <v>325</v>
      </c>
      <c r="S10" s="5">
        <f t="shared" si="4"/>
        <v>325</v>
      </c>
      <c r="T10" s="5">
        <f>$T$1*Q10</f>
        <v>56.160000000000004</v>
      </c>
      <c r="U10" s="5">
        <f t="shared" si="5"/>
        <v>381.16</v>
      </c>
      <c r="V10" s="5"/>
      <c r="W10" s="1"/>
      <c r="X10" s="1"/>
      <c r="Y10" s="1">
        <f t="shared" si="6"/>
        <v>11.8</v>
      </c>
      <c r="Z10" s="1">
        <f t="shared" si="7"/>
        <v>6.3703703703703711</v>
      </c>
      <c r="AA10" s="1">
        <v>50.6</v>
      </c>
      <c r="AB10" s="1">
        <v>37.799999999999997</v>
      </c>
      <c r="AC10" s="1">
        <v>33.799999999999997</v>
      </c>
      <c r="AD10" s="1">
        <v>17.8</v>
      </c>
      <c r="AE10" s="1">
        <v>42</v>
      </c>
      <c r="AF10" s="1">
        <v>46.6</v>
      </c>
      <c r="AG10" s="1">
        <v>34.4</v>
      </c>
      <c r="AH10" s="1">
        <v>28.4</v>
      </c>
      <c r="AI10" s="1"/>
      <c r="AJ10" s="1">
        <f t="shared" si="8"/>
        <v>172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" t="s">
        <v>44</v>
      </c>
      <c r="B11" s="1" t="s">
        <v>42</v>
      </c>
      <c r="C11" s="1">
        <v>69</v>
      </c>
      <c r="D11" s="1"/>
      <c r="E11" s="1">
        <v>32</v>
      </c>
      <c r="F11" s="1">
        <v>36</v>
      </c>
      <c r="G11" s="8">
        <v>0.17</v>
      </c>
      <c r="H11" s="1">
        <v>180</v>
      </c>
      <c r="I11" s="1" t="s">
        <v>37</v>
      </c>
      <c r="J11" s="1"/>
      <c r="K11" s="1">
        <v>33</v>
      </c>
      <c r="L11" s="1">
        <f t="shared" si="2"/>
        <v>-1</v>
      </c>
      <c r="M11" s="1"/>
      <c r="N11" s="1"/>
      <c r="O11" s="1">
        <v>0</v>
      </c>
      <c r="P11" s="1">
        <v>31</v>
      </c>
      <c r="Q11" s="1">
        <f t="shared" si="3"/>
        <v>6.4</v>
      </c>
      <c r="R11" s="5">
        <v>6</v>
      </c>
      <c r="S11" s="5">
        <f t="shared" si="4"/>
        <v>6</v>
      </c>
      <c r="T11" s="5"/>
      <c r="U11" s="5">
        <f t="shared" si="5"/>
        <v>6</v>
      </c>
      <c r="V11" s="5"/>
      <c r="W11" s="1"/>
      <c r="X11" s="1"/>
      <c r="Y11" s="1">
        <f t="shared" si="6"/>
        <v>11.40625</v>
      </c>
      <c r="Z11" s="1">
        <f t="shared" si="7"/>
        <v>10.46875</v>
      </c>
      <c r="AA11" s="1">
        <v>6</v>
      </c>
      <c r="AB11" s="1">
        <v>2.6</v>
      </c>
      <c r="AC11" s="1">
        <v>2.6</v>
      </c>
      <c r="AD11" s="1">
        <v>1.8</v>
      </c>
      <c r="AE11" s="1">
        <v>2.6</v>
      </c>
      <c r="AF11" s="1">
        <v>7.6</v>
      </c>
      <c r="AG11" s="1">
        <v>7.6</v>
      </c>
      <c r="AH11" s="1">
        <v>4.2</v>
      </c>
      <c r="AI11" s="1"/>
      <c r="AJ11" s="1">
        <f t="shared" si="8"/>
        <v>1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45</v>
      </c>
      <c r="B12" s="1" t="s">
        <v>42</v>
      </c>
      <c r="C12" s="1">
        <v>21</v>
      </c>
      <c r="D12" s="1">
        <v>19</v>
      </c>
      <c r="E12" s="1">
        <v>41</v>
      </c>
      <c r="F12" s="1">
        <v>1</v>
      </c>
      <c r="G12" s="8">
        <v>0.3</v>
      </c>
      <c r="H12" s="1">
        <v>40</v>
      </c>
      <c r="I12" s="1" t="s">
        <v>37</v>
      </c>
      <c r="J12" s="1"/>
      <c r="K12" s="1">
        <v>42</v>
      </c>
      <c r="L12" s="1">
        <f t="shared" si="2"/>
        <v>-1</v>
      </c>
      <c r="M12" s="1"/>
      <c r="N12" s="1"/>
      <c r="O12" s="1">
        <v>11.8</v>
      </c>
      <c r="P12" s="1">
        <v>50.600000000000009</v>
      </c>
      <c r="Q12" s="1">
        <f t="shared" si="3"/>
        <v>8.1999999999999993</v>
      </c>
      <c r="R12" s="5">
        <f t="shared" si="9"/>
        <v>26.799999999999979</v>
      </c>
      <c r="S12" s="5">
        <f t="shared" si="4"/>
        <v>26.799999999999979</v>
      </c>
      <c r="T12" s="5"/>
      <c r="U12" s="5">
        <f t="shared" si="5"/>
        <v>26.799999999999979</v>
      </c>
      <c r="V12" s="5"/>
      <c r="W12" s="1"/>
      <c r="X12" s="1"/>
      <c r="Y12" s="1">
        <f t="shared" si="6"/>
        <v>11</v>
      </c>
      <c r="Z12" s="1">
        <f t="shared" si="7"/>
        <v>7.7317073170731723</v>
      </c>
      <c r="AA12" s="1">
        <v>7.2</v>
      </c>
      <c r="AB12" s="1">
        <v>4.2</v>
      </c>
      <c r="AC12" s="1">
        <v>2.2000000000000002</v>
      </c>
      <c r="AD12" s="1">
        <v>5.4</v>
      </c>
      <c r="AE12" s="1">
        <v>4.8</v>
      </c>
      <c r="AF12" s="1">
        <v>1</v>
      </c>
      <c r="AG12" s="1">
        <v>4.5999999999999996</v>
      </c>
      <c r="AH12" s="1">
        <v>6.4</v>
      </c>
      <c r="AI12" s="1"/>
      <c r="AJ12" s="1">
        <f t="shared" si="8"/>
        <v>8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46</v>
      </c>
      <c r="B13" s="1" t="s">
        <v>42</v>
      </c>
      <c r="C13" s="1">
        <v>73</v>
      </c>
      <c r="D13" s="1"/>
      <c r="E13" s="1">
        <v>43</v>
      </c>
      <c r="F13" s="1">
        <v>30</v>
      </c>
      <c r="G13" s="8">
        <v>0.17</v>
      </c>
      <c r="H13" s="1">
        <v>180</v>
      </c>
      <c r="I13" s="1" t="s">
        <v>37</v>
      </c>
      <c r="J13" s="1"/>
      <c r="K13" s="1">
        <v>43</v>
      </c>
      <c r="L13" s="1">
        <f t="shared" si="2"/>
        <v>0</v>
      </c>
      <c r="M13" s="1"/>
      <c r="N13" s="1"/>
      <c r="O13" s="1">
        <v>0</v>
      </c>
      <c r="P13" s="1">
        <v>56.400000000000013</v>
      </c>
      <c r="Q13" s="1">
        <f t="shared" si="3"/>
        <v>8.6</v>
      </c>
      <c r="R13" s="5">
        <f t="shared" si="9"/>
        <v>8.1999999999999815</v>
      </c>
      <c r="S13" s="5">
        <f t="shared" si="4"/>
        <v>8.1999999999999815</v>
      </c>
      <c r="T13" s="5"/>
      <c r="U13" s="5">
        <f t="shared" si="5"/>
        <v>8.1999999999999815</v>
      </c>
      <c r="V13" s="5"/>
      <c r="W13" s="1"/>
      <c r="X13" s="1"/>
      <c r="Y13" s="1">
        <f t="shared" si="6"/>
        <v>11</v>
      </c>
      <c r="Z13" s="1">
        <f t="shared" si="7"/>
        <v>10.046511627906979</v>
      </c>
      <c r="AA13" s="1">
        <v>8.4</v>
      </c>
      <c r="AB13" s="1">
        <v>1.6</v>
      </c>
      <c r="AC13" s="1">
        <v>1.2</v>
      </c>
      <c r="AD13" s="1">
        <v>1.8</v>
      </c>
      <c r="AE13" s="1">
        <v>2.4</v>
      </c>
      <c r="AF13" s="1">
        <v>7</v>
      </c>
      <c r="AG13" s="1">
        <v>8</v>
      </c>
      <c r="AH13" s="1">
        <v>3</v>
      </c>
      <c r="AI13" s="1"/>
      <c r="AJ13" s="1">
        <f t="shared" si="8"/>
        <v>1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47</v>
      </c>
      <c r="B14" s="1" t="s">
        <v>36</v>
      </c>
      <c r="C14" s="1">
        <v>87.024000000000001</v>
      </c>
      <c r="D14" s="1">
        <v>141.41300000000001</v>
      </c>
      <c r="E14" s="1">
        <v>206.56399999999999</v>
      </c>
      <c r="F14" s="1">
        <v>12.43</v>
      </c>
      <c r="G14" s="8">
        <v>1</v>
      </c>
      <c r="H14" s="1">
        <v>55</v>
      </c>
      <c r="I14" s="1" t="s">
        <v>37</v>
      </c>
      <c r="J14" s="1"/>
      <c r="K14" s="1">
        <v>202.5</v>
      </c>
      <c r="L14" s="1">
        <f t="shared" si="2"/>
        <v>4.063999999999993</v>
      </c>
      <c r="M14" s="1"/>
      <c r="N14" s="1"/>
      <c r="O14" s="1">
        <v>41.710900000000002</v>
      </c>
      <c r="P14" s="1">
        <v>122.4967000000001</v>
      </c>
      <c r="Q14" s="1">
        <f t="shared" si="3"/>
        <v>41.312799999999996</v>
      </c>
      <c r="R14" s="5">
        <f>10*Q14-P14-O14-F14</f>
        <v>236.49039999999982</v>
      </c>
      <c r="S14" s="5">
        <f t="shared" si="4"/>
        <v>236.49039999999982</v>
      </c>
      <c r="T14" s="5"/>
      <c r="U14" s="5">
        <f t="shared" si="5"/>
        <v>236.49039999999982</v>
      </c>
      <c r="V14" s="5"/>
      <c r="W14" s="1"/>
      <c r="X14" s="1"/>
      <c r="Y14" s="1">
        <f t="shared" si="6"/>
        <v>10</v>
      </c>
      <c r="Z14" s="1">
        <f t="shared" si="7"/>
        <v>4.2756143374450559</v>
      </c>
      <c r="AA14" s="1">
        <v>27.535799999999998</v>
      </c>
      <c r="AB14" s="1">
        <v>23.167999999999999</v>
      </c>
      <c r="AC14" s="1">
        <v>24.0124</v>
      </c>
      <c r="AD14" s="1">
        <v>25.2178</v>
      </c>
      <c r="AE14" s="1">
        <v>20.227799999999998</v>
      </c>
      <c r="AF14" s="1">
        <v>21.452999999999999</v>
      </c>
      <c r="AG14" s="1">
        <v>27.3232</v>
      </c>
      <c r="AH14" s="1">
        <v>30.912800000000001</v>
      </c>
      <c r="AI14" s="1" t="s">
        <v>48</v>
      </c>
      <c r="AJ14" s="1">
        <f t="shared" si="8"/>
        <v>236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49</v>
      </c>
      <c r="B15" s="1" t="s">
        <v>36</v>
      </c>
      <c r="C15" s="1">
        <v>824.91399999999999</v>
      </c>
      <c r="D15" s="1">
        <v>851.36099999999999</v>
      </c>
      <c r="E15" s="1">
        <v>1149.001</v>
      </c>
      <c r="F15" s="1">
        <v>513.80899999999997</v>
      </c>
      <c r="G15" s="8">
        <v>1</v>
      </c>
      <c r="H15" s="1">
        <v>50</v>
      </c>
      <c r="I15" s="1" t="s">
        <v>37</v>
      </c>
      <c r="J15" s="1"/>
      <c r="K15" s="1">
        <v>1153.0070000000001</v>
      </c>
      <c r="L15" s="1">
        <f t="shared" si="2"/>
        <v>-4.0060000000000855</v>
      </c>
      <c r="M15" s="1"/>
      <c r="N15" s="1"/>
      <c r="O15" s="1">
        <v>742.84299999999973</v>
      </c>
      <c r="P15" s="1">
        <v>563.81147999999928</v>
      </c>
      <c r="Q15" s="1">
        <f t="shared" si="3"/>
        <v>229.80019999999999</v>
      </c>
      <c r="R15" s="5">
        <f t="shared" si="9"/>
        <v>707.33872000000088</v>
      </c>
      <c r="S15" s="5">
        <f t="shared" si="4"/>
        <v>707.33872000000088</v>
      </c>
      <c r="T15" s="5">
        <f t="shared" ref="T15" si="10">$T$1*Q15</f>
        <v>183.84016</v>
      </c>
      <c r="U15" s="5">
        <f t="shared" si="5"/>
        <v>891.17888000000085</v>
      </c>
      <c r="V15" s="5"/>
      <c r="W15" s="1"/>
      <c r="X15" s="1"/>
      <c r="Y15" s="1">
        <f t="shared" si="6"/>
        <v>11.799999999999999</v>
      </c>
      <c r="Z15" s="1">
        <f t="shared" si="7"/>
        <v>7.9219403638465025</v>
      </c>
      <c r="AA15" s="1">
        <v>207.3784</v>
      </c>
      <c r="AB15" s="1">
        <v>184.22839999999999</v>
      </c>
      <c r="AC15" s="1">
        <v>179.7842</v>
      </c>
      <c r="AD15" s="1">
        <v>171.54060000000001</v>
      </c>
      <c r="AE15" s="1">
        <v>174.85659999999999</v>
      </c>
      <c r="AF15" s="1">
        <v>171.99199999999999</v>
      </c>
      <c r="AG15" s="1">
        <v>164.13579999999999</v>
      </c>
      <c r="AH15" s="1">
        <v>168.1472</v>
      </c>
      <c r="AI15" s="1" t="s">
        <v>48</v>
      </c>
      <c r="AJ15" s="1">
        <f t="shared" si="8"/>
        <v>891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50</v>
      </c>
      <c r="B16" s="1" t="s">
        <v>36</v>
      </c>
      <c r="C16" s="1">
        <v>0.90500000000000003</v>
      </c>
      <c r="D16" s="1">
        <v>68.665999999999997</v>
      </c>
      <c r="E16" s="1">
        <v>48.491</v>
      </c>
      <c r="F16" s="1">
        <v>18.420000000000002</v>
      </c>
      <c r="G16" s="8">
        <v>1</v>
      </c>
      <c r="H16" s="1">
        <v>60</v>
      </c>
      <c r="I16" s="1" t="s">
        <v>37</v>
      </c>
      <c r="J16" s="1"/>
      <c r="K16" s="1">
        <v>50.3</v>
      </c>
      <c r="L16" s="1">
        <f t="shared" si="2"/>
        <v>-1.8089999999999975</v>
      </c>
      <c r="M16" s="1"/>
      <c r="N16" s="1"/>
      <c r="O16" s="1">
        <v>0</v>
      </c>
      <c r="P16" s="1">
        <v>4</v>
      </c>
      <c r="Q16" s="1">
        <f t="shared" si="3"/>
        <v>9.6981999999999999</v>
      </c>
      <c r="R16" s="5">
        <f>8*Q16-P16-O16-F16</f>
        <v>55.165599999999998</v>
      </c>
      <c r="S16" s="5">
        <f t="shared" si="4"/>
        <v>55.165599999999998</v>
      </c>
      <c r="T16" s="5"/>
      <c r="U16" s="5">
        <f t="shared" si="5"/>
        <v>55.165599999999998</v>
      </c>
      <c r="V16" s="5"/>
      <c r="W16" s="1"/>
      <c r="X16" s="1"/>
      <c r="Y16" s="1">
        <f t="shared" si="6"/>
        <v>8</v>
      </c>
      <c r="Z16" s="1">
        <f t="shared" si="7"/>
        <v>2.3117691942834755</v>
      </c>
      <c r="AA16" s="1">
        <v>4.9336000000000002</v>
      </c>
      <c r="AB16" s="1">
        <v>3.5398000000000009</v>
      </c>
      <c r="AC16" s="1">
        <v>5.7923999999999998</v>
      </c>
      <c r="AD16" s="1">
        <v>7.8696000000000002</v>
      </c>
      <c r="AE16" s="1">
        <v>4.8920000000000003</v>
      </c>
      <c r="AF16" s="1">
        <v>2.7936000000000001</v>
      </c>
      <c r="AG16" s="1">
        <v>5.9802</v>
      </c>
      <c r="AH16" s="1">
        <v>5.4619999999999997</v>
      </c>
      <c r="AI16" s="1"/>
      <c r="AJ16" s="1">
        <f t="shared" si="8"/>
        <v>55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51</v>
      </c>
      <c r="B17" s="1" t="s">
        <v>36</v>
      </c>
      <c r="C17" s="1">
        <v>136.72900000000001</v>
      </c>
      <c r="D17" s="1">
        <v>631.32899999999995</v>
      </c>
      <c r="E17" s="1">
        <v>729.029</v>
      </c>
      <c r="F17" s="1">
        <v>0.88</v>
      </c>
      <c r="G17" s="8">
        <v>1</v>
      </c>
      <c r="H17" s="1">
        <v>60</v>
      </c>
      <c r="I17" s="1" t="s">
        <v>37</v>
      </c>
      <c r="J17" s="1"/>
      <c r="K17" s="1">
        <v>777.5</v>
      </c>
      <c r="L17" s="1">
        <f t="shared" si="2"/>
        <v>-48.471000000000004</v>
      </c>
      <c r="M17" s="1"/>
      <c r="N17" s="1"/>
      <c r="O17" s="1">
        <v>918.10816000000023</v>
      </c>
      <c r="P17" s="1">
        <v>406.18503999999962</v>
      </c>
      <c r="Q17" s="1">
        <f t="shared" si="3"/>
        <v>145.8058</v>
      </c>
      <c r="R17" s="5">
        <f t="shared" si="9"/>
        <v>278.69060000000025</v>
      </c>
      <c r="S17" s="5">
        <f t="shared" si="4"/>
        <v>278.69060000000025</v>
      </c>
      <c r="T17" s="5">
        <f>$T$1*Q17</f>
        <v>116.64464000000001</v>
      </c>
      <c r="U17" s="5">
        <f t="shared" si="5"/>
        <v>395.33524000000023</v>
      </c>
      <c r="V17" s="5"/>
      <c r="W17" s="1"/>
      <c r="X17" s="1"/>
      <c r="Y17" s="1">
        <f t="shared" si="6"/>
        <v>11.8</v>
      </c>
      <c r="Z17" s="1">
        <f t="shared" si="7"/>
        <v>9.0886178739117351</v>
      </c>
      <c r="AA17" s="1">
        <v>142.18639999999999</v>
      </c>
      <c r="AB17" s="1">
        <v>124.3242</v>
      </c>
      <c r="AC17" s="1">
        <v>117.9644</v>
      </c>
      <c r="AD17" s="1">
        <v>115.432</v>
      </c>
      <c r="AE17" s="1">
        <v>115.8438</v>
      </c>
      <c r="AF17" s="1">
        <v>111.2306</v>
      </c>
      <c r="AG17" s="1">
        <v>111.19499999999999</v>
      </c>
      <c r="AH17" s="1">
        <v>121.8302</v>
      </c>
      <c r="AI17" s="1" t="s">
        <v>52</v>
      </c>
      <c r="AJ17" s="1">
        <f t="shared" si="8"/>
        <v>395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53</v>
      </c>
      <c r="B18" s="1" t="s">
        <v>36</v>
      </c>
      <c r="C18" s="1">
        <v>12.185</v>
      </c>
      <c r="D18" s="1">
        <v>15.907</v>
      </c>
      <c r="E18" s="1">
        <v>21.887</v>
      </c>
      <c r="F18" s="1">
        <v>7.0819999999999999</v>
      </c>
      <c r="G18" s="8">
        <v>1</v>
      </c>
      <c r="H18" s="1">
        <v>60</v>
      </c>
      <c r="I18" s="1" t="s">
        <v>37</v>
      </c>
      <c r="J18" s="1"/>
      <c r="K18" s="1">
        <v>31.9</v>
      </c>
      <c r="L18" s="1">
        <f t="shared" si="2"/>
        <v>-10.012999999999998</v>
      </c>
      <c r="M18" s="1"/>
      <c r="N18" s="1"/>
      <c r="O18" s="1">
        <v>14.050599999999999</v>
      </c>
      <c r="P18" s="1">
        <v>42.784799999999997</v>
      </c>
      <c r="Q18" s="1">
        <f t="shared" si="3"/>
        <v>4.3773999999999997</v>
      </c>
      <c r="R18" s="5"/>
      <c r="S18" s="5">
        <f t="shared" si="4"/>
        <v>0</v>
      </c>
      <c r="T18" s="5"/>
      <c r="U18" s="5">
        <f t="shared" si="5"/>
        <v>0</v>
      </c>
      <c r="V18" s="5"/>
      <c r="W18" s="1"/>
      <c r="X18" s="1"/>
      <c r="Y18" s="1">
        <f t="shared" si="6"/>
        <v>14.601681363366383</v>
      </c>
      <c r="Z18" s="1">
        <f t="shared" si="7"/>
        <v>14.601681363366383</v>
      </c>
      <c r="AA18" s="1">
        <v>5.7746000000000004</v>
      </c>
      <c r="AB18" s="1">
        <v>3.5051999999999999</v>
      </c>
      <c r="AC18" s="1">
        <v>3.0005999999999999</v>
      </c>
      <c r="AD18" s="1">
        <v>3.0424000000000002</v>
      </c>
      <c r="AE18" s="1">
        <v>3.0691999999999999</v>
      </c>
      <c r="AF18" s="1">
        <v>1.63</v>
      </c>
      <c r="AG18" s="1">
        <v>2.4922</v>
      </c>
      <c r="AH18" s="1">
        <v>3.5506000000000002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54</v>
      </c>
      <c r="B19" s="1" t="s">
        <v>36</v>
      </c>
      <c r="C19" s="1">
        <v>3.3170000000000002</v>
      </c>
      <c r="D19" s="1">
        <v>12.066000000000001</v>
      </c>
      <c r="E19" s="1">
        <v>0.72399999999999998</v>
      </c>
      <c r="F19" s="1">
        <v>14.659000000000001</v>
      </c>
      <c r="G19" s="8">
        <v>1</v>
      </c>
      <c r="H19" s="1">
        <v>180</v>
      </c>
      <c r="I19" s="1" t="s">
        <v>37</v>
      </c>
      <c r="J19" s="1"/>
      <c r="K19" s="1">
        <v>0.65</v>
      </c>
      <c r="L19" s="1">
        <f t="shared" si="2"/>
        <v>7.3999999999999955E-2</v>
      </c>
      <c r="M19" s="1"/>
      <c r="N19" s="1"/>
      <c r="O19" s="1">
        <v>0</v>
      </c>
      <c r="P19" s="1">
        <v>0</v>
      </c>
      <c r="Q19" s="1">
        <f t="shared" si="3"/>
        <v>0.14479999999999998</v>
      </c>
      <c r="R19" s="5"/>
      <c r="S19" s="5">
        <f t="shared" si="4"/>
        <v>0</v>
      </c>
      <c r="T19" s="5"/>
      <c r="U19" s="5">
        <f t="shared" si="5"/>
        <v>0</v>
      </c>
      <c r="V19" s="5"/>
      <c r="W19" s="1"/>
      <c r="X19" s="1"/>
      <c r="Y19" s="1">
        <f t="shared" si="6"/>
        <v>101.23618784530389</v>
      </c>
      <c r="Z19" s="1">
        <f t="shared" si="7"/>
        <v>101.23618784530389</v>
      </c>
      <c r="AA19" s="1">
        <v>0.89399999999999991</v>
      </c>
      <c r="AB19" s="1">
        <v>1.0706</v>
      </c>
      <c r="AC19" s="1">
        <v>1.5446</v>
      </c>
      <c r="AD19" s="1">
        <v>1.7756000000000001</v>
      </c>
      <c r="AE19" s="1">
        <v>0.63480000000000003</v>
      </c>
      <c r="AF19" s="1">
        <v>8.2400000000000001E-2</v>
      </c>
      <c r="AG19" s="1">
        <v>0</v>
      </c>
      <c r="AH19" s="1">
        <v>0.39739999999999998</v>
      </c>
      <c r="AI19" s="21" t="s">
        <v>152</v>
      </c>
      <c r="AJ19" s="1">
        <f t="shared" si="8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56</v>
      </c>
      <c r="B20" s="1" t="s">
        <v>36</v>
      </c>
      <c r="C20" s="1">
        <v>163.10900000000001</v>
      </c>
      <c r="D20" s="1">
        <v>117.58</v>
      </c>
      <c r="E20" s="1">
        <v>228.90299999999999</v>
      </c>
      <c r="F20" s="1">
        <v>51.780999999999999</v>
      </c>
      <c r="G20" s="8">
        <v>1</v>
      </c>
      <c r="H20" s="1">
        <v>60</v>
      </c>
      <c r="I20" s="1" t="s">
        <v>37</v>
      </c>
      <c r="J20" s="1"/>
      <c r="K20" s="1">
        <v>219.2</v>
      </c>
      <c r="L20" s="1">
        <f t="shared" si="2"/>
        <v>9.703000000000003</v>
      </c>
      <c r="M20" s="1"/>
      <c r="N20" s="1"/>
      <c r="O20" s="1">
        <v>140.18765999999991</v>
      </c>
      <c r="P20" s="1">
        <v>163.72520000000009</v>
      </c>
      <c r="Q20" s="1">
        <f t="shared" si="3"/>
        <v>45.7806</v>
      </c>
      <c r="R20" s="5">
        <f t="shared" si="9"/>
        <v>147.89273999999997</v>
      </c>
      <c r="S20" s="5">
        <f t="shared" si="4"/>
        <v>147.89273999999997</v>
      </c>
      <c r="T20" s="5">
        <f>$T$1*Q20</f>
        <v>36.624479999999998</v>
      </c>
      <c r="U20" s="5">
        <f t="shared" si="5"/>
        <v>184.51721999999998</v>
      </c>
      <c r="V20" s="5"/>
      <c r="W20" s="1"/>
      <c r="X20" s="1"/>
      <c r="Y20" s="1">
        <f t="shared" si="6"/>
        <v>11.799999999999999</v>
      </c>
      <c r="Z20" s="1">
        <f t="shared" si="7"/>
        <v>7.7695325094035459</v>
      </c>
      <c r="AA20" s="1">
        <v>38.988600000000012</v>
      </c>
      <c r="AB20" s="1">
        <v>31.837</v>
      </c>
      <c r="AC20" s="1">
        <v>29.66</v>
      </c>
      <c r="AD20" s="1">
        <v>25.259399999999999</v>
      </c>
      <c r="AE20" s="1">
        <v>32.289400000000001</v>
      </c>
      <c r="AF20" s="1">
        <v>29.106200000000001</v>
      </c>
      <c r="AG20" s="1">
        <v>26.0564</v>
      </c>
      <c r="AH20" s="1">
        <v>30.162800000000001</v>
      </c>
      <c r="AI20" s="1" t="s">
        <v>48</v>
      </c>
      <c r="AJ20" s="1">
        <f t="shared" si="8"/>
        <v>185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57</v>
      </c>
      <c r="B21" s="1" t="s">
        <v>36</v>
      </c>
      <c r="C21" s="1">
        <v>38.091999999999999</v>
      </c>
      <c r="D21" s="1">
        <v>59.271999999999998</v>
      </c>
      <c r="E21" s="1">
        <v>89.171999999999997</v>
      </c>
      <c r="F21" s="1">
        <v>5.5010000000000003</v>
      </c>
      <c r="G21" s="8">
        <v>1</v>
      </c>
      <c r="H21" s="1">
        <v>60</v>
      </c>
      <c r="I21" s="1" t="s">
        <v>37</v>
      </c>
      <c r="J21" s="1"/>
      <c r="K21" s="1">
        <v>85.78</v>
      </c>
      <c r="L21" s="1">
        <f t="shared" si="2"/>
        <v>3.3919999999999959</v>
      </c>
      <c r="M21" s="1"/>
      <c r="N21" s="1"/>
      <c r="O21" s="1">
        <v>39.266800000000011</v>
      </c>
      <c r="P21" s="1">
        <v>109.658</v>
      </c>
      <c r="Q21" s="1">
        <f t="shared" si="3"/>
        <v>17.834399999999999</v>
      </c>
      <c r="R21" s="5">
        <f t="shared" si="9"/>
        <v>41.752599999999973</v>
      </c>
      <c r="S21" s="5">
        <f t="shared" si="4"/>
        <v>41.752599999999973</v>
      </c>
      <c r="T21" s="5"/>
      <c r="U21" s="5">
        <f t="shared" si="5"/>
        <v>41.752599999999973</v>
      </c>
      <c r="V21" s="5"/>
      <c r="W21" s="1"/>
      <c r="X21" s="1"/>
      <c r="Y21" s="1">
        <f t="shared" si="6"/>
        <v>11</v>
      </c>
      <c r="Z21" s="1">
        <f t="shared" si="7"/>
        <v>8.6588727403220762</v>
      </c>
      <c r="AA21" s="1">
        <v>17.0654</v>
      </c>
      <c r="AB21" s="1">
        <v>11.918200000000001</v>
      </c>
      <c r="AC21" s="1">
        <v>11.257</v>
      </c>
      <c r="AD21" s="1">
        <v>12.854200000000001</v>
      </c>
      <c r="AE21" s="1">
        <v>11.2568</v>
      </c>
      <c r="AF21" s="1">
        <v>7.0384000000000002</v>
      </c>
      <c r="AG21" s="1">
        <v>6.5153999999999996</v>
      </c>
      <c r="AH21" s="1">
        <v>8.7924000000000007</v>
      </c>
      <c r="AI21" s="1"/>
      <c r="AJ21" s="1">
        <f t="shared" si="8"/>
        <v>42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58</v>
      </c>
      <c r="B22" s="1" t="s">
        <v>36</v>
      </c>
      <c r="C22" s="1">
        <v>3.5449999999999999</v>
      </c>
      <c r="D22" s="1">
        <v>47.5</v>
      </c>
      <c r="E22" s="1">
        <v>49.207999999999998</v>
      </c>
      <c r="F22" s="1">
        <v>0.09</v>
      </c>
      <c r="G22" s="8">
        <v>1</v>
      </c>
      <c r="H22" s="1">
        <v>60</v>
      </c>
      <c r="I22" s="1" t="s">
        <v>37</v>
      </c>
      <c r="J22" s="1"/>
      <c r="K22" s="1">
        <v>90.5</v>
      </c>
      <c r="L22" s="1">
        <f t="shared" si="2"/>
        <v>-41.292000000000002</v>
      </c>
      <c r="M22" s="1"/>
      <c r="N22" s="1"/>
      <c r="O22" s="1">
        <v>36.204200000000007</v>
      </c>
      <c r="P22" s="1">
        <v>83.154599999999988</v>
      </c>
      <c r="Q22" s="1">
        <f t="shared" si="3"/>
        <v>9.8415999999999997</v>
      </c>
      <c r="R22" s="5"/>
      <c r="S22" s="5">
        <f t="shared" si="4"/>
        <v>0</v>
      </c>
      <c r="T22" s="5"/>
      <c r="U22" s="5">
        <f t="shared" si="5"/>
        <v>0</v>
      </c>
      <c r="V22" s="5"/>
      <c r="W22" s="1"/>
      <c r="X22" s="1"/>
      <c r="Y22" s="1">
        <f t="shared" si="6"/>
        <v>12.137132173630304</v>
      </c>
      <c r="Z22" s="1">
        <f t="shared" si="7"/>
        <v>12.137132173630304</v>
      </c>
      <c r="AA22" s="1">
        <v>11.5738</v>
      </c>
      <c r="AB22" s="1">
        <v>7.3388000000000009</v>
      </c>
      <c r="AC22" s="1">
        <v>6.8285999999999998</v>
      </c>
      <c r="AD22" s="1">
        <v>6.6537999999999986</v>
      </c>
      <c r="AE22" s="1">
        <v>5.9564000000000004</v>
      </c>
      <c r="AF22" s="1">
        <v>5.9729999999999999</v>
      </c>
      <c r="AG22" s="1">
        <v>8.6075999999999997</v>
      </c>
      <c r="AH22" s="1">
        <v>10.868600000000001</v>
      </c>
      <c r="AI22" s="1"/>
      <c r="AJ22" s="1">
        <f t="shared" si="8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59</v>
      </c>
      <c r="B23" s="1" t="s">
        <v>36</v>
      </c>
      <c r="C23" s="1">
        <v>14.670999999999999</v>
      </c>
      <c r="D23" s="1"/>
      <c r="E23" s="1">
        <v>2.476</v>
      </c>
      <c r="F23" s="1">
        <v>12.195</v>
      </c>
      <c r="G23" s="8">
        <v>1</v>
      </c>
      <c r="H23" s="1">
        <v>180</v>
      </c>
      <c r="I23" s="1" t="s">
        <v>37</v>
      </c>
      <c r="J23" s="1"/>
      <c r="K23" s="1">
        <v>2.25</v>
      </c>
      <c r="L23" s="1">
        <f t="shared" si="2"/>
        <v>0.22599999999999998</v>
      </c>
      <c r="M23" s="1"/>
      <c r="N23" s="1"/>
      <c r="O23" s="1">
        <v>0</v>
      </c>
      <c r="P23" s="1">
        <v>0</v>
      </c>
      <c r="Q23" s="1">
        <f t="shared" si="3"/>
        <v>0.49519999999999997</v>
      </c>
      <c r="R23" s="5"/>
      <c r="S23" s="5">
        <f t="shared" si="4"/>
        <v>0</v>
      </c>
      <c r="T23" s="5"/>
      <c r="U23" s="5">
        <f t="shared" si="5"/>
        <v>0</v>
      </c>
      <c r="V23" s="5"/>
      <c r="W23" s="1"/>
      <c r="X23" s="1"/>
      <c r="Y23" s="1">
        <f t="shared" si="6"/>
        <v>24.626413570274639</v>
      </c>
      <c r="Z23" s="1">
        <f t="shared" si="7"/>
        <v>24.626413570274639</v>
      </c>
      <c r="AA23" s="1">
        <v>0.2084</v>
      </c>
      <c r="AB23" s="1">
        <v>0.28039999999999998</v>
      </c>
      <c r="AC23" s="1">
        <v>0.86240000000000006</v>
      </c>
      <c r="AD23" s="1">
        <v>0.85839999999999994</v>
      </c>
      <c r="AE23" s="1">
        <v>0.20799999999999999</v>
      </c>
      <c r="AF23" s="1">
        <v>7.0599999999999996E-2</v>
      </c>
      <c r="AG23" s="1">
        <v>0.28460000000000002</v>
      </c>
      <c r="AH23" s="1">
        <v>0.35439999999999999</v>
      </c>
      <c r="AI23" s="21" t="s">
        <v>152</v>
      </c>
      <c r="AJ23" s="1">
        <f t="shared" si="8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60</v>
      </c>
      <c r="B24" s="1" t="s">
        <v>36</v>
      </c>
      <c r="C24" s="1">
        <v>31.762</v>
      </c>
      <c r="D24" s="1">
        <v>180.45599999999999</v>
      </c>
      <c r="E24" s="1">
        <v>148.904</v>
      </c>
      <c r="F24" s="1">
        <v>61.548000000000002</v>
      </c>
      <c r="G24" s="8">
        <v>1</v>
      </c>
      <c r="H24" s="1">
        <v>60</v>
      </c>
      <c r="I24" s="1" t="s">
        <v>37</v>
      </c>
      <c r="J24" s="1"/>
      <c r="K24" s="1">
        <v>153.69999999999999</v>
      </c>
      <c r="L24" s="1">
        <f t="shared" si="2"/>
        <v>-4.7959999999999923</v>
      </c>
      <c r="M24" s="1"/>
      <c r="N24" s="1"/>
      <c r="O24" s="1">
        <v>0</v>
      </c>
      <c r="P24" s="1">
        <v>92.347200000000029</v>
      </c>
      <c r="Q24" s="1">
        <f t="shared" si="3"/>
        <v>29.780799999999999</v>
      </c>
      <c r="R24" s="5">
        <f t="shared" si="9"/>
        <v>173.69359999999995</v>
      </c>
      <c r="S24" s="5">
        <f t="shared" si="4"/>
        <v>173.69359999999995</v>
      </c>
      <c r="T24" s="5"/>
      <c r="U24" s="5">
        <f t="shared" si="5"/>
        <v>173.69359999999995</v>
      </c>
      <c r="V24" s="5"/>
      <c r="W24" s="1"/>
      <c r="X24" s="1"/>
      <c r="Y24" s="1">
        <f t="shared" si="6"/>
        <v>11</v>
      </c>
      <c r="Z24" s="1">
        <f t="shared" si="7"/>
        <v>5.1675979154354499</v>
      </c>
      <c r="AA24" s="1">
        <v>20.190999999999999</v>
      </c>
      <c r="AB24" s="1">
        <v>17.934799999999999</v>
      </c>
      <c r="AC24" s="1">
        <v>20.0534</v>
      </c>
      <c r="AD24" s="1">
        <v>17.748999999999999</v>
      </c>
      <c r="AE24" s="1">
        <v>14.2624</v>
      </c>
      <c r="AF24" s="1">
        <v>9.2530000000000001</v>
      </c>
      <c r="AG24" s="1">
        <v>13.704000000000001</v>
      </c>
      <c r="AH24" s="1">
        <v>16.781199999999998</v>
      </c>
      <c r="AI24" s="1" t="s">
        <v>48</v>
      </c>
      <c r="AJ24" s="1">
        <f t="shared" si="8"/>
        <v>174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6" t="s">
        <v>61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3"/>
        <v>0</v>
      </c>
      <c r="R25" s="18"/>
      <c r="S25" s="5">
        <f t="shared" si="4"/>
        <v>0</v>
      </c>
      <c r="T25" s="18"/>
      <c r="U25" s="5">
        <f t="shared" si="5"/>
        <v>0</v>
      </c>
      <c r="V25" s="18"/>
      <c r="W25" s="16"/>
      <c r="X25" s="16"/>
      <c r="Y25" s="1" t="e">
        <f t="shared" si="6"/>
        <v>#DIV/0!</v>
      </c>
      <c r="Z25" s="16" t="e">
        <f t="shared" si="7"/>
        <v>#DIV/0!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 t="s">
        <v>62</v>
      </c>
      <c r="AJ25" s="1">
        <f t="shared" si="8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63</v>
      </c>
      <c r="B26" s="1" t="s">
        <v>36</v>
      </c>
      <c r="C26" s="1">
        <v>60.734000000000002</v>
      </c>
      <c r="D26" s="1">
        <v>121.003</v>
      </c>
      <c r="E26" s="1">
        <v>89.585999999999999</v>
      </c>
      <c r="F26" s="1">
        <v>85.531000000000006</v>
      </c>
      <c r="G26" s="8">
        <v>1</v>
      </c>
      <c r="H26" s="1">
        <v>30</v>
      </c>
      <c r="I26" s="1" t="s">
        <v>37</v>
      </c>
      <c r="J26" s="1"/>
      <c r="K26" s="1">
        <v>83.1</v>
      </c>
      <c r="L26" s="1">
        <f t="shared" si="2"/>
        <v>6.4860000000000042</v>
      </c>
      <c r="M26" s="1"/>
      <c r="N26" s="1"/>
      <c r="O26" s="1">
        <v>63.001000000000012</v>
      </c>
      <c r="P26" s="1">
        <v>48.819800000000001</v>
      </c>
      <c r="Q26" s="1">
        <f t="shared" si="3"/>
        <v>17.917200000000001</v>
      </c>
      <c r="R26" s="5"/>
      <c r="S26" s="5">
        <f t="shared" si="4"/>
        <v>0</v>
      </c>
      <c r="T26" s="5"/>
      <c r="U26" s="5">
        <f t="shared" si="5"/>
        <v>0</v>
      </c>
      <c r="V26" s="5"/>
      <c r="W26" s="1"/>
      <c r="X26" s="1"/>
      <c r="Y26" s="1">
        <f t="shared" si="6"/>
        <v>11.014656307905254</v>
      </c>
      <c r="Z26" s="1">
        <f t="shared" si="7"/>
        <v>11.014656307905254</v>
      </c>
      <c r="AA26" s="1">
        <v>19.0182</v>
      </c>
      <c r="AB26" s="1">
        <v>21.1936</v>
      </c>
      <c r="AC26" s="1">
        <v>19.5396</v>
      </c>
      <c r="AD26" s="1">
        <v>15.5586</v>
      </c>
      <c r="AE26" s="1">
        <v>16.598800000000001</v>
      </c>
      <c r="AF26" s="1">
        <v>20.352799999999998</v>
      </c>
      <c r="AG26" s="1">
        <v>24.895399999999999</v>
      </c>
      <c r="AH26" s="1">
        <v>20.646599999999999</v>
      </c>
      <c r="AI26" s="1"/>
      <c r="AJ26" s="1">
        <f t="shared" si="8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64</v>
      </c>
      <c r="B27" s="1" t="s">
        <v>36</v>
      </c>
      <c r="C27" s="1">
        <v>87.8</v>
      </c>
      <c r="D27" s="1">
        <v>56.847000000000001</v>
      </c>
      <c r="E27" s="1">
        <v>136.46899999999999</v>
      </c>
      <c r="F27" s="1">
        <v>3.3170000000000002</v>
      </c>
      <c r="G27" s="8">
        <v>1</v>
      </c>
      <c r="H27" s="1">
        <v>30</v>
      </c>
      <c r="I27" s="1" t="s">
        <v>37</v>
      </c>
      <c r="J27" s="1"/>
      <c r="K27" s="1">
        <v>169.6</v>
      </c>
      <c r="L27" s="1">
        <f t="shared" si="2"/>
        <v>-33.131</v>
      </c>
      <c r="M27" s="1"/>
      <c r="N27" s="1"/>
      <c r="O27" s="1">
        <v>165.4058</v>
      </c>
      <c r="P27" s="1">
        <v>173.85280000000009</v>
      </c>
      <c r="Q27" s="1">
        <f t="shared" si="3"/>
        <v>27.293799999999997</v>
      </c>
      <c r="R27" s="5"/>
      <c r="S27" s="5">
        <f t="shared" si="4"/>
        <v>0</v>
      </c>
      <c r="T27" s="5"/>
      <c r="U27" s="5">
        <f t="shared" si="5"/>
        <v>0</v>
      </c>
      <c r="V27" s="5"/>
      <c r="W27" s="1"/>
      <c r="X27" s="1"/>
      <c r="Y27" s="1">
        <f t="shared" si="6"/>
        <v>12.55140727930886</v>
      </c>
      <c r="Z27" s="1">
        <f t="shared" si="7"/>
        <v>12.55140727930886</v>
      </c>
      <c r="AA27" s="1">
        <v>34.190800000000003</v>
      </c>
      <c r="AB27" s="1">
        <v>27.4316</v>
      </c>
      <c r="AC27" s="1">
        <v>18.855</v>
      </c>
      <c r="AD27" s="1">
        <v>23.1294</v>
      </c>
      <c r="AE27" s="1">
        <v>13.593999999999999</v>
      </c>
      <c r="AF27" s="1">
        <v>9.507200000000001</v>
      </c>
      <c r="AG27" s="1">
        <v>20.807200000000002</v>
      </c>
      <c r="AH27" s="1">
        <v>32.642200000000003</v>
      </c>
      <c r="AI27" s="1" t="s">
        <v>48</v>
      </c>
      <c r="AJ27" s="1">
        <f t="shared" si="8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6" t="s">
        <v>65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5">
        <f t="shared" si="4"/>
        <v>0</v>
      </c>
      <c r="T28" s="18"/>
      <c r="U28" s="5">
        <f t="shared" si="5"/>
        <v>0</v>
      </c>
      <c r="V28" s="18"/>
      <c r="W28" s="16"/>
      <c r="X28" s="16"/>
      <c r="Y28" s="1" t="e">
        <f t="shared" si="6"/>
        <v>#DIV/0!</v>
      </c>
      <c r="Z28" s="16" t="e">
        <f t="shared" si="7"/>
        <v>#DIV/0!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 t="s">
        <v>62</v>
      </c>
      <c r="AJ28" s="1">
        <f t="shared" si="8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66</v>
      </c>
      <c r="B29" s="1" t="s">
        <v>36</v>
      </c>
      <c r="C29" s="1">
        <v>35.945999999999998</v>
      </c>
      <c r="D29" s="1">
        <v>1.54</v>
      </c>
      <c r="E29" s="1">
        <v>18.866</v>
      </c>
      <c r="F29" s="1">
        <v>18.62</v>
      </c>
      <c r="G29" s="8">
        <v>1</v>
      </c>
      <c r="H29" s="1">
        <v>40</v>
      </c>
      <c r="I29" s="1" t="s">
        <v>37</v>
      </c>
      <c r="J29" s="1"/>
      <c r="K29" s="1">
        <v>17.2</v>
      </c>
      <c r="L29" s="1">
        <f t="shared" si="2"/>
        <v>1.6660000000000004</v>
      </c>
      <c r="M29" s="1"/>
      <c r="N29" s="1"/>
      <c r="O29" s="1">
        <v>0</v>
      </c>
      <c r="P29" s="1">
        <v>21.255800000000001</v>
      </c>
      <c r="Q29" s="1">
        <f t="shared" si="3"/>
        <v>3.7732000000000001</v>
      </c>
      <c r="R29" s="5">
        <v>4</v>
      </c>
      <c r="S29" s="5">
        <f t="shared" si="4"/>
        <v>4</v>
      </c>
      <c r="T29" s="5"/>
      <c r="U29" s="5">
        <f t="shared" si="5"/>
        <v>4</v>
      </c>
      <c r="V29" s="5"/>
      <c r="W29" s="1"/>
      <c r="X29" s="1"/>
      <c r="Y29" s="1">
        <f t="shared" si="6"/>
        <v>11.628273083854552</v>
      </c>
      <c r="Z29" s="1">
        <f t="shared" si="7"/>
        <v>10.568164952825187</v>
      </c>
      <c r="AA29" s="1">
        <v>4.0533999999999999</v>
      </c>
      <c r="AB29" s="1">
        <v>3.2191999999999998</v>
      </c>
      <c r="AC29" s="1">
        <v>2.1379999999999999</v>
      </c>
      <c r="AD29" s="1">
        <v>3.278</v>
      </c>
      <c r="AE29" s="1">
        <v>2.0179999999999998</v>
      </c>
      <c r="AF29" s="1">
        <v>0.8859999999999999</v>
      </c>
      <c r="AG29" s="1">
        <v>3.0939999999999999</v>
      </c>
      <c r="AH29" s="1">
        <v>4.6726000000000001</v>
      </c>
      <c r="AI29" s="1"/>
      <c r="AJ29" s="1">
        <f t="shared" si="8"/>
        <v>4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67</v>
      </c>
      <c r="B30" s="1" t="s">
        <v>36</v>
      </c>
      <c r="C30" s="1">
        <v>69.257999999999996</v>
      </c>
      <c r="D30" s="1">
        <v>1.3</v>
      </c>
      <c r="E30" s="1">
        <v>39.231999999999999</v>
      </c>
      <c r="F30" s="1">
        <v>27.376000000000001</v>
      </c>
      <c r="G30" s="8">
        <v>1</v>
      </c>
      <c r="H30" s="1">
        <v>30</v>
      </c>
      <c r="I30" s="1" t="s">
        <v>37</v>
      </c>
      <c r="J30" s="1"/>
      <c r="K30" s="1">
        <v>40.700000000000003</v>
      </c>
      <c r="L30" s="1">
        <f t="shared" si="2"/>
        <v>-1.4680000000000035</v>
      </c>
      <c r="M30" s="1"/>
      <c r="N30" s="1"/>
      <c r="O30" s="1">
        <v>0</v>
      </c>
      <c r="P30" s="1">
        <v>33.604600000000012</v>
      </c>
      <c r="Q30" s="1">
        <f t="shared" si="3"/>
        <v>7.8464</v>
      </c>
      <c r="R30" s="5">
        <f t="shared" ref="R30:R48" si="11">11*Q30-P30-O30-F30</f>
        <v>25.329799999999988</v>
      </c>
      <c r="S30" s="5">
        <f t="shared" si="4"/>
        <v>25.329799999999988</v>
      </c>
      <c r="T30" s="5"/>
      <c r="U30" s="5">
        <f t="shared" si="5"/>
        <v>25.329799999999988</v>
      </c>
      <c r="V30" s="5"/>
      <c r="W30" s="1"/>
      <c r="X30" s="1"/>
      <c r="Y30" s="1">
        <f t="shared" si="6"/>
        <v>11</v>
      </c>
      <c r="Z30" s="1">
        <f t="shared" si="7"/>
        <v>7.771793433931486</v>
      </c>
      <c r="AA30" s="1">
        <v>6.9766000000000004</v>
      </c>
      <c r="AB30" s="1">
        <v>3.3992</v>
      </c>
      <c r="AC30" s="1">
        <v>2.3052000000000001</v>
      </c>
      <c r="AD30" s="1">
        <v>5.8220000000000001</v>
      </c>
      <c r="AE30" s="1">
        <v>7.8620000000000001</v>
      </c>
      <c r="AF30" s="1">
        <v>8.7485999999999997</v>
      </c>
      <c r="AG30" s="1">
        <v>8.5774000000000008</v>
      </c>
      <c r="AH30" s="1">
        <v>8.3343999999999987</v>
      </c>
      <c r="AI30" s="1" t="s">
        <v>68</v>
      </c>
      <c r="AJ30" s="1">
        <f t="shared" si="8"/>
        <v>25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69</v>
      </c>
      <c r="B31" s="1" t="s">
        <v>36</v>
      </c>
      <c r="C31" s="1">
        <v>157.99600000000001</v>
      </c>
      <c r="D31" s="1">
        <v>3.6539999999999999</v>
      </c>
      <c r="E31" s="1">
        <v>133.77799999999999</v>
      </c>
      <c r="F31" s="1">
        <v>21.533000000000001</v>
      </c>
      <c r="G31" s="8">
        <v>1</v>
      </c>
      <c r="H31" s="1">
        <v>50</v>
      </c>
      <c r="I31" s="1" t="s">
        <v>37</v>
      </c>
      <c r="J31" s="1"/>
      <c r="K31" s="1">
        <v>119.4</v>
      </c>
      <c r="L31" s="1">
        <f t="shared" si="2"/>
        <v>14.377999999999986</v>
      </c>
      <c r="M31" s="1"/>
      <c r="N31" s="1"/>
      <c r="O31" s="1">
        <v>31.080599999999979</v>
      </c>
      <c r="P31" s="1">
        <v>118.5154</v>
      </c>
      <c r="Q31" s="1">
        <f t="shared" si="3"/>
        <v>26.755599999999998</v>
      </c>
      <c r="R31" s="5">
        <f t="shared" si="11"/>
        <v>123.18260000000002</v>
      </c>
      <c r="S31" s="5">
        <f t="shared" si="4"/>
        <v>123.18260000000002</v>
      </c>
      <c r="T31" s="5"/>
      <c r="U31" s="5">
        <f t="shared" si="5"/>
        <v>123.18260000000002</v>
      </c>
      <c r="V31" s="5"/>
      <c r="W31" s="1"/>
      <c r="X31" s="1"/>
      <c r="Y31" s="1">
        <f t="shared" si="6"/>
        <v>11.000000000000002</v>
      </c>
      <c r="Z31" s="1">
        <f t="shared" si="7"/>
        <v>6.3960068172644222</v>
      </c>
      <c r="AA31" s="1">
        <v>21.529</v>
      </c>
      <c r="AB31" s="1">
        <v>17.1066</v>
      </c>
      <c r="AC31" s="1">
        <v>10.542999999999999</v>
      </c>
      <c r="AD31" s="1">
        <v>16.421800000000001</v>
      </c>
      <c r="AE31" s="1">
        <v>22.9648</v>
      </c>
      <c r="AF31" s="1">
        <v>14.008800000000001</v>
      </c>
      <c r="AG31" s="1">
        <v>9.5858000000000008</v>
      </c>
      <c r="AH31" s="1">
        <v>8.8778000000000006</v>
      </c>
      <c r="AI31" s="1"/>
      <c r="AJ31" s="1">
        <f t="shared" si="8"/>
        <v>123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70</v>
      </c>
      <c r="B32" s="1" t="s">
        <v>36</v>
      </c>
      <c r="C32" s="1">
        <v>104.56</v>
      </c>
      <c r="D32" s="1">
        <v>42.878</v>
      </c>
      <c r="E32" s="1">
        <v>73.515000000000001</v>
      </c>
      <c r="F32" s="1">
        <v>73.024000000000001</v>
      </c>
      <c r="G32" s="8">
        <v>1</v>
      </c>
      <c r="H32" s="1">
        <v>50</v>
      </c>
      <c r="I32" s="1" t="s">
        <v>37</v>
      </c>
      <c r="J32" s="1"/>
      <c r="K32" s="1">
        <v>63.7</v>
      </c>
      <c r="L32" s="1">
        <f t="shared" si="2"/>
        <v>9.8149999999999977</v>
      </c>
      <c r="M32" s="1"/>
      <c r="N32" s="1"/>
      <c r="O32" s="1">
        <v>0</v>
      </c>
      <c r="P32" s="1">
        <v>20.187599999999989</v>
      </c>
      <c r="Q32" s="1">
        <f t="shared" si="3"/>
        <v>14.702999999999999</v>
      </c>
      <c r="R32" s="5">
        <f t="shared" si="11"/>
        <v>68.521400000000028</v>
      </c>
      <c r="S32" s="5">
        <f t="shared" si="4"/>
        <v>68.521400000000028</v>
      </c>
      <c r="T32" s="5"/>
      <c r="U32" s="5">
        <f t="shared" si="5"/>
        <v>68.521400000000028</v>
      </c>
      <c r="V32" s="5"/>
      <c r="W32" s="1"/>
      <c r="X32" s="1"/>
      <c r="Y32" s="1">
        <f t="shared" si="6"/>
        <v>11</v>
      </c>
      <c r="Z32" s="1">
        <f t="shared" si="7"/>
        <v>6.339631367748078</v>
      </c>
      <c r="AA32" s="1">
        <v>10.761799999999999</v>
      </c>
      <c r="AB32" s="1">
        <v>6.2683999999999997</v>
      </c>
      <c r="AC32" s="1">
        <v>10.7212</v>
      </c>
      <c r="AD32" s="1">
        <v>15.5512</v>
      </c>
      <c r="AE32" s="1">
        <v>13.703200000000001</v>
      </c>
      <c r="AF32" s="1">
        <v>8.5586000000000002</v>
      </c>
      <c r="AG32" s="1">
        <v>9.5584000000000007</v>
      </c>
      <c r="AH32" s="1">
        <v>6.4896000000000003</v>
      </c>
      <c r="AI32" s="1"/>
      <c r="AJ32" s="1">
        <f t="shared" si="8"/>
        <v>69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71</v>
      </c>
      <c r="B33" s="1" t="s">
        <v>42</v>
      </c>
      <c r="C33" s="1">
        <v>434</v>
      </c>
      <c r="D33" s="1">
        <v>202</v>
      </c>
      <c r="E33" s="1">
        <v>579</v>
      </c>
      <c r="F33" s="1">
        <v>47</v>
      </c>
      <c r="G33" s="8">
        <v>0.4</v>
      </c>
      <c r="H33" s="1">
        <v>45</v>
      </c>
      <c r="I33" s="1" t="s">
        <v>37</v>
      </c>
      <c r="J33" s="1"/>
      <c r="K33" s="1">
        <v>586</v>
      </c>
      <c r="L33" s="1">
        <f t="shared" si="2"/>
        <v>-7</v>
      </c>
      <c r="M33" s="1"/>
      <c r="N33" s="1"/>
      <c r="O33" s="1">
        <v>585.3599999999999</v>
      </c>
      <c r="P33" s="1">
        <v>431.6400000000001</v>
      </c>
      <c r="Q33" s="1">
        <f t="shared" si="3"/>
        <v>115.8</v>
      </c>
      <c r="R33" s="5">
        <f t="shared" si="11"/>
        <v>209.79999999999995</v>
      </c>
      <c r="S33" s="5">
        <f t="shared" si="4"/>
        <v>209.79999999999995</v>
      </c>
      <c r="T33" s="5">
        <f>$T$1*Q33</f>
        <v>92.64</v>
      </c>
      <c r="U33" s="5">
        <f t="shared" si="5"/>
        <v>302.43999999999994</v>
      </c>
      <c r="V33" s="5"/>
      <c r="W33" s="1"/>
      <c r="X33" s="1"/>
      <c r="Y33" s="1">
        <f t="shared" si="6"/>
        <v>11.8</v>
      </c>
      <c r="Z33" s="1">
        <f t="shared" si="7"/>
        <v>9.1882556131260795</v>
      </c>
      <c r="AA33" s="1">
        <v>115</v>
      </c>
      <c r="AB33" s="1">
        <v>93.6</v>
      </c>
      <c r="AC33" s="1">
        <v>79.8</v>
      </c>
      <c r="AD33" s="1">
        <v>88.6</v>
      </c>
      <c r="AE33" s="1">
        <v>99.2</v>
      </c>
      <c r="AF33" s="1">
        <v>89.8</v>
      </c>
      <c r="AG33" s="1">
        <v>86.6</v>
      </c>
      <c r="AH33" s="1">
        <v>86.8</v>
      </c>
      <c r="AI33" s="1" t="s">
        <v>72</v>
      </c>
      <c r="AJ33" s="1">
        <f t="shared" si="8"/>
        <v>121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73</v>
      </c>
      <c r="B34" s="1" t="s">
        <v>42</v>
      </c>
      <c r="C34" s="1">
        <v>78</v>
      </c>
      <c r="D34" s="1">
        <v>80</v>
      </c>
      <c r="E34" s="1">
        <v>129</v>
      </c>
      <c r="F34" s="1">
        <v>29</v>
      </c>
      <c r="G34" s="8">
        <v>0.45</v>
      </c>
      <c r="H34" s="1">
        <v>50</v>
      </c>
      <c r="I34" s="12" t="s">
        <v>74</v>
      </c>
      <c r="J34" s="1"/>
      <c r="K34" s="1">
        <v>134</v>
      </c>
      <c r="L34" s="1">
        <f t="shared" si="2"/>
        <v>-5</v>
      </c>
      <c r="M34" s="1"/>
      <c r="N34" s="1"/>
      <c r="O34" s="1">
        <v>166</v>
      </c>
      <c r="P34" s="1">
        <v>100</v>
      </c>
      <c r="Q34" s="1">
        <f t="shared" si="3"/>
        <v>25.8</v>
      </c>
      <c r="R34" s="5"/>
      <c r="S34" s="5">
        <f t="shared" si="4"/>
        <v>0</v>
      </c>
      <c r="T34" s="5"/>
      <c r="U34" s="5">
        <f t="shared" si="5"/>
        <v>0</v>
      </c>
      <c r="V34" s="5"/>
      <c r="W34" s="1"/>
      <c r="X34" s="1"/>
      <c r="Y34" s="1">
        <f t="shared" si="6"/>
        <v>11.434108527131782</v>
      </c>
      <c r="Z34" s="1">
        <f t="shared" si="7"/>
        <v>11.434108527131782</v>
      </c>
      <c r="AA34" s="1">
        <v>33.6</v>
      </c>
      <c r="AB34" s="1">
        <v>31</v>
      </c>
      <c r="AC34" s="1">
        <v>21</v>
      </c>
      <c r="AD34" s="1">
        <v>24.8</v>
      </c>
      <c r="AE34" s="1">
        <v>26.6</v>
      </c>
      <c r="AF34" s="1">
        <v>9.6</v>
      </c>
      <c r="AG34" s="1">
        <v>10.4</v>
      </c>
      <c r="AH34" s="1">
        <v>23.6</v>
      </c>
      <c r="AI34" s="1" t="s">
        <v>39</v>
      </c>
      <c r="AJ34" s="1">
        <f t="shared" si="8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75</v>
      </c>
      <c r="B35" s="1" t="s">
        <v>42</v>
      </c>
      <c r="C35" s="1">
        <v>462</v>
      </c>
      <c r="D35" s="1">
        <v>148</v>
      </c>
      <c r="E35" s="1">
        <v>489</v>
      </c>
      <c r="F35" s="1">
        <v>106</v>
      </c>
      <c r="G35" s="8">
        <v>0.4</v>
      </c>
      <c r="H35" s="1">
        <v>45</v>
      </c>
      <c r="I35" s="1" t="s">
        <v>37</v>
      </c>
      <c r="J35" s="1"/>
      <c r="K35" s="1">
        <v>501</v>
      </c>
      <c r="L35" s="1">
        <f t="shared" si="2"/>
        <v>-12</v>
      </c>
      <c r="M35" s="1"/>
      <c r="N35" s="1"/>
      <c r="O35" s="1">
        <v>462.33999999999992</v>
      </c>
      <c r="P35" s="1">
        <v>301.60000000000008</v>
      </c>
      <c r="Q35" s="1">
        <f t="shared" si="3"/>
        <v>97.8</v>
      </c>
      <c r="R35" s="5">
        <f t="shared" si="11"/>
        <v>205.8599999999999</v>
      </c>
      <c r="S35" s="5">
        <f t="shared" si="4"/>
        <v>205.8599999999999</v>
      </c>
      <c r="T35" s="5">
        <f>$T$1*Q35</f>
        <v>78.240000000000009</v>
      </c>
      <c r="U35" s="5">
        <f t="shared" si="5"/>
        <v>284.09999999999991</v>
      </c>
      <c r="V35" s="5"/>
      <c r="W35" s="1"/>
      <c r="X35" s="1"/>
      <c r="Y35" s="1">
        <f t="shared" si="6"/>
        <v>11.8</v>
      </c>
      <c r="Z35" s="1">
        <f t="shared" si="7"/>
        <v>8.8950920245398777</v>
      </c>
      <c r="AA35" s="1">
        <v>94.2</v>
      </c>
      <c r="AB35" s="1">
        <v>81.599999999999994</v>
      </c>
      <c r="AC35" s="1">
        <v>77.2</v>
      </c>
      <c r="AD35" s="1">
        <v>74.2</v>
      </c>
      <c r="AE35" s="1">
        <v>94</v>
      </c>
      <c r="AF35" s="1">
        <v>89.8</v>
      </c>
      <c r="AG35" s="1">
        <v>65.8</v>
      </c>
      <c r="AH35" s="1">
        <v>70</v>
      </c>
      <c r="AI35" s="1"/>
      <c r="AJ35" s="1">
        <f t="shared" si="8"/>
        <v>114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76</v>
      </c>
      <c r="B36" s="1" t="s">
        <v>42</v>
      </c>
      <c r="C36" s="1"/>
      <c r="D36" s="1">
        <v>120</v>
      </c>
      <c r="E36" s="1">
        <v>64</v>
      </c>
      <c r="F36" s="1">
        <v>56</v>
      </c>
      <c r="G36" s="8">
        <v>0.4</v>
      </c>
      <c r="H36" s="1">
        <v>40</v>
      </c>
      <c r="I36" s="1" t="s">
        <v>37</v>
      </c>
      <c r="J36" s="1"/>
      <c r="K36" s="1">
        <v>64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12.8</v>
      </c>
      <c r="R36" s="5">
        <f>10*Q36-P36-O36-F36</f>
        <v>72</v>
      </c>
      <c r="S36" s="5">
        <f t="shared" si="4"/>
        <v>72</v>
      </c>
      <c r="T36" s="5"/>
      <c r="U36" s="5">
        <f t="shared" si="5"/>
        <v>72</v>
      </c>
      <c r="V36" s="5"/>
      <c r="W36" s="1"/>
      <c r="X36" s="1"/>
      <c r="Y36" s="1">
        <f t="shared" si="6"/>
        <v>10</v>
      </c>
      <c r="Z36" s="1">
        <f t="shared" si="7"/>
        <v>4.375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 t="s">
        <v>55</v>
      </c>
      <c r="AJ36" s="1">
        <f t="shared" si="8"/>
        <v>29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77</v>
      </c>
      <c r="B37" s="1" t="s">
        <v>36</v>
      </c>
      <c r="C37" s="1">
        <v>31.338999999999999</v>
      </c>
      <c r="D37" s="1">
        <v>60.478000000000002</v>
      </c>
      <c r="E37" s="1">
        <v>33.03</v>
      </c>
      <c r="F37" s="1">
        <v>58.786999999999999</v>
      </c>
      <c r="G37" s="8">
        <v>1</v>
      </c>
      <c r="H37" s="1">
        <v>45</v>
      </c>
      <c r="I37" s="1" t="s">
        <v>37</v>
      </c>
      <c r="J37" s="1"/>
      <c r="K37" s="1">
        <v>35.4</v>
      </c>
      <c r="L37" s="1">
        <f t="shared" si="2"/>
        <v>-2.3699999999999974</v>
      </c>
      <c r="M37" s="1"/>
      <c r="N37" s="1"/>
      <c r="O37" s="1">
        <v>44.263199999999969</v>
      </c>
      <c r="P37" s="1">
        <v>43.776200000000053</v>
      </c>
      <c r="Q37" s="1">
        <f t="shared" si="3"/>
        <v>6.6059999999999999</v>
      </c>
      <c r="R37" s="5"/>
      <c r="S37" s="5">
        <f t="shared" si="4"/>
        <v>0</v>
      </c>
      <c r="T37" s="5"/>
      <c r="U37" s="5">
        <f t="shared" si="5"/>
        <v>0</v>
      </c>
      <c r="V37" s="5"/>
      <c r="W37" s="1"/>
      <c r="X37" s="1"/>
      <c r="Y37" s="1">
        <f t="shared" si="6"/>
        <v>22.22621858916137</v>
      </c>
      <c r="Z37" s="1">
        <f t="shared" si="7"/>
        <v>22.22621858916137</v>
      </c>
      <c r="AA37" s="1">
        <v>11.784599999999999</v>
      </c>
      <c r="AB37" s="1">
        <v>11.749000000000001</v>
      </c>
      <c r="AC37" s="1">
        <v>9.9488000000000003</v>
      </c>
      <c r="AD37" s="1">
        <v>4.2332000000000001</v>
      </c>
      <c r="AE37" s="1">
        <v>3.1520000000000001</v>
      </c>
      <c r="AF37" s="1">
        <v>8.6180000000000003</v>
      </c>
      <c r="AG37" s="1">
        <v>10.551600000000001</v>
      </c>
      <c r="AH37" s="1">
        <v>7.0959999999999992</v>
      </c>
      <c r="AI37" s="1"/>
      <c r="AJ37" s="1">
        <f t="shared" si="8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78</v>
      </c>
      <c r="B38" s="1" t="s">
        <v>42</v>
      </c>
      <c r="C38" s="1">
        <v>86</v>
      </c>
      <c r="D38" s="1">
        <v>60</v>
      </c>
      <c r="E38" s="1">
        <v>41</v>
      </c>
      <c r="F38" s="1">
        <v>103</v>
      </c>
      <c r="G38" s="8">
        <v>0.1</v>
      </c>
      <c r="H38" s="1">
        <v>730</v>
      </c>
      <c r="I38" s="1" t="s">
        <v>37</v>
      </c>
      <c r="J38" s="1"/>
      <c r="K38" s="1">
        <v>41</v>
      </c>
      <c r="L38" s="1">
        <f t="shared" ref="L38:L69" si="12">E38-K38</f>
        <v>0</v>
      </c>
      <c r="M38" s="1"/>
      <c r="N38" s="1"/>
      <c r="O38" s="1">
        <v>0</v>
      </c>
      <c r="P38" s="1">
        <v>0</v>
      </c>
      <c r="Q38" s="1">
        <f t="shared" si="3"/>
        <v>8.1999999999999993</v>
      </c>
      <c r="R38" s="5"/>
      <c r="S38" s="5">
        <f t="shared" si="4"/>
        <v>0</v>
      </c>
      <c r="T38" s="5"/>
      <c r="U38" s="5">
        <f t="shared" si="5"/>
        <v>0</v>
      </c>
      <c r="V38" s="5"/>
      <c r="W38" s="1"/>
      <c r="X38" s="1"/>
      <c r="Y38" s="1">
        <f t="shared" si="6"/>
        <v>12.560975609756099</v>
      </c>
      <c r="Z38" s="1">
        <f t="shared" si="7"/>
        <v>12.560975609756099</v>
      </c>
      <c r="AA38" s="1">
        <v>8.8000000000000007</v>
      </c>
      <c r="AB38" s="1">
        <v>11.6</v>
      </c>
      <c r="AC38" s="1">
        <v>14.6</v>
      </c>
      <c r="AD38" s="1">
        <v>11.6</v>
      </c>
      <c r="AE38" s="1">
        <v>6.6</v>
      </c>
      <c r="AF38" s="1">
        <v>11</v>
      </c>
      <c r="AG38" s="1">
        <v>19.8</v>
      </c>
      <c r="AH38" s="1">
        <v>12.6</v>
      </c>
      <c r="AI38" s="1"/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79</v>
      </c>
      <c r="B39" s="1" t="s">
        <v>42</v>
      </c>
      <c r="C39" s="1"/>
      <c r="D39" s="1">
        <v>230</v>
      </c>
      <c r="E39" s="1">
        <v>102</v>
      </c>
      <c r="F39" s="1">
        <v>121</v>
      </c>
      <c r="G39" s="8">
        <v>0.35</v>
      </c>
      <c r="H39" s="1">
        <v>40</v>
      </c>
      <c r="I39" s="1" t="s">
        <v>37</v>
      </c>
      <c r="J39" s="1"/>
      <c r="K39" s="1">
        <v>116</v>
      </c>
      <c r="L39" s="1">
        <f t="shared" si="12"/>
        <v>-14</v>
      </c>
      <c r="M39" s="1"/>
      <c r="N39" s="1"/>
      <c r="O39" s="1">
        <v>0</v>
      </c>
      <c r="P39" s="1">
        <v>0</v>
      </c>
      <c r="Q39" s="1">
        <f t="shared" si="3"/>
        <v>20.399999999999999</v>
      </c>
      <c r="R39" s="5">
        <f t="shared" si="11"/>
        <v>103.39999999999998</v>
      </c>
      <c r="S39" s="5">
        <f t="shared" si="4"/>
        <v>103.39999999999998</v>
      </c>
      <c r="T39" s="5"/>
      <c r="U39" s="5">
        <f t="shared" si="5"/>
        <v>103.39999999999998</v>
      </c>
      <c r="V39" s="5"/>
      <c r="W39" s="1"/>
      <c r="X39" s="1"/>
      <c r="Y39" s="1">
        <f t="shared" si="6"/>
        <v>11</v>
      </c>
      <c r="Z39" s="1">
        <f t="shared" si="7"/>
        <v>5.9313725490196081</v>
      </c>
      <c r="AA39" s="1">
        <v>9.6</v>
      </c>
      <c r="AB39" s="1">
        <v>18.2</v>
      </c>
      <c r="AC39" s="1">
        <v>24.6</v>
      </c>
      <c r="AD39" s="1">
        <v>20.399999999999999</v>
      </c>
      <c r="AE39" s="1">
        <v>14.6</v>
      </c>
      <c r="AF39" s="1">
        <v>13.6</v>
      </c>
      <c r="AG39" s="1">
        <v>17.2</v>
      </c>
      <c r="AH39" s="1">
        <v>21</v>
      </c>
      <c r="AI39" s="1" t="s">
        <v>39</v>
      </c>
      <c r="AJ39" s="1">
        <f t="shared" si="8"/>
        <v>36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80</v>
      </c>
      <c r="B40" s="1" t="s">
        <v>36</v>
      </c>
      <c r="C40" s="1">
        <v>-16.870999999999999</v>
      </c>
      <c r="D40" s="1">
        <v>400.85199999999998</v>
      </c>
      <c r="E40" s="1">
        <v>161.005</v>
      </c>
      <c r="F40" s="1">
        <v>219.35400000000001</v>
      </c>
      <c r="G40" s="8">
        <v>1</v>
      </c>
      <c r="H40" s="1">
        <v>40</v>
      </c>
      <c r="I40" s="1" t="s">
        <v>37</v>
      </c>
      <c r="J40" s="1"/>
      <c r="K40" s="1">
        <v>156.4</v>
      </c>
      <c r="L40" s="1">
        <f t="shared" si="12"/>
        <v>4.6049999999999898</v>
      </c>
      <c r="M40" s="1"/>
      <c r="N40" s="1"/>
      <c r="O40" s="1">
        <v>0</v>
      </c>
      <c r="P40" s="1">
        <v>0</v>
      </c>
      <c r="Q40" s="1">
        <f t="shared" si="3"/>
        <v>32.201000000000001</v>
      </c>
      <c r="R40" s="5">
        <f t="shared" si="11"/>
        <v>134.857</v>
      </c>
      <c r="S40" s="5">
        <f t="shared" si="4"/>
        <v>134.857</v>
      </c>
      <c r="T40" s="5"/>
      <c r="U40" s="5">
        <f t="shared" si="5"/>
        <v>134.857</v>
      </c>
      <c r="V40" s="5"/>
      <c r="W40" s="1"/>
      <c r="X40" s="1"/>
      <c r="Y40" s="1">
        <f t="shared" si="6"/>
        <v>11</v>
      </c>
      <c r="Z40" s="1">
        <f t="shared" si="7"/>
        <v>6.8120244712897122</v>
      </c>
      <c r="AA40" s="1">
        <v>14.1966</v>
      </c>
      <c r="AB40" s="1">
        <v>22.717600000000001</v>
      </c>
      <c r="AC40" s="1">
        <v>26.006</v>
      </c>
      <c r="AD40" s="1">
        <v>16.503799999999998</v>
      </c>
      <c r="AE40" s="1">
        <v>20.4678</v>
      </c>
      <c r="AF40" s="1">
        <v>21.206800000000001</v>
      </c>
      <c r="AG40" s="1">
        <v>30.023199999999999</v>
      </c>
      <c r="AH40" s="1">
        <v>27.058599999999998</v>
      </c>
      <c r="AI40" s="1"/>
      <c r="AJ40" s="1">
        <f t="shared" si="8"/>
        <v>135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81</v>
      </c>
      <c r="B41" s="1" t="s">
        <v>42</v>
      </c>
      <c r="C41" s="1">
        <v>66</v>
      </c>
      <c r="D41" s="1">
        <v>48</v>
      </c>
      <c r="E41" s="1">
        <v>67</v>
      </c>
      <c r="F41" s="1">
        <v>21</v>
      </c>
      <c r="G41" s="8">
        <v>0.4</v>
      </c>
      <c r="H41" s="1">
        <v>40</v>
      </c>
      <c r="I41" s="1" t="s">
        <v>37</v>
      </c>
      <c r="J41" s="1"/>
      <c r="K41" s="1">
        <v>93</v>
      </c>
      <c r="L41" s="1">
        <f t="shared" si="12"/>
        <v>-26</v>
      </c>
      <c r="M41" s="1"/>
      <c r="N41" s="1"/>
      <c r="O41" s="1">
        <v>0</v>
      </c>
      <c r="P41" s="1">
        <v>97.6</v>
      </c>
      <c r="Q41" s="1">
        <f t="shared" si="3"/>
        <v>13.4</v>
      </c>
      <c r="R41" s="5">
        <f t="shared" si="11"/>
        <v>28.800000000000011</v>
      </c>
      <c r="S41" s="5">
        <f t="shared" si="4"/>
        <v>28.800000000000011</v>
      </c>
      <c r="T41" s="5"/>
      <c r="U41" s="5">
        <f t="shared" si="5"/>
        <v>28.800000000000011</v>
      </c>
      <c r="V41" s="5"/>
      <c r="W41" s="1"/>
      <c r="X41" s="1"/>
      <c r="Y41" s="1">
        <f t="shared" si="6"/>
        <v>11</v>
      </c>
      <c r="Z41" s="1">
        <f t="shared" si="7"/>
        <v>8.8507462686567155</v>
      </c>
      <c r="AA41" s="1">
        <v>13.4</v>
      </c>
      <c r="AB41" s="1">
        <v>8.8000000000000007</v>
      </c>
      <c r="AC41" s="1">
        <v>11.4</v>
      </c>
      <c r="AD41" s="1">
        <v>10.8</v>
      </c>
      <c r="AE41" s="1">
        <v>13</v>
      </c>
      <c r="AF41" s="1">
        <v>9.4</v>
      </c>
      <c r="AG41" s="1">
        <v>10.6</v>
      </c>
      <c r="AH41" s="1">
        <v>13.8</v>
      </c>
      <c r="AI41" s="1"/>
      <c r="AJ41" s="1">
        <f t="shared" si="8"/>
        <v>12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82</v>
      </c>
      <c r="B42" s="1" t="s">
        <v>42</v>
      </c>
      <c r="C42" s="1">
        <v>477</v>
      </c>
      <c r="D42" s="1">
        <v>12</v>
      </c>
      <c r="E42" s="1">
        <v>109</v>
      </c>
      <c r="F42" s="1">
        <v>368</v>
      </c>
      <c r="G42" s="8">
        <v>0.4</v>
      </c>
      <c r="H42" s="1">
        <v>45</v>
      </c>
      <c r="I42" s="1" t="s">
        <v>37</v>
      </c>
      <c r="J42" s="1"/>
      <c r="K42" s="1">
        <v>126</v>
      </c>
      <c r="L42" s="1">
        <f t="shared" si="12"/>
        <v>-17</v>
      </c>
      <c r="M42" s="1"/>
      <c r="N42" s="1"/>
      <c r="O42" s="1">
        <v>0</v>
      </c>
      <c r="P42" s="1">
        <v>0</v>
      </c>
      <c r="Q42" s="1">
        <f t="shared" si="3"/>
        <v>21.8</v>
      </c>
      <c r="R42" s="5"/>
      <c r="S42" s="5">
        <f t="shared" si="4"/>
        <v>0</v>
      </c>
      <c r="T42" s="5"/>
      <c r="U42" s="5">
        <f t="shared" si="5"/>
        <v>0</v>
      </c>
      <c r="V42" s="5"/>
      <c r="W42" s="1"/>
      <c r="X42" s="1"/>
      <c r="Y42" s="1">
        <f t="shared" si="6"/>
        <v>16.880733944954127</v>
      </c>
      <c r="Z42" s="1">
        <f t="shared" si="7"/>
        <v>16.880733944954127</v>
      </c>
      <c r="AA42" s="1">
        <v>22.2</v>
      </c>
      <c r="AB42" s="1">
        <v>17.399999999999999</v>
      </c>
      <c r="AC42" s="1">
        <v>9.8000000000000007</v>
      </c>
      <c r="AD42" s="1">
        <v>34.6</v>
      </c>
      <c r="AE42" s="1">
        <v>53.8</v>
      </c>
      <c r="AF42" s="1">
        <v>22.8</v>
      </c>
      <c r="AG42" s="1">
        <v>41</v>
      </c>
      <c r="AH42" s="1">
        <v>57.4</v>
      </c>
      <c r="AI42" s="22" t="s">
        <v>153</v>
      </c>
      <c r="AJ42" s="1">
        <f t="shared" si="8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83</v>
      </c>
      <c r="B43" s="1" t="s">
        <v>36</v>
      </c>
      <c r="C43" s="1">
        <v>88.45</v>
      </c>
      <c r="D43" s="1">
        <v>213.38800000000001</v>
      </c>
      <c r="E43" s="1">
        <v>173.30799999999999</v>
      </c>
      <c r="F43" s="1">
        <v>122.738</v>
      </c>
      <c r="G43" s="8">
        <v>1</v>
      </c>
      <c r="H43" s="1">
        <v>40</v>
      </c>
      <c r="I43" s="1" t="s">
        <v>37</v>
      </c>
      <c r="J43" s="1"/>
      <c r="K43" s="1">
        <v>169.5</v>
      </c>
      <c r="L43" s="1">
        <f t="shared" si="12"/>
        <v>3.8079999999999927</v>
      </c>
      <c r="M43" s="1"/>
      <c r="N43" s="1"/>
      <c r="O43" s="1">
        <v>47.982199999999992</v>
      </c>
      <c r="P43" s="1">
        <v>88.53359999999995</v>
      </c>
      <c r="Q43" s="1">
        <f t="shared" si="3"/>
        <v>34.6616</v>
      </c>
      <c r="R43" s="5">
        <f t="shared" si="11"/>
        <v>122.02380000000005</v>
      </c>
      <c r="S43" s="5">
        <f t="shared" si="4"/>
        <v>122.02380000000005</v>
      </c>
      <c r="T43" s="5"/>
      <c r="U43" s="5">
        <f t="shared" si="5"/>
        <v>122.02380000000005</v>
      </c>
      <c r="V43" s="5"/>
      <c r="W43" s="1"/>
      <c r="X43" s="1"/>
      <c r="Y43" s="1">
        <f t="shared" si="6"/>
        <v>11</v>
      </c>
      <c r="Z43" s="1">
        <f t="shared" si="7"/>
        <v>7.4795681676552714</v>
      </c>
      <c r="AA43" s="1">
        <v>29.303999999999998</v>
      </c>
      <c r="AB43" s="1">
        <v>30.934000000000001</v>
      </c>
      <c r="AC43" s="1">
        <v>32.066400000000002</v>
      </c>
      <c r="AD43" s="1">
        <v>23.393000000000001</v>
      </c>
      <c r="AE43" s="1">
        <v>26.324400000000001</v>
      </c>
      <c r="AF43" s="1">
        <v>27.927800000000001</v>
      </c>
      <c r="AG43" s="1">
        <v>18.489000000000001</v>
      </c>
      <c r="AH43" s="1">
        <v>6.6821999999999999</v>
      </c>
      <c r="AI43" s="1"/>
      <c r="AJ43" s="1">
        <f t="shared" si="8"/>
        <v>122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84</v>
      </c>
      <c r="B44" s="1" t="s">
        <v>42</v>
      </c>
      <c r="C44" s="1">
        <v>142</v>
      </c>
      <c r="D44" s="1">
        <v>184</v>
      </c>
      <c r="E44" s="1">
        <v>163</v>
      </c>
      <c r="F44" s="1">
        <v>155</v>
      </c>
      <c r="G44" s="8">
        <v>0.35</v>
      </c>
      <c r="H44" s="1">
        <v>40</v>
      </c>
      <c r="I44" s="1" t="s">
        <v>37</v>
      </c>
      <c r="J44" s="1"/>
      <c r="K44" s="1">
        <v>178</v>
      </c>
      <c r="L44" s="1">
        <f t="shared" si="12"/>
        <v>-15</v>
      </c>
      <c r="M44" s="1"/>
      <c r="N44" s="1"/>
      <c r="O44" s="1">
        <v>40.400000000000027</v>
      </c>
      <c r="P44" s="1">
        <v>119.4</v>
      </c>
      <c r="Q44" s="1">
        <f t="shared" si="3"/>
        <v>32.6</v>
      </c>
      <c r="R44" s="5">
        <f t="shared" si="11"/>
        <v>43.799999999999983</v>
      </c>
      <c r="S44" s="5">
        <f t="shared" si="4"/>
        <v>43.799999999999983</v>
      </c>
      <c r="T44" s="5"/>
      <c r="U44" s="5">
        <f t="shared" si="5"/>
        <v>43.799999999999983</v>
      </c>
      <c r="V44" s="5"/>
      <c r="W44" s="1"/>
      <c r="X44" s="1"/>
      <c r="Y44" s="1">
        <f t="shared" si="6"/>
        <v>11</v>
      </c>
      <c r="Z44" s="1">
        <f t="shared" si="7"/>
        <v>9.656441717791413</v>
      </c>
      <c r="AA44" s="1">
        <v>33</v>
      </c>
      <c r="AB44" s="1">
        <v>32.6</v>
      </c>
      <c r="AC44" s="1">
        <v>32.6</v>
      </c>
      <c r="AD44" s="1">
        <v>30</v>
      </c>
      <c r="AE44" s="1">
        <v>32</v>
      </c>
      <c r="AF44" s="1">
        <v>16.600000000000001</v>
      </c>
      <c r="AG44" s="1">
        <v>15</v>
      </c>
      <c r="AH44" s="1">
        <v>32.4</v>
      </c>
      <c r="AI44" s="1" t="s">
        <v>48</v>
      </c>
      <c r="AJ44" s="1">
        <f t="shared" si="8"/>
        <v>15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85</v>
      </c>
      <c r="B45" s="1" t="s">
        <v>42</v>
      </c>
      <c r="C45" s="1">
        <v>212</v>
      </c>
      <c r="D45" s="1">
        <v>172</v>
      </c>
      <c r="E45" s="1">
        <v>337</v>
      </c>
      <c r="F45" s="1">
        <v>38</v>
      </c>
      <c r="G45" s="8">
        <v>0.4</v>
      </c>
      <c r="H45" s="1">
        <v>40</v>
      </c>
      <c r="I45" s="12" t="s">
        <v>74</v>
      </c>
      <c r="J45" s="1"/>
      <c r="K45" s="1">
        <v>344</v>
      </c>
      <c r="L45" s="1">
        <f t="shared" si="12"/>
        <v>-7</v>
      </c>
      <c r="M45" s="1"/>
      <c r="N45" s="1"/>
      <c r="O45" s="1">
        <v>239.1999999999999</v>
      </c>
      <c r="P45" s="1">
        <v>260</v>
      </c>
      <c r="Q45" s="1">
        <f t="shared" si="3"/>
        <v>67.400000000000006</v>
      </c>
      <c r="R45" s="5">
        <f t="shared" si="11"/>
        <v>204.20000000000019</v>
      </c>
      <c r="S45" s="5">
        <f t="shared" si="4"/>
        <v>204.20000000000019</v>
      </c>
      <c r="T45" s="5"/>
      <c r="U45" s="5">
        <f t="shared" si="5"/>
        <v>204.20000000000019</v>
      </c>
      <c r="V45" s="5"/>
      <c r="W45" s="1"/>
      <c r="X45" s="1"/>
      <c r="Y45" s="1">
        <f t="shared" si="6"/>
        <v>11</v>
      </c>
      <c r="Z45" s="1">
        <f t="shared" si="7"/>
        <v>7.9703264094955477</v>
      </c>
      <c r="AA45" s="1">
        <v>65.8</v>
      </c>
      <c r="AB45" s="1">
        <v>55.4</v>
      </c>
      <c r="AC45" s="1">
        <v>50.6</v>
      </c>
      <c r="AD45" s="1">
        <v>63.6</v>
      </c>
      <c r="AE45" s="1">
        <v>56.4</v>
      </c>
      <c r="AF45" s="1">
        <v>50</v>
      </c>
      <c r="AG45" s="1">
        <v>66</v>
      </c>
      <c r="AH45" s="1">
        <v>42.8</v>
      </c>
      <c r="AI45" s="1" t="s">
        <v>39</v>
      </c>
      <c r="AJ45" s="1">
        <f t="shared" si="8"/>
        <v>82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86</v>
      </c>
      <c r="B46" s="1" t="s">
        <v>36</v>
      </c>
      <c r="C46" s="1">
        <v>100.279</v>
      </c>
      <c r="D46" s="1"/>
      <c r="E46" s="1">
        <v>51.104999999999997</v>
      </c>
      <c r="F46" s="1">
        <v>49.173999999999999</v>
      </c>
      <c r="G46" s="8">
        <v>1</v>
      </c>
      <c r="H46" s="1">
        <v>50</v>
      </c>
      <c r="I46" s="1" t="s">
        <v>37</v>
      </c>
      <c r="J46" s="1"/>
      <c r="K46" s="1">
        <v>50.4</v>
      </c>
      <c r="L46" s="1">
        <f t="shared" si="12"/>
        <v>0.70499999999999829</v>
      </c>
      <c r="M46" s="1"/>
      <c r="N46" s="1"/>
      <c r="O46" s="1">
        <v>8.801400000000001</v>
      </c>
      <c r="P46" s="1">
        <v>44.510000000000012</v>
      </c>
      <c r="Q46" s="1">
        <f t="shared" si="3"/>
        <v>10.221</v>
      </c>
      <c r="R46" s="5">
        <f t="shared" si="11"/>
        <v>9.9455999999999918</v>
      </c>
      <c r="S46" s="5">
        <f t="shared" si="4"/>
        <v>9.9455999999999918</v>
      </c>
      <c r="T46" s="5"/>
      <c r="U46" s="5">
        <f t="shared" si="5"/>
        <v>9.9455999999999918</v>
      </c>
      <c r="V46" s="5"/>
      <c r="W46" s="1"/>
      <c r="X46" s="1"/>
      <c r="Y46" s="1">
        <f t="shared" si="6"/>
        <v>11.000000000000002</v>
      </c>
      <c r="Z46" s="1">
        <f t="shared" si="7"/>
        <v>10.026944525975933</v>
      </c>
      <c r="AA46" s="1">
        <v>10.7812</v>
      </c>
      <c r="AB46" s="1">
        <v>9.9163999999999994</v>
      </c>
      <c r="AC46" s="1">
        <v>9.9561999999999991</v>
      </c>
      <c r="AD46" s="1">
        <v>12.7616</v>
      </c>
      <c r="AE46" s="1">
        <v>15.2072</v>
      </c>
      <c r="AF46" s="1">
        <v>14.938800000000001</v>
      </c>
      <c r="AG46" s="1">
        <v>18.617799999999999</v>
      </c>
      <c r="AH46" s="1">
        <v>15.881399999999999</v>
      </c>
      <c r="AI46" s="1"/>
      <c r="AJ46" s="1">
        <f t="shared" si="8"/>
        <v>10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87</v>
      </c>
      <c r="B47" s="1" t="s">
        <v>36</v>
      </c>
      <c r="C47" s="1">
        <v>150.196</v>
      </c>
      <c r="D47" s="1">
        <v>1.762</v>
      </c>
      <c r="E47" s="1">
        <v>150.00299999999999</v>
      </c>
      <c r="F47" s="1">
        <v>0.193</v>
      </c>
      <c r="G47" s="8">
        <v>1</v>
      </c>
      <c r="H47" s="1">
        <v>50</v>
      </c>
      <c r="I47" s="1" t="s">
        <v>37</v>
      </c>
      <c r="J47" s="1"/>
      <c r="K47" s="1">
        <v>153</v>
      </c>
      <c r="L47" s="1">
        <f t="shared" si="12"/>
        <v>-2.9970000000000141</v>
      </c>
      <c r="M47" s="1"/>
      <c r="N47" s="1"/>
      <c r="O47" s="1">
        <v>135.79740000000001</v>
      </c>
      <c r="P47" s="1">
        <v>157.00280000000001</v>
      </c>
      <c r="Q47" s="1">
        <f t="shared" si="3"/>
        <v>30.000599999999999</v>
      </c>
      <c r="R47" s="5">
        <f t="shared" si="11"/>
        <v>37.013399999999976</v>
      </c>
      <c r="S47" s="5">
        <f t="shared" si="4"/>
        <v>37.013399999999976</v>
      </c>
      <c r="T47" s="5"/>
      <c r="U47" s="5">
        <f t="shared" si="5"/>
        <v>37.013399999999976</v>
      </c>
      <c r="V47" s="5"/>
      <c r="W47" s="1"/>
      <c r="X47" s="1"/>
      <c r="Y47" s="1">
        <f t="shared" si="6"/>
        <v>11</v>
      </c>
      <c r="Z47" s="1">
        <f t="shared" si="7"/>
        <v>9.7662446751064991</v>
      </c>
      <c r="AA47" s="1">
        <v>31.035599999999999</v>
      </c>
      <c r="AB47" s="1">
        <v>25.999400000000001</v>
      </c>
      <c r="AC47" s="1">
        <v>20.065000000000001</v>
      </c>
      <c r="AD47" s="1">
        <v>17.214600000000001</v>
      </c>
      <c r="AE47" s="1">
        <v>25.673999999999999</v>
      </c>
      <c r="AF47" s="1">
        <v>25.386800000000001</v>
      </c>
      <c r="AG47" s="1">
        <v>29.286999999999999</v>
      </c>
      <c r="AH47" s="1">
        <v>30.161799999999999</v>
      </c>
      <c r="AI47" s="1"/>
      <c r="AJ47" s="1">
        <f t="shared" si="8"/>
        <v>37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88</v>
      </c>
      <c r="B48" s="1" t="s">
        <v>36</v>
      </c>
      <c r="C48" s="1">
        <v>128.43600000000001</v>
      </c>
      <c r="D48" s="1"/>
      <c r="E48" s="1">
        <v>65.837999999999994</v>
      </c>
      <c r="F48" s="1">
        <v>62.597999999999999</v>
      </c>
      <c r="G48" s="8">
        <v>1</v>
      </c>
      <c r="H48" s="1">
        <v>40</v>
      </c>
      <c r="I48" s="11" t="s">
        <v>89</v>
      </c>
      <c r="J48" s="1"/>
      <c r="K48" s="1">
        <v>59.3</v>
      </c>
      <c r="L48" s="1">
        <f t="shared" si="12"/>
        <v>6.5379999999999967</v>
      </c>
      <c r="M48" s="1"/>
      <c r="N48" s="1"/>
      <c r="O48" s="1">
        <v>40</v>
      </c>
      <c r="P48" s="1">
        <v>30</v>
      </c>
      <c r="Q48" s="1">
        <f t="shared" si="3"/>
        <v>13.167599999999998</v>
      </c>
      <c r="R48" s="5">
        <f t="shared" si="11"/>
        <v>12.245599999999982</v>
      </c>
      <c r="S48" s="5">
        <f>V48</f>
        <v>1300</v>
      </c>
      <c r="T48" s="5"/>
      <c r="U48" s="5">
        <f t="shared" si="5"/>
        <v>1300</v>
      </c>
      <c r="V48" s="23">
        <v>1300</v>
      </c>
      <c r="W48" s="20" t="s">
        <v>90</v>
      </c>
      <c r="X48" s="1"/>
      <c r="Y48" s="1">
        <f t="shared" si="6"/>
        <v>108.7971991858805</v>
      </c>
      <c r="Z48" s="1">
        <f t="shared" si="7"/>
        <v>10.070020352987639</v>
      </c>
      <c r="AA48" s="1">
        <v>13.786799999999999</v>
      </c>
      <c r="AB48" s="1">
        <v>9.6112000000000002</v>
      </c>
      <c r="AC48" s="1">
        <v>0</v>
      </c>
      <c r="AD48" s="1">
        <v>0</v>
      </c>
      <c r="AE48" s="1">
        <v>305.3734</v>
      </c>
      <c r="AF48" s="1">
        <v>310.66680000000002</v>
      </c>
      <c r="AG48" s="1">
        <v>8.2584</v>
      </c>
      <c r="AH48" s="1">
        <v>16.9452</v>
      </c>
      <c r="AI48" s="1" t="s">
        <v>90</v>
      </c>
      <c r="AJ48" s="1">
        <f t="shared" si="8"/>
        <v>1300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91</v>
      </c>
      <c r="B49" s="1" t="s">
        <v>42</v>
      </c>
      <c r="C49" s="1">
        <v>80</v>
      </c>
      <c r="D49" s="1">
        <v>1</v>
      </c>
      <c r="E49" s="1">
        <v>79</v>
      </c>
      <c r="F49" s="1"/>
      <c r="G49" s="8">
        <v>0.45</v>
      </c>
      <c r="H49" s="1">
        <v>50</v>
      </c>
      <c r="I49" s="1" t="s">
        <v>37</v>
      </c>
      <c r="J49" s="1"/>
      <c r="K49" s="1">
        <v>91</v>
      </c>
      <c r="L49" s="1">
        <f t="shared" si="12"/>
        <v>-12</v>
      </c>
      <c r="M49" s="1"/>
      <c r="N49" s="1"/>
      <c r="O49" s="1">
        <v>128.80000000000001</v>
      </c>
      <c r="P49" s="1">
        <v>162.6</v>
      </c>
      <c r="Q49" s="1">
        <f t="shared" si="3"/>
        <v>15.8</v>
      </c>
      <c r="R49" s="5"/>
      <c r="S49" s="5">
        <f t="shared" si="4"/>
        <v>0</v>
      </c>
      <c r="T49" s="5"/>
      <c r="U49" s="5">
        <f t="shared" si="5"/>
        <v>0</v>
      </c>
      <c r="V49" s="5"/>
      <c r="W49" s="1"/>
      <c r="X49" s="1"/>
      <c r="Y49" s="1">
        <f t="shared" si="6"/>
        <v>18.443037974683541</v>
      </c>
      <c r="Z49" s="1">
        <f t="shared" si="7"/>
        <v>18.443037974683541</v>
      </c>
      <c r="AA49" s="1">
        <v>27.2</v>
      </c>
      <c r="AB49" s="1">
        <v>23.2</v>
      </c>
      <c r="AC49" s="1">
        <v>12.8</v>
      </c>
      <c r="AD49" s="1">
        <v>15.2</v>
      </c>
      <c r="AE49" s="1">
        <v>20.2</v>
      </c>
      <c r="AF49" s="1">
        <v>16</v>
      </c>
      <c r="AG49" s="1">
        <v>19.8</v>
      </c>
      <c r="AH49" s="1">
        <v>20.2</v>
      </c>
      <c r="AI49" s="1"/>
      <c r="AJ49" s="1">
        <f t="shared" si="8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 t="s">
        <v>92</v>
      </c>
      <c r="B50" s="1" t="s">
        <v>42</v>
      </c>
      <c r="C50" s="1">
        <v>149</v>
      </c>
      <c r="D50" s="1">
        <v>3</v>
      </c>
      <c r="E50" s="1">
        <v>34</v>
      </c>
      <c r="F50" s="1">
        <v>97</v>
      </c>
      <c r="G50" s="8">
        <v>0.4</v>
      </c>
      <c r="H50" s="1">
        <v>40</v>
      </c>
      <c r="I50" s="1" t="s">
        <v>37</v>
      </c>
      <c r="J50" s="1"/>
      <c r="K50" s="1">
        <v>54</v>
      </c>
      <c r="L50" s="1">
        <f t="shared" si="12"/>
        <v>-20</v>
      </c>
      <c r="M50" s="1"/>
      <c r="N50" s="1"/>
      <c r="O50" s="1">
        <v>0</v>
      </c>
      <c r="P50" s="1">
        <v>0</v>
      </c>
      <c r="Q50" s="1">
        <f t="shared" si="3"/>
        <v>6.8</v>
      </c>
      <c r="R50" s="5"/>
      <c r="S50" s="5">
        <f t="shared" si="4"/>
        <v>0</v>
      </c>
      <c r="T50" s="5"/>
      <c r="U50" s="5">
        <f t="shared" si="5"/>
        <v>0</v>
      </c>
      <c r="V50" s="5"/>
      <c r="W50" s="1"/>
      <c r="X50" s="1"/>
      <c r="Y50" s="1">
        <f t="shared" si="6"/>
        <v>14.264705882352942</v>
      </c>
      <c r="Z50" s="1">
        <f t="shared" si="7"/>
        <v>14.264705882352942</v>
      </c>
      <c r="AA50" s="1">
        <v>9.1999999999999993</v>
      </c>
      <c r="AB50" s="1">
        <v>4.4000000000000004</v>
      </c>
      <c r="AC50" s="1">
        <v>0.6</v>
      </c>
      <c r="AD50" s="1">
        <v>10.4</v>
      </c>
      <c r="AE50" s="1">
        <v>15.8</v>
      </c>
      <c r="AF50" s="1">
        <v>7</v>
      </c>
      <c r="AG50" s="1">
        <v>5.2</v>
      </c>
      <c r="AH50" s="1">
        <v>8</v>
      </c>
      <c r="AI50" s="1" t="s">
        <v>93</v>
      </c>
      <c r="AJ50" s="1">
        <f t="shared" si="8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 t="s">
        <v>94</v>
      </c>
      <c r="B51" s="1" t="s">
        <v>42</v>
      </c>
      <c r="C51" s="1">
        <v>-1</v>
      </c>
      <c r="D51" s="1">
        <v>127</v>
      </c>
      <c r="E51" s="1">
        <v>21</v>
      </c>
      <c r="F51" s="1">
        <v>102</v>
      </c>
      <c r="G51" s="8">
        <v>0.4</v>
      </c>
      <c r="H51" s="1">
        <v>40</v>
      </c>
      <c r="I51" s="1" t="s">
        <v>37</v>
      </c>
      <c r="J51" s="1"/>
      <c r="K51" s="1">
        <v>40</v>
      </c>
      <c r="L51" s="1">
        <f t="shared" si="12"/>
        <v>-19</v>
      </c>
      <c r="M51" s="1"/>
      <c r="N51" s="1"/>
      <c r="O51" s="1">
        <v>128</v>
      </c>
      <c r="P51" s="1">
        <v>0</v>
      </c>
      <c r="Q51" s="1">
        <f t="shared" si="3"/>
        <v>4.2</v>
      </c>
      <c r="R51" s="5">
        <v>30</v>
      </c>
      <c r="S51" s="5">
        <f t="shared" si="4"/>
        <v>30</v>
      </c>
      <c r="T51" s="5"/>
      <c r="U51" s="5">
        <f t="shared" si="5"/>
        <v>30</v>
      </c>
      <c r="V51" s="5"/>
      <c r="W51" s="1"/>
      <c r="X51" s="1"/>
      <c r="Y51" s="1">
        <f t="shared" si="6"/>
        <v>61.904761904761905</v>
      </c>
      <c r="Z51" s="1">
        <f t="shared" si="7"/>
        <v>54.761904761904759</v>
      </c>
      <c r="AA51" s="1">
        <v>12.6</v>
      </c>
      <c r="AB51" s="1">
        <v>22.8</v>
      </c>
      <c r="AC51" s="1">
        <v>14.4</v>
      </c>
      <c r="AD51" s="1">
        <v>7.4</v>
      </c>
      <c r="AE51" s="1">
        <v>0.4</v>
      </c>
      <c r="AF51" s="1">
        <v>-1</v>
      </c>
      <c r="AG51" s="1">
        <v>13</v>
      </c>
      <c r="AH51" s="1">
        <v>16.8</v>
      </c>
      <c r="AI51" s="1" t="s">
        <v>95</v>
      </c>
      <c r="AJ51" s="1">
        <f t="shared" si="8"/>
        <v>12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6" t="s">
        <v>96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2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5">
        <f t="shared" si="4"/>
        <v>0</v>
      </c>
      <c r="T52" s="18"/>
      <c r="U52" s="5">
        <f t="shared" si="5"/>
        <v>0</v>
      </c>
      <c r="V52" s="18"/>
      <c r="W52" s="16"/>
      <c r="X52" s="16"/>
      <c r="Y52" s="1" t="e">
        <f t="shared" si="6"/>
        <v>#DIV/0!</v>
      </c>
      <c r="Z52" s="16" t="e">
        <f t="shared" si="7"/>
        <v>#DIV/0!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 t="s">
        <v>62</v>
      </c>
      <c r="AJ52" s="1">
        <f t="shared" si="8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97</v>
      </c>
      <c r="B53" s="1" t="s">
        <v>42</v>
      </c>
      <c r="C53" s="1">
        <v>85</v>
      </c>
      <c r="D53" s="1">
        <v>60</v>
      </c>
      <c r="E53" s="1">
        <v>34</v>
      </c>
      <c r="F53" s="1">
        <v>109</v>
      </c>
      <c r="G53" s="8">
        <v>0.1</v>
      </c>
      <c r="H53" s="1">
        <v>730</v>
      </c>
      <c r="I53" s="1" t="s">
        <v>37</v>
      </c>
      <c r="J53" s="1"/>
      <c r="K53" s="1">
        <v>34</v>
      </c>
      <c r="L53" s="1">
        <f t="shared" si="12"/>
        <v>0</v>
      </c>
      <c r="M53" s="1"/>
      <c r="N53" s="1"/>
      <c r="O53" s="1">
        <v>0</v>
      </c>
      <c r="P53" s="1">
        <v>0</v>
      </c>
      <c r="Q53" s="1">
        <f t="shared" si="3"/>
        <v>6.8</v>
      </c>
      <c r="R53" s="5"/>
      <c r="S53" s="5">
        <f t="shared" si="4"/>
        <v>0</v>
      </c>
      <c r="T53" s="5"/>
      <c r="U53" s="5">
        <f t="shared" si="5"/>
        <v>0</v>
      </c>
      <c r="V53" s="5"/>
      <c r="W53" s="1"/>
      <c r="X53" s="1"/>
      <c r="Y53" s="1">
        <f t="shared" si="6"/>
        <v>16.029411764705884</v>
      </c>
      <c r="Z53" s="1">
        <f t="shared" si="7"/>
        <v>16.029411764705884</v>
      </c>
      <c r="AA53" s="1">
        <v>6.2</v>
      </c>
      <c r="AB53" s="1">
        <v>9</v>
      </c>
      <c r="AC53" s="1">
        <v>13.8</v>
      </c>
      <c r="AD53" s="1">
        <v>10.8</v>
      </c>
      <c r="AE53" s="1">
        <v>7.6</v>
      </c>
      <c r="AF53" s="1">
        <v>11.2</v>
      </c>
      <c r="AG53" s="1">
        <v>18.2</v>
      </c>
      <c r="AH53" s="1">
        <v>12</v>
      </c>
      <c r="AI53" s="1"/>
      <c r="AJ53" s="1">
        <f t="shared" si="8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98</v>
      </c>
      <c r="B54" s="1" t="s">
        <v>36</v>
      </c>
      <c r="C54" s="1">
        <v>28.04</v>
      </c>
      <c r="D54" s="1">
        <v>107.762</v>
      </c>
      <c r="E54" s="1">
        <v>132.41300000000001</v>
      </c>
      <c r="F54" s="1">
        <v>1.381</v>
      </c>
      <c r="G54" s="8">
        <v>1</v>
      </c>
      <c r="H54" s="1">
        <v>50</v>
      </c>
      <c r="I54" s="1" t="s">
        <v>37</v>
      </c>
      <c r="J54" s="1"/>
      <c r="K54" s="1">
        <v>150.9</v>
      </c>
      <c r="L54" s="1">
        <f t="shared" si="12"/>
        <v>-18.486999999999995</v>
      </c>
      <c r="M54" s="1"/>
      <c r="N54" s="1"/>
      <c r="O54" s="1">
        <v>170.09139999999999</v>
      </c>
      <c r="P54" s="1">
        <v>108.9049999999999</v>
      </c>
      <c r="Q54" s="1">
        <f t="shared" si="3"/>
        <v>26.482600000000001</v>
      </c>
      <c r="R54" s="5">
        <f t="shared" ref="R54:R64" si="13">11*Q54-P54-O54-F54</f>
        <v>10.931200000000104</v>
      </c>
      <c r="S54" s="5">
        <f t="shared" si="4"/>
        <v>10.931200000000104</v>
      </c>
      <c r="T54" s="5"/>
      <c r="U54" s="5">
        <f t="shared" si="5"/>
        <v>10.931200000000104</v>
      </c>
      <c r="V54" s="5"/>
      <c r="W54" s="1"/>
      <c r="X54" s="1"/>
      <c r="Y54" s="1">
        <f t="shared" si="6"/>
        <v>11</v>
      </c>
      <c r="Z54" s="1">
        <f t="shared" si="7"/>
        <v>10.587230861018174</v>
      </c>
      <c r="AA54" s="1">
        <v>30.510400000000001</v>
      </c>
      <c r="AB54" s="1">
        <v>30.425599999999999</v>
      </c>
      <c r="AC54" s="1">
        <v>20.245799999999999</v>
      </c>
      <c r="AD54" s="1">
        <v>20.403199999999998</v>
      </c>
      <c r="AE54" s="1">
        <v>21.472200000000001</v>
      </c>
      <c r="AF54" s="1">
        <v>13.821</v>
      </c>
      <c r="AG54" s="1">
        <v>22.943000000000001</v>
      </c>
      <c r="AH54" s="1">
        <v>29.7958</v>
      </c>
      <c r="AI54" s="1"/>
      <c r="AJ54" s="1">
        <f t="shared" si="8"/>
        <v>11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99</v>
      </c>
      <c r="B55" s="1" t="s">
        <v>36</v>
      </c>
      <c r="C55" s="1">
        <v>45.945</v>
      </c>
      <c r="D55" s="1"/>
      <c r="E55" s="1">
        <v>27.07</v>
      </c>
      <c r="F55" s="1">
        <v>18.875</v>
      </c>
      <c r="G55" s="8">
        <v>1</v>
      </c>
      <c r="H55" s="1">
        <v>50</v>
      </c>
      <c r="I55" s="1" t="s">
        <v>37</v>
      </c>
      <c r="J55" s="1"/>
      <c r="K55" s="1">
        <v>26</v>
      </c>
      <c r="L55" s="1">
        <f t="shared" si="12"/>
        <v>1.0700000000000003</v>
      </c>
      <c r="M55" s="1"/>
      <c r="N55" s="1"/>
      <c r="O55" s="1">
        <v>34.020599999999988</v>
      </c>
      <c r="P55" s="1">
        <v>7.8504000000000147</v>
      </c>
      <c r="Q55" s="1">
        <f t="shared" si="3"/>
        <v>5.4139999999999997</v>
      </c>
      <c r="R55" s="5"/>
      <c r="S55" s="5">
        <f t="shared" si="4"/>
        <v>0</v>
      </c>
      <c r="T55" s="5"/>
      <c r="U55" s="5">
        <f t="shared" si="5"/>
        <v>0</v>
      </c>
      <c r="V55" s="5"/>
      <c r="W55" s="1"/>
      <c r="X55" s="1"/>
      <c r="Y55" s="1">
        <f t="shared" si="6"/>
        <v>11.2201699298116</v>
      </c>
      <c r="Z55" s="1">
        <f t="shared" si="7"/>
        <v>11.2201699298116</v>
      </c>
      <c r="AA55" s="1">
        <v>6.7549999999999999</v>
      </c>
      <c r="AB55" s="1">
        <v>7.2695999999999996</v>
      </c>
      <c r="AC55" s="1">
        <v>4.5891999999999999</v>
      </c>
      <c r="AD55" s="1">
        <v>3.5293999999999999</v>
      </c>
      <c r="AE55" s="1">
        <v>5.4336000000000002</v>
      </c>
      <c r="AF55" s="1">
        <v>6.5145999999999997</v>
      </c>
      <c r="AG55" s="1">
        <v>10.291</v>
      </c>
      <c r="AH55" s="1">
        <v>10.0358</v>
      </c>
      <c r="AI55" s="1"/>
      <c r="AJ55" s="1">
        <f t="shared" si="8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100</v>
      </c>
      <c r="B56" s="1" t="s">
        <v>42</v>
      </c>
      <c r="C56" s="1">
        <v>103</v>
      </c>
      <c r="D56" s="1">
        <v>40</v>
      </c>
      <c r="E56" s="1">
        <v>34</v>
      </c>
      <c r="F56" s="1">
        <v>107</v>
      </c>
      <c r="G56" s="8">
        <v>0.1</v>
      </c>
      <c r="H56" s="1">
        <v>730</v>
      </c>
      <c r="I56" s="1" t="s">
        <v>37</v>
      </c>
      <c r="J56" s="1"/>
      <c r="K56" s="1">
        <v>34</v>
      </c>
      <c r="L56" s="1">
        <f t="shared" si="12"/>
        <v>0</v>
      </c>
      <c r="M56" s="1"/>
      <c r="N56" s="1"/>
      <c r="O56" s="1">
        <v>0</v>
      </c>
      <c r="P56" s="1">
        <v>0</v>
      </c>
      <c r="Q56" s="1">
        <f t="shared" si="3"/>
        <v>6.8</v>
      </c>
      <c r="R56" s="5"/>
      <c r="S56" s="5">
        <f t="shared" si="4"/>
        <v>0</v>
      </c>
      <c r="T56" s="5"/>
      <c r="U56" s="5">
        <f t="shared" si="5"/>
        <v>0</v>
      </c>
      <c r="V56" s="5"/>
      <c r="W56" s="1"/>
      <c r="X56" s="1"/>
      <c r="Y56" s="1">
        <f t="shared" si="6"/>
        <v>15.73529411764706</v>
      </c>
      <c r="Z56" s="1">
        <f t="shared" si="7"/>
        <v>15.73529411764706</v>
      </c>
      <c r="AA56" s="1">
        <v>6.6</v>
      </c>
      <c r="AB56" s="1">
        <v>9.8000000000000007</v>
      </c>
      <c r="AC56" s="1">
        <v>13.8</v>
      </c>
      <c r="AD56" s="1">
        <v>9.8000000000000007</v>
      </c>
      <c r="AE56" s="1">
        <v>6.4</v>
      </c>
      <c r="AF56" s="1">
        <v>10.8</v>
      </c>
      <c r="AG56" s="1">
        <v>19</v>
      </c>
      <c r="AH56" s="1">
        <v>13</v>
      </c>
      <c r="AI56" s="1"/>
      <c r="AJ56" s="1">
        <f t="shared" si="8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101</v>
      </c>
      <c r="B57" s="1" t="s">
        <v>42</v>
      </c>
      <c r="C57" s="1">
        <v>85</v>
      </c>
      <c r="D57" s="1">
        <v>20</v>
      </c>
      <c r="E57" s="1">
        <v>42</v>
      </c>
      <c r="F57" s="1">
        <v>48</v>
      </c>
      <c r="G57" s="8">
        <v>0.4</v>
      </c>
      <c r="H57" s="1">
        <v>50</v>
      </c>
      <c r="I57" s="1" t="s">
        <v>37</v>
      </c>
      <c r="J57" s="1"/>
      <c r="K57" s="1">
        <v>57</v>
      </c>
      <c r="L57" s="1">
        <f t="shared" si="12"/>
        <v>-15</v>
      </c>
      <c r="M57" s="1"/>
      <c r="N57" s="1"/>
      <c r="O57" s="1">
        <v>0</v>
      </c>
      <c r="P57" s="1">
        <v>60.600000000000023</v>
      </c>
      <c r="Q57" s="1">
        <f t="shared" si="3"/>
        <v>8.4</v>
      </c>
      <c r="R57" s="5"/>
      <c r="S57" s="5">
        <f t="shared" si="4"/>
        <v>0</v>
      </c>
      <c r="T57" s="5"/>
      <c r="U57" s="5">
        <f t="shared" si="5"/>
        <v>0</v>
      </c>
      <c r="V57" s="5"/>
      <c r="W57" s="1"/>
      <c r="X57" s="1"/>
      <c r="Y57" s="1">
        <f t="shared" si="6"/>
        <v>12.928571428571431</v>
      </c>
      <c r="Z57" s="1">
        <f t="shared" si="7"/>
        <v>12.928571428571431</v>
      </c>
      <c r="AA57" s="1">
        <v>10.8</v>
      </c>
      <c r="AB57" s="1">
        <v>5.8</v>
      </c>
      <c r="AC57" s="1">
        <v>6.4</v>
      </c>
      <c r="AD57" s="1">
        <v>12.4</v>
      </c>
      <c r="AE57" s="1">
        <v>12.8</v>
      </c>
      <c r="AF57" s="1">
        <v>6.2</v>
      </c>
      <c r="AG57" s="1">
        <v>2</v>
      </c>
      <c r="AH57" s="1">
        <v>0.8</v>
      </c>
      <c r="AI57" s="1"/>
      <c r="AJ57" s="1">
        <f t="shared" si="8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102</v>
      </c>
      <c r="B58" s="1" t="s">
        <v>36</v>
      </c>
      <c r="C58" s="1"/>
      <c r="D58" s="1">
        <v>34.162999999999997</v>
      </c>
      <c r="E58" s="1">
        <v>21.861999999999998</v>
      </c>
      <c r="F58" s="1">
        <v>10.913</v>
      </c>
      <c r="G58" s="8">
        <v>1</v>
      </c>
      <c r="H58" s="1">
        <v>40</v>
      </c>
      <c r="I58" s="1" t="s">
        <v>37</v>
      </c>
      <c r="J58" s="1"/>
      <c r="K58" s="1">
        <v>22.2</v>
      </c>
      <c r="L58" s="1">
        <f t="shared" si="12"/>
        <v>-0.33800000000000097</v>
      </c>
      <c r="M58" s="1"/>
      <c r="N58" s="1"/>
      <c r="O58" s="1">
        <v>0</v>
      </c>
      <c r="P58" s="1">
        <v>0</v>
      </c>
      <c r="Q58" s="1">
        <f t="shared" si="3"/>
        <v>4.3723999999999998</v>
      </c>
      <c r="R58" s="5">
        <f>9*Q58-P58-O58-F58</f>
        <v>28.438599999999997</v>
      </c>
      <c r="S58" s="5">
        <f t="shared" si="4"/>
        <v>28.438599999999997</v>
      </c>
      <c r="T58" s="5"/>
      <c r="U58" s="5">
        <f t="shared" si="5"/>
        <v>28.438599999999997</v>
      </c>
      <c r="V58" s="5"/>
      <c r="W58" s="1"/>
      <c r="X58" s="1"/>
      <c r="Y58" s="1">
        <f t="shared" si="6"/>
        <v>9</v>
      </c>
      <c r="Z58" s="1">
        <f t="shared" si="7"/>
        <v>2.4958832677705609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 t="s">
        <v>55</v>
      </c>
      <c r="AJ58" s="1">
        <f t="shared" si="8"/>
        <v>28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103</v>
      </c>
      <c r="B59" s="1" t="s">
        <v>36</v>
      </c>
      <c r="C59" s="1"/>
      <c r="D59" s="1">
        <v>34.276000000000003</v>
      </c>
      <c r="E59" s="1">
        <v>17.841000000000001</v>
      </c>
      <c r="F59" s="1">
        <v>15.071999999999999</v>
      </c>
      <c r="G59" s="8">
        <v>1</v>
      </c>
      <c r="H59" s="1">
        <v>40</v>
      </c>
      <c r="I59" s="1" t="s">
        <v>37</v>
      </c>
      <c r="J59" s="1"/>
      <c r="K59" s="1">
        <v>18.3</v>
      </c>
      <c r="L59" s="1">
        <f t="shared" si="12"/>
        <v>-0.45899999999999963</v>
      </c>
      <c r="M59" s="1"/>
      <c r="N59" s="1"/>
      <c r="O59" s="1">
        <v>0</v>
      </c>
      <c r="P59" s="1">
        <v>0</v>
      </c>
      <c r="Q59" s="1">
        <f t="shared" si="3"/>
        <v>3.5682</v>
      </c>
      <c r="R59" s="5">
        <f>10*Q59-P59-O59-F59</f>
        <v>20.610000000000003</v>
      </c>
      <c r="S59" s="5">
        <f t="shared" si="4"/>
        <v>20.610000000000003</v>
      </c>
      <c r="T59" s="5"/>
      <c r="U59" s="5">
        <f t="shared" si="5"/>
        <v>20.610000000000003</v>
      </c>
      <c r="V59" s="5"/>
      <c r="W59" s="1"/>
      <c r="X59" s="1"/>
      <c r="Y59" s="1">
        <f t="shared" si="6"/>
        <v>10</v>
      </c>
      <c r="Z59" s="1">
        <f t="shared" si="7"/>
        <v>4.2239784765427943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 t="s">
        <v>55</v>
      </c>
      <c r="AJ59" s="1">
        <f t="shared" si="8"/>
        <v>21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104</v>
      </c>
      <c r="B60" s="1" t="s">
        <v>42</v>
      </c>
      <c r="C60" s="1">
        <v>330</v>
      </c>
      <c r="D60" s="1">
        <v>264</v>
      </c>
      <c r="E60" s="1">
        <v>409</v>
      </c>
      <c r="F60" s="1">
        <v>171</v>
      </c>
      <c r="G60" s="8">
        <v>0.4</v>
      </c>
      <c r="H60" s="1">
        <v>40</v>
      </c>
      <c r="I60" s="1" t="s">
        <v>37</v>
      </c>
      <c r="J60" s="1"/>
      <c r="K60" s="1">
        <v>427</v>
      </c>
      <c r="L60" s="1">
        <f t="shared" si="12"/>
        <v>-18</v>
      </c>
      <c r="M60" s="1"/>
      <c r="N60" s="1"/>
      <c r="O60" s="1">
        <v>312.87999999999988</v>
      </c>
      <c r="P60" s="1">
        <v>292.71999999999969</v>
      </c>
      <c r="Q60" s="1">
        <f t="shared" si="3"/>
        <v>81.8</v>
      </c>
      <c r="R60" s="5">
        <f t="shared" si="13"/>
        <v>123.20000000000039</v>
      </c>
      <c r="S60" s="5">
        <f t="shared" si="4"/>
        <v>123.20000000000039</v>
      </c>
      <c r="T60" s="5"/>
      <c r="U60" s="5">
        <f t="shared" si="5"/>
        <v>123.20000000000039</v>
      </c>
      <c r="V60" s="5"/>
      <c r="W60" s="1"/>
      <c r="X60" s="1"/>
      <c r="Y60" s="1">
        <f t="shared" si="6"/>
        <v>11</v>
      </c>
      <c r="Z60" s="1">
        <f t="shared" si="7"/>
        <v>9.4938875305623416</v>
      </c>
      <c r="AA60" s="1">
        <v>84.6</v>
      </c>
      <c r="AB60" s="1">
        <v>81.599999999999994</v>
      </c>
      <c r="AC60" s="1">
        <v>74.8</v>
      </c>
      <c r="AD60" s="1">
        <v>80.599999999999994</v>
      </c>
      <c r="AE60" s="1">
        <v>86.8</v>
      </c>
      <c r="AF60" s="1">
        <v>77</v>
      </c>
      <c r="AG60" s="1">
        <v>92.2</v>
      </c>
      <c r="AH60" s="1">
        <v>92</v>
      </c>
      <c r="AI60" s="1"/>
      <c r="AJ60" s="1">
        <f t="shared" si="8"/>
        <v>49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105</v>
      </c>
      <c r="B61" s="1" t="s">
        <v>42</v>
      </c>
      <c r="C61" s="1">
        <v>264</v>
      </c>
      <c r="D61" s="1">
        <v>119</v>
      </c>
      <c r="E61" s="1">
        <v>343</v>
      </c>
      <c r="F61" s="1">
        <v>28</v>
      </c>
      <c r="G61" s="8">
        <v>0.4</v>
      </c>
      <c r="H61" s="1">
        <v>40</v>
      </c>
      <c r="I61" s="1" t="s">
        <v>37</v>
      </c>
      <c r="J61" s="1"/>
      <c r="K61" s="1">
        <v>353</v>
      </c>
      <c r="L61" s="1">
        <f t="shared" si="12"/>
        <v>-10</v>
      </c>
      <c r="M61" s="1"/>
      <c r="N61" s="1"/>
      <c r="O61" s="1">
        <v>237.16000000000011</v>
      </c>
      <c r="P61" s="1">
        <v>313.43999999999983</v>
      </c>
      <c r="Q61" s="1">
        <f t="shared" si="3"/>
        <v>68.599999999999994</v>
      </c>
      <c r="R61" s="5">
        <f t="shared" si="13"/>
        <v>175.99999999999997</v>
      </c>
      <c r="S61" s="5">
        <f t="shared" si="4"/>
        <v>175.99999999999997</v>
      </c>
      <c r="T61" s="5"/>
      <c r="U61" s="5">
        <f t="shared" si="5"/>
        <v>175.99999999999997</v>
      </c>
      <c r="V61" s="5"/>
      <c r="W61" s="1"/>
      <c r="X61" s="1"/>
      <c r="Y61" s="1">
        <f t="shared" si="6"/>
        <v>11</v>
      </c>
      <c r="Z61" s="1">
        <f t="shared" si="7"/>
        <v>8.4344023323615147</v>
      </c>
      <c r="AA61" s="1">
        <v>64.599999999999994</v>
      </c>
      <c r="AB61" s="1">
        <v>55</v>
      </c>
      <c r="AC61" s="1">
        <v>48.8</v>
      </c>
      <c r="AD61" s="1">
        <v>55.6</v>
      </c>
      <c r="AE61" s="1">
        <v>62.6</v>
      </c>
      <c r="AF61" s="1">
        <v>61.2</v>
      </c>
      <c r="AG61" s="1">
        <v>62.8</v>
      </c>
      <c r="AH61" s="1">
        <v>61.6</v>
      </c>
      <c r="AI61" s="1" t="s">
        <v>39</v>
      </c>
      <c r="AJ61" s="1">
        <f t="shared" si="8"/>
        <v>70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106</v>
      </c>
      <c r="B62" s="1" t="s">
        <v>36</v>
      </c>
      <c r="C62" s="1">
        <v>151.76300000000001</v>
      </c>
      <c r="D62" s="1">
        <v>108.90900000000001</v>
      </c>
      <c r="E62" s="1">
        <v>197.059</v>
      </c>
      <c r="F62" s="1">
        <v>65.444999999999993</v>
      </c>
      <c r="G62" s="8">
        <v>1</v>
      </c>
      <c r="H62" s="1">
        <v>40</v>
      </c>
      <c r="I62" s="1" t="s">
        <v>37</v>
      </c>
      <c r="J62" s="1"/>
      <c r="K62" s="1">
        <v>175.5</v>
      </c>
      <c r="L62" s="1">
        <f t="shared" si="12"/>
        <v>21.558999999999997</v>
      </c>
      <c r="M62" s="1"/>
      <c r="N62" s="1"/>
      <c r="O62" s="1">
        <v>150.9718</v>
      </c>
      <c r="P62" s="1">
        <v>216.17659999999989</v>
      </c>
      <c r="Q62" s="1">
        <f t="shared" si="3"/>
        <v>39.411799999999999</v>
      </c>
      <c r="R62" s="5">
        <v>4</v>
      </c>
      <c r="S62" s="5">
        <f t="shared" si="4"/>
        <v>4</v>
      </c>
      <c r="T62" s="5"/>
      <c r="U62" s="5">
        <f t="shared" si="5"/>
        <v>4</v>
      </c>
      <c r="V62" s="5"/>
      <c r="W62" s="1"/>
      <c r="X62" s="1"/>
      <c r="Y62" s="1">
        <f t="shared" si="6"/>
        <v>11.077733064716655</v>
      </c>
      <c r="Z62" s="1">
        <f t="shared" si="7"/>
        <v>10.97624061829198</v>
      </c>
      <c r="AA62" s="1">
        <v>43.397199999999998</v>
      </c>
      <c r="AB62" s="1">
        <v>37.247799999999998</v>
      </c>
      <c r="AC62" s="1">
        <v>32.560400000000001</v>
      </c>
      <c r="AD62" s="1">
        <v>30.3734</v>
      </c>
      <c r="AE62" s="1">
        <v>33.2044</v>
      </c>
      <c r="AF62" s="1">
        <v>33.904000000000003</v>
      </c>
      <c r="AG62" s="1">
        <v>31.360199999999999</v>
      </c>
      <c r="AH62" s="1">
        <v>14.381399999999999</v>
      </c>
      <c r="AI62" s="1"/>
      <c r="AJ62" s="1">
        <f t="shared" si="8"/>
        <v>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 t="s">
        <v>107</v>
      </c>
      <c r="B63" s="1" t="s">
        <v>36</v>
      </c>
      <c r="C63" s="1">
        <v>41.328000000000003</v>
      </c>
      <c r="D63" s="1">
        <v>405.935</v>
      </c>
      <c r="E63" s="1">
        <v>225.93100000000001</v>
      </c>
      <c r="F63" s="1">
        <v>215.94800000000001</v>
      </c>
      <c r="G63" s="8">
        <v>1</v>
      </c>
      <c r="H63" s="1">
        <v>40</v>
      </c>
      <c r="I63" s="1" t="s">
        <v>37</v>
      </c>
      <c r="J63" s="1"/>
      <c r="K63" s="1">
        <v>195.1</v>
      </c>
      <c r="L63" s="1">
        <f t="shared" si="12"/>
        <v>30.831000000000017</v>
      </c>
      <c r="M63" s="1"/>
      <c r="N63" s="1"/>
      <c r="O63" s="1">
        <v>44.012000000000008</v>
      </c>
      <c r="P63" s="1">
        <v>74.14379999999997</v>
      </c>
      <c r="Q63" s="1">
        <f t="shared" si="3"/>
        <v>45.186199999999999</v>
      </c>
      <c r="R63" s="5">
        <f t="shared" si="13"/>
        <v>162.9444</v>
      </c>
      <c r="S63" s="5">
        <f t="shared" si="4"/>
        <v>162.9444</v>
      </c>
      <c r="T63" s="5"/>
      <c r="U63" s="5">
        <f t="shared" si="5"/>
        <v>162.9444</v>
      </c>
      <c r="V63" s="5"/>
      <c r="W63" s="1"/>
      <c r="X63" s="1"/>
      <c r="Y63" s="1">
        <f t="shared" si="6"/>
        <v>10.999999999999998</v>
      </c>
      <c r="Z63" s="1">
        <f t="shared" si="7"/>
        <v>7.3939344313086739</v>
      </c>
      <c r="AA63" s="1">
        <v>38.601199999999999</v>
      </c>
      <c r="AB63" s="1">
        <v>38.673400000000001</v>
      </c>
      <c r="AC63" s="1">
        <v>43.221400000000003</v>
      </c>
      <c r="AD63" s="1">
        <v>37.890799999999999</v>
      </c>
      <c r="AE63" s="1">
        <v>33.007800000000003</v>
      </c>
      <c r="AF63" s="1">
        <v>32.519599999999997</v>
      </c>
      <c r="AG63" s="1">
        <v>42.004399999999997</v>
      </c>
      <c r="AH63" s="1">
        <v>44.985599999999998</v>
      </c>
      <c r="AI63" s="1"/>
      <c r="AJ63" s="1">
        <f t="shared" si="8"/>
        <v>163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108</v>
      </c>
      <c r="B64" s="1" t="s">
        <v>36</v>
      </c>
      <c r="C64" s="1">
        <v>66.703000000000003</v>
      </c>
      <c r="D64" s="1">
        <v>272.56099999999998</v>
      </c>
      <c r="E64" s="1">
        <v>336.59500000000003</v>
      </c>
      <c r="F64" s="1">
        <v>0.876</v>
      </c>
      <c r="G64" s="8">
        <v>1</v>
      </c>
      <c r="H64" s="1">
        <v>40</v>
      </c>
      <c r="I64" s="1" t="s">
        <v>37</v>
      </c>
      <c r="J64" s="1"/>
      <c r="K64" s="1">
        <v>369.4</v>
      </c>
      <c r="L64" s="1">
        <f t="shared" si="12"/>
        <v>-32.80499999999995</v>
      </c>
      <c r="M64" s="1"/>
      <c r="N64" s="1"/>
      <c r="O64" s="1">
        <v>325.24811999999997</v>
      </c>
      <c r="P64" s="1">
        <v>277.03448000000009</v>
      </c>
      <c r="Q64" s="1">
        <f t="shared" si="3"/>
        <v>67.319000000000003</v>
      </c>
      <c r="R64" s="5">
        <f t="shared" si="13"/>
        <v>137.35039999999995</v>
      </c>
      <c r="S64" s="5">
        <f t="shared" si="4"/>
        <v>137.35039999999995</v>
      </c>
      <c r="T64" s="5"/>
      <c r="U64" s="5">
        <f t="shared" si="5"/>
        <v>137.35039999999995</v>
      </c>
      <c r="V64" s="5"/>
      <c r="W64" s="1"/>
      <c r="X64" s="1"/>
      <c r="Y64" s="1">
        <f t="shared" si="6"/>
        <v>10.999999999999998</v>
      </c>
      <c r="Z64" s="1">
        <f t="shared" si="7"/>
        <v>8.9597082547274915</v>
      </c>
      <c r="AA64" s="1">
        <v>69.433999999999997</v>
      </c>
      <c r="AB64" s="1">
        <v>59.194800000000001</v>
      </c>
      <c r="AC64" s="1">
        <v>51.930399999999999</v>
      </c>
      <c r="AD64" s="1">
        <v>58.971400000000003</v>
      </c>
      <c r="AE64" s="1">
        <v>49.595199999999998</v>
      </c>
      <c r="AF64" s="1">
        <v>48.216799999999999</v>
      </c>
      <c r="AG64" s="1">
        <v>40.866599999999998</v>
      </c>
      <c r="AH64" s="1">
        <v>50.620600000000003</v>
      </c>
      <c r="AI64" s="1"/>
      <c r="AJ64" s="1">
        <f t="shared" si="8"/>
        <v>137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6" t="s">
        <v>109</v>
      </c>
      <c r="B65" s="16" t="s">
        <v>36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12"/>
        <v>0</v>
      </c>
      <c r="M65" s="16"/>
      <c r="N65" s="16"/>
      <c r="O65" s="16">
        <v>0</v>
      </c>
      <c r="P65" s="16">
        <v>0</v>
      </c>
      <c r="Q65" s="16">
        <f t="shared" si="3"/>
        <v>0</v>
      </c>
      <c r="R65" s="18"/>
      <c r="S65" s="5">
        <f t="shared" si="4"/>
        <v>0</v>
      </c>
      <c r="T65" s="18"/>
      <c r="U65" s="5">
        <f t="shared" si="5"/>
        <v>0</v>
      </c>
      <c r="V65" s="18"/>
      <c r="W65" s="16"/>
      <c r="X65" s="16"/>
      <c r="Y65" s="1" t="e">
        <f t="shared" si="6"/>
        <v>#DIV/0!</v>
      </c>
      <c r="Z65" s="16" t="e">
        <f t="shared" si="7"/>
        <v>#DIV/0!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 t="s">
        <v>62</v>
      </c>
      <c r="AJ65" s="1">
        <f t="shared" si="8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 t="s">
        <v>110</v>
      </c>
      <c r="B66" s="1" t="s">
        <v>42</v>
      </c>
      <c r="C66" s="1">
        <v>27</v>
      </c>
      <c r="D66" s="1">
        <v>4</v>
      </c>
      <c r="E66" s="1">
        <v>5</v>
      </c>
      <c r="F66" s="1">
        <v>22</v>
      </c>
      <c r="G66" s="8">
        <v>0.6</v>
      </c>
      <c r="H66" s="1">
        <v>60</v>
      </c>
      <c r="I66" s="1" t="s">
        <v>37</v>
      </c>
      <c r="J66" s="1"/>
      <c r="K66" s="1">
        <v>9</v>
      </c>
      <c r="L66" s="1">
        <f t="shared" si="12"/>
        <v>-4</v>
      </c>
      <c r="M66" s="1"/>
      <c r="N66" s="1"/>
      <c r="O66" s="1">
        <v>0</v>
      </c>
      <c r="P66" s="1">
        <v>12.2</v>
      </c>
      <c r="Q66" s="1">
        <f t="shared" si="3"/>
        <v>1</v>
      </c>
      <c r="R66" s="5"/>
      <c r="S66" s="5">
        <f t="shared" si="4"/>
        <v>0</v>
      </c>
      <c r="T66" s="5"/>
      <c r="U66" s="5">
        <f t="shared" si="5"/>
        <v>0</v>
      </c>
      <c r="V66" s="5"/>
      <c r="W66" s="1"/>
      <c r="X66" s="1"/>
      <c r="Y66" s="1">
        <f t="shared" si="6"/>
        <v>34.200000000000003</v>
      </c>
      <c r="Z66" s="1">
        <f t="shared" si="7"/>
        <v>34.200000000000003</v>
      </c>
      <c r="AA66" s="1">
        <v>2.6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22" t="s">
        <v>154</v>
      </c>
      <c r="AJ66" s="1">
        <f t="shared" si="8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 t="s">
        <v>111</v>
      </c>
      <c r="B67" s="1" t="s">
        <v>42</v>
      </c>
      <c r="C67" s="1">
        <v>25</v>
      </c>
      <c r="D67" s="1">
        <v>60</v>
      </c>
      <c r="E67" s="1">
        <v>51</v>
      </c>
      <c r="F67" s="1">
        <v>34</v>
      </c>
      <c r="G67" s="8">
        <v>0.37</v>
      </c>
      <c r="H67" s="1">
        <v>50</v>
      </c>
      <c r="I67" s="1" t="s">
        <v>37</v>
      </c>
      <c r="J67" s="1"/>
      <c r="K67" s="1">
        <v>51</v>
      </c>
      <c r="L67" s="1">
        <f t="shared" si="12"/>
        <v>0</v>
      </c>
      <c r="M67" s="1"/>
      <c r="N67" s="1"/>
      <c r="O67" s="1">
        <v>99</v>
      </c>
      <c r="P67" s="1">
        <v>36.800000000000011</v>
      </c>
      <c r="Q67" s="1">
        <f t="shared" si="3"/>
        <v>10.199999999999999</v>
      </c>
      <c r="R67" s="5"/>
      <c r="S67" s="5">
        <f t="shared" si="4"/>
        <v>0</v>
      </c>
      <c r="T67" s="5"/>
      <c r="U67" s="5">
        <f t="shared" si="5"/>
        <v>0</v>
      </c>
      <c r="V67" s="5"/>
      <c r="W67" s="1"/>
      <c r="X67" s="1"/>
      <c r="Y67" s="1">
        <f t="shared" si="6"/>
        <v>16.647058823529413</v>
      </c>
      <c r="Z67" s="1">
        <f t="shared" si="7"/>
        <v>16.647058823529413</v>
      </c>
      <c r="AA67" s="1">
        <v>16</v>
      </c>
      <c r="AB67" s="1">
        <v>16</v>
      </c>
      <c r="AC67" s="1">
        <v>12</v>
      </c>
      <c r="AD67" s="1">
        <v>13.8</v>
      </c>
      <c r="AE67" s="1">
        <v>7.4</v>
      </c>
      <c r="AF67" s="1">
        <v>2</v>
      </c>
      <c r="AG67" s="1">
        <v>14.4</v>
      </c>
      <c r="AH67" s="1">
        <v>15.6</v>
      </c>
      <c r="AI67" s="1" t="s">
        <v>39</v>
      </c>
      <c r="AJ67" s="1">
        <f t="shared" si="8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6" t="s">
        <v>112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12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5">
        <f t="shared" si="4"/>
        <v>0</v>
      </c>
      <c r="T68" s="18"/>
      <c r="U68" s="5">
        <f t="shared" si="5"/>
        <v>0</v>
      </c>
      <c r="V68" s="18"/>
      <c r="W68" s="16"/>
      <c r="X68" s="16"/>
      <c r="Y68" s="1" t="e">
        <f t="shared" si="6"/>
        <v>#DIV/0!</v>
      </c>
      <c r="Z68" s="16" t="e">
        <f t="shared" si="7"/>
        <v>#DIV/0!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 t="s">
        <v>62</v>
      </c>
      <c r="AJ68" s="1">
        <f t="shared" si="8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113</v>
      </c>
      <c r="B69" s="1" t="s">
        <v>42</v>
      </c>
      <c r="C69" s="1">
        <v>32</v>
      </c>
      <c r="D69" s="1"/>
      <c r="E69" s="1">
        <v>2</v>
      </c>
      <c r="F69" s="1">
        <v>30</v>
      </c>
      <c r="G69" s="8">
        <v>0.6</v>
      </c>
      <c r="H69" s="1">
        <v>55</v>
      </c>
      <c r="I69" s="1" t="s">
        <v>37</v>
      </c>
      <c r="J69" s="1"/>
      <c r="K69" s="1">
        <v>2</v>
      </c>
      <c r="L69" s="1">
        <f t="shared" si="12"/>
        <v>0</v>
      </c>
      <c r="M69" s="1"/>
      <c r="N69" s="1"/>
      <c r="O69" s="1">
        <v>0</v>
      </c>
      <c r="P69" s="1">
        <v>0</v>
      </c>
      <c r="Q69" s="1">
        <f t="shared" si="3"/>
        <v>0.4</v>
      </c>
      <c r="R69" s="5"/>
      <c r="S69" s="5">
        <f t="shared" si="4"/>
        <v>0</v>
      </c>
      <c r="T69" s="5"/>
      <c r="U69" s="5">
        <f t="shared" si="5"/>
        <v>0</v>
      </c>
      <c r="V69" s="5"/>
      <c r="W69" s="1"/>
      <c r="X69" s="1"/>
      <c r="Y69" s="1">
        <f t="shared" si="6"/>
        <v>75</v>
      </c>
      <c r="Z69" s="1">
        <f t="shared" si="7"/>
        <v>75</v>
      </c>
      <c r="AA69" s="1">
        <v>0.4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22" t="s">
        <v>154</v>
      </c>
      <c r="AJ69" s="1">
        <f t="shared" si="8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6" t="s">
        <v>114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6" si="14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5">
        <f t="shared" si="4"/>
        <v>0</v>
      </c>
      <c r="T70" s="18"/>
      <c r="U70" s="5">
        <f t="shared" si="5"/>
        <v>0</v>
      </c>
      <c r="V70" s="18"/>
      <c r="W70" s="16"/>
      <c r="X70" s="16"/>
      <c r="Y70" s="1" t="e">
        <f t="shared" si="6"/>
        <v>#DIV/0!</v>
      </c>
      <c r="Z70" s="16" t="e">
        <f t="shared" si="7"/>
        <v>#DIV/0!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 t="s">
        <v>115</v>
      </c>
      <c r="AJ70" s="1">
        <f t="shared" si="8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 t="s">
        <v>116</v>
      </c>
      <c r="B71" s="1" t="s">
        <v>42</v>
      </c>
      <c r="C71" s="1">
        <v>2</v>
      </c>
      <c r="D71" s="1">
        <v>72</v>
      </c>
      <c r="E71" s="1">
        <v>20</v>
      </c>
      <c r="F71" s="1">
        <v>48</v>
      </c>
      <c r="G71" s="8">
        <v>0.4</v>
      </c>
      <c r="H71" s="1">
        <v>50</v>
      </c>
      <c r="I71" s="1" t="s">
        <v>37</v>
      </c>
      <c r="J71" s="1"/>
      <c r="K71" s="1">
        <v>32</v>
      </c>
      <c r="L71" s="1">
        <f t="shared" si="14"/>
        <v>-12</v>
      </c>
      <c r="M71" s="1"/>
      <c r="N71" s="1"/>
      <c r="O71" s="1">
        <v>19.600000000000019</v>
      </c>
      <c r="P71" s="1">
        <v>0</v>
      </c>
      <c r="Q71" s="1">
        <f t="shared" ref="Q71:Q96" si="15">E71/5</f>
        <v>4</v>
      </c>
      <c r="R71" s="5"/>
      <c r="S71" s="5">
        <f t="shared" ref="S71:S96" si="16">R71</f>
        <v>0</v>
      </c>
      <c r="T71" s="5"/>
      <c r="U71" s="5">
        <f t="shared" ref="U71:U96" si="17">T71+S71</f>
        <v>0</v>
      </c>
      <c r="V71" s="5"/>
      <c r="W71" s="1"/>
      <c r="X71" s="1"/>
      <c r="Y71" s="1">
        <f t="shared" ref="Y71:Y96" si="18">(F71+O71+P71+U71)/Q71</f>
        <v>16.900000000000006</v>
      </c>
      <c r="Z71" s="1">
        <f t="shared" ref="Z71:Z96" si="19">(F71+O71+P71)/Q71</f>
        <v>16.900000000000006</v>
      </c>
      <c r="AA71" s="1">
        <v>4.5999999999999996</v>
      </c>
      <c r="AB71" s="1">
        <v>7.8</v>
      </c>
      <c r="AC71" s="1">
        <v>8</v>
      </c>
      <c r="AD71" s="1">
        <v>8.8000000000000007</v>
      </c>
      <c r="AE71" s="1">
        <v>5.4</v>
      </c>
      <c r="AF71" s="1">
        <v>3.6</v>
      </c>
      <c r="AG71" s="1">
        <v>7.6</v>
      </c>
      <c r="AH71" s="1">
        <v>4.4000000000000004</v>
      </c>
      <c r="AI71" s="1"/>
      <c r="AJ71" s="1">
        <f t="shared" ref="AJ71:AJ96" si="20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6" t="s">
        <v>117</v>
      </c>
      <c r="B72" s="16" t="s">
        <v>42</v>
      </c>
      <c r="C72" s="16"/>
      <c r="D72" s="16"/>
      <c r="E72" s="16"/>
      <c r="F72" s="16"/>
      <c r="G72" s="17">
        <v>0</v>
      </c>
      <c r="H72" s="16">
        <v>55</v>
      </c>
      <c r="I72" s="16" t="s">
        <v>37</v>
      </c>
      <c r="J72" s="16"/>
      <c r="K72" s="16">
        <v>30</v>
      </c>
      <c r="L72" s="16">
        <f t="shared" si="14"/>
        <v>-30</v>
      </c>
      <c r="M72" s="16"/>
      <c r="N72" s="16"/>
      <c r="O72" s="16">
        <v>0</v>
      </c>
      <c r="P72" s="16">
        <v>0</v>
      </c>
      <c r="Q72" s="16">
        <f t="shared" si="15"/>
        <v>0</v>
      </c>
      <c r="R72" s="18"/>
      <c r="S72" s="5">
        <f t="shared" si="16"/>
        <v>0</v>
      </c>
      <c r="T72" s="18"/>
      <c r="U72" s="5">
        <f t="shared" si="17"/>
        <v>0</v>
      </c>
      <c r="V72" s="18"/>
      <c r="W72" s="16"/>
      <c r="X72" s="16"/>
      <c r="Y72" s="1" t="e">
        <f t="shared" si="18"/>
        <v>#DIV/0!</v>
      </c>
      <c r="Z72" s="16" t="e">
        <f t="shared" si="19"/>
        <v>#DIV/0!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 t="s">
        <v>62</v>
      </c>
      <c r="AJ72" s="1">
        <f t="shared" si="20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6" t="s">
        <v>118</v>
      </c>
      <c r="B73" s="16" t="s">
        <v>36</v>
      </c>
      <c r="C73" s="16"/>
      <c r="D73" s="16"/>
      <c r="E73" s="16"/>
      <c r="F73" s="16"/>
      <c r="G73" s="17">
        <v>0</v>
      </c>
      <c r="H73" s="16">
        <v>55</v>
      </c>
      <c r="I73" s="16" t="s">
        <v>37</v>
      </c>
      <c r="J73" s="16"/>
      <c r="K73" s="16"/>
      <c r="L73" s="16">
        <f t="shared" si="14"/>
        <v>0</v>
      </c>
      <c r="M73" s="16"/>
      <c r="N73" s="16"/>
      <c r="O73" s="16">
        <v>0</v>
      </c>
      <c r="P73" s="16">
        <v>0</v>
      </c>
      <c r="Q73" s="16">
        <f t="shared" si="15"/>
        <v>0</v>
      </c>
      <c r="R73" s="18"/>
      <c r="S73" s="5">
        <f t="shared" si="16"/>
        <v>0</v>
      </c>
      <c r="T73" s="18"/>
      <c r="U73" s="5">
        <f t="shared" si="17"/>
        <v>0</v>
      </c>
      <c r="V73" s="18"/>
      <c r="W73" s="16"/>
      <c r="X73" s="16"/>
      <c r="Y73" s="1" t="e">
        <f t="shared" si="18"/>
        <v>#DIV/0!</v>
      </c>
      <c r="Z73" s="16" t="e">
        <f t="shared" si="19"/>
        <v>#DIV/0!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 t="s">
        <v>119</v>
      </c>
      <c r="AJ73" s="1">
        <f t="shared" si="20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 t="s">
        <v>120</v>
      </c>
      <c r="B74" s="1" t="s">
        <v>36</v>
      </c>
      <c r="C74" s="1">
        <v>62.945</v>
      </c>
      <c r="D74" s="1">
        <v>68.153999999999996</v>
      </c>
      <c r="E74" s="1">
        <v>125.378</v>
      </c>
      <c r="F74" s="1">
        <v>3.1429999999999998</v>
      </c>
      <c r="G74" s="8">
        <v>1</v>
      </c>
      <c r="H74" s="1">
        <v>60</v>
      </c>
      <c r="I74" s="1" t="s">
        <v>37</v>
      </c>
      <c r="J74" s="1"/>
      <c r="K74" s="1">
        <v>125.754</v>
      </c>
      <c r="L74" s="1">
        <f t="shared" si="14"/>
        <v>-0.37600000000000477</v>
      </c>
      <c r="M74" s="1"/>
      <c r="N74" s="1"/>
      <c r="O74" s="1">
        <v>56.233199999999968</v>
      </c>
      <c r="P74" s="1">
        <v>166.94059999999999</v>
      </c>
      <c r="Q74" s="1">
        <f t="shared" si="15"/>
        <v>25.075600000000001</v>
      </c>
      <c r="R74" s="5">
        <f t="shared" ref="R74:R77" si="21">11*Q74-P74-O74-F74</f>
        <v>49.514800000000079</v>
      </c>
      <c r="S74" s="5">
        <f t="shared" si="16"/>
        <v>49.514800000000079</v>
      </c>
      <c r="T74" s="5"/>
      <c r="U74" s="5">
        <f t="shared" si="17"/>
        <v>49.514800000000079</v>
      </c>
      <c r="V74" s="5"/>
      <c r="W74" s="1"/>
      <c r="X74" s="1"/>
      <c r="Y74" s="1">
        <f t="shared" si="18"/>
        <v>11</v>
      </c>
      <c r="Z74" s="1">
        <f t="shared" si="19"/>
        <v>9.0253792531385066</v>
      </c>
      <c r="AA74" s="1">
        <v>23.010400000000001</v>
      </c>
      <c r="AB74" s="1">
        <v>15.619199999999999</v>
      </c>
      <c r="AC74" s="1">
        <v>13.597799999999999</v>
      </c>
      <c r="AD74" s="1">
        <v>12.075799999999999</v>
      </c>
      <c r="AE74" s="1">
        <v>13.6318</v>
      </c>
      <c r="AF74" s="1">
        <v>13.8058</v>
      </c>
      <c r="AG74" s="1">
        <v>13.124000000000001</v>
      </c>
      <c r="AH74" s="1">
        <v>14.51</v>
      </c>
      <c r="AI74" s="1" t="s">
        <v>48</v>
      </c>
      <c r="AJ74" s="1">
        <f t="shared" si="20"/>
        <v>50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 t="s">
        <v>121</v>
      </c>
      <c r="B75" s="1" t="s">
        <v>36</v>
      </c>
      <c r="C75" s="1">
        <v>302.98</v>
      </c>
      <c r="D75" s="1">
        <v>832.22</v>
      </c>
      <c r="E75" s="1">
        <v>729.04600000000005</v>
      </c>
      <c r="F75" s="1">
        <v>401.15499999999997</v>
      </c>
      <c r="G75" s="8">
        <v>1</v>
      </c>
      <c r="H75" s="1">
        <v>60</v>
      </c>
      <c r="I75" s="1" t="s">
        <v>37</v>
      </c>
      <c r="J75" s="1"/>
      <c r="K75" s="1">
        <v>728.5</v>
      </c>
      <c r="L75" s="1">
        <f t="shared" si="14"/>
        <v>0.54600000000004911</v>
      </c>
      <c r="M75" s="1"/>
      <c r="N75" s="1"/>
      <c r="O75" s="1">
        <v>484.5272199999992</v>
      </c>
      <c r="P75" s="1">
        <v>652.02078000000051</v>
      </c>
      <c r="Q75" s="1">
        <f t="shared" si="15"/>
        <v>145.8092</v>
      </c>
      <c r="R75" s="5">
        <f t="shared" si="21"/>
        <v>66.198200000000327</v>
      </c>
      <c r="S75" s="5">
        <f t="shared" si="16"/>
        <v>66.198200000000327</v>
      </c>
      <c r="T75" s="5">
        <f t="shared" ref="T75:T77" si="22">$T$1*Q75</f>
        <v>116.64736000000001</v>
      </c>
      <c r="U75" s="5">
        <f t="shared" si="17"/>
        <v>182.84556000000032</v>
      </c>
      <c r="V75" s="5"/>
      <c r="W75" s="1"/>
      <c r="X75" s="1"/>
      <c r="Y75" s="1">
        <f t="shared" si="18"/>
        <v>11.8</v>
      </c>
      <c r="Z75" s="1">
        <f t="shared" si="19"/>
        <v>10.54599435426571</v>
      </c>
      <c r="AA75" s="1">
        <v>155.6842</v>
      </c>
      <c r="AB75" s="1">
        <v>122.06740000000001</v>
      </c>
      <c r="AC75" s="1">
        <v>133.33080000000001</v>
      </c>
      <c r="AD75" s="1">
        <v>134.61619999999999</v>
      </c>
      <c r="AE75" s="1">
        <v>107.20399999999999</v>
      </c>
      <c r="AF75" s="1">
        <v>122.2384</v>
      </c>
      <c r="AG75" s="1">
        <v>139.4984</v>
      </c>
      <c r="AH75" s="1">
        <v>129.5598</v>
      </c>
      <c r="AI75" s="1"/>
      <c r="AJ75" s="1">
        <f t="shared" si="20"/>
        <v>183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122</v>
      </c>
      <c r="B76" s="1" t="s">
        <v>36</v>
      </c>
      <c r="C76" s="1">
        <v>198.46899999999999</v>
      </c>
      <c r="D76" s="1">
        <v>532.31100000000004</v>
      </c>
      <c r="E76" s="1">
        <v>657.66899999999998</v>
      </c>
      <c r="F76" s="1">
        <v>62.918999999999997</v>
      </c>
      <c r="G76" s="8">
        <v>1</v>
      </c>
      <c r="H76" s="1">
        <v>60</v>
      </c>
      <c r="I76" s="1" t="s">
        <v>37</v>
      </c>
      <c r="J76" s="1"/>
      <c r="K76" s="1">
        <v>663</v>
      </c>
      <c r="L76" s="1">
        <f t="shared" si="14"/>
        <v>-5.3310000000000173</v>
      </c>
      <c r="M76" s="1"/>
      <c r="N76" s="1"/>
      <c r="O76" s="1">
        <v>528.40079999999989</v>
      </c>
      <c r="P76" s="1">
        <v>360.33240000000029</v>
      </c>
      <c r="Q76" s="1">
        <f t="shared" si="15"/>
        <v>131.53379999999999</v>
      </c>
      <c r="R76" s="5">
        <f t="shared" si="21"/>
        <v>495.21959999999979</v>
      </c>
      <c r="S76" s="5">
        <f t="shared" si="16"/>
        <v>495.21959999999979</v>
      </c>
      <c r="T76" s="5">
        <f t="shared" si="22"/>
        <v>105.22703999999999</v>
      </c>
      <c r="U76" s="5">
        <f t="shared" si="17"/>
        <v>600.44663999999977</v>
      </c>
      <c r="V76" s="5"/>
      <c r="W76" s="1"/>
      <c r="X76" s="1"/>
      <c r="Y76" s="1">
        <f t="shared" si="18"/>
        <v>11.800000000000002</v>
      </c>
      <c r="Z76" s="1">
        <f t="shared" si="19"/>
        <v>7.2350392066525888</v>
      </c>
      <c r="AA76" s="1">
        <v>112.47539999999999</v>
      </c>
      <c r="AB76" s="1">
        <v>95.709599999999995</v>
      </c>
      <c r="AC76" s="1">
        <v>84.222999999999999</v>
      </c>
      <c r="AD76" s="1">
        <v>78.826800000000006</v>
      </c>
      <c r="AE76" s="1">
        <v>72.585599999999999</v>
      </c>
      <c r="AF76" s="1">
        <v>71.541799999999995</v>
      </c>
      <c r="AG76" s="1">
        <v>99.359000000000009</v>
      </c>
      <c r="AH76" s="1">
        <v>107.42700000000001</v>
      </c>
      <c r="AI76" s="1" t="s">
        <v>48</v>
      </c>
      <c r="AJ76" s="1">
        <f t="shared" si="20"/>
        <v>600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123</v>
      </c>
      <c r="B77" s="1" t="s">
        <v>36</v>
      </c>
      <c r="C77" s="1">
        <v>629.65</v>
      </c>
      <c r="D77" s="1">
        <v>938.50300000000004</v>
      </c>
      <c r="E77" s="1">
        <v>1141.876</v>
      </c>
      <c r="F77" s="1">
        <v>418.03300000000002</v>
      </c>
      <c r="G77" s="8">
        <v>1</v>
      </c>
      <c r="H77" s="1">
        <v>60</v>
      </c>
      <c r="I77" s="1" t="s">
        <v>37</v>
      </c>
      <c r="J77" s="1"/>
      <c r="K77" s="1">
        <v>1133</v>
      </c>
      <c r="L77" s="1">
        <f t="shared" si="14"/>
        <v>8.8759999999999764</v>
      </c>
      <c r="M77" s="1"/>
      <c r="N77" s="1"/>
      <c r="O77" s="1">
        <v>764.12963999999943</v>
      </c>
      <c r="P77" s="1">
        <v>707.95668000000103</v>
      </c>
      <c r="Q77" s="1">
        <f t="shared" si="15"/>
        <v>228.37520000000001</v>
      </c>
      <c r="R77" s="5">
        <f t="shared" si="21"/>
        <v>622.00787999999932</v>
      </c>
      <c r="S77" s="5">
        <f t="shared" si="16"/>
        <v>622.00787999999932</v>
      </c>
      <c r="T77" s="5">
        <f t="shared" si="22"/>
        <v>182.70016000000001</v>
      </c>
      <c r="U77" s="5">
        <f t="shared" si="17"/>
        <v>804.7080399999993</v>
      </c>
      <c r="V77" s="5"/>
      <c r="W77" s="1"/>
      <c r="X77" s="1"/>
      <c r="Y77" s="1">
        <f t="shared" si="18"/>
        <v>11.8</v>
      </c>
      <c r="Z77" s="1">
        <f t="shared" si="19"/>
        <v>8.2763772949076806</v>
      </c>
      <c r="AA77" s="1">
        <v>210.73939999999999</v>
      </c>
      <c r="AB77" s="1">
        <v>177.18860000000001</v>
      </c>
      <c r="AC77" s="1">
        <v>172.42519999999999</v>
      </c>
      <c r="AD77" s="1">
        <v>173.37100000000001</v>
      </c>
      <c r="AE77" s="1">
        <v>164.77160000000001</v>
      </c>
      <c r="AF77" s="1">
        <v>155.31039999999999</v>
      </c>
      <c r="AG77" s="1">
        <v>186.62</v>
      </c>
      <c r="AH77" s="1">
        <v>207.19200000000001</v>
      </c>
      <c r="AI77" s="1" t="s">
        <v>48</v>
      </c>
      <c r="AJ77" s="1">
        <f t="shared" si="20"/>
        <v>805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3" t="s">
        <v>124</v>
      </c>
      <c r="B78" s="13" t="s">
        <v>36</v>
      </c>
      <c r="C78" s="13">
        <v>8.0000000000000002E-3</v>
      </c>
      <c r="D78" s="13"/>
      <c r="E78" s="13"/>
      <c r="F78" s="13">
        <v>8.0000000000000002E-3</v>
      </c>
      <c r="G78" s="14">
        <v>0</v>
      </c>
      <c r="H78" s="13">
        <v>55</v>
      </c>
      <c r="I78" s="13" t="s">
        <v>125</v>
      </c>
      <c r="J78" s="13"/>
      <c r="K78" s="13"/>
      <c r="L78" s="13">
        <f t="shared" si="14"/>
        <v>0</v>
      </c>
      <c r="M78" s="13"/>
      <c r="N78" s="13"/>
      <c r="O78" s="13">
        <v>0</v>
      </c>
      <c r="P78" s="13">
        <v>0</v>
      </c>
      <c r="Q78" s="13">
        <f t="shared" si="15"/>
        <v>0</v>
      </c>
      <c r="R78" s="15"/>
      <c r="S78" s="5">
        <f t="shared" si="16"/>
        <v>0</v>
      </c>
      <c r="T78" s="15"/>
      <c r="U78" s="5">
        <f t="shared" si="17"/>
        <v>0</v>
      </c>
      <c r="V78" s="15"/>
      <c r="W78" s="13"/>
      <c r="X78" s="13"/>
      <c r="Y78" s="1" t="e">
        <f t="shared" si="18"/>
        <v>#DIV/0!</v>
      </c>
      <c r="Z78" s="13" t="e">
        <f t="shared" si="19"/>
        <v>#DIV/0!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 t="s">
        <v>126</v>
      </c>
      <c r="AJ78" s="1">
        <f t="shared" si="20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6" t="s">
        <v>127</v>
      </c>
      <c r="B79" s="16" t="s">
        <v>36</v>
      </c>
      <c r="C79" s="16"/>
      <c r="D79" s="16"/>
      <c r="E79" s="16"/>
      <c r="F79" s="16"/>
      <c r="G79" s="17">
        <v>0</v>
      </c>
      <c r="H79" s="16">
        <v>60</v>
      </c>
      <c r="I79" s="16" t="s">
        <v>37</v>
      </c>
      <c r="J79" s="16"/>
      <c r="K79" s="16"/>
      <c r="L79" s="16">
        <f t="shared" si="14"/>
        <v>0</v>
      </c>
      <c r="M79" s="16"/>
      <c r="N79" s="16"/>
      <c r="O79" s="16">
        <v>0</v>
      </c>
      <c r="P79" s="16">
        <v>0</v>
      </c>
      <c r="Q79" s="16">
        <f t="shared" si="15"/>
        <v>0</v>
      </c>
      <c r="R79" s="18"/>
      <c r="S79" s="5">
        <f t="shared" si="16"/>
        <v>0</v>
      </c>
      <c r="T79" s="18"/>
      <c r="U79" s="5">
        <f t="shared" si="17"/>
        <v>0</v>
      </c>
      <c r="V79" s="18"/>
      <c r="W79" s="16"/>
      <c r="X79" s="16"/>
      <c r="Y79" s="1" t="e">
        <f t="shared" si="18"/>
        <v>#DIV/0!</v>
      </c>
      <c r="Z79" s="16" t="e">
        <f t="shared" si="19"/>
        <v>#DIV/0!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 t="s">
        <v>62</v>
      </c>
      <c r="AJ79" s="1">
        <f t="shared" si="20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128</v>
      </c>
      <c r="B80" s="1" t="s">
        <v>42</v>
      </c>
      <c r="C80" s="1">
        <v>174</v>
      </c>
      <c r="D80" s="1">
        <v>2</v>
      </c>
      <c r="E80" s="1">
        <v>129</v>
      </c>
      <c r="F80" s="1">
        <v>39</v>
      </c>
      <c r="G80" s="8">
        <v>0.3</v>
      </c>
      <c r="H80" s="1">
        <v>40</v>
      </c>
      <c r="I80" s="1" t="s">
        <v>37</v>
      </c>
      <c r="J80" s="1"/>
      <c r="K80" s="1">
        <v>136</v>
      </c>
      <c r="L80" s="1">
        <f t="shared" si="14"/>
        <v>-7</v>
      </c>
      <c r="M80" s="1"/>
      <c r="N80" s="1"/>
      <c r="O80" s="1">
        <v>0</v>
      </c>
      <c r="P80" s="1">
        <v>174.8</v>
      </c>
      <c r="Q80" s="1">
        <f t="shared" si="15"/>
        <v>25.8</v>
      </c>
      <c r="R80" s="5">
        <f t="shared" ref="R80:R83" si="23">11*Q80-P80-O80-F80</f>
        <v>70</v>
      </c>
      <c r="S80" s="5">
        <f t="shared" si="16"/>
        <v>70</v>
      </c>
      <c r="T80" s="5"/>
      <c r="U80" s="5">
        <f t="shared" si="17"/>
        <v>70</v>
      </c>
      <c r="V80" s="5"/>
      <c r="W80" s="1"/>
      <c r="X80" s="1"/>
      <c r="Y80" s="1">
        <f t="shared" si="18"/>
        <v>11</v>
      </c>
      <c r="Z80" s="1">
        <f t="shared" si="19"/>
        <v>8.2868217054263571</v>
      </c>
      <c r="AA80" s="1">
        <v>24.8</v>
      </c>
      <c r="AB80" s="1">
        <v>11.2</v>
      </c>
      <c r="AC80" s="1">
        <v>8.1999999999999993</v>
      </c>
      <c r="AD80" s="1">
        <v>14.2</v>
      </c>
      <c r="AE80" s="1">
        <v>22</v>
      </c>
      <c r="AF80" s="1">
        <v>21</v>
      </c>
      <c r="AG80" s="1">
        <v>11.4</v>
      </c>
      <c r="AH80" s="1">
        <v>14.2</v>
      </c>
      <c r="AI80" s="1"/>
      <c r="AJ80" s="1">
        <f t="shared" si="20"/>
        <v>21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129</v>
      </c>
      <c r="B81" s="1" t="s">
        <v>42</v>
      </c>
      <c r="C81" s="1">
        <v>84</v>
      </c>
      <c r="D81" s="1">
        <v>1</v>
      </c>
      <c r="E81" s="1">
        <v>16</v>
      </c>
      <c r="F81" s="1">
        <v>68</v>
      </c>
      <c r="G81" s="8">
        <v>7.0000000000000007E-2</v>
      </c>
      <c r="H81" s="1">
        <v>90</v>
      </c>
      <c r="I81" s="1" t="s">
        <v>37</v>
      </c>
      <c r="J81" s="1"/>
      <c r="K81" s="1">
        <v>16</v>
      </c>
      <c r="L81" s="1">
        <f t="shared" si="14"/>
        <v>0</v>
      </c>
      <c r="M81" s="1"/>
      <c r="N81" s="1"/>
      <c r="O81" s="1">
        <v>0</v>
      </c>
      <c r="P81" s="1">
        <v>0</v>
      </c>
      <c r="Q81" s="1">
        <f t="shared" si="15"/>
        <v>3.2</v>
      </c>
      <c r="R81" s="5"/>
      <c r="S81" s="5">
        <f t="shared" si="16"/>
        <v>0</v>
      </c>
      <c r="T81" s="5"/>
      <c r="U81" s="5">
        <f t="shared" si="17"/>
        <v>0</v>
      </c>
      <c r="V81" s="5"/>
      <c r="W81" s="1"/>
      <c r="X81" s="1"/>
      <c r="Y81" s="1">
        <f t="shared" si="18"/>
        <v>21.25</v>
      </c>
      <c r="Z81" s="1">
        <f t="shared" si="19"/>
        <v>21.25</v>
      </c>
      <c r="AA81" s="1">
        <v>5.4</v>
      </c>
      <c r="AB81" s="1">
        <v>6.8</v>
      </c>
      <c r="AC81" s="1">
        <v>7</v>
      </c>
      <c r="AD81" s="1">
        <v>7</v>
      </c>
      <c r="AE81" s="1">
        <v>5</v>
      </c>
      <c r="AF81" s="1">
        <v>2</v>
      </c>
      <c r="AG81" s="1">
        <v>6.6</v>
      </c>
      <c r="AH81" s="1">
        <v>12.4</v>
      </c>
      <c r="AI81" s="21" t="s">
        <v>152</v>
      </c>
      <c r="AJ81" s="1">
        <f t="shared" si="20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131</v>
      </c>
      <c r="B82" s="1" t="s">
        <v>42</v>
      </c>
      <c r="C82" s="1">
        <v>58</v>
      </c>
      <c r="D82" s="1">
        <v>19</v>
      </c>
      <c r="E82" s="1">
        <v>30</v>
      </c>
      <c r="F82" s="1">
        <v>46</v>
      </c>
      <c r="G82" s="8">
        <v>7.0000000000000007E-2</v>
      </c>
      <c r="H82" s="1">
        <v>90</v>
      </c>
      <c r="I82" s="1" t="s">
        <v>37</v>
      </c>
      <c r="J82" s="1"/>
      <c r="K82" s="1">
        <v>30</v>
      </c>
      <c r="L82" s="1">
        <f t="shared" si="14"/>
        <v>0</v>
      </c>
      <c r="M82" s="1"/>
      <c r="N82" s="1"/>
      <c r="O82" s="1">
        <v>15.599999999999991</v>
      </c>
      <c r="P82" s="1">
        <v>24.599999999999991</v>
      </c>
      <c r="Q82" s="1">
        <f t="shared" si="15"/>
        <v>6</v>
      </c>
      <c r="R82" s="5"/>
      <c r="S82" s="5">
        <f t="shared" si="16"/>
        <v>0</v>
      </c>
      <c r="T82" s="5"/>
      <c r="U82" s="5">
        <f t="shared" si="17"/>
        <v>0</v>
      </c>
      <c r="V82" s="5"/>
      <c r="W82" s="1"/>
      <c r="X82" s="1"/>
      <c r="Y82" s="1">
        <f t="shared" si="18"/>
        <v>14.366666666666665</v>
      </c>
      <c r="Z82" s="1">
        <f t="shared" si="19"/>
        <v>14.366666666666665</v>
      </c>
      <c r="AA82" s="1">
        <v>7.6</v>
      </c>
      <c r="AB82" s="1">
        <v>7.6</v>
      </c>
      <c r="AC82" s="1">
        <v>8</v>
      </c>
      <c r="AD82" s="1">
        <v>8.4</v>
      </c>
      <c r="AE82" s="1">
        <v>5</v>
      </c>
      <c r="AF82" s="1">
        <v>3.2</v>
      </c>
      <c r="AG82" s="1">
        <v>8.4</v>
      </c>
      <c r="AH82" s="1">
        <v>13.2</v>
      </c>
      <c r="AI82" s="1"/>
      <c r="AJ82" s="1">
        <f t="shared" si="20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 t="s">
        <v>132</v>
      </c>
      <c r="B83" s="1" t="s">
        <v>42</v>
      </c>
      <c r="C83" s="1">
        <v>19</v>
      </c>
      <c r="D83" s="1">
        <v>19</v>
      </c>
      <c r="E83" s="1">
        <v>27</v>
      </c>
      <c r="F83" s="1">
        <v>11</v>
      </c>
      <c r="G83" s="8">
        <v>7.0000000000000007E-2</v>
      </c>
      <c r="H83" s="1">
        <v>90</v>
      </c>
      <c r="I83" s="1" t="s">
        <v>37</v>
      </c>
      <c r="J83" s="1"/>
      <c r="K83" s="1">
        <v>27</v>
      </c>
      <c r="L83" s="1">
        <f t="shared" si="14"/>
        <v>0</v>
      </c>
      <c r="M83" s="1"/>
      <c r="N83" s="1"/>
      <c r="O83" s="1">
        <v>30.399999999999991</v>
      </c>
      <c r="P83" s="1">
        <v>6</v>
      </c>
      <c r="Q83" s="1">
        <f t="shared" si="15"/>
        <v>5.4</v>
      </c>
      <c r="R83" s="5">
        <f t="shared" si="23"/>
        <v>12.000000000000014</v>
      </c>
      <c r="S83" s="5">
        <f t="shared" si="16"/>
        <v>12.000000000000014</v>
      </c>
      <c r="T83" s="5"/>
      <c r="U83" s="5">
        <f t="shared" si="17"/>
        <v>12.000000000000014</v>
      </c>
      <c r="V83" s="5"/>
      <c r="W83" s="1"/>
      <c r="X83" s="1"/>
      <c r="Y83" s="1">
        <f t="shared" si="18"/>
        <v>11</v>
      </c>
      <c r="Z83" s="1">
        <f t="shared" si="19"/>
        <v>8.777777777777775</v>
      </c>
      <c r="AA83" s="1">
        <v>4.8</v>
      </c>
      <c r="AB83" s="1">
        <v>5.8</v>
      </c>
      <c r="AC83" s="1">
        <v>4.4000000000000004</v>
      </c>
      <c r="AD83" s="1">
        <v>2.8</v>
      </c>
      <c r="AE83" s="1">
        <v>3.6</v>
      </c>
      <c r="AF83" s="1">
        <v>5.6</v>
      </c>
      <c r="AG83" s="1">
        <v>6.6</v>
      </c>
      <c r="AH83" s="1">
        <v>3.8</v>
      </c>
      <c r="AI83" s="1"/>
      <c r="AJ83" s="1">
        <f t="shared" si="20"/>
        <v>1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 t="s">
        <v>133</v>
      </c>
      <c r="B84" s="1" t="s">
        <v>42</v>
      </c>
      <c r="C84" s="1">
        <v>9</v>
      </c>
      <c r="D84" s="1">
        <v>110</v>
      </c>
      <c r="E84" s="1">
        <v>29</v>
      </c>
      <c r="F84" s="1">
        <v>88</v>
      </c>
      <c r="G84" s="8">
        <v>0.05</v>
      </c>
      <c r="H84" s="1">
        <v>90</v>
      </c>
      <c r="I84" s="1" t="s">
        <v>37</v>
      </c>
      <c r="J84" s="1"/>
      <c r="K84" s="1">
        <v>32</v>
      </c>
      <c r="L84" s="1">
        <f t="shared" si="14"/>
        <v>-3</v>
      </c>
      <c r="M84" s="1"/>
      <c r="N84" s="1"/>
      <c r="O84" s="1">
        <v>17.999999999999989</v>
      </c>
      <c r="P84" s="1">
        <v>0</v>
      </c>
      <c r="Q84" s="1">
        <f t="shared" si="15"/>
        <v>5.8</v>
      </c>
      <c r="R84" s="5"/>
      <c r="S84" s="5">
        <f t="shared" si="16"/>
        <v>0</v>
      </c>
      <c r="T84" s="5"/>
      <c r="U84" s="5">
        <f t="shared" si="17"/>
        <v>0</v>
      </c>
      <c r="V84" s="5"/>
      <c r="W84" s="1"/>
      <c r="X84" s="1"/>
      <c r="Y84" s="1">
        <f t="shared" si="18"/>
        <v>18.275862068965516</v>
      </c>
      <c r="Z84" s="1">
        <f t="shared" si="19"/>
        <v>18.275862068965516</v>
      </c>
      <c r="AA84" s="1">
        <v>7.8</v>
      </c>
      <c r="AB84" s="1">
        <v>9.4</v>
      </c>
      <c r="AC84" s="1">
        <v>10.8</v>
      </c>
      <c r="AD84" s="1">
        <v>9.6</v>
      </c>
      <c r="AE84" s="1">
        <v>6.8</v>
      </c>
      <c r="AF84" s="1">
        <v>9.4</v>
      </c>
      <c r="AG84" s="1">
        <v>10.6</v>
      </c>
      <c r="AH84" s="1">
        <v>6.2</v>
      </c>
      <c r="AI84" s="1"/>
      <c r="AJ84" s="1">
        <f t="shared" si="20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 t="s">
        <v>134</v>
      </c>
      <c r="B85" s="1" t="s">
        <v>42</v>
      </c>
      <c r="C85" s="1">
        <v>20</v>
      </c>
      <c r="D85" s="1">
        <v>54</v>
      </c>
      <c r="E85" s="1">
        <v>37</v>
      </c>
      <c r="F85" s="1">
        <v>37</v>
      </c>
      <c r="G85" s="8">
        <v>0.05</v>
      </c>
      <c r="H85" s="1">
        <v>90</v>
      </c>
      <c r="I85" s="1" t="s">
        <v>37</v>
      </c>
      <c r="J85" s="1"/>
      <c r="K85" s="1">
        <v>37</v>
      </c>
      <c r="L85" s="1">
        <f t="shared" si="14"/>
        <v>0</v>
      </c>
      <c r="M85" s="1"/>
      <c r="N85" s="1"/>
      <c r="O85" s="1">
        <v>50.400000000000013</v>
      </c>
      <c r="P85" s="1">
        <v>29.199999999999971</v>
      </c>
      <c r="Q85" s="1">
        <f t="shared" si="15"/>
        <v>7.4</v>
      </c>
      <c r="R85" s="5"/>
      <c r="S85" s="5">
        <f t="shared" si="16"/>
        <v>0</v>
      </c>
      <c r="T85" s="5"/>
      <c r="U85" s="5">
        <f t="shared" si="17"/>
        <v>0</v>
      </c>
      <c r="V85" s="5"/>
      <c r="W85" s="1"/>
      <c r="X85" s="1"/>
      <c r="Y85" s="1">
        <f t="shared" si="18"/>
        <v>15.756756756756753</v>
      </c>
      <c r="Z85" s="1">
        <f t="shared" si="19"/>
        <v>15.756756756756753</v>
      </c>
      <c r="AA85" s="1">
        <v>10.199999999999999</v>
      </c>
      <c r="AB85" s="1">
        <v>10.4</v>
      </c>
      <c r="AC85" s="1">
        <v>9</v>
      </c>
      <c r="AD85" s="1">
        <v>7.2</v>
      </c>
      <c r="AE85" s="1">
        <v>3</v>
      </c>
      <c r="AF85" s="1">
        <v>6.4</v>
      </c>
      <c r="AG85" s="1">
        <v>9</v>
      </c>
      <c r="AH85" s="1">
        <v>4.8</v>
      </c>
      <c r="AI85" s="1" t="s">
        <v>135</v>
      </c>
      <c r="AJ85" s="1">
        <f t="shared" si="20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136</v>
      </c>
      <c r="B86" s="1" t="s">
        <v>42</v>
      </c>
      <c r="C86" s="1">
        <v>35</v>
      </c>
      <c r="D86" s="1">
        <v>109</v>
      </c>
      <c r="E86" s="1">
        <v>24</v>
      </c>
      <c r="F86" s="1">
        <v>119</v>
      </c>
      <c r="G86" s="8">
        <v>5.5E-2</v>
      </c>
      <c r="H86" s="1">
        <v>90</v>
      </c>
      <c r="I86" s="1" t="s">
        <v>37</v>
      </c>
      <c r="J86" s="1"/>
      <c r="K86" s="1">
        <v>24</v>
      </c>
      <c r="L86" s="1">
        <f t="shared" si="14"/>
        <v>0</v>
      </c>
      <c r="M86" s="1"/>
      <c r="N86" s="1"/>
      <c r="O86" s="1">
        <v>20.800000000000011</v>
      </c>
      <c r="P86" s="1">
        <v>0</v>
      </c>
      <c r="Q86" s="1">
        <f t="shared" si="15"/>
        <v>4.8</v>
      </c>
      <c r="R86" s="5"/>
      <c r="S86" s="5">
        <f t="shared" si="16"/>
        <v>0</v>
      </c>
      <c r="T86" s="5"/>
      <c r="U86" s="5">
        <f t="shared" si="17"/>
        <v>0</v>
      </c>
      <c r="V86" s="5"/>
      <c r="W86" s="1"/>
      <c r="X86" s="1"/>
      <c r="Y86" s="1">
        <f t="shared" si="18"/>
        <v>29.125000000000004</v>
      </c>
      <c r="Z86" s="1">
        <f t="shared" si="19"/>
        <v>29.125000000000004</v>
      </c>
      <c r="AA86" s="1">
        <v>9.1999999999999993</v>
      </c>
      <c r="AB86" s="1">
        <v>11.4</v>
      </c>
      <c r="AC86" s="1">
        <v>12.6</v>
      </c>
      <c r="AD86" s="1">
        <v>11.2</v>
      </c>
      <c r="AE86" s="1">
        <v>5.6</v>
      </c>
      <c r="AF86" s="1">
        <v>2.8</v>
      </c>
      <c r="AG86" s="1">
        <v>4.8</v>
      </c>
      <c r="AH86" s="1">
        <v>9.1999999999999993</v>
      </c>
      <c r="AI86" s="21" t="s">
        <v>152</v>
      </c>
      <c r="AJ86" s="1">
        <f t="shared" si="20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3" t="s">
        <v>137</v>
      </c>
      <c r="B87" s="13" t="s">
        <v>42</v>
      </c>
      <c r="C87" s="13">
        <v>33</v>
      </c>
      <c r="D87" s="13">
        <v>3</v>
      </c>
      <c r="E87" s="13">
        <v>2</v>
      </c>
      <c r="F87" s="13">
        <v>31</v>
      </c>
      <c r="G87" s="14">
        <v>0</v>
      </c>
      <c r="H87" s="13">
        <v>120</v>
      </c>
      <c r="I87" s="13" t="s">
        <v>138</v>
      </c>
      <c r="J87" s="13"/>
      <c r="K87" s="13">
        <v>5</v>
      </c>
      <c r="L87" s="13">
        <f t="shared" si="14"/>
        <v>-3</v>
      </c>
      <c r="M87" s="13"/>
      <c r="N87" s="13"/>
      <c r="O87" s="13">
        <v>0</v>
      </c>
      <c r="P87" s="13">
        <v>0</v>
      </c>
      <c r="Q87" s="13">
        <f t="shared" si="15"/>
        <v>0.4</v>
      </c>
      <c r="R87" s="15"/>
      <c r="S87" s="5">
        <f t="shared" si="16"/>
        <v>0</v>
      </c>
      <c r="T87" s="15"/>
      <c r="U87" s="5">
        <f t="shared" si="17"/>
        <v>0</v>
      </c>
      <c r="V87" s="15"/>
      <c r="W87" s="13"/>
      <c r="X87" s="13"/>
      <c r="Y87" s="1">
        <f t="shared" si="18"/>
        <v>77.5</v>
      </c>
      <c r="Z87" s="13">
        <f t="shared" si="19"/>
        <v>77.5</v>
      </c>
      <c r="AA87" s="13">
        <v>0.4</v>
      </c>
      <c r="AB87" s="13">
        <v>0.4</v>
      </c>
      <c r="AC87" s="13">
        <v>1.2</v>
      </c>
      <c r="AD87" s="13">
        <v>1.2</v>
      </c>
      <c r="AE87" s="13">
        <v>0.4</v>
      </c>
      <c r="AF87" s="13">
        <v>0.8</v>
      </c>
      <c r="AG87" s="13">
        <v>0.8</v>
      </c>
      <c r="AH87" s="13">
        <v>1.4</v>
      </c>
      <c r="AI87" s="13" t="s">
        <v>139</v>
      </c>
      <c r="AJ87" s="1">
        <f t="shared" si="20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 t="s">
        <v>140</v>
      </c>
      <c r="B88" s="1" t="s">
        <v>36</v>
      </c>
      <c r="C88" s="1">
        <v>492.99599999999998</v>
      </c>
      <c r="D88" s="1">
        <v>23.163</v>
      </c>
      <c r="E88" s="1">
        <v>488.83600000000001</v>
      </c>
      <c r="F88" s="1">
        <v>14.327999999999999</v>
      </c>
      <c r="G88" s="8">
        <v>1</v>
      </c>
      <c r="H88" s="1">
        <v>40</v>
      </c>
      <c r="I88" s="1" t="s">
        <v>37</v>
      </c>
      <c r="J88" s="1"/>
      <c r="K88" s="1">
        <v>450</v>
      </c>
      <c r="L88" s="1">
        <f t="shared" si="14"/>
        <v>38.836000000000013</v>
      </c>
      <c r="M88" s="1"/>
      <c r="N88" s="1"/>
      <c r="O88" s="1">
        <v>388.16640000000001</v>
      </c>
      <c r="P88" s="1">
        <v>400.23039999999997</v>
      </c>
      <c r="Q88" s="1">
        <f t="shared" si="15"/>
        <v>97.767200000000003</v>
      </c>
      <c r="R88" s="5">
        <f t="shared" ref="R88:R90" si="24">11*Q88-P88-O88-F88</f>
        <v>272.71440000000013</v>
      </c>
      <c r="S88" s="5">
        <f t="shared" si="16"/>
        <v>272.71440000000013</v>
      </c>
      <c r="T88" s="5"/>
      <c r="U88" s="5">
        <f t="shared" si="17"/>
        <v>272.71440000000013</v>
      </c>
      <c r="V88" s="5"/>
      <c r="W88" s="1"/>
      <c r="X88" s="1"/>
      <c r="Y88" s="1">
        <f t="shared" si="18"/>
        <v>11</v>
      </c>
      <c r="Z88" s="1">
        <f t="shared" si="19"/>
        <v>8.2105736893354813</v>
      </c>
      <c r="AA88" s="1">
        <v>90.594000000000008</v>
      </c>
      <c r="AB88" s="1">
        <v>81.693600000000004</v>
      </c>
      <c r="AC88" s="1">
        <v>62.6126</v>
      </c>
      <c r="AD88" s="1">
        <v>51.185199999999988</v>
      </c>
      <c r="AE88" s="1">
        <v>81.7744</v>
      </c>
      <c r="AF88" s="1">
        <v>93.961600000000004</v>
      </c>
      <c r="AG88" s="1">
        <v>95.412199999999999</v>
      </c>
      <c r="AH88" s="1">
        <v>92.9482</v>
      </c>
      <c r="AI88" s="1" t="s">
        <v>48</v>
      </c>
      <c r="AJ88" s="1">
        <f t="shared" si="20"/>
        <v>273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2" t="s">
        <v>141</v>
      </c>
      <c r="B89" s="1" t="s">
        <v>36</v>
      </c>
      <c r="C89" s="1">
        <v>-2.4E-2</v>
      </c>
      <c r="D89" s="1"/>
      <c r="E89" s="1"/>
      <c r="F89" s="1">
        <v>-2.4E-2</v>
      </c>
      <c r="G89" s="8">
        <v>1</v>
      </c>
      <c r="H89" s="1">
        <v>60</v>
      </c>
      <c r="I89" s="1" t="s">
        <v>37</v>
      </c>
      <c r="J89" s="1"/>
      <c r="K89" s="1">
        <v>3.6</v>
      </c>
      <c r="L89" s="1">
        <f t="shared" si="14"/>
        <v>-3.6</v>
      </c>
      <c r="M89" s="1"/>
      <c r="N89" s="1"/>
      <c r="O89" s="1"/>
      <c r="P89" s="12"/>
      <c r="Q89" s="1">
        <f t="shared" si="15"/>
        <v>0</v>
      </c>
      <c r="R89" s="19">
        <v>4</v>
      </c>
      <c r="S89" s="5">
        <f t="shared" si="16"/>
        <v>4</v>
      </c>
      <c r="T89" s="19"/>
      <c r="U89" s="5">
        <f t="shared" si="17"/>
        <v>4</v>
      </c>
      <c r="V89" s="5"/>
      <c r="W89" s="1"/>
      <c r="X89" s="1"/>
      <c r="Y89" s="1" t="e">
        <f t="shared" si="18"/>
        <v>#DIV/0!</v>
      </c>
      <c r="Z89" s="1" t="e">
        <f t="shared" si="19"/>
        <v>#DIV/0!</v>
      </c>
      <c r="AA89" s="1">
        <v>1.0884</v>
      </c>
      <c r="AB89" s="1">
        <v>3.6067999999999998</v>
      </c>
      <c r="AC89" s="1">
        <v>8.7484000000000002</v>
      </c>
      <c r="AD89" s="1">
        <v>9.1348000000000003</v>
      </c>
      <c r="AE89" s="1">
        <v>5.3834</v>
      </c>
      <c r="AF89" s="1">
        <v>2.8464</v>
      </c>
      <c r="AG89" s="1">
        <v>1.8295999999999999</v>
      </c>
      <c r="AH89" s="1">
        <v>2.1934</v>
      </c>
      <c r="AI89" s="12" t="s">
        <v>142</v>
      </c>
      <c r="AJ89" s="1">
        <f t="shared" si="20"/>
        <v>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143</v>
      </c>
      <c r="B90" s="1" t="s">
        <v>42</v>
      </c>
      <c r="C90" s="1">
        <v>212</v>
      </c>
      <c r="D90" s="1">
        <v>4</v>
      </c>
      <c r="E90" s="1">
        <v>110</v>
      </c>
      <c r="F90" s="1">
        <v>75</v>
      </c>
      <c r="G90" s="8">
        <v>0.3</v>
      </c>
      <c r="H90" s="1">
        <v>40</v>
      </c>
      <c r="I90" s="1" t="s">
        <v>37</v>
      </c>
      <c r="J90" s="1"/>
      <c r="K90" s="1">
        <v>139</v>
      </c>
      <c r="L90" s="1">
        <f t="shared" si="14"/>
        <v>-29</v>
      </c>
      <c r="M90" s="1"/>
      <c r="N90" s="1"/>
      <c r="O90" s="1">
        <v>0</v>
      </c>
      <c r="P90" s="1">
        <v>150.80000000000001</v>
      </c>
      <c r="Q90" s="1">
        <f t="shared" si="15"/>
        <v>22</v>
      </c>
      <c r="R90" s="5">
        <f t="shared" si="24"/>
        <v>16.199999999999989</v>
      </c>
      <c r="S90" s="5">
        <f t="shared" si="16"/>
        <v>16.199999999999989</v>
      </c>
      <c r="T90" s="5"/>
      <c r="U90" s="5">
        <f t="shared" si="17"/>
        <v>16.199999999999989</v>
      </c>
      <c r="V90" s="5"/>
      <c r="W90" s="1"/>
      <c r="X90" s="1"/>
      <c r="Y90" s="1">
        <f t="shared" si="18"/>
        <v>11</v>
      </c>
      <c r="Z90" s="1">
        <f t="shared" si="19"/>
        <v>10.263636363636364</v>
      </c>
      <c r="AA90" s="1">
        <v>23.4</v>
      </c>
      <c r="AB90" s="1">
        <v>13.2</v>
      </c>
      <c r="AC90" s="1">
        <v>9</v>
      </c>
      <c r="AD90" s="1">
        <v>16</v>
      </c>
      <c r="AE90" s="1">
        <v>26.4</v>
      </c>
      <c r="AF90" s="1">
        <v>27</v>
      </c>
      <c r="AG90" s="1">
        <v>15.8</v>
      </c>
      <c r="AH90" s="1">
        <v>12</v>
      </c>
      <c r="AI90" s="1"/>
      <c r="AJ90" s="1">
        <f t="shared" si="20"/>
        <v>5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144</v>
      </c>
      <c r="B91" s="1" t="s">
        <v>42</v>
      </c>
      <c r="C91" s="1">
        <v>99</v>
      </c>
      <c r="D91" s="1">
        <v>2</v>
      </c>
      <c r="E91" s="1">
        <v>84</v>
      </c>
      <c r="F91" s="1">
        <v>2</v>
      </c>
      <c r="G91" s="8">
        <v>0.3</v>
      </c>
      <c r="H91" s="1">
        <v>40</v>
      </c>
      <c r="I91" s="1" t="s">
        <v>37</v>
      </c>
      <c r="J91" s="1"/>
      <c r="K91" s="1">
        <v>124</v>
      </c>
      <c r="L91" s="1">
        <f t="shared" si="14"/>
        <v>-40</v>
      </c>
      <c r="M91" s="1"/>
      <c r="N91" s="1"/>
      <c r="O91" s="1">
        <v>158.4</v>
      </c>
      <c r="P91" s="1">
        <v>184.6</v>
      </c>
      <c r="Q91" s="1">
        <f t="shared" si="15"/>
        <v>16.8</v>
      </c>
      <c r="R91" s="5"/>
      <c r="S91" s="5">
        <f t="shared" si="16"/>
        <v>0</v>
      </c>
      <c r="T91" s="5"/>
      <c r="U91" s="5">
        <f t="shared" si="17"/>
        <v>0</v>
      </c>
      <c r="V91" s="5"/>
      <c r="W91" s="1"/>
      <c r="X91" s="1"/>
      <c r="Y91" s="1">
        <f t="shared" si="18"/>
        <v>20.535714285714285</v>
      </c>
      <c r="Z91" s="1">
        <f t="shared" si="19"/>
        <v>20.535714285714285</v>
      </c>
      <c r="AA91" s="1">
        <v>31</v>
      </c>
      <c r="AB91" s="1">
        <v>28.6</v>
      </c>
      <c r="AC91" s="1">
        <v>15.6</v>
      </c>
      <c r="AD91" s="1">
        <v>3.6</v>
      </c>
      <c r="AE91" s="1">
        <v>13.2</v>
      </c>
      <c r="AF91" s="1">
        <v>23.2</v>
      </c>
      <c r="AG91" s="1">
        <v>21.6</v>
      </c>
      <c r="AH91" s="1">
        <v>11.4</v>
      </c>
      <c r="AI91" s="1"/>
      <c r="AJ91" s="1">
        <f t="shared" si="20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3" t="s">
        <v>145</v>
      </c>
      <c r="B92" s="13" t="s">
        <v>36</v>
      </c>
      <c r="C92" s="13">
        <v>2.5999999999999999E-2</v>
      </c>
      <c r="D92" s="13"/>
      <c r="E92" s="13"/>
      <c r="F92" s="13">
        <v>2.5999999999999999E-2</v>
      </c>
      <c r="G92" s="14">
        <v>0</v>
      </c>
      <c r="H92" s="13">
        <v>45</v>
      </c>
      <c r="I92" s="13" t="s">
        <v>138</v>
      </c>
      <c r="J92" s="13"/>
      <c r="K92" s="13">
        <v>4.2</v>
      </c>
      <c r="L92" s="13">
        <f t="shared" si="14"/>
        <v>-4.2</v>
      </c>
      <c r="M92" s="13"/>
      <c r="N92" s="13"/>
      <c r="O92" s="13">
        <v>0</v>
      </c>
      <c r="P92" s="13">
        <v>0</v>
      </c>
      <c r="Q92" s="13">
        <f t="shared" si="15"/>
        <v>0</v>
      </c>
      <c r="R92" s="15"/>
      <c r="S92" s="5">
        <f t="shared" si="16"/>
        <v>0</v>
      </c>
      <c r="T92" s="15"/>
      <c r="U92" s="5">
        <f t="shared" si="17"/>
        <v>0</v>
      </c>
      <c r="V92" s="15"/>
      <c r="W92" s="13"/>
      <c r="X92" s="13"/>
      <c r="Y92" s="1" t="e">
        <f t="shared" si="18"/>
        <v>#DIV/0!</v>
      </c>
      <c r="Z92" s="13" t="e">
        <f t="shared" si="19"/>
        <v>#DIV/0!</v>
      </c>
      <c r="AA92" s="13">
        <v>3.0257999999999998</v>
      </c>
      <c r="AB92" s="13">
        <v>6.6048</v>
      </c>
      <c r="AC92" s="13">
        <v>4.1173999999999999</v>
      </c>
      <c r="AD92" s="13">
        <v>1.8859999999999999</v>
      </c>
      <c r="AE92" s="13">
        <v>1.8844000000000001</v>
      </c>
      <c r="AF92" s="13">
        <v>0.53680000000000005</v>
      </c>
      <c r="AG92" s="13">
        <v>3.2551999999999999</v>
      </c>
      <c r="AH92" s="13">
        <v>3.5238</v>
      </c>
      <c r="AI92" s="13" t="s">
        <v>146</v>
      </c>
      <c r="AJ92" s="1">
        <f t="shared" si="20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 t="s">
        <v>147</v>
      </c>
      <c r="B93" s="1" t="s">
        <v>36</v>
      </c>
      <c r="C93" s="1">
        <v>20.2</v>
      </c>
      <c r="D93" s="1">
        <v>11.039</v>
      </c>
      <c r="E93" s="1">
        <v>22.649000000000001</v>
      </c>
      <c r="F93" s="1">
        <v>8.1349999999999998</v>
      </c>
      <c r="G93" s="8">
        <v>1</v>
      </c>
      <c r="H93" s="1">
        <v>50</v>
      </c>
      <c r="I93" s="1" t="s">
        <v>37</v>
      </c>
      <c r="J93" s="1"/>
      <c r="K93" s="1">
        <v>21.9</v>
      </c>
      <c r="L93" s="1">
        <f t="shared" si="14"/>
        <v>0.74900000000000233</v>
      </c>
      <c r="M93" s="1"/>
      <c r="N93" s="1"/>
      <c r="O93" s="1">
        <v>17.778199999999998</v>
      </c>
      <c r="P93" s="1">
        <v>24.039000000000009</v>
      </c>
      <c r="Q93" s="1">
        <f t="shared" si="15"/>
        <v>4.5297999999999998</v>
      </c>
      <c r="R93" s="5"/>
      <c r="S93" s="5">
        <f t="shared" si="16"/>
        <v>0</v>
      </c>
      <c r="T93" s="5"/>
      <c r="U93" s="5">
        <f t="shared" si="17"/>
        <v>0</v>
      </c>
      <c r="V93" s="5"/>
      <c r="W93" s="1"/>
      <c r="X93" s="1"/>
      <c r="Y93" s="1">
        <f t="shared" si="18"/>
        <v>11.027462581129411</v>
      </c>
      <c r="Z93" s="1">
        <f t="shared" si="19"/>
        <v>11.027462581129411</v>
      </c>
      <c r="AA93" s="1">
        <v>4.6026000000000007</v>
      </c>
      <c r="AB93" s="1">
        <v>3.8161999999999998</v>
      </c>
      <c r="AC93" s="1">
        <v>3.0022000000000002</v>
      </c>
      <c r="AD93" s="1">
        <v>2.1861999999999999</v>
      </c>
      <c r="AE93" s="1">
        <v>3.8862000000000001</v>
      </c>
      <c r="AF93" s="1">
        <v>4.1335999999999986</v>
      </c>
      <c r="AG93" s="1">
        <v>5.8692000000000002</v>
      </c>
      <c r="AH93" s="1">
        <v>4.7039999999999997</v>
      </c>
      <c r="AI93" s="1"/>
      <c r="AJ93" s="1">
        <f t="shared" si="20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 t="s">
        <v>148</v>
      </c>
      <c r="B94" s="1" t="s">
        <v>42</v>
      </c>
      <c r="C94" s="1">
        <v>79</v>
      </c>
      <c r="D94" s="1">
        <v>62</v>
      </c>
      <c r="E94" s="1">
        <v>91</v>
      </c>
      <c r="F94" s="1">
        <v>44</v>
      </c>
      <c r="G94" s="8">
        <v>0.3</v>
      </c>
      <c r="H94" s="1">
        <v>40</v>
      </c>
      <c r="I94" s="1" t="s">
        <v>37</v>
      </c>
      <c r="J94" s="1"/>
      <c r="K94" s="1">
        <v>96</v>
      </c>
      <c r="L94" s="1">
        <f t="shared" si="14"/>
        <v>-5</v>
      </c>
      <c r="M94" s="1"/>
      <c r="N94" s="1"/>
      <c r="O94" s="1">
        <v>0</v>
      </c>
      <c r="P94" s="1">
        <v>139.19999999999999</v>
      </c>
      <c r="Q94" s="1">
        <f t="shared" si="15"/>
        <v>18.2</v>
      </c>
      <c r="R94" s="5">
        <f t="shared" ref="R94" si="25">11*Q94-P94-O94-F94</f>
        <v>17</v>
      </c>
      <c r="S94" s="5">
        <f t="shared" si="16"/>
        <v>17</v>
      </c>
      <c r="T94" s="5"/>
      <c r="U94" s="5">
        <f t="shared" si="17"/>
        <v>17</v>
      </c>
      <c r="V94" s="5"/>
      <c r="W94" s="1"/>
      <c r="X94" s="1"/>
      <c r="Y94" s="1">
        <f t="shared" si="18"/>
        <v>11</v>
      </c>
      <c r="Z94" s="1">
        <f t="shared" si="19"/>
        <v>10.065934065934066</v>
      </c>
      <c r="AA94" s="1">
        <v>18.600000000000001</v>
      </c>
      <c r="AB94" s="1">
        <v>8.4</v>
      </c>
      <c r="AC94" s="1">
        <v>11.8</v>
      </c>
      <c r="AD94" s="1">
        <v>16.399999999999999</v>
      </c>
      <c r="AE94" s="1">
        <v>15.4</v>
      </c>
      <c r="AF94" s="1">
        <v>10.4</v>
      </c>
      <c r="AG94" s="1">
        <v>2.6</v>
      </c>
      <c r="AH94" s="1">
        <v>7</v>
      </c>
      <c r="AI94" s="1"/>
      <c r="AJ94" s="1">
        <f t="shared" si="20"/>
        <v>5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 t="s">
        <v>149</v>
      </c>
      <c r="B95" s="1" t="s">
        <v>42</v>
      </c>
      <c r="C95" s="1">
        <v>54</v>
      </c>
      <c r="D95" s="1">
        <v>1</v>
      </c>
      <c r="E95" s="1">
        <v>17</v>
      </c>
      <c r="F95" s="1">
        <v>37</v>
      </c>
      <c r="G95" s="8">
        <v>0.12</v>
      </c>
      <c r="H95" s="1">
        <v>45</v>
      </c>
      <c r="I95" s="1" t="s">
        <v>37</v>
      </c>
      <c r="J95" s="1"/>
      <c r="K95" s="1">
        <v>17</v>
      </c>
      <c r="L95" s="1">
        <f t="shared" si="14"/>
        <v>0</v>
      </c>
      <c r="M95" s="1"/>
      <c r="N95" s="1"/>
      <c r="O95" s="1">
        <v>0</v>
      </c>
      <c r="P95" s="1">
        <v>0</v>
      </c>
      <c r="Q95" s="1">
        <f t="shared" si="15"/>
        <v>3.4</v>
      </c>
      <c r="R95" s="5"/>
      <c r="S95" s="5">
        <f t="shared" si="16"/>
        <v>0</v>
      </c>
      <c r="T95" s="5"/>
      <c r="U95" s="5">
        <f t="shared" si="17"/>
        <v>0</v>
      </c>
      <c r="V95" s="5"/>
      <c r="W95" s="1"/>
      <c r="X95" s="1"/>
      <c r="Y95" s="1">
        <f t="shared" si="18"/>
        <v>10.882352941176471</v>
      </c>
      <c r="Z95" s="1">
        <f t="shared" si="19"/>
        <v>10.882352941176471</v>
      </c>
      <c r="AA95" s="1">
        <v>2.6</v>
      </c>
      <c r="AB95" s="1">
        <v>3.8</v>
      </c>
      <c r="AC95" s="1">
        <v>4.2</v>
      </c>
      <c r="AD95" s="1">
        <v>4.4000000000000004</v>
      </c>
      <c r="AE95" s="1">
        <v>4</v>
      </c>
      <c r="AF95" s="1">
        <v>1.2</v>
      </c>
      <c r="AG95" s="1">
        <v>3.2</v>
      </c>
      <c r="AH95" s="1">
        <v>7.6</v>
      </c>
      <c r="AI95" s="20" t="s">
        <v>130</v>
      </c>
      <c r="AJ95" s="1">
        <f t="shared" si="20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2" t="s">
        <v>150</v>
      </c>
      <c r="B96" s="1" t="s">
        <v>36</v>
      </c>
      <c r="C96" s="1">
        <v>8.0000000000000002E-3</v>
      </c>
      <c r="D96" s="1"/>
      <c r="E96" s="1"/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/>
      <c r="L96" s="1">
        <f t="shared" si="14"/>
        <v>0</v>
      </c>
      <c r="M96" s="1"/>
      <c r="N96" s="1"/>
      <c r="O96" s="1"/>
      <c r="P96" s="12"/>
      <c r="Q96" s="1">
        <f t="shared" si="15"/>
        <v>0</v>
      </c>
      <c r="R96" s="19">
        <v>4</v>
      </c>
      <c r="S96" s="5">
        <f t="shared" si="16"/>
        <v>4</v>
      </c>
      <c r="T96" s="19"/>
      <c r="U96" s="5">
        <f t="shared" si="17"/>
        <v>4</v>
      </c>
      <c r="V96" s="5"/>
      <c r="W96" s="1"/>
      <c r="X96" s="1"/>
      <c r="Y96" s="1" t="e">
        <f t="shared" si="18"/>
        <v>#DIV/0!</v>
      </c>
      <c r="Z96" s="1" t="e">
        <f t="shared" si="19"/>
        <v>#DIV/0!</v>
      </c>
      <c r="AA96" s="1">
        <v>3.0000000000000001E-3</v>
      </c>
      <c r="AB96" s="1">
        <v>7.9000000000000001E-2</v>
      </c>
      <c r="AC96" s="1">
        <v>0.22739999999999999</v>
      </c>
      <c r="AD96" s="1">
        <v>0.59740000000000004</v>
      </c>
      <c r="AE96" s="1">
        <v>0.89979999999999993</v>
      </c>
      <c r="AF96" s="1">
        <v>0.45379999999999998</v>
      </c>
      <c r="AG96" s="1">
        <v>7.2999999999999995E-2</v>
      </c>
      <c r="AH96" s="1">
        <v>0.2954</v>
      </c>
      <c r="AI96" s="12" t="s">
        <v>142</v>
      </c>
      <c r="AJ96" s="1">
        <f t="shared" si="20"/>
        <v>4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J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2025-11-18T06:47:42Z</dcterms:created>
  <dcterms:modified xsi:type="dcterms:W3CDTF">2025-11-19T07:37:04Z</dcterms:modified>
</cp:coreProperties>
</file>