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C75FD935-E9F1-4754-8BEF-4EB218F7768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P479" i="1"/>
  <c r="BO479" i="1"/>
  <c r="BN479" i="1"/>
  <c r="BM479" i="1"/>
  <c r="Z479" i="1"/>
  <c r="Y479" i="1"/>
  <c r="Y481" i="1" s="1"/>
  <c r="P479" i="1"/>
  <c r="X477" i="1"/>
  <c r="Y476" i="1"/>
  <c r="X476" i="1"/>
  <c r="BP475" i="1"/>
  <c r="BO475" i="1"/>
  <c r="BN475" i="1"/>
  <c r="BM475" i="1"/>
  <c r="Z475" i="1"/>
  <c r="Z476" i="1" s="1"/>
  <c r="Y475" i="1"/>
  <c r="Y477" i="1" s="1"/>
  <c r="P475" i="1"/>
  <c r="X473" i="1"/>
  <c r="X472" i="1"/>
  <c r="BP471" i="1"/>
  <c r="BO471" i="1"/>
  <c r="BN471" i="1"/>
  <c r="BM471" i="1"/>
  <c r="Z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P465" i="1"/>
  <c r="BO465" i="1"/>
  <c r="BN465" i="1"/>
  <c r="BM465" i="1"/>
  <c r="Z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P457" i="1"/>
  <c r="BO457" i="1"/>
  <c r="BN457" i="1"/>
  <c r="BM457" i="1"/>
  <c r="Z457" i="1"/>
  <c r="Y457" i="1"/>
  <c r="P457" i="1"/>
  <c r="X453" i="1"/>
  <c r="Y452" i="1"/>
  <c r="X452" i="1"/>
  <c r="BP451" i="1"/>
  <c r="BO451" i="1"/>
  <c r="BN451" i="1"/>
  <c r="BM451" i="1"/>
  <c r="Z451" i="1"/>
  <c r="Y451" i="1"/>
  <c r="P451" i="1"/>
  <c r="BO450" i="1"/>
  <c r="BM450" i="1"/>
  <c r="Y450" i="1"/>
  <c r="P450" i="1"/>
  <c r="BP449" i="1"/>
  <c r="BO449" i="1"/>
  <c r="BN449" i="1"/>
  <c r="BM449" i="1"/>
  <c r="Z449" i="1"/>
  <c r="Y449" i="1"/>
  <c r="Y453" i="1" s="1"/>
  <c r="P449" i="1"/>
  <c r="X447" i="1"/>
  <c r="X446" i="1"/>
  <c r="BP445" i="1"/>
  <c r="BO445" i="1"/>
  <c r="BN445" i="1"/>
  <c r="BM445" i="1"/>
  <c r="Z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P435" i="1"/>
  <c r="BO435" i="1"/>
  <c r="BN435" i="1"/>
  <c r="BM435" i="1"/>
  <c r="Z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BP421" i="1"/>
  <c r="BO421" i="1"/>
  <c r="BN421" i="1"/>
  <c r="BM421" i="1"/>
  <c r="Z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P406" i="1"/>
  <c r="BO406" i="1"/>
  <c r="BN406" i="1"/>
  <c r="BM406" i="1"/>
  <c r="Z406" i="1"/>
  <c r="Y406" i="1"/>
  <c r="P406" i="1"/>
  <c r="X404" i="1"/>
  <c r="Y403" i="1"/>
  <c r="X403" i="1"/>
  <c r="BP402" i="1"/>
  <c r="BO402" i="1"/>
  <c r="BN402" i="1"/>
  <c r="BM402" i="1"/>
  <c r="Z402" i="1"/>
  <c r="Z403" i="1" s="1"/>
  <c r="Y402" i="1"/>
  <c r="P402" i="1"/>
  <c r="X399" i="1"/>
  <c r="Y398" i="1"/>
  <c r="X398" i="1"/>
  <c r="BP397" i="1"/>
  <c r="BO397" i="1"/>
  <c r="BN397" i="1"/>
  <c r="BM397" i="1"/>
  <c r="Z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P391" i="1"/>
  <c r="BO391" i="1"/>
  <c r="BN391" i="1"/>
  <c r="BM391" i="1"/>
  <c r="Z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P385" i="1"/>
  <c r="BO385" i="1"/>
  <c r="BN385" i="1"/>
  <c r="BM385" i="1"/>
  <c r="Z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P377" i="1"/>
  <c r="BO377" i="1"/>
  <c r="BN377" i="1"/>
  <c r="BM377" i="1"/>
  <c r="Z377" i="1"/>
  <c r="Y377" i="1"/>
  <c r="Y379" i="1" s="1"/>
  <c r="P377" i="1"/>
  <c r="X375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BO283" i="1"/>
  <c r="BM283" i="1"/>
  <c r="Y283" i="1"/>
  <c r="P283" i="1"/>
  <c r="X281" i="1"/>
  <c r="X280" i="1"/>
  <c r="BO279" i="1"/>
  <c r="BM279" i="1"/>
  <c r="Y279" i="1"/>
  <c r="P279" i="1"/>
  <c r="BP278" i="1"/>
  <c r="BO278" i="1"/>
  <c r="BN278" i="1"/>
  <c r="BM278" i="1"/>
  <c r="Z278" i="1"/>
  <c r="Y278" i="1"/>
  <c r="P278" i="1"/>
  <c r="X275" i="1"/>
  <c r="X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P266" i="1"/>
  <c r="BO266" i="1"/>
  <c r="BN266" i="1"/>
  <c r="BM266" i="1"/>
  <c r="Z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P255" i="1"/>
  <c r="BO255" i="1"/>
  <c r="BN255" i="1"/>
  <c r="BM255" i="1"/>
  <c r="Z255" i="1"/>
  <c r="Y255" i="1"/>
  <c r="P255" i="1"/>
  <c r="BO254" i="1"/>
  <c r="BM254" i="1"/>
  <c r="Y254" i="1"/>
  <c r="P254" i="1"/>
  <c r="X251" i="1"/>
  <c r="X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Y220" i="1"/>
  <c r="X220" i="1"/>
  <c r="BP219" i="1"/>
  <c r="BO219" i="1"/>
  <c r="BN219" i="1"/>
  <c r="BM219" i="1"/>
  <c r="Z219" i="1"/>
  <c r="Y219" i="1"/>
  <c r="P219" i="1"/>
  <c r="BO218" i="1"/>
  <c r="BN218" i="1"/>
  <c r="BM218" i="1"/>
  <c r="Z218" i="1"/>
  <c r="Z220" i="1" s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P212" i="1"/>
  <c r="BO212" i="1"/>
  <c r="BN212" i="1"/>
  <c r="BM212" i="1"/>
  <c r="Z212" i="1"/>
  <c r="Y212" i="1"/>
  <c r="P212" i="1"/>
  <c r="BO211" i="1"/>
  <c r="BM211" i="1"/>
  <c r="Y211" i="1"/>
  <c r="P211" i="1"/>
  <c r="BP210" i="1"/>
  <c r="BO210" i="1"/>
  <c r="BN210" i="1"/>
  <c r="BM210" i="1"/>
  <c r="Z210" i="1"/>
  <c r="Y210" i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Y216" i="1" s="1"/>
  <c r="P206" i="1"/>
  <c r="X204" i="1"/>
  <c r="X203" i="1"/>
  <c r="BP202" i="1"/>
  <c r="BO202" i="1"/>
  <c r="BN202" i="1"/>
  <c r="BM202" i="1"/>
  <c r="Z202" i="1"/>
  <c r="Y202" i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P196" i="1"/>
  <c r="BO196" i="1"/>
  <c r="BN196" i="1"/>
  <c r="BM196" i="1"/>
  <c r="Z196" i="1"/>
  <c r="Y196" i="1"/>
  <c r="P196" i="1"/>
  <c r="BO195" i="1"/>
  <c r="BM195" i="1"/>
  <c r="Y195" i="1"/>
  <c r="P195" i="1"/>
  <c r="X193" i="1"/>
  <c r="X192" i="1"/>
  <c r="BO191" i="1"/>
  <c r="BM191" i="1"/>
  <c r="Y191" i="1"/>
  <c r="P191" i="1"/>
  <c r="BP190" i="1"/>
  <c r="BO190" i="1"/>
  <c r="BN190" i="1"/>
  <c r="BM190" i="1"/>
  <c r="Z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P175" i="1"/>
  <c r="BO175" i="1"/>
  <c r="BN175" i="1"/>
  <c r="BM175" i="1"/>
  <c r="Z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X159" i="1"/>
  <c r="X158" i="1"/>
  <c r="BO157" i="1"/>
  <c r="BM157" i="1"/>
  <c r="Y157" i="1"/>
  <c r="P157" i="1"/>
  <c r="X153" i="1"/>
  <c r="X152" i="1"/>
  <c r="BO151" i="1"/>
  <c r="BM151" i="1"/>
  <c r="Y151" i="1"/>
  <c r="X149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X143" i="1"/>
  <c r="Y142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Y136" i="1" s="1"/>
  <c r="P134" i="1"/>
  <c r="X132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Y81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8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31" i="1" l="1"/>
  <c r="Y492" i="1" s="1"/>
  <c r="Y43" i="1"/>
  <c r="Y58" i="1"/>
  <c r="Y64" i="1"/>
  <c r="Y70" i="1"/>
  <c r="Y77" i="1"/>
  <c r="BP72" i="1"/>
  <c r="BN72" i="1"/>
  <c r="BP74" i="1"/>
  <c r="BN74" i="1"/>
  <c r="Z74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Z126" i="1" s="1"/>
  <c r="Y127" i="1"/>
  <c r="Y132" i="1"/>
  <c r="BP129" i="1"/>
  <c r="BN129" i="1"/>
  <c r="Z129" i="1"/>
  <c r="Z131" i="1" s="1"/>
  <c r="Z148" i="1"/>
  <c r="BP146" i="1"/>
  <c r="BN146" i="1"/>
  <c r="Z146" i="1"/>
  <c r="BP163" i="1"/>
  <c r="BN163" i="1"/>
  <c r="Z163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8" i="1"/>
  <c r="Y188" i="1"/>
  <c r="BP185" i="1"/>
  <c r="BN185" i="1"/>
  <c r="Z185" i="1"/>
  <c r="Z187" i="1" s="1"/>
  <c r="BP197" i="1"/>
  <c r="BN197" i="1"/>
  <c r="Z197" i="1"/>
  <c r="BP201" i="1"/>
  <c r="BN201" i="1"/>
  <c r="Z201" i="1"/>
  <c r="BP209" i="1"/>
  <c r="BN209" i="1"/>
  <c r="Z209" i="1"/>
  <c r="BP213" i="1"/>
  <c r="BN213" i="1"/>
  <c r="Z213" i="1"/>
  <c r="BP284" i="1"/>
  <c r="BN284" i="1"/>
  <c r="Z284" i="1"/>
  <c r="Y286" i="1"/>
  <c r="Q498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D498" i="1"/>
  <c r="H9" i="1"/>
  <c r="B498" i="1"/>
  <c r="X489" i="1"/>
  <c r="X491" i="1" s="1"/>
  <c r="X490" i="1"/>
  <c r="X492" i="1"/>
  <c r="Y24" i="1"/>
  <c r="Z27" i="1"/>
  <c r="Z31" i="1" s="1"/>
  <c r="BN27" i="1"/>
  <c r="Y489" i="1" s="1"/>
  <c r="Z29" i="1"/>
  <c r="BN29" i="1"/>
  <c r="C498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0" i="1" s="1"/>
  <c r="Z62" i="1"/>
  <c r="BN62" i="1"/>
  <c r="Z66" i="1"/>
  <c r="BN66" i="1"/>
  <c r="BP66" i="1"/>
  <c r="Z68" i="1"/>
  <c r="BN68" i="1"/>
  <c r="Z72" i="1"/>
  <c r="Z76" i="1" s="1"/>
  <c r="Y76" i="1"/>
  <c r="BP80" i="1"/>
  <c r="BN80" i="1"/>
  <c r="Z80" i="1"/>
  <c r="Z81" i="1" s="1"/>
  <c r="Y82" i="1"/>
  <c r="E498" i="1"/>
  <c r="Y88" i="1"/>
  <c r="BP85" i="1"/>
  <c r="BN85" i="1"/>
  <c r="Z85" i="1"/>
  <c r="Z88" i="1" s="1"/>
  <c r="BP93" i="1"/>
  <c r="BN93" i="1"/>
  <c r="Z93" i="1"/>
  <c r="BP102" i="1"/>
  <c r="BN102" i="1"/>
  <c r="Z102" i="1"/>
  <c r="Y104" i="1"/>
  <c r="Y109" i="1"/>
  <c r="BP106" i="1"/>
  <c r="BN106" i="1"/>
  <c r="Z106" i="1"/>
  <c r="Z109" i="1" s="1"/>
  <c r="BP114" i="1"/>
  <c r="BN114" i="1"/>
  <c r="Z114" i="1"/>
  <c r="Y131" i="1"/>
  <c r="BP135" i="1"/>
  <c r="BN135" i="1"/>
  <c r="Z135" i="1"/>
  <c r="Z136" i="1" s="1"/>
  <c r="Y137" i="1"/>
  <c r="H498" i="1"/>
  <c r="Y143" i="1"/>
  <c r="BP140" i="1"/>
  <c r="BN140" i="1"/>
  <c r="Z140" i="1"/>
  <c r="Z142" i="1" s="1"/>
  <c r="Y149" i="1"/>
  <c r="Y148" i="1"/>
  <c r="Y152" i="1"/>
  <c r="BP151" i="1"/>
  <c r="BN151" i="1"/>
  <c r="Z151" i="1"/>
  <c r="Z152" i="1" s="1"/>
  <c r="Y153" i="1"/>
  <c r="I498" i="1"/>
  <c r="Y158" i="1"/>
  <c r="BP157" i="1"/>
  <c r="BN157" i="1"/>
  <c r="Z157" i="1"/>
  <c r="Z158" i="1" s="1"/>
  <c r="Y159" i="1"/>
  <c r="Y171" i="1"/>
  <c r="BP161" i="1"/>
  <c r="BN161" i="1"/>
  <c r="Z161" i="1"/>
  <c r="BP166" i="1"/>
  <c r="BN166" i="1"/>
  <c r="Z166" i="1"/>
  <c r="BP170" i="1"/>
  <c r="BN170" i="1"/>
  <c r="Z170" i="1"/>
  <c r="Y172" i="1"/>
  <c r="Y177" i="1"/>
  <c r="BP174" i="1"/>
  <c r="BN174" i="1"/>
  <c r="Z174" i="1"/>
  <c r="Z177" i="1" s="1"/>
  <c r="Y187" i="1"/>
  <c r="BP191" i="1"/>
  <c r="BN191" i="1"/>
  <c r="Z191" i="1"/>
  <c r="Z192" i="1" s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1" i="1"/>
  <c r="BN211" i="1"/>
  <c r="Z211" i="1"/>
  <c r="Z215" i="1" s="1"/>
  <c r="Y215" i="1"/>
  <c r="BP225" i="1"/>
  <c r="BN225" i="1"/>
  <c r="Z225" i="1"/>
  <c r="Z234" i="1" s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L498" i="1"/>
  <c r="BP258" i="1"/>
  <c r="BN258" i="1"/>
  <c r="Z258" i="1"/>
  <c r="Y260" i="1"/>
  <c r="M498" i="1"/>
  <c r="Y268" i="1"/>
  <c r="BP263" i="1"/>
  <c r="BN263" i="1"/>
  <c r="Z263" i="1"/>
  <c r="Y267" i="1"/>
  <c r="BP272" i="1"/>
  <c r="BN272" i="1"/>
  <c r="Z272" i="1"/>
  <c r="Z274" i="1" s="1"/>
  <c r="Y274" i="1"/>
  <c r="BP321" i="1"/>
  <c r="BN321" i="1"/>
  <c r="Z321" i="1"/>
  <c r="Z324" i="1" s="1"/>
  <c r="Y325" i="1"/>
  <c r="BP329" i="1"/>
  <c r="BN329" i="1"/>
  <c r="Z329" i="1"/>
  <c r="Y331" i="1"/>
  <c r="R498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4" i="1"/>
  <c r="Y355" i="1"/>
  <c r="BP352" i="1"/>
  <c r="BN352" i="1"/>
  <c r="Z352" i="1"/>
  <c r="Z354" i="1" s="1"/>
  <c r="BP386" i="1"/>
  <c r="BN386" i="1"/>
  <c r="Z386" i="1"/>
  <c r="BP390" i="1"/>
  <c r="BN390" i="1"/>
  <c r="Z390" i="1"/>
  <c r="Z410" i="1"/>
  <c r="BP407" i="1"/>
  <c r="BN407" i="1"/>
  <c r="Z407" i="1"/>
  <c r="Y411" i="1"/>
  <c r="BP422" i="1"/>
  <c r="BN422" i="1"/>
  <c r="Z422" i="1"/>
  <c r="BP458" i="1"/>
  <c r="BN458" i="1"/>
  <c r="Z458" i="1"/>
  <c r="Y462" i="1"/>
  <c r="Y498" i="1"/>
  <c r="BP466" i="1"/>
  <c r="BN466" i="1"/>
  <c r="Z466" i="1"/>
  <c r="Y468" i="1"/>
  <c r="Y473" i="1"/>
  <c r="BP470" i="1"/>
  <c r="BN470" i="1"/>
  <c r="Z470" i="1"/>
  <c r="Z472" i="1" s="1"/>
  <c r="Y472" i="1"/>
  <c r="U498" i="1"/>
  <c r="F498" i="1"/>
  <c r="Y103" i="1"/>
  <c r="G498" i="1"/>
  <c r="Y126" i="1"/>
  <c r="Y221" i="1"/>
  <c r="BP218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279" i="1"/>
  <c r="BN279" i="1"/>
  <c r="Z279" i="1"/>
  <c r="Z280" i="1" s="1"/>
  <c r="Y281" i="1"/>
  <c r="Y285" i="1"/>
  <c r="BP283" i="1"/>
  <c r="BN283" i="1"/>
  <c r="Z283" i="1"/>
  <c r="Z285" i="1" s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BP336" i="1"/>
  <c r="BN336" i="1"/>
  <c r="Z336" i="1"/>
  <c r="S498" i="1"/>
  <c r="Y349" i="1"/>
  <c r="BP342" i="1"/>
  <c r="BN342" i="1"/>
  <c r="Z342" i="1"/>
  <c r="BP346" i="1"/>
  <c r="BN346" i="1"/>
  <c r="Z346" i="1"/>
  <c r="BP368" i="1"/>
  <c r="BN368" i="1"/>
  <c r="Z368" i="1"/>
  <c r="Z369" i="1" s="1"/>
  <c r="Y370" i="1"/>
  <c r="Y375" i="1"/>
  <c r="BP372" i="1"/>
  <c r="BN372" i="1"/>
  <c r="Z372" i="1"/>
  <c r="Z374" i="1" s="1"/>
  <c r="Y374" i="1"/>
  <c r="Z379" i="1"/>
  <c r="K498" i="1"/>
  <c r="Y234" i="1"/>
  <c r="O498" i="1"/>
  <c r="Y275" i="1"/>
  <c r="P498" i="1"/>
  <c r="Y280" i="1"/>
  <c r="Y360" i="1"/>
  <c r="BP357" i="1"/>
  <c r="BN357" i="1"/>
  <c r="Z357" i="1"/>
  <c r="Z359" i="1" s="1"/>
  <c r="BP378" i="1"/>
  <c r="BN378" i="1"/>
  <c r="Z378" i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BP442" i="1"/>
  <c r="BN442" i="1"/>
  <c r="Z442" i="1"/>
  <c r="BP450" i="1"/>
  <c r="BN450" i="1"/>
  <c r="Z450" i="1"/>
  <c r="Z452" i="1" s="1"/>
  <c r="Y461" i="1"/>
  <c r="BP460" i="1"/>
  <c r="BN460" i="1"/>
  <c r="Z460" i="1"/>
  <c r="Z461" i="1" s="1"/>
  <c r="Y467" i="1"/>
  <c r="BP464" i="1"/>
  <c r="BN464" i="1"/>
  <c r="Z464" i="1"/>
  <c r="Z467" i="1" s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Y491" i="1" l="1"/>
  <c r="Z393" i="1"/>
  <c r="Z304" i="1"/>
  <c r="Z294" i="1"/>
  <c r="Z116" i="1"/>
  <c r="Z337" i="1"/>
  <c r="Z437" i="1"/>
  <c r="Z446" i="1"/>
  <c r="Z431" i="1"/>
  <c r="Z349" i="1"/>
  <c r="Z330" i="1"/>
  <c r="Z267" i="1"/>
  <c r="Z259" i="1"/>
  <c r="Z250" i="1"/>
  <c r="Z203" i="1"/>
  <c r="Z171" i="1"/>
  <c r="Z69" i="1"/>
  <c r="Z493" i="1" s="1"/>
  <c r="Y488" i="1"/>
</calcChain>
</file>

<file path=xl/sharedStrings.xml><?xml version="1.0" encoding="utf-8"?>
<sst xmlns="http://schemas.openxmlformats.org/spreadsheetml/2006/main" count="2270" uniqueCount="759">
  <si>
    <t xml:space="preserve">  БЛАНК ЗАКАЗА </t>
  </si>
  <si>
    <t>КИ</t>
  </si>
  <si>
    <t>на отгрузку продукции с ООО Трейд-Сервис с</t>
  </si>
  <si>
    <t>20.11.2025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</si>
  <si>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</si>
  <si>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</si>
  <si>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</si>
  <si>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</si>
  <si>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</si>
  <si>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</si>
  <si>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</si>
  <si>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</si>
  <si>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</si>
  <si>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</si>
  <si>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</si>
  <si>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</si>
  <si>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</si>
  <si>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</si>
  <si>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283032Российская Федерация, Донецкая Народная Респ, Донецк г, Чаадаева ул, д. 1,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</si>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</sst>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8"/>
  <sheetViews>
    <sheetView showGridLines="0" tabSelected="1" topLeftCell="A472" zoomScaleNormal="100" zoomScaleSheetLayoutView="100" workbookViewId="0">
      <selection activeCell="AA494" sqref="AA494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71"/>
      <c r="F1" s="571"/>
      <c r="G1" s="12" t="s">
        <v>1</v>
      </c>
      <c r="H1" s="615" t="s">
        <v>2</v>
      </c>
      <c r="I1" s="571"/>
      <c r="J1" s="571"/>
      <c r="K1" s="571"/>
      <c r="L1" s="571"/>
      <c r="M1" s="571"/>
      <c r="N1" s="571"/>
      <c r="O1" s="571"/>
      <c r="P1" s="571"/>
      <c r="Q1" s="571"/>
      <c r="R1" s="570" t="s">
        <v>3</v>
      </c>
      <c r="S1" s="571"/>
      <c r="T1" s="57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553"/>
      <c r="Q3" s="553"/>
      <c r="R3" s="553"/>
      <c r="S3" s="553"/>
      <c r="T3" s="553"/>
      <c r="U3" s="553"/>
      <c r="V3" s="553"/>
      <c r="W3" s="553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2" t="s">
        <v>7</v>
      </c>
      <c r="B5" s="628"/>
      <c r="C5" s="629"/>
      <c r="D5" s="617"/>
      <c r="E5" s="618"/>
      <c r="F5" s="822" t="s">
        <v>8</v>
      </c>
      <c r="G5" s="629"/>
      <c r="H5" s="617"/>
      <c r="I5" s="761"/>
      <c r="J5" s="761"/>
      <c r="K5" s="761"/>
      <c r="L5" s="761"/>
      <c r="M5" s="618"/>
      <c r="N5" s="58"/>
      <c r="P5" s="24" t="s">
        <v>9</v>
      </c>
      <c r="Q5" s="836">
        <v>45985</v>
      </c>
      <c r="R5" s="651"/>
      <c r="T5" s="699" t="s">
        <v>10</v>
      </c>
      <c r="U5" s="700"/>
      <c r="V5" s="701" t="s">
        <v>11</v>
      </c>
      <c r="W5" s="651"/>
      <c r="AB5" s="51"/>
      <c r="AC5" s="51"/>
      <c r="AD5" s="51"/>
      <c r="AE5" s="51"/>
    </row>
    <row r="6" spans="1:32" s="533" customFormat="1" ht="24" customHeight="1" x14ac:dyDescent="0.2">
      <c r="A6" s="652" t="s">
        <v>12</v>
      </c>
      <c r="B6" s="628"/>
      <c r="C6" s="629"/>
      <c r="D6" s="764" t="s">
        <v>13</v>
      </c>
      <c r="E6" s="765"/>
      <c r="F6" s="765"/>
      <c r="G6" s="765"/>
      <c r="H6" s="765"/>
      <c r="I6" s="765"/>
      <c r="J6" s="765"/>
      <c r="K6" s="765"/>
      <c r="L6" s="765"/>
      <c r="M6" s="651"/>
      <c r="N6" s="59"/>
      <c r="P6" s="24" t="s">
        <v>14</v>
      </c>
      <c r="Q6" s="844" t="str">
        <f>IF(Q5=0," ",CHOOSE(WEEKDAY(Q5,2),"Понедельник","Вторник","Среда","Четверг","Пятница","Суббота","Воскресенье"))</f>
        <v>Понедельник</v>
      </c>
      <c r="R6" s="547"/>
      <c r="T6" s="704" t="s">
        <v>15</v>
      </c>
      <c r="U6" s="700"/>
      <c r="V6" s="747" t="s">
        <v>16</v>
      </c>
      <c r="W6" s="585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6" t="str">
        <f>IFERROR(VLOOKUP(DeliveryAddress,Table,3,0),1)</f>
        <v>1</v>
      </c>
      <c r="E7" s="597"/>
      <c r="F7" s="597"/>
      <c r="G7" s="597"/>
      <c r="H7" s="597"/>
      <c r="I7" s="597"/>
      <c r="J7" s="597"/>
      <c r="K7" s="597"/>
      <c r="L7" s="597"/>
      <c r="M7" s="598"/>
      <c r="N7" s="60"/>
      <c r="P7" s="24"/>
      <c r="Q7" s="42"/>
      <c r="R7" s="42"/>
      <c r="T7" s="553"/>
      <c r="U7" s="700"/>
      <c r="V7" s="748"/>
      <c r="W7" s="749"/>
      <c r="AB7" s="51"/>
      <c r="AC7" s="51"/>
      <c r="AD7" s="51"/>
      <c r="AE7" s="51"/>
    </row>
    <row r="8" spans="1:32" s="533" customFormat="1" ht="25.5" customHeight="1" x14ac:dyDescent="0.2">
      <c r="A8" s="857" t="s">
        <v>17</v>
      </c>
      <c r="B8" s="558"/>
      <c r="C8" s="559"/>
      <c r="D8" s="609" t="s">
        <v>18</v>
      </c>
      <c r="E8" s="610"/>
      <c r="F8" s="610"/>
      <c r="G8" s="610"/>
      <c r="H8" s="610"/>
      <c r="I8" s="610"/>
      <c r="J8" s="610"/>
      <c r="K8" s="610"/>
      <c r="L8" s="610"/>
      <c r="M8" s="611"/>
      <c r="N8" s="61"/>
      <c r="P8" s="24" t="s">
        <v>19</v>
      </c>
      <c r="Q8" s="658">
        <v>0.41666666666666669</v>
      </c>
      <c r="R8" s="598"/>
      <c r="T8" s="553"/>
      <c r="U8" s="700"/>
      <c r="V8" s="748"/>
      <c r="W8" s="749"/>
      <c r="AB8" s="51"/>
      <c r="AC8" s="51"/>
      <c r="AD8" s="51"/>
      <c r="AE8" s="51"/>
    </row>
    <row r="9" spans="1:32" s="533" customFormat="1" ht="39.950000000000003" customHeight="1" x14ac:dyDescent="0.2">
      <c r="A9" s="67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3"/>
      <c r="C9" s="553"/>
      <c r="D9" s="669"/>
      <c r="E9" s="556"/>
      <c r="F9" s="67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3"/>
      <c r="H9" s="555" t="str">
        <f>IF(AND($A$9="Тип доверенности/получателя при получении в адресе перегруза:",$D$9="Разовая доверенность"),"Введите ФИО","")</f>
        <v/>
      </c>
      <c r="I9" s="556"/>
      <c r="J9" s="55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6"/>
      <c r="L9" s="556"/>
      <c r="M9" s="556"/>
      <c r="N9" s="531"/>
      <c r="P9" s="26" t="s">
        <v>20</v>
      </c>
      <c r="Q9" s="648"/>
      <c r="R9" s="649"/>
      <c r="T9" s="553"/>
      <c r="U9" s="700"/>
      <c r="V9" s="750"/>
      <c r="W9" s="751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3"/>
      <c r="C10" s="553"/>
      <c r="D10" s="669"/>
      <c r="E10" s="556"/>
      <c r="F10" s="67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3"/>
      <c r="H10" s="741" t="str">
        <f>IFERROR(VLOOKUP($D$10,Proxy,2,FALSE),"")</f>
        <v/>
      </c>
      <c r="I10" s="553"/>
      <c r="J10" s="553"/>
      <c r="K10" s="553"/>
      <c r="L10" s="553"/>
      <c r="M10" s="553"/>
      <c r="N10" s="532"/>
      <c r="P10" s="26" t="s">
        <v>21</v>
      </c>
      <c r="Q10" s="705"/>
      <c r="R10" s="706"/>
      <c r="U10" s="24" t="s">
        <v>22</v>
      </c>
      <c r="V10" s="584" t="s">
        <v>23</v>
      </c>
      <c r="W10" s="585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24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25</v>
      </c>
      <c r="Q11" s="650"/>
      <c r="R11" s="651"/>
      <c r="U11" s="24" t="s">
        <v>26</v>
      </c>
      <c r="V11" s="787" t="s">
        <v>27</v>
      </c>
      <c r="W11" s="64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0" t="s">
        <v>28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29</v>
      </c>
      <c r="Q12" s="658"/>
      <c r="R12" s="598"/>
      <c r="S12" s="23"/>
      <c r="U12" s="24"/>
      <c r="V12" s="571"/>
      <c r="W12" s="553"/>
      <c r="AB12" s="51"/>
      <c r="AC12" s="51"/>
      <c r="AD12" s="51"/>
      <c r="AE12" s="51"/>
    </row>
    <row r="13" spans="1:32" s="533" customFormat="1" ht="23.25" customHeight="1" x14ac:dyDescent="0.2">
      <c r="A13" s="690" t="s">
        <v>30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31</v>
      </c>
      <c r="Q13" s="787"/>
      <c r="R13" s="64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0" t="s">
        <v>32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8" t="s">
        <v>33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1" t="s">
        <v>34</v>
      </c>
      <c r="Q15" s="571"/>
      <c r="R15" s="571"/>
      <c r="S15" s="571"/>
      <c r="T15" s="57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2"/>
      <c r="Q16" s="682"/>
      <c r="R16" s="682"/>
      <c r="S16" s="682"/>
      <c r="T16" s="68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35</v>
      </c>
      <c r="B17" s="581" t="s">
        <v>36</v>
      </c>
      <c r="C17" s="666" t="s">
        <v>37</v>
      </c>
      <c r="D17" s="581" t="s">
        <v>38</v>
      </c>
      <c r="E17" s="636"/>
      <c r="F17" s="581" t="s">
        <v>39</v>
      </c>
      <c r="G17" s="581" t="s">
        <v>40</v>
      </c>
      <c r="H17" s="581" t="s">
        <v>41</v>
      </c>
      <c r="I17" s="581" t="s">
        <v>42</v>
      </c>
      <c r="J17" s="581" t="s">
        <v>43</v>
      </c>
      <c r="K17" s="581" t="s">
        <v>44</v>
      </c>
      <c r="L17" s="581" t="s">
        <v>45</v>
      </c>
      <c r="M17" s="581" t="s">
        <v>46</v>
      </c>
      <c r="N17" s="581" t="s">
        <v>47</v>
      </c>
      <c r="O17" s="581" t="s">
        <v>48</v>
      </c>
      <c r="P17" s="581" t="s">
        <v>49</v>
      </c>
      <c r="Q17" s="635"/>
      <c r="R17" s="635"/>
      <c r="S17" s="635"/>
      <c r="T17" s="636"/>
      <c r="U17" s="853" t="s">
        <v>50</v>
      </c>
      <c r="V17" s="629"/>
      <c r="W17" s="581" t="s">
        <v>51</v>
      </c>
      <c r="X17" s="581" t="s">
        <v>52</v>
      </c>
      <c r="Y17" s="854" t="s">
        <v>53</v>
      </c>
      <c r="Z17" s="759" t="s">
        <v>54</v>
      </c>
      <c r="AA17" s="738" t="s">
        <v>55</v>
      </c>
      <c r="AB17" s="738" t="s">
        <v>56</v>
      </c>
      <c r="AC17" s="738" t="s">
        <v>57</v>
      </c>
      <c r="AD17" s="738" t="s">
        <v>58</v>
      </c>
      <c r="AE17" s="816"/>
      <c r="AF17" s="817"/>
      <c r="AG17" s="66"/>
      <c r="BD17" s="65" t="s">
        <v>59</v>
      </c>
    </row>
    <row r="18" spans="1:68" ht="14.25" customHeight="1" x14ac:dyDescent="0.2">
      <c r="A18" s="582"/>
      <c r="B18" s="582"/>
      <c r="C18" s="582"/>
      <c r="D18" s="637"/>
      <c r="E18" s="639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7"/>
      <c r="Q18" s="638"/>
      <c r="R18" s="638"/>
      <c r="S18" s="638"/>
      <c r="T18" s="639"/>
      <c r="U18" s="67" t="s">
        <v>60</v>
      </c>
      <c r="V18" s="67" t="s">
        <v>61</v>
      </c>
      <c r="W18" s="582"/>
      <c r="X18" s="582"/>
      <c r="Y18" s="855"/>
      <c r="Z18" s="760"/>
      <c r="AA18" s="739"/>
      <c r="AB18" s="739"/>
      <c r="AC18" s="739"/>
      <c r="AD18" s="818"/>
      <c r="AE18" s="819"/>
      <c r="AF18" s="820"/>
      <c r="AG18" s="66"/>
      <c r="BD18" s="65"/>
    </row>
    <row r="19" spans="1:68" ht="27.75" customHeight="1" x14ac:dyDescent="0.2">
      <c r="A19" s="693" t="s">
        <v>62</v>
      </c>
      <c r="B19" s="694"/>
      <c r="C19" s="694"/>
      <c r="D19" s="694"/>
      <c r="E19" s="694"/>
      <c r="F19" s="694"/>
      <c r="G19" s="694"/>
      <c r="H19" s="694"/>
      <c r="I19" s="694"/>
      <c r="J19" s="694"/>
      <c r="K19" s="694"/>
      <c r="L19" s="694"/>
      <c r="M19" s="694"/>
      <c r="N19" s="694"/>
      <c r="O19" s="694"/>
      <c r="P19" s="694"/>
      <c r="Q19" s="694"/>
      <c r="R19" s="694"/>
      <c r="S19" s="694"/>
      <c r="T19" s="694"/>
      <c r="U19" s="694"/>
      <c r="V19" s="694"/>
      <c r="W19" s="694"/>
      <c r="X19" s="694"/>
      <c r="Y19" s="694"/>
      <c r="Z19" s="694"/>
      <c r="AA19" s="48"/>
      <c r="AB19" s="48"/>
      <c r="AC19" s="48"/>
    </row>
    <row r="20" spans="1:68" ht="16.5" customHeight="1" x14ac:dyDescent="0.25">
      <c r="A20" s="552" t="s">
        <v>62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534"/>
      <c r="AB20" s="534"/>
      <c r="AC20" s="534"/>
    </row>
    <row r="21" spans="1:68" ht="14.25" customHeight="1" x14ac:dyDescent="0.25">
      <c r="A21" s="554" t="s">
        <v>63</v>
      </c>
      <c r="B21" s="553"/>
      <c r="C21" s="553"/>
      <c r="D21" s="553"/>
      <c r="E21" s="553"/>
      <c r="F21" s="553"/>
      <c r="G21" s="553"/>
      <c r="H21" s="553"/>
      <c r="I21" s="553"/>
      <c r="J21" s="553"/>
      <c r="K21" s="553"/>
      <c r="L21" s="553"/>
      <c r="M21" s="553"/>
      <c r="N21" s="553"/>
      <c r="O21" s="553"/>
      <c r="P21" s="553"/>
      <c r="Q21" s="553"/>
      <c r="R21" s="553"/>
      <c r="S21" s="553"/>
      <c r="T21" s="553"/>
      <c r="U21" s="553"/>
      <c r="V21" s="553"/>
      <c r="W21" s="553"/>
      <c r="X21" s="553"/>
      <c r="Y21" s="553"/>
      <c r="Z21" s="553"/>
      <c r="AA21" s="535"/>
      <c r="AB21" s="535"/>
      <c r="AC21" s="535"/>
    </row>
    <row r="22" spans="1:68" ht="27" customHeight="1" x14ac:dyDescent="0.25">
      <c r="A22" s="54" t="s">
        <v>64</v>
      </c>
      <c r="B22" s="54" t="s">
        <v>65</v>
      </c>
      <c r="C22" s="31">
        <v>4301031278</v>
      </c>
      <c r="D22" s="546">
        <v>4680115886643</v>
      </c>
      <c r="E22" s="547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66</v>
      </c>
      <c r="L22" s="32"/>
      <c r="M22" s="33" t="s">
        <v>67</v>
      </c>
      <c r="N22" s="33"/>
      <c r="O22" s="32">
        <v>40</v>
      </c>
      <c r="P22" s="753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4"/>
      <c r="R22" s="544"/>
      <c r="S22" s="544"/>
      <c r="T22" s="545"/>
      <c r="U22" s="34"/>
      <c r="V22" s="34"/>
      <c r="W22" s="35" t="s">
        <v>68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69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67"/>
      <c r="B23" s="553"/>
      <c r="C23" s="553"/>
      <c r="D23" s="553"/>
      <c r="E23" s="553"/>
      <c r="F23" s="553"/>
      <c r="G23" s="553"/>
      <c r="H23" s="553"/>
      <c r="I23" s="553"/>
      <c r="J23" s="553"/>
      <c r="K23" s="553"/>
      <c r="L23" s="553"/>
      <c r="M23" s="553"/>
      <c r="N23" s="553"/>
      <c r="O23" s="568"/>
      <c r="P23" s="557" t="s">
        <v>70</v>
      </c>
      <c r="Q23" s="558"/>
      <c r="R23" s="558"/>
      <c r="S23" s="558"/>
      <c r="T23" s="558"/>
      <c r="U23" s="558"/>
      <c r="V23" s="559"/>
      <c r="W23" s="37" t="s">
        <v>71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x14ac:dyDescent="0.2">
      <c r="A24" s="553"/>
      <c r="B24" s="553"/>
      <c r="C24" s="553"/>
      <c r="D24" s="553"/>
      <c r="E24" s="553"/>
      <c r="F24" s="553"/>
      <c r="G24" s="553"/>
      <c r="H24" s="553"/>
      <c r="I24" s="553"/>
      <c r="J24" s="553"/>
      <c r="K24" s="553"/>
      <c r="L24" s="553"/>
      <c r="M24" s="553"/>
      <c r="N24" s="553"/>
      <c r="O24" s="568"/>
      <c r="P24" s="557" t="s">
        <v>70</v>
      </c>
      <c r="Q24" s="558"/>
      <c r="R24" s="558"/>
      <c r="S24" s="558"/>
      <c r="T24" s="558"/>
      <c r="U24" s="558"/>
      <c r="V24" s="559"/>
      <c r="W24" s="37" t="s">
        <v>68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customHeight="1" x14ac:dyDescent="0.25">
      <c r="A25" s="554" t="s">
        <v>72</v>
      </c>
      <c r="B25" s="553"/>
      <c r="C25" s="553"/>
      <c r="D25" s="553"/>
      <c r="E25" s="553"/>
      <c r="F25" s="553"/>
      <c r="G25" s="553"/>
      <c r="H25" s="553"/>
      <c r="I25" s="553"/>
      <c r="J25" s="553"/>
      <c r="K25" s="553"/>
      <c r="L25" s="553"/>
      <c r="M25" s="553"/>
      <c r="N25" s="553"/>
      <c r="O25" s="553"/>
      <c r="P25" s="553"/>
      <c r="Q25" s="553"/>
      <c r="R25" s="553"/>
      <c r="S25" s="553"/>
      <c r="T25" s="553"/>
      <c r="U25" s="553"/>
      <c r="V25" s="553"/>
      <c r="W25" s="553"/>
      <c r="X25" s="553"/>
      <c r="Y25" s="553"/>
      <c r="Z25" s="553"/>
      <c r="AA25" s="535"/>
      <c r="AB25" s="535"/>
      <c r="AC25" s="535"/>
    </row>
    <row r="26" spans="1:68" ht="27" customHeight="1" x14ac:dyDescent="0.25">
      <c r="A26" s="54" t="s">
        <v>73</v>
      </c>
      <c r="B26" s="54" t="s">
        <v>74</v>
      </c>
      <c r="C26" s="31">
        <v>4301051866</v>
      </c>
      <c r="D26" s="546">
        <v>4680115885912</v>
      </c>
      <c r="E26" s="547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75</v>
      </c>
      <c r="L26" s="32"/>
      <c r="M26" s="33" t="s">
        <v>76</v>
      </c>
      <c r="N26" s="33"/>
      <c r="O26" s="32">
        <v>40</v>
      </c>
      <c r="P26" s="71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4"/>
      <c r="R26" s="544"/>
      <c r="S26" s="544"/>
      <c r="T26" s="545"/>
      <c r="U26" s="34"/>
      <c r="V26" s="34"/>
      <c r="W26" s="35" t="s">
        <v>68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77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78</v>
      </c>
      <c r="B27" s="54" t="s">
        <v>79</v>
      </c>
      <c r="C27" s="31">
        <v>4301051776</v>
      </c>
      <c r="D27" s="546">
        <v>4607091388237</v>
      </c>
      <c r="E27" s="547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75</v>
      </c>
      <c r="L27" s="32"/>
      <c r="M27" s="33" t="s">
        <v>76</v>
      </c>
      <c r="N27" s="33"/>
      <c r="O27" s="32">
        <v>40</v>
      </c>
      <c r="P27" s="73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4"/>
      <c r="R27" s="544"/>
      <c r="S27" s="544"/>
      <c r="T27" s="545"/>
      <c r="U27" s="34"/>
      <c r="V27" s="34"/>
      <c r="W27" s="35" t="s">
        <v>68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80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81</v>
      </c>
      <c r="B28" s="54" t="s">
        <v>82</v>
      </c>
      <c r="C28" s="31">
        <v>4301052063</v>
      </c>
      <c r="D28" s="546">
        <v>4680115887350</v>
      </c>
      <c r="E28" s="547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75</v>
      </c>
      <c r="L28" s="32"/>
      <c r="M28" s="33" t="s">
        <v>83</v>
      </c>
      <c r="N28" s="33"/>
      <c r="O28" s="32">
        <v>40</v>
      </c>
      <c r="P28" s="57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4"/>
      <c r="R28" s="544"/>
      <c r="S28" s="544"/>
      <c r="T28" s="545"/>
      <c r="U28" s="34"/>
      <c r="V28" s="34"/>
      <c r="W28" s="35" t="s">
        <v>68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84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4301051863</v>
      </c>
      <c r="D29" s="546">
        <v>4680115885905</v>
      </c>
      <c r="E29" s="547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75</v>
      </c>
      <c r="L29" s="32"/>
      <c r="M29" s="33" t="s">
        <v>83</v>
      </c>
      <c r="N29" s="33"/>
      <c r="O29" s="32">
        <v>40</v>
      </c>
      <c r="P29" s="60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4"/>
      <c r="R29" s="544"/>
      <c r="S29" s="544"/>
      <c r="T29" s="545"/>
      <c r="U29" s="34"/>
      <c r="V29" s="34"/>
      <c r="W29" s="35" t="s">
        <v>68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88</v>
      </c>
      <c r="B30" s="54" t="s">
        <v>89</v>
      </c>
      <c r="C30" s="31">
        <v>4301051851</v>
      </c>
      <c r="D30" s="546">
        <v>4607091388244</v>
      </c>
      <c r="E30" s="547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75</v>
      </c>
      <c r="L30" s="32"/>
      <c r="M30" s="33" t="s">
        <v>83</v>
      </c>
      <c r="N30" s="33"/>
      <c r="O30" s="32">
        <v>40</v>
      </c>
      <c r="P30" s="579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4"/>
      <c r="R30" s="544"/>
      <c r="S30" s="544"/>
      <c r="T30" s="545"/>
      <c r="U30" s="34"/>
      <c r="V30" s="34"/>
      <c r="W30" s="35" t="s">
        <v>68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67"/>
      <c r="B31" s="553"/>
      <c r="C31" s="553"/>
      <c r="D31" s="553"/>
      <c r="E31" s="553"/>
      <c r="F31" s="553"/>
      <c r="G31" s="553"/>
      <c r="H31" s="553"/>
      <c r="I31" s="553"/>
      <c r="J31" s="553"/>
      <c r="K31" s="553"/>
      <c r="L31" s="553"/>
      <c r="M31" s="553"/>
      <c r="N31" s="553"/>
      <c r="O31" s="568"/>
      <c r="P31" s="557" t="s">
        <v>70</v>
      </c>
      <c r="Q31" s="558"/>
      <c r="R31" s="558"/>
      <c r="S31" s="558"/>
      <c r="T31" s="558"/>
      <c r="U31" s="558"/>
      <c r="V31" s="559"/>
      <c r="W31" s="37" t="s">
        <v>71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x14ac:dyDescent="0.2">
      <c r="A32" s="553"/>
      <c r="B32" s="553"/>
      <c r="C32" s="553"/>
      <c r="D32" s="553"/>
      <c r="E32" s="553"/>
      <c r="F32" s="553"/>
      <c r="G32" s="553"/>
      <c r="H32" s="553"/>
      <c r="I32" s="553"/>
      <c r="J32" s="553"/>
      <c r="K32" s="553"/>
      <c r="L32" s="553"/>
      <c r="M32" s="553"/>
      <c r="N32" s="553"/>
      <c r="O32" s="568"/>
      <c r="P32" s="557" t="s">
        <v>70</v>
      </c>
      <c r="Q32" s="558"/>
      <c r="R32" s="558"/>
      <c r="S32" s="558"/>
      <c r="T32" s="558"/>
      <c r="U32" s="558"/>
      <c r="V32" s="559"/>
      <c r="W32" s="37" t="s">
        <v>68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customHeight="1" x14ac:dyDescent="0.25">
      <c r="A33" s="554" t="s">
        <v>90</v>
      </c>
      <c r="B33" s="553"/>
      <c r="C33" s="553"/>
      <c r="D33" s="553"/>
      <c r="E33" s="553"/>
      <c r="F33" s="553"/>
      <c r="G33" s="553"/>
      <c r="H33" s="553"/>
      <c r="I33" s="553"/>
      <c r="J33" s="553"/>
      <c r="K33" s="553"/>
      <c r="L33" s="553"/>
      <c r="M33" s="553"/>
      <c r="N33" s="553"/>
      <c r="O33" s="553"/>
      <c r="P33" s="553"/>
      <c r="Q33" s="553"/>
      <c r="R33" s="553"/>
      <c r="S33" s="553"/>
      <c r="T33" s="553"/>
      <c r="U33" s="553"/>
      <c r="V33" s="553"/>
      <c r="W33" s="553"/>
      <c r="X33" s="553"/>
      <c r="Y33" s="553"/>
      <c r="Z33" s="553"/>
      <c r="AA33" s="535"/>
      <c r="AB33" s="535"/>
      <c r="AC33" s="535"/>
    </row>
    <row r="34" spans="1:68" ht="27" customHeight="1" x14ac:dyDescent="0.25">
      <c r="A34" s="54" t="s">
        <v>91</v>
      </c>
      <c r="B34" s="54" t="s">
        <v>92</v>
      </c>
      <c r="C34" s="31">
        <v>4301032013</v>
      </c>
      <c r="D34" s="546">
        <v>4607091388503</v>
      </c>
      <c r="E34" s="547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75</v>
      </c>
      <c r="L34" s="32"/>
      <c r="M34" s="33" t="s">
        <v>93</v>
      </c>
      <c r="N34" s="33"/>
      <c r="O34" s="32">
        <v>120</v>
      </c>
      <c r="P34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4"/>
      <c r="R34" s="544"/>
      <c r="S34" s="544"/>
      <c r="T34" s="545"/>
      <c r="U34" s="34"/>
      <c r="V34" s="34"/>
      <c r="W34" s="35" t="s">
        <v>68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94</v>
      </c>
      <c r="AG34" s="64"/>
      <c r="AJ34" s="68"/>
      <c r="AK34" s="68">
        <v>0</v>
      </c>
      <c r="BB34" s="82" t="s">
        <v>95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67"/>
      <c r="B35" s="553"/>
      <c r="C35" s="553"/>
      <c r="D35" s="553"/>
      <c r="E35" s="553"/>
      <c r="F35" s="553"/>
      <c r="G35" s="553"/>
      <c r="H35" s="553"/>
      <c r="I35" s="553"/>
      <c r="J35" s="553"/>
      <c r="K35" s="553"/>
      <c r="L35" s="553"/>
      <c r="M35" s="553"/>
      <c r="N35" s="553"/>
      <c r="O35" s="568"/>
      <c r="P35" s="557" t="s">
        <v>70</v>
      </c>
      <c r="Q35" s="558"/>
      <c r="R35" s="558"/>
      <c r="S35" s="558"/>
      <c r="T35" s="558"/>
      <c r="U35" s="558"/>
      <c r="V35" s="559"/>
      <c r="W35" s="37" t="s">
        <v>71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x14ac:dyDescent="0.2">
      <c r="A36" s="553"/>
      <c r="B36" s="553"/>
      <c r="C36" s="553"/>
      <c r="D36" s="553"/>
      <c r="E36" s="553"/>
      <c r="F36" s="553"/>
      <c r="G36" s="553"/>
      <c r="H36" s="553"/>
      <c r="I36" s="553"/>
      <c r="J36" s="553"/>
      <c r="K36" s="553"/>
      <c r="L36" s="553"/>
      <c r="M36" s="553"/>
      <c r="N36" s="553"/>
      <c r="O36" s="568"/>
      <c r="P36" s="557" t="s">
        <v>70</v>
      </c>
      <c r="Q36" s="558"/>
      <c r="R36" s="558"/>
      <c r="S36" s="558"/>
      <c r="T36" s="558"/>
      <c r="U36" s="558"/>
      <c r="V36" s="559"/>
      <c r="W36" s="37" t="s">
        <v>68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customHeight="1" x14ac:dyDescent="0.2">
      <c r="A37" s="693" t="s">
        <v>96</v>
      </c>
      <c r="B37" s="694"/>
      <c r="C37" s="694"/>
      <c r="D37" s="694"/>
      <c r="E37" s="694"/>
      <c r="F37" s="694"/>
      <c r="G37" s="694"/>
      <c r="H37" s="694"/>
      <c r="I37" s="694"/>
      <c r="J37" s="694"/>
      <c r="K37" s="694"/>
      <c r="L37" s="694"/>
      <c r="M37" s="694"/>
      <c r="N37" s="694"/>
      <c r="O37" s="694"/>
      <c r="P37" s="694"/>
      <c r="Q37" s="694"/>
      <c r="R37" s="694"/>
      <c r="S37" s="694"/>
      <c r="T37" s="694"/>
      <c r="U37" s="694"/>
      <c r="V37" s="694"/>
      <c r="W37" s="694"/>
      <c r="X37" s="694"/>
      <c r="Y37" s="694"/>
      <c r="Z37" s="694"/>
      <c r="AA37" s="48"/>
      <c r="AB37" s="48"/>
      <c r="AC37" s="48"/>
    </row>
    <row r="38" spans="1:68" ht="16.5" customHeight="1" x14ac:dyDescent="0.25">
      <c r="A38" s="552" t="s">
        <v>97</v>
      </c>
      <c r="B38" s="553"/>
      <c r="C38" s="553"/>
      <c r="D38" s="553"/>
      <c r="E38" s="553"/>
      <c r="F38" s="553"/>
      <c r="G38" s="553"/>
      <c r="H38" s="553"/>
      <c r="I38" s="553"/>
      <c r="J38" s="553"/>
      <c r="K38" s="553"/>
      <c r="L38" s="553"/>
      <c r="M38" s="553"/>
      <c r="N38" s="553"/>
      <c r="O38" s="553"/>
      <c r="P38" s="553"/>
      <c r="Q38" s="553"/>
      <c r="R38" s="553"/>
      <c r="S38" s="553"/>
      <c r="T38" s="553"/>
      <c r="U38" s="553"/>
      <c r="V38" s="553"/>
      <c r="W38" s="553"/>
      <c r="X38" s="553"/>
      <c r="Y38" s="553"/>
      <c r="Z38" s="553"/>
      <c r="AA38" s="534"/>
      <c r="AB38" s="534"/>
      <c r="AC38" s="534"/>
    </row>
    <row r="39" spans="1:68" ht="14.25" customHeight="1" x14ac:dyDescent="0.25">
      <c r="A39" s="554" t="s">
        <v>98</v>
      </c>
      <c r="B39" s="553"/>
      <c r="C39" s="553"/>
      <c r="D39" s="553"/>
      <c r="E39" s="553"/>
      <c r="F39" s="553"/>
      <c r="G39" s="553"/>
      <c r="H39" s="553"/>
      <c r="I39" s="553"/>
      <c r="J39" s="553"/>
      <c r="K39" s="553"/>
      <c r="L39" s="553"/>
      <c r="M39" s="553"/>
      <c r="N39" s="553"/>
      <c r="O39" s="553"/>
      <c r="P39" s="553"/>
      <c r="Q39" s="553"/>
      <c r="R39" s="553"/>
      <c r="S39" s="553"/>
      <c r="T39" s="553"/>
      <c r="U39" s="553"/>
      <c r="V39" s="553"/>
      <c r="W39" s="553"/>
      <c r="X39" s="553"/>
      <c r="Y39" s="553"/>
      <c r="Z39" s="553"/>
      <c r="AA39" s="535"/>
      <c r="AB39" s="535"/>
      <c r="AC39" s="535"/>
    </row>
    <row r="40" spans="1:68" ht="16.5" customHeight="1" x14ac:dyDescent="0.25">
      <c r="A40" s="54" t="s">
        <v>99</v>
      </c>
      <c r="B40" s="54" t="s">
        <v>100</v>
      </c>
      <c r="C40" s="31">
        <v>4301011380</v>
      </c>
      <c r="D40" s="546">
        <v>4607091385670</v>
      </c>
      <c r="E40" s="547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101</v>
      </c>
      <c r="L40" s="32" t="s">
        <v>102</v>
      </c>
      <c r="M40" s="33" t="s">
        <v>103</v>
      </c>
      <c r="N40" s="33"/>
      <c r="O40" s="32">
        <v>50</v>
      </c>
      <c r="P40" s="75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4"/>
      <c r="R40" s="544"/>
      <c r="S40" s="544"/>
      <c r="T40" s="545"/>
      <c r="U40" s="34"/>
      <c r="V40" s="34"/>
      <c r="W40" s="35" t="s">
        <v>68</v>
      </c>
      <c r="X40" s="539">
        <v>62</v>
      </c>
      <c r="Y40" s="540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104</v>
      </c>
      <c r="AG40" s="64"/>
      <c r="AJ40" s="68" t="s">
        <v>105</v>
      </c>
      <c r="AK40" s="68">
        <v>86.4</v>
      </c>
      <c r="BB40" s="84" t="s">
        <v>1</v>
      </c>
      <c r="BM40" s="64">
        <f>IFERROR(X40*I40/H40,"0")</f>
        <v>64.353703703703715</v>
      </c>
      <c r="BN40" s="64">
        <f>IFERROR(Y40*I40/H40,"0")</f>
        <v>67.260000000000005</v>
      </c>
      <c r="BO40" s="64">
        <f>IFERROR(1/J40*(X40/H40),"0")</f>
        <v>8.969907407407407E-2</v>
      </c>
      <c r="BP40" s="64">
        <f>IFERROR(1/J40*(Y40/H40),"0")</f>
        <v>9.3750000000000014E-2</v>
      </c>
    </row>
    <row r="41" spans="1:68" ht="27" customHeight="1" x14ac:dyDescent="0.25">
      <c r="A41" s="54" t="s">
        <v>106</v>
      </c>
      <c r="B41" s="54" t="s">
        <v>107</v>
      </c>
      <c r="C41" s="31">
        <v>4301011382</v>
      </c>
      <c r="D41" s="546">
        <v>4607091385687</v>
      </c>
      <c r="E41" s="547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108</v>
      </c>
      <c r="L41" s="32" t="s">
        <v>109</v>
      </c>
      <c r="M41" s="33" t="s">
        <v>76</v>
      </c>
      <c r="N41" s="33"/>
      <c r="O41" s="32">
        <v>50</v>
      </c>
      <c r="P41" s="79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4"/>
      <c r="R41" s="544"/>
      <c r="S41" s="544"/>
      <c r="T41" s="545"/>
      <c r="U41" s="34"/>
      <c r="V41" s="34"/>
      <c r="W41" s="35" t="s">
        <v>68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104</v>
      </c>
      <c r="AG41" s="64"/>
      <c r="AJ41" s="68" t="s">
        <v>105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6">
        <v>4680115882539</v>
      </c>
      <c r="E42" s="547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108</v>
      </c>
      <c r="L42" s="32"/>
      <c r="M42" s="33" t="s">
        <v>76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4"/>
      <c r="R42" s="544"/>
      <c r="S42" s="544"/>
      <c r="T42" s="545"/>
      <c r="U42" s="34"/>
      <c r="V42" s="34"/>
      <c r="W42" s="35" t="s">
        <v>68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104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67"/>
      <c r="B43" s="553"/>
      <c r="C43" s="553"/>
      <c r="D43" s="553"/>
      <c r="E43" s="553"/>
      <c r="F43" s="553"/>
      <c r="G43" s="553"/>
      <c r="H43" s="553"/>
      <c r="I43" s="553"/>
      <c r="J43" s="553"/>
      <c r="K43" s="553"/>
      <c r="L43" s="553"/>
      <c r="M43" s="553"/>
      <c r="N43" s="553"/>
      <c r="O43" s="568"/>
      <c r="P43" s="557" t="s">
        <v>70</v>
      </c>
      <c r="Q43" s="558"/>
      <c r="R43" s="558"/>
      <c r="S43" s="558"/>
      <c r="T43" s="558"/>
      <c r="U43" s="558"/>
      <c r="V43" s="559"/>
      <c r="W43" s="37" t="s">
        <v>71</v>
      </c>
      <c r="X43" s="541">
        <f>IFERROR(X40/H40,"0")+IFERROR(X41/H41,"0")+IFERROR(X42/H42,"0")</f>
        <v>5.7407407407407405</v>
      </c>
      <c r="Y43" s="541">
        <f>IFERROR(Y40/H40,"0")+IFERROR(Y41/H41,"0")+IFERROR(Y42/H42,"0")</f>
        <v>6.0000000000000009</v>
      </c>
      <c r="Z43" s="541">
        <f>IFERROR(IF(Z40="",0,Z40),"0")+IFERROR(IF(Z41="",0,Z41),"0")+IFERROR(IF(Z42="",0,Z42),"0")</f>
        <v>0.11388000000000001</v>
      </c>
      <c r="AA43" s="542"/>
      <c r="AB43" s="542"/>
      <c r="AC43" s="542"/>
    </row>
    <row r="44" spans="1:68" x14ac:dyDescent="0.2">
      <c r="A44" s="553"/>
      <c r="B44" s="553"/>
      <c r="C44" s="553"/>
      <c r="D44" s="553"/>
      <c r="E44" s="553"/>
      <c r="F44" s="553"/>
      <c r="G44" s="553"/>
      <c r="H44" s="553"/>
      <c r="I44" s="553"/>
      <c r="J44" s="553"/>
      <c r="K44" s="553"/>
      <c r="L44" s="553"/>
      <c r="M44" s="553"/>
      <c r="N44" s="553"/>
      <c r="O44" s="568"/>
      <c r="P44" s="557" t="s">
        <v>70</v>
      </c>
      <c r="Q44" s="558"/>
      <c r="R44" s="558"/>
      <c r="S44" s="558"/>
      <c r="T44" s="558"/>
      <c r="U44" s="558"/>
      <c r="V44" s="559"/>
      <c r="W44" s="37" t="s">
        <v>68</v>
      </c>
      <c r="X44" s="541">
        <f>IFERROR(SUM(X40:X42),"0")</f>
        <v>62</v>
      </c>
      <c r="Y44" s="541">
        <f>IFERROR(SUM(Y40:Y42),"0")</f>
        <v>64.800000000000011</v>
      </c>
      <c r="Z44" s="37"/>
      <c r="AA44" s="542"/>
      <c r="AB44" s="542"/>
      <c r="AC44" s="542"/>
    </row>
    <row r="45" spans="1:68" ht="14.25" customHeight="1" x14ac:dyDescent="0.25">
      <c r="A45" s="554" t="s">
        <v>72</v>
      </c>
      <c r="B45" s="553"/>
      <c r="C45" s="553"/>
      <c r="D45" s="553"/>
      <c r="E45" s="553"/>
      <c r="F45" s="553"/>
      <c r="G45" s="553"/>
      <c r="H45" s="553"/>
      <c r="I45" s="553"/>
      <c r="J45" s="553"/>
      <c r="K45" s="553"/>
      <c r="L45" s="553"/>
      <c r="M45" s="553"/>
      <c r="N45" s="553"/>
      <c r="O45" s="553"/>
      <c r="P45" s="553"/>
      <c r="Q45" s="553"/>
      <c r="R45" s="553"/>
      <c r="S45" s="553"/>
      <c r="T45" s="553"/>
      <c r="U45" s="553"/>
      <c r="V45" s="553"/>
      <c r="W45" s="553"/>
      <c r="X45" s="553"/>
      <c r="Y45" s="553"/>
      <c r="Z45" s="553"/>
      <c r="AA45" s="535"/>
      <c r="AB45" s="535"/>
      <c r="AC45" s="535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6">
        <v>4680115884915</v>
      </c>
      <c r="E46" s="547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75</v>
      </c>
      <c r="L46" s="32"/>
      <c r="M46" s="33" t="s">
        <v>76</v>
      </c>
      <c r="N46" s="33"/>
      <c r="O46" s="32">
        <v>40</v>
      </c>
      <c r="P46" s="778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4"/>
      <c r="R46" s="544"/>
      <c r="S46" s="544"/>
      <c r="T46" s="545"/>
      <c r="U46" s="34"/>
      <c r="V46" s="34"/>
      <c r="W46" s="35" t="s">
        <v>68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67"/>
      <c r="B47" s="553"/>
      <c r="C47" s="553"/>
      <c r="D47" s="553"/>
      <c r="E47" s="553"/>
      <c r="F47" s="553"/>
      <c r="G47" s="553"/>
      <c r="H47" s="553"/>
      <c r="I47" s="553"/>
      <c r="J47" s="553"/>
      <c r="K47" s="553"/>
      <c r="L47" s="553"/>
      <c r="M47" s="553"/>
      <c r="N47" s="553"/>
      <c r="O47" s="568"/>
      <c r="P47" s="557" t="s">
        <v>70</v>
      </c>
      <c r="Q47" s="558"/>
      <c r="R47" s="558"/>
      <c r="S47" s="558"/>
      <c r="T47" s="558"/>
      <c r="U47" s="558"/>
      <c r="V47" s="559"/>
      <c r="W47" s="37" t="s">
        <v>71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x14ac:dyDescent="0.2">
      <c r="A48" s="553"/>
      <c r="B48" s="553"/>
      <c r="C48" s="553"/>
      <c r="D48" s="553"/>
      <c r="E48" s="553"/>
      <c r="F48" s="553"/>
      <c r="G48" s="553"/>
      <c r="H48" s="553"/>
      <c r="I48" s="553"/>
      <c r="J48" s="553"/>
      <c r="K48" s="553"/>
      <c r="L48" s="553"/>
      <c r="M48" s="553"/>
      <c r="N48" s="553"/>
      <c r="O48" s="568"/>
      <c r="P48" s="557" t="s">
        <v>70</v>
      </c>
      <c r="Q48" s="558"/>
      <c r="R48" s="558"/>
      <c r="S48" s="558"/>
      <c r="T48" s="558"/>
      <c r="U48" s="558"/>
      <c r="V48" s="559"/>
      <c r="W48" s="37" t="s">
        <v>68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customHeight="1" x14ac:dyDescent="0.25">
      <c r="A49" s="552" t="s">
        <v>115</v>
      </c>
      <c r="B49" s="553"/>
      <c r="C49" s="553"/>
      <c r="D49" s="553"/>
      <c r="E49" s="553"/>
      <c r="F49" s="553"/>
      <c r="G49" s="553"/>
      <c r="H49" s="553"/>
      <c r="I49" s="553"/>
      <c r="J49" s="553"/>
      <c r="K49" s="553"/>
      <c r="L49" s="553"/>
      <c r="M49" s="553"/>
      <c r="N49" s="553"/>
      <c r="O49" s="553"/>
      <c r="P49" s="553"/>
      <c r="Q49" s="553"/>
      <c r="R49" s="553"/>
      <c r="S49" s="553"/>
      <c r="T49" s="553"/>
      <c r="U49" s="553"/>
      <c r="V49" s="553"/>
      <c r="W49" s="553"/>
      <c r="X49" s="553"/>
      <c r="Y49" s="553"/>
      <c r="Z49" s="553"/>
      <c r="AA49" s="534"/>
      <c r="AB49" s="534"/>
      <c r="AC49" s="534"/>
    </row>
    <row r="50" spans="1:68" ht="14.25" customHeight="1" x14ac:dyDescent="0.25">
      <c r="A50" s="554" t="s">
        <v>98</v>
      </c>
      <c r="B50" s="553"/>
      <c r="C50" s="553"/>
      <c r="D50" s="553"/>
      <c r="E50" s="553"/>
      <c r="F50" s="553"/>
      <c r="G50" s="553"/>
      <c r="H50" s="553"/>
      <c r="I50" s="553"/>
      <c r="J50" s="553"/>
      <c r="K50" s="553"/>
      <c r="L50" s="553"/>
      <c r="M50" s="553"/>
      <c r="N50" s="553"/>
      <c r="O50" s="553"/>
      <c r="P50" s="553"/>
      <c r="Q50" s="553"/>
      <c r="R50" s="553"/>
      <c r="S50" s="553"/>
      <c r="T50" s="553"/>
      <c r="U50" s="553"/>
      <c r="V50" s="553"/>
      <c r="W50" s="553"/>
      <c r="X50" s="553"/>
      <c r="Y50" s="553"/>
      <c r="Z50" s="553"/>
      <c r="AA50" s="535"/>
      <c r="AB50" s="535"/>
      <c r="AC50" s="535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6">
        <v>4680115885882</v>
      </c>
      <c r="E51" s="547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101</v>
      </c>
      <c r="L51" s="32"/>
      <c r="M51" s="33" t="s">
        <v>76</v>
      </c>
      <c r="N51" s="33"/>
      <c r="O51" s="32">
        <v>50</v>
      </c>
      <c r="P51" s="71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4"/>
      <c r="R51" s="544"/>
      <c r="S51" s="544"/>
      <c r="T51" s="545"/>
      <c r="U51" s="34"/>
      <c r="V51" s="34"/>
      <c r="W51" s="35" t="s">
        <v>68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6">
        <v>4680115881426</v>
      </c>
      <c r="E52" s="547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101</v>
      </c>
      <c r="L52" s="32" t="s">
        <v>102</v>
      </c>
      <c r="M52" s="33" t="s">
        <v>103</v>
      </c>
      <c r="N52" s="33"/>
      <c r="O52" s="32">
        <v>50</v>
      </c>
      <c r="P52" s="64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4"/>
      <c r="R52" s="544"/>
      <c r="S52" s="544"/>
      <c r="T52" s="545"/>
      <c r="U52" s="34"/>
      <c r="V52" s="34"/>
      <c r="W52" s="35" t="s">
        <v>68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 t="s">
        <v>105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6">
        <v>4680115880283</v>
      </c>
      <c r="E53" s="547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108</v>
      </c>
      <c r="L53" s="32"/>
      <c r="M53" s="33" t="s">
        <v>103</v>
      </c>
      <c r="N53" s="33"/>
      <c r="O53" s="32">
        <v>45</v>
      </c>
      <c r="P53" s="67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4"/>
      <c r="R53" s="544"/>
      <c r="S53" s="544"/>
      <c r="T53" s="545"/>
      <c r="U53" s="34"/>
      <c r="V53" s="34"/>
      <c r="W53" s="35" t="s">
        <v>68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6">
        <v>4680115881525</v>
      </c>
      <c r="E54" s="547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108</v>
      </c>
      <c r="L54" s="32" t="s">
        <v>109</v>
      </c>
      <c r="M54" s="33" t="s">
        <v>103</v>
      </c>
      <c r="N54" s="33"/>
      <c r="O54" s="32">
        <v>50</v>
      </c>
      <c r="P54" s="81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4"/>
      <c r="R54" s="544"/>
      <c r="S54" s="544"/>
      <c r="T54" s="545"/>
      <c r="U54" s="34"/>
      <c r="V54" s="34"/>
      <c r="W54" s="35" t="s">
        <v>68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 t="s">
        <v>105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6">
        <v>4680115885899</v>
      </c>
      <c r="E55" s="547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75</v>
      </c>
      <c r="L55" s="32"/>
      <c r="M55" s="33" t="s">
        <v>83</v>
      </c>
      <c r="N55" s="33"/>
      <c r="O55" s="32">
        <v>50</v>
      </c>
      <c r="P55" s="65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4"/>
      <c r="R55" s="544"/>
      <c r="S55" s="544"/>
      <c r="T55" s="545"/>
      <c r="U55" s="34"/>
      <c r="V55" s="34"/>
      <c r="W55" s="35" t="s">
        <v>68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6">
        <v>4680115881419</v>
      </c>
      <c r="E56" s="547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108</v>
      </c>
      <c r="L56" s="32" t="s">
        <v>109</v>
      </c>
      <c r="M56" s="33" t="s">
        <v>103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4"/>
      <c r="R56" s="544"/>
      <c r="S56" s="544"/>
      <c r="T56" s="545"/>
      <c r="U56" s="34"/>
      <c r="V56" s="34"/>
      <c r="W56" s="35" t="s">
        <v>68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 t="s">
        <v>105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67"/>
      <c r="B57" s="553"/>
      <c r="C57" s="553"/>
      <c r="D57" s="553"/>
      <c r="E57" s="553"/>
      <c r="F57" s="553"/>
      <c r="G57" s="553"/>
      <c r="H57" s="553"/>
      <c r="I57" s="553"/>
      <c r="J57" s="553"/>
      <c r="K57" s="553"/>
      <c r="L57" s="553"/>
      <c r="M57" s="553"/>
      <c r="N57" s="553"/>
      <c r="O57" s="568"/>
      <c r="P57" s="557" t="s">
        <v>70</v>
      </c>
      <c r="Q57" s="558"/>
      <c r="R57" s="558"/>
      <c r="S57" s="558"/>
      <c r="T57" s="558"/>
      <c r="U57" s="558"/>
      <c r="V57" s="559"/>
      <c r="W57" s="37" t="s">
        <v>71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x14ac:dyDescent="0.2">
      <c r="A58" s="553"/>
      <c r="B58" s="553"/>
      <c r="C58" s="553"/>
      <c r="D58" s="553"/>
      <c r="E58" s="553"/>
      <c r="F58" s="553"/>
      <c r="G58" s="553"/>
      <c r="H58" s="553"/>
      <c r="I58" s="553"/>
      <c r="J58" s="553"/>
      <c r="K58" s="553"/>
      <c r="L58" s="553"/>
      <c r="M58" s="553"/>
      <c r="N58" s="553"/>
      <c r="O58" s="568"/>
      <c r="P58" s="557" t="s">
        <v>70</v>
      </c>
      <c r="Q58" s="558"/>
      <c r="R58" s="558"/>
      <c r="S58" s="558"/>
      <c r="T58" s="558"/>
      <c r="U58" s="558"/>
      <c r="V58" s="559"/>
      <c r="W58" s="37" t="s">
        <v>68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customHeight="1" x14ac:dyDescent="0.25">
      <c r="A59" s="554" t="s">
        <v>134</v>
      </c>
      <c r="B59" s="553"/>
      <c r="C59" s="553"/>
      <c r="D59" s="553"/>
      <c r="E59" s="553"/>
      <c r="F59" s="553"/>
      <c r="G59" s="553"/>
      <c r="H59" s="553"/>
      <c r="I59" s="553"/>
      <c r="J59" s="553"/>
      <c r="K59" s="553"/>
      <c r="L59" s="553"/>
      <c r="M59" s="553"/>
      <c r="N59" s="553"/>
      <c r="O59" s="553"/>
      <c r="P59" s="553"/>
      <c r="Q59" s="553"/>
      <c r="R59" s="553"/>
      <c r="S59" s="553"/>
      <c r="T59" s="553"/>
      <c r="U59" s="553"/>
      <c r="V59" s="553"/>
      <c r="W59" s="553"/>
      <c r="X59" s="553"/>
      <c r="Y59" s="553"/>
      <c r="Z59" s="553"/>
      <c r="AA59" s="535"/>
      <c r="AB59" s="535"/>
      <c r="AC59" s="535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6">
        <v>4680115881440</v>
      </c>
      <c r="E60" s="547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101</v>
      </c>
      <c r="L60" s="32" t="s">
        <v>102</v>
      </c>
      <c r="M60" s="33" t="s">
        <v>103</v>
      </c>
      <c r="N60" s="33"/>
      <c r="O60" s="32">
        <v>50</v>
      </c>
      <c r="P60" s="8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4"/>
      <c r="R60" s="544"/>
      <c r="S60" s="544"/>
      <c r="T60" s="545"/>
      <c r="U60" s="34"/>
      <c r="V60" s="34"/>
      <c r="W60" s="35" t="s">
        <v>68</v>
      </c>
      <c r="X60" s="539">
        <v>0</v>
      </c>
      <c r="Y60" s="540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 t="s">
        <v>105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6">
        <v>4680115885950</v>
      </c>
      <c r="E61" s="547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75</v>
      </c>
      <c r="L61" s="32"/>
      <c r="M61" s="33" t="s">
        <v>76</v>
      </c>
      <c r="N61" s="33"/>
      <c r="O61" s="32">
        <v>50</v>
      </c>
      <c r="P61" s="780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4"/>
      <c r="R61" s="544"/>
      <c r="S61" s="544"/>
      <c r="T61" s="545"/>
      <c r="U61" s="34"/>
      <c r="V61" s="34"/>
      <c r="W61" s="35" t="s">
        <v>68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6">
        <v>4680115881433</v>
      </c>
      <c r="E62" s="547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75</v>
      </c>
      <c r="L62" s="32"/>
      <c r="M62" s="33" t="s">
        <v>103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4"/>
      <c r="R62" s="544"/>
      <c r="S62" s="544"/>
      <c r="T62" s="545"/>
      <c r="U62" s="34"/>
      <c r="V62" s="34"/>
      <c r="W62" s="35" t="s">
        <v>68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67"/>
      <c r="B63" s="553"/>
      <c r="C63" s="553"/>
      <c r="D63" s="553"/>
      <c r="E63" s="553"/>
      <c r="F63" s="553"/>
      <c r="G63" s="553"/>
      <c r="H63" s="553"/>
      <c r="I63" s="553"/>
      <c r="J63" s="553"/>
      <c r="K63" s="553"/>
      <c r="L63" s="553"/>
      <c r="M63" s="553"/>
      <c r="N63" s="553"/>
      <c r="O63" s="568"/>
      <c r="P63" s="557" t="s">
        <v>70</v>
      </c>
      <c r="Q63" s="558"/>
      <c r="R63" s="558"/>
      <c r="S63" s="558"/>
      <c r="T63" s="558"/>
      <c r="U63" s="558"/>
      <c r="V63" s="559"/>
      <c r="W63" s="37" t="s">
        <v>71</v>
      </c>
      <c r="X63" s="541">
        <f>IFERROR(X60/H60,"0")+IFERROR(X61/H61,"0")+IFERROR(X62/H62,"0")</f>
        <v>0</v>
      </c>
      <c r="Y63" s="541">
        <f>IFERROR(Y60/H60,"0")+IFERROR(Y61/H61,"0")+IFERROR(Y62/H62,"0")</f>
        <v>0</v>
      </c>
      <c r="Z63" s="541">
        <f>IFERROR(IF(Z60="",0,Z60),"0")+IFERROR(IF(Z61="",0,Z61),"0")+IFERROR(IF(Z62="",0,Z62),"0")</f>
        <v>0</v>
      </c>
      <c r="AA63" s="542"/>
      <c r="AB63" s="542"/>
      <c r="AC63" s="542"/>
    </row>
    <row r="64" spans="1:68" x14ac:dyDescent="0.2">
      <c r="A64" s="553"/>
      <c r="B64" s="553"/>
      <c r="C64" s="553"/>
      <c r="D64" s="553"/>
      <c r="E64" s="553"/>
      <c r="F64" s="553"/>
      <c r="G64" s="553"/>
      <c r="H64" s="553"/>
      <c r="I64" s="553"/>
      <c r="J64" s="553"/>
      <c r="K64" s="553"/>
      <c r="L64" s="553"/>
      <c r="M64" s="553"/>
      <c r="N64" s="553"/>
      <c r="O64" s="568"/>
      <c r="P64" s="557" t="s">
        <v>70</v>
      </c>
      <c r="Q64" s="558"/>
      <c r="R64" s="558"/>
      <c r="S64" s="558"/>
      <c r="T64" s="558"/>
      <c r="U64" s="558"/>
      <c r="V64" s="559"/>
      <c r="W64" s="37" t="s">
        <v>68</v>
      </c>
      <c r="X64" s="541">
        <f>IFERROR(SUM(X60:X62),"0")</f>
        <v>0</v>
      </c>
      <c r="Y64" s="541">
        <f>IFERROR(SUM(Y60:Y62),"0")</f>
        <v>0</v>
      </c>
      <c r="Z64" s="37"/>
      <c r="AA64" s="542"/>
      <c r="AB64" s="542"/>
      <c r="AC64" s="542"/>
    </row>
    <row r="65" spans="1:68" ht="14.25" customHeight="1" x14ac:dyDescent="0.25">
      <c r="A65" s="554" t="s">
        <v>63</v>
      </c>
      <c r="B65" s="553"/>
      <c r="C65" s="553"/>
      <c r="D65" s="553"/>
      <c r="E65" s="553"/>
      <c r="F65" s="553"/>
      <c r="G65" s="553"/>
      <c r="H65" s="553"/>
      <c r="I65" s="553"/>
      <c r="J65" s="553"/>
      <c r="K65" s="553"/>
      <c r="L65" s="553"/>
      <c r="M65" s="553"/>
      <c r="N65" s="553"/>
      <c r="O65" s="553"/>
      <c r="P65" s="553"/>
      <c r="Q65" s="553"/>
      <c r="R65" s="553"/>
      <c r="S65" s="553"/>
      <c r="T65" s="553"/>
      <c r="U65" s="553"/>
      <c r="V65" s="553"/>
      <c r="W65" s="553"/>
      <c r="X65" s="553"/>
      <c r="Y65" s="553"/>
      <c r="Z65" s="553"/>
      <c r="AA65" s="535"/>
      <c r="AB65" s="535"/>
      <c r="AC65" s="535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6">
        <v>4680115885073</v>
      </c>
      <c r="E66" s="547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66</v>
      </c>
      <c r="L66" s="32"/>
      <c r="M66" s="33" t="s">
        <v>67</v>
      </c>
      <c r="N66" s="33"/>
      <c r="O66" s="32">
        <v>40</v>
      </c>
      <c r="P66" s="668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4"/>
      <c r="R66" s="544"/>
      <c r="S66" s="544"/>
      <c r="T66" s="545"/>
      <c r="U66" s="34"/>
      <c r="V66" s="34"/>
      <c r="W66" s="35" t="s">
        <v>68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6">
        <v>4680115885059</v>
      </c>
      <c r="E67" s="547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66</v>
      </c>
      <c r="L67" s="32"/>
      <c r="M67" s="33" t="s">
        <v>67</v>
      </c>
      <c r="N67" s="33"/>
      <c r="O67" s="32">
        <v>40</v>
      </c>
      <c r="P67" s="823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4"/>
      <c r="R67" s="544"/>
      <c r="S67" s="544"/>
      <c r="T67" s="545"/>
      <c r="U67" s="34"/>
      <c r="V67" s="34"/>
      <c r="W67" s="35" t="s">
        <v>68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6">
        <v>4680115885097</v>
      </c>
      <c r="E68" s="547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66</v>
      </c>
      <c r="L68" s="32"/>
      <c r="M68" s="33" t="s">
        <v>67</v>
      </c>
      <c r="N68" s="33"/>
      <c r="O68" s="32">
        <v>40</v>
      </c>
      <c r="P68" s="67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4"/>
      <c r="R68" s="544"/>
      <c r="S68" s="544"/>
      <c r="T68" s="545"/>
      <c r="U68" s="34"/>
      <c r="V68" s="34"/>
      <c r="W68" s="35" t="s">
        <v>68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67"/>
      <c r="B69" s="553"/>
      <c r="C69" s="553"/>
      <c r="D69" s="553"/>
      <c r="E69" s="553"/>
      <c r="F69" s="553"/>
      <c r="G69" s="553"/>
      <c r="H69" s="553"/>
      <c r="I69" s="553"/>
      <c r="J69" s="553"/>
      <c r="K69" s="553"/>
      <c r="L69" s="553"/>
      <c r="M69" s="553"/>
      <c r="N69" s="553"/>
      <c r="O69" s="568"/>
      <c r="P69" s="557" t="s">
        <v>70</v>
      </c>
      <c r="Q69" s="558"/>
      <c r="R69" s="558"/>
      <c r="S69" s="558"/>
      <c r="T69" s="558"/>
      <c r="U69" s="558"/>
      <c r="V69" s="559"/>
      <c r="W69" s="37" t="s">
        <v>71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x14ac:dyDescent="0.2">
      <c r="A70" s="553"/>
      <c r="B70" s="553"/>
      <c r="C70" s="553"/>
      <c r="D70" s="553"/>
      <c r="E70" s="553"/>
      <c r="F70" s="553"/>
      <c r="G70" s="553"/>
      <c r="H70" s="553"/>
      <c r="I70" s="553"/>
      <c r="J70" s="553"/>
      <c r="K70" s="553"/>
      <c r="L70" s="553"/>
      <c r="M70" s="553"/>
      <c r="N70" s="553"/>
      <c r="O70" s="568"/>
      <c r="P70" s="557" t="s">
        <v>70</v>
      </c>
      <c r="Q70" s="558"/>
      <c r="R70" s="558"/>
      <c r="S70" s="558"/>
      <c r="T70" s="558"/>
      <c r="U70" s="558"/>
      <c r="V70" s="559"/>
      <c r="W70" s="37" t="s">
        <v>68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customHeight="1" x14ac:dyDescent="0.25">
      <c r="A71" s="554" t="s">
        <v>72</v>
      </c>
      <c r="B71" s="553"/>
      <c r="C71" s="553"/>
      <c r="D71" s="553"/>
      <c r="E71" s="553"/>
      <c r="F71" s="553"/>
      <c r="G71" s="553"/>
      <c r="H71" s="553"/>
      <c r="I71" s="553"/>
      <c r="J71" s="553"/>
      <c r="K71" s="553"/>
      <c r="L71" s="553"/>
      <c r="M71" s="553"/>
      <c r="N71" s="553"/>
      <c r="O71" s="553"/>
      <c r="P71" s="553"/>
      <c r="Q71" s="553"/>
      <c r="R71" s="553"/>
      <c r="S71" s="553"/>
      <c r="T71" s="553"/>
      <c r="U71" s="553"/>
      <c r="V71" s="553"/>
      <c r="W71" s="553"/>
      <c r="X71" s="553"/>
      <c r="Y71" s="553"/>
      <c r="Z71" s="553"/>
      <c r="AA71" s="535"/>
      <c r="AB71" s="535"/>
      <c r="AC71" s="535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6">
        <v>4680115885769</v>
      </c>
      <c r="E72" s="547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101</v>
      </c>
      <c r="L72" s="32"/>
      <c r="M72" s="33" t="s">
        <v>76</v>
      </c>
      <c r="N72" s="33"/>
      <c r="O72" s="32">
        <v>45</v>
      </c>
      <c r="P72" s="834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4"/>
      <c r="R72" s="544"/>
      <c r="S72" s="544"/>
      <c r="T72" s="545"/>
      <c r="U72" s="34"/>
      <c r="V72" s="34"/>
      <c r="W72" s="35" t="s">
        <v>68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6">
        <v>4680115884311</v>
      </c>
      <c r="E73" s="547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75</v>
      </c>
      <c r="L73" s="32"/>
      <c r="M73" s="33" t="s">
        <v>76</v>
      </c>
      <c r="N73" s="33"/>
      <c r="O73" s="32">
        <v>40</v>
      </c>
      <c r="P73" s="54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4"/>
      <c r="R73" s="544"/>
      <c r="S73" s="544"/>
      <c r="T73" s="545"/>
      <c r="U73" s="34"/>
      <c r="V73" s="34"/>
      <c r="W73" s="35" t="s">
        <v>68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6">
        <v>4680115885929</v>
      </c>
      <c r="E74" s="547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75</v>
      </c>
      <c r="L74" s="32"/>
      <c r="M74" s="33" t="s">
        <v>76</v>
      </c>
      <c r="N74" s="33"/>
      <c r="O74" s="32">
        <v>45</v>
      </c>
      <c r="P74" s="692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4"/>
      <c r="R74" s="544"/>
      <c r="S74" s="544"/>
      <c r="T74" s="545"/>
      <c r="U74" s="34"/>
      <c r="V74" s="34"/>
      <c r="W74" s="35" t="s">
        <v>68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6">
        <v>4680115884403</v>
      </c>
      <c r="E75" s="547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75</v>
      </c>
      <c r="L75" s="32"/>
      <c r="M75" s="33" t="s">
        <v>76</v>
      </c>
      <c r="N75" s="33"/>
      <c r="O75" s="32">
        <v>40</v>
      </c>
      <c r="P75" s="82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4"/>
      <c r="R75" s="544"/>
      <c r="S75" s="544"/>
      <c r="T75" s="545"/>
      <c r="U75" s="34"/>
      <c r="V75" s="34"/>
      <c r="W75" s="35" t="s">
        <v>68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67"/>
      <c r="B76" s="553"/>
      <c r="C76" s="553"/>
      <c r="D76" s="553"/>
      <c r="E76" s="553"/>
      <c r="F76" s="553"/>
      <c r="G76" s="553"/>
      <c r="H76" s="553"/>
      <c r="I76" s="553"/>
      <c r="J76" s="553"/>
      <c r="K76" s="553"/>
      <c r="L76" s="553"/>
      <c r="M76" s="553"/>
      <c r="N76" s="553"/>
      <c r="O76" s="568"/>
      <c r="P76" s="557" t="s">
        <v>70</v>
      </c>
      <c r="Q76" s="558"/>
      <c r="R76" s="558"/>
      <c r="S76" s="558"/>
      <c r="T76" s="558"/>
      <c r="U76" s="558"/>
      <c r="V76" s="559"/>
      <c r="W76" s="37" t="s">
        <v>71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x14ac:dyDescent="0.2">
      <c r="A77" s="553"/>
      <c r="B77" s="553"/>
      <c r="C77" s="553"/>
      <c r="D77" s="553"/>
      <c r="E77" s="553"/>
      <c r="F77" s="553"/>
      <c r="G77" s="553"/>
      <c r="H77" s="553"/>
      <c r="I77" s="553"/>
      <c r="J77" s="553"/>
      <c r="K77" s="553"/>
      <c r="L77" s="553"/>
      <c r="M77" s="553"/>
      <c r="N77" s="553"/>
      <c r="O77" s="568"/>
      <c r="P77" s="557" t="s">
        <v>70</v>
      </c>
      <c r="Q77" s="558"/>
      <c r="R77" s="558"/>
      <c r="S77" s="558"/>
      <c r="T77" s="558"/>
      <c r="U77" s="558"/>
      <c r="V77" s="559"/>
      <c r="W77" s="37" t="s">
        <v>68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customHeight="1" x14ac:dyDescent="0.25">
      <c r="A78" s="554" t="s">
        <v>162</v>
      </c>
      <c r="B78" s="553"/>
      <c r="C78" s="553"/>
      <c r="D78" s="553"/>
      <c r="E78" s="553"/>
      <c r="F78" s="553"/>
      <c r="G78" s="553"/>
      <c r="H78" s="553"/>
      <c r="I78" s="553"/>
      <c r="J78" s="553"/>
      <c r="K78" s="553"/>
      <c r="L78" s="553"/>
      <c r="M78" s="553"/>
      <c r="N78" s="553"/>
      <c r="O78" s="553"/>
      <c r="P78" s="553"/>
      <c r="Q78" s="553"/>
      <c r="R78" s="553"/>
      <c r="S78" s="553"/>
      <c r="T78" s="553"/>
      <c r="U78" s="553"/>
      <c r="V78" s="553"/>
      <c r="W78" s="553"/>
      <c r="X78" s="553"/>
      <c r="Y78" s="553"/>
      <c r="Z78" s="553"/>
      <c r="AA78" s="535"/>
      <c r="AB78" s="535"/>
      <c r="AC78" s="535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6">
        <v>4680115881532</v>
      </c>
      <c r="E79" s="547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101</v>
      </c>
      <c r="L79" s="32" t="s">
        <v>102</v>
      </c>
      <c r="M79" s="33" t="s">
        <v>83</v>
      </c>
      <c r="N79" s="33"/>
      <c r="O79" s="32">
        <v>30</v>
      </c>
      <c r="P79" s="54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4"/>
      <c r="R79" s="544"/>
      <c r="S79" s="544"/>
      <c r="T79" s="545"/>
      <c r="U79" s="34"/>
      <c r="V79" s="34"/>
      <c r="W79" s="35" t="s">
        <v>68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 t="s">
        <v>105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6">
        <v>4680115881464</v>
      </c>
      <c r="E80" s="547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108</v>
      </c>
      <c r="L80" s="32"/>
      <c r="M80" s="33" t="s">
        <v>76</v>
      </c>
      <c r="N80" s="33"/>
      <c r="O80" s="32">
        <v>30</v>
      </c>
      <c r="P80" s="75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4"/>
      <c r="R80" s="544"/>
      <c r="S80" s="544"/>
      <c r="T80" s="545"/>
      <c r="U80" s="34"/>
      <c r="V80" s="34"/>
      <c r="W80" s="35" t="s">
        <v>68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67"/>
      <c r="B81" s="553"/>
      <c r="C81" s="553"/>
      <c r="D81" s="553"/>
      <c r="E81" s="553"/>
      <c r="F81" s="553"/>
      <c r="G81" s="553"/>
      <c r="H81" s="553"/>
      <c r="I81" s="553"/>
      <c r="J81" s="553"/>
      <c r="K81" s="553"/>
      <c r="L81" s="553"/>
      <c r="M81" s="553"/>
      <c r="N81" s="553"/>
      <c r="O81" s="568"/>
      <c r="P81" s="557" t="s">
        <v>70</v>
      </c>
      <c r="Q81" s="558"/>
      <c r="R81" s="558"/>
      <c r="S81" s="558"/>
      <c r="T81" s="558"/>
      <c r="U81" s="558"/>
      <c r="V81" s="559"/>
      <c r="W81" s="37" t="s">
        <v>71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x14ac:dyDescent="0.2">
      <c r="A82" s="553"/>
      <c r="B82" s="553"/>
      <c r="C82" s="553"/>
      <c r="D82" s="553"/>
      <c r="E82" s="553"/>
      <c r="F82" s="553"/>
      <c r="G82" s="553"/>
      <c r="H82" s="553"/>
      <c r="I82" s="553"/>
      <c r="J82" s="553"/>
      <c r="K82" s="553"/>
      <c r="L82" s="553"/>
      <c r="M82" s="553"/>
      <c r="N82" s="553"/>
      <c r="O82" s="568"/>
      <c r="P82" s="557" t="s">
        <v>70</v>
      </c>
      <c r="Q82" s="558"/>
      <c r="R82" s="558"/>
      <c r="S82" s="558"/>
      <c r="T82" s="558"/>
      <c r="U82" s="558"/>
      <c r="V82" s="559"/>
      <c r="W82" s="37" t="s">
        <v>68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customHeight="1" x14ac:dyDescent="0.25">
      <c r="A83" s="552" t="s">
        <v>169</v>
      </c>
      <c r="B83" s="553"/>
      <c r="C83" s="553"/>
      <c r="D83" s="553"/>
      <c r="E83" s="553"/>
      <c r="F83" s="553"/>
      <c r="G83" s="553"/>
      <c r="H83" s="553"/>
      <c r="I83" s="553"/>
      <c r="J83" s="553"/>
      <c r="K83" s="553"/>
      <c r="L83" s="553"/>
      <c r="M83" s="553"/>
      <c r="N83" s="553"/>
      <c r="O83" s="553"/>
      <c r="P83" s="553"/>
      <c r="Q83" s="553"/>
      <c r="R83" s="553"/>
      <c r="S83" s="553"/>
      <c r="T83" s="553"/>
      <c r="U83" s="553"/>
      <c r="V83" s="553"/>
      <c r="W83" s="553"/>
      <c r="X83" s="553"/>
      <c r="Y83" s="553"/>
      <c r="Z83" s="553"/>
      <c r="AA83" s="534"/>
      <c r="AB83" s="534"/>
      <c r="AC83" s="534"/>
    </row>
    <row r="84" spans="1:68" ht="14.25" customHeight="1" x14ac:dyDescent="0.25">
      <c r="A84" s="554" t="s">
        <v>98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535"/>
      <c r="AB84" s="535"/>
      <c r="AC84" s="535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6">
        <v>4680115881327</v>
      </c>
      <c r="E85" s="547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101</v>
      </c>
      <c r="L85" s="32" t="s">
        <v>102</v>
      </c>
      <c r="M85" s="33" t="s">
        <v>83</v>
      </c>
      <c r="N85" s="33"/>
      <c r="O85" s="32">
        <v>50</v>
      </c>
      <c r="P85" s="8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4"/>
      <c r="R85" s="544"/>
      <c r="S85" s="544"/>
      <c r="T85" s="545"/>
      <c r="U85" s="34"/>
      <c r="V85" s="34"/>
      <c r="W85" s="35" t="s">
        <v>68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105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6">
        <v>4680115881518</v>
      </c>
      <c r="E86" s="547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108</v>
      </c>
      <c r="L86" s="32" t="s">
        <v>109</v>
      </c>
      <c r="M86" s="33" t="s">
        <v>76</v>
      </c>
      <c r="N86" s="33"/>
      <c r="O86" s="32">
        <v>50</v>
      </c>
      <c r="P86" s="56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4"/>
      <c r="R86" s="544"/>
      <c r="S86" s="544"/>
      <c r="T86" s="545"/>
      <c r="U86" s="34"/>
      <c r="V86" s="34"/>
      <c r="W86" s="35" t="s">
        <v>68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 t="s">
        <v>105</v>
      </c>
      <c r="AK86" s="68">
        <v>48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6">
        <v>4680115881303</v>
      </c>
      <c r="E87" s="547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108</v>
      </c>
      <c r="L87" s="32" t="s">
        <v>109</v>
      </c>
      <c r="M87" s="33" t="s">
        <v>83</v>
      </c>
      <c r="N87" s="33"/>
      <c r="O87" s="32">
        <v>50</v>
      </c>
      <c r="P87" s="70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4"/>
      <c r="R87" s="544"/>
      <c r="S87" s="544"/>
      <c r="T87" s="545"/>
      <c r="U87" s="34"/>
      <c r="V87" s="34"/>
      <c r="W87" s="35" t="s">
        <v>68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 t="s">
        <v>105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67"/>
      <c r="B88" s="553"/>
      <c r="C88" s="553"/>
      <c r="D88" s="553"/>
      <c r="E88" s="553"/>
      <c r="F88" s="553"/>
      <c r="G88" s="553"/>
      <c r="H88" s="553"/>
      <c r="I88" s="553"/>
      <c r="J88" s="553"/>
      <c r="K88" s="553"/>
      <c r="L88" s="553"/>
      <c r="M88" s="553"/>
      <c r="N88" s="553"/>
      <c r="O88" s="568"/>
      <c r="P88" s="557" t="s">
        <v>70</v>
      </c>
      <c r="Q88" s="558"/>
      <c r="R88" s="558"/>
      <c r="S88" s="558"/>
      <c r="T88" s="558"/>
      <c r="U88" s="558"/>
      <c r="V88" s="559"/>
      <c r="W88" s="37" t="s">
        <v>71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x14ac:dyDescent="0.2">
      <c r="A89" s="553"/>
      <c r="B89" s="553"/>
      <c r="C89" s="553"/>
      <c r="D89" s="553"/>
      <c r="E89" s="553"/>
      <c r="F89" s="553"/>
      <c r="G89" s="553"/>
      <c r="H89" s="553"/>
      <c r="I89" s="553"/>
      <c r="J89" s="553"/>
      <c r="K89" s="553"/>
      <c r="L89" s="553"/>
      <c r="M89" s="553"/>
      <c r="N89" s="553"/>
      <c r="O89" s="568"/>
      <c r="P89" s="557" t="s">
        <v>70</v>
      </c>
      <c r="Q89" s="558"/>
      <c r="R89" s="558"/>
      <c r="S89" s="558"/>
      <c r="T89" s="558"/>
      <c r="U89" s="558"/>
      <c r="V89" s="559"/>
      <c r="W89" s="37" t="s">
        <v>68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customHeight="1" x14ac:dyDescent="0.25">
      <c r="A90" s="554" t="s">
        <v>72</v>
      </c>
      <c r="B90" s="553"/>
      <c r="C90" s="553"/>
      <c r="D90" s="553"/>
      <c r="E90" s="553"/>
      <c r="F90" s="553"/>
      <c r="G90" s="553"/>
      <c r="H90" s="553"/>
      <c r="I90" s="553"/>
      <c r="J90" s="553"/>
      <c r="K90" s="553"/>
      <c r="L90" s="553"/>
      <c r="M90" s="553"/>
      <c r="N90" s="553"/>
      <c r="O90" s="553"/>
      <c r="P90" s="553"/>
      <c r="Q90" s="553"/>
      <c r="R90" s="553"/>
      <c r="S90" s="553"/>
      <c r="T90" s="553"/>
      <c r="U90" s="553"/>
      <c r="V90" s="553"/>
      <c r="W90" s="553"/>
      <c r="X90" s="553"/>
      <c r="Y90" s="553"/>
      <c r="Z90" s="553"/>
      <c r="AA90" s="535"/>
      <c r="AB90" s="535"/>
      <c r="AC90" s="535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6">
        <v>4607091386967</v>
      </c>
      <c r="E91" s="547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101</v>
      </c>
      <c r="L91" s="32" t="s">
        <v>102</v>
      </c>
      <c r="M91" s="33" t="s">
        <v>83</v>
      </c>
      <c r="N91" s="33"/>
      <c r="O91" s="32">
        <v>45</v>
      </c>
      <c r="P91" s="73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4"/>
      <c r="R91" s="544"/>
      <c r="S91" s="544"/>
      <c r="T91" s="545"/>
      <c r="U91" s="34"/>
      <c r="V91" s="34"/>
      <c r="W91" s="35" t="s">
        <v>68</v>
      </c>
      <c r="X91" s="539">
        <v>0</v>
      </c>
      <c r="Y91" s="540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105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6">
        <v>4680115884953</v>
      </c>
      <c r="E92" s="547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75</v>
      </c>
      <c r="L92" s="32"/>
      <c r="M92" s="33" t="s">
        <v>76</v>
      </c>
      <c r="N92" s="33"/>
      <c r="O92" s="32">
        <v>45</v>
      </c>
      <c r="P92" s="60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4"/>
      <c r="R92" s="544"/>
      <c r="S92" s="544"/>
      <c r="T92" s="545"/>
      <c r="U92" s="34"/>
      <c r="V92" s="34"/>
      <c r="W92" s="35" t="s">
        <v>68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6">
        <v>4607091385731</v>
      </c>
      <c r="E93" s="547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75</v>
      </c>
      <c r="L93" s="32" t="s">
        <v>185</v>
      </c>
      <c r="M93" s="33" t="s">
        <v>83</v>
      </c>
      <c r="N93" s="33"/>
      <c r="O93" s="32">
        <v>45</v>
      </c>
      <c r="P93" s="77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4"/>
      <c r="R93" s="544"/>
      <c r="S93" s="544"/>
      <c r="T93" s="545"/>
      <c r="U93" s="34"/>
      <c r="V93" s="34"/>
      <c r="W93" s="35" t="s">
        <v>68</v>
      </c>
      <c r="X93" s="539">
        <v>76</v>
      </c>
      <c r="Y93" s="540">
        <f>IFERROR(IF(X93="",0,CEILING((X93/$H93),1)*$H93),"")</f>
        <v>78.300000000000011</v>
      </c>
      <c r="Z93" s="36">
        <f>IFERROR(IF(Y93=0,"",ROUNDUP(Y93/H93,0)*0.00651),"")</f>
        <v>0.18879000000000001</v>
      </c>
      <c r="AA93" s="56"/>
      <c r="AB93" s="57"/>
      <c r="AC93" s="137" t="s">
        <v>179</v>
      </c>
      <c r="AG93" s="64"/>
      <c r="AJ93" s="68" t="s">
        <v>105</v>
      </c>
      <c r="AK93" s="68">
        <v>37.799999999999997</v>
      </c>
      <c r="BB93" s="138" t="s">
        <v>1</v>
      </c>
      <c r="BM93" s="64">
        <f>IFERROR(X93*I93/H93,"0")</f>
        <v>83.093333333333334</v>
      </c>
      <c r="BN93" s="64">
        <f>IFERROR(Y93*I93/H93,"0")</f>
        <v>85.608000000000004</v>
      </c>
      <c r="BO93" s="64">
        <f>IFERROR(1/J93*(X93/H93),"0")</f>
        <v>0.15466015466015465</v>
      </c>
      <c r="BP93" s="64">
        <f>IFERROR(1/J93*(Y93/H93),"0")</f>
        <v>0.15934065934065939</v>
      </c>
    </row>
    <row r="94" spans="1:68" ht="16.5" customHeight="1" x14ac:dyDescent="0.25">
      <c r="A94" s="54" t="s">
        <v>186</v>
      </c>
      <c r="B94" s="54" t="s">
        <v>187</v>
      </c>
      <c r="C94" s="31">
        <v>4301051438</v>
      </c>
      <c r="D94" s="546">
        <v>4680115880894</v>
      </c>
      <c r="E94" s="547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75</v>
      </c>
      <c r="L94" s="32" t="s">
        <v>185</v>
      </c>
      <c r="M94" s="33" t="s">
        <v>76</v>
      </c>
      <c r="N94" s="33"/>
      <c r="O94" s="32">
        <v>45</v>
      </c>
      <c r="P94" s="60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4"/>
      <c r="R94" s="544"/>
      <c r="S94" s="544"/>
      <c r="T94" s="545"/>
      <c r="U94" s="34"/>
      <c r="V94" s="34"/>
      <c r="W94" s="35" t="s">
        <v>68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188</v>
      </c>
      <c r="AG94" s="64"/>
      <c r="AJ94" s="68" t="s">
        <v>105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67"/>
      <c r="B95" s="553"/>
      <c r="C95" s="553"/>
      <c r="D95" s="553"/>
      <c r="E95" s="553"/>
      <c r="F95" s="553"/>
      <c r="G95" s="553"/>
      <c r="H95" s="553"/>
      <c r="I95" s="553"/>
      <c r="J95" s="553"/>
      <c r="K95" s="553"/>
      <c r="L95" s="553"/>
      <c r="M95" s="553"/>
      <c r="N95" s="553"/>
      <c r="O95" s="568"/>
      <c r="P95" s="557" t="s">
        <v>70</v>
      </c>
      <c r="Q95" s="558"/>
      <c r="R95" s="558"/>
      <c r="S95" s="558"/>
      <c r="T95" s="558"/>
      <c r="U95" s="558"/>
      <c r="V95" s="559"/>
      <c r="W95" s="37" t="s">
        <v>71</v>
      </c>
      <c r="X95" s="541">
        <f>IFERROR(X91/H91,"0")+IFERROR(X92/H92,"0")+IFERROR(X93/H93,"0")+IFERROR(X94/H94,"0")</f>
        <v>28.148148148148145</v>
      </c>
      <c r="Y95" s="541">
        <f>IFERROR(Y91/H91,"0")+IFERROR(Y92/H92,"0")+IFERROR(Y93/H93,"0")+IFERROR(Y94/H94,"0")</f>
        <v>29.000000000000004</v>
      </c>
      <c r="Z95" s="541">
        <f>IFERROR(IF(Z91="",0,Z91),"0")+IFERROR(IF(Z92="",0,Z92),"0")+IFERROR(IF(Z93="",0,Z93),"0")+IFERROR(IF(Z94="",0,Z94),"0")</f>
        <v>0.18879000000000001</v>
      </c>
      <c r="AA95" s="542"/>
      <c r="AB95" s="542"/>
      <c r="AC95" s="542"/>
    </row>
    <row r="96" spans="1:68" x14ac:dyDescent="0.2">
      <c r="A96" s="553"/>
      <c r="B96" s="553"/>
      <c r="C96" s="553"/>
      <c r="D96" s="553"/>
      <c r="E96" s="553"/>
      <c r="F96" s="553"/>
      <c r="G96" s="553"/>
      <c r="H96" s="553"/>
      <c r="I96" s="553"/>
      <c r="J96" s="553"/>
      <c r="K96" s="553"/>
      <c r="L96" s="553"/>
      <c r="M96" s="553"/>
      <c r="N96" s="553"/>
      <c r="O96" s="568"/>
      <c r="P96" s="557" t="s">
        <v>70</v>
      </c>
      <c r="Q96" s="558"/>
      <c r="R96" s="558"/>
      <c r="S96" s="558"/>
      <c r="T96" s="558"/>
      <c r="U96" s="558"/>
      <c r="V96" s="559"/>
      <c r="W96" s="37" t="s">
        <v>68</v>
      </c>
      <c r="X96" s="541">
        <f>IFERROR(SUM(X91:X94),"0")</f>
        <v>76</v>
      </c>
      <c r="Y96" s="541">
        <f>IFERROR(SUM(Y91:Y94),"0")</f>
        <v>78.300000000000011</v>
      </c>
      <c r="Z96" s="37"/>
      <c r="AA96" s="542"/>
      <c r="AB96" s="542"/>
      <c r="AC96" s="542"/>
    </row>
    <row r="97" spans="1:68" ht="16.5" customHeight="1" x14ac:dyDescent="0.25">
      <c r="A97" s="552" t="s">
        <v>189</v>
      </c>
      <c r="B97" s="553"/>
      <c r="C97" s="553"/>
      <c r="D97" s="553"/>
      <c r="E97" s="553"/>
      <c r="F97" s="553"/>
      <c r="G97" s="553"/>
      <c r="H97" s="553"/>
      <c r="I97" s="553"/>
      <c r="J97" s="553"/>
      <c r="K97" s="553"/>
      <c r="L97" s="553"/>
      <c r="M97" s="553"/>
      <c r="N97" s="553"/>
      <c r="O97" s="553"/>
      <c r="P97" s="553"/>
      <c r="Q97" s="553"/>
      <c r="R97" s="553"/>
      <c r="S97" s="553"/>
      <c r="T97" s="553"/>
      <c r="U97" s="553"/>
      <c r="V97" s="553"/>
      <c r="W97" s="553"/>
      <c r="X97" s="553"/>
      <c r="Y97" s="553"/>
      <c r="Z97" s="553"/>
      <c r="AA97" s="534"/>
      <c r="AB97" s="534"/>
      <c r="AC97" s="534"/>
    </row>
    <row r="98" spans="1:68" ht="14.25" customHeight="1" x14ac:dyDescent="0.25">
      <c r="A98" s="554" t="s">
        <v>98</v>
      </c>
      <c r="B98" s="553"/>
      <c r="C98" s="553"/>
      <c r="D98" s="553"/>
      <c r="E98" s="553"/>
      <c r="F98" s="553"/>
      <c r="G98" s="553"/>
      <c r="H98" s="553"/>
      <c r="I98" s="553"/>
      <c r="J98" s="553"/>
      <c r="K98" s="553"/>
      <c r="L98" s="553"/>
      <c r="M98" s="553"/>
      <c r="N98" s="553"/>
      <c r="O98" s="553"/>
      <c r="P98" s="553"/>
      <c r="Q98" s="553"/>
      <c r="R98" s="553"/>
      <c r="S98" s="553"/>
      <c r="T98" s="553"/>
      <c r="U98" s="553"/>
      <c r="V98" s="553"/>
      <c r="W98" s="553"/>
      <c r="X98" s="553"/>
      <c r="Y98" s="553"/>
      <c r="Z98" s="553"/>
      <c r="AA98" s="535"/>
      <c r="AB98" s="535"/>
      <c r="AC98" s="535"/>
    </row>
    <row r="99" spans="1:68" ht="37.5" customHeight="1" x14ac:dyDescent="0.25">
      <c r="A99" s="54" t="s">
        <v>190</v>
      </c>
      <c r="B99" s="54" t="s">
        <v>191</v>
      </c>
      <c r="C99" s="31">
        <v>4301011514</v>
      </c>
      <c r="D99" s="546">
        <v>4680115882133</v>
      </c>
      <c r="E99" s="547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101</v>
      </c>
      <c r="L99" s="32" t="s">
        <v>102</v>
      </c>
      <c r="M99" s="33" t="s">
        <v>103</v>
      </c>
      <c r="N99" s="33"/>
      <c r="O99" s="32">
        <v>50</v>
      </c>
      <c r="P99" s="58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4"/>
      <c r="R99" s="544"/>
      <c r="S99" s="544"/>
      <c r="T99" s="545"/>
      <c r="U99" s="34"/>
      <c r="V99" s="34"/>
      <c r="W99" s="35" t="s">
        <v>68</v>
      </c>
      <c r="X99" s="539">
        <v>103</v>
      </c>
      <c r="Y99" s="540">
        <f>IFERROR(IF(X99="",0,CEILING((X99/$H99),1)*$H99),"")</f>
        <v>108</v>
      </c>
      <c r="Z99" s="36">
        <f>IFERROR(IF(Y99=0,"",ROUNDUP(Y99/H99,0)*0.01898),"")</f>
        <v>0.1898</v>
      </c>
      <c r="AA99" s="56"/>
      <c r="AB99" s="57"/>
      <c r="AC99" s="141" t="s">
        <v>192</v>
      </c>
      <c r="AG99" s="64"/>
      <c r="AJ99" s="68" t="s">
        <v>105</v>
      </c>
      <c r="AK99" s="68">
        <v>86.4</v>
      </c>
      <c r="BB99" s="142" t="s">
        <v>1</v>
      </c>
      <c r="BM99" s="64">
        <f>IFERROR(X99*I99/H99,"0")</f>
        <v>106.91018518518518</v>
      </c>
      <c r="BN99" s="64">
        <f>IFERROR(Y99*I99/H99,"0")</f>
        <v>112.1</v>
      </c>
      <c r="BO99" s="64">
        <f>IFERROR(1/J99*(X99/H99),"0")</f>
        <v>0.14901620370370369</v>
      </c>
      <c r="BP99" s="64">
        <f>IFERROR(1/J99*(Y99/H99),"0")</f>
        <v>0.15625</v>
      </c>
    </row>
    <row r="100" spans="1:68" ht="37.5" customHeight="1" x14ac:dyDescent="0.25">
      <c r="A100" s="54" t="s">
        <v>193</v>
      </c>
      <c r="B100" s="54" t="s">
        <v>194</v>
      </c>
      <c r="C100" s="31">
        <v>4301011417</v>
      </c>
      <c r="D100" s="546">
        <v>4680115880269</v>
      </c>
      <c r="E100" s="547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108</v>
      </c>
      <c r="L100" s="32" t="s">
        <v>109</v>
      </c>
      <c r="M100" s="33" t="s">
        <v>76</v>
      </c>
      <c r="N100" s="33"/>
      <c r="O100" s="32">
        <v>50</v>
      </c>
      <c r="P100" s="60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4"/>
      <c r="R100" s="544"/>
      <c r="S100" s="544"/>
      <c r="T100" s="545"/>
      <c r="U100" s="34"/>
      <c r="V100" s="34"/>
      <c r="W100" s="35" t="s">
        <v>68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192</v>
      </c>
      <c r="AG100" s="64"/>
      <c r="AJ100" s="68" t="s">
        <v>105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195</v>
      </c>
      <c r="B101" s="54" t="s">
        <v>196</v>
      </c>
      <c r="C101" s="31">
        <v>4301011415</v>
      </c>
      <c r="D101" s="546">
        <v>4680115880429</v>
      </c>
      <c r="E101" s="547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108</v>
      </c>
      <c r="L101" s="32" t="s">
        <v>109</v>
      </c>
      <c r="M101" s="33" t="s">
        <v>76</v>
      </c>
      <c r="N101" s="33"/>
      <c r="O101" s="32">
        <v>50</v>
      </c>
      <c r="P101" s="80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4"/>
      <c r="R101" s="544"/>
      <c r="S101" s="544"/>
      <c r="T101" s="545"/>
      <c r="U101" s="34"/>
      <c r="V101" s="34"/>
      <c r="W101" s="35" t="s">
        <v>68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192</v>
      </c>
      <c r="AG101" s="64"/>
      <c r="AJ101" s="68" t="s">
        <v>105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6">
        <v>4680115881457</v>
      </c>
      <c r="E102" s="547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108</v>
      </c>
      <c r="L102" s="32"/>
      <c r="M102" s="33" t="s">
        <v>76</v>
      </c>
      <c r="N102" s="33"/>
      <c r="O102" s="32">
        <v>50</v>
      </c>
      <c r="P102" s="80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4"/>
      <c r="R102" s="544"/>
      <c r="S102" s="544"/>
      <c r="T102" s="545"/>
      <c r="U102" s="34"/>
      <c r="V102" s="34"/>
      <c r="W102" s="35" t="s">
        <v>68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192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67"/>
      <c r="B103" s="553"/>
      <c r="C103" s="553"/>
      <c r="D103" s="553"/>
      <c r="E103" s="553"/>
      <c r="F103" s="553"/>
      <c r="G103" s="553"/>
      <c r="H103" s="553"/>
      <c r="I103" s="553"/>
      <c r="J103" s="553"/>
      <c r="K103" s="553"/>
      <c r="L103" s="553"/>
      <c r="M103" s="553"/>
      <c r="N103" s="553"/>
      <c r="O103" s="568"/>
      <c r="P103" s="557" t="s">
        <v>70</v>
      </c>
      <c r="Q103" s="558"/>
      <c r="R103" s="558"/>
      <c r="S103" s="558"/>
      <c r="T103" s="558"/>
      <c r="U103" s="558"/>
      <c r="V103" s="559"/>
      <c r="W103" s="37" t="s">
        <v>71</v>
      </c>
      <c r="X103" s="541">
        <f>IFERROR(X99/H99,"0")+IFERROR(X100/H100,"0")+IFERROR(X101/H101,"0")+IFERROR(X102/H102,"0")</f>
        <v>9.5370370370370363</v>
      </c>
      <c r="Y103" s="541">
        <f>IFERROR(Y99/H99,"0")+IFERROR(Y100/H100,"0")+IFERROR(Y101/H101,"0")+IFERROR(Y102/H102,"0")</f>
        <v>10</v>
      </c>
      <c r="Z103" s="541">
        <f>IFERROR(IF(Z99="",0,Z99),"0")+IFERROR(IF(Z100="",0,Z100),"0")+IFERROR(IF(Z101="",0,Z101),"0")+IFERROR(IF(Z102="",0,Z102),"0")</f>
        <v>0.1898</v>
      </c>
      <c r="AA103" s="542"/>
      <c r="AB103" s="542"/>
      <c r="AC103" s="542"/>
    </row>
    <row r="104" spans="1:68" x14ac:dyDescent="0.2">
      <c r="A104" s="553"/>
      <c r="B104" s="553"/>
      <c r="C104" s="553"/>
      <c r="D104" s="553"/>
      <c r="E104" s="553"/>
      <c r="F104" s="553"/>
      <c r="G104" s="553"/>
      <c r="H104" s="553"/>
      <c r="I104" s="553"/>
      <c r="J104" s="553"/>
      <c r="K104" s="553"/>
      <c r="L104" s="553"/>
      <c r="M104" s="553"/>
      <c r="N104" s="553"/>
      <c r="O104" s="568"/>
      <c r="P104" s="557" t="s">
        <v>70</v>
      </c>
      <c r="Q104" s="558"/>
      <c r="R104" s="558"/>
      <c r="S104" s="558"/>
      <c r="T104" s="558"/>
      <c r="U104" s="558"/>
      <c r="V104" s="559"/>
      <c r="W104" s="37" t="s">
        <v>68</v>
      </c>
      <c r="X104" s="541">
        <f>IFERROR(SUM(X99:X102),"0")</f>
        <v>103</v>
      </c>
      <c r="Y104" s="541">
        <f>IFERROR(SUM(Y99:Y102),"0")</f>
        <v>108</v>
      </c>
      <c r="Z104" s="37"/>
      <c r="AA104" s="542"/>
      <c r="AB104" s="542"/>
      <c r="AC104" s="542"/>
    </row>
    <row r="105" spans="1:68" ht="14.25" customHeight="1" x14ac:dyDescent="0.25">
      <c r="A105" s="554" t="s">
        <v>134</v>
      </c>
      <c r="B105" s="553"/>
      <c r="C105" s="553"/>
      <c r="D105" s="553"/>
      <c r="E105" s="553"/>
      <c r="F105" s="553"/>
      <c r="G105" s="553"/>
      <c r="H105" s="553"/>
      <c r="I105" s="553"/>
      <c r="J105" s="553"/>
      <c r="K105" s="553"/>
      <c r="L105" s="553"/>
      <c r="M105" s="553"/>
      <c r="N105" s="553"/>
      <c r="O105" s="553"/>
      <c r="P105" s="553"/>
      <c r="Q105" s="553"/>
      <c r="R105" s="553"/>
      <c r="S105" s="553"/>
      <c r="T105" s="553"/>
      <c r="U105" s="553"/>
      <c r="V105" s="553"/>
      <c r="W105" s="553"/>
      <c r="X105" s="553"/>
      <c r="Y105" s="553"/>
      <c r="Z105" s="553"/>
      <c r="AA105" s="535"/>
      <c r="AB105" s="535"/>
      <c r="AC105" s="535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6">
        <v>4680115881488</v>
      </c>
      <c r="E106" s="547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101</v>
      </c>
      <c r="L106" s="32" t="s">
        <v>102</v>
      </c>
      <c r="M106" s="33" t="s">
        <v>103</v>
      </c>
      <c r="N106" s="33"/>
      <c r="O106" s="32">
        <v>55</v>
      </c>
      <c r="P106" s="77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4"/>
      <c r="R106" s="544"/>
      <c r="S106" s="544"/>
      <c r="T106" s="545"/>
      <c r="U106" s="34"/>
      <c r="V106" s="34"/>
      <c r="W106" s="35" t="s">
        <v>68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 t="s">
        <v>105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6">
        <v>4680115882775</v>
      </c>
      <c r="E107" s="547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66</v>
      </c>
      <c r="L107" s="32"/>
      <c r="M107" s="33" t="s">
        <v>103</v>
      </c>
      <c r="N107" s="33"/>
      <c r="O107" s="32">
        <v>55</v>
      </c>
      <c r="P107" s="79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4"/>
      <c r="R107" s="544"/>
      <c r="S107" s="544"/>
      <c r="T107" s="545"/>
      <c r="U107" s="34"/>
      <c r="V107" s="34"/>
      <c r="W107" s="35" t="s">
        <v>68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6">
        <v>4680115880658</v>
      </c>
      <c r="E108" s="547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75</v>
      </c>
      <c r="L108" s="32"/>
      <c r="M108" s="33" t="s">
        <v>103</v>
      </c>
      <c r="N108" s="33"/>
      <c r="O108" s="32">
        <v>55</v>
      </c>
      <c r="P108" s="743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4"/>
      <c r="R108" s="544"/>
      <c r="S108" s="544"/>
      <c r="T108" s="545"/>
      <c r="U108" s="34"/>
      <c r="V108" s="34"/>
      <c r="W108" s="35" t="s">
        <v>68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67"/>
      <c r="B109" s="553"/>
      <c r="C109" s="553"/>
      <c r="D109" s="553"/>
      <c r="E109" s="553"/>
      <c r="F109" s="553"/>
      <c r="G109" s="553"/>
      <c r="H109" s="553"/>
      <c r="I109" s="553"/>
      <c r="J109" s="553"/>
      <c r="K109" s="553"/>
      <c r="L109" s="553"/>
      <c r="M109" s="553"/>
      <c r="N109" s="553"/>
      <c r="O109" s="568"/>
      <c r="P109" s="557" t="s">
        <v>70</v>
      </c>
      <c r="Q109" s="558"/>
      <c r="R109" s="558"/>
      <c r="S109" s="558"/>
      <c r="T109" s="558"/>
      <c r="U109" s="558"/>
      <c r="V109" s="559"/>
      <c r="W109" s="37" t="s">
        <v>71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x14ac:dyDescent="0.2">
      <c r="A110" s="553"/>
      <c r="B110" s="553"/>
      <c r="C110" s="553"/>
      <c r="D110" s="553"/>
      <c r="E110" s="553"/>
      <c r="F110" s="553"/>
      <c r="G110" s="553"/>
      <c r="H110" s="553"/>
      <c r="I110" s="553"/>
      <c r="J110" s="553"/>
      <c r="K110" s="553"/>
      <c r="L110" s="553"/>
      <c r="M110" s="553"/>
      <c r="N110" s="553"/>
      <c r="O110" s="568"/>
      <c r="P110" s="557" t="s">
        <v>70</v>
      </c>
      <c r="Q110" s="558"/>
      <c r="R110" s="558"/>
      <c r="S110" s="558"/>
      <c r="T110" s="558"/>
      <c r="U110" s="558"/>
      <c r="V110" s="559"/>
      <c r="W110" s="37" t="s">
        <v>68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customHeight="1" x14ac:dyDescent="0.25">
      <c r="A111" s="554" t="s">
        <v>72</v>
      </c>
      <c r="B111" s="553"/>
      <c r="C111" s="553"/>
      <c r="D111" s="553"/>
      <c r="E111" s="553"/>
      <c r="F111" s="553"/>
      <c r="G111" s="553"/>
      <c r="H111" s="553"/>
      <c r="I111" s="553"/>
      <c r="J111" s="553"/>
      <c r="K111" s="553"/>
      <c r="L111" s="553"/>
      <c r="M111" s="553"/>
      <c r="N111" s="553"/>
      <c r="O111" s="553"/>
      <c r="P111" s="553"/>
      <c r="Q111" s="553"/>
      <c r="R111" s="553"/>
      <c r="S111" s="553"/>
      <c r="T111" s="553"/>
      <c r="U111" s="553"/>
      <c r="V111" s="553"/>
      <c r="W111" s="553"/>
      <c r="X111" s="553"/>
      <c r="Y111" s="553"/>
      <c r="Z111" s="553"/>
      <c r="AA111" s="535"/>
      <c r="AB111" s="535"/>
      <c r="AC111" s="535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6">
        <v>4607091385168</v>
      </c>
      <c r="E112" s="547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101</v>
      </c>
      <c r="L112" s="32" t="s">
        <v>102</v>
      </c>
      <c r="M112" s="33" t="s">
        <v>83</v>
      </c>
      <c r="N112" s="33"/>
      <c r="O112" s="32">
        <v>45</v>
      </c>
      <c r="P112" s="78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4"/>
      <c r="R112" s="544"/>
      <c r="S112" s="544"/>
      <c r="T112" s="545"/>
      <c r="U112" s="34"/>
      <c r="V112" s="34"/>
      <c r="W112" s="35" t="s">
        <v>68</v>
      </c>
      <c r="X112" s="539">
        <v>150</v>
      </c>
      <c r="Y112" s="540">
        <f>IFERROR(IF(X112="",0,CEILING((X112/$H112),1)*$H112),"")</f>
        <v>153.9</v>
      </c>
      <c r="Z112" s="36">
        <f>IFERROR(IF(Y112=0,"",ROUNDUP(Y112/H112,0)*0.01898),"")</f>
        <v>0.36062</v>
      </c>
      <c r="AA112" s="56"/>
      <c r="AB112" s="57"/>
      <c r="AC112" s="155" t="s">
        <v>208</v>
      </c>
      <c r="AG112" s="64"/>
      <c r="AJ112" s="68" t="s">
        <v>105</v>
      </c>
      <c r="AK112" s="68">
        <v>64.8</v>
      </c>
      <c r="BB112" s="156" t="s">
        <v>1</v>
      </c>
      <c r="BM112" s="64">
        <f>IFERROR(X112*I112/H112,"0")</f>
        <v>159.03703703703701</v>
      </c>
      <c r="BN112" s="64">
        <f>IFERROR(Y112*I112/H112,"0")</f>
        <v>163.172</v>
      </c>
      <c r="BO112" s="64">
        <f>IFERROR(1/J112*(X112/H112),"0")</f>
        <v>0.28935185185185186</v>
      </c>
      <c r="BP112" s="64">
        <f>IFERROR(1/J112*(Y112/H112),"0")</f>
        <v>0.296875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6">
        <v>4607091383256</v>
      </c>
      <c r="E113" s="547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75</v>
      </c>
      <c r="L113" s="32"/>
      <c r="M113" s="33" t="s">
        <v>83</v>
      </c>
      <c r="N113" s="33"/>
      <c r="O113" s="32">
        <v>45</v>
      </c>
      <c r="P113" s="634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4"/>
      <c r="R113" s="544"/>
      <c r="S113" s="544"/>
      <c r="T113" s="545"/>
      <c r="U113" s="34"/>
      <c r="V113" s="34"/>
      <c r="W113" s="35" t="s">
        <v>68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6">
        <v>4607091385748</v>
      </c>
      <c r="E114" s="547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75</v>
      </c>
      <c r="L114" s="32" t="s">
        <v>185</v>
      </c>
      <c r="M114" s="33" t="s">
        <v>83</v>
      </c>
      <c r="N114" s="33"/>
      <c r="O114" s="32">
        <v>45</v>
      </c>
      <c r="P114" s="79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4"/>
      <c r="R114" s="544"/>
      <c r="S114" s="544"/>
      <c r="T114" s="545"/>
      <c r="U114" s="34"/>
      <c r="V114" s="34"/>
      <c r="W114" s="35" t="s">
        <v>68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105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213</v>
      </c>
      <c r="B115" s="54" t="s">
        <v>214</v>
      </c>
      <c r="C115" s="31">
        <v>4301051740</v>
      </c>
      <c r="D115" s="546">
        <v>4680115884533</v>
      </c>
      <c r="E115" s="547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75</v>
      </c>
      <c r="L115" s="32"/>
      <c r="M115" s="33" t="s">
        <v>76</v>
      </c>
      <c r="N115" s="33"/>
      <c r="O115" s="32">
        <v>45</v>
      </c>
      <c r="P115" s="717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4"/>
      <c r="R115" s="544"/>
      <c r="S115" s="544"/>
      <c r="T115" s="545"/>
      <c r="U115" s="34"/>
      <c r="V115" s="34"/>
      <c r="W115" s="35" t="s">
        <v>68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215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67"/>
      <c r="B116" s="553"/>
      <c r="C116" s="553"/>
      <c r="D116" s="553"/>
      <c r="E116" s="553"/>
      <c r="F116" s="553"/>
      <c r="G116" s="553"/>
      <c r="H116" s="553"/>
      <c r="I116" s="553"/>
      <c r="J116" s="553"/>
      <c r="K116" s="553"/>
      <c r="L116" s="553"/>
      <c r="M116" s="553"/>
      <c r="N116" s="553"/>
      <c r="O116" s="568"/>
      <c r="P116" s="557" t="s">
        <v>70</v>
      </c>
      <c r="Q116" s="558"/>
      <c r="R116" s="558"/>
      <c r="S116" s="558"/>
      <c r="T116" s="558"/>
      <c r="U116" s="558"/>
      <c r="V116" s="559"/>
      <c r="W116" s="37" t="s">
        <v>71</v>
      </c>
      <c r="X116" s="541">
        <f>IFERROR(X112/H112,"0")+IFERROR(X113/H113,"0")+IFERROR(X114/H114,"0")+IFERROR(X115/H115,"0")</f>
        <v>18.518518518518519</v>
      </c>
      <c r="Y116" s="541">
        <f>IFERROR(Y112/H112,"0")+IFERROR(Y113/H113,"0")+IFERROR(Y114/H114,"0")+IFERROR(Y115/H115,"0")</f>
        <v>19</v>
      </c>
      <c r="Z116" s="541">
        <f>IFERROR(IF(Z112="",0,Z112),"0")+IFERROR(IF(Z113="",0,Z113),"0")+IFERROR(IF(Z114="",0,Z114),"0")+IFERROR(IF(Z115="",0,Z115),"0")</f>
        <v>0.36062</v>
      </c>
      <c r="AA116" s="542"/>
      <c r="AB116" s="542"/>
      <c r="AC116" s="542"/>
    </row>
    <row r="117" spans="1:68" x14ac:dyDescent="0.2">
      <c r="A117" s="553"/>
      <c r="B117" s="553"/>
      <c r="C117" s="553"/>
      <c r="D117" s="553"/>
      <c r="E117" s="553"/>
      <c r="F117" s="553"/>
      <c r="G117" s="553"/>
      <c r="H117" s="553"/>
      <c r="I117" s="553"/>
      <c r="J117" s="553"/>
      <c r="K117" s="553"/>
      <c r="L117" s="553"/>
      <c r="M117" s="553"/>
      <c r="N117" s="553"/>
      <c r="O117" s="568"/>
      <c r="P117" s="557" t="s">
        <v>70</v>
      </c>
      <c r="Q117" s="558"/>
      <c r="R117" s="558"/>
      <c r="S117" s="558"/>
      <c r="T117" s="558"/>
      <c r="U117" s="558"/>
      <c r="V117" s="559"/>
      <c r="W117" s="37" t="s">
        <v>68</v>
      </c>
      <c r="X117" s="541">
        <f>IFERROR(SUM(X112:X115),"0")</f>
        <v>150</v>
      </c>
      <c r="Y117" s="541">
        <f>IFERROR(SUM(Y112:Y115),"0")</f>
        <v>153.9</v>
      </c>
      <c r="Z117" s="37"/>
      <c r="AA117" s="542"/>
      <c r="AB117" s="542"/>
      <c r="AC117" s="542"/>
    </row>
    <row r="118" spans="1:68" ht="14.25" customHeight="1" x14ac:dyDescent="0.25">
      <c r="A118" s="554" t="s">
        <v>162</v>
      </c>
      <c r="B118" s="553"/>
      <c r="C118" s="553"/>
      <c r="D118" s="553"/>
      <c r="E118" s="553"/>
      <c r="F118" s="553"/>
      <c r="G118" s="553"/>
      <c r="H118" s="553"/>
      <c r="I118" s="553"/>
      <c r="J118" s="553"/>
      <c r="K118" s="553"/>
      <c r="L118" s="553"/>
      <c r="M118" s="553"/>
      <c r="N118" s="553"/>
      <c r="O118" s="553"/>
      <c r="P118" s="553"/>
      <c r="Q118" s="553"/>
      <c r="R118" s="553"/>
      <c r="S118" s="553"/>
      <c r="T118" s="553"/>
      <c r="U118" s="553"/>
      <c r="V118" s="553"/>
      <c r="W118" s="553"/>
      <c r="X118" s="553"/>
      <c r="Y118" s="553"/>
      <c r="Z118" s="553"/>
      <c r="AA118" s="535"/>
      <c r="AB118" s="535"/>
      <c r="AC118" s="535"/>
    </row>
    <row r="119" spans="1:68" ht="16.5" customHeight="1" x14ac:dyDescent="0.25">
      <c r="A119" s="54" t="s">
        <v>216</v>
      </c>
      <c r="B119" s="54" t="s">
        <v>217</v>
      </c>
      <c r="C119" s="31">
        <v>4301060317</v>
      </c>
      <c r="D119" s="546">
        <v>4680115880238</v>
      </c>
      <c r="E119" s="547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75</v>
      </c>
      <c r="L119" s="32"/>
      <c r="M119" s="33" t="s">
        <v>76</v>
      </c>
      <c r="N119" s="33"/>
      <c r="O119" s="32">
        <v>40</v>
      </c>
      <c r="P119" s="66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4"/>
      <c r="R119" s="544"/>
      <c r="S119" s="544"/>
      <c r="T119" s="545"/>
      <c r="U119" s="34"/>
      <c r="V119" s="34"/>
      <c r="W119" s="35" t="s">
        <v>68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218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67"/>
      <c r="B120" s="553"/>
      <c r="C120" s="553"/>
      <c r="D120" s="553"/>
      <c r="E120" s="553"/>
      <c r="F120" s="553"/>
      <c r="G120" s="553"/>
      <c r="H120" s="553"/>
      <c r="I120" s="553"/>
      <c r="J120" s="553"/>
      <c r="K120" s="553"/>
      <c r="L120" s="553"/>
      <c r="M120" s="553"/>
      <c r="N120" s="553"/>
      <c r="O120" s="568"/>
      <c r="P120" s="557" t="s">
        <v>70</v>
      </c>
      <c r="Q120" s="558"/>
      <c r="R120" s="558"/>
      <c r="S120" s="558"/>
      <c r="T120" s="558"/>
      <c r="U120" s="558"/>
      <c r="V120" s="559"/>
      <c r="W120" s="37" t="s">
        <v>71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x14ac:dyDescent="0.2">
      <c r="A121" s="553"/>
      <c r="B121" s="553"/>
      <c r="C121" s="553"/>
      <c r="D121" s="553"/>
      <c r="E121" s="553"/>
      <c r="F121" s="553"/>
      <c r="G121" s="553"/>
      <c r="H121" s="553"/>
      <c r="I121" s="553"/>
      <c r="J121" s="553"/>
      <c r="K121" s="553"/>
      <c r="L121" s="553"/>
      <c r="M121" s="553"/>
      <c r="N121" s="553"/>
      <c r="O121" s="568"/>
      <c r="P121" s="557" t="s">
        <v>70</v>
      </c>
      <c r="Q121" s="558"/>
      <c r="R121" s="558"/>
      <c r="S121" s="558"/>
      <c r="T121" s="558"/>
      <c r="U121" s="558"/>
      <c r="V121" s="559"/>
      <c r="W121" s="37" t="s">
        <v>68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customHeight="1" x14ac:dyDescent="0.25">
      <c r="A122" s="552" t="s">
        <v>219</v>
      </c>
      <c r="B122" s="553"/>
      <c r="C122" s="553"/>
      <c r="D122" s="553"/>
      <c r="E122" s="553"/>
      <c r="F122" s="553"/>
      <c r="G122" s="553"/>
      <c r="H122" s="553"/>
      <c r="I122" s="553"/>
      <c r="J122" s="553"/>
      <c r="K122" s="553"/>
      <c r="L122" s="553"/>
      <c r="M122" s="553"/>
      <c r="N122" s="553"/>
      <c r="O122" s="553"/>
      <c r="P122" s="553"/>
      <c r="Q122" s="553"/>
      <c r="R122" s="553"/>
      <c r="S122" s="553"/>
      <c r="T122" s="553"/>
      <c r="U122" s="553"/>
      <c r="V122" s="553"/>
      <c r="W122" s="553"/>
      <c r="X122" s="553"/>
      <c r="Y122" s="553"/>
      <c r="Z122" s="553"/>
      <c r="AA122" s="534"/>
      <c r="AB122" s="534"/>
      <c r="AC122" s="534"/>
    </row>
    <row r="123" spans="1:68" ht="14.25" customHeight="1" x14ac:dyDescent="0.25">
      <c r="A123" s="554" t="s">
        <v>98</v>
      </c>
      <c r="B123" s="553"/>
      <c r="C123" s="553"/>
      <c r="D123" s="553"/>
      <c r="E123" s="553"/>
      <c r="F123" s="553"/>
      <c r="G123" s="553"/>
      <c r="H123" s="553"/>
      <c r="I123" s="553"/>
      <c r="J123" s="553"/>
      <c r="K123" s="553"/>
      <c r="L123" s="553"/>
      <c r="M123" s="553"/>
      <c r="N123" s="553"/>
      <c r="O123" s="553"/>
      <c r="P123" s="553"/>
      <c r="Q123" s="553"/>
      <c r="R123" s="553"/>
      <c r="S123" s="553"/>
      <c r="T123" s="553"/>
      <c r="U123" s="553"/>
      <c r="V123" s="553"/>
      <c r="W123" s="553"/>
      <c r="X123" s="553"/>
      <c r="Y123" s="553"/>
      <c r="Z123" s="553"/>
      <c r="AA123" s="535"/>
      <c r="AB123" s="535"/>
      <c r="AC123" s="535"/>
    </row>
    <row r="124" spans="1:68" ht="27" customHeight="1" x14ac:dyDescent="0.25">
      <c r="A124" s="54" t="s">
        <v>220</v>
      </c>
      <c r="B124" s="54" t="s">
        <v>221</v>
      </c>
      <c r="C124" s="31">
        <v>4301011562</v>
      </c>
      <c r="D124" s="546">
        <v>4680115882577</v>
      </c>
      <c r="E124" s="547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75</v>
      </c>
      <c r="L124" s="32" t="s">
        <v>185</v>
      </c>
      <c r="M124" s="33" t="s">
        <v>93</v>
      </c>
      <c r="N124" s="33"/>
      <c r="O124" s="32">
        <v>90</v>
      </c>
      <c r="P124" s="858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4"/>
      <c r="R124" s="544"/>
      <c r="S124" s="544"/>
      <c r="T124" s="545"/>
      <c r="U124" s="34"/>
      <c r="V124" s="34"/>
      <c r="W124" s="35" t="s">
        <v>68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222</v>
      </c>
      <c r="AG124" s="64"/>
      <c r="AJ124" s="68" t="s">
        <v>105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220</v>
      </c>
      <c r="B125" s="54" t="s">
        <v>223</v>
      </c>
      <c r="C125" s="31">
        <v>4301011564</v>
      </c>
      <c r="D125" s="546">
        <v>4680115882577</v>
      </c>
      <c r="E125" s="547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75</v>
      </c>
      <c r="L125" s="32" t="s">
        <v>185</v>
      </c>
      <c r="M125" s="33" t="s">
        <v>93</v>
      </c>
      <c r="N125" s="33"/>
      <c r="O125" s="32">
        <v>90</v>
      </c>
      <c r="P125" s="78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4"/>
      <c r="R125" s="544"/>
      <c r="S125" s="544"/>
      <c r="T125" s="545"/>
      <c r="U125" s="34"/>
      <c r="V125" s="34"/>
      <c r="W125" s="35" t="s">
        <v>68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222</v>
      </c>
      <c r="AG125" s="64"/>
      <c r="AJ125" s="68" t="s">
        <v>105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67"/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68"/>
      <c r="P126" s="557" t="s">
        <v>70</v>
      </c>
      <c r="Q126" s="558"/>
      <c r="R126" s="558"/>
      <c r="S126" s="558"/>
      <c r="T126" s="558"/>
      <c r="U126" s="558"/>
      <c r="V126" s="559"/>
      <c r="W126" s="37" t="s">
        <v>71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x14ac:dyDescent="0.2">
      <c r="A127" s="553"/>
      <c r="B127" s="553"/>
      <c r="C127" s="553"/>
      <c r="D127" s="553"/>
      <c r="E127" s="553"/>
      <c r="F127" s="553"/>
      <c r="G127" s="553"/>
      <c r="H127" s="553"/>
      <c r="I127" s="553"/>
      <c r="J127" s="553"/>
      <c r="K127" s="553"/>
      <c r="L127" s="553"/>
      <c r="M127" s="553"/>
      <c r="N127" s="553"/>
      <c r="O127" s="568"/>
      <c r="P127" s="557" t="s">
        <v>70</v>
      </c>
      <c r="Q127" s="558"/>
      <c r="R127" s="558"/>
      <c r="S127" s="558"/>
      <c r="T127" s="558"/>
      <c r="U127" s="558"/>
      <c r="V127" s="559"/>
      <c r="W127" s="37" t="s">
        <v>68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customHeight="1" x14ac:dyDescent="0.25">
      <c r="A128" s="554" t="s">
        <v>63</v>
      </c>
      <c r="B128" s="553"/>
      <c r="C128" s="553"/>
      <c r="D128" s="553"/>
      <c r="E128" s="553"/>
      <c r="F128" s="553"/>
      <c r="G128" s="553"/>
      <c r="H128" s="553"/>
      <c r="I128" s="553"/>
      <c r="J128" s="553"/>
      <c r="K128" s="553"/>
      <c r="L128" s="553"/>
      <c r="M128" s="553"/>
      <c r="N128" s="553"/>
      <c r="O128" s="553"/>
      <c r="P128" s="553"/>
      <c r="Q128" s="553"/>
      <c r="R128" s="553"/>
      <c r="S128" s="553"/>
      <c r="T128" s="553"/>
      <c r="U128" s="553"/>
      <c r="V128" s="553"/>
      <c r="W128" s="553"/>
      <c r="X128" s="553"/>
      <c r="Y128" s="553"/>
      <c r="Z128" s="553"/>
      <c r="AA128" s="535"/>
      <c r="AB128" s="535"/>
      <c r="AC128" s="535"/>
    </row>
    <row r="129" spans="1:68" ht="27" customHeight="1" x14ac:dyDescent="0.25">
      <c r="A129" s="54" t="s">
        <v>224</v>
      </c>
      <c r="B129" s="54" t="s">
        <v>225</v>
      </c>
      <c r="C129" s="31">
        <v>4301031235</v>
      </c>
      <c r="D129" s="546">
        <v>4680115883444</v>
      </c>
      <c r="E129" s="547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75</v>
      </c>
      <c r="L129" s="32"/>
      <c r="M129" s="33" t="s">
        <v>93</v>
      </c>
      <c r="N129" s="33"/>
      <c r="O129" s="32">
        <v>90</v>
      </c>
      <c r="P129" s="64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4"/>
      <c r="R129" s="544"/>
      <c r="S129" s="544"/>
      <c r="T129" s="545"/>
      <c r="U129" s="34"/>
      <c r="V129" s="34"/>
      <c r="W129" s="35" t="s">
        <v>68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226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224</v>
      </c>
      <c r="B130" s="54" t="s">
        <v>227</v>
      </c>
      <c r="C130" s="31">
        <v>4301031234</v>
      </c>
      <c r="D130" s="546">
        <v>4680115883444</v>
      </c>
      <c r="E130" s="547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75</v>
      </c>
      <c r="L130" s="32" t="s">
        <v>185</v>
      </c>
      <c r="M130" s="33" t="s">
        <v>93</v>
      </c>
      <c r="N130" s="33"/>
      <c r="O130" s="32">
        <v>90</v>
      </c>
      <c r="P130" s="77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4"/>
      <c r="R130" s="544"/>
      <c r="S130" s="544"/>
      <c r="T130" s="545"/>
      <c r="U130" s="34"/>
      <c r="V130" s="34"/>
      <c r="W130" s="35" t="s">
        <v>68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226</v>
      </c>
      <c r="AG130" s="64"/>
      <c r="AJ130" s="68" t="s">
        <v>105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67"/>
      <c r="B131" s="553"/>
      <c r="C131" s="553"/>
      <c r="D131" s="553"/>
      <c r="E131" s="553"/>
      <c r="F131" s="553"/>
      <c r="G131" s="553"/>
      <c r="H131" s="553"/>
      <c r="I131" s="553"/>
      <c r="J131" s="553"/>
      <c r="K131" s="553"/>
      <c r="L131" s="553"/>
      <c r="M131" s="553"/>
      <c r="N131" s="553"/>
      <c r="O131" s="568"/>
      <c r="P131" s="557" t="s">
        <v>70</v>
      </c>
      <c r="Q131" s="558"/>
      <c r="R131" s="558"/>
      <c r="S131" s="558"/>
      <c r="T131" s="558"/>
      <c r="U131" s="558"/>
      <c r="V131" s="559"/>
      <c r="W131" s="37" t="s">
        <v>71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x14ac:dyDescent="0.2">
      <c r="A132" s="553"/>
      <c r="B132" s="553"/>
      <c r="C132" s="553"/>
      <c r="D132" s="553"/>
      <c r="E132" s="553"/>
      <c r="F132" s="553"/>
      <c r="G132" s="553"/>
      <c r="H132" s="553"/>
      <c r="I132" s="553"/>
      <c r="J132" s="553"/>
      <c r="K132" s="553"/>
      <c r="L132" s="553"/>
      <c r="M132" s="553"/>
      <c r="N132" s="553"/>
      <c r="O132" s="568"/>
      <c r="P132" s="557" t="s">
        <v>70</v>
      </c>
      <c r="Q132" s="558"/>
      <c r="R132" s="558"/>
      <c r="S132" s="558"/>
      <c r="T132" s="558"/>
      <c r="U132" s="558"/>
      <c r="V132" s="559"/>
      <c r="W132" s="37" t="s">
        <v>68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customHeight="1" x14ac:dyDescent="0.25">
      <c r="A133" s="554" t="s">
        <v>72</v>
      </c>
      <c r="B133" s="553"/>
      <c r="C133" s="553"/>
      <c r="D133" s="553"/>
      <c r="E133" s="553"/>
      <c r="F133" s="553"/>
      <c r="G133" s="553"/>
      <c r="H133" s="553"/>
      <c r="I133" s="553"/>
      <c r="J133" s="553"/>
      <c r="K133" s="553"/>
      <c r="L133" s="553"/>
      <c r="M133" s="553"/>
      <c r="N133" s="553"/>
      <c r="O133" s="553"/>
      <c r="P133" s="553"/>
      <c r="Q133" s="553"/>
      <c r="R133" s="553"/>
      <c r="S133" s="553"/>
      <c r="T133" s="553"/>
      <c r="U133" s="553"/>
      <c r="V133" s="553"/>
      <c r="W133" s="553"/>
      <c r="X133" s="553"/>
      <c r="Y133" s="553"/>
      <c r="Z133" s="553"/>
      <c r="AA133" s="535"/>
      <c r="AB133" s="535"/>
      <c r="AC133" s="535"/>
    </row>
    <row r="134" spans="1:68" ht="16.5" customHeight="1" x14ac:dyDescent="0.25">
      <c r="A134" s="54" t="s">
        <v>228</v>
      </c>
      <c r="B134" s="54" t="s">
        <v>229</v>
      </c>
      <c r="C134" s="31">
        <v>4301051477</v>
      </c>
      <c r="D134" s="546">
        <v>4680115882584</v>
      </c>
      <c r="E134" s="547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75</v>
      </c>
      <c r="L134" s="32"/>
      <c r="M134" s="33" t="s">
        <v>93</v>
      </c>
      <c r="N134" s="33"/>
      <c r="O134" s="32">
        <v>60</v>
      </c>
      <c r="P134" s="84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4"/>
      <c r="R134" s="544"/>
      <c r="S134" s="544"/>
      <c r="T134" s="545"/>
      <c r="U134" s="34"/>
      <c r="V134" s="34"/>
      <c r="W134" s="35" t="s">
        <v>68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222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228</v>
      </c>
      <c r="B135" s="54" t="s">
        <v>230</v>
      </c>
      <c r="C135" s="31">
        <v>4301051476</v>
      </c>
      <c r="D135" s="546">
        <v>4680115882584</v>
      </c>
      <c r="E135" s="547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75</v>
      </c>
      <c r="L135" s="32"/>
      <c r="M135" s="33" t="s">
        <v>93</v>
      </c>
      <c r="N135" s="33"/>
      <c r="O135" s="32">
        <v>60</v>
      </c>
      <c r="P135" s="8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4"/>
      <c r="R135" s="544"/>
      <c r="S135" s="544"/>
      <c r="T135" s="545"/>
      <c r="U135" s="34"/>
      <c r="V135" s="34"/>
      <c r="W135" s="35" t="s">
        <v>68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222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67"/>
      <c r="B136" s="553"/>
      <c r="C136" s="553"/>
      <c r="D136" s="553"/>
      <c r="E136" s="553"/>
      <c r="F136" s="553"/>
      <c r="G136" s="553"/>
      <c r="H136" s="553"/>
      <c r="I136" s="553"/>
      <c r="J136" s="553"/>
      <c r="K136" s="553"/>
      <c r="L136" s="553"/>
      <c r="M136" s="553"/>
      <c r="N136" s="553"/>
      <c r="O136" s="568"/>
      <c r="P136" s="557" t="s">
        <v>70</v>
      </c>
      <c r="Q136" s="558"/>
      <c r="R136" s="558"/>
      <c r="S136" s="558"/>
      <c r="T136" s="558"/>
      <c r="U136" s="558"/>
      <c r="V136" s="559"/>
      <c r="W136" s="37" t="s">
        <v>71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x14ac:dyDescent="0.2">
      <c r="A137" s="553"/>
      <c r="B137" s="553"/>
      <c r="C137" s="553"/>
      <c r="D137" s="553"/>
      <c r="E137" s="553"/>
      <c r="F137" s="553"/>
      <c r="G137" s="553"/>
      <c r="H137" s="553"/>
      <c r="I137" s="553"/>
      <c r="J137" s="553"/>
      <c r="K137" s="553"/>
      <c r="L137" s="553"/>
      <c r="M137" s="553"/>
      <c r="N137" s="553"/>
      <c r="O137" s="568"/>
      <c r="P137" s="557" t="s">
        <v>70</v>
      </c>
      <c r="Q137" s="558"/>
      <c r="R137" s="558"/>
      <c r="S137" s="558"/>
      <c r="T137" s="558"/>
      <c r="U137" s="558"/>
      <c r="V137" s="559"/>
      <c r="W137" s="37" t="s">
        <v>68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customHeight="1" x14ac:dyDescent="0.25">
      <c r="A138" s="552" t="s">
        <v>96</v>
      </c>
      <c r="B138" s="553"/>
      <c r="C138" s="553"/>
      <c r="D138" s="553"/>
      <c r="E138" s="553"/>
      <c r="F138" s="553"/>
      <c r="G138" s="553"/>
      <c r="H138" s="553"/>
      <c r="I138" s="553"/>
      <c r="J138" s="553"/>
      <c r="K138" s="553"/>
      <c r="L138" s="553"/>
      <c r="M138" s="553"/>
      <c r="N138" s="553"/>
      <c r="O138" s="553"/>
      <c r="P138" s="553"/>
      <c r="Q138" s="553"/>
      <c r="R138" s="553"/>
      <c r="S138" s="553"/>
      <c r="T138" s="553"/>
      <c r="U138" s="553"/>
      <c r="V138" s="553"/>
      <c r="W138" s="553"/>
      <c r="X138" s="553"/>
      <c r="Y138" s="553"/>
      <c r="Z138" s="553"/>
      <c r="AA138" s="534"/>
      <c r="AB138" s="534"/>
      <c r="AC138" s="534"/>
    </row>
    <row r="139" spans="1:68" ht="14.25" customHeight="1" x14ac:dyDescent="0.25">
      <c r="A139" s="554" t="s">
        <v>98</v>
      </c>
      <c r="B139" s="553"/>
      <c r="C139" s="553"/>
      <c r="D139" s="553"/>
      <c r="E139" s="553"/>
      <c r="F139" s="553"/>
      <c r="G139" s="553"/>
      <c r="H139" s="553"/>
      <c r="I139" s="553"/>
      <c r="J139" s="553"/>
      <c r="K139" s="553"/>
      <c r="L139" s="553"/>
      <c r="M139" s="553"/>
      <c r="N139" s="553"/>
      <c r="O139" s="553"/>
      <c r="P139" s="553"/>
      <c r="Q139" s="553"/>
      <c r="R139" s="553"/>
      <c r="S139" s="553"/>
      <c r="T139" s="553"/>
      <c r="U139" s="553"/>
      <c r="V139" s="553"/>
      <c r="W139" s="553"/>
      <c r="X139" s="553"/>
      <c r="Y139" s="553"/>
      <c r="Z139" s="553"/>
      <c r="AA139" s="535"/>
      <c r="AB139" s="535"/>
      <c r="AC139" s="535"/>
    </row>
    <row r="140" spans="1:68" ht="27" customHeight="1" x14ac:dyDescent="0.25">
      <c r="A140" s="54" t="s">
        <v>231</v>
      </c>
      <c r="B140" s="54" t="s">
        <v>232</v>
      </c>
      <c r="C140" s="31">
        <v>4301012244</v>
      </c>
      <c r="D140" s="546">
        <v>4680115887374</v>
      </c>
      <c r="E140" s="547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101</v>
      </c>
      <c r="L140" s="32"/>
      <c r="M140" s="33" t="s">
        <v>103</v>
      </c>
      <c r="N140" s="33"/>
      <c r="O140" s="32">
        <v>55</v>
      </c>
      <c r="P140" s="70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4"/>
      <c r="R140" s="544"/>
      <c r="S140" s="544"/>
      <c r="T140" s="545"/>
      <c r="U140" s="34"/>
      <c r="V140" s="34"/>
      <c r="W140" s="35" t="s">
        <v>68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233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234</v>
      </c>
      <c r="B141" s="54" t="s">
        <v>235</v>
      </c>
      <c r="C141" s="31">
        <v>4301011705</v>
      </c>
      <c r="D141" s="546">
        <v>4607091384604</v>
      </c>
      <c r="E141" s="547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108</v>
      </c>
      <c r="L141" s="32"/>
      <c r="M141" s="33" t="s">
        <v>103</v>
      </c>
      <c r="N141" s="33"/>
      <c r="O141" s="32">
        <v>50</v>
      </c>
      <c r="P141" s="72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4"/>
      <c r="R141" s="544"/>
      <c r="S141" s="544"/>
      <c r="T141" s="545"/>
      <c r="U141" s="34"/>
      <c r="V141" s="34"/>
      <c r="W141" s="35" t="s">
        <v>68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236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67"/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68"/>
      <c r="P142" s="557" t="s">
        <v>70</v>
      </c>
      <c r="Q142" s="558"/>
      <c r="R142" s="558"/>
      <c r="S142" s="558"/>
      <c r="T142" s="558"/>
      <c r="U142" s="558"/>
      <c r="V142" s="559"/>
      <c r="W142" s="37" t="s">
        <v>71</v>
      </c>
      <c r="X142" s="541">
        <f>IFERROR(X140/H140,"0")+IFERROR(X141/H141,"0")</f>
        <v>0</v>
      </c>
      <c r="Y142" s="541">
        <f>IFERROR(Y140/H140,"0")+IFERROR(Y141/H141,"0")</f>
        <v>0</v>
      </c>
      <c r="Z142" s="541">
        <f>IFERROR(IF(Z140="",0,Z140),"0")+IFERROR(IF(Z141="",0,Z141),"0")</f>
        <v>0</v>
      </c>
      <c r="AA142" s="542"/>
      <c r="AB142" s="542"/>
      <c r="AC142" s="542"/>
    </row>
    <row r="143" spans="1:68" x14ac:dyDescent="0.2">
      <c r="A143" s="553"/>
      <c r="B143" s="553"/>
      <c r="C143" s="553"/>
      <c r="D143" s="553"/>
      <c r="E143" s="553"/>
      <c r="F143" s="553"/>
      <c r="G143" s="553"/>
      <c r="H143" s="553"/>
      <c r="I143" s="553"/>
      <c r="J143" s="553"/>
      <c r="K143" s="553"/>
      <c r="L143" s="553"/>
      <c r="M143" s="553"/>
      <c r="N143" s="553"/>
      <c r="O143" s="568"/>
      <c r="P143" s="557" t="s">
        <v>70</v>
      </c>
      <c r="Q143" s="558"/>
      <c r="R143" s="558"/>
      <c r="S143" s="558"/>
      <c r="T143" s="558"/>
      <c r="U143" s="558"/>
      <c r="V143" s="559"/>
      <c r="W143" s="37" t="s">
        <v>68</v>
      </c>
      <c r="X143" s="541">
        <f>IFERROR(SUM(X140:X141),"0")</f>
        <v>0</v>
      </c>
      <c r="Y143" s="541">
        <f>IFERROR(SUM(Y140:Y141),"0")</f>
        <v>0</v>
      </c>
      <c r="Z143" s="37"/>
      <c r="AA143" s="542"/>
      <c r="AB143" s="542"/>
      <c r="AC143" s="542"/>
    </row>
    <row r="144" spans="1:68" ht="14.25" customHeight="1" x14ac:dyDescent="0.25">
      <c r="A144" s="554" t="s">
        <v>63</v>
      </c>
      <c r="B144" s="553"/>
      <c r="C144" s="553"/>
      <c r="D144" s="553"/>
      <c r="E144" s="553"/>
      <c r="F144" s="553"/>
      <c r="G144" s="553"/>
      <c r="H144" s="553"/>
      <c r="I144" s="553"/>
      <c r="J144" s="553"/>
      <c r="K144" s="553"/>
      <c r="L144" s="553"/>
      <c r="M144" s="553"/>
      <c r="N144" s="553"/>
      <c r="O144" s="553"/>
      <c r="P144" s="553"/>
      <c r="Q144" s="553"/>
      <c r="R144" s="553"/>
      <c r="S144" s="553"/>
      <c r="T144" s="553"/>
      <c r="U144" s="553"/>
      <c r="V144" s="553"/>
      <c r="W144" s="553"/>
      <c r="X144" s="553"/>
      <c r="Y144" s="553"/>
      <c r="Z144" s="553"/>
      <c r="AA144" s="535"/>
      <c r="AB144" s="535"/>
      <c r="AC144" s="535"/>
    </row>
    <row r="145" spans="1:68" ht="16.5" customHeight="1" x14ac:dyDescent="0.25">
      <c r="A145" s="54" t="s">
        <v>237</v>
      </c>
      <c r="B145" s="54" t="s">
        <v>238</v>
      </c>
      <c r="C145" s="31">
        <v>4301030895</v>
      </c>
      <c r="D145" s="546">
        <v>4607091387667</v>
      </c>
      <c r="E145" s="547"/>
      <c r="F145" s="538">
        <v>0.9</v>
      </c>
      <c r="G145" s="32">
        <v>10</v>
      </c>
      <c r="H145" s="538">
        <v>9</v>
      </c>
      <c r="I145" s="538">
        <v>9.56</v>
      </c>
      <c r="J145" s="32">
        <v>64</v>
      </c>
      <c r="K145" s="32" t="s">
        <v>101</v>
      </c>
      <c r="L145" s="32"/>
      <c r="M145" s="33" t="s">
        <v>103</v>
      </c>
      <c r="N145" s="33"/>
      <c r="O145" s="32">
        <v>40</v>
      </c>
      <c r="P145" s="58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4"/>
      <c r="R145" s="544"/>
      <c r="S145" s="544"/>
      <c r="T145" s="545"/>
      <c r="U145" s="34"/>
      <c r="V145" s="34"/>
      <c r="W145" s="35" t="s">
        <v>68</v>
      </c>
      <c r="X145" s="539">
        <v>0</v>
      </c>
      <c r="Y145" s="540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239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240</v>
      </c>
      <c r="B146" s="54" t="s">
        <v>241</v>
      </c>
      <c r="C146" s="31">
        <v>4301030961</v>
      </c>
      <c r="D146" s="546">
        <v>4607091387636</v>
      </c>
      <c r="E146" s="547"/>
      <c r="F146" s="538">
        <v>0.7</v>
      </c>
      <c r="G146" s="32">
        <v>6</v>
      </c>
      <c r="H146" s="538">
        <v>4.2</v>
      </c>
      <c r="I146" s="538">
        <v>4.47</v>
      </c>
      <c r="J146" s="32">
        <v>182</v>
      </c>
      <c r="K146" s="32" t="s">
        <v>75</v>
      </c>
      <c r="L146" s="32"/>
      <c r="M146" s="33" t="s">
        <v>67</v>
      </c>
      <c r="N146" s="33"/>
      <c r="O146" s="32">
        <v>40</v>
      </c>
      <c r="P146" s="82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4"/>
      <c r="R146" s="544"/>
      <c r="S146" s="544"/>
      <c r="T146" s="545"/>
      <c r="U146" s="34"/>
      <c r="V146" s="34"/>
      <c r="W146" s="35" t="s">
        <v>68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242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243</v>
      </c>
      <c r="B147" s="54" t="s">
        <v>244</v>
      </c>
      <c r="C147" s="31">
        <v>4301030963</v>
      </c>
      <c r="D147" s="546">
        <v>4607091382426</v>
      </c>
      <c r="E147" s="547"/>
      <c r="F147" s="538">
        <v>0.9</v>
      </c>
      <c r="G147" s="32">
        <v>10</v>
      </c>
      <c r="H147" s="538">
        <v>9</v>
      </c>
      <c r="I147" s="538">
        <v>9.56</v>
      </c>
      <c r="J147" s="32">
        <v>64</v>
      </c>
      <c r="K147" s="32" t="s">
        <v>101</v>
      </c>
      <c r="L147" s="32"/>
      <c r="M147" s="33" t="s">
        <v>67</v>
      </c>
      <c r="N147" s="33"/>
      <c r="O147" s="32">
        <v>40</v>
      </c>
      <c r="P147" s="592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4"/>
      <c r="R147" s="544"/>
      <c r="S147" s="544"/>
      <c r="T147" s="545"/>
      <c r="U147" s="34"/>
      <c r="V147" s="34"/>
      <c r="W147" s="35" t="s">
        <v>68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245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67"/>
      <c r="B148" s="553"/>
      <c r="C148" s="553"/>
      <c r="D148" s="553"/>
      <c r="E148" s="553"/>
      <c r="F148" s="553"/>
      <c r="G148" s="553"/>
      <c r="H148" s="553"/>
      <c r="I148" s="553"/>
      <c r="J148" s="553"/>
      <c r="K148" s="553"/>
      <c r="L148" s="553"/>
      <c r="M148" s="553"/>
      <c r="N148" s="553"/>
      <c r="O148" s="568"/>
      <c r="P148" s="557" t="s">
        <v>70</v>
      </c>
      <c r="Q148" s="558"/>
      <c r="R148" s="558"/>
      <c r="S148" s="558"/>
      <c r="T148" s="558"/>
      <c r="U148" s="558"/>
      <c r="V148" s="559"/>
      <c r="W148" s="37" t="s">
        <v>71</v>
      </c>
      <c r="X148" s="541">
        <f>IFERROR(X145/H145,"0")+IFERROR(X146/H146,"0")+IFERROR(X147/H147,"0")</f>
        <v>0</v>
      </c>
      <c r="Y148" s="541">
        <f>IFERROR(Y145/H145,"0")+IFERROR(Y146/H146,"0")+IFERROR(Y147/H147,"0")</f>
        <v>0</v>
      </c>
      <c r="Z148" s="541">
        <f>IFERROR(IF(Z145="",0,Z145),"0")+IFERROR(IF(Z146="",0,Z146),"0")+IFERROR(IF(Z147="",0,Z147),"0")</f>
        <v>0</v>
      </c>
      <c r="AA148" s="542"/>
      <c r="AB148" s="542"/>
      <c r="AC148" s="542"/>
    </row>
    <row r="149" spans="1:68" x14ac:dyDescent="0.2">
      <c r="A149" s="553"/>
      <c r="B149" s="553"/>
      <c r="C149" s="553"/>
      <c r="D149" s="553"/>
      <c r="E149" s="553"/>
      <c r="F149" s="553"/>
      <c r="G149" s="553"/>
      <c r="H149" s="553"/>
      <c r="I149" s="553"/>
      <c r="J149" s="553"/>
      <c r="K149" s="553"/>
      <c r="L149" s="553"/>
      <c r="M149" s="553"/>
      <c r="N149" s="553"/>
      <c r="O149" s="568"/>
      <c r="P149" s="557" t="s">
        <v>70</v>
      </c>
      <c r="Q149" s="558"/>
      <c r="R149" s="558"/>
      <c r="S149" s="558"/>
      <c r="T149" s="558"/>
      <c r="U149" s="558"/>
      <c r="V149" s="559"/>
      <c r="W149" s="37" t="s">
        <v>68</v>
      </c>
      <c r="X149" s="541">
        <f>IFERROR(SUM(X145:X147),"0")</f>
        <v>0</v>
      </c>
      <c r="Y149" s="541">
        <f>IFERROR(SUM(Y145:Y147),"0")</f>
        <v>0</v>
      </c>
      <c r="Z149" s="37"/>
      <c r="AA149" s="542"/>
      <c r="AB149" s="542"/>
      <c r="AC149" s="542"/>
    </row>
    <row r="150" spans="1:68" ht="14.25" customHeight="1" x14ac:dyDescent="0.25">
      <c r="A150" s="554" t="s">
        <v>72</v>
      </c>
      <c r="B150" s="553"/>
      <c r="C150" s="553"/>
      <c r="D150" s="553"/>
      <c r="E150" s="553"/>
      <c r="F150" s="553"/>
      <c r="G150" s="553"/>
      <c r="H150" s="553"/>
      <c r="I150" s="553"/>
      <c r="J150" s="553"/>
      <c r="K150" s="553"/>
      <c r="L150" s="553"/>
      <c r="M150" s="553"/>
      <c r="N150" s="553"/>
      <c r="O150" s="553"/>
      <c r="P150" s="553"/>
      <c r="Q150" s="553"/>
      <c r="R150" s="553"/>
      <c r="S150" s="553"/>
      <c r="T150" s="553"/>
      <c r="U150" s="553"/>
      <c r="V150" s="553"/>
      <c r="W150" s="553"/>
      <c r="X150" s="553"/>
      <c r="Y150" s="553"/>
      <c r="Z150" s="553"/>
      <c r="AA150" s="535"/>
      <c r="AB150" s="535"/>
      <c r="AC150" s="535"/>
    </row>
    <row r="151" spans="1:68" ht="27" customHeight="1" x14ac:dyDescent="0.25">
      <c r="A151" s="54" t="s">
        <v>246</v>
      </c>
      <c r="B151" s="54" t="s">
        <v>247</v>
      </c>
      <c r="C151" s="31">
        <v>4301052064</v>
      </c>
      <c r="D151" s="546">
        <v>4680115887459</v>
      </c>
      <c r="E151" s="547"/>
      <c r="F151" s="538">
        <v>0.3</v>
      </c>
      <c r="G151" s="32">
        <v>6</v>
      </c>
      <c r="H151" s="538">
        <v>1.8</v>
      </c>
      <c r="I151" s="538">
        <v>2.0579999999999998</v>
      </c>
      <c r="J151" s="32">
        <v>182</v>
      </c>
      <c r="K151" s="32" t="s">
        <v>75</v>
      </c>
      <c r="L151" s="32"/>
      <c r="M151" s="33" t="s">
        <v>76</v>
      </c>
      <c r="N151" s="33"/>
      <c r="O151" s="32">
        <v>45</v>
      </c>
      <c r="P151" s="859" t="s">
        <v>248</v>
      </c>
      <c r="Q151" s="544"/>
      <c r="R151" s="544"/>
      <c r="S151" s="544"/>
      <c r="T151" s="545"/>
      <c r="U151" s="34"/>
      <c r="V151" s="34"/>
      <c r="W151" s="35" t="s">
        <v>68</v>
      </c>
      <c r="X151" s="539">
        <v>0</v>
      </c>
      <c r="Y151" s="540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67"/>
      <c r="B152" s="553"/>
      <c r="C152" s="553"/>
      <c r="D152" s="553"/>
      <c r="E152" s="553"/>
      <c r="F152" s="553"/>
      <c r="G152" s="553"/>
      <c r="H152" s="553"/>
      <c r="I152" s="553"/>
      <c r="J152" s="553"/>
      <c r="K152" s="553"/>
      <c r="L152" s="553"/>
      <c r="M152" s="553"/>
      <c r="N152" s="553"/>
      <c r="O152" s="568"/>
      <c r="P152" s="557" t="s">
        <v>70</v>
      </c>
      <c r="Q152" s="558"/>
      <c r="R152" s="558"/>
      <c r="S152" s="558"/>
      <c r="T152" s="558"/>
      <c r="U152" s="558"/>
      <c r="V152" s="559"/>
      <c r="W152" s="37" t="s">
        <v>71</v>
      </c>
      <c r="X152" s="541">
        <f>IFERROR(X151/H151,"0")</f>
        <v>0</v>
      </c>
      <c r="Y152" s="541">
        <f>IFERROR(Y151/H151,"0")</f>
        <v>0</v>
      </c>
      <c r="Z152" s="541">
        <f>IFERROR(IF(Z151="",0,Z151),"0")</f>
        <v>0</v>
      </c>
      <c r="AA152" s="542"/>
      <c r="AB152" s="542"/>
      <c r="AC152" s="542"/>
    </row>
    <row r="153" spans="1:68" x14ac:dyDescent="0.2">
      <c r="A153" s="553"/>
      <c r="B153" s="553"/>
      <c r="C153" s="553"/>
      <c r="D153" s="553"/>
      <c r="E153" s="553"/>
      <c r="F153" s="553"/>
      <c r="G153" s="553"/>
      <c r="H153" s="553"/>
      <c r="I153" s="553"/>
      <c r="J153" s="553"/>
      <c r="K153" s="553"/>
      <c r="L153" s="553"/>
      <c r="M153" s="553"/>
      <c r="N153" s="553"/>
      <c r="O153" s="568"/>
      <c r="P153" s="557" t="s">
        <v>70</v>
      </c>
      <c r="Q153" s="558"/>
      <c r="R153" s="558"/>
      <c r="S153" s="558"/>
      <c r="T153" s="558"/>
      <c r="U153" s="558"/>
      <c r="V153" s="559"/>
      <c r="W153" s="37" t="s">
        <v>68</v>
      </c>
      <c r="X153" s="541">
        <f>IFERROR(SUM(X151:X151),"0")</f>
        <v>0</v>
      </c>
      <c r="Y153" s="541">
        <f>IFERROR(SUM(Y151:Y151),"0")</f>
        <v>0</v>
      </c>
      <c r="Z153" s="37"/>
      <c r="AA153" s="542"/>
      <c r="AB153" s="542"/>
      <c r="AC153" s="542"/>
    </row>
    <row r="154" spans="1:68" ht="27.75" customHeight="1" x14ac:dyDescent="0.2">
      <c r="A154" s="693" t="s">
        <v>250</v>
      </c>
      <c r="B154" s="694"/>
      <c r="C154" s="694"/>
      <c r="D154" s="694"/>
      <c r="E154" s="694"/>
      <c r="F154" s="694"/>
      <c r="G154" s="694"/>
      <c r="H154" s="694"/>
      <c r="I154" s="694"/>
      <c r="J154" s="694"/>
      <c r="K154" s="694"/>
      <c r="L154" s="694"/>
      <c r="M154" s="694"/>
      <c r="N154" s="694"/>
      <c r="O154" s="694"/>
      <c r="P154" s="694"/>
      <c r="Q154" s="694"/>
      <c r="R154" s="694"/>
      <c r="S154" s="694"/>
      <c r="T154" s="694"/>
      <c r="U154" s="694"/>
      <c r="V154" s="694"/>
      <c r="W154" s="694"/>
      <c r="X154" s="694"/>
      <c r="Y154" s="694"/>
      <c r="Z154" s="694"/>
      <c r="AA154" s="48"/>
      <c r="AB154" s="48"/>
      <c r="AC154" s="48"/>
    </row>
    <row r="155" spans="1:68" ht="16.5" customHeight="1" x14ac:dyDescent="0.25">
      <c r="A155" s="552" t="s">
        <v>251</v>
      </c>
      <c r="B155" s="553"/>
      <c r="C155" s="553"/>
      <c r="D155" s="553"/>
      <c r="E155" s="553"/>
      <c r="F155" s="553"/>
      <c r="G155" s="553"/>
      <c r="H155" s="553"/>
      <c r="I155" s="553"/>
      <c r="J155" s="553"/>
      <c r="K155" s="553"/>
      <c r="L155" s="553"/>
      <c r="M155" s="553"/>
      <c r="N155" s="553"/>
      <c r="O155" s="553"/>
      <c r="P155" s="553"/>
      <c r="Q155" s="553"/>
      <c r="R155" s="553"/>
      <c r="S155" s="553"/>
      <c r="T155" s="553"/>
      <c r="U155" s="553"/>
      <c r="V155" s="553"/>
      <c r="W155" s="553"/>
      <c r="X155" s="553"/>
      <c r="Y155" s="553"/>
      <c r="Z155" s="553"/>
      <c r="AA155" s="534"/>
      <c r="AB155" s="534"/>
      <c r="AC155" s="534"/>
    </row>
    <row r="156" spans="1:68" ht="14.25" customHeight="1" x14ac:dyDescent="0.25">
      <c r="A156" s="554" t="s">
        <v>134</v>
      </c>
      <c r="B156" s="553"/>
      <c r="C156" s="553"/>
      <c r="D156" s="553"/>
      <c r="E156" s="553"/>
      <c r="F156" s="553"/>
      <c r="G156" s="553"/>
      <c r="H156" s="553"/>
      <c r="I156" s="553"/>
      <c r="J156" s="553"/>
      <c r="K156" s="553"/>
      <c r="L156" s="553"/>
      <c r="M156" s="553"/>
      <c r="N156" s="553"/>
      <c r="O156" s="553"/>
      <c r="P156" s="553"/>
      <c r="Q156" s="553"/>
      <c r="R156" s="553"/>
      <c r="S156" s="553"/>
      <c r="T156" s="553"/>
      <c r="U156" s="553"/>
      <c r="V156" s="553"/>
      <c r="W156" s="553"/>
      <c r="X156" s="553"/>
      <c r="Y156" s="553"/>
      <c r="Z156" s="553"/>
      <c r="AA156" s="535"/>
      <c r="AB156" s="535"/>
      <c r="AC156" s="535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6">
        <v>4680115886223</v>
      </c>
      <c r="E157" s="547"/>
      <c r="F157" s="538">
        <v>0.33</v>
      </c>
      <c r="G157" s="32">
        <v>6</v>
      </c>
      <c r="H157" s="538">
        <v>1.98</v>
      </c>
      <c r="I157" s="538">
        <v>2.08</v>
      </c>
      <c r="J157" s="32">
        <v>234</v>
      </c>
      <c r="K157" s="32" t="s">
        <v>66</v>
      </c>
      <c r="L157" s="32"/>
      <c r="M157" s="33" t="s">
        <v>67</v>
      </c>
      <c r="N157" s="33"/>
      <c r="O157" s="32">
        <v>40</v>
      </c>
      <c r="P157" s="56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4"/>
      <c r="R157" s="544"/>
      <c r="S157" s="544"/>
      <c r="T157" s="545"/>
      <c r="U157" s="34"/>
      <c r="V157" s="34"/>
      <c r="W157" s="35" t="s">
        <v>68</v>
      </c>
      <c r="X157" s="539">
        <v>0</v>
      </c>
      <c r="Y157" s="540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67"/>
      <c r="B158" s="553"/>
      <c r="C158" s="553"/>
      <c r="D158" s="553"/>
      <c r="E158" s="553"/>
      <c r="F158" s="553"/>
      <c r="G158" s="553"/>
      <c r="H158" s="553"/>
      <c r="I158" s="553"/>
      <c r="J158" s="553"/>
      <c r="K158" s="553"/>
      <c r="L158" s="553"/>
      <c r="M158" s="553"/>
      <c r="N158" s="553"/>
      <c r="O158" s="568"/>
      <c r="P158" s="557" t="s">
        <v>70</v>
      </c>
      <c r="Q158" s="558"/>
      <c r="R158" s="558"/>
      <c r="S158" s="558"/>
      <c r="T158" s="558"/>
      <c r="U158" s="558"/>
      <c r="V158" s="559"/>
      <c r="W158" s="37" t="s">
        <v>71</v>
      </c>
      <c r="X158" s="541">
        <f>IFERROR(X157/H157,"0")</f>
        <v>0</v>
      </c>
      <c r="Y158" s="541">
        <f>IFERROR(Y157/H157,"0")</f>
        <v>0</v>
      </c>
      <c r="Z158" s="541">
        <f>IFERROR(IF(Z157="",0,Z157),"0")</f>
        <v>0</v>
      </c>
      <c r="AA158" s="542"/>
      <c r="AB158" s="542"/>
      <c r="AC158" s="542"/>
    </row>
    <row r="159" spans="1:68" x14ac:dyDescent="0.2">
      <c r="A159" s="553"/>
      <c r="B159" s="553"/>
      <c r="C159" s="553"/>
      <c r="D159" s="553"/>
      <c r="E159" s="553"/>
      <c r="F159" s="553"/>
      <c r="G159" s="553"/>
      <c r="H159" s="553"/>
      <c r="I159" s="553"/>
      <c r="J159" s="553"/>
      <c r="K159" s="553"/>
      <c r="L159" s="553"/>
      <c r="M159" s="553"/>
      <c r="N159" s="553"/>
      <c r="O159" s="568"/>
      <c r="P159" s="557" t="s">
        <v>70</v>
      </c>
      <c r="Q159" s="558"/>
      <c r="R159" s="558"/>
      <c r="S159" s="558"/>
      <c r="T159" s="558"/>
      <c r="U159" s="558"/>
      <c r="V159" s="559"/>
      <c r="W159" s="37" t="s">
        <v>68</v>
      </c>
      <c r="X159" s="541">
        <f>IFERROR(SUM(X157:X157),"0")</f>
        <v>0</v>
      </c>
      <c r="Y159" s="541">
        <f>IFERROR(SUM(Y157:Y157),"0")</f>
        <v>0</v>
      </c>
      <c r="Z159" s="37"/>
      <c r="AA159" s="542"/>
      <c r="AB159" s="542"/>
      <c r="AC159" s="542"/>
    </row>
    <row r="160" spans="1:68" ht="14.25" customHeight="1" x14ac:dyDescent="0.25">
      <c r="A160" s="554" t="s">
        <v>63</v>
      </c>
      <c r="B160" s="553"/>
      <c r="C160" s="553"/>
      <c r="D160" s="553"/>
      <c r="E160" s="553"/>
      <c r="F160" s="553"/>
      <c r="G160" s="553"/>
      <c r="H160" s="553"/>
      <c r="I160" s="553"/>
      <c r="J160" s="553"/>
      <c r="K160" s="553"/>
      <c r="L160" s="553"/>
      <c r="M160" s="553"/>
      <c r="N160" s="553"/>
      <c r="O160" s="553"/>
      <c r="P160" s="553"/>
      <c r="Q160" s="553"/>
      <c r="R160" s="553"/>
      <c r="S160" s="553"/>
      <c r="T160" s="553"/>
      <c r="U160" s="553"/>
      <c r="V160" s="553"/>
      <c r="W160" s="553"/>
      <c r="X160" s="553"/>
      <c r="Y160" s="553"/>
      <c r="Z160" s="553"/>
      <c r="AA160" s="535"/>
      <c r="AB160" s="535"/>
      <c r="AC160" s="535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6">
        <v>4680115880993</v>
      </c>
      <c r="E161" s="547"/>
      <c r="F161" s="538">
        <v>0.7</v>
      </c>
      <c r="G161" s="32">
        <v>6</v>
      </c>
      <c r="H161" s="538">
        <v>4.2</v>
      </c>
      <c r="I161" s="538">
        <v>4.45</v>
      </c>
      <c r="J161" s="32">
        <v>132</v>
      </c>
      <c r="K161" s="32" t="s">
        <v>108</v>
      </c>
      <c r="L161" s="32"/>
      <c r="M161" s="33" t="s">
        <v>67</v>
      </c>
      <c r="N161" s="33"/>
      <c r="O161" s="32">
        <v>40</v>
      </c>
      <c r="P161" s="73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4"/>
      <c r="R161" s="544"/>
      <c r="S161" s="544"/>
      <c r="T161" s="545"/>
      <c r="U161" s="34"/>
      <c r="V161" s="34"/>
      <c r="W161" s="35" t="s">
        <v>68</v>
      </c>
      <c r="X161" s="539">
        <v>0</v>
      </c>
      <c r="Y161" s="540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/>
      <c r="AK161" s="68">
        <v>0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6">
        <v>4680115881761</v>
      </c>
      <c r="E162" s="547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108</v>
      </c>
      <c r="L162" s="32"/>
      <c r="M162" s="33" t="s">
        <v>67</v>
      </c>
      <c r="N162" s="33"/>
      <c r="O162" s="32">
        <v>40</v>
      </c>
      <c r="P162" s="767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4"/>
      <c r="R162" s="544"/>
      <c r="S162" s="544"/>
      <c r="T162" s="545"/>
      <c r="U162" s="34"/>
      <c r="V162" s="34"/>
      <c r="W162" s="35" t="s">
        <v>68</v>
      </c>
      <c r="X162" s="539">
        <v>0</v>
      </c>
      <c r="Y162" s="540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6">
        <v>4680115881563</v>
      </c>
      <c r="E163" s="547"/>
      <c r="F163" s="538">
        <v>0.7</v>
      </c>
      <c r="G163" s="32">
        <v>6</v>
      </c>
      <c r="H163" s="538">
        <v>4.2</v>
      </c>
      <c r="I163" s="538">
        <v>4.3899999999999997</v>
      </c>
      <c r="J163" s="32">
        <v>132</v>
      </c>
      <c r="K163" s="32" t="s">
        <v>108</v>
      </c>
      <c r="L163" s="32" t="s">
        <v>109</v>
      </c>
      <c r="M163" s="33" t="s">
        <v>67</v>
      </c>
      <c r="N163" s="33"/>
      <c r="O163" s="32">
        <v>40</v>
      </c>
      <c r="P163" s="697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4"/>
      <c r="R163" s="544"/>
      <c r="S163" s="544"/>
      <c r="T163" s="545"/>
      <c r="U163" s="34"/>
      <c r="V163" s="34"/>
      <c r="W163" s="35" t="s">
        <v>68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105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6">
        <v>4680115880986</v>
      </c>
      <c r="E164" s="547"/>
      <c r="F164" s="538">
        <v>0.35</v>
      </c>
      <c r="G164" s="32">
        <v>6</v>
      </c>
      <c r="H164" s="538">
        <v>2.1</v>
      </c>
      <c r="I164" s="538">
        <v>2.23</v>
      </c>
      <c r="J164" s="32">
        <v>234</v>
      </c>
      <c r="K164" s="32" t="s">
        <v>66</v>
      </c>
      <c r="L164" s="32" t="s">
        <v>266</v>
      </c>
      <c r="M164" s="33" t="s">
        <v>67</v>
      </c>
      <c r="N164" s="33"/>
      <c r="O164" s="32">
        <v>40</v>
      </c>
      <c r="P164" s="77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4"/>
      <c r="R164" s="544"/>
      <c r="S164" s="544"/>
      <c r="T164" s="545"/>
      <c r="U164" s="34"/>
      <c r="V164" s="34"/>
      <c r="W164" s="35" t="s">
        <v>68</v>
      </c>
      <c r="X164" s="539">
        <v>0</v>
      </c>
      <c r="Y164" s="540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105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6">
        <v>4680115887213</v>
      </c>
      <c r="E165" s="547"/>
      <c r="F165" s="538">
        <v>0.3</v>
      </c>
      <c r="G165" s="32">
        <v>6</v>
      </c>
      <c r="H165" s="538">
        <v>1.8</v>
      </c>
      <c r="I165" s="538">
        <v>1.9</v>
      </c>
      <c r="J165" s="32">
        <v>234</v>
      </c>
      <c r="K165" s="32" t="s">
        <v>66</v>
      </c>
      <c r="L165" s="32"/>
      <c r="M165" s="33" t="s">
        <v>67</v>
      </c>
      <c r="N165" s="33"/>
      <c r="O165" s="32">
        <v>45</v>
      </c>
      <c r="P165" s="578" t="s">
        <v>269</v>
      </c>
      <c r="Q165" s="544"/>
      <c r="R165" s="544"/>
      <c r="S165" s="544"/>
      <c r="T165" s="545"/>
      <c r="U165" s="34"/>
      <c r="V165" s="34"/>
      <c r="W165" s="35" t="s">
        <v>68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6">
        <v>4680115881785</v>
      </c>
      <c r="E166" s="547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66</v>
      </c>
      <c r="L166" s="32"/>
      <c r="M166" s="33" t="s">
        <v>67</v>
      </c>
      <c r="N166" s="33"/>
      <c r="O166" s="32">
        <v>40</v>
      </c>
      <c r="P166" s="82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4"/>
      <c r="R166" s="544"/>
      <c r="S166" s="544"/>
      <c r="T166" s="545"/>
      <c r="U166" s="34"/>
      <c r="V166" s="34"/>
      <c r="W166" s="35" t="s">
        <v>68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6">
        <v>4680115886537</v>
      </c>
      <c r="E167" s="547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66</v>
      </c>
      <c r="L167" s="32"/>
      <c r="M167" s="33" t="s">
        <v>67</v>
      </c>
      <c r="N167" s="33"/>
      <c r="O167" s="32">
        <v>40</v>
      </c>
      <c r="P167" s="654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4"/>
      <c r="R167" s="544"/>
      <c r="S167" s="544"/>
      <c r="T167" s="545"/>
      <c r="U167" s="34"/>
      <c r="V167" s="34"/>
      <c r="W167" s="35" t="s">
        <v>68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6">
        <v>4680115881679</v>
      </c>
      <c r="E168" s="547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66</v>
      </c>
      <c r="L168" s="32" t="s">
        <v>266</v>
      </c>
      <c r="M168" s="33" t="s">
        <v>67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4"/>
      <c r="R168" s="544"/>
      <c r="S168" s="544"/>
      <c r="T168" s="545"/>
      <c r="U168" s="34"/>
      <c r="V168" s="34"/>
      <c r="W168" s="35" t="s">
        <v>68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 t="s">
        <v>105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6">
        <v>4680115880191</v>
      </c>
      <c r="E169" s="547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75</v>
      </c>
      <c r="L169" s="32"/>
      <c r="M169" s="33" t="s">
        <v>67</v>
      </c>
      <c r="N169" s="33"/>
      <c r="O169" s="32">
        <v>40</v>
      </c>
      <c r="P169" s="6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4"/>
      <c r="R169" s="544"/>
      <c r="S169" s="544"/>
      <c r="T169" s="545"/>
      <c r="U169" s="34"/>
      <c r="V169" s="34"/>
      <c r="W169" s="35" t="s">
        <v>68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6">
        <v>4680115883963</v>
      </c>
      <c r="E170" s="547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66</v>
      </c>
      <c r="L170" s="32"/>
      <c r="M170" s="33" t="s">
        <v>67</v>
      </c>
      <c r="N170" s="33"/>
      <c r="O170" s="32">
        <v>40</v>
      </c>
      <c r="P170" s="58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4"/>
      <c r="R170" s="544"/>
      <c r="S170" s="544"/>
      <c r="T170" s="545"/>
      <c r="U170" s="34"/>
      <c r="V170" s="34"/>
      <c r="W170" s="35" t="s">
        <v>68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67"/>
      <c r="B171" s="553"/>
      <c r="C171" s="553"/>
      <c r="D171" s="553"/>
      <c r="E171" s="553"/>
      <c r="F171" s="553"/>
      <c r="G171" s="553"/>
      <c r="H171" s="553"/>
      <c r="I171" s="553"/>
      <c r="J171" s="553"/>
      <c r="K171" s="553"/>
      <c r="L171" s="553"/>
      <c r="M171" s="553"/>
      <c r="N171" s="553"/>
      <c r="O171" s="568"/>
      <c r="P171" s="557" t="s">
        <v>70</v>
      </c>
      <c r="Q171" s="558"/>
      <c r="R171" s="558"/>
      <c r="S171" s="558"/>
      <c r="T171" s="558"/>
      <c r="U171" s="558"/>
      <c r="V171" s="559"/>
      <c r="W171" s="37" t="s">
        <v>71</v>
      </c>
      <c r="X171" s="541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x14ac:dyDescent="0.2">
      <c r="A172" s="553"/>
      <c r="B172" s="553"/>
      <c r="C172" s="553"/>
      <c r="D172" s="553"/>
      <c r="E172" s="553"/>
      <c r="F172" s="553"/>
      <c r="G172" s="553"/>
      <c r="H172" s="553"/>
      <c r="I172" s="553"/>
      <c r="J172" s="553"/>
      <c r="K172" s="553"/>
      <c r="L172" s="553"/>
      <c r="M172" s="553"/>
      <c r="N172" s="553"/>
      <c r="O172" s="568"/>
      <c r="P172" s="557" t="s">
        <v>70</v>
      </c>
      <c r="Q172" s="558"/>
      <c r="R172" s="558"/>
      <c r="S172" s="558"/>
      <c r="T172" s="558"/>
      <c r="U172" s="558"/>
      <c r="V172" s="559"/>
      <c r="W172" s="37" t="s">
        <v>68</v>
      </c>
      <c r="X172" s="541">
        <f>IFERROR(SUM(X161:X170),"0")</f>
        <v>0</v>
      </c>
      <c r="Y172" s="541">
        <f>IFERROR(SUM(Y161:Y170),"0")</f>
        <v>0</v>
      </c>
      <c r="Z172" s="37"/>
      <c r="AA172" s="542"/>
      <c r="AB172" s="542"/>
      <c r="AC172" s="542"/>
    </row>
    <row r="173" spans="1:68" ht="14.25" customHeight="1" x14ac:dyDescent="0.25">
      <c r="A173" s="554" t="s">
        <v>90</v>
      </c>
      <c r="B173" s="553"/>
      <c r="C173" s="553"/>
      <c r="D173" s="553"/>
      <c r="E173" s="553"/>
      <c r="F173" s="553"/>
      <c r="G173" s="553"/>
      <c r="H173" s="553"/>
      <c r="I173" s="553"/>
      <c r="J173" s="553"/>
      <c r="K173" s="553"/>
      <c r="L173" s="553"/>
      <c r="M173" s="553"/>
      <c r="N173" s="553"/>
      <c r="O173" s="553"/>
      <c r="P173" s="553"/>
      <c r="Q173" s="553"/>
      <c r="R173" s="553"/>
      <c r="S173" s="553"/>
      <c r="T173" s="553"/>
      <c r="U173" s="553"/>
      <c r="V173" s="553"/>
      <c r="W173" s="553"/>
      <c r="X173" s="553"/>
      <c r="Y173" s="553"/>
      <c r="Z173" s="553"/>
      <c r="AA173" s="535"/>
      <c r="AB173" s="535"/>
      <c r="AC173" s="535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6">
        <v>4680115886780</v>
      </c>
      <c r="E174" s="547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4"/>
      <c r="R174" s="544"/>
      <c r="S174" s="544"/>
      <c r="T174" s="545"/>
      <c r="U174" s="34"/>
      <c r="V174" s="34"/>
      <c r="W174" s="35" t="s">
        <v>68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6">
        <v>4680115886742</v>
      </c>
      <c r="E175" s="547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4"/>
      <c r="R175" s="544"/>
      <c r="S175" s="544"/>
      <c r="T175" s="545"/>
      <c r="U175" s="34"/>
      <c r="V175" s="34"/>
      <c r="W175" s="35" t="s">
        <v>68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6">
        <v>4680115886766</v>
      </c>
      <c r="E176" s="547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8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4"/>
      <c r="R176" s="544"/>
      <c r="S176" s="544"/>
      <c r="T176" s="545"/>
      <c r="U176" s="34"/>
      <c r="V176" s="34"/>
      <c r="W176" s="35" t="s">
        <v>68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67"/>
      <c r="B177" s="553"/>
      <c r="C177" s="553"/>
      <c r="D177" s="553"/>
      <c r="E177" s="553"/>
      <c r="F177" s="553"/>
      <c r="G177" s="553"/>
      <c r="H177" s="553"/>
      <c r="I177" s="553"/>
      <c r="J177" s="553"/>
      <c r="K177" s="553"/>
      <c r="L177" s="553"/>
      <c r="M177" s="553"/>
      <c r="N177" s="553"/>
      <c r="O177" s="568"/>
      <c r="P177" s="557" t="s">
        <v>70</v>
      </c>
      <c r="Q177" s="558"/>
      <c r="R177" s="558"/>
      <c r="S177" s="558"/>
      <c r="T177" s="558"/>
      <c r="U177" s="558"/>
      <c r="V177" s="559"/>
      <c r="W177" s="37" t="s">
        <v>71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x14ac:dyDescent="0.2">
      <c r="A178" s="553"/>
      <c r="B178" s="553"/>
      <c r="C178" s="553"/>
      <c r="D178" s="553"/>
      <c r="E178" s="553"/>
      <c r="F178" s="553"/>
      <c r="G178" s="553"/>
      <c r="H178" s="553"/>
      <c r="I178" s="553"/>
      <c r="J178" s="553"/>
      <c r="K178" s="553"/>
      <c r="L178" s="553"/>
      <c r="M178" s="553"/>
      <c r="N178" s="553"/>
      <c r="O178" s="568"/>
      <c r="P178" s="557" t="s">
        <v>70</v>
      </c>
      <c r="Q178" s="558"/>
      <c r="R178" s="558"/>
      <c r="S178" s="558"/>
      <c r="T178" s="558"/>
      <c r="U178" s="558"/>
      <c r="V178" s="559"/>
      <c r="W178" s="37" t="s">
        <v>68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customHeight="1" x14ac:dyDescent="0.25">
      <c r="A179" s="554" t="s">
        <v>293</v>
      </c>
      <c r="B179" s="553"/>
      <c r="C179" s="553"/>
      <c r="D179" s="553"/>
      <c r="E179" s="553"/>
      <c r="F179" s="553"/>
      <c r="G179" s="553"/>
      <c r="H179" s="553"/>
      <c r="I179" s="553"/>
      <c r="J179" s="553"/>
      <c r="K179" s="553"/>
      <c r="L179" s="553"/>
      <c r="M179" s="553"/>
      <c r="N179" s="553"/>
      <c r="O179" s="553"/>
      <c r="P179" s="553"/>
      <c r="Q179" s="553"/>
      <c r="R179" s="553"/>
      <c r="S179" s="553"/>
      <c r="T179" s="553"/>
      <c r="U179" s="553"/>
      <c r="V179" s="553"/>
      <c r="W179" s="553"/>
      <c r="X179" s="553"/>
      <c r="Y179" s="553"/>
      <c r="Z179" s="553"/>
      <c r="AA179" s="535"/>
      <c r="AB179" s="535"/>
      <c r="AC179" s="535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6">
        <v>4680115886797</v>
      </c>
      <c r="E180" s="547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4"/>
      <c r="R180" s="544"/>
      <c r="S180" s="544"/>
      <c r="T180" s="545"/>
      <c r="U180" s="34"/>
      <c r="V180" s="34"/>
      <c r="W180" s="35" t="s">
        <v>68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67"/>
      <c r="B181" s="553"/>
      <c r="C181" s="553"/>
      <c r="D181" s="553"/>
      <c r="E181" s="553"/>
      <c r="F181" s="553"/>
      <c r="G181" s="553"/>
      <c r="H181" s="553"/>
      <c r="I181" s="553"/>
      <c r="J181" s="553"/>
      <c r="K181" s="553"/>
      <c r="L181" s="553"/>
      <c r="M181" s="553"/>
      <c r="N181" s="553"/>
      <c r="O181" s="568"/>
      <c r="P181" s="557" t="s">
        <v>70</v>
      </c>
      <c r="Q181" s="558"/>
      <c r="R181" s="558"/>
      <c r="S181" s="558"/>
      <c r="T181" s="558"/>
      <c r="U181" s="558"/>
      <c r="V181" s="559"/>
      <c r="W181" s="37" t="s">
        <v>71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x14ac:dyDescent="0.2">
      <c r="A182" s="553"/>
      <c r="B182" s="553"/>
      <c r="C182" s="553"/>
      <c r="D182" s="553"/>
      <c r="E182" s="553"/>
      <c r="F182" s="553"/>
      <c r="G182" s="553"/>
      <c r="H182" s="553"/>
      <c r="I182" s="553"/>
      <c r="J182" s="553"/>
      <c r="K182" s="553"/>
      <c r="L182" s="553"/>
      <c r="M182" s="553"/>
      <c r="N182" s="553"/>
      <c r="O182" s="568"/>
      <c r="P182" s="557" t="s">
        <v>70</v>
      </c>
      <c r="Q182" s="558"/>
      <c r="R182" s="558"/>
      <c r="S182" s="558"/>
      <c r="T182" s="558"/>
      <c r="U182" s="558"/>
      <c r="V182" s="559"/>
      <c r="W182" s="37" t="s">
        <v>68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customHeight="1" x14ac:dyDescent="0.25">
      <c r="A183" s="552" t="s">
        <v>296</v>
      </c>
      <c r="B183" s="553"/>
      <c r="C183" s="553"/>
      <c r="D183" s="553"/>
      <c r="E183" s="553"/>
      <c r="F183" s="553"/>
      <c r="G183" s="553"/>
      <c r="H183" s="553"/>
      <c r="I183" s="553"/>
      <c r="J183" s="553"/>
      <c r="K183" s="553"/>
      <c r="L183" s="553"/>
      <c r="M183" s="553"/>
      <c r="N183" s="553"/>
      <c r="O183" s="553"/>
      <c r="P183" s="553"/>
      <c r="Q183" s="553"/>
      <c r="R183" s="553"/>
      <c r="S183" s="553"/>
      <c r="T183" s="553"/>
      <c r="U183" s="553"/>
      <c r="V183" s="553"/>
      <c r="W183" s="553"/>
      <c r="X183" s="553"/>
      <c r="Y183" s="553"/>
      <c r="Z183" s="553"/>
      <c r="AA183" s="534"/>
      <c r="AB183" s="534"/>
      <c r="AC183" s="534"/>
    </row>
    <row r="184" spans="1:68" ht="14.25" customHeight="1" x14ac:dyDescent="0.25">
      <c r="A184" s="554" t="s">
        <v>98</v>
      </c>
      <c r="B184" s="553"/>
      <c r="C184" s="553"/>
      <c r="D184" s="553"/>
      <c r="E184" s="553"/>
      <c r="F184" s="553"/>
      <c r="G184" s="553"/>
      <c r="H184" s="553"/>
      <c r="I184" s="553"/>
      <c r="J184" s="553"/>
      <c r="K184" s="553"/>
      <c r="L184" s="553"/>
      <c r="M184" s="553"/>
      <c r="N184" s="553"/>
      <c r="O184" s="553"/>
      <c r="P184" s="553"/>
      <c r="Q184" s="553"/>
      <c r="R184" s="553"/>
      <c r="S184" s="553"/>
      <c r="T184" s="553"/>
      <c r="U184" s="553"/>
      <c r="V184" s="553"/>
      <c r="W184" s="553"/>
      <c r="X184" s="553"/>
      <c r="Y184" s="553"/>
      <c r="Z184" s="553"/>
      <c r="AA184" s="535"/>
      <c r="AB184" s="535"/>
      <c r="AC184" s="535"/>
    </row>
    <row r="185" spans="1:68" ht="16.5" customHeight="1" x14ac:dyDescent="0.25">
      <c r="A185" s="54" t="s">
        <v>297</v>
      </c>
      <c r="B185" s="54" t="s">
        <v>298</v>
      </c>
      <c r="C185" s="31">
        <v>4301011450</v>
      </c>
      <c r="D185" s="546">
        <v>4680115881402</v>
      </c>
      <c r="E185" s="547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101</v>
      </c>
      <c r="L185" s="32"/>
      <c r="M185" s="33" t="s">
        <v>103</v>
      </c>
      <c r="N185" s="33"/>
      <c r="O185" s="32">
        <v>55</v>
      </c>
      <c r="P185" s="687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4"/>
      <c r="R185" s="544"/>
      <c r="S185" s="544"/>
      <c r="T185" s="545"/>
      <c r="U185" s="34"/>
      <c r="V185" s="34"/>
      <c r="W185" s="35" t="s">
        <v>68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6">
        <v>4680115881396</v>
      </c>
      <c r="E186" s="547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75</v>
      </c>
      <c r="L186" s="32" t="s">
        <v>185</v>
      </c>
      <c r="M186" s="33" t="s">
        <v>103</v>
      </c>
      <c r="N186" s="33"/>
      <c r="O186" s="32">
        <v>55</v>
      </c>
      <c r="P186" s="82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4"/>
      <c r="R186" s="544"/>
      <c r="S186" s="544"/>
      <c r="T186" s="545"/>
      <c r="U186" s="34"/>
      <c r="V186" s="34"/>
      <c r="W186" s="35" t="s">
        <v>68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 t="s">
        <v>105</v>
      </c>
      <c r="AK186" s="68">
        <v>37.799999999999997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67"/>
      <c r="B187" s="553"/>
      <c r="C187" s="553"/>
      <c r="D187" s="553"/>
      <c r="E187" s="553"/>
      <c r="F187" s="553"/>
      <c r="G187" s="553"/>
      <c r="H187" s="553"/>
      <c r="I187" s="553"/>
      <c r="J187" s="553"/>
      <c r="K187" s="553"/>
      <c r="L187" s="553"/>
      <c r="M187" s="553"/>
      <c r="N187" s="553"/>
      <c r="O187" s="568"/>
      <c r="P187" s="557" t="s">
        <v>70</v>
      </c>
      <c r="Q187" s="558"/>
      <c r="R187" s="558"/>
      <c r="S187" s="558"/>
      <c r="T187" s="558"/>
      <c r="U187" s="558"/>
      <c r="V187" s="559"/>
      <c r="W187" s="37" t="s">
        <v>71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x14ac:dyDescent="0.2">
      <c r="A188" s="553"/>
      <c r="B188" s="553"/>
      <c r="C188" s="553"/>
      <c r="D188" s="553"/>
      <c r="E188" s="553"/>
      <c r="F188" s="553"/>
      <c r="G188" s="553"/>
      <c r="H188" s="553"/>
      <c r="I188" s="553"/>
      <c r="J188" s="553"/>
      <c r="K188" s="553"/>
      <c r="L188" s="553"/>
      <c r="M188" s="553"/>
      <c r="N188" s="553"/>
      <c r="O188" s="568"/>
      <c r="P188" s="557" t="s">
        <v>70</v>
      </c>
      <c r="Q188" s="558"/>
      <c r="R188" s="558"/>
      <c r="S188" s="558"/>
      <c r="T188" s="558"/>
      <c r="U188" s="558"/>
      <c r="V188" s="559"/>
      <c r="W188" s="37" t="s">
        <v>68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customHeight="1" x14ac:dyDescent="0.25">
      <c r="A189" s="554" t="s">
        <v>134</v>
      </c>
      <c r="B189" s="553"/>
      <c r="C189" s="553"/>
      <c r="D189" s="553"/>
      <c r="E189" s="553"/>
      <c r="F189" s="553"/>
      <c r="G189" s="553"/>
      <c r="H189" s="553"/>
      <c r="I189" s="553"/>
      <c r="J189" s="553"/>
      <c r="K189" s="553"/>
      <c r="L189" s="553"/>
      <c r="M189" s="553"/>
      <c r="N189" s="553"/>
      <c r="O189" s="553"/>
      <c r="P189" s="553"/>
      <c r="Q189" s="553"/>
      <c r="R189" s="553"/>
      <c r="S189" s="553"/>
      <c r="T189" s="553"/>
      <c r="U189" s="553"/>
      <c r="V189" s="553"/>
      <c r="W189" s="553"/>
      <c r="X189" s="553"/>
      <c r="Y189" s="553"/>
      <c r="Z189" s="553"/>
      <c r="AA189" s="535"/>
      <c r="AB189" s="535"/>
      <c r="AC189" s="535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6">
        <v>4680115882935</v>
      </c>
      <c r="E190" s="547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101</v>
      </c>
      <c r="L190" s="32"/>
      <c r="M190" s="33" t="s">
        <v>103</v>
      </c>
      <c r="N190" s="33"/>
      <c r="O190" s="32">
        <v>50</v>
      </c>
      <c r="P190" s="77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4"/>
      <c r="R190" s="544"/>
      <c r="S190" s="544"/>
      <c r="T190" s="545"/>
      <c r="U190" s="34"/>
      <c r="V190" s="34"/>
      <c r="W190" s="35" t="s">
        <v>68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6">
        <v>4680115880764</v>
      </c>
      <c r="E191" s="547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75</v>
      </c>
      <c r="L191" s="32"/>
      <c r="M191" s="33" t="s">
        <v>103</v>
      </c>
      <c r="N191" s="33"/>
      <c r="O191" s="32">
        <v>50</v>
      </c>
      <c r="P19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4"/>
      <c r="R191" s="544"/>
      <c r="S191" s="544"/>
      <c r="T191" s="545"/>
      <c r="U191" s="34"/>
      <c r="V191" s="34"/>
      <c r="W191" s="35" t="s">
        <v>68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67"/>
      <c r="B192" s="553"/>
      <c r="C192" s="553"/>
      <c r="D192" s="553"/>
      <c r="E192" s="553"/>
      <c r="F192" s="553"/>
      <c r="G192" s="553"/>
      <c r="H192" s="553"/>
      <c r="I192" s="553"/>
      <c r="J192" s="553"/>
      <c r="K192" s="553"/>
      <c r="L192" s="553"/>
      <c r="M192" s="553"/>
      <c r="N192" s="553"/>
      <c r="O192" s="568"/>
      <c r="P192" s="557" t="s">
        <v>70</v>
      </c>
      <c r="Q192" s="558"/>
      <c r="R192" s="558"/>
      <c r="S192" s="558"/>
      <c r="T192" s="558"/>
      <c r="U192" s="558"/>
      <c r="V192" s="559"/>
      <c r="W192" s="37" t="s">
        <v>71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x14ac:dyDescent="0.2">
      <c r="A193" s="553"/>
      <c r="B193" s="553"/>
      <c r="C193" s="553"/>
      <c r="D193" s="553"/>
      <c r="E193" s="553"/>
      <c r="F193" s="553"/>
      <c r="G193" s="553"/>
      <c r="H193" s="553"/>
      <c r="I193" s="553"/>
      <c r="J193" s="553"/>
      <c r="K193" s="553"/>
      <c r="L193" s="553"/>
      <c r="M193" s="553"/>
      <c r="N193" s="553"/>
      <c r="O193" s="568"/>
      <c r="P193" s="557" t="s">
        <v>70</v>
      </c>
      <c r="Q193" s="558"/>
      <c r="R193" s="558"/>
      <c r="S193" s="558"/>
      <c r="T193" s="558"/>
      <c r="U193" s="558"/>
      <c r="V193" s="559"/>
      <c r="W193" s="37" t="s">
        <v>68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customHeight="1" x14ac:dyDescent="0.25">
      <c r="A194" s="554" t="s">
        <v>63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535"/>
      <c r="AB194" s="535"/>
      <c r="AC194" s="535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6">
        <v>4680115882683</v>
      </c>
      <c r="E195" s="547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108</v>
      </c>
      <c r="L195" s="32" t="s">
        <v>109</v>
      </c>
      <c r="M195" s="33" t="s">
        <v>67</v>
      </c>
      <c r="N195" s="33"/>
      <c r="O195" s="32">
        <v>40</v>
      </c>
      <c r="P195" s="66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4"/>
      <c r="R195" s="544"/>
      <c r="S195" s="544"/>
      <c r="T195" s="545"/>
      <c r="U195" s="34"/>
      <c r="V195" s="34"/>
      <c r="W195" s="35" t="s">
        <v>68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105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6">
        <v>4680115882690</v>
      </c>
      <c r="E196" s="547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108</v>
      </c>
      <c r="L196" s="32" t="s">
        <v>109</v>
      </c>
      <c r="M196" s="33" t="s">
        <v>67</v>
      </c>
      <c r="N196" s="33"/>
      <c r="O196" s="32">
        <v>40</v>
      </c>
      <c r="P196" s="80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4"/>
      <c r="R196" s="544"/>
      <c r="S196" s="544"/>
      <c r="T196" s="545"/>
      <c r="U196" s="34"/>
      <c r="V196" s="34"/>
      <c r="W196" s="35" t="s">
        <v>68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105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6">
        <v>4680115882669</v>
      </c>
      <c r="E197" s="547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108</v>
      </c>
      <c r="L197" s="32" t="s">
        <v>109</v>
      </c>
      <c r="M197" s="33" t="s">
        <v>67</v>
      </c>
      <c r="N197" s="33"/>
      <c r="O197" s="32">
        <v>40</v>
      </c>
      <c r="P197" s="67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4"/>
      <c r="R197" s="544"/>
      <c r="S197" s="544"/>
      <c r="T197" s="545"/>
      <c r="U197" s="34"/>
      <c r="V197" s="34"/>
      <c r="W197" s="35" t="s">
        <v>68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105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6">
        <v>4680115882676</v>
      </c>
      <c r="E198" s="547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108</v>
      </c>
      <c r="L198" s="32" t="s">
        <v>109</v>
      </c>
      <c r="M198" s="33" t="s">
        <v>67</v>
      </c>
      <c r="N198" s="33"/>
      <c r="O198" s="32">
        <v>40</v>
      </c>
      <c r="P198" s="80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4"/>
      <c r="R198" s="544"/>
      <c r="S198" s="544"/>
      <c r="T198" s="545"/>
      <c r="U198" s="34"/>
      <c r="V198" s="34"/>
      <c r="W198" s="35" t="s">
        <v>68</v>
      </c>
      <c r="X198" s="539">
        <v>0</v>
      </c>
      <c r="Y198" s="540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105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6">
        <v>4680115884014</v>
      </c>
      <c r="E199" s="547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66</v>
      </c>
      <c r="L199" s="32" t="s">
        <v>266</v>
      </c>
      <c r="M199" s="33" t="s">
        <v>67</v>
      </c>
      <c r="N199" s="33"/>
      <c r="O199" s="32">
        <v>40</v>
      </c>
      <c r="P199" s="83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4"/>
      <c r="R199" s="544"/>
      <c r="S199" s="544"/>
      <c r="T199" s="545"/>
      <c r="U199" s="34"/>
      <c r="V199" s="34"/>
      <c r="W199" s="35" t="s">
        <v>68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 t="s">
        <v>105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6">
        <v>4680115884007</v>
      </c>
      <c r="E200" s="547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66</v>
      </c>
      <c r="L200" s="32" t="s">
        <v>266</v>
      </c>
      <c r="M200" s="33" t="s">
        <v>67</v>
      </c>
      <c r="N200" s="33"/>
      <c r="O200" s="32">
        <v>40</v>
      </c>
      <c r="P200" s="8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4"/>
      <c r="R200" s="544"/>
      <c r="S200" s="544"/>
      <c r="T200" s="545"/>
      <c r="U200" s="34"/>
      <c r="V200" s="34"/>
      <c r="W200" s="35" t="s">
        <v>68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 t="s">
        <v>105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6">
        <v>4680115884038</v>
      </c>
      <c r="E201" s="547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66</v>
      </c>
      <c r="L201" s="32"/>
      <c r="M201" s="33" t="s">
        <v>67</v>
      </c>
      <c r="N201" s="33"/>
      <c r="O201" s="32">
        <v>40</v>
      </c>
      <c r="P201" s="78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4"/>
      <c r="R201" s="544"/>
      <c r="S201" s="544"/>
      <c r="T201" s="545"/>
      <c r="U201" s="34"/>
      <c r="V201" s="34"/>
      <c r="W201" s="35" t="s">
        <v>68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6">
        <v>4680115884021</v>
      </c>
      <c r="E202" s="547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66</v>
      </c>
      <c r="L202" s="32" t="s">
        <v>266</v>
      </c>
      <c r="M202" s="33" t="s">
        <v>67</v>
      </c>
      <c r="N202" s="33"/>
      <c r="O202" s="32">
        <v>40</v>
      </c>
      <c r="P202" s="86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4"/>
      <c r="R202" s="544"/>
      <c r="S202" s="544"/>
      <c r="T202" s="545"/>
      <c r="U202" s="34"/>
      <c r="V202" s="34"/>
      <c r="W202" s="35" t="s">
        <v>68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 t="s">
        <v>105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67"/>
      <c r="B203" s="553"/>
      <c r="C203" s="553"/>
      <c r="D203" s="553"/>
      <c r="E203" s="553"/>
      <c r="F203" s="553"/>
      <c r="G203" s="553"/>
      <c r="H203" s="553"/>
      <c r="I203" s="553"/>
      <c r="J203" s="553"/>
      <c r="K203" s="553"/>
      <c r="L203" s="553"/>
      <c r="M203" s="553"/>
      <c r="N203" s="553"/>
      <c r="O203" s="568"/>
      <c r="P203" s="557" t="s">
        <v>70</v>
      </c>
      <c r="Q203" s="558"/>
      <c r="R203" s="558"/>
      <c r="S203" s="558"/>
      <c r="T203" s="558"/>
      <c r="U203" s="558"/>
      <c r="V203" s="559"/>
      <c r="W203" s="37" t="s">
        <v>71</v>
      </c>
      <c r="X203" s="541">
        <f>IFERROR(X195/H195,"0")+IFERROR(X196/H196,"0")+IFERROR(X197/H197,"0")+IFERROR(X198/H198,"0")+IFERROR(X199/H199,"0")+IFERROR(X200/H200,"0")+IFERROR(X201/H201,"0")+IFERROR(X202/H202,"0")</f>
        <v>0</v>
      </c>
      <c r="Y203" s="541">
        <f>IFERROR(Y195/H195,"0")+IFERROR(Y196/H196,"0")+IFERROR(Y197/H197,"0")+IFERROR(Y198/H198,"0")+IFERROR(Y199/H199,"0")+IFERROR(Y200/H200,"0")+IFERROR(Y201/H201,"0")+IFERROR(Y202/H202,"0")</f>
        <v>0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2"/>
      <c r="AB203" s="542"/>
      <c r="AC203" s="542"/>
    </row>
    <row r="204" spans="1:68" x14ac:dyDescent="0.2">
      <c r="A204" s="553"/>
      <c r="B204" s="553"/>
      <c r="C204" s="553"/>
      <c r="D204" s="553"/>
      <c r="E204" s="553"/>
      <c r="F204" s="553"/>
      <c r="G204" s="553"/>
      <c r="H204" s="553"/>
      <c r="I204" s="553"/>
      <c r="J204" s="553"/>
      <c r="K204" s="553"/>
      <c r="L204" s="553"/>
      <c r="M204" s="553"/>
      <c r="N204" s="553"/>
      <c r="O204" s="568"/>
      <c r="P204" s="557" t="s">
        <v>70</v>
      </c>
      <c r="Q204" s="558"/>
      <c r="R204" s="558"/>
      <c r="S204" s="558"/>
      <c r="T204" s="558"/>
      <c r="U204" s="558"/>
      <c r="V204" s="559"/>
      <c r="W204" s="37" t="s">
        <v>68</v>
      </c>
      <c r="X204" s="541">
        <f>IFERROR(SUM(X195:X202),"0")</f>
        <v>0</v>
      </c>
      <c r="Y204" s="541">
        <f>IFERROR(SUM(Y195:Y202),"0")</f>
        <v>0</v>
      </c>
      <c r="Z204" s="37"/>
      <c r="AA204" s="542"/>
      <c r="AB204" s="542"/>
      <c r="AC204" s="542"/>
    </row>
    <row r="205" spans="1:68" ht="14.25" customHeight="1" x14ac:dyDescent="0.25">
      <c r="A205" s="554" t="s">
        <v>72</v>
      </c>
      <c r="B205" s="553"/>
      <c r="C205" s="553"/>
      <c r="D205" s="553"/>
      <c r="E205" s="553"/>
      <c r="F205" s="553"/>
      <c r="G205" s="553"/>
      <c r="H205" s="553"/>
      <c r="I205" s="553"/>
      <c r="J205" s="553"/>
      <c r="K205" s="553"/>
      <c r="L205" s="553"/>
      <c r="M205" s="553"/>
      <c r="N205" s="553"/>
      <c r="O205" s="553"/>
      <c r="P205" s="553"/>
      <c r="Q205" s="553"/>
      <c r="R205" s="553"/>
      <c r="S205" s="553"/>
      <c r="T205" s="553"/>
      <c r="U205" s="553"/>
      <c r="V205" s="553"/>
      <c r="W205" s="553"/>
      <c r="X205" s="553"/>
      <c r="Y205" s="553"/>
      <c r="Z205" s="553"/>
      <c r="AA205" s="535"/>
      <c r="AB205" s="535"/>
      <c r="AC205" s="535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6">
        <v>4680115881594</v>
      </c>
      <c r="E206" s="547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101</v>
      </c>
      <c r="L206" s="32" t="s">
        <v>102</v>
      </c>
      <c r="M206" s="33" t="s">
        <v>76</v>
      </c>
      <c r="N206" s="33"/>
      <c r="O206" s="32">
        <v>40</v>
      </c>
      <c r="P206" s="724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4"/>
      <c r="R206" s="544"/>
      <c r="S206" s="544"/>
      <c r="T206" s="545"/>
      <c r="U206" s="34"/>
      <c r="V206" s="34"/>
      <c r="W206" s="35" t="s">
        <v>68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 t="s">
        <v>105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6">
        <v>4680115881617</v>
      </c>
      <c r="E207" s="547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101</v>
      </c>
      <c r="L207" s="32" t="s">
        <v>102</v>
      </c>
      <c r="M207" s="33" t="s">
        <v>76</v>
      </c>
      <c r="N207" s="33"/>
      <c r="O207" s="32">
        <v>40</v>
      </c>
      <c r="P207" s="72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4"/>
      <c r="R207" s="544"/>
      <c r="S207" s="544"/>
      <c r="T207" s="545"/>
      <c r="U207" s="34"/>
      <c r="V207" s="34"/>
      <c r="W207" s="35" t="s">
        <v>68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 t="s">
        <v>105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6">
        <v>4680115880573</v>
      </c>
      <c r="E208" s="547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101</v>
      </c>
      <c r="L208" s="32" t="s">
        <v>102</v>
      </c>
      <c r="M208" s="33" t="s">
        <v>76</v>
      </c>
      <c r="N208" s="33"/>
      <c r="O208" s="32">
        <v>45</v>
      </c>
      <c r="P208" s="67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4"/>
      <c r="R208" s="544"/>
      <c r="S208" s="544"/>
      <c r="T208" s="545"/>
      <c r="U208" s="34"/>
      <c r="V208" s="34"/>
      <c r="W208" s="35" t="s">
        <v>68</v>
      </c>
      <c r="X208" s="539">
        <v>92</v>
      </c>
      <c r="Y208" s="540">
        <f t="shared" si="15"/>
        <v>95.699999999999989</v>
      </c>
      <c r="Z208" s="36">
        <f>IFERROR(IF(Y208=0,"",ROUNDUP(Y208/H208,0)*0.01898),"")</f>
        <v>0.20877999999999999</v>
      </c>
      <c r="AA208" s="56"/>
      <c r="AB208" s="57"/>
      <c r="AC208" s="247" t="s">
        <v>335</v>
      </c>
      <c r="AG208" s="64"/>
      <c r="AJ208" s="68" t="s">
        <v>105</v>
      </c>
      <c r="AK208" s="68">
        <v>69.599999999999994</v>
      </c>
      <c r="BB208" s="248" t="s">
        <v>1</v>
      </c>
      <c r="BM208" s="64">
        <f t="shared" si="16"/>
        <v>97.223908045977026</v>
      </c>
      <c r="BN208" s="64">
        <f t="shared" si="17"/>
        <v>101.134</v>
      </c>
      <c r="BO208" s="64">
        <f t="shared" si="18"/>
        <v>0.16522988505747127</v>
      </c>
      <c r="BP208" s="64">
        <f t="shared" si="19"/>
        <v>0.171875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6">
        <v>4680115882195</v>
      </c>
      <c r="E209" s="547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75</v>
      </c>
      <c r="L209" s="32" t="s">
        <v>185</v>
      </c>
      <c r="M209" s="33" t="s">
        <v>76</v>
      </c>
      <c r="N209" s="33"/>
      <c r="O209" s="32">
        <v>40</v>
      </c>
      <c r="P209" s="59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4"/>
      <c r="R209" s="544"/>
      <c r="S209" s="544"/>
      <c r="T209" s="545"/>
      <c r="U209" s="34"/>
      <c r="V209" s="34"/>
      <c r="W209" s="35" t="s">
        <v>68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105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6">
        <v>4680115882607</v>
      </c>
      <c r="E210" s="547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75</v>
      </c>
      <c r="L210" s="32"/>
      <c r="M210" s="33" t="s">
        <v>83</v>
      </c>
      <c r="N210" s="33"/>
      <c r="O210" s="32">
        <v>45</v>
      </c>
      <c r="P210" s="68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4"/>
      <c r="R210" s="544"/>
      <c r="S210" s="544"/>
      <c r="T210" s="545"/>
      <c r="U210" s="34"/>
      <c r="V210" s="34"/>
      <c r="W210" s="35" t="s">
        <v>68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6">
        <v>4680115880092</v>
      </c>
      <c r="E211" s="547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75</v>
      </c>
      <c r="L211" s="32" t="s">
        <v>185</v>
      </c>
      <c r="M211" s="33" t="s">
        <v>76</v>
      </c>
      <c r="N211" s="33"/>
      <c r="O211" s="32">
        <v>45</v>
      </c>
      <c r="P211" s="71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4"/>
      <c r="R211" s="544"/>
      <c r="S211" s="544"/>
      <c r="T211" s="545"/>
      <c r="U211" s="34"/>
      <c r="V211" s="34"/>
      <c r="W211" s="35" t="s">
        <v>68</v>
      </c>
      <c r="X211" s="539">
        <v>118</v>
      </c>
      <c r="Y211" s="540">
        <f t="shared" si="15"/>
        <v>120</v>
      </c>
      <c r="Z211" s="36">
        <f t="shared" si="20"/>
        <v>0.32550000000000001</v>
      </c>
      <c r="AA211" s="56"/>
      <c r="AB211" s="57"/>
      <c r="AC211" s="253" t="s">
        <v>335</v>
      </c>
      <c r="AG211" s="64"/>
      <c r="AJ211" s="68" t="s">
        <v>105</v>
      </c>
      <c r="AK211" s="68">
        <v>33.6</v>
      </c>
      <c r="BB211" s="254" t="s">
        <v>1</v>
      </c>
      <c r="BM211" s="64">
        <f t="shared" si="16"/>
        <v>130.39000000000001</v>
      </c>
      <c r="BN211" s="64">
        <f t="shared" si="17"/>
        <v>132.60000000000002</v>
      </c>
      <c r="BO211" s="64">
        <f t="shared" si="18"/>
        <v>0.27014652014652019</v>
      </c>
      <c r="BP211" s="64">
        <f t="shared" si="19"/>
        <v>0.27472527472527475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6">
        <v>4680115880221</v>
      </c>
      <c r="E212" s="547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75</v>
      </c>
      <c r="L212" s="32" t="s">
        <v>185</v>
      </c>
      <c r="M212" s="33" t="s">
        <v>76</v>
      </c>
      <c r="N212" s="33"/>
      <c r="O212" s="32">
        <v>45</v>
      </c>
      <c r="P212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4"/>
      <c r="R212" s="544"/>
      <c r="S212" s="544"/>
      <c r="T212" s="545"/>
      <c r="U212" s="34"/>
      <c r="V212" s="34"/>
      <c r="W212" s="35" t="s">
        <v>68</v>
      </c>
      <c r="X212" s="539">
        <v>113</v>
      </c>
      <c r="Y212" s="540">
        <f t="shared" si="15"/>
        <v>115.19999999999999</v>
      </c>
      <c r="Z212" s="36">
        <f t="shared" si="20"/>
        <v>0.31247999999999998</v>
      </c>
      <c r="AA212" s="56"/>
      <c r="AB212" s="57"/>
      <c r="AC212" s="255" t="s">
        <v>335</v>
      </c>
      <c r="AG212" s="64"/>
      <c r="AJ212" s="68" t="s">
        <v>105</v>
      </c>
      <c r="AK212" s="68">
        <v>33.6</v>
      </c>
      <c r="BB212" s="256" t="s">
        <v>1</v>
      </c>
      <c r="BM212" s="64">
        <f t="shared" si="16"/>
        <v>124.86499999999999</v>
      </c>
      <c r="BN212" s="64">
        <f t="shared" si="17"/>
        <v>127.29600000000001</v>
      </c>
      <c r="BO212" s="64">
        <f t="shared" si="18"/>
        <v>0.25869963369963372</v>
      </c>
      <c r="BP212" s="64">
        <f t="shared" si="19"/>
        <v>0.26373626373626374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6">
        <v>4680115880504</v>
      </c>
      <c r="E213" s="547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75</v>
      </c>
      <c r="L213" s="32" t="s">
        <v>185</v>
      </c>
      <c r="M213" s="33" t="s">
        <v>83</v>
      </c>
      <c r="N213" s="33"/>
      <c r="O213" s="32">
        <v>40</v>
      </c>
      <c r="P213" s="5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4"/>
      <c r="R213" s="544"/>
      <c r="S213" s="544"/>
      <c r="T213" s="545"/>
      <c r="U213" s="34"/>
      <c r="V213" s="34"/>
      <c r="W213" s="35" t="s">
        <v>68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105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6">
        <v>4680115882164</v>
      </c>
      <c r="E214" s="547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75</v>
      </c>
      <c r="L214" s="32" t="s">
        <v>185</v>
      </c>
      <c r="M214" s="33" t="s">
        <v>76</v>
      </c>
      <c r="N214" s="33"/>
      <c r="O214" s="32">
        <v>40</v>
      </c>
      <c r="P214" s="79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4"/>
      <c r="R214" s="544"/>
      <c r="S214" s="544"/>
      <c r="T214" s="545"/>
      <c r="U214" s="34"/>
      <c r="V214" s="34"/>
      <c r="W214" s="35" t="s">
        <v>68</v>
      </c>
      <c r="X214" s="539">
        <v>0</v>
      </c>
      <c r="Y214" s="540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105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67"/>
      <c r="B215" s="553"/>
      <c r="C215" s="553"/>
      <c r="D215" s="553"/>
      <c r="E215" s="553"/>
      <c r="F215" s="553"/>
      <c r="G215" s="553"/>
      <c r="H215" s="553"/>
      <c r="I215" s="553"/>
      <c r="J215" s="553"/>
      <c r="K215" s="553"/>
      <c r="L215" s="553"/>
      <c r="M215" s="553"/>
      <c r="N215" s="553"/>
      <c r="O215" s="568"/>
      <c r="P215" s="557" t="s">
        <v>70</v>
      </c>
      <c r="Q215" s="558"/>
      <c r="R215" s="558"/>
      <c r="S215" s="558"/>
      <c r="T215" s="558"/>
      <c r="U215" s="558"/>
      <c r="V215" s="559"/>
      <c r="W215" s="37" t="s">
        <v>71</v>
      </c>
      <c r="X215" s="541">
        <f>IFERROR(X206/H206,"0")+IFERROR(X207/H207,"0")+IFERROR(X208/H208,"0")+IFERROR(X209/H209,"0")+IFERROR(X210/H210,"0")+IFERROR(X211/H211,"0")+IFERROR(X212/H212,"0")+IFERROR(X213/H213,"0")+IFERROR(X214/H214,"0")</f>
        <v>106.82471264367817</v>
      </c>
      <c r="Y215" s="541">
        <f>IFERROR(Y206/H206,"0")+IFERROR(Y207/H207,"0")+IFERROR(Y208/H208,"0")+IFERROR(Y209/H209,"0")+IFERROR(Y210/H210,"0")+IFERROR(Y211/H211,"0")+IFERROR(Y212/H212,"0")+IFERROR(Y213/H213,"0")+IFERROR(Y214/H214,"0")</f>
        <v>109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0.84675999999999996</v>
      </c>
      <c r="AA215" s="542"/>
      <c r="AB215" s="542"/>
      <c r="AC215" s="542"/>
    </row>
    <row r="216" spans="1:68" x14ac:dyDescent="0.2">
      <c r="A216" s="553"/>
      <c r="B216" s="553"/>
      <c r="C216" s="553"/>
      <c r="D216" s="553"/>
      <c r="E216" s="553"/>
      <c r="F216" s="553"/>
      <c r="G216" s="553"/>
      <c r="H216" s="553"/>
      <c r="I216" s="553"/>
      <c r="J216" s="553"/>
      <c r="K216" s="553"/>
      <c r="L216" s="553"/>
      <c r="M216" s="553"/>
      <c r="N216" s="553"/>
      <c r="O216" s="568"/>
      <c r="P216" s="557" t="s">
        <v>70</v>
      </c>
      <c r="Q216" s="558"/>
      <c r="R216" s="558"/>
      <c r="S216" s="558"/>
      <c r="T216" s="558"/>
      <c r="U216" s="558"/>
      <c r="V216" s="559"/>
      <c r="W216" s="37" t="s">
        <v>68</v>
      </c>
      <c r="X216" s="541">
        <f>IFERROR(SUM(X206:X214),"0")</f>
        <v>323</v>
      </c>
      <c r="Y216" s="541">
        <f>IFERROR(SUM(Y206:Y214),"0")</f>
        <v>330.9</v>
      </c>
      <c r="Z216" s="37"/>
      <c r="AA216" s="542"/>
      <c r="AB216" s="542"/>
      <c r="AC216" s="542"/>
    </row>
    <row r="217" spans="1:68" ht="14.25" customHeight="1" x14ac:dyDescent="0.25">
      <c r="A217" s="554" t="s">
        <v>162</v>
      </c>
      <c r="B217" s="553"/>
      <c r="C217" s="553"/>
      <c r="D217" s="553"/>
      <c r="E217" s="553"/>
      <c r="F217" s="553"/>
      <c r="G217" s="553"/>
      <c r="H217" s="553"/>
      <c r="I217" s="553"/>
      <c r="J217" s="553"/>
      <c r="K217" s="553"/>
      <c r="L217" s="553"/>
      <c r="M217" s="553"/>
      <c r="N217" s="553"/>
      <c r="O217" s="553"/>
      <c r="P217" s="553"/>
      <c r="Q217" s="553"/>
      <c r="R217" s="553"/>
      <c r="S217" s="553"/>
      <c r="T217" s="553"/>
      <c r="U217" s="553"/>
      <c r="V217" s="553"/>
      <c r="W217" s="553"/>
      <c r="X217" s="553"/>
      <c r="Y217" s="553"/>
      <c r="Z217" s="553"/>
      <c r="AA217" s="535"/>
      <c r="AB217" s="535"/>
      <c r="AC217" s="535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6">
        <v>4680115880818</v>
      </c>
      <c r="E218" s="547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75</v>
      </c>
      <c r="L218" s="32"/>
      <c r="M218" s="33" t="s">
        <v>83</v>
      </c>
      <c r="N218" s="33"/>
      <c r="O218" s="32">
        <v>40</v>
      </c>
      <c r="P218" s="861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4"/>
      <c r="R218" s="544"/>
      <c r="S218" s="544"/>
      <c r="T218" s="545"/>
      <c r="U218" s="34"/>
      <c r="V218" s="34"/>
      <c r="W218" s="35" t="s">
        <v>68</v>
      </c>
      <c r="X218" s="539">
        <v>0</v>
      </c>
      <c r="Y218" s="540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6">
        <v>4680115880801</v>
      </c>
      <c r="E219" s="547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75</v>
      </c>
      <c r="L219" s="32"/>
      <c r="M219" s="33" t="s">
        <v>76</v>
      </c>
      <c r="N219" s="33"/>
      <c r="O219" s="32">
        <v>40</v>
      </c>
      <c r="P219" s="68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4"/>
      <c r="R219" s="544"/>
      <c r="S219" s="544"/>
      <c r="T219" s="545"/>
      <c r="U219" s="34"/>
      <c r="V219" s="34"/>
      <c r="W219" s="35" t="s">
        <v>68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67"/>
      <c r="B220" s="553"/>
      <c r="C220" s="553"/>
      <c r="D220" s="553"/>
      <c r="E220" s="553"/>
      <c r="F220" s="553"/>
      <c r="G220" s="553"/>
      <c r="H220" s="553"/>
      <c r="I220" s="553"/>
      <c r="J220" s="553"/>
      <c r="K220" s="553"/>
      <c r="L220" s="553"/>
      <c r="M220" s="553"/>
      <c r="N220" s="553"/>
      <c r="O220" s="568"/>
      <c r="P220" s="557" t="s">
        <v>70</v>
      </c>
      <c r="Q220" s="558"/>
      <c r="R220" s="558"/>
      <c r="S220" s="558"/>
      <c r="T220" s="558"/>
      <c r="U220" s="558"/>
      <c r="V220" s="559"/>
      <c r="W220" s="37" t="s">
        <v>71</v>
      </c>
      <c r="X220" s="541">
        <f>IFERROR(X218/H218,"0")+IFERROR(X219/H219,"0")</f>
        <v>0</v>
      </c>
      <c r="Y220" s="541">
        <f>IFERROR(Y218/H218,"0")+IFERROR(Y219/H219,"0")</f>
        <v>0</v>
      </c>
      <c r="Z220" s="541">
        <f>IFERROR(IF(Z218="",0,Z218),"0")+IFERROR(IF(Z219="",0,Z219),"0")</f>
        <v>0</v>
      </c>
      <c r="AA220" s="542"/>
      <c r="AB220" s="542"/>
      <c r="AC220" s="542"/>
    </row>
    <row r="221" spans="1:68" x14ac:dyDescent="0.2">
      <c r="A221" s="553"/>
      <c r="B221" s="553"/>
      <c r="C221" s="553"/>
      <c r="D221" s="553"/>
      <c r="E221" s="553"/>
      <c r="F221" s="553"/>
      <c r="G221" s="553"/>
      <c r="H221" s="553"/>
      <c r="I221" s="553"/>
      <c r="J221" s="553"/>
      <c r="K221" s="553"/>
      <c r="L221" s="553"/>
      <c r="M221" s="553"/>
      <c r="N221" s="553"/>
      <c r="O221" s="568"/>
      <c r="P221" s="557" t="s">
        <v>70</v>
      </c>
      <c r="Q221" s="558"/>
      <c r="R221" s="558"/>
      <c r="S221" s="558"/>
      <c r="T221" s="558"/>
      <c r="U221" s="558"/>
      <c r="V221" s="559"/>
      <c r="W221" s="37" t="s">
        <v>68</v>
      </c>
      <c r="X221" s="541">
        <f>IFERROR(SUM(X218:X219),"0")</f>
        <v>0</v>
      </c>
      <c r="Y221" s="541">
        <f>IFERROR(SUM(Y218:Y219),"0")</f>
        <v>0</v>
      </c>
      <c r="Z221" s="37"/>
      <c r="AA221" s="542"/>
      <c r="AB221" s="542"/>
      <c r="AC221" s="542"/>
    </row>
    <row r="222" spans="1:68" ht="16.5" customHeight="1" x14ac:dyDescent="0.25">
      <c r="A222" s="552" t="s">
        <v>355</v>
      </c>
      <c r="B222" s="553"/>
      <c r="C222" s="553"/>
      <c r="D222" s="553"/>
      <c r="E222" s="553"/>
      <c r="F222" s="553"/>
      <c r="G222" s="553"/>
      <c r="H222" s="553"/>
      <c r="I222" s="553"/>
      <c r="J222" s="553"/>
      <c r="K222" s="553"/>
      <c r="L222" s="553"/>
      <c r="M222" s="553"/>
      <c r="N222" s="553"/>
      <c r="O222" s="553"/>
      <c r="P222" s="553"/>
      <c r="Q222" s="553"/>
      <c r="R222" s="553"/>
      <c r="S222" s="553"/>
      <c r="T222" s="553"/>
      <c r="U222" s="553"/>
      <c r="V222" s="553"/>
      <c r="W222" s="553"/>
      <c r="X222" s="553"/>
      <c r="Y222" s="553"/>
      <c r="Z222" s="553"/>
      <c r="AA222" s="534"/>
      <c r="AB222" s="534"/>
      <c r="AC222" s="534"/>
    </row>
    <row r="223" spans="1:68" ht="14.25" customHeight="1" x14ac:dyDescent="0.25">
      <c r="A223" s="554" t="s">
        <v>98</v>
      </c>
      <c r="B223" s="553"/>
      <c r="C223" s="553"/>
      <c r="D223" s="553"/>
      <c r="E223" s="553"/>
      <c r="F223" s="553"/>
      <c r="G223" s="553"/>
      <c r="H223" s="553"/>
      <c r="I223" s="553"/>
      <c r="J223" s="553"/>
      <c r="K223" s="553"/>
      <c r="L223" s="553"/>
      <c r="M223" s="553"/>
      <c r="N223" s="553"/>
      <c r="O223" s="553"/>
      <c r="P223" s="553"/>
      <c r="Q223" s="553"/>
      <c r="R223" s="553"/>
      <c r="S223" s="553"/>
      <c r="T223" s="553"/>
      <c r="U223" s="553"/>
      <c r="V223" s="553"/>
      <c r="W223" s="553"/>
      <c r="X223" s="553"/>
      <c r="Y223" s="553"/>
      <c r="Z223" s="553"/>
      <c r="AA223" s="535"/>
      <c r="AB223" s="535"/>
      <c r="AC223" s="535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6">
        <v>4680115884137</v>
      </c>
      <c r="E224" s="547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101</v>
      </c>
      <c r="L224" s="32"/>
      <c r="M224" s="33" t="s">
        <v>103</v>
      </c>
      <c r="N224" s="33"/>
      <c r="O224" s="32">
        <v>55</v>
      </c>
      <c r="P224" s="71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4"/>
      <c r="R224" s="544"/>
      <c r="S224" s="544"/>
      <c r="T224" s="545"/>
      <c r="U224" s="34"/>
      <c r="V224" s="34"/>
      <c r="W224" s="35" t="s">
        <v>68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6">
        <v>4680115884236</v>
      </c>
      <c r="E225" s="547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101</v>
      </c>
      <c r="L225" s="32"/>
      <c r="M225" s="33" t="s">
        <v>103</v>
      </c>
      <c r="N225" s="33"/>
      <c r="O225" s="32">
        <v>55</v>
      </c>
      <c r="P225" s="76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4"/>
      <c r="R225" s="544"/>
      <c r="S225" s="544"/>
      <c r="T225" s="545"/>
      <c r="U225" s="34"/>
      <c r="V225" s="34"/>
      <c r="W225" s="35" t="s">
        <v>68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6">
        <v>4680115884175</v>
      </c>
      <c r="E226" s="547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101</v>
      </c>
      <c r="L226" s="32"/>
      <c r="M226" s="33" t="s">
        <v>103</v>
      </c>
      <c r="N226" s="33"/>
      <c r="O226" s="32">
        <v>55</v>
      </c>
      <c r="P226" s="7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4"/>
      <c r="R226" s="544"/>
      <c r="S226" s="544"/>
      <c r="T226" s="545"/>
      <c r="U226" s="34"/>
      <c r="V226" s="34"/>
      <c r="W226" s="35" t="s">
        <v>68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6">
        <v>4680115884144</v>
      </c>
      <c r="E227" s="547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108</v>
      </c>
      <c r="L227" s="32"/>
      <c r="M227" s="33" t="s">
        <v>103</v>
      </c>
      <c r="N227" s="33"/>
      <c r="O227" s="32">
        <v>55</v>
      </c>
      <c r="P227" s="76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4"/>
      <c r="R227" s="544"/>
      <c r="S227" s="544"/>
      <c r="T227" s="545"/>
      <c r="U227" s="34"/>
      <c r="V227" s="34"/>
      <c r="W227" s="35" t="s">
        <v>68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6">
        <v>4680115884144</v>
      </c>
      <c r="E228" s="547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108</v>
      </c>
      <c r="L228" s="32"/>
      <c r="M228" s="33" t="s">
        <v>103</v>
      </c>
      <c r="N228" s="33"/>
      <c r="O228" s="32">
        <v>55</v>
      </c>
      <c r="P228" s="842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4"/>
      <c r="R228" s="544"/>
      <c r="S228" s="544"/>
      <c r="T228" s="545"/>
      <c r="U228" s="34"/>
      <c r="V228" s="34"/>
      <c r="W228" s="35" t="s">
        <v>68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6">
        <v>4680115886551</v>
      </c>
      <c r="E229" s="547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108</v>
      </c>
      <c r="L229" s="32"/>
      <c r="M229" s="33" t="s">
        <v>103</v>
      </c>
      <c r="N229" s="33"/>
      <c r="O229" s="32">
        <v>55</v>
      </c>
      <c r="P229" s="719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4"/>
      <c r="R229" s="544"/>
      <c r="S229" s="544"/>
      <c r="T229" s="545"/>
      <c r="U229" s="34"/>
      <c r="V229" s="34"/>
      <c r="W229" s="35" t="s">
        <v>68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6">
        <v>4680115884182</v>
      </c>
      <c r="E230" s="547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108</v>
      </c>
      <c r="L230" s="32"/>
      <c r="M230" s="33" t="s">
        <v>103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4"/>
      <c r="R230" s="544"/>
      <c r="S230" s="544"/>
      <c r="T230" s="545"/>
      <c r="U230" s="34"/>
      <c r="V230" s="34"/>
      <c r="W230" s="35" t="s">
        <v>68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6">
        <v>4680115887282</v>
      </c>
      <c r="E231" s="547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75</v>
      </c>
      <c r="L231" s="32"/>
      <c r="M231" s="33" t="s">
        <v>103</v>
      </c>
      <c r="N231" s="33"/>
      <c r="O231" s="32">
        <v>55</v>
      </c>
      <c r="P231" s="550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4"/>
      <c r="R231" s="544"/>
      <c r="S231" s="544"/>
      <c r="T231" s="545"/>
      <c r="U231" s="34"/>
      <c r="V231" s="34"/>
      <c r="W231" s="35" t="s">
        <v>68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6">
        <v>4680115884205</v>
      </c>
      <c r="E232" s="547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108</v>
      </c>
      <c r="L232" s="32" t="s">
        <v>109</v>
      </c>
      <c r="M232" s="33" t="s">
        <v>103</v>
      </c>
      <c r="N232" s="33"/>
      <c r="O232" s="32">
        <v>55</v>
      </c>
      <c r="P232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4"/>
      <c r="R232" s="544"/>
      <c r="S232" s="544"/>
      <c r="T232" s="545"/>
      <c r="U232" s="34"/>
      <c r="V232" s="34"/>
      <c r="W232" s="35" t="s">
        <v>68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 t="s">
        <v>105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6">
        <v>4680115884205</v>
      </c>
      <c r="E233" s="547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108</v>
      </c>
      <c r="L233" s="32"/>
      <c r="M233" s="33" t="s">
        <v>103</v>
      </c>
      <c r="N233" s="33"/>
      <c r="O233" s="32">
        <v>55</v>
      </c>
      <c r="P233" s="72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4"/>
      <c r="R233" s="544"/>
      <c r="S233" s="544"/>
      <c r="T233" s="545"/>
      <c r="U233" s="34"/>
      <c r="V233" s="34"/>
      <c r="W233" s="35" t="s">
        <v>68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67"/>
      <c r="B234" s="553"/>
      <c r="C234" s="553"/>
      <c r="D234" s="553"/>
      <c r="E234" s="553"/>
      <c r="F234" s="553"/>
      <c r="G234" s="553"/>
      <c r="H234" s="553"/>
      <c r="I234" s="553"/>
      <c r="J234" s="553"/>
      <c r="K234" s="553"/>
      <c r="L234" s="553"/>
      <c r="M234" s="553"/>
      <c r="N234" s="553"/>
      <c r="O234" s="568"/>
      <c r="P234" s="557" t="s">
        <v>70</v>
      </c>
      <c r="Q234" s="558"/>
      <c r="R234" s="558"/>
      <c r="S234" s="558"/>
      <c r="T234" s="558"/>
      <c r="U234" s="558"/>
      <c r="V234" s="559"/>
      <c r="W234" s="37" t="s">
        <v>71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x14ac:dyDescent="0.2">
      <c r="A235" s="553"/>
      <c r="B235" s="553"/>
      <c r="C235" s="553"/>
      <c r="D235" s="553"/>
      <c r="E235" s="553"/>
      <c r="F235" s="553"/>
      <c r="G235" s="553"/>
      <c r="H235" s="553"/>
      <c r="I235" s="553"/>
      <c r="J235" s="553"/>
      <c r="K235" s="553"/>
      <c r="L235" s="553"/>
      <c r="M235" s="553"/>
      <c r="N235" s="553"/>
      <c r="O235" s="568"/>
      <c r="P235" s="557" t="s">
        <v>70</v>
      </c>
      <c r="Q235" s="558"/>
      <c r="R235" s="558"/>
      <c r="S235" s="558"/>
      <c r="T235" s="558"/>
      <c r="U235" s="558"/>
      <c r="V235" s="559"/>
      <c r="W235" s="37" t="s">
        <v>68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customHeight="1" x14ac:dyDescent="0.25">
      <c r="A236" s="554" t="s">
        <v>134</v>
      </c>
      <c r="B236" s="553"/>
      <c r="C236" s="553"/>
      <c r="D236" s="553"/>
      <c r="E236" s="553"/>
      <c r="F236" s="553"/>
      <c r="G236" s="553"/>
      <c r="H236" s="553"/>
      <c r="I236" s="553"/>
      <c r="J236" s="553"/>
      <c r="K236" s="553"/>
      <c r="L236" s="553"/>
      <c r="M236" s="553"/>
      <c r="N236" s="553"/>
      <c r="O236" s="553"/>
      <c r="P236" s="553"/>
      <c r="Q236" s="553"/>
      <c r="R236" s="553"/>
      <c r="S236" s="553"/>
      <c r="T236" s="553"/>
      <c r="U236" s="553"/>
      <c r="V236" s="553"/>
      <c r="W236" s="553"/>
      <c r="X236" s="553"/>
      <c r="Y236" s="553"/>
      <c r="Z236" s="553"/>
      <c r="AA236" s="535"/>
      <c r="AB236" s="535"/>
      <c r="AC236" s="535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6">
        <v>4680115885981</v>
      </c>
      <c r="E237" s="547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66</v>
      </c>
      <c r="L237" s="32"/>
      <c r="M237" s="33" t="s">
        <v>76</v>
      </c>
      <c r="N237" s="33"/>
      <c r="O237" s="32">
        <v>50</v>
      </c>
      <c r="P237" s="61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4"/>
      <c r="R237" s="544"/>
      <c r="S237" s="544"/>
      <c r="T237" s="545"/>
      <c r="U237" s="34"/>
      <c r="V237" s="34"/>
      <c r="W237" s="35" t="s">
        <v>68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67"/>
      <c r="B238" s="553"/>
      <c r="C238" s="553"/>
      <c r="D238" s="553"/>
      <c r="E238" s="553"/>
      <c r="F238" s="553"/>
      <c r="G238" s="553"/>
      <c r="H238" s="553"/>
      <c r="I238" s="553"/>
      <c r="J238" s="553"/>
      <c r="K238" s="553"/>
      <c r="L238" s="553"/>
      <c r="M238" s="553"/>
      <c r="N238" s="553"/>
      <c r="O238" s="568"/>
      <c r="P238" s="557" t="s">
        <v>70</v>
      </c>
      <c r="Q238" s="558"/>
      <c r="R238" s="558"/>
      <c r="S238" s="558"/>
      <c r="T238" s="558"/>
      <c r="U238" s="558"/>
      <c r="V238" s="559"/>
      <c r="W238" s="37" t="s">
        <v>71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x14ac:dyDescent="0.2">
      <c r="A239" s="553"/>
      <c r="B239" s="553"/>
      <c r="C239" s="553"/>
      <c r="D239" s="553"/>
      <c r="E239" s="553"/>
      <c r="F239" s="553"/>
      <c r="G239" s="553"/>
      <c r="H239" s="553"/>
      <c r="I239" s="553"/>
      <c r="J239" s="553"/>
      <c r="K239" s="553"/>
      <c r="L239" s="553"/>
      <c r="M239" s="553"/>
      <c r="N239" s="553"/>
      <c r="O239" s="568"/>
      <c r="P239" s="557" t="s">
        <v>70</v>
      </c>
      <c r="Q239" s="558"/>
      <c r="R239" s="558"/>
      <c r="S239" s="558"/>
      <c r="T239" s="558"/>
      <c r="U239" s="558"/>
      <c r="V239" s="559"/>
      <c r="W239" s="37" t="s">
        <v>68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customHeight="1" x14ac:dyDescent="0.25">
      <c r="A240" s="554" t="s">
        <v>381</v>
      </c>
      <c r="B240" s="553"/>
      <c r="C240" s="553"/>
      <c r="D240" s="553"/>
      <c r="E240" s="553"/>
      <c r="F240" s="553"/>
      <c r="G240" s="553"/>
      <c r="H240" s="553"/>
      <c r="I240" s="553"/>
      <c r="J240" s="553"/>
      <c r="K240" s="553"/>
      <c r="L240" s="553"/>
      <c r="M240" s="553"/>
      <c r="N240" s="553"/>
      <c r="O240" s="553"/>
      <c r="P240" s="553"/>
      <c r="Q240" s="553"/>
      <c r="R240" s="553"/>
      <c r="S240" s="553"/>
      <c r="T240" s="553"/>
      <c r="U240" s="553"/>
      <c r="V240" s="553"/>
      <c r="W240" s="553"/>
      <c r="X240" s="553"/>
      <c r="Y240" s="553"/>
      <c r="Z240" s="553"/>
      <c r="AA240" s="535"/>
      <c r="AB240" s="535"/>
      <c r="AC240" s="535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6">
        <v>4680115886803</v>
      </c>
      <c r="E241" s="547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4"/>
      <c r="R241" s="544"/>
      <c r="S241" s="544"/>
      <c r="T241" s="545"/>
      <c r="U241" s="34"/>
      <c r="V241" s="34"/>
      <c r="W241" s="35" t="s">
        <v>68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67"/>
      <c r="B242" s="553"/>
      <c r="C242" s="553"/>
      <c r="D242" s="553"/>
      <c r="E242" s="553"/>
      <c r="F242" s="553"/>
      <c r="G242" s="553"/>
      <c r="H242" s="553"/>
      <c r="I242" s="553"/>
      <c r="J242" s="553"/>
      <c r="K242" s="553"/>
      <c r="L242" s="553"/>
      <c r="M242" s="553"/>
      <c r="N242" s="553"/>
      <c r="O242" s="568"/>
      <c r="P242" s="557" t="s">
        <v>70</v>
      </c>
      <c r="Q242" s="558"/>
      <c r="R242" s="558"/>
      <c r="S242" s="558"/>
      <c r="T242" s="558"/>
      <c r="U242" s="558"/>
      <c r="V242" s="559"/>
      <c r="W242" s="37" t="s">
        <v>71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x14ac:dyDescent="0.2">
      <c r="A243" s="553"/>
      <c r="B243" s="553"/>
      <c r="C243" s="553"/>
      <c r="D243" s="553"/>
      <c r="E243" s="553"/>
      <c r="F243" s="553"/>
      <c r="G243" s="553"/>
      <c r="H243" s="553"/>
      <c r="I243" s="553"/>
      <c r="J243" s="553"/>
      <c r="K243" s="553"/>
      <c r="L243" s="553"/>
      <c r="M243" s="553"/>
      <c r="N243" s="553"/>
      <c r="O243" s="568"/>
      <c r="P243" s="557" t="s">
        <v>70</v>
      </c>
      <c r="Q243" s="558"/>
      <c r="R243" s="558"/>
      <c r="S243" s="558"/>
      <c r="T243" s="558"/>
      <c r="U243" s="558"/>
      <c r="V243" s="559"/>
      <c r="W243" s="37" t="s">
        <v>68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customHeight="1" x14ac:dyDescent="0.25">
      <c r="A244" s="554" t="s">
        <v>385</v>
      </c>
      <c r="B244" s="553"/>
      <c r="C244" s="553"/>
      <c r="D244" s="553"/>
      <c r="E244" s="553"/>
      <c r="F244" s="553"/>
      <c r="G244" s="553"/>
      <c r="H244" s="553"/>
      <c r="I244" s="553"/>
      <c r="J244" s="553"/>
      <c r="K244" s="553"/>
      <c r="L244" s="553"/>
      <c r="M244" s="553"/>
      <c r="N244" s="553"/>
      <c r="O244" s="553"/>
      <c r="P244" s="553"/>
      <c r="Q244" s="553"/>
      <c r="R244" s="553"/>
      <c r="S244" s="553"/>
      <c r="T244" s="553"/>
      <c r="U244" s="553"/>
      <c r="V244" s="553"/>
      <c r="W244" s="553"/>
      <c r="X244" s="553"/>
      <c r="Y244" s="553"/>
      <c r="Z244" s="553"/>
      <c r="AA244" s="535"/>
      <c r="AB244" s="535"/>
      <c r="AC244" s="535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6">
        <v>4680115886704</v>
      </c>
      <c r="E245" s="547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4"/>
      <c r="R245" s="544"/>
      <c r="S245" s="544"/>
      <c r="T245" s="545"/>
      <c r="U245" s="34"/>
      <c r="V245" s="34"/>
      <c r="W245" s="35" t="s">
        <v>68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6">
        <v>4680115886681</v>
      </c>
      <c r="E246" s="547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2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4"/>
      <c r="R246" s="544"/>
      <c r="S246" s="544"/>
      <c r="T246" s="545"/>
      <c r="U246" s="34"/>
      <c r="V246" s="34"/>
      <c r="W246" s="35" t="s">
        <v>68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6">
        <v>4680115886735</v>
      </c>
      <c r="E247" s="547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4"/>
      <c r="R247" s="544"/>
      <c r="S247" s="544"/>
      <c r="T247" s="545"/>
      <c r="U247" s="34"/>
      <c r="V247" s="34"/>
      <c r="W247" s="35" t="s">
        <v>68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6">
        <v>4680115886728</v>
      </c>
      <c r="E248" s="547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4"/>
      <c r="R248" s="544"/>
      <c r="S248" s="544"/>
      <c r="T248" s="545"/>
      <c r="U248" s="34"/>
      <c r="V248" s="34"/>
      <c r="W248" s="35" t="s">
        <v>68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6">
        <v>4680115886711</v>
      </c>
      <c r="E249" s="547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6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4"/>
      <c r="R249" s="544"/>
      <c r="S249" s="544"/>
      <c r="T249" s="545"/>
      <c r="U249" s="34"/>
      <c r="V249" s="34"/>
      <c r="W249" s="35" t="s">
        <v>68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67"/>
      <c r="B250" s="553"/>
      <c r="C250" s="553"/>
      <c r="D250" s="553"/>
      <c r="E250" s="553"/>
      <c r="F250" s="553"/>
      <c r="G250" s="553"/>
      <c r="H250" s="553"/>
      <c r="I250" s="553"/>
      <c r="J250" s="553"/>
      <c r="K250" s="553"/>
      <c r="L250" s="553"/>
      <c r="M250" s="553"/>
      <c r="N250" s="553"/>
      <c r="O250" s="568"/>
      <c r="P250" s="557" t="s">
        <v>70</v>
      </c>
      <c r="Q250" s="558"/>
      <c r="R250" s="558"/>
      <c r="S250" s="558"/>
      <c r="T250" s="558"/>
      <c r="U250" s="558"/>
      <c r="V250" s="559"/>
      <c r="W250" s="37" t="s">
        <v>71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x14ac:dyDescent="0.2">
      <c r="A251" s="553"/>
      <c r="B251" s="553"/>
      <c r="C251" s="553"/>
      <c r="D251" s="553"/>
      <c r="E251" s="553"/>
      <c r="F251" s="553"/>
      <c r="G251" s="553"/>
      <c r="H251" s="553"/>
      <c r="I251" s="553"/>
      <c r="J251" s="553"/>
      <c r="K251" s="553"/>
      <c r="L251" s="553"/>
      <c r="M251" s="553"/>
      <c r="N251" s="553"/>
      <c r="O251" s="568"/>
      <c r="P251" s="557" t="s">
        <v>70</v>
      </c>
      <c r="Q251" s="558"/>
      <c r="R251" s="558"/>
      <c r="S251" s="558"/>
      <c r="T251" s="558"/>
      <c r="U251" s="558"/>
      <c r="V251" s="559"/>
      <c r="W251" s="37" t="s">
        <v>68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customHeight="1" x14ac:dyDescent="0.25">
      <c r="A252" s="552" t="s">
        <v>397</v>
      </c>
      <c r="B252" s="553"/>
      <c r="C252" s="553"/>
      <c r="D252" s="553"/>
      <c r="E252" s="553"/>
      <c r="F252" s="553"/>
      <c r="G252" s="553"/>
      <c r="H252" s="553"/>
      <c r="I252" s="553"/>
      <c r="J252" s="553"/>
      <c r="K252" s="553"/>
      <c r="L252" s="553"/>
      <c r="M252" s="553"/>
      <c r="N252" s="553"/>
      <c r="O252" s="553"/>
      <c r="P252" s="553"/>
      <c r="Q252" s="553"/>
      <c r="R252" s="553"/>
      <c r="S252" s="553"/>
      <c r="T252" s="553"/>
      <c r="U252" s="553"/>
      <c r="V252" s="553"/>
      <c r="W252" s="553"/>
      <c r="X252" s="553"/>
      <c r="Y252" s="553"/>
      <c r="Z252" s="553"/>
      <c r="AA252" s="534"/>
      <c r="AB252" s="534"/>
      <c r="AC252" s="534"/>
    </row>
    <row r="253" spans="1:68" ht="14.25" customHeight="1" x14ac:dyDescent="0.25">
      <c r="A253" s="554" t="s">
        <v>98</v>
      </c>
      <c r="B253" s="553"/>
      <c r="C253" s="553"/>
      <c r="D253" s="553"/>
      <c r="E253" s="553"/>
      <c r="F253" s="553"/>
      <c r="G253" s="553"/>
      <c r="H253" s="553"/>
      <c r="I253" s="553"/>
      <c r="J253" s="553"/>
      <c r="K253" s="553"/>
      <c r="L253" s="553"/>
      <c r="M253" s="553"/>
      <c r="N253" s="553"/>
      <c r="O253" s="553"/>
      <c r="P253" s="553"/>
      <c r="Q253" s="553"/>
      <c r="R253" s="553"/>
      <c r="S253" s="553"/>
      <c r="T253" s="553"/>
      <c r="U253" s="553"/>
      <c r="V253" s="553"/>
      <c r="W253" s="553"/>
      <c r="X253" s="553"/>
      <c r="Y253" s="553"/>
      <c r="Z253" s="553"/>
      <c r="AA253" s="535"/>
      <c r="AB253" s="535"/>
      <c r="AC253" s="535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6">
        <v>4680115885837</v>
      </c>
      <c r="E254" s="547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101</v>
      </c>
      <c r="L254" s="32" t="s">
        <v>102</v>
      </c>
      <c r="M254" s="33" t="s">
        <v>103</v>
      </c>
      <c r="N254" s="33"/>
      <c r="O254" s="32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4"/>
      <c r="R254" s="544"/>
      <c r="S254" s="544"/>
      <c r="T254" s="545"/>
      <c r="U254" s="34"/>
      <c r="V254" s="34"/>
      <c r="W254" s="35" t="s">
        <v>68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 t="s">
        <v>105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6">
        <v>4680115885851</v>
      </c>
      <c r="E255" s="547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101</v>
      </c>
      <c r="L255" s="32"/>
      <c r="M255" s="33" t="s">
        <v>103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4"/>
      <c r="R255" s="544"/>
      <c r="S255" s="544"/>
      <c r="T255" s="545"/>
      <c r="U255" s="34"/>
      <c r="V255" s="34"/>
      <c r="W255" s="35" t="s">
        <v>68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6">
        <v>4680115885806</v>
      </c>
      <c r="E256" s="547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101</v>
      </c>
      <c r="L256" s="32" t="s">
        <v>102</v>
      </c>
      <c r="M256" s="33" t="s">
        <v>103</v>
      </c>
      <c r="N256" s="33"/>
      <c r="O256" s="32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4"/>
      <c r="R256" s="544"/>
      <c r="S256" s="544"/>
      <c r="T256" s="545"/>
      <c r="U256" s="34"/>
      <c r="V256" s="34"/>
      <c r="W256" s="35" t="s">
        <v>68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 t="s">
        <v>105</v>
      </c>
      <c r="AK256" s="68">
        <v>86.4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6">
        <v>4680115885844</v>
      </c>
      <c r="E257" s="547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108</v>
      </c>
      <c r="L257" s="32"/>
      <c r="M257" s="33" t="s">
        <v>103</v>
      </c>
      <c r="N257" s="33"/>
      <c r="O257" s="32">
        <v>55</v>
      </c>
      <c r="P257" s="75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4"/>
      <c r="R257" s="544"/>
      <c r="S257" s="544"/>
      <c r="T257" s="545"/>
      <c r="U257" s="34"/>
      <c r="V257" s="34"/>
      <c r="W257" s="35" t="s">
        <v>68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6">
        <v>4680115885820</v>
      </c>
      <c r="E258" s="547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108</v>
      </c>
      <c r="L258" s="32"/>
      <c r="M258" s="33" t="s">
        <v>103</v>
      </c>
      <c r="N258" s="33"/>
      <c r="O258" s="32">
        <v>55</v>
      </c>
      <c r="P258" s="64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4"/>
      <c r="R258" s="544"/>
      <c r="S258" s="544"/>
      <c r="T258" s="545"/>
      <c r="U258" s="34"/>
      <c r="V258" s="34"/>
      <c r="W258" s="35" t="s">
        <v>68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67"/>
      <c r="B259" s="553"/>
      <c r="C259" s="553"/>
      <c r="D259" s="553"/>
      <c r="E259" s="553"/>
      <c r="F259" s="553"/>
      <c r="G259" s="553"/>
      <c r="H259" s="553"/>
      <c r="I259" s="553"/>
      <c r="J259" s="553"/>
      <c r="K259" s="553"/>
      <c r="L259" s="553"/>
      <c r="M259" s="553"/>
      <c r="N259" s="553"/>
      <c r="O259" s="568"/>
      <c r="P259" s="557" t="s">
        <v>70</v>
      </c>
      <c r="Q259" s="558"/>
      <c r="R259" s="558"/>
      <c r="S259" s="558"/>
      <c r="T259" s="558"/>
      <c r="U259" s="558"/>
      <c r="V259" s="559"/>
      <c r="W259" s="37" t="s">
        <v>71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x14ac:dyDescent="0.2">
      <c r="A260" s="553"/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68"/>
      <c r="P260" s="557" t="s">
        <v>70</v>
      </c>
      <c r="Q260" s="558"/>
      <c r="R260" s="558"/>
      <c r="S260" s="558"/>
      <c r="T260" s="558"/>
      <c r="U260" s="558"/>
      <c r="V260" s="559"/>
      <c r="W260" s="37" t="s">
        <v>68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customHeight="1" x14ac:dyDescent="0.25">
      <c r="A261" s="552" t="s">
        <v>413</v>
      </c>
      <c r="B261" s="553"/>
      <c r="C261" s="553"/>
      <c r="D261" s="553"/>
      <c r="E261" s="553"/>
      <c r="F261" s="553"/>
      <c r="G261" s="553"/>
      <c r="H261" s="553"/>
      <c r="I261" s="553"/>
      <c r="J261" s="553"/>
      <c r="K261" s="553"/>
      <c r="L261" s="553"/>
      <c r="M261" s="553"/>
      <c r="N261" s="553"/>
      <c r="O261" s="553"/>
      <c r="P261" s="553"/>
      <c r="Q261" s="553"/>
      <c r="R261" s="553"/>
      <c r="S261" s="553"/>
      <c r="T261" s="553"/>
      <c r="U261" s="553"/>
      <c r="V261" s="553"/>
      <c r="W261" s="553"/>
      <c r="X261" s="553"/>
      <c r="Y261" s="553"/>
      <c r="Z261" s="553"/>
      <c r="AA261" s="534"/>
      <c r="AB261" s="534"/>
      <c r="AC261" s="534"/>
    </row>
    <row r="262" spans="1:68" ht="14.25" customHeight="1" x14ac:dyDescent="0.25">
      <c r="A262" s="554" t="s">
        <v>98</v>
      </c>
      <c r="B262" s="553"/>
      <c r="C262" s="553"/>
      <c r="D262" s="553"/>
      <c r="E262" s="553"/>
      <c r="F262" s="553"/>
      <c r="G262" s="553"/>
      <c r="H262" s="553"/>
      <c r="I262" s="553"/>
      <c r="J262" s="553"/>
      <c r="K262" s="553"/>
      <c r="L262" s="553"/>
      <c r="M262" s="553"/>
      <c r="N262" s="553"/>
      <c r="O262" s="553"/>
      <c r="P262" s="553"/>
      <c r="Q262" s="553"/>
      <c r="R262" s="553"/>
      <c r="S262" s="553"/>
      <c r="T262" s="553"/>
      <c r="U262" s="553"/>
      <c r="V262" s="553"/>
      <c r="W262" s="553"/>
      <c r="X262" s="553"/>
      <c r="Y262" s="553"/>
      <c r="Z262" s="553"/>
      <c r="AA262" s="535"/>
      <c r="AB262" s="535"/>
      <c r="AC262" s="535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6">
        <v>4607091383423</v>
      </c>
      <c r="E263" s="547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101</v>
      </c>
      <c r="L263" s="32"/>
      <c r="M263" s="33" t="s">
        <v>76</v>
      </c>
      <c r="N263" s="33"/>
      <c r="O263" s="32">
        <v>35</v>
      </c>
      <c r="P263" s="84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4"/>
      <c r="R263" s="544"/>
      <c r="S263" s="544"/>
      <c r="T263" s="545"/>
      <c r="U263" s="34"/>
      <c r="V263" s="34"/>
      <c r="W263" s="35" t="s">
        <v>68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104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6">
        <v>4680115886957</v>
      </c>
      <c r="E264" s="547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101</v>
      </c>
      <c r="L264" s="32"/>
      <c r="M264" s="33" t="s">
        <v>76</v>
      </c>
      <c r="N264" s="33"/>
      <c r="O264" s="32">
        <v>30</v>
      </c>
      <c r="P264" s="675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4"/>
      <c r="R264" s="544"/>
      <c r="S264" s="544"/>
      <c r="T264" s="545"/>
      <c r="U264" s="34"/>
      <c r="V264" s="34"/>
      <c r="W264" s="35" t="s">
        <v>68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6">
        <v>4680115885660</v>
      </c>
      <c r="E265" s="547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101</v>
      </c>
      <c r="L265" s="32"/>
      <c r="M265" s="33" t="s">
        <v>76</v>
      </c>
      <c r="N265" s="33"/>
      <c r="O265" s="32">
        <v>35</v>
      </c>
      <c r="P265" s="60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4"/>
      <c r="R265" s="544"/>
      <c r="S265" s="544"/>
      <c r="T265" s="545"/>
      <c r="U265" s="34"/>
      <c r="V265" s="34"/>
      <c r="W265" s="35" t="s">
        <v>68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6">
        <v>4680115886773</v>
      </c>
      <c r="E266" s="547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101</v>
      </c>
      <c r="L266" s="32"/>
      <c r="M266" s="33" t="s">
        <v>103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4"/>
      <c r="R266" s="544"/>
      <c r="S266" s="544"/>
      <c r="T266" s="545"/>
      <c r="U266" s="34"/>
      <c r="V266" s="34"/>
      <c r="W266" s="35" t="s">
        <v>68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67"/>
      <c r="B267" s="553"/>
      <c r="C267" s="553"/>
      <c r="D267" s="553"/>
      <c r="E267" s="553"/>
      <c r="F267" s="553"/>
      <c r="G267" s="553"/>
      <c r="H267" s="553"/>
      <c r="I267" s="553"/>
      <c r="J267" s="553"/>
      <c r="K267" s="553"/>
      <c r="L267" s="553"/>
      <c r="M267" s="553"/>
      <c r="N267" s="553"/>
      <c r="O267" s="568"/>
      <c r="P267" s="557" t="s">
        <v>70</v>
      </c>
      <c r="Q267" s="558"/>
      <c r="R267" s="558"/>
      <c r="S267" s="558"/>
      <c r="T267" s="558"/>
      <c r="U267" s="558"/>
      <c r="V267" s="559"/>
      <c r="W267" s="37" t="s">
        <v>71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x14ac:dyDescent="0.2">
      <c r="A268" s="553"/>
      <c r="B268" s="553"/>
      <c r="C268" s="553"/>
      <c r="D268" s="553"/>
      <c r="E268" s="553"/>
      <c r="F268" s="553"/>
      <c r="G268" s="553"/>
      <c r="H268" s="553"/>
      <c r="I268" s="553"/>
      <c r="J268" s="553"/>
      <c r="K268" s="553"/>
      <c r="L268" s="553"/>
      <c r="M268" s="553"/>
      <c r="N268" s="553"/>
      <c r="O268" s="568"/>
      <c r="P268" s="557" t="s">
        <v>70</v>
      </c>
      <c r="Q268" s="558"/>
      <c r="R268" s="558"/>
      <c r="S268" s="558"/>
      <c r="T268" s="558"/>
      <c r="U268" s="558"/>
      <c r="V268" s="559"/>
      <c r="W268" s="37" t="s">
        <v>68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customHeight="1" x14ac:dyDescent="0.25">
      <c r="A269" s="552" t="s">
        <v>424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534"/>
      <c r="AB269" s="534"/>
      <c r="AC269" s="534"/>
    </row>
    <row r="270" spans="1:68" ht="14.25" customHeight="1" x14ac:dyDescent="0.25">
      <c r="A270" s="554" t="s">
        <v>72</v>
      </c>
      <c r="B270" s="553"/>
      <c r="C270" s="553"/>
      <c r="D270" s="553"/>
      <c r="E270" s="553"/>
      <c r="F270" s="553"/>
      <c r="G270" s="553"/>
      <c r="H270" s="553"/>
      <c r="I270" s="553"/>
      <c r="J270" s="553"/>
      <c r="K270" s="553"/>
      <c r="L270" s="553"/>
      <c r="M270" s="553"/>
      <c r="N270" s="553"/>
      <c r="O270" s="553"/>
      <c r="P270" s="553"/>
      <c r="Q270" s="553"/>
      <c r="R270" s="553"/>
      <c r="S270" s="553"/>
      <c r="T270" s="553"/>
      <c r="U270" s="553"/>
      <c r="V270" s="553"/>
      <c r="W270" s="553"/>
      <c r="X270" s="553"/>
      <c r="Y270" s="553"/>
      <c r="Z270" s="553"/>
      <c r="AA270" s="535"/>
      <c r="AB270" s="535"/>
      <c r="AC270" s="535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6">
        <v>4680115886186</v>
      </c>
      <c r="E271" s="547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75</v>
      </c>
      <c r="L271" s="32"/>
      <c r="M271" s="33" t="s">
        <v>76</v>
      </c>
      <c r="N271" s="33"/>
      <c r="O271" s="32">
        <v>45</v>
      </c>
      <c r="P271" s="60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4"/>
      <c r="R271" s="544"/>
      <c r="S271" s="544"/>
      <c r="T271" s="545"/>
      <c r="U271" s="34"/>
      <c r="V271" s="34"/>
      <c r="W271" s="35" t="s">
        <v>68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6">
        <v>4680115881228</v>
      </c>
      <c r="E272" s="547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75</v>
      </c>
      <c r="L272" s="32" t="s">
        <v>185</v>
      </c>
      <c r="M272" s="33" t="s">
        <v>83</v>
      </c>
      <c r="N272" s="33"/>
      <c r="O272" s="32">
        <v>40</v>
      </c>
      <c r="P272" s="68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4"/>
      <c r="R272" s="544"/>
      <c r="S272" s="544"/>
      <c r="T272" s="545"/>
      <c r="U272" s="34"/>
      <c r="V272" s="34"/>
      <c r="W272" s="35" t="s">
        <v>68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105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6">
        <v>4680115881211</v>
      </c>
      <c r="E273" s="547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75</v>
      </c>
      <c r="L273" s="32" t="s">
        <v>185</v>
      </c>
      <c r="M273" s="33" t="s">
        <v>76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4"/>
      <c r="R273" s="544"/>
      <c r="S273" s="544"/>
      <c r="T273" s="545"/>
      <c r="U273" s="34"/>
      <c r="V273" s="34"/>
      <c r="W273" s="35" t="s">
        <v>68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105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67"/>
      <c r="B274" s="553"/>
      <c r="C274" s="553"/>
      <c r="D274" s="553"/>
      <c r="E274" s="553"/>
      <c r="F274" s="553"/>
      <c r="G274" s="553"/>
      <c r="H274" s="553"/>
      <c r="I274" s="553"/>
      <c r="J274" s="553"/>
      <c r="K274" s="553"/>
      <c r="L274" s="553"/>
      <c r="M274" s="553"/>
      <c r="N274" s="553"/>
      <c r="O274" s="568"/>
      <c r="P274" s="557" t="s">
        <v>70</v>
      </c>
      <c r="Q274" s="558"/>
      <c r="R274" s="558"/>
      <c r="S274" s="558"/>
      <c r="T274" s="558"/>
      <c r="U274" s="558"/>
      <c r="V274" s="559"/>
      <c r="W274" s="37" t="s">
        <v>71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x14ac:dyDescent="0.2">
      <c r="A275" s="553"/>
      <c r="B275" s="553"/>
      <c r="C275" s="553"/>
      <c r="D275" s="553"/>
      <c r="E275" s="553"/>
      <c r="F275" s="553"/>
      <c r="G275" s="553"/>
      <c r="H275" s="553"/>
      <c r="I275" s="553"/>
      <c r="J275" s="553"/>
      <c r="K275" s="553"/>
      <c r="L275" s="553"/>
      <c r="M275" s="553"/>
      <c r="N275" s="553"/>
      <c r="O275" s="568"/>
      <c r="P275" s="557" t="s">
        <v>70</v>
      </c>
      <c r="Q275" s="558"/>
      <c r="R275" s="558"/>
      <c r="S275" s="558"/>
      <c r="T275" s="558"/>
      <c r="U275" s="558"/>
      <c r="V275" s="559"/>
      <c r="W275" s="37" t="s">
        <v>68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customHeight="1" x14ac:dyDescent="0.25">
      <c r="A276" s="552" t="s">
        <v>433</v>
      </c>
      <c r="B276" s="553"/>
      <c r="C276" s="553"/>
      <c r="D276" s="553"/>
      <c r="E276" s="553"/>
      <c r="F276" s="553"/>
      <c r="G276" s="553"/>
      <c r="H276" s="553"/>
      <c r="I276" s="553"/>
      <c r="J276" s="553"/>
      <c r="K276" s="553"/>
      <c r="L276" s="553"/>
      <c r="M276" s="553"/>
      <c r="N276" s="553"/>
      <c r="O276" s="553"/>
      <c r="P276" s="553"/>
      <c r="Q276" s="553"/>
      <c r="R276" s="553"/>
      <c r="S276" s="553"/>
      <c r="T276" s="553"/>
      <c r="U276" s="553"/>
      <c r="V276" s="553"/>
      <c r="W276" s="553"/>
      <c r="X276" s="553"/>
      <c r="Y276" s="553"/>
      <c r="Z276" s="553"/>
      <c r="AA276" s="534"/>
      <c r="AB276" s="534"/>
      <c r="AC276" s="534"/>
    </row>
    <row r="277" spans="1:68" ht="14.25" customHeight="1" x14ac:dyDescent="0.25">
      <c r="A277" s="554" t="s">
        <v>63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535"/>
      <c r="AB277" s="535"/>
      <c r="AC277" s="535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6">
        <v>4680115880344</v>
      </c>
      <c r="E278" s="547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66</v>
      </c>
      <c r="L278" s="32"/>
      <c r="M278" s="33" t="s">
        <v>67</v>
      </c>
      <c r="N278" s="33"/>
      <c r="O278" s="32">
        <v>40</v>
      </c>
      <c r="P278" s="79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4"/>
      <c r="R278" s="544"/>
      <c r="S278" s="544"/>
      <c r="T278" s="545"/>
      <c r="U278" s="34"/>
      <c r="V278" s="34"/>
      <c r="W278" s="35" t="s">
        <v>68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6">
        <v>4680115886919</v>
      </c>
      <c r="E279" s="547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75</v>
      </c>
      <c r="L279" s="32"/>
      <c r="M279" s="33" t="s">
        <v>67</v>
      </c>
      <c r="N279" s="33"/>
      <c r="O279" s="32">
        <v>40</v>
      </c>
      <c r="P279" s="742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4"/>
      <c r="R279" s="544"/>
      <c r="S279" s="544"/>
      <c r="T279" s="545"/>
      <c r="U279" s="34"/>
      <c r="V279" s="34"/>
      <c r="W279" s="35" t="s">
        <v>68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67"/>
      <c r="B280" s="553"/>
      <c r="C280" s="553"/>
      <c r="D280" s="553"/>
      <c r="E280" s="553"/>
      <c r="F280" s="553"/>
      <c r="G280" s="553"/>
      <c r="H280" s="553"/>
      <c r="I280" s="553"/>
      <c r="J280" s="553"/>
      <c r="K280" s="553"/>
      <c r="L280" s="553"/>
      <c r="M280" s="553"/>
      <c r="N280" s="553"/>
      <c r="O280" s="568"/>
      <c r="P280" s="557" t="s">
        <v>70</v>
      </c>
      <c r="Q280" s="558"/>
      <c r="R280" s="558"/>
      <c r="S280" s="558"/>
      <c r="T280" s="558"/>
      <c r="U280" s="558"/>
      <c r="V280" s="559"/>
      <c r="W280" s="37" t="s">
        <v>71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x14ac:dyDescent="0.2">
      <c r="A281" s="553"/>
      <c r="B281" s="553"/>
      <c r="C281" s="553"/>
      <c r="D281" s="553"/>
      <c r="E281" s="553"/>
      <c r="F281" s="553"/>
      <c r="G281" s="553"/>
      <c r="H281" s="553"/>
      <c r="I281" s="553"/>
      <c r="J281" s="553"/>
      <c r="K281" s="553"/>
      <c r="L281" s="553"/>
      <c r="M281" s="553"/>
      <c r="N281" s="553"/>
      <c r="O281" s="568"/>
      <c r="P281" s="557" t="s">
        <v>70</v>
      </c>
      <c r="Q281" s="558"/>
      <c r="R281" s="558"/>
      <c r="S281" s="558"/>
      <c r="T281" s="558"/>
      <c r="U281" s="558"/>
      <c r="V281" s="559"/>
      <c r="W281" s="37" t="s">
        <v>68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customHeight="1" x14ac:dyDescent="0.25">
      <c r="A282" s="554" t="s">
        <v>72</v>
      </c>
      <c r="B282" s="553"/>
      <c r="C282" s="553"/>
      <c r="D282" s="553"/>
      <c r="E282" s="553"/>
      <c r="F282" s="553"/>
      <c r="G282" s="553"/>
      <c r="H282" s="553"/>
      <c r="I282" s="553"/>
      <c r="J282" s="553"/>
      <c r="K282" s="553"/>
      <c r="L282" s="553"/>
      <c r="M282" s="553"/>
      <c r="N282" s="553"/>
      <c r="O282" s="553"/>
      <c r="P282" s="553"/>
      <c r="Q282" s="553"/>
      <c r="R282" s="553"/>
      <c r="S282" s="553"/>
      <c r="T282" s="553"/>
      <c r="U282" s="553"/>
      <c r="V282" s="553"/>
      <c r="W282" s="553"/>
      <c r="X282" s="553"/>
      <c r="Y282" s="553"/>
      <c r="Z282" s="553"/>
      <c r="AA282" s="535"/>
      <c r="AB282" s="535"/>
      <c r="AC282" s="535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6">
        <v>4680115884618</v>
      </c>
      <c r="E283" s="547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108</v>
      </c>
      <c r="L283" s="32"/>
      <c r="M283" s="33" t="s">
        <v>76</v>
      </c>
      <c r="N283" s="33"/>
      <c r="O283" s="32">
        <v>45</v>
      </c>
      <c r="P283" s="68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4"/>
      <c r="R283" s="544"/>
      <c r="S283" s="544"/>
      <c r="T283" s="545"/>
      <c r="U283" s="34"/>
      <c r="V283" s="34"/>
      <c r="W283" s="35" t="s">
        <v>68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6">
        <v>4680115887114</v>
      </c>
      <c r="E284" s="547"/>
      <c r="F284" s="538">
        <v>0.55000000000000004</v>
      </c>
      <c r="G284" s="32">
        <v>6</v>
      </c>
      <c r="H284" s="538">
        <v>3.3</v>
      </c>
      <c r="I284" s="538">
        <v>3.49</v>
      </c>
      <c r="J284" s="32">
        <v>132</v>
      </c>
      <c r="K284" s="32" t="s">
        <v>108</v>
      </c>
      <c r="L284" s="32"/>
      <c r="M284" s="33" t="s">
        <v>76</v>
      </c>
      <c r="N284" s="33"/>
      <c r="O284" s="32">
        <v>45</v>
      </c>
      <c r="P284" s="633" t="s">
        <v>445</v>
      </c>
      <c r="Q284" s="544"/>
      <c r="R284" s="544"/>
      <c r="S284" s="544"/>
      <c r="T284" s="545"/>
      <c r="U284" s="34"/>
      <c r="V284" s="34"/>
      <c r="W284" s="35" t="s">
        <v>68</v>
      </c>
      <c r="X284" s="539">
        <v>0</v>
      </c>
      <c r="Y284" s="540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446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67"/>
      <c r="B285" s="553"/>
      <c r="C285" s="553"/>
      <c r="D285" s="553"/>
      <c r="E285" s="553"/>
      <c r="F285" s="553"/>
      <c r="G285" s="553"/>
      <c r="H285" s="553"/>
      <c r="I285" s="553"/>
      <c r="J285" s="553"/>
      <c r="K285" s="553"/>
      <c r="L285" s="553"/>
      <c r="M285" s="553"/>
      <c r="N285" s="553"/>
      <c r="O285" s="568"/>
      <c r="P285" s="557" t="s">
        <v>70</v>
      </c>
      <c r="Q285" s="558"/>
      <c r="R285" s="558"/>
      <c r="S285" s="558"/>
      <c r="T285" s="558"/>
      <c r="U285" s="558"/>
      <c r="V285" s="559"/>
      <c r="W285" s="37" t="s">
        <v>71</v>
      </c>
      <c r="X285" s="541">
        <f>IFERROR(X283/H283,"0")+IFERROR(X284/H284,"0")</f>
        <v>0</v>
      </c>
      <c r="Y285" s="541">
        <f>IFERROR(Y283/H283,"0")+IFERROR(Y284/H284,"0")</f>
        <v>0</v>
      </c>
      <c r="Z285" s="541">
        <f>IFERROR(IF(Z283="",0,Z283),"0")+IFERROR(IF(Z284="",0,Z284),"0")</f>
        <v>0</v>
      </c>
      <c r="AA285" s="542"/>
      <c r="AB285" s="542"/>
      <c r="AC285" s="542"/>
    </row>
    <row r="286" spans="1:68" x14ac:dyDescent="0.2">
      <c r="A286" s="553"/>
      <c r="B286" s="553"/>
      <c r="C286" s="553"/>
      <c r="D286" s="553"/>
      <c r="E286" s="553"/>
      <c r="F286" s="553"/>
      <c r="G286" s="553"/>
      <c r="H286" s="553"/>
      <c r="I286" s="553"/>
      <c r="J286" s="553"/>
      <c r="K286" s="553"/>
      <c r="L286" s="553"/>
      <c r="M286" s="553"/>
      <c r="N286" s="553"/>
      <c r="O286" s="568"/>
      <c r="P286" s="557" t="s">
        <v>70</v>
      </c>
      <c r="Q286" s="558"/>
      <c r="R286" s="558"/>
      <c r="S286" s="558"/>
      <c r="T286" s="558"/>
      <c r="U286" s="558"/>
      <c r="V286" s="559"/>
      <c r="W286" s="37" t="s">
        <v>68</v>
      </c>
      <c r="X286" s="541">
        <f>IFERROR(SUM(X283:X284),"0")</f>
        <v>0</v>
      </c>
      <c r="Y286" s="541">
        <f>IFERROR(SUM(Y283:Y284),"0")</f>
        <v>0</v>
      </c>
      <c r="Z286" s="37"/>
      <c r="AA286" s="542"/>
      <c r="AB286" s="542"/>
      <c r="AC286" s="542"/>
    </row>
    <row r="287" spans="1:68" ht="16.5" customHeight="1" x14ac:dyDescent="0.25">
      <c r="A287" s="552" t="s">
        <v>447</v>
      </c>
      <c r="B287" s="553"/>
      <c r="C287" s="553"/>
      <c r="D287" s="553"/>
      <c r="E287" s="553"/>
      <c r="F287" s="553"/>
      <c r="G287" s="553"/>
      <c r="H287" s="553"/>
      <c r="I287" s="553"/>
      <c r="J287" s="553"/>
      <c r="K287" s="553"/>
      <c r="L287" s="553"/>
      <c r="M287" s="553"/>
      <c r="N287" s="553"/>
      <c r="O287" s="553"/>
      <c r="P287" s="553"/>
      <c r="Q287" s="553"/>
      <c r="R287" s="553"/>
      <c r="S287" s="553"/>
      <c r="T287" s="553"/>
      <c r="U287" s="553"/>
      <c r="V287" s="553"/>
      <c r="W287" s="553"/>
      <c r="X287" s="553"/>
      <c r="Y287" s="553"/>
      <c r="Z287" s="553"/>
      <c r="AA287" s="534"/>
      <c r="AB287" s="534"/>
      <c r="AC287" s="534"/>
    </row>
    <row r="288" spans="1:68" ht="14.25" customHeight="1" x14ac:dyDescent="0.25">
      <c r="A288" s="554" t="s">
        <v>98</v>
      </c>
      <c r="B288" s="553"/>
      <c r="C288" s="553"/>
      <c r="D288" s="553"/>
      <c r="E288" s="553"/>
      <c r="F288" s="553"/>
      <c r="G288" s="553"/>
      <c r="H288" s="553"/>
      <c r="I288" s="553"/>
      <c r="J288" s="553"/>
      <c r="K288" s="553"/>
      <c r="L288" s="553"/>
      <c r="M288" s="553"/>
      <c r="N288" s="553"/>
      <c r="O288" s="553"/>
      <c r="P288" s="553"/>
      <c r="Q288" s="553"/>
      <c r="R288" s="553"/>
      <c r="S288" s="553"/>
      <c r="T288" s="553"/>
      <c r="U288" s="553"/>
      <c r="V288" s="553"/>
      <c r="W288" s="553"/>
      <c r="X288" s="553"/>
      <c r="Y288" s="553"/>
      <c r="Z288" s="553"/>
      <c r="AA288" s="535"/>
      <c r="AB288" s="535"/>
      <c r="AC288" s="535"/>
    </row>
    <row r="289" spans="1:68" ht="27" customHeight="1" x14ac:dyDescent="0.25">
      <c r="A289" s="54" t="s">
        <v>448</v>
      </c>
      <c r="B289" s="54" t="s">
        <v>449</v>
      </c>
      <c r="C289" s="31">
        <v>4301012024</v>
      </c>
      <c r="D289" s="546">
        <v>4680115885615</v>
      </c>
      <c r="E289" s="547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101</v>
      </c>
      <c r="L289" s="32"/>
      <c r="M289" s="33" t="s">
        <v>76</v>
      </c>
      <c r="N289" s="33"/>
      <c r="O289" s="32">
        <v>55</v>
      </c>
      <c r="P289" s="674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4"/>
      <c r="R289" s="544"/>
      <c r="S289" s="544"/>
      <c r="T289" s="545"/>
      <c r="U289" s="34"/>
      <c r="V289" s="34"/>
      <c r="W289" s="35" t="s">
        <v>68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450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451</v>
      </c>
      <c r="B290" s="54" t="s">
        <v>452</v>
      </c>
      <c r="C290" s="31">
        <v>4301011858</v>
      </c>
      <c r="D290" s="546">
        <v>4680115885646</v>
      </c>
      <c r="E290" s="547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101</v>
      </c>
      <c r="L290" s="32"/>
      <c r="M290" s="33" t="s">
        <v>103</v>
      </c>
      <c r="N290" s="33"/>
      <c r="O290" s="32">
        <v>55</v>
      </c>
      <c r="P290" s="58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4"/>
      <c r="R290" s="544"/>
      <c r="S290" s="544"/>
      <c r="T290" s="545"/>
      <c r="U290" s="34"/>
      <c r="V290" s="34"/>
      <c r="W290" s="35" t="s">
        <v>68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453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454</v>
      </c>
      <c r="B291" s="54" t="s">
        <v>455</v>
      </c>
      <c r="C291" s="31">
        <v>4301012016</v>
      </c>
      <c r="D291" s="546">
        <v>4680115885554</v>
      </c>
      <c r="E291" s="547"/>
      <c r="F291" s="538">
        <v>1.35</v>
      </c>
      <c r="G291" s="32">
        <v>8</v>
      </c>
      <c r="H291" s="538">
        <v>10.8</v>
      </c>
      <c r="I291" s="538">
        <v>11.21</v>
      </c>
      <c r="J291" s="32">
        <v>64</v>
      </c>
      <c r="K291" s="32" t="s">
        <v>101</v>
      </c>
      <c r="L291" s="32"/>
      <c r="M291" s="33" t="s">
        <v>76</v>
      </c>
      <c r="N291" s="33"/>
      <c r="O291" s="32">
        <v>55</v>
      </c>
      <c r="P291" s="83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4"/>
      <c r="R291" s="544"/>
      <c r="S291" s="544"/>
      <c r="T291" s="545"/>
      <c r="U291" s="34"/>
      <c r="V291" s="34"/>
      <c r="W291" s="35" t="s">
        <v>68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456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457</v>
      </c>
      <c r="B292" s="54" t="s">
        <v>458</v>
      </c>
      <c r="C292" s="31">
        <v>4301011857</v>
      </c>
      <c r="D292" s="546">
        <v>4680115885622</v>
      </c>
      <c r="E292" s="547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108</v>
      </c>
      <c r="L292" s="32"/>
      <c r="M292" s="33" t="s">
        <v>103</v>
      </c>
      <c r="N292" s="33"/>
      <c r="O292" s="32">
        <v>55</v>
      </c>
      <c r="P292" s="84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4"/>
      <c r="R292" s="544"/>
      <c r="S292" s="544"/>
      <c r="T292" s="545"/>
      <c r="U292" s="34"/>
      <c r="V292" s="34"/>
      <c r="W292" s="35" t="s">
        <v>68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450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4301011859</v>
      </c>
      <c r="D293" s="546">
        <v>4680115885608</v>
      </c>
      <c r="E293" s="547"/>
      <c r="F293" s="538">
        <v>0.4</v>
      </c>
      <c r="G293" s="32">
        <v>10</v>
      </c>
      <c r="H293" s="538">
        <v>4</v>
      </c>
      <c r="I293" s="538">
        <v>4.1900000000000004</v>
      </c>
      <c r="J293" s="32">
        <v>132</v>
      </c>
      <c r="K293" s="32" t="s">
        <v>108</v>
      </c>
      <c r="L293" s="32"/>
      <c r="M293" s="33" t="s">
        <v>103</v>
      </c>
      <c r="N293" s="33"/>
      <c r="O293" s="32">
        <v>55</v>
      </c>
      <c r="P293" s="843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4"/>
      <c r="R293" s="544"/>
      <c r="S293" s="544"/>
      <c r="T293" s="545"/>
      <c r="U293" s="34"/>
      <c r="V293" s="34"/>
      <c r="W293" s="35" t="s">
        <v>68</v>
      </c>
      <c r="X293" s="539">
        <v>0</v>
      </c>
      <c r="Y293" s="540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67"/>
      <c r="B294" s="553"/>
      <c r="C294" s="553"/>
      <c r="D294" s="553"/>
      <c r="E294" s="553"/>
      <c r="F294" s="553"/>
      <c r="G294" s="553"/>
      <c r="H294" s="553"/>
      <c r="I294" s="553"/>
      <c r="J294" s="553"/>
      <c r="K294" s="553"/>
      <c r="L294" s="553"/>
      <c r="M294" s="553"/>
      <c r="N294" s="553"/>
      <c r="O294" s="568"/>
      <c r="P294" s="557" t="s">
        <v>70</v>
      </c>
      <c r="Q294" s="558"/>
      <c r="R294" s="558"/>
      <c r="S294" s="558"/>
      <c r="T294" s="558"/>
      <c r="U294" s="558"/>
      <c r="V294" s="559"/>
      <c r="W294" s="37" t="s">
        <v>71</v>
      </c>
      <c r="X294" s="541">
        <f>IFERROR(X289/H289,"0")+IFERROR(X290/H290,"0")+IFERROR(X291/H291,"0")+IFERROR(X292/H292,"0")+IFERROR(X293/H293,"0")</f>
        <v>0</v>
      </c>
      <c r="Y294" s="541">
        <f>IFERROR(Y289/H289,"0")+IFERROR(Y290/H290,"0")+IFERROR(Y291/H291,"0")+IFERROR(Y292/H292,"0")+IFERROR(Y293/H293,"0")</f>
        <v>0</v>
      </c>
      <c r="Z294" s="541">
        <f>IFERROR(IF(Z289="",0,Z289),"0")+IFERROR(IF(Z290="",0,Z290),"0")+IFERROR(IF(Z291="",0,Z291),"0")+IFERROR(IF(Z292="",0,Z292),"0")+IFERROR(IF(Z293="",0,Z293),"0")</f>
        <v>0</v>
      </c>
      <c r="AA294" s="542"/>
      <c r="AB294" s="542"/>
      <c r="AC294" s="542"/>
    </row>
    <row r="295" spans="1:68" x14ac:dyDescent="0.2">
      <c r="A295" s="553"/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68"/>
      <c r="P295" s="557" t="s">
        <v>70</v>
      </c>
      <c r="Q295" s="558"/>
      <c r="R295" s="558"/>
      <c r="S295" s="558"/>
      <c r="T295" s="558"/>
      <c r="U295" s="558"/>
      <c r="V295" s="559"/>
      <c r="W295" s="37" t="s">
        <v>68</v>
      </c>
      <c r="X295" s="541">
        <f>IFERROR(SUM(X289:X293),"0")</f>
        <v>0</v>
      </c>
      <c r="Y295" s="541">
        <f>IFERROR(SUM(Y289:Y293),"0")</f>
        <v>0</v>
      </c>
      <c r="Z295" s="37"/>
      <c r="AA295" s="542"/>
      <c r="AB295" s="542"/>
      <c r="AC295" s="542"/>
    </row>
    <row r="296" spans="1:68" ht="14.25" customHeight="1" x14ac:dyDescent="0.25">
      <c r="A296" s="554" t="s">
        <v>63</v>
      </c>
      <c r="B296" s="553"/>
      <c r="C296" s="553"/>
      <c r="D296" s="553"/>
      <c r="E296" s="553"/>
      <c r="F296" s="553"/>
      <c r="G296" s="553"/>
      <c r="H296" s="553"/>
      <c r="I296" s="553"/>
      <c r="J296" s="553"/>
      <c r="K296" s="553"/>
      <c r="L296" s="553"/>
      <c r="M296" s="553"/>
      <c r="N296" s="553"/>
      <c r="O296" s="553"/>
      <c r="P296" s="553"/>
      <c r="Q296" s="553"/>
      <c r="R296" s="553"/>
      <c r="S296" s="553"/>
      <c r="T296" s="553"/>
      <c r="U296" s="553"/>
      <c r="V296" s="553"/>
      <c r="W296" s="553"/>
      <c r="X296" s="553"/>
      <c r="Y296" s="553"/>
      <c r="Z296" s="553"/>
      <c r="AA296" s="535"/>
      <c r="AB296" s="535"/>
      <c r="AC296" s="535"/>
    </row>
    <row r="297" spans="1:68" ht="27" customHeight="1" x14ac:dyDescent="0.25">
      <c r="A297" s="54" t="s">
        <v>462</v>
      </c>
      <c r="B297" s="54" t="s">
        <v>463</v>
      </c>
      <c r="C297" s="31">
        <v>4301030878</v>
      </c>
      <c r="D297" s="546">
        <v>4607091387193</v>
      </c>
      <c r="E297" s="547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108</v>
      </c>
      <c r="L297" s="32"/>
      <c r="M297" s="33" t="s">
        <v>67</v>
      </c>
      <c r="N297" s="33"/>
      <c r="O297" s="32">
        <v>35</v>
      </c>
      <c r="P297" s="83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4"/>
      <c r="R297" s="544"/>
      <c r="S297" s="544"/>
      <c r="T297" s="545"/>
      <c r="U297" s="34"/>
      <c r="V297" s="34"/>
      <c r="W297" s="35" t="s">
        <v>68</v>
      </c>
      <c r="X297" s="539">
        <v>0</v>
      </c>
      <c r="Y297" s="540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464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465</v>
      </c>
      <c r="B298" s="54" t="s">
        <v>466</v>
      </c>
      <c r="C298" s="31">
        <v>4301031153</v>
      </c>
      <c r="D298" s="546">
        <v>4607091387230</v>
      </c>
      <c r="E298" s="547"/>
      <c r="F298" s="538">
        <v>0.7</v>
      </c>
      <c r="G298" s="32">
        <v>6</v>
      </c>
      <c r="H298" s="538">
        <v>4.2</v>
      </c>
      <c r="I298" s="538">
        <v>4.45</v>
      </c>
      <c r="J298" s="32">
        <v>132</v>
      </c>
      <c r="K298" s="32" t="s">
        <v>108</v>
      </c>
      <c r="L298" s="32" t="s">
        <v>109</v>
      </c>
      <c r="M298" s="33" t="s">
        <v>67</v>
      </c>
      <c r="N298" s="33"/>
      <c r="O298" s="32">
        <v>40</v>
      </c>
      <c r="P298" s="8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4"/>
      <c r="R298" s="544"/>
      <c r="S298" s="544"/>
      <c r="T298" s="545"/>
      <c r="U298" s="34"/>
      <c r="V298" s="34"/>
      <c r="W298" s="35" t="s">
        <v>68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467</v>
      </c>
      <c r="AG298" s="64"/>
      <c r="AJ298" s="68" t="s">
        <v>105</v>
      </c>
      <c r="AK298" s="68">
        <v>50.4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468</v>
      </c>
      <c r="B299" s="54" t="s">
        <v>469</v>
      </c>
      <c r="C299" s="31">
        <v>4301031154</v>
      </c>
      <c r="D299" s="546">
        <v>4607091387292</v>
      </c>
      <c r="E299" s="547"/>
      <c r="F299" s="538">
        <v>0.73</v>
      </c>
      <c r="G299" s="32">
        <v>6</v>
      </c>
      <c r="H299" s="538">
        <v>4.38</v>
      </c>
      <c r="I299" s="538">
        <v>4.63</v>
      </c>
      <c r="J299" s="32">
        <v>132</v>
      </c>
      <c r="K299" s="32" t="s">
        <v>108</v>
      </c>
      <c r="L299" s="32"/>
      <c r="M299" s="33" t="s">
        <v>67</v>
      </c>
      <c r="N299" s="33"/>
      <c r="O299" s="32">
        <v>45</v>
      </c>
      <c r="P299" s="72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4"/>
      <c r="R299" s="544"/>
      <c r="S299" s="544"/>
      <c r="T299" s="545"/>
      <c r="U299" s="34"/>
      <c r="V299" s="34"/>
      <c r="W299" s="35" t="s">
        <v>68</v>
      </c>
      <c r="X299" s="539">
        <v>0</v>
      </c>
      <c r="Y299" s="540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470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471</v>
      </c>
      <c r="B300" s="54" t="s">
        <v>472</v>
      </c>
      <c r="C300" s="31">
        <v>4301031152</v>
      </c>
      <c r="D300" s="546">
        <v>4607091387285</v>
      </c>
      <c r="E300" s="547"/>
      <c r="F300" s="538">
        <v>0.35</v>
      </c>
      <c r="G300" s="32">
        <v>6</v>
      </c>
      <c r="H300" s="538">
        <v>2.1</v>
      </c>
      <c r="I300" s="538">
        <v>2.23</v>
      </c>
      <c r="J300" s="32">
        <v>234</v>
      </c>
      <c r="K300" s="32" t="s">
        <v>66</v>
      </c>
      <c r="L300" s="32"/>
      <c r="M300" s="33" t="s">
        <v>67</v>
      </c>
      <c r="N300" s="33"/>
      <c r="O300" s="32">
        <v>40</v>
      </c>
      <c r="P300" s="66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4"/>
      <c r="R300" s="544"/>
      <c r="S300" s="544"/>
      <c r="T300" s="545"/>
      <c r="U300" s="34"/>
      <c r="V300" s="34"/>
      <c r="W300" s="35" t="s">
        <v>68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467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473</v>
      </c>
      <c r="B301" s="54" t="s">
        <v>474</v>
      </c>
      <c r="C301" s="31">
        <v>4301031305</v>
      </c>
      <c r="D301" s="546">
        <v>4607091389845</v>
      </c>
      <c r="E301" s="547"/>
      <c r="F301" s="538">
        <v>0.35</v>
      </c>
      <c r="G301" s="32">
        <v>6</v>
      </c>
      <c r="H301" s="538">
        <v>2.1</v>
      </c>
      <c r="I301" s="538">
        <v>2.2000000000000002</v>
      </c>
      <c r="J301" s="32">
        <v>234</v>
      </c>
      <c r="K301" s="32" t="s">
        <v>66</v>
      </c>
      <c r="L301" s="32"/>
      <c r="M301" s="33" t="s">
        <v>67</v>
      </c>
      <c r="N301" s="33"/>
      <c r="O301" s="32">
        <v>40</v>
      </c>
      <c r="P301" s="79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4"/>
      <c r="R301" s="544"/>
      <c r="S301" s="544"/>
      <c r="T301" s="545"/>
      <c r="U301" s="34"/>
      <c r="V301" s="34"/>
      <c r="W301" s="35" t="s">
        <v>68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476</v>
      </c>
      <c r="B302" s="54" t="s">
        <v>477</v>
      </c>
      <c r="C302" s="31">
        <v>4301031306</v>
      </c>
      <c r="D302" s="546">
        <v>4680115882881</v>
      </c>
      <c r="E302" s="547"/>
      <c r="F302" s="538">
        <v>0.28000000000000003</v>
      </c>
      <c r="G302" s="32">
        <v>6</v>
      </c>
      <c r="H302" s="538">
        <v>1.68</v>
      </c>
      <c r="I302" s="538">
        <v>1.81</v>
      </c>
      <c r="J302" s="32">
        <v>234</v>
      </c>
      <c r="K302" s="32" t="s">
        <v>66</v>
      </c>
      <c r="L302" s="32"/>
      <c r="M302" s="33" t="s">
        <v>67</v>
      </c>
      <c r="N302" s="33"/>
      <c r="O302" s="32">
        <v>40</v>
      </c>
      <c r="P302" s="551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4"/>
      <c r="R302" s="544"/>
      <c r="S302" s="544"/>
      <c r="T302" s="545"/>
      <c r="U302" s="34"/>
      <c r="V302" s="34"/>
      <c r="W302" s="35" t="s">
        <v>68</v>
      </c>
      <c r="X302" s="539">
        <v>0</v>
      </c>
      <c r="Y302" s="540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475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478</v>
      </c>
      <c r="B303" s="54" t="s">
        <v>479</v>
      </c>
      <c r="C303" s="31">
        <v>4301031066</v>
      </c>
      <c r="D303" s="546">
        <v>4607091383836</v>
      </c>
      <c r="E303" s="547"/>
      <c r="F303" s="538">
        <v>0.3</v>
      </c>
      <c r="G303" s="32">
        <v>6</v>
      </c>
      <c r="H303" s="538">
        <v>1.8</v>
      </c>
      <c r="I303" s="538">
        <v>2.028</v>
      </c>
      <c r="J303" s="32">
        <v>182</v>
      </c>
      <c r="K303" s="32" t="s">
        <v>75</v>
      </c>
      <c r="L303" s="32"/>
      <c r="M303" s="33" t="s">
        <v>67</v>
      </c>
      <c r="N303" s="33"/>
      <c r="O303" s="32">
        <v>40</v>
      </c>
      <c r="P303" s="678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4"/>
      <c r="R303" s="544"/>
      <c r="S303" s="544"/>
      <c r="T303" s="545"/>
      <c r="U303" s="34"/>
      <c r="V303" s="34"/>
      <c r="W303" s="35" t="s">
        <v>68</v>
      </c>
      <c r="X303" s="539">
        <v>0</v>
      </c>
      <c r="Y303" s="540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480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67"/>
      <c r="B304" s="553"/>
      <c r="C304" s="553"/>
      <c r="D304" s="553"/>
      <c r="E304" s="553"/>
      <c r="F304" s="553"/>
      <c r="G304" s="553"/>
      <c r="H304" s="553"/>
      <c r="I304" s="553"/>
      <c r="J304" s="553"/>
      <c r="K304" s="553"/>
      <c r="L304" s="553"/>
      <c r="M304" s="553"/>
      <c r="N304" s="553"/>
      <c r="O304" s="568"/>
      <c r="P304" s="557" t="s">
        <v>70</v>
      </c>
      <c r="Q304" s="558"/>
      <c r="R304" s="558"/>
      <c r="S304" s="558"/>
      <c r="T304" s="558"/>
      <c r="U304" s="558"/>
      <c r="V304" s="559"/>
      <c r="W304" s="37" t="s">
        <v>71</v>
      </c>
      <c r="X304" s="541">
        <f>IFERROR(X297/H297,"0")+IFERROR(X298/H298,"0")+IFERROR(X299/H299,"0")+IFERROR(X300/H300,"0")+IFERROR(X301/H301,"0")+IFERROR(X302/H302,"0")+IFERROR(X303/H303,"0")</f>
        <v>0</v>
      </c>
      <c r="Y304" s="541">
        <f>IFERROR(Y297/H297,"0")+IFERROR(Y298/H298,"0")+IFERROR(Y299/H299,"0")+IFERROR(Y300/H300,"0")+IFERROR(Y301/H301,"0")+IFERROR(Y302/H302,"0")+IFERROR(Y303/H303,"0")</f>
        <v>0</v>
      </c>
      <c r="Z304" s="541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2"/>
      <c r="AB304" s="542"/>
      <c r="AC304" s="542"/>
    </row>
    <row r="305" spans="1:68" x14ac:dyDescent="0.2">
      <c r="A305" s="553"/>
      <c r="B305" s="553"/>
      <c r="C305" s="553"/>
      <c r="D305" s="553"/>
      <c r="E305" s="553"/>
      <c r="F305" s="553"/>
      <c r="G305" s="553"/>
      <c r="H305" s="553"/>
      <c r="I305" s="553"/>
      <c r="J305" s="553"/>
      <c r="K305" s="553"/>
      <c r="L305" s="553"/>
      <c r="M305" s="553"/>
      <c r="N305" s="553"/>
      <c r="O305" s="568"/>
      <c r="P305" s="557" t="s">
        <v>70</v>
      </c>
      <c r="Q305" s="558"/>
      <c r="R305" s="558"/>
      <c r="S305" s="558"/>
      <c r="T305" s="558"/>
      <c r="U305" s="558"/>
      <c r="V305" s="559"/>
      <c r="W305" s="37" t="s">
        <v>68</v>
      </c>
      <c r="X305" s="541">
        <f>IFERROR(SUM(X297:X303),"0")</f>
        <v>0</v>
      </c>
      <c r="Y305" s="541">
        <f>IFERROR(SUM(Y297:Y303),"0")</f>
        <v>0</v>
      </c>
      <c r="Z305" s="37"/>
      <c r="AA305" s="542"/>
      <c r="AB305" s="542"/>
      <c r="AC305" s="542"/>
    </row>
    <row r="306" spans="1:68" ht="14.25" customHeight="1" x14ac:dyDescent="0.25">
      <c r="A306" s="554" t="s">
        <v>72</v>
      </c>
      <c r="B306" s="553"/>
      <c r="C306" s="553"/>
      <c r="D306" s="553"/>
      <c r="E306" s="553"/>
      <c r="F306" s="553"/>
      <c r="G306" s="553"/>
      <c r="H306" s="553"/>
      <c r="I306" s="553"/>
      <c r="J306" s="553"/>
      <c r="K306" s="553"/>
      <c r="L306" s="553"/>
      <c r="M306" s="553"/>
      <c r="N306" s="553"/>
      <c r="O306" s="553"/>
      <c r="P306" s="553"/>
      <c r="Q306" s="553"/>
      <c r="R306" s="553"/>
      <c r="S306" s="553"/>
      <c r="T306" s="553"/>
      <c r="U306" s="553"/>
      <c r="V306" s="553"/>
      <c r="W306" s="553"/>
      <c r="X306" s="553"/>
      <c r="Y306" s="553"/>
      <c r="Z306" s="553"/>
      <c r="AA306" s="535"/>
      <c r="AB306" s="535"/>
      <c r="AC306" s="535"/>
    </row>
    <row r="307" spans="1:68" ht="27" customHeight="1" x14ac:dyDescent="0.25">
      <c r="A307" s="54" t="s">
        <v>481</v>
      </c>
      <c r="B307" s="54" t="s">
        <v>482</v>
      </c>
      <c r="C307" s="31">
        <v>4301051100</v>
      </c>
      <c r="D307" s="546">
        <v>4607091387766</v>
      </c>
      <c r="E307" s="547"/>
      <c r="F307" s="538">
        <v>1.3</v>
      </c>
      <c r="G307" s="32">
        <v>6</v>
      </c>
      <c r="H307" s="538">
        <v>7.8</v>
      </c>
      <c r="I307" s="538">
        <v>8.2880000000000003</v>
      </c>
      <c r="J307" s="32">
        <v>64</v>
      </c>
      <c r="K307" s="32" t="s">
        <v>101</v>
      </c>
      <c r="L307" s="32" t="s">
        <v>102</v>
      </c>
      <c r="M307" s="33" t="s">
        <v>76</v>
      </c>
      <c r="N307" s="33"/>
      <c r="O307" s="32">
        <v>40</v>
      </c>
      <c r="P307" s="86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4"/>
      <c r="R307" s="544"/>
      <c r="S307" s="544"/>
      <c r="T307" s="545"/>
      <c r="U307" s="34"/>
      <c r="V307" s="34"/>
      <c r="W307" s="35" t="s">
        <v>68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483</v>
      </c>
      <c r="AG307" s="64"/>
      <c r="AJ307" s="68" t="s">
        <v>105</v>
      </c>
      <c r="AK307" s="68">
        <v>62.4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484</v>
      </c>
      <c r="B308" s="54" t="s">
        <v>485</v>
      </c>
      <c r="C308" s="31">
        <v>4301051818</v>
      </c>
      <c r="D308" s="546">
        <v>4607091387957</v>
      </c>
      <c r="E308" s="547"/>
      <c r="F308" s="538">
        <v>1.3</v>
      </c>
      <c r="G308" s="32">
        <v>6</v>
      </c>
      <c r="H308" s="538">
        <v>7.8</v>
      </c>
      <c r="I308" s="538">
        <v>8.2940000000000005</v>
      </c>
      <c r="J308" s="32">
        <v>64</v>
      </c>
      <c r="K308" s="32" t="s">
        <v>101</v>
      </c>
      <c r="L308" s="32"/>
      <c r="M308" s="33" t="s">
        <v>76</v>
      </c>
      <c r="N308" s="33"/>
      <c r="O308" s="32">
        <v>40</v>
      </c>
      <c r="P308" s="686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4"/>
      <c r="R308" s="544"/>
      <c r="S308" s="544"/>
      <c r="T308" s="545"/>
      <c r="U308" s="34"/>
      <c r="V308" s="34"/>
      <c r="W308" s="35" t="s">
        <v>68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486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487</v>
      </c>
      <c r="B309" s="54" t="s">
        <v>488</v>
      </c>
      <c r="C309" s="31">
        <v>4301051819</v>
      </c>
      <c r="D309" s="546">
        <v>4607091387964</v>
      </c>
      <c r="E309" s="547"/>
      <c r="F309" s="538">
        <v>1.35</v>
      </c>
      <c r="G309" s="32">
        <v>6</v>
      </c>
      <c r="H309" s="538">
        <v>8.1</v>
      </c>
      <c r="I309" s="538">
        <v>8.5760000000000005</v>
      </c>
      <c r="J309" s="32">
        <v>64</v>
      </c>
      <c r="K309" s="32" t="s">
        <v>101</v>
      </c>
      <c r="L309" s="32"/>
      <c r="M309" s="33" t="s">
        <v>76</v>
      </c>
      <c r="N309" s="33"/>
      <c r="O309" s="32">
        <v>40</v>
      </c>
      <c r="P309" s="71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4"/>
      <c r="R309" s="544"/>
      <c r="S309" s="544"/>
      <c r="T309" s="545"/>
      <c r="U309" s="34"/>
      <c r="V309" s="34"/>
      <c r="W309" s="35" t="s">
        <v>68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490</v>
      </c>
      <c r="B310" s="54" t="s">
        <v>491</v>
      </c>
      <c r="C310" s="31">
        <v>4301051734</v>
      </c>
      <c r="D310" s="546">
        <v>4680115884588</v>
      </c>
      <c r="E310" s="547"/>
      <c r="F310" s="538">
        <v>0.5</v>
      </c>
      <c r="G310" s="32">
        <v>6</v>
      </c>
      <c r="H310" s="538">
        <v>3</v>
      </c>
      <c r="I310" s="538">
        <v>3.246</v>
      </c>
      <c r="J310" s="32">
        <v>182</v>
      </c>
      <c r="K310" s="32" t="s">
        <v>75</v>
      </c>
      <c r="L310" s="32"/>
      <c r="M310" s="33" t="s">
        <v>76</v>
      </c>
      <c r="N310" s="33"/>
      <c r="O310" s="32">
        <v>40</v>
      </c>
      <c r="P310" s="69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4"/>
      <c r="R310" s="544"/>
      <c r="S310" s="544"/>
      <c r="T310" s="545"/>
      <c r="U310" s="34"/>
      <c r="V310" s="34"/>
      <c r="W310" s="35" t="s">
        <v>68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67"/>
      <c r="B311" s="553"/>
      <c r="C311" s="553"/>
      <c r="D311" s="553"/>
      <c r="E311" s="553"/>
      <c r="F311" s="553"/>
      <c r="G311" s="553"/>
      <c r="H311" s="553"/>
      <c r="I311" s="553"/>
      <c r="J311" s="553"/>
      <c r="K311" s="553"/>
      <c r="L311" s="553"/>
      <c r="M311" s="553"/>
      <c r="N311" s="553"/>
      <c r="O311" s="568"/>
      <c r="P311" s="557" t="s">
        <v>70</v>
      </c>
      <c r="Q311" s="558"/>
      <c r="R311" s="558"/>
      <c r="S311" s="558"/>
      <c r="T311" s="558"/>
      <c r="U311" s="558"/>
      <c r="V311" s="559"/>
      <c r="W311" s="37" t="s">
        <v>71</v>
      </c>
      <c r="X311" s="541">
        <f>IFERROR(X307/H307,"0")+IFERROR(X308/H308,"0")+IFERROR(X309/H309,"0")+IFERROR(X310/H310,"0")</f>
        <v>0</v>
      </c>
      <c r="Y311" s="541">
        <f>IFERROR(Y307/H307,"0")+IFERROR(Y308/H308,"0")+IFERROR(Y309/H309,"0")+IFERROR(Y310/H310,"0")</f>
        <v>0</v>
      </c>
      <c r="Z311" s="541">
        <f>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x14ac:dyDescent="0.2">
      <c r="A312" s="553"/>
      <c r="B312" s="553"/>
      <c r="C312" s="553"/>
      <c r="D312" s="553"/>
      <c r="E312" s="553"/>
      <c r="F312" s="553"/>
      <c r="G312" s="553"/>
      <c r="H312" s="553"/>
      <c r="I312" s="553"/>
      <c r="J312" s="553"/>
      <c r="K312" s="553"/>
      <c r="L312" s="553"/>
      <c r="M312" s="553"/>
      <c r="N312" s="553"/>
      <c r="O312" s="568"/>
      <c r="P312" s="557" t="s">
        <v>70</v>
      </c>
      <c r="Q312" s="558"/>
      <c r="R312" s="558"/>
      <c r="S312" s="558"/>
      <c r="T312" s="558"/>
      <c r="U312" s="558"/>
      <c r="V312" s="559"/>
      <c r="W312" s="37" t="s">
        <v>68</v>
      </c>
      <c r="X312" s="541">
        <f>IFERROR(SUM(X307:X310),"0")</f>
        <v>0</v>
      </c>
      <c r="Y312" s="541">
        <f>IFERROR(SUM(Y307:Y310),"0")</f>
        <v>0</v>
      </c>
      <c r="Z312" s="37"/>
      <c r="AA312" s="542"/>
      <c r="AB312" s="542"/>
      <c r="AC312" s="542"/>
    </row>
    <row r="313" spans="1:68" ht="14.25" customHeight="1" x14ac:dyDescent="0.25">
      <c r="A313" s="554" t="s">
        <v>162</v>
      </c>
      <c r="B313" s="553"/>
      <c r="C313" s="553"/>
      <c r="D313" s="553"/>
      <c r="E313" s="553"/>
      <c r="F313" s="553"/>
      <c r="G313" s="553"/>
      <c r="H313" s="553"/>
      <c r="I313" s="553"/>
      <c r="J313" s="553"/>
      <c r="K313" s="553"/>
      <c r="L313" s="553"/>
      <c r="M313" s="553"/>
      <c r="N313" s="553"/>
      <c r="O313" s="553"/>
      <c r="P313" s="553"/>
      <c r="Q313" s="553"/>
      <c r="R313" s="553"/>
      <c r="S313" s="553"/>
      <c r="T313" s="553"/>
      <c r="U313" s="553"/>
      <c r="V313" s="553"/>
      <c r="W313" s="553"/>
      <c r="X313" s="553"/>
      <c r="Y313" s="553"/>
      <c r="Z313" s="553"/>
      <c r="AA313" s="535"/>
      <c r="AB313" s="535"/>
      <c r="AC313" s="535"/>
    </row>
    <row r="314" spans="1:68" ht="27" customHeight="1" x14ac:dyDescent="0.25">
      <c r="A314" s="54" t="s">
        <v>493</v>
      </c>
      <c r="B314" s="54" t="s">
        <v>494</v>
      </c>
      <c r="C314" s="31">
        <v>4301060387</v>
      </c>
      <c r="D314" s="546">
        <v>4607091380880</v>
      </c>
      <c r="E314" s="547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101</v>
      </c>
      <c r="L314" s="32"/>
      <c r="M314" s="33" t="s">
        <v>76</v>
      </c>
      <c r="N314" s="33"/>
      <c r="O314" s="32">
        <v>30</v>
      </c>
      <c r="P314" s="7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4"/>
      <c r="R314" s="544"/>
      <c r="S314" s="544"/>
      <c r="T314" s="545"/>
      <c r="U314" s="34"/>
      <c r="V314" s="34"/>
      <c r="W314" s="35" t="s">
        <v>68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495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496</v>
      </c>
      <c r="B315" s="54" t="s">
        <v>497</v>
      </c>
      <c r="C315" s="31">
        <v>4301060406</v>
      </c>
      <c r="D315" s="546">
        <v>4607091384482</v>
      </c>
      <c r="E315" s="547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101</v>
      </c>
      <c r="L315" s="32" t="s">
        <v>102</v>
      </c>
      <c r="M315" s="33" t="s">
        <v>76</v>
      </c>
      <c r="N315" s="33"/>
      <c r="O315" s="32">
        <v>30</v>
      </c>
      <c r="P315" s="54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4"/>
      <c r="R315" s="544"/>
      <c r="S315" s="544"/>
      <c r="T315" s="545"/>
      <c r="U315" s="34"/>
      <c r="V315" s="34"/>
      <c r="W315" s="35" t="s">
        <v>68</v>
      </c>
      <c r="X315" s="539">
        <v>0</v>
      </c>
      <c r="Y315" s="540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105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499</v>
      </c>
      <c r="B316" s="54" t="s">
        <v>500</v>
      </c>
      <c r="C316" s="31">
        <v>4301060484</v>
      </c>
      <c r="D316" s="546">
        <v>4607091380897</v>
      </c>
      <c r="E316" s="547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101</v>
      </c>
      <c r="L316" s="32"/>
      <c r="M316" s="33" t="s">
        <v>83</v>
      </c>
      <c r="N316" s="33"/>
      <c r="O316" s="32">
        <v>30</v>
      </c>
      <c r="P316" s="58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4"/>
      <c r="R316" s="544"/>
      <c r="S316" s="544"/>
      <c r="T316" s="545"/>
      <c r="U316" s="34"/>
      <c r="V316" s="34"/>
      <c r="W316" s="35" t="s">
        <v>68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67"/>
      <c r="B317" s="553"/>
      <c r="C317" s="553"/>
      <c r="D317" s="553"/>
      <c r="E317" s="553"/>
      <c r="F317" s="553"/>
      <c r="G317" s="553"/>
      <c r="H317" s="553"/>
      <c r="I317" s="553"/>
      <c r="J317" s="553"/>
      <c r="K317" s="553"/>
      <c r="L317" s="553"/>
      <c r="M317" s="553"/>
      <c r="N317" s="553"/>
      <c r="O317" s="568"/>
      <c r="P317" s="557" t="s">
        <v>70</v>
      </c>
      <c r="Q317" s="558"/>
      <c r="R317" s="558"/>
      <c r="S317" s="558"/>
      <c r="T317" s="558"/>
      <c r="U317" s="558"/>
      <c r="V317" s="559"/>
      <c r="W317" s="37" t="s">
        <v>71</v>
      </c>
      <c r="X317" s="541">
        <f>IFERROR(X314/H314,"0")+IFERROR(X315/H315,"0")+IFERROR(X316/H316,"0")</f>
        <v>0</v>
      </c>
      <c r="Y317" s="541">
        <f>IFERROR(Y314/H314,"0")+IFERROR(Y315/H315,"0")+IFERROR(Y316/H316,"0")</f>
        <v>0</v>
      </c>
      <c r="Z317" s="541">
        <f>IFERROR(IF(Z314="",0,Z314),"0")+IFERROR(IF(Z315="",0,Z315),"0")+IFERROR(IF(Z316="",0,Z316),"0")</f>
        <v>0</v>
      </c>
      <c r="AA317" s="542"/>
      <c r="AB317" s="542"/>
      <c r="AC317" s="542"/>
    </row>
    <row r="318" spans="1:68" x14ac:dyDescent="0.2">
      <c r="A318" s="553"/>
      <c r="B318" s="553"/>
      <c r="C318" s="553"/>
      <c r="D318" s="553"/>
      <c r="E318" s="553"/>
      <c r="F318" s="553"/>
      <c r="G318" s="553"/>
      <c r="H318" s="553"/>
      <c r="I318" s="553"/>
      <c r="J318" s="553"/>
      <c r="K318" s="553"/>
      <c r="L318" s="553"/>
      <c r="M318" s="553"/>
      <c r="N318" s="553"/>
      <c r="O318" s="568"/>
      <c r="P318" s="557" t="s">
        <v>70</v>
      </c>
      <c r="Q318" s="558"/>
      <c r="R318" s="558"/>
      <c r="S318" s="558"/>
      <c r="T318" s="558"/>
      <c r="U318" s="558"/>
      <c r="V318" s="559"/>
      <c r="W318" s="37" t="s">
        <v>68</v>
      </c>
      <c r="X318" s="541">
        <f>IFERROR(SUM(X314:X316),"0")</f>
        <v>0</v>
      </c>
      <c r="Y318" s="541">
        <f>IFERROR(SUM(Y314:Y316),"0")</f>
        <v>0</v>
      </c>
      <c r="Z318" s="37"/>
      <c r="AA318" s="542"/>
      <c r="AB318" s="542"/>
      <c r="AC318" s="542"/>
    </row>
    <row r="319" spans="1:68" ht="14.25" customHeight="1" x14ac:dyDescent="0.25">
      <c r="A319" s="554" t="s">
        <v>90</v>
      </c>
      <c r="B319" s="553"/>
      <c r="C319" s="553"/>
      <c r="D319" s="553"/>
      <c r="E319" s="553"/>
      <c r="F319" s="553"/>
      <c r="G319" s="553"/>
      <c r="H319" s="553"/>
      <c r="I319" s="553"/>
      <c r="J319" s="553"/>
      <c r="K319" s="553"/>
      <c r="L319" s="553"/>
      <c r="M319" s="553"/>
      <c r="N319" s="553"/>
      <c r="O319" s="553"/>
      <c r="P319" s="553"/>
      <c r="Q319" s="553"/>
      <c r="R319" s="553"/>
      <c r="S319" s="553"/>
      <c r="T319" s="553"/>
      <c r="U319" s="553"/>
      <c r="V319" s="553"/>
      <c r="W319" s="553"/>
      <c r="X319" s="553"/>
      <c r="Y319" s="553"/>
      <c r="Z319" s="553"/>
      <c r="AA319" s="535"/>
      <c r="AB319" s="535"/>
      <c r="AC319" s="535"/>
    </row>
    <row r="320" spans="1:68" ht="27" customHeight="1" x14ac:dyDescent="0.25">
      <c r="A320" s="54" t="s">
        <v>502</v>
      </c>
      <c r="B320" s="54" t="s">
        <v>503</v>
      </c>
      <c r="C320" s="31">
        <v>4301030235</v>
      </c>
      <c r="D320" s="546">
        <v>4607091388381</v>
      </c>
      <c r="E320" s="547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108</v>
      </c>
      <c r="L320" s="32"/>
      <c r="M320" s="33" t="s">
        <v>93</v>
      </c>
      <c r="N320" s="33"/>
      <c r="O320" s="32">
        <v>180</v>
      </c>
      <c r="P320" s="7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4"/>
      <c r="R320" s="544"/>
      <c r="S320" s="544"/>
      <c r="T320" s="545"/>
      <c r="U320" s="34"/>
      <c r="V320" s="34"/>
      <c r="W320" s="35" t="s">
        <v>68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504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505</v>
      </c>
      <c r="B321" s="54" t="s">
        <v>506</v>
      </c>
      <c r="C321" s="31">
        <v>4301030232</v>
      </c>
      <c r="D321" s="546">
        <v>4607091388374</v>
      </c>
      <c r="E321" s="547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108</v>
      </c>
      <c r="L321" s="32"/>
      <c r="M321" s="33" t="s">
        <v>93</v>
      </c>
      <c r="N321" s="33"/>
      <c r="O321" s="32">
        <v>180</v>
      </c>
      <c r="P321" s="78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4"/>
      <c r="R321" s="544"/>
      <c r="S321" s="544"/>
      <c r="T321" s="545"/>
      <c r="U321" s="34"/>
      <c r="V321" s="34"/>
      <c r="W321" s="35" t="s">
        <v>68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504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507</v>
      </c>
      <c r="B322" s="54" t="s">
        <v>508</v>
      </c>
      <c r="C322" s="31">
        <v>4301032015</v>
      </c>
      <c r="D322" s="546">
        <v>4607091383102</v>
      </c>
      <c r="E322" s="547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75</v>
      </c>
      <c r="L322" s="32" t="s">
        <v>185</v>
      </c>
      <c r="M322" s="33" t="s">
        <v>93</v>
      </c>
      <c r="N322" s="33"/>
      <c r="O322" s="32">
        <v>180</v>
      </c>
      <c r="P322" s="71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4"/>
      <c r="R322" s="544"/>
      <c r="S322" s="544"/>
      <c r="T322" s="545"/>
      <c r="U322" s="34"/>
      <c r="V322" s="34"/>
      <c r="W322" s="35" t="s">
        <v>68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509</v>
      </c>
      <c r="AG322" s="64"/>
      <c r="AJ322" s="68" t="s">
        <v>105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510</v>
      </c>
      <c r="B323" s="54" t="s">
        <v>511</v>
      </c>
      <c r="C323" s="31">
        <v>4301030233</v>
      </c>
      <c r="D323" s="546">
        <v>4607091388404</v>
      </c>
      <c r="E323" s="547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75</v>
      </c>
      <c r="L323" s="32" t="s">
        <v>185</v>
      </c>
      <c r="M323" s="33" t="s">
        <v>93</v>
      </c>
      <c r="N323" s="33"/>
      <c r="O323" s="32">
        <v>180</v>
      </c>
      <c r="P323" s="78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4"/>
      <c r="R323" s="544"/>
      <c r="S323" s="544"/>
      <c r="T323" s="545"/>
      <c r="U323" s="34"/>
      <c r="V323" s="34"/>
      <c r="W323" s="35" t="s">
        <v>68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504</v>
      </c>
      <c r="AG323" s="64"/>
      <c r="AJ323" s="68" t="s">
        <v>105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67"/>
      <c r="B324" s="553"/>
      <c r="C324" s="553"/>
      <c r="D324" s="553"/>
      <c r="E324" s="553"/>
      <c r="F324" s="553"/>
      <c r="G324" s="553"/>
      <c r="H324" s="553"/>
      <c r="I324" s="553"/>
      <c r="J324" s="553"/>
      <c r="K324" s="553"/>
      <c r="L324" s="553"/>
      <c r="M324" s="553"/>
      <c r="N324" s="553"/>
      <c r="O324" s="568"/>
      <c r="P324" s="557" t="s">
        <v>70</v>
      </c>
      <c r="Q324" s="558"/>
      <c r="R324" s="558"/>
      <c r="S324" s="558"/>
      <c r="T324" s="558"/>
      <c r="U324" s="558"/>
      <c r="V324" s="559"/>
      <c r="W324" s="37" t="s">
        <v>71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x14ac:dyDescent="0.2">
      <c r="A325" s="553"/>
      <c r="B325" s="553"/>
      <c r="C325" s="553"/>
      <c r="D325" s="553"/>
      <c r="E325" s="553"/>
      <c r="F325" s="553"/>
      <c r="G325" s="553"/>
      <c r="H325" s="553"/>
      <c r="I325" s="553"/>
      <c r="J325" s="553"/>
      <c r="K325" s="553"/>
      <c r="L325" s="553"/>
      <c r="M325" s="553"/>
      <c r="N325" s="553"/>
      <c r="O325" s="568"/>
      <c r="P325" s="557" t="s">
        <v>70</v>
      </c>
      <c r="Q325" s="558"/>
      <c r="R325" s="558"/>
      <c r="S325" s="558"/>
      <c r="T325" s="558"/>
      <c r="U325" s="558"/>
      <c r="V325" s="559"/>
      <c r="W325" s="37" t="s">
        <v>68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customHeight="1" x14ac:dyDescent="0.25">
      <c r="A326" s="554" t="s">
        <v>512</v>
      </c>
      <c r="B326" s="553"/>
      <c r="C326" s="553"/>
      <c r="D326" s="553"/>
      <c r="E326" s="553"/>
      <c r="F326" s="553"/>
      <c r="G326" s="553"/>
      <c r="H326" s="553"/>
      <c r="I326" s="553"/>
      <c r="J326" s="553"/>
      <c r="K326" s="553"/>
      <c r="L326" s="553"/>
      <c r="M326" s="553"/>
      <c r="N326" s="553"/>
      <c r="O326" s="553"/>
      <c r="P326" s="553"/>
      <c r="Q326" s="553"/>
      <c r="R326" s="553"/>
      <c r="S326" s="553"/>
      <c r="T326" s="553"/>
      <c r="U326" s="553"/>
      <c r="V326" s="553"/>
      <c r="W326" s="553"/>
      <c r="X326" s="553"/>
      <c r="Y326" s="553"/>
      <c r="Z326" s="553"/>
      <c r="AA326" s="535"/>
      <c r="AB326" s="535"/>
      <c r="AC326" s="535"/>
    </row>
    <row r="327" spans="1:68" ht="16.5" customHeight="1" x14ac:dyDescent="0.25">
      <c r="A327" s="54" t="s">
        <v>513</v>
      </c>
      <c r="B327" s="54" t="s">
        <v>514</v>
      </c>
      <c r="C327" s="31">
        <v>4301180007</v>
      </c>
      <c r="D327" s="546">
        <v>4680115881808</v>
      </c>
      <c r="E327" s="547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75</v>
      </c>
      <c r="L327" s="32"/>
      <c r="M327" s="33" t="s">
        <v>515</v>
      </c>
      <c r="N327" s="33"/>
      <c r="O327" s="32">
        <v>730</v>
      </c>
      <c r="P327" s="73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4"/>
      <c r="R327" s="544"/>
      <c r="S327" s="544"/>
      <c r="T327" s="545"/>
      <c r="U327" s="34"/>
      <c r="V327" s="34"/>
      <c r="W327" s="35" t="s">
        <v>68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516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517</v>
      </c>
      <c r="B328" s="54" t="s">
        <v>518</v>
      </c>
      <c r="C328" s="31">
        <v>4301180006</v>
      </c>
      <c r="D328" s="546">
        <v>4680115881822</v>
      </c>
      <c r="E328" s="547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75</v>
      </c>
      <c r="L328" s="32"/>
      <c r="M328" s="33" t="s">
        <v>515</v>
      </c>
      <c r="N328" s="33"/>
      <c r="O328" s="32">
        <v>730</v>
      </c>
      <c r="P328" s="56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4"/>
      <c r="R328" s="544"/>
      <c r="S328" s="544"/>
      <c r="T328" s="545"/>
      <c r="U328" s="34"/>
      <c r="V328" s="34"/>
      <c r="W328" s="35" t="s">
        <v>68</v>
      </c>
      <c r="X328" s="539">
        <v>0</v>
      </c>
      <c r="Y328" s="540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516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519</v>
      </c>
      <c r="B329" s="54" t="s">
        <v>520</v>
      </c>
      <c r="C329" s="31">
        <v>4301180001</v>
      </c>
      <c r="D329" s="546">
        <v>4680115880016</v>
      </c>
      <c r="E329" s="547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75</v>
      </c>
      <c r="L329" s="32"/>
      <c r="M329" s="33" t="s">
        <v>515</v>
      </c>
      <c r="N329" s="33"/>
      <c r="O329" s="32">
        <v>730</v>
      </c>
      <c r="P329" s="613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4"/>
      <c r="R329" s="544"/>
      <c r="S329" s="544"/>
      <c r="T329" s="545"/>
      <c r="U329" s="34"/>
      <c r="V329" s="34"/>
      <c r="W329" s="35" t="s">
        <v>68</v>
      </c>
      <c r="X329" s="539">
        <v>0</v>
      </c>
      <c r="Y329" s="540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67"/>
      <c r="B330" s="553"/>
      <c r="C330" s="553"/>
      <c r="D330" s="553"/>
      <c r="E330" s="553"/>
      <c r="F330" s="553"/>
      <c r="G330" s="553"/>
      <c r="H330" s="553"/>
      <c r="I330" s="553"/>
      <c r="J330" s="553"/>
      <c r="K330" s="553"/>
      <c r="L330" s="553"/>
      <c r="M330" s="553"/>
      <c r="N330" s="553"/>
      <c r="O330" s="568"/>
      <c r="P330" s="557" t="s">
        <v>70</v>
      </c>
      <c r="Q330" s="558"/>
      <c r="R330" s="558"/>
      <c r="S330" s="558"/>
      <c r="T330" s="558"/>
      <c r="U330" s="558"/>
      <c r="V330" s="559"/>
      <c r="W330" s="37" t="s">
        <v>71</v>
      </c>
      <c r="X330" s="541">
        <f>IFERROR(X327/H327,"0")+IFERROR(X328/H328,"0")+IFERROR(X329/H329,"0")</f>
        <v>0</v>
      </c>
      <c r="Y330" s="541">
        <f>IFERROR(Y327/H327,"0")+IFERROR(Y328/H328,"0")+IFERROR(Y329/H329,"0")</f>
        <v>0</v>
      </c>
      <c r="Z330" s="541">
        <f>IFERROR(IF(Z327="",0,Z327),"0")+IFERROR(IF(Z328="",0,Z328),"0")+IFERROR(IF(Z329="",0,Z329),"0")</f>
        <v>0</v>
      </c>
      <c r="AA330" s="542"/>
      <c r="AB330" s="542"/>
      <c r="AC330" s="542"/>
    </row>
    <row r="331" spans="1:68" x14ac:dyDescent="0.2">
      <c r="A331" s="553"/>
      <c r="B331" s="553"/>
      <c r="C331" s="553"/>
      <c r="D331" s="553"/>
      <c r="E331" s="553"/>
      <c r="F331" s="553"/>
      <c r="G331" s="553"/>
      <c r="H331" s="553"/>
      <c r="I331" s="553"/>
      <c r="J331" s="553"/>
      <c r="K331" s="553"/>
      <c r="L331" s="553"/>
      <c r="M331" s="553"/>
      <c r="N331" s="553"/>
      <c r="O331" s="568"/>
      <c r="P331" s="557" t="s">
        <v>70</v>
      </c>
      <c r="Q331" s="558"/>
      <c r="R331" s="558"/>
      <c r="S331" s="558"/>
      <c r="T331" s="558"/>
      <c r="U331" s="558"/>
      <c r="V331" s="559"/>
      <c r="W331" s="37" t="s">
        <v>68</v>
      </c>
      <c r="X331" s="541">
        <f>IFERROR(SUM(X327:X329),"0")</f>
        <v>0</v>
      </c>
      <c r="Y331" s="541">
        <f>IFERROR(SUM(Y327:Y329),"0")</f>
        <v>0</v>
      </c>
      <c r="Z331" s="37"/>
      <c r="AA331" s="542"/>
      <c r="AB331" s="542"/>
      <c r="AC331" s="542"/>
    </row>
    <row r="332" spans="1:68" ht="16.5" customHeight="1" x14ac:dyDescent="0.25">
      <c r="A332" s="552" t="s">
        <v>521</v>
      </c>
      <c r="B332" s="553"/>
      <c r="C332" s="553"/>
      <c r="D332" s="553"/>
      <c r="E332" s="553"/>
      <c r="F332" s="553"/>
      <c r="G332" s="553"/>
      <c r="H332" s="553"/>
      <c r="I332" s="553"/>
      <c r="J332" s="553"/>
      <c r="K332" s="553"/>
      <c r="L332" s="553"/>
      <c r="M332" s="553"/>
      <c r="N332" s="553"/>
      <c r="O332" s="553"/>
      <c r="P332" s="553"/>
      <c r="Q332" s="553"/>
      <c r="R332" s="553"/>
      <c r="S332" s="553"/>
      <c r="T332" s="553"/>
      <c r="U332" s="553"/>
      <c r="V332" s="553"/>
      <c r="W332" s="553"/>
      <c r="X332" s="553"/>
      <c r="Y332" s="553"/>
      <c r="Z332" s="553"/>
      <c r="AA332" s="534"/>
      <c r="AB332" s="534"/>
      <c r="AC332" s="534"/>
    </row>
    <row r="333" spans="1:68" ht="14.25" customHeight="1" x14ac:dyDescent="0.25">
      <c r="A333" s="554" t="s">
        <v>72</v>
      </c>
      <c r="B333" s="553"/>
      <c r="C333" s="553"/>
      <c r="D333" s="553"/>
      <c r="E333" s="553"/>
      <c r="F333" s="553"/>
      <c r="G333" s="553"/>
      <c r="H333" s="553"/>
      <c r="I333" s="553"/>
      <c r="J333" s="553"/>
      <c r="K333" s="553"/>
      <c r="L333" s="553"/>
      <c r="M333" s="553"/>
      <c r="N333" s="553"/>
      <c r="O333" s="553"/>
      <c r="P333" s="553"/>
      <c r="Q333" s="553"/>
      <c r="R333" s="553"/>
      <c r="S333" s="553"/>
      <c r="T333" s="553"/>
      <c r="U333" s="553"/>
      <c r="V333" s="553"/>
      <c r="W333" s="553"/>
      <c r="X333" s="553"/>
      <c r="Y333" s="553"/>
      <c r="Z333" s="553"/>
      <c r="AA333" s="535"/>
      <c r="AB333" s="535"/>
      <c r="AC333" s="535"/>
    </row>
    <row r="334" spans="1:68" ht="27" customHeight="1" x14ac:dyDescent="0.25">
      <c r="A334" s="54" t="s">
        <v>522</v>
      </c>
      <c r="B334" s="54" t="s">
        <v>523</v>
      </c>
      <c r="C334" s="31">
        <v>4301051489</v>
      </c>
      <c r="D334" s="546">
        <v>4607091387919</v>
      </c>
      <c r="E334" s="547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101</v>
      </c>
      <c r="L334" s="32"/>
      <c r="M334" s="33" t="s">
        <v>83</v>
      </c>
      <c r="N334" s="33"/>
      <c r="O334" s="32">
        <v>45</v>
      </c>
      <c r="P334" s="60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4"/>
      <c r="R334" s="544"/>
      <c r="S334" s="544"/>
      <c r="T334" s="545"/>
      <c r="U334" s="34"/>
      <c r="V334" s="34"/>
      <c r="W334" s="35" t="s">
        <v>68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524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525</v>
      </c>
      <c r="B335" s="54" t="s">
        <v>526</v>
      </c>
      <c r="C335" s="31">
        <v>4301051461</v>
      </c>
      <c r="D335" s="546">
        <v>4680115883604</v>
      </c>
      <c r="E335" s="547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75</v>
      </c>
      <c r="L335" s="32" t="s">
        <v>185</v>
      </c>
      <c r="M335" s="33" t="s">
        <v>76</v>
      </c>
      <c r="N335" s="33"/>
      <c r="O335" s="32">
        <v>45</v>
      </c>
      <c r="P335" s="773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4"/>
      <c r="R335" s="544"/>
      <c r="S335" s="544"/>
      <c r="T335" s="545"/>
      <c r="U335" s="34"/>
      <c r="V335" s="34"/>
      <c r="W335" s="35" t="s">
        <v>68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527</v>
      </c>
      <c r="AG335" s="64"/>
      <c r="AJ335" s="68" t="s">
        <v>105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4301051864</v>
      </c>
      <c r="D336" s="546">
        <v>4680115883567</v>
      </c>
      <c r="E336" s="547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75</v>
      </c>
      <c r="L336" s="32" t="s">
        <v>185</v>
      </c>
      <c r="M336" s="33" t="s">
        <v>83</v>
      </c>
      <c r="N336" s="33"/>
      <c r="O336" s="32">
        <v>40</v>
      </c>
      <c r="P336" s="80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4"/>
      <c r="R336" s="544"/>
      <c r="S336" s="544"/>
      <c r="T336" s="545"/>
      <c r="U336" s="34"/>
      <c r="V336" s="34"/>
      <c r="W336" s="35" t="s">
        <v>68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530</v>
      </c>
      <c r="AG336" s="64"/>
      <c r="AJ336" s="68" t="s">
        <v>105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67"/>
      <c r="B337" s="553"/>
      <c r="C337" s="553"/>
      <c r="D337" s="553"/>
      <c r="E337" s="553"/>
      <c r="F337" s="553"/>
      <c r="G337" s="553"/>
      <c r="H337" s="553"/>
      <c r="I337" s="553"/>
      <c r="J337" s="553"/>
      <c r="K337" s="553"/>
      <c r="L337" s="553"/>
      <c r="M337" s="553"/>
      <c r="N337" s="553"/>
      <c r="O337" s="568"/>
      <c r="P337" s="557" t="s">
        <v>70</v>
      </c>
      <c r="Q337" s="558"/>
      <c r="R337" s="558"/>
      <c r="S337" s="558"/>
      <c r="T337" s="558"/>
      <c r="U337" s="558"/>
      <c r="V337" s="559"/>
      <c r="W337" s="37" t="s">
        <v>71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x14ac:dyDescent="0.2">
      <c r="A338" s="553"/>
      <c r="B338" s="553"/>
      <c r="C338" s="553"/>
      <c r="D338" s="553"/>
      <c r="E338" s="553"/>
      <c r="F338" s="553"/>
      <c r="G338" s="553"/>
      <c r="H338" s="553"/>
      <c r="I338" s="553"/>
      <c r="J338" s="553"/>
      <c r="K338" s="553"/>
      <c r="L338" s="553"/>
      <c r="M338" s="553"/>
      <c r="N338" s="553"/>
      <c r="O338" s="568"/>
      <c r="P338" s="557" t="s">
        <v>70</v>
      </c>
      <c r="Q338" s="558"/>
      <c r="R338" s="558"/>
      <c r="S338" s="558"/>
      <c r="T338" s="558"/>
      <c r="U338" s="558"/>
      <c r="V338" s="559"/>
      <c r="W338" s="37" t="s">
        <v>68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customHeight="1" x14ac:dyDescent="0.2">
      <c r="A339" s="693" t="s">
        <v>531</v>
      </c>
      <c r="B339" s="694"/>
      <c r="C339" s="694"/>
      <c r="D339" s="694"/>
      <c r="E339" s="694"/>
      <c r="F339" s="694"/>
      <c r="G339" s="694"/>
      <c r="H339" s="694"/>
      <c r="I339" s="694"/>
      <c r="J339" s="694"/>
      <c r="K339" s="694"/>
      <c r="L339" s="694"/>
      <c r="M339" s="694"/>
      <c r="N339" s="694"/>
      <c r="O339" s="694"/>
      <c r="P339" s="694"/>
      <c r="Q339" s="694"/>
      <c r="R339" s="694"/>
      <c r="S339" s="694"/>
      <c r="T339" s="694"/>
      <c r="U339" s="694"/>
      <c r="V339" s="694"/>
      <c r="W339" s="694"/>
      <c r="X339" s="694"/>
      <c r="Y339" s="694"/>
      <c r="Z339" s="694"/>
      <c r="AA339" s="48"/>
      <c r="AB339" s="48"/>
      <c r="AC339" s="48"/>
    </row>
    <row r="340" spans="1:68" ht="16.5" customHeight="1" x14ac:dyDescent="0.25">
      <c r="A340" s="552" t="s">
        <v>532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534"/>
      <c r="AB340" s="534"/>
      <c r="AC340" s="534"/>
    </row>
    <row r="341" spans="1:68" ht="14.25" customHeight="1" x14ac:dyDescent="0.25">
      <c r="A341" s="554" t="s">
        <v>98</v>
      </c>
      <c r="B341" s="553"/>
      <c r="C341" s="553"/>
      <c r="D341" s="553"/>
      <c r="E341" s="553"/>
      <c r="F341" s="553"/>
      <c r="G341" s="553"/>
      <c r="H341" s="553"/>
      <c r="I341" s="553"/>
      <c r="J341" s="553"/>
      <c r="K341" s="553"/>
      <c r="L341" s="553"/>
      <c r="M341" s="553"/>
      <c r="N341" s="553"/>
      <c r="O341" s="553"/>
      <c r="P341" s="553"/>
      <c r="Q341" s="553"/>
      <c r="R341" s="553"/>
      <c r="S341" s="553"/>
      <c r="T341" s="553"/>
      <c r="U341" s="553"/>
      <c r="V341" s="553"/>
      <c r="W341" s="553"/>
      <c r="X341" s="553"/>
      <c r="Y341" s="553"/>
      <c r="Z341" s="553"/>
      <c r="AA341" s="535"/>
      <c r="AB341" s="535"/>
      <c r="AC341" s="535"/>
    </row>
    <row r="342" spans="1:68" ht="37.5" customHeight="1" x14ac:dyDescent="0.25">
      <c r="A342" s="54" t="s">
        <v>533</v>
      </c>
      <c r="B342" s="54" t="s">
        <v>534</v>
      </c>
      <c r="C342" s="31">
        <v>4301011869</v>
      </c>
      <c r="D342" s="546">
        <v>4680115884847</v>
      </c>
      <c r="E342" s="547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101</v>
      </c>
      <c r="L342" s="32" t="s">
        <v>102</v>
      </c>
      <c r="M342" s="33" t="s">
        <v>67</v>
      </c>
      <c r="N342" s="33"/>
      <c r="O342" s="32">
        <v>60</v>
      </c>
      <c r="P342" s="82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4"/>
      <c r="R342" s="544"/>
      <c r="S342" s="544"/>
      <c r="T342" s="545"/>
      <c r="U342" s="34"/>
      <c r="V342" s="34"/>
      <c r="W342" s="35" t="s">
        <v>68</v>
      </c>
      <c r="X342" s="539">
        <v>0</v>
      </c>
      <c r="Y342" s="540">
        <f t="shared" ref="Y342:Y348" si="31">IFERROR(IF(X342="",0,CEILING((X342/$H342),1)*$H342),"")</f>
        <v>0</v>
      </c>
      <c r="Z342" s="36" t="str">
        <f>IFERROR(IF(Y342=0,"",ROUNDUP(Y342/H342,0)*0.02175),"")</f>
        <v/>
      </c>
      <c r="AA342" s="56"/>
      <c r="AB342" s="57"/>
      <c r="AC342" s="389" t="s">
        <v>535</v>
      </c>
      <c r="AG342" s="64"/>
      <c r="AJ342" s="68" t="s">
        <v>105</v>
      </c>
      <c r="AK342" s="68">
        <v>120</v>
      </c>
      <c r="BB342" s="390" t="s">
        <v>1</v>
      </c>
      <c r="BM342" s="64">
        <f t="shared" ref="BM342:BM348" si="32">IFERROR(X342*I342/H342,"0")</f>
        <v>0</v>
      </c>
      <c r="BN342" s="64">
        <f t="shared" ref="BN342:BN348" si="33">IFERROR(Y342*I342/H342,"0")</f>
        <v>0</v>
      </c>
      <c r="BO342" s="64">
        <f t="shared" ref="BO342:BO348" si="34">IFERROR(1/J342*(X342/H342),"0")</f>
        <v>0</v>
      </c>
      <c r="BP342" s="64">
        <f t="shared" ref="BP342:BP348" si="35">IFERROR(1/J342*(Y342/H342),"0")</f>
        <v>0</v>
      </c>
    </row>
    <row r="343" spans="1:68" ht="27" customHeight="1" x14ac:dyDescent="0.25">
      <c r="A343" s="54" t="s">
        <v>536</v>
      </c>
      <c r="B343" s="54" t="s">
        <v>537</v>
      </c>
      <c r="C343" s="31">
        <v>4301011870</v>
      </c>
      <c r="D343" s="546">
        <v>4680115884854</v>
      </c>
      <c r="E343" s="547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101</v>
      </c>
      <c r="L343" s="32" t="s">
        <v>102</v>
      </c>
      <c r="M343" s="33" t="s">
        <v>67</v>
      </c>
      <c r="N343" s="33"/>
      <c r="O343" s="32">
        <v>60</v>
      </c>
      <c r="P343" s="74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4"/>
      <c r="R343" s="544"/>
      <c r="S343" s="544"/>
      <c r="T343" s="545"/>
      <c r="U343" s="34"/>
      <c r="V343" s="34"/>
      <c r="W343" s="35" t="s">
        <v>68</v>
      </c>
      <c r="X343" s="539">
        <v>261</v>
      </c>
      <c r="Y343" s="540">
        <f t="shared" si="31"/>
        <v>270</v>
      </c>
      <c r="Z343" s="36">
        <f>IFERROR(IF(Y343=0,"",ROUNDUP(Y343/H343,0)*0.02175),"")</f>
        <v>0.39149999999999996</v>
      </c>
      <c r="AA343" s="56"/>
      <c r="AB343" s="57"/>
      <c r="AC343" s="391" t="s">
        <v>538</v>
      </c>
      <c r="AG343" s="64"/>
      <c r="AJ343" s="68" t="s">
        <v>105</v>
      </c>
      <c r="AK343" s="68">
        <v>120</v>
      </c>
      <c r="BB343" s="392" t="s">
        <v>1</v>
      </c>
      <c r="BM343" s="64">
        <f t="shared" si="32"/>
        <v>269.178</v>
      </c>
      <c r="BN343" s="64">
        <f t="shared" si="33"/>
        <v>278.46000000000004</v>
      </c>
      <c r="BO343" s="64">
        <f t="shared" si="34"/>
        <v>0.36249999999999993</v>
      </c>
      <c r="BP343" s="64">
        <f t="shared" si="35"/>
        <v>0.375</v>
      </c>
    </row>
    <row r="344" spans="1:68" ht="37.5" customHeight="1" x14ac:dyDescent="0.25">
      <c r="A344" s="54" t="s">
        <v>539</v>
      </c>
      <c r="B344" s="54" t="s">
        <v>540</v>
      </c>
      <c r="C344" s="31">
        <v>4301011867</v>
      </c>
      <c r="D344" s="546">
        <v>4680115884830</v>
      </c>
      <c r="E344" s="547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101</v>
      </c>
      <c r="L344" s="32" t="s">
        <v>102</v>
      </c>
      <c r="M344" s="33" t="s">
        <v>67</v>
      </c>
      <c r="N344" s="33"/>
      <c r="O344" s="32">
        <v>60</v>
      </c>
      <c r="P344" s="83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4"/>
      <c r="R344" s="544"/>
      <c r="S344" s="544"/>
      <c r="T344" s="545"/>
      <c r="U344" s="34"/>
      <c r="V344" s="34"/>
      <c r="W344" s="35" t="s">
        <v>68</v>
      </c>
      <c r="X344" s="539">
        <v>267</v>
      </c>
      <c r="Y344" s="540">
        <f t="shared" si="31"/>
        <v>270</v>
      </c>
      <c r="Z344" s="36">
        <f>IFERROR(IF(Y344=0,"",ROUNDUP(Y344/H344,0)*0.02175),"")</f>
        <v>0.39149999999999996</v>
      </c>
      <c r="AA344" s="56"/>
      <c r="AB344" s="57"/>
      <c r="AC344" s="393" t="s">
        <v>541</v>
      </c>
      <c r="AG344" s="64"/>
      <c r="AJ344" s="68" t="s">
        <v>105</v>
      </c>
      <c r="AK344" s="68">
        <v>120</v>
      </c>
      <c r="BB344" s="394" t="s">
        <v>1</v>
      </c>
      <c r="BM344" s="64">
        <f t="shared" si="32"/>
        <v>275.36599999999999</v>
      </c>
      <c r="BN344" s="64">
        <f t="shared" si="33"/>
        <v>278.46000000000004</v>
      </c>
      <c r="BO344" s="64">
        <f t="shared" si="34"/>
        <v>0.37083333333333335</v>
      </c>
      <c r="BP344" s="64">
        <f t="shared" si="35"/>
        <v>0.375</v>
      </c>
    </row>
    <row r="345" spans="1:68" ht="27" customHeight="1" x14ac:dyDescent="0.25">
      <c r="A345" s="54" t="s">
        <v>542</v>
      </c>
      <c r="B345" s="54" t="s">
        <v>543</v>
      </c>
      <c r="C345" s="31">
        <v>4301012215</v>
      </c>
      <c r="D345" s="546">
        <v>4680115887046</v>
      </c>
      <c r="E345" s="547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101</v>
      </c>
      <c r="L345" s="32"/>
      <c r="M345" s="33" t="s">
        <v>83</v>
      </c>
      <c r="N345" s="33"/>
      <c r="O345" s="32">
        <v>60</v>
      </c>
      <c r="P345" s="75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4"/>
      <c r="R345" s="544"/>
      <c r="S345" s="544"/>
      <c r="T345" s="545"/>
      <c r="U345" s="34"/>
      <c r="V345" s="34"/>
      <c r="W345" s="35" t="s">
        <v>68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4301011433</v>
      </c>
      <c r="D346" s="546">
        <v>4680115882638</v>
      </c>
      <c r="E346" s="547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108</v>
      </c>
      <c r="L346" s="32"/>
      <c r="M346" s="33" t="s">
        <v>103</v>
      </c>
      <c r="N346" s="33"/>
      <c r="O346" s="32">
        <v>90</v>
      </c>
      <c r="P346" s="78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4"/>
      <c r="R346" s="544"/>
      <c r="S346" s="544"/>
      <c r="T346" s="545"/>
      <c r="U346" s="34"/>
      <c r="V346" s="34"/>
      <c r="W346" s="35" t="s">
        <v>68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548</v>
      </c>
      <c r="B347" s="54" t="s">
        <v>549</v>
      </c>
      <c r="C347" s="31">
        <v>4301011952</v>
      </c>
      <c r="D347" s="546">
        <v>4680115884922</v>
      </c>
      <c r="E347" s="547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108</v>
      </c>
      <c r="L347" s="32"/>
      <c r="M347" s="33" t="s">
        <v>67</v>
      </c>
      <c r="N347" s="33"/>
      <c r="O347" s="32">
        <v>60</v>
      </c>
      <c r="P347" s="81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4"/>
      <c r="R347" s="544"/>
      <c r="S347" s="544"/>
      <c r="T347" s="545"/>
      <c r="U347" s="34"/>
      <c r="V347" s="34"/>
      <c r="W347" s="35" t="s">
        <v>68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538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550</v>
      </c>
      <c r="B348" s="54" t="s">
        <v>551</v>
      </c>
      <c r="C348" s="31">
        <v>4301011868</v>
      </c>
      <c r="D348" s="546">
        <v>4680115884861</v>
      </c>
      <c r="E348" s="547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108</v>
      </c>
      <c r="L348" s="32"/>
      <c r="M348" s="33" t="s">
        <v>67</v>
      </c>
      <c r="N348" s="33"/>
      <c r="O348" s="32">
        <v>60</v>
      </c>
      <c r="P348" s="78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4"/>
      <c r="R348" s="544"/>
      <c r="S348" s="544"/>
      <c r="T348" s="545"/>
      <c r="U348" s="34"/>
      <c r="V348" s="34"/>
      <c r="W348" s="35" t="s">
        <v>68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67"/>
      <c r="B349" s="553"/>
      <c r="C349" s="553"/>
      <c r="D349" s="553"/>
      <c r="E349" s="553"/>
      <c r="F349" s="553"/>
      <c r="G349" s="553"/>
      <c r="H349" s="553"/>
      <c r="I349" s="553"/>
      <c r="J349" s="553"/>
      <c r="K349" s="553"/>
      <c r="L349" s="553"/>
      <c r="M349" s="553"/>
      <c r="N349" s="553"/>
      <c r="O349" s="568"/>
      <c r="P349" s="557" t="s">
        <v>70</v>
      </c>
      <c r="Q349" s="558"/>
      <c r="R349" s="558"/>
      <c r="S349" s="558"/>
      <c r="T349" s="558"/>
      <c r="U349" s="558"/>
      <c r="V349" s="559"/>
      <c r="W349" s="37" t="s">
        <v>71</v>
      </c>
      <c r="X349" s="541">
        <f>IFERROR(X342/H342,"0")+IFERROR(X343/H343,"0")+IFERROR(X344/H344,"0")+IFERROR(X345/H345,"0")+IFERROR(X346/H346,"0")+IFERROR(X347/H347,"0")+IFERROR(X348/H348,"0")</f>
        <v>35.200000000000003</v>
      </c>
      <c r="Y349" s="541">
        <f>IFERROR(Y342/H342,"0")+IFERROR(Y343/H343,"0")+IFERROR(Y344/H344,"0")+IFERROR(Y345/H345,"0")+IFERROR(Y346/H346,"0")+IFERROR(Y347/H347,"0")+IFERROR(Y348/H348,"0")</f>
        <v>36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0.78299999999999992</v>
      </c>
      <c r="AA349" s="542"/>
      <c r="AB349" s="542"/>
      <c r="AC349" s="542"/>
    </row>
    <row r="350" spans="1:68" x14ac:dyDescent="0.2">
      <c r="A350" s="553"/>
      <c r="B350" s="553"/>
      <c r="C350" s="553"/>
      <c r="D350" s="553"/>
      <c r="E350" s="553"/>
      <c r="F350" s="553"/>
      <c r="G350" s="553"/>
      <c r="H350" s="553"/>
      <c r="I350" s="553"/>
      <c r="J350" s="553"/>
      <c r="K350" s="553"/>
      <c r="L350" s="553"/>
      <c r="M350" s="553"/>
      <c r="N350" s="553"/>
      <c r="O350" s="568"/>
      <c r="P350" s="557" t="s">
        <v>70</v>
      </c>
      <c r="Q350" s="558"/>
      <c r="R350" s="558"/>
      <c r="S350" s="558"/>
      <c r="T350" s="558"/>
      <c r="U350" s="558"/>
      <c r="V350" s="559"/>
      <c r="W350" s="37" t="s">
        <v>68</v>
      </c>
      <c r="X350" s="541">
        <f>IFERROR(SUM(X342:X348),"0")</f>
        <v>528</v>
      </c>
      <c r="Y350" s="541">
        <f>IFERROR(SUM(Y342:Y348),"0")</f>
        <v>540</v>
      </c>
      <c r="Z350" s="37"/>
      <c r="AA350" s="542"/>
      <c r="AB350" s="542"/>
      <c r="AC350" s="542"/>
    </row>
    <row r="351" spans="1:68" ht="14.25" customHeight="1" x14ac:dyDescent="0.25">
      <c r="A351" s="554" t="s">
        <v>134</v>
      </c>
      <c r="B351" s="553"/>
      <c r="C351" s="553"/>
      <c r="D351" s="553"/>
      <c r="E351" s="553"/>
      <c r="F351" s="553"/>
      <c r="G351" s="553"/>
      <c r="H351" s="553"/>
      <c r="I351" s="553"/>
      <c r="J351" s="553"/>
      <c r="K351" s="553"/>
      <c r="L351" s="553"/>
      <c r="M351" s="553"/>
      <c r="N351" s="553"/>
      <c r="O351" s="553"/>
      <c r="P351" s="553"/>
      <c r="Q351" s="553"/>
      <c r="R351" s="553"/>
      <c r="S351" s="553"/>
      <c r="T351" s="553"/>
      <c r="U351" s="553"/>
      <c r="V351" s="553"/>
      <c r="W351" s="553"/>
      <c r="X351" s="553"/>
      <c r="Y351" s="553"/>
      <c r="Z351" s="553"/>
      <c r="AA351" s="535"/>
      <c r="AB351" s="535"/>
      <c r="AC351" s="535"/>
    </row>
    <row r="352" spans="1:68" ht="27" customHeight="1" x14ac:dyDescent="0.25">
      <c r="A352" s="54" t="s">
        <v>552</v>
      </c>
      <c r="B352" s="54" t="s">
        <v>553</v>
      </c>
      <c r="C352" s="31">
        <v>4301020178</v>
      </c>
      <c r="D352" s="546">
        <v>4607091383980</v>
      </c>
      <c r="E352" s="547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101</v>
      </c>
      <c r="L352" s="32" t="s">
        <v>102</v>
      </c>
      <c r="M352" s="33" t="s">
        <v>103</v>
      </c>
      <c r="N352" s="33"/>
      <c r="O352" s="32">
        <v>50</v>
      </c>
      <c r="P352" s="64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4"/>
      <c r="R352" s="544"/>
      <c r="S352" s="544"/>
      <c r="T352" s="545"/>
      <c r="U352" s="34"/>
      <c r="V352" s="34"/>
      <c r="W352" s="35" t="s">
        <v>68</v>
      </c>
      <c r="X352" s="539">
        <v>385</v>
      </c>
      <c r="Y352" s="540">
        <f>IFERROR(IF(X352="",0,CEILING((X352/$H352),1)*$H352),"")</f>
        <v>390</v>
      </c>
      <c r="Z352" s="36">
        <f>IFERROR(IF(Y352=0,"",ROUNDUP(Y352/H352,0)*0.02175),"")</f>
        <v>0.5655</v>
      </c>
      <c r="AA352" s="56"/>
      <c r="AB352" s="57"/>
      <c r="AC352" s="403" t="s">
        <v>554</v>
      </c>
      <c r="AG352" s="64"/>
      <c r="AJ352" s="68" t="s">
        <v>105</v>
      </c>
      <c r="AK352" s="68">
        <v>120</v>
      </c>
      <c r="BB352" s="404" t="s">
        <v>1</v>
      </c>
      <c r="BM352" s="64">
        <f>IFERROR(X352*I352/H352,"0")</f>
        <v>397.06333333333333</v>
      </c>
      <c r="BN352" s="64">
        <f>IFERROR(Y352*I352/H352,"0")</f>
        <v>402.22</v>
      </c>
      <c r="BO352" s="64">
        <f>IFERROR(1/J352*(X352/H352),"0")</f>
        <v>0.53472222222222221</v>
      </c>
      <c r="BP352" s="64">
        <f>IFERROR(1/J352*(Y352/H352),"0")</f>
        <v>0.54166666666666663</v>
      </c>
    </row>
    <row r="353" spans="1:68" ht="16.5" customHeight="1" x14ac:dyDescent="0.25">
      <c r="A353" s="54" t="s">
        <v>555</v>
      </c>
      <c r="B353" s="54" t="s">
        <v>556</v>
      </c>
      <c r="C353" s="31">
        <v>4301020179</v>
      </c>
      <c r="D353" s="546">
        <v>4607091384178</v>
      </c>
      <c r="E353" s="547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108</v>
      </c>
      <c r="L353" s="32"/>
      <c r="M353" s="33" t="s">
        <v>103</v>
      </c>
      <c r="N353" s="33"/>
      <c r="O353" s="32">
        <v>50</v>
      </c>
      <c r="P353" s="67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4"/>
      <c r="R353" s="544"/>
      <c r="S353" s="544"/>
      <c r="T353" s="545"/>
      <c r="U353" s="34"/>
      <c r="V353" s="34"/>
      <c r="W353" s="35" t="s">
        <v>68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554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67"/>
      <c r="B354" s="553"/>
      <c r="C354" s="553"/>
      <c r="D354" s="553"/>
      <c r="E354" s="553"/>
      <c r="F354" s="553"/>
      <c r="G354" s="553"/>
      <c r="H354" s="553"/>
      <c r="I354" s="553"/>
      <c r="J354" s="553"/>
      <c r="K354" s="553"/>
      <c r="L354" s="553"/>
      <c r="M354" s="553"/>
      <c r="N354" s="553"/>
      <c r="O354" s="568"/>
      <c r="P354" s="557" t="s">
        <v>70</v>
      </c>
      <c r="Q354" s="558"/>
      <c r="R354" s="558"/>
      <c r="S354" s="558"/>
      <c r="T354" s="558"/>
      <c r="U354" s="558"/>
      <c r="V354" s="559"/>
      <c r="W354" s="37" t="s">
        <v>71</v>
      </c>
      <c r="X354" s="541">
        <f>IFERROR(X352/H352,"0")+IFERROR(X353/H353,"0")</f>
        <v>25.666666666666668</v>
      </c>
      <c r="Y354" s="541">
        <f>IFERROR(Y352/H352,"0")+IFERROR(Y353/H353,"0")</f>
        <v>26</v>
      </c>
      <c r="Z354" s="541">
        <f>IFERROR(IF(Z352="",0,Z352),"0")+IFERROR(IF(Z353="",0,Z353),"0")</f>
        <v>0.5655</v>
      </c>
      <c r="AA354" s="542"/>
      <c r="AB354" s="542"/>
      <c r="AC354" s="542"/>
    </row>
    <row r="355" spans="1:68" x14ac:dyDescent="0.2">
      <c r="A355" s="553"/>
      <c r="B355" s="553"/>
      <c r="C355" s="553"/>
      <c r="D355" s="553"/>
      <c r="E355" s="553"/>
      <c r="F355" s="553"/>
      <c r="G355" s="553"/>
      <c r="H355" s="553"/>
      <c r="I355" s="553"/>
      <c r="J355" s="553"/>
      <c r="K355" s="553"/>
      <c r="L355" s="553"/>
      <c r="M355" s="553"/>
      <c r="N355" s="553"/>
      <c r="O355" s="568"/>
      <c r="P355" s="557" t="s">
        <v>70</v>
      </c>
      <c r="Q355" s="558"/>
      <c r="R355" s="558"/>
      <c r="S355" s="558"/>
      <c r="T355" s="558"/>
      <c r="U355" s="558"/>
      <c r="V355" s="559"/>
      <c r="W355" s="37" t="s">
        <v>68</v>
      </c>
      <c r="X355" s="541">
        <f>IFERROR(SUM(X352:X353),"0")</f>
        <v>385</v>
      </c>
      <c r="Y355" s="541">
        <f>IFERROR(SUM(Y352:Y353),"0")</f>
        <v>390</v>
      </c>
      <c r="Z355" s="37"/>
      <c r="AA355" s="542"/>
      <c r="AB355" s="542"/>
      <c r="AC355" s="542"/>
    </row>
    <row r="356" spans="1:68" ht="14.25" customHeight="1" x14ac:dyDescent="0.25">
      <c r="A356" s="554" t="s">
        <v>72</v>
      </c>
      <c r="B356" s="553"/>
      <c r="C356" s="553"/>
      <c r="D356" s="553"/>
      <c r="E356" s="553"/>
      <c r="F356" s="553"/>
      <c r="G356" s="553"/>
      <c r="H356" s="553"/>
      <c r="I356" s="553"/>
      <c r="J356" s="553"/>
      <c r="K356" s="553"/>
      <c r="L356" s="553"/>
      <c r="M356" s="553"/>
      <c r="N356" s="553"/>
      <c r="O356" s="553"/>
      <c r="P356" s="553"/>
      <c r="Q356" s="553"/>
      <c r="R356" s="553"/>
      <c r="S356" s="553"/>
      <c r="T356" s="553"/>
      <c r="U356" s="553"/>
      <c r="V356" s="553"/>
      <c r="W356" s="553"/>
      <c r="X356" s="553"/>
      <c r="Y356" s="553"/>
      <c r="Z356" s="553"/>
      <c r="AA356" s="535"/>
      <c r="AB356" s="535"/>
      <c r="AC356" s="535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6">
        <v>4607091383928</v>
      </c>
      <c r="E357" s="547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101</v>
      </c>
      <c r="L357" s="32"/>
      <c r="M357" s="33" t="s">
        <v>76</v>
      </c>
      <c r="N357" s="33"/>
      <c r="O357" s="32">
        <v>40</v>
      </c>
      <c r="P357" s="83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4"/>
      <c r="R357" s="544"/>
      <c r="S357" s="544"/>
      <c r="T357" s="545"/>
      <c r="U357" s="34"/>
      <c r="V357" s="34"/>
      <c r="W357" s="35" t="s">
        <v>68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6">
        <v>4607091384260</v>
      </c>
      <c r="E358" s="547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101</v>
      </c>
      <c r="L358" s="32"/>
      <c r="M358" s="33" t="s">
        <v>76</v>
      </c>
      <c r="N358" s="33"/>
      <c r="O358" s="32">
        <v>40</v>
      </c>
      <c r="P358" s="667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4"/>
      <c r="R358" s="544"/>
      <c r="S358" s="544"/>
      <c r="T358" s="545"/>
      <c r="U358" s="34"/>
      <c r="V358" s="34"/>
      <c r="W358" s="35" t="s">
        <v>68</v>
      </c>
      <c r="X358" s="539">
        <v>0</v>
      </c>
      <c r="Y358" s="540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67"/>
      <c r="B359" s="553"/>
      <c r="C359" s="553"/>
      <c r="D359" s="553"/>
      <c r="E359" s="553"/>
      <c r="F359" s="553"/>
      <c r="G359" s="553"/>
      <c r="H359" s="553"/>
      <c r="I359" s="553"/>
      <c r="J359" s="553"/>
      <c r="K359" s="553"/>
      <c r="L359" s="553"/>
      <c r="M359" s="553"/>
      <c r="N359" s="553"/>
      <c r="O359" s="568"/>
      <c r="P359" s="557" t="s">
        <v>70</v>
      </c>
      <c r="Q359" s="558"/>
      <c r="R359" s="558"/>
      <c r="S359" s="558"/>
      <c r="T359" s="558"/>
      <c r="U359" s="558"/>
      <c r="V359" s="559"/>
      <c r="W359" s="37" t="s">
        <v>71</v>
      </c>
      <c r="X359" s="541">
        <f>IFERROR(X357/H357,"0")+IFERROR(X358/H358,"0")</f>
        <v>0</v>
      </c>
      <c r="Y359" s="541">
        <f>IFERROR(Y357/H357,"0")+IFERROR(Y358/H358,"0")</f>
        <v>0</v>
      </c>
      <c r="Z359" s="541">
        <f>IFERROR(IF(Z357="",0,Z357),"0")+IFERROR(IF(Z358="",0,Z358),"0")</f>
        <v>0</v>
      </c>
      <c r="AA359" s="542"/>
      <c r="AB359" s="542"/>
      <c r="AC359" s="542"/>
    </row>
    <row r="360" spans="1:68" x14ac:dyDescent="0.2">
      <c r="A360" s="553"/>
      <c r="B360" s="553"/>
      <c r="C360" s="553"/>
      <c r="D360" s="553"/>
      <c r="E360" s="553"/>
      <c r="F360" s="553"/>
      <c r="G360" s="553"/>
      <c r="H360" s="553"/>
      <c r="I360" s="553"/>
      <c r="J360" s="553"/>
      <c r="K360" s="553"/>
      <c r="L360" s="553"/>
      <c r="M360" s="553"/>
      <c r="N360" s="553"/>
      <c r="O360" s="568"/>
      <c r="P360" s="557" t="s">
        <v>70</v>
      </c>
      <c r="Q360" s="558"/>
      <c r="R360" s="558"/>
      <c r="S360" s="558"/>
      <c r="T360" s="558"/>
      <c r="U360" s="558"/>
      <c r="V360" s="559"/>
      <c r="W360" s="37" t="s">
        <v>68</v>
      </c>
      <c r="X360" s="541">
        <f>IFERROR(SUM(X357:X358),"0")</f>
        <v>0</v>
      </c>
      <c r="Y360" s="541">
        <f>IFERROR(SUM(Y357:Y358),"0")</f>
        <v>0</v>
      </c>
      <c r="Z360" s="37"/>
      <c r="AA360" s="542"/>
      <c r="AB360" s="542"/>
      <c r="AC360" s="542"/>
    </row>
    <row r="361" spans="1:68" ht="14.25" customHeight="1" x14ac:dyDescent="0.25">
      <c r="A361" s="554" t="s">
        <v>162</v>
      </c>
      <c r="B361" s="553"/>
      <c r="C361" s="553"/>
      <c r="D361" s="553"/>
      <c r="E361" s="553"/>
      <c r="F361" s="553"/>
      <c r="G361" s="553"/>
      <c r="H361" s="553"/>
      <c r="I361" s="553"/>
      <c r="J361" s="553"/>
      <c r="K361" s="553"/>
      <c r="L361" s="553"/>
      <c r="M361" s="553"/>
      <c r="N361" s="553"/>
      <c r="O361" s="553"/>
      <c r="P361" s="553"/>
      <c r="Q361" s="553"/>
      <c r="R361" s="553"/>
      <c r="S361" s="553"/>
      <c r="T361" s="553"/>
      <c r="U361" s="553"/>
      <c r="V361" s="553"/>
      <c r="W361" s="553"/>
      <c r="X361" s="553"/>
      <c r="Y361" s="553"/>
      <c r="Z361" s="553"/>
      <c r="AA361" s="535"/>
      <c r="AB361" s="535"/>
      <c r="AC361" s="535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6">
        <v>4607091384673</v>
      </c>
      <c r="E362" s="547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101</v>
      </c>
      <c r="L362" s="32"/>
      <c r="M362" s="33" t="s">
        <v>76</v>
      </c>
      <c r="N362" s="33"/>
      <c r="O362" s="32">
        <v>40</v>
      </c>
      <c r="P362" s="813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4"/>
      <c r="R362" s="544"/>
      <c r="S362" s="544"/>
      <c r="T362" s="545"/>
      <c r="U362" s="34"/>
      <c r="V362" s="34"/>
      <c r="W362" s="35" t="s">
        <v>68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67"/>
      <c r="B363" s="553"/>
      <c r="C363" s="553"/>
      <c r="D363" s="553"/>
      <c r="E363" s="553"/>
      <c r="F363" s="553"/>
      <c r="G363" s="553"/>
      <c r="H363" s="553"/>
      <c r="I363" s="553"/>
      <c r="J363" s="553"/>
      <c r="K363" s="553"/>
      <c r="L363" s="553"/>
      <c r="M363" s="553"/>
      <c r="N363" s="553"/>
      <c r="O363" s="568"/>
      <c r="P363" s="557" t="s">
        <v>70</v>
      </c>
      <c r="Q363" s="558"/>
      <c r="R363" s="558"/>
      <c r="S363" s="558"/>
      <c r="T363" s="558"/>
      <c r="U363" s="558"/>
      <c r="V363" s="559"/>
      <c r="W363" s="37" t="s">
        <v>71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x14ac:dyDescent="0.2">
      <c r="A364" s="553"/>
      <c r="B364" s="553"/>
      <c r="C364" s="553"/>
      <c r="D364" s="553"/>
      <c r="E364" s="553"/>
      <c r="F364" s="553"/>
      <c r="G364" s="553"/>
      <c r="H364" s="553"/>
      <c r="I364" s="553"/>
      <c r="J364" s="553"/>
      <c r="K364" s="553"/>
      <c r="L364" s="553"/>
      <c r="M364" s="553"/>
      <c r="N364" s="553"/>
      <c r="O364" s="568"/>
      <c r="P364" s="557" t="s">
        <v>70</v>
      </c>
      <c r="Q364" s="558"/>
      <c r="R364" s="558"/>
      <c r="S364" s="558"/>
      <c r="T364" s="558"/>
      <c r="U364" s="558"/>
      <c r="V364" s="559"/>
      <c r="W364" s="37" t="s">
        <v>68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customHeight="1" x14ac:dyDescent="0.25">
      <c r="A365" s="552" t="s">
        <v>566</v>
      </c>
      <c r="B365" s="553"/>
      <c r="C365" s="553"/>
      <c r="D365" s="553"/>
      <c r="E365" s="553"/>
      <c r="F365" s="553"/>
      <c r="G365" s="553"/>
      <c r="H365" s="553"/>
      <c r="I365" s="553"/>
      <c r="J365" s="553"/>
      <c r="K365" s="553"/>
      <c r="L365" s="553"/>
      <c r="M365" s="553"/>
      <c r="N365" s="553"/>
      <c r="O365" s="553"/>
      <c r="P365" s="553"/>
      <c r="Q365" s="553"/>
      <c r="R365" s="553"/>
      <c r="S365" s="553"/>
      <c r="T365" s="553"/>
      <c r="U365" s="553"/>
      <c r="V365" s="553"/>
      <c r="W365" s="553"/>
      <c r="X365" s="553"/>
      <c r="Y365" s="553"/>
      <c r="Z365" s="553"/>
      <c r="AA365" s="534"/>
      <c r="AB365" s="534"/>
      <c r="AC365" s="534"/>
    </row>
    <row r="366" spans="1:68" ht="14.25" customHeight="1" x14ac:dyDescent="0.25">
      <c r="A366" s="554" t="s">
        <v>98</v>
      </c>
      <c r="B366" s="553"/>
      <c r="C366" s="553"/>
      <c r="D366" s="553"/>
      <c r="E366" s="553"/>
      <c r="F366" s="553"/>
      <c r="G366" s="553"/>
      <c r="H366" s="553"/>
      <c r="I366" s="553"/>
      <c r="J366" s="553"/>
      <c r="K366" s="553"/>
      <c r="L366" s="553"/>
      <c r="M366" s="553"/>
      <c r="N366" s="553"/>
      <c r="O366" s="553"/>
      <c r="P366" s="553"/>
      <c r="Q366" s="553"/>
      <c r="R366" s="553"/>
      <c r="S366" s="553"/>
      <c r="T366" s="553"/>
      <c r="U366" s="553"/>
      <c r="V366" s="553"/>
      <c r="W366" s="553"/>
      <c r="X366" s="553"/>
      <c r="Y366" s="553"/>
      <c r="Z366" s="553"/>
      <c r="AA366" s="535"/>
      <c r="AB366" s="535"/>
      <c r="AC366" s="535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6">
        <v>4680115884885</v>
      </c>
      <c r="E367" s="547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101</v>
      </c>
      <c r="L367" s="32" t="s">
        <v>102</v>
      </c>
      <c r="M367" s="33" t="s">
        <v>67</v>
      </c>
      <c r="N367" s="33"/>
      <c r="O367" s="32">
        <v>60</v>
      </c>
      <c r="P367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4"/>
      <c r="R367" s="544"/>
      <c r="S367" s="544"/>
      <c r="T367" s="545"/>
      <c r="U367" s="34"/>
      <c r="V367" s="34"/>
      <c r="W367" s="35" t="s">
        <v>68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 t="s">
        <v>105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6">
        <v>4680115884908</v>
      </c>
      <c r="E368" s="547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108</v>
      </c>
      <c r="L368" s="32"/>
      <c r="M368" s="33" t="s">
        <v>67</v>
      </c>
      <c r="N368" s="33"/>
      <c r="O368" s="32">
        <v>60</v>
      </c>
      <c r="P368" s="84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4"/>
      <c r="R368" s="544"/>
      <c r="S368" s="544"/>
      <c r="T368" s="545"/>
      <c r="U368" s="34"/>
      <c r="V368" s="34"/>
      <c r="W368" s="35" t="s">
        <v>68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67"/>
      <c r="B369" s="553"/>
      <c r="C369" s="553"/>
      <c r="D369" s="553"/>
      <c r="E369" s="553"/>
      <c r="F369" s="553"/>
      <c r="G369" s="553"/>
      <c r="H369" s="553"/>
      <c r="I369" s="553"/>
      <c r="J369" s="553"/>
      <c r="K369" s="553"/>
      <c r="L369" s="553"/>
      <c r="M369" s="553"/>
      <c r="N369" s="553"/>
      <c r="O369" s="568"/>
      <c r="P369" s="557" t="s">
        <v>70</v>
      </c>
      <c r="Q369" s="558"/>
      <c r="R369" s="558"/>
      <c r="S369" s="558"/>
      <c r="T369" s="558"/>
      <c r="U369" s="558"/>
      <c r="V369" s="559"/>
      <c r="W369" s="37" t="s">
        <v>71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x14ac:dyDescent="0.2">
      <c r="A370" s="553"/>
      <c r="B370" s="553"/>
      <c r="C370" s="553"/>
      <c r="D370" s="553"/>
      <c r="E370" s="553"/>
      <c r="F370" s="553"/>
      <c r="G370" s="553"/>
      <c r="H370" s="553"/>
      <c r="I370" s="553"/>
      <c r="J370" s="553"/>
      <c r="K370" s="553"/>
      <c r="L370" s="553"/>
      <c r="M370" s="553"/>
      <c r="N370" s="553"/>
      <c r="O370" s="568"/>
      <c r="P370" s="557" t="s">
        <v>70</v>
      </c>
      <c r="Q370" s="558"/>
      <c r="R370" s="558"/>
      <c r="S370" s="558"/>
      <c r="T370" s="558"/>
      <c r="U370" s="558"/>
      <c r="V370" s="559"/>
      <c r="W370" s="37" t="s">
        <v>68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customHeight="1" x14ac:dyDescent="0.25">
      <c r="A371" s="554" t="s">
        <v>63</v>
      </c>
      <c r="B371" s="553"/>
      <c r="C371" s="553"/>
      <c r="D371" s="553"/>
      <c r="E371" s="553"/>
      <c r="F371" s="553"/>
      <c r="G371" s="553"/>
      <c r="H371" s="553"/>
      <c r="I371" s="553"/>
      <c r="J371" s="553"/>
      <c r="K371" s="553"/>
      <c r="L371" s="553"/>
      <c r="M371" s="553"/>
      <c r="N371" s="553"/>
      <c r="O371" s="553"/>
      <c r="P371" s="553"/>
      <c r="Q371" s="553"/>
      <c r="R371" s="553"/>
      <c r="S371" s="553"/>
      <c r="T371" s="553"/>
      <c r="U371" s="553"/>
      <c r="V371" s="553"/>
      <c r="W371" s="553"/>
      <c r="X371" s="553"/>
      <c r="Y371" s="553"/>
      <c r="Z371" s="553"/>
      <c r="AA371" s="535"/>
      <c r="AB371" s="535"/>
      <c r="AC371" s="535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6">
        <v>4607091384802</v>
      </c>
      <c r="E372" s="547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108</v>
      </c>
      <c r="L372" s="32" t="s">
        <v>109</v>
      </c>
      <c r="M372" s="33" t="s">
        <v>67</v>
      </c>
      <c r="N372" s="33"/>
      <c r="O372" s="32">
        <v>35</v>
      </c>
      <c r="P372" s="69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4"/>
      <c r="R372" s="544"/>
      <c r="S372" s="544"/>
      <c r="T372" s="545"/>
      <c r="U372" s="34"/>
      <c r="V372" s="34"/>
      <c r="W372" s="35" t="s">
        <v>68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 t="s">
        <v>105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6">
        <v>4607091384802</v>
      </c>
      <c r="E373" s="547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108</v>
      </c>
      <c r="L373" s="32"/>
      <c r="M373" s="33" t="s">
        <v>67</v>
      </c>
      <c r="N373" s="33"/>
      <c r="O373" s="32">
        <v>50</v>
      </c>
      <c r="P373" s="86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4"/>
      <c r="R373" s="544"/>
      <c r="S373" s="544"/>
      <c r="T373" s="545"/>
      <c r="U373" s="34"/>
      <c r="V373" s="34"/>
      <c r="W373" s="35" t="s">
        <v>68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67"/>
      <c r="B374" s="553"/>
      <c r="C374" s="553"/>
      <c r="D374" s="553"/>
      <c r="E374" s="553"/>
      <c r="F374" s="553"/>
      <c r="G374" s="553"/>
      <c r="H374" s="553"/>
      <c r="I374" s="553"/>
      <c r="J374" s="553"/>
      <c r="K374" s="553"/>
      <c r="L374" s="553"/>
      <c r="M374" s="553"/>
      <c r="N374" s="553"/>
      <c r="O374" s="568"/>
      <c r="P374" s="557" t="s">
        <v>70</v>
      </c>
      <c r="Q374" s="558"/>
      <c r="R374" s="558"/>
      <c r="S374" s="558"/>
      <c r="T374" s="558"/>
      <c r="U374" s="558"/>
      <c r="V374" s="559"/>
      <c r="W374" s="37" t="s">
        <v>71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x14ac:dyDescent="0.2">
      <c r="A375" s="553"/>
      <c r="B375" s="553"/>
      <c r="C375" s="553"/>
      <c r="D375" s="553"/>
      <c r="E375" s="553"/>
      <c r="F375" s="553"/>
      <c r="G375" s="553"/>
      <c r="H375" s="553"/>
      <c r="I375" s="553"/>
      <c r="J375" s="553"/>
      <c r="K375" s="553"/>
      <c r="L375" s="553"/>
      <c r="M375" s="553"/>
      <c r="N375" s="553"/>
      <c r="O375" s="568"/>
      <c r="P375" s="557" t="s">
        <v>70</v>
      </c>
      <c r="Q375" s="558"/>
      <c r="R375" s="558"/>
      <c r="S375" s="558"/>
      <c r="T375" s="558"/>
      <c r="U375" s="558"/>
      <c r="V375" s="559"/>
      <c r="W375" s="37" t="s">
        <v>68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customHeight="1" x14ac:dyDescent="0.25">
      <c r="A376" s="554" t="s">
        <v>72</v>
      </c>
      <c r="B376" s="553"/>
      <c r="C376" s="553"/>
      <c r="D376" s="553"/>
      <c r="E376" s="553"/>
      <c r="F376" s="553"/>
      <c r="G376" s="553"/>
      <c r="H376" s="553"/>
      <c r="I376" s="553"/>
      <c r="J376" s="553"/>
      <c r="K376" s="553"/>
      <c r="L376" s="553"/>
      <c r="M376" s="553"/>
      <c r="N376" s="553"/>
      <c r="O376" s="553"/>
      <c r="P376" s="553"/>
      <c r="Q376" s="553"/>
      <c r="R376" s="553"/>
      <c r="S376" s="553"/>
      <c r="T376" s="553"/>
      <c r="U376" s="553"/>
      <c r="V376" s="553"/>
      <c r="W376" s="553"/>
      <c r="X376" s="553"/>
      <c r="Y376" s="553"/>
      <c r="Z376" s="553"/>
      <c r="AA376" s="535"/>
      <c r="AB376" s="535"/>
      <c r="AC376" s="535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6">
        <v>4607091384246</v>
      </c>
      <c r="E377" s="547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101</v>
      </c>
      <c r="L377" s="32" t="s">
        <v>102</v>
      </c>
      <c r="M377" s="33" t="s">
        <v>76</v>
      </c>
      <c r="N377" s="33"/>
      <c r="O377" s="32">
        <v>40</v>
      </c>
      <c r="P377" s="72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4"/>
      <c r="R377" s="544"/>
      <c r="S377" s="544"/>
      <c r="T377" s="545"/>
      <c r="U377" s="34"/>
      <c r="V377" s="34"/>
      <c r="W377" s="35" t="s">
        <v>68</v>
      </c>
      <c r="X377" s="539">
        <v>0</v>
      </c>
      <c r="Y377" s="540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105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6">
        <v>4607091384253</v>
      </c>
      <c r="E378" s="547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75</v>
      </c>
      <c r="L378" s="32" t="s">
        <v>185</v>
      </c>
      <c r="M378" s="33" t="s">
        <v>76</v>
      </c>
      <c r="N378" s="33"/>
      <c r="O378" s="32">
        <v>40</v>
      </c>
      <c r="P378" s="65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4"/>
      <c r="R378" s="544"/>
      <c r="S378" s="544"/>
      <c r="T378" s="545"/>
      <c r="U378" s="34"/>
      <c r="V378" s="34"/>
      <c r="W378" s="35" t="s">
        <v>68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 t="s">
        <v>105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67"/>
      <c r="B379" s="553"/>
      <c r="C379" s="553"/>
      <c r="D379" s="553"/>
      <c r="E379" s="553"/>
      <c r="F379" s="553"/>
      <c r="G379" s="553"/>
      <c r="H379" s="553"/>
      <c r="I379" s="553"/>
      <c r="J379" s="553"/>
      <c r="K379" s="553"/>
      <c r="L379" s="553"/>
      <c r="M379" s="553"/>
      <c r="N379" s="553"/>
      <c r="O379" s="568"/>
      <c r="P379" s="557" t="s">
        <v>70</v>
      </c>
      <c r="Q379" s="558"/>
      <c r="R379" s="558"/>
      <c r="S379" s="558"/>
      <c r="T379" s="558"/>
      <c r="U379" s="558"/>
      <c r="V379" s="559"/>
      <c r="W379" s="37" t="s">
        <v>71</v>
      </c>
      <c r="X379" s="541">
        <f>IFERROR(X377/H377,"0")+IFERROR(X378/H378,"0")</f>
        <v>0</v>
      </c>
      <c r="Y379" s="541">
        <f>IFERROR(Y377/H377,"0")+IFERROR(Y378/H378,"0")</f>
        <v>0</v>
      </c>
      <c r="Z379" s="541">
        <f>IFERROR(IF(Z377="",0,Z377),"0")+IFERROR(IF(Z378="",0,Z378),"0")</f>
        <v>0</v>
      </c>
      <c r="AA379" s="542"/>
      <c r="AB379" s="542"/>
      <c r="AC379" s="542"/>
    </row>
    <row r="380" spans="1:68" x14ac:dyDescent="0.2">
      <c r="A380" s="553"/>
      <c r="B380" s="553"/>
      <c r="C380" s="553"/>
      <c r="D380" s="553"/>
      <c r="E380" s="553"/>
      <c r="F380" s="553"/>
      <c r="G380" s="553"/>
      <c r="H380" s="553"/>
      <c r="I380" s="553"/>
      <c r="J380" s="553"/>
      <c r="K380" s="553"/>
      <c r="L380" s="553"/>
      <c r="M380" s="553"/>
      <c r="N380" s="553"/>
      <c r="O380" s="568"/>
      <c r="P380" s="557" t="s">
        <v>70</v>
      </c>
      <c r="Q380" s="558"/>
      <c r="R380" s="558"/>
      <c r="S380" s="558"/>
      <c r="T380" s="558"/>
      <c r="U380" s="558"/>
      <c r="V380" s="559"/>
      <c r="W380" s="37" t="s">
        <v>68</v>
      </c>
      <c r="X380" s="541">
        <f>IFERROR(SUM(X377:X378),"0")</f>
        <v>0</v>
      </c>
      <c r="Y380" s="541">
        <f>IFERROR(SUM(Y377:Y378),"0")</f>
        <v>0</v>
      </c>
      <c r="Z380" s="37"/>
      <c r="AA380" s="542"/>
      <c r="AB380" s="542"/>
      <c r="AC380" s="542"/>
    </row>
    <row r="381" spans="1:68" ht="27.75" customHeight="1" x14ac:dyDescent="0.2">
      <c r="A381" s="693" t="s">
        <v>582</v>
      </c>
      <c r="B381" s="694"/>
      <c r="C381" s="694"/>
      <c r="D381" s="694"/>
      <c r="E381" s="694"/>
      <c r="F381" s="694"/>
      <c r="G381" s="694"/>
      <c r="H381" s="694"/>
      <c r="I381" s="694"/>
      <c r="J381" s="694"/>
      <c r="K381" s="694"/>
      <c r="L381" s="694"/>
      <c r="M381" s="694"/>
      <c r="N381" s="694"/>
      <c r="O381" s="694"/>
      <c r="P381" s="694"/>
      <c r="Q381" s="694"/>
      <c r="R381" s="694"/>
      <c r="S381" s="694"/>
      <c r="T381" s="694"/>
      <c r="U381" s="694"/>
      <c r="V381" s="694"/>
      <c r="W381" s="694"/>
      <c r="X381" s="694"/>
      <c r="Y381" s="694"/>
      <c r="Z381" s="694"/>
      <c r="AA381" s="48"/>
      <c r="AB381" s="48"/>
      <c r="AC381" s="48"/>
    </row>
    <row r="382" spans="1:68" ht="16.5" customHeight="1" x14ac:dyDescent="0.25">
      <c r="A382" s="552" t="s">
        <v>583</v>
      </c>
      <c r="B382" s="553"/>
      <c r="C382" s="553"/>
      <c r="D382" s="553"/>
      <c r="E382" s="553"/>
      <c r="F382" s="553"/>
      <c r="G382" s="553"/>
      <c r="H382" s="553"/>
      <c r="I382" s="553"/>
      <c r="J382" s="553"/>
      <c r="K382" s="553"/>
      <c r="L382" s="553"/>
      <c r="M382" s="553"/>
      <c r="N382" s="553"/>
      <c r="O382" s="553"/>
      <c r="P382" s="553"/>
      <c r="Q382" s="553"/>
      <c r="R382" s="553"/>
      <c r="S382" s="553"/>
      <c r="T382" s="553"/>
      <c r="U382" s="553"/>
      <c r="V382" s="553"/>
      <c r="W382" s="553"/>
      <c r="X382" s="553"/>
      <c r="Y382" s="553"/>
      <c r="Z382" s="553"/>
      <c r="AA382" s="534"/>
      <c r="AB382" s="534"/>
      <c r="AC382" s="534"/>
    </row>
    <row r="383" spans="1:68" ht="14.25" customHeight="1" x14ac:dyDescent="0.25">
      <c r="A383" s="554" t="s">
        <v>63</v>
      </c>
      <c r="B383" s="553"/>
      <c r="C383" s="553"/>
      <c r="D383" s="553"/>
      <c r="E383" s="553"/>
      <c r="F383" s="553"/>
      <c r="G383" s="553"/>
      <c r="H383" s="553"/>
      <c r="I383" s="553"/>
      <c r="J383" s="553"/>
      <c r="K383" s="553"/>
      <c r="L383" s="553"/>
      <c r="M383" s="553"/>
      <c r="N383" s="553"/>
      <c r="O383" s="553"/>
      <c r="P383" s="553"/>
      <c r="Q383" s="553"/>
      <c r="R383" s="553"/>
      <c r="S383" s="553"/>
      <c r="T383" s="553"/>
      <c r="U383" s="553"/>
      <c r="V383" s="553"/>
      <c r="W383" s="553"/>
      <c r="X383" s="553"/>
      <c r="Y383" s="553"/>
      <c r="Z383" s="553"/>
      <c r="AA383" s="535"/>
      <c r="AB383" s="535"/>
      <c r="AC383" s="535"/>
    </row>
    <row r="384" spans="1:68" ht="27" customHeight="1" x14ac:dyDescent="0.25">
      <c r="A384" s="54" t="s">
        <v>584</v>
      </c>
      <c r="B384" s="54" t="s">
        <v>585</v>
      </c>
      <c r="C384" s="31">
        <v>4301031405</v>
      </c>
      <c r="D384" s="546">
        <v>4680115886100</v>
      </c>
      <c r="E384" s="547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108</v>
      </c>
      <c r="L384" s="32"/>
      <c r="M384" s="33" t="s">
        <v>67</v>
      </c>
      <c r="N384" s="33"/>
      <c r="O384" s="32">
        <v>50</v>
      </c>
      <c r="P384" s="56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4"/>
      <c r="R384" s="544"/>
      <c r="S384" s="544"/>
      <c r="T384" s="545"/>
      <c r="U384" s="34"/>
      <c r="V384" s="34"/>
      <c r="W384" s="35" t="s">
        <v>68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586</v>
      </c>
      <c r="AG384" s="64"/>
      <c r="AJ384" s="68"/>
      <c r="AK384" s="68">
        <v>0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customHeight="1" x14ac:dyDescent="0.25">
      <c r="A385" s="54" t="s">
        <v>587</v>
      </c>
      <c r="B385" s="54" t="s">
        <v>588</v>
      </c>
      <c r="C385" s="31">
        <v>4301031406</v>
      </c>
      <c r="D385" s="546">
        <v>4680115886117</v>
      </c>
      <c r="E385" s="547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108</v>
      </c>
      <c r="L385" s="32"/>
      <c r="M385" s="33" t="s">
        <v>67</v>
      </c>
      <c r="N385" s="33"/>
      <c r="O385" s="32">
        <v>50</v>
      </c>
      <c r="P385" s="85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4"/>
      <c r="R385" s="544"/>
      <c r="S385" s="544"/>
      <c r="T385" s="545"/>
      <c r="U385" s="34"/>
      <c r="V385" s="34"/>
      <c r="W385" s="35" t="s">
        <v>68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4301031402</v>
      </c>
      <c r="D386" s="546">
        <v>4680115886124</v>
      </c>
      <c r="E386" s="547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108</v>
      </c>
      <c r="L386" s="32" t="s">
        <v>109</v>
      </c>
      <c r="M386" s="33" t="s">
        <v>67</v>
      </c>
      <c r="N386" s="33"/>
      <c r="O386" s="32">
        <v>50</v>
      </c>
      <c r="P386" s="574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4"/>
      <c r="R386" s="544"/>
      <c r="S386" s="544"/>
      <c r="T386" s="545"/>
      <c r="U386" s="34"/>
      <c r="V386" s="34"/>
      <c r="W386" s="35" t="s">
        <v>68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105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4301031366</v>
      </c>
      <c r="D387" s="546">
        <v>4680115883147</v>
      </c>
      <c r="E387" s="547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66</v>
      </c>
      <c r="L387" s="32"/>
      <c r="M387" s="33" t="s">
        <v>67</v>
      </c>
      <c r="N387" s="33"/>
      <c r="O387" s="32">
        <v>50</v>
      </c>
      <c r="P387" s="70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4"/>
      <c r="R387" s="544"/>
      <c r="S387" s="544"/>
      <c r="T387" s="545"/>
      <c r="U387" s="34"/>
      <c r="V387" s="34"/>
      <c r="W387" s="35" t="s">
        <v>68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586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595</v>
      </c>
      <c r="B388" s="54" t="s">
        <v>596</v>
      </c>
      <c r="C388" s="31">
        <v>4301031362</v>
      </c>
      <c r="D388" s="546">
        <v>4607091384338</v>
      </c>
      <c r="E388" s="547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66</v>
      </c>
      <c r="L388" s="32"/>
      <c r="M388" s="33" t="s">
        <v>67</v>
      </c>
      <c r="N388" s="33"/>
      <c r="O388" s="32">
        <v>50</v>
      </c>
      <c r="P388" s="73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4"/>
      <c r="R388" s="544"/>
      <c r="S388" s="544"/>
      <c r="T388" s="545"/>
      <c r="U388" s="34"/>
      <c r="V388" s="34"/>
      <c r="W388" s="35" t="s">
        <v>68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586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customHeight="1" x14ac:dyDescent="0.25">
      <c r="A389" s="54" t="s">
        <v>597</v>
      </c>
      <c r="B389" s="54" t="s">
        <v>598</v>
      </c>
      <c r="C389" s="31">
        <v>4301031361</v>
      </c>
      <c r="D389" s="546">
        <v>4607091389524</v>
      </c>
      <c r="E389" s="547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66</v>
      </c>
      <c r="L389" s="32"/>
      <c r="M389" s="33" t="s">
        <v>67</v>
      </c>
      <c r="N389" s="33"/>
      <c r="O389" s="32">
        <v>50</v>
      </c>
      <c r="P389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4"/>
      <c r="R389" s="544"/>
      <c r="S389" s="544"/>
      <c r="T389" s="545"/>
      <c r="U389" s="34"/>
      <c r="V389" s="34"/>
      <c r="W389" s="35" t="s">
        <v>68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599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customHeight="1" x14ac:dyDescent="0.25">
      <c r="A390" s="54" t="s">
        <v>600</v>
      </c>
      <c r="B390" s="54" t="s">
        <v>601</v>
      </c>
      <c r="C390" s="31">
        <v>4301031364</v>
      </c>
      <c r="D390" s="546">
        <v>4680115883161</v>
      </c>
      <c r="E390" s="547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66</v>
      </c>
      <c r="L390" s="32"/>
      <c r="M390" s="33" t="s">
        <v>67</v>
      </c>
      <c r="N390" s="33"/>
      <c r="O390" s="32">
        <v>50</v>
      </c>
      <c r="P390" s="73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4"/>
      <c r="R390" s="544"/>
      <c r="S390" s="544"/>
      <c r="T390" s="545"/>
      <c r="U390" s="34"/>
      <c r="V390" s="34"/>
      <c r="W390" s="35" t="s">
        <v>68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4301031358</v>
      </c>
      <c r="D391" s="546">
        <v>4607091389531</v>
      </c>
      <c r="E391" s="547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66</v>
      </c>
      <c r="L391" s="32"/>
      <c r="M391" s="33" t="s">
        <v>67</v>
      </c>
      <c r="N391" s="33"/>
      <c r="O391" s="32">
        <v>50</v>
      </c>
      <c r="P391" s="561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4"/>
      <c r="R391" s="544"/>
      <c r="S391" s="544"/>
      <c r="T391" s="545"/>
      <c r="U391" s="34"/>
      <c r="V391" s="34"/>
      <c r="W391" s="35" t="s">
        <v>68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customHeight="1" x14ac:dyDescent="0.25">
      <c r="A392" s="54" t="s">
        <v>606</v>
      </c>
      <c r="B392" s="54" t="s">
        <v>607</v>
      </c>
      <c r="C392" s="31">
        <v>4301031360</v>
      </c>
      <c r="D392" s="546">
        <v>4607091384345</v>
      </c>
      <c r="E392" s="547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66</v>
      </c>
      <c r="L392" s="32"/>
      <c r="M392" s="33" t="s">
        <v>67</v>
      </c>
      <c r="N392" s="33"/>
      <c r="O392" s="32">
        <v>50</v>
      </c>
      <c r="P392" s="57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4"/>
      <c r="R392" s="544"/>
      <c r="S392" s="544"/>
      <c r="T392" s="545"/>
      <c r="U392" s="34"/>
      <c r="V392" s="34"/>
      <c r="W392" s="35" t="s">
        <v>68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602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x14ac:dyDescent="0.2">
      <c r="A393" s="567"/>
      <c r="B393" s="553"/>
      <c r="C393" s="553"/>
      <c r="D393" s="553"/>
      <c r="E393" s="553"/>
      <c r="F393" s="553"/>
      <c r="G393" s="553"/>
      <c r="H393" s="553"/>
      <c r="I393" s="553"/>
      <c r="J393" s="553"/>
      <c r="K393" s="553"/>
      <c r="L393" s="553"/>
      <c r="M393" s="553"/>
      <c r="N393" s="553"/>
      <c r="O393" s="568"/>
      <c r="P393" s="557" t="s">
        <v>70</v>
      </c>
      <c r="Q393" s="558"/>
      <c r="R393" s="558"/>
      <c r="S393" s="558"/>
      <c r="T393" s="558"/>
      <c r="U393" s="558"/>
      <c r="V393" s="559"/>
      <c r="W393" s="37" t="s">
        <v>71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x14ac:dyDescent="0.2">
      <c r="A394" s="553"/>
      <c r="B394" s="553"/>
      <c r="C394" s="553"/>
      <c r="D394" s="553"/>
      <c r="E394" s="553"/>
      <c r="F394" s="553"/>
      <c r="G394" s="553"/>
      <c r="H394" s="553"/>
      <c r="I394" s="553"/>
      <c r="J394" s="553"/>
      <c r="K394" s="553"/>
      <c r="L394" s="553"/>
      <c r="M394" s="553"/>
      <c r="N394" s="553"/>
      <c r="O394" s="568"/>
      <c r="P394" s="557" t="s">
        <v>70</v>
      </c>
      <c r="Q394" s="558"/>
      <c r="R394" s="558"/>
      <c r="S394" s="558"/>
      <c r="T394" s="558"/>
      <c r="U394" s="558"/>
      <c r="V394" s="559"/>
      <c r="W394" s="37" t="s">
        <v>68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customHeight="1" x14ac:dyDescent="0.25">
      <c r="A395" s="554" t="s">
        <v>72</v>
      </c>
      <c r="B395" s="553"/>
      <c r="C395" s="553"/>
      <c r="D395" s="553"/>
      <c r="E395" s="553"/>
      <c r="F395" s="553"/>
      <c r="G395" s="553"/>
      <c r="H395" s="553"/>
      <c r="I395" s="553"/>
      <c r="J395" s="553"/>
      <c r="K395" s="553"/>
      <c r="L395" s="553"/>
      <c r="M395" s="553"/>
      <c r="N395" s="553"/>
      <c r="O395" s="553"/>
      <c r="P395" s="553"/>
      <c r="Q395" s="553"/>
      <c r="R395" s="553"/>
      <c r="S395" s="553"/>
      <c r="T395" s="553"/>
      <c r="U395" s="553"/>
      <c r="V395" s="553"/>
      <c r="W395" s="553"/>
      <c r="X395" s="553"/>
      <c r="Y395" s="553"/>
      <c r="Z395" s="553"/>
      <c r="AA395" s="535"/>
      <c r="AB395" s="535"/>
      <c r="AC395" s="535"/>
    </row>
    <row r="396" spans="1:68" ht="27" customHeight="1" x14ac:dyDescent="0.25">
      <c r="A396" s="54" t="s">
        <v>608</v>
      </c>
      <c r="B396" s="54" t="s">
        <v>609</v>
      </c>
      <c r="C396" s="31">
        <v>4301051284</v>
      </c>
      <c r="D396" s="546">
        <v>4607091384352</v>
      </c>
      <c r="E396" s="547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108</v>
      </c>
      <c r="L396" s="32"/>
      <c r="M396" s="33" t="s">
        <v>76</v>
      </c>
      <c r="N396" s="33"/>
      <c r="O396" s="32">
        <v>45</v>
      </c>
      <c r="P396" s="76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4"/>
      <c r="R396" s="544"/>
      <c r="S396" s="544"/>
      <c r="T396" s="545"/>
      <c r="U396" s="34"/>
      <c r="V396" s="34"/>
      <c r="W396" s="35" t="s">
        <v>68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610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611</v>
      </c>
      <c r="B397" s="54" t="s">
        <v>612</v>
      </c>
      <c r="C397" s="31">
        <v>4301051431</v>
      </c>
      <c r="D397" s="546">
        <v>4607091389654</v>
      </c>
      <c r="E397" s="547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75</v>
      </c>
      <c r="L397" s="32"/>
      <c r="M397" s="33" t="s">
        <v>76</v>
      </c>
      <c r="N397" s="33"/>
      <c r="O397" s="32">
        <v>45</v>
      </c>
      <c r="P397" s="69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4"/>
      <c r="R397" s="544"/>
      <c r="S397" s="544"/>
      <c r="T397" s="545"/>
      <c r="U397" s="34"/>
      <c r="V397" s="34"/>
      <c r="W397" s="35" t="s">
        <v>68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567"/>
      <c r="B398" s="553"/>
      <c r="C398" s="553"/>
      <c r="D398" s="553"/>
      <c r="E398" s="553"/>
      <c r="F398" s="553"/>
      <c r="G398" s="553"/>
      <c r="H398" s="553"/>
      <c r="I398" s="553"/>
      <c r="J398" s="553"/>
      <c r="K398" s="553"/>
      <c r="L398" s="553"/>
      <c r="M398" s="553"/>
      <c r="N398" s="553"/>
      <c r="O398" s="568"/>
      <c r="P398" s="557" t="s">
        <v>70</v>
      </c>
      <c r="Q398" s="558"/>
      <c r="R398" s="558"/>
      <c r="S398" s="558"/>
      <c r="T398" s="558"/>
      <c r="U398" s="558"/>
      <c r="V398" s="559"/>
      <c r="W398" s="37" t="s">
        <v>71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x14ac:dyDescent="0.2">
      <c r="A399" s="553"/>
      <c r="B399" s="553"/>
      <c r="C399" s="553"/>
      <c r="D399" s="553"/>
      <c r="E399" s="553"/>
      <c r="F399" s="553"/>
      <c r="G399" s="553"/>
      <c r="H399" s="553"/>
      <c r="I399" s="553"/>
      <c r="J399" s="553"/>
      <c r="K399" s="553"/>
      <c r="L399" s="553"/>
      <c r="M399" s="553"/>
      <c r="N399" s="553"/>
      <c r="O399" s="568"/>
      <c r="P399" s="557" t="s">
        <v>70</v>
      </c>
      <c r="Q399" s="558"/>
      <c r="R399" s="558"/>
      <c r="S399" s="558"/>
      <c r="T399" s="558"/>
      <c r="U399" s="558"/>
      <c r="V399" s="559"/>
      <c r="W399" s="37" t="s">
        <v>68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customHeight="1" x14ac:dyDescent="0.25">
      <c r="A400" s="552" t="s">
        <v>614</v>
      </c>
      <c r="B400" s="553"/>
      <c r="C400" s="553"/>
      <c r="D400" s="553"/>
      <c r="E400" s="553"/>
      <c r="F400" s="553"/>
      <c r="G400" s="553"/>
      <c r="H400" s="553"/>
      <c r="I400" s="553"/>
      <c r="J400" s="553"/>
      <c r="K400" s="553"/>
      <c r="L400" s="553"/>
      <c r="M400" s="553"/>
      <c r="N400" s="553"/>
      <c r="O400" s="553"/>
      <c r="P400" s="553"/>
      <c r="Q400" s="553"/>
      <c r="R400" s="553"/>
      <c r="S400" s="553"/>
      <c r="T400" s="553"/>
      <c r="U400" s="553"/>
      <c r="V400" s="553"/>
      <c r="W400" s="553"/>
      <c r="X400" s="553"/>
      <c r="Y400" s="553"/>
      <c r="Z400" s="553"/>
      <c r="AA400" s="534"/>
      <c r="AB400" s="534"/>
      <c r="AC400" s="534"/>
    </row>
    <row r="401" spans="1:68" ht="14.25" customHeight="1" x14ac:dyDescent="0.25">
      <c r="A401" s="554" t="s">
        <v>134</v>
      </c>
      <c r="B401" s="553"/>
      <c r="C401" s="553"/>
      <c r="D401" s="553"/>
      <c r="E401" s="553"/>
      <c r="F401" s="553"/>
      <c r="G401" s="553"/>
      <c r="H401" s="553"/>
      <c r="I401" s="553"/>
      <c r="J401" s="553"/>
      <c r="K401" s="553"/>
      <c r="L401" s="553"/>
      <c r="M401" s="553"/>
      <c r="N401" s="553"/>
      <c r="O401" s="553"/>
      <c r="P401" s="553"/>
      <c r="Q401" s="553"/>
      <c r="R401" s="553"/>
      <c r="S401" s="553"/>
      <c r="T401" s="553"/>
      <c r="U401" s="553"/>
      <c r="V401" s="553"/>
      <c r="W401" s="553"/>
      <c r="X401" s="553"/>
      <c r="Y401" s="553"/>
      <c r="Z401" s="553"/>
      <c r="AA401" s="535"/>
      <c r="AB401" s="535"/>
      <c r="AC401" s="535"/>
    </row>
    <row r="402" spans="1:68" ht="27" customHeight="1" x14ac:dyDescent="0.25">
      <c r="A402" s="54" t="s">
        <v>615</v>
      </c>
      <c r="B402" s="54" t="s">
        <v>616</v>
      </c>
      <c r="C402" s="31">
        <v>4301020319</v>
      </c>
      <c r="D402" s="546">
        <v>4680115885240</v>
      </c>
      <c r="E402" s="547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75</v>
      </c>
      <c r="L402" s="32"/>
      <c r="M402" s="33" t="s">
        <v>67</v>
      </c>
      <c r="N402" s="33"/>
      <c r="O402" s="32">
        <v>40</v>
      </c>
      <c r="P402" s="62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4"/>
      <c r="R402" s="544"/>
      <c r="S402" s="544"/>
      <c r="T402" s="545"/>
      <c r="U402" s="34"/>
      <c r="V402" s="34"/>
      <c r="W402" s="35" t="s">
        <v>68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617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x14ac:dyDescent="0.2">
      <c r="A403" s="567"/>
      <c r="B403" s="553"/>
      <c r="C403" s="553"/>
      <c r="D403" s="553"/>
      <c r="E403" s="553"/>
      <c r="F403" s="553"/>
      <c r="G403" s="553"/>
      <c r="H403" s="553"/>
      <c r="I403" s="553"/>
      <c r="J403" s="553"/>
      <c r="K403" s="553"/>
      <c r="L403" s="553"/>
      <c r="M403" s="553"/>
      <c r="N403" s="553"/>
      <c r="O403" s="568"/>
      <c r="P403" s="557" t="s">
        <v>70</v>
      </c>
      <c r="Q403" s="558"/>
      <c r="R403" s="558"/>
      <c r="S403" s="558"/>
      <c r="T403" s="558"/>
      <c r="U403" s="558"/>
      <c r="V403" s="559"/>
      <c r="W403" s="37" t="s">
        <v>71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x14ac:dyDescent="0.2">
      <c r="A404" s="553"/>
      <c r="B404" s="553"/>
      <c r="C404" s="553"/>
      <c r="D404" s="553"/>
      <c r="E404" s="553"/>
      <c r="F404" s="553"/>
      <c r="G404" s="553"/>
      <c r="H404" s="553"/>
      <c r="I404" s="553"/>
      <c r="J404" s="553"/>
      <c r="K404" s="553"/>
      <c r="L404" s="553"/>
      <c r="M404" s="553"/>
      <c r="N404" s="553"/>
      <c r="O404" s="568"/>
      <c r="P404" s="557" t="s">
        <v>70</v>
      </c>
      <c r="Q404" s="558"/>
      <c r="R404" s="558"/>
      <c r="S404" s="558"/>
      <c r="T404" s="558"/>
      <c r="U404" s="558"/>
      <c r="V404" s="559"/>
      <c r="W404" s="37" t="s">
        <v>68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customHeight="1" x14ac:dyDescent="0.25">
      <c r="A405" s="554" t="s">
        <v>63</v>
      </c>
      <c r="B405" s="553"/>
      <c r="C405" s="553"/>
      <c r="D405" s="553"/>
      <c r="E405" s="553"/>
      <c r="F405" s="553"/>
      <c r="G405" s="553"/>
      <c r="H405" s="553"/>
      <c r="I405" s="553"/>
      <c r="J405" s="553"/>
      <c r="K405" s="553"/>
      <c r="L405" s="553"/>
      <c r="M405" s="553"/>
      <c r="N405" s="553"/>
      <c r="O405" s="553"/>
      <c r="P405" s="553"/>
      <c r="Q405" s="553"/>
      <c r="R405" s="553"/>
      <c r="S405" s="553"/>
      <c r="T405" s="553"/>
      <c r="U405" s="553"/>
      <c r="V405" s="553"/>
      <c r="W405" s="553"/>
      <c r="X405" s="553"/>
      <c r="Y405" s="553"/>
      <c r="Z405" s="553"/>
      <c r="AA405" s="535"/>
      <c r="AB405" s="535"/>
      <c r="AC405" s="535"/>
    </row>
    <row r="406" spans="1:68" ht="27" customHeight="1" x14ac:dyDescent="0.25">
      <c r="A406" s="54" t="s">
        <v>618</v>
      </c>
      <c r="B406" s="54" t="s">
        <v>619</v>
      </c>
      <c r="C406" s="31">
        <v>4301031403</v>
      </c>
      <c r="D406" s="546">
        <v>4680115886094</v>
      </c>
      <c r="E406" s="547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108</v>
      </c>
      <c r="L406" s="32"/>
      <c r="M406" s="33" t="s">
        <v>103</v>
      </c>
      <c r="N406" s="33"/>
      <c r="O406" s="32">
        <v>50</v>
      </c>
      <c r="P406" s="663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4"/>
      <c r="R406" s="544"/>
      <c r="S406" s="544"/>
      <c r="T406" s="545"/>
      <c r="U406" s="34"/>
      <c r="V406" s="34"/>
      <c r="W406" s="35" t="s">
        <v>68</v>
      </c>
      <c r="X406" s="539">
        <v>0</v>
      </c>
      <c r="Y406" s="540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49" t="s">
        <v>620</v>
      </c>
      <c r="AG406" s="64"/>
      <c r="AJ406" s="68"/>
      <c r="AK406" s="68">
        <v>0</v>
      </c>
      <c r="BB406" s="450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customHeight="1" x14ac:dyDescent="0.25">
      <c r="A407" s="54" t="s">
        <v>621</v>
      </c>
      <c r="B407" s="54" t="s">
        <v>622</v>
      </c>
      <c r="C407" s="31">
        <v>4301031363</v>
      </c>
      <c r="D407" s="546">
        <v>4607091389425</v>
      </c>
      <c r="E407" s="547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66</v>
      </c>
      <c r="L407" s="32"/>
      <c r="M407" s="33" t="s">
        <v>67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4"/>
      <c r="R407" s="544"/>
      <c r="S407" s="544"/>
      <c r="T407" s="545"/>
      <c r="U407" s="34"/>
      <c r="V407" s="34"/>
      <c r="W407" s="35" t="s">
        <v>68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623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4301031373</v>
      </c>
      <c r="D408" s="546">
        <v>4680115880771</v>
      </c>
      <c r="E408" s="547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66</v>
      </c>
      <c r="L408" s="32"/>
      <c r="M408" s="33" t="s">
        <v>67</v>
      </c>
      <c r="N408" s="33"/>
      <c r="O408" s="32">
        <v>50</v>
      </c>
      <c r="P408" s="83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4"/>
      <c r="R408" s="544"/>
      <c r="S408" s="544"/>
      <c r="T408" s="545"/>
      <c r="U408" s="34"/>
      <c r="V408" s="34"/>
      <c r="W408" s="35" t="s">
        <v>68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4301031359</v>
      </c>
      <c r="D409" s="546">
        <v>4607091389500</v>
      </c>
      <c r="E409" s="547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66</v>
      </c>
      <c r="L409" s="32"/>
      <c r="M409" s="33" t="s">
        <v>67</v>
      </c>
      <c r="N409" s="33"/>
      <c r="O409" s="32">
        <v>50</v>
      </c>
      <c r="P409" s="77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4"/>
      <c r="R409" s="544"/>
      <c r="S409" s="544"/>
      <c r="T409" s="545"/>
      <c r="U409" s="34"/>
      <c r="V409" s="34"/>
      <c r="W409" s="35" t="s">
        <v>68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626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67"/>
      <c r="B410" s="553"/>
      <c r="C410" s="553"/>
      <c r="D410" s="553"/>
      <c r="E410" s="553"/>
      <c r="F410" s="553"/>
      <c r="G410" s="553"/>
      <c r="H410" s="553"/>
      <c r="I410" s="553"/>
      <c r="J410" s="553"/>
      <c r="K410" s="553"/>
      <c r="L410" s="553"/>
      <c r="M410" s="553"/>
      <c r="N410" s="553"/>
      <c r="O410" s="568"/>
      <c r="P410" s="557" t="s">
        <v>70</v>
      </c>
      <c r="Q410" s="558"/>
      <c r="R410" s="558"/>
      <c r="S410" s="558"/>
      <c r="T410" s="558"/>
      <c r="U410" s="558"/>
      <c r="V410" s="559"/>
      <c r="W410" s="37" t="s">
        <v>71</v>
      </c>
      <c r="X410" s="541">
        <f>IFERROR(X406/H406,"0")+IFERROR(X407/H407,"0")+IFERROR(X408/H408,"0")+IFERROR(X409/H409,"0")</f>
        <v>0</v>
      </c>
      <c r="Y410" s="541">
        <f>IFERROR(Y406/H406,"0")+IFERROR(Y407/H407,"0")+IFERROR(Y408/H408,"0")+IFERROR(Y409/H409,"0")</f>
        <v>0</v>
      </c>
      <c r="Z410" s="541">
        <f>IFERROR(IF(Z406="",0,Z406),"0")+IFERROR(IF(Z407="",0,Z407),"0")+IFERROR(IF(Z408="",0,Z408),"0")+IFERROR(IF(Z409="",0,Z409),"0")</f>
        <v>0</v>
      </c>
      <c r="AA410" s="542"/>
      <c r="AB410" s="542"/>
      <c r="AC410" s="542"/>
    </row>
    <row r="411" spans="1:68" x14ac:dyDescent="0.2">
      <c r="A411" s="553"/>
      <c r="B411" s="553"/>
      <c r="C411" s="553"/>
      <c r="D411" s="553"/>
      <c r="E411" s="553"/>
      <c r="F411" s="553"/>
      <c r="G411" s="553"/>
      <c r="H411" s="553"/>
      <c r="I411" s="553"/>
      <c r="J411" s="553"/>
      <c r="K411" s="553"/>
      <c r="L411" s="553"/>
      <c r="M411" s="553"/>
      <c r="N411" s="553"/>
      <c r="O411" s="568"/>
      <c r="P411" s="557" t="s">
        <v>70</v>
      </c>
      <c r="Q411" s="558"/>
      <c r="R411" s="558"/>
      <c r="S411" s="558"/>
      <c r="T411" s="558"/>
      <c r="U411" s="558"/>
      <c r="V411" s="559"/>
      <c r="W411" s="37" t="s">
        <v>68</v>
      </c>
      <c r="X411" s="541">
        <f>IFERROR(SUM(X406:X409),"0")</f>
        <v>0</v>
      </c>
      <c r="Y411" s="541">
        <f>IFERROR(SUM(Y406:Y409),"0")</f>
        <v>0</v>
      </c>
      <c r="Z411" s="37"/>
      <c r="AA411" s="542"/>
      <c r="AB411" s="542"/>
      <c r="AC411" s="542"/>
    </row>
    <row r="412" spans="1:68" ht="16.5" customHeight="1" x14ac:dyDescent="0.25">
      <c r="A412" s="552" t="s">
        <v>629</v>
      </c>
      <c r="B412" s="553"/>
      <c r="C412" s="553"/>
      <c r="D412" s="553"/>
      <c r="E412" s="553"/>
      <c r="F412" s="553"/>
      <c r="G412" s="553"/>
      <c r="H412" s="553"/>
      <c r="I412" s="553"/>
      <c r="J412" s="553"/>
      <c r="K412" s="553"/>
      <c r="L412" s="553"/>
      <c r="M412" s="553"/>
      <c r="N412" s="553"/>
      <c r="O412" s="553"/>
      <c r="P412" s="553"/>
      <c r="Q412" s="553"/>
      <c r="R412" s="553"/>
      <c r="S412" s="553"/>
      <c r="T412" s="553"/>
      <c r="U412" s="553"/>
      <c r="V412" s="553"/>
      <c r="W412" s="553"/>
      <c r="X412" s="553"/>
      <c r="Y412" s="553"/>
      <c r="Z412" s="553"/>
      <c r="AA412" s="534"/>
      <c r="AB412" s="534"/>
      <c r="AC412" s="534"/>
    </row>
    <row r="413" spans="1:68" ht="14.25" customHeight="1" x14ac:dyDescent="0.25">
      <c r="A413" s="554" t="s">
        <v>63</v>
      </c>
      <c r="B413" s="553"/>
      <c r="C413" s="553"/>
      <c r="D413" s="553"/>
      <c r="E413" s="553"/>
      <c r="F413" s="553"/>
      <c r="G413" s="553"/>
      <c r="H413" s="553"/>
      <c r="I413" s="553"/>
      <c r="J413" s="553"/>
      <c r="K413" s="553"/>
      <c r="L413" s="553"/>
      <c r="M413" s="553"/>
      <c r="N413" s="553"/>
      <c r="O413" s="553"/>
      <c r="P413" s="553"/>
      <c r="Q413" s="553"/>
      <c r="R413" s="553"/>
      <c r="S413" s="553"/>
      <c r="T413" s="553"/>
      <c r="U413" s="553"/>
      <c r="V413" s="553"/>
      <c r="W413" s="553"/>
      <c r="X413" s="553"/>
      <c r="Y413" s="553"/>
      <c r="Z413" s="553"/>
      <c r="AA413" s="535"/>
      <c r="AB413" s="535"/>
      <c r="AC413" s="535"/>
    </row>
    <row r="414" spans="1:68" ht="27" customHeight="1" x14ac:dyDescent="0.25">
      <c r="A414" s="54" t="s">
        <v>630</v>
      </c>
      <c r="B414" s="54" t="s">
        <v>631</v>
      </c>
      <c r="C414" s="31">
        <v>4301031347</v>
      </c>
      <c r="D414" s="546">
        <v>4680115885110</v>
      </c>
      <c r="E414" s="547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75</v>
      </c>
      <c r="L414" s="32"/>
      <c r="M414" s="33" t="s">
        <v>67</v>
      </c>
      <c r="N414" s="33"/>
      <c r="O414" s="32">
        <v>50</v>
      </c>
      <c r="P414" s="646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4"/>
      <c r="R414" s="544"/>
      <c r="S414" s="544"/>
      <c r="T414" s="545"/>
      <c r="U414" s="34"/>
      <c r="V414" s="34"/>
      <c r="W414" s="35" t="s">
        <v>68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632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x14ac:dyDescent="0.2">
      <c r="A415" s="567"/>
      <c r="B415" s="553"/>
      <c r="C415" s="553"/>
      <c r="D415" s="553"/>
      <c r="E415" s="553"/>
      <c r="F415" s="553"/>
      <c r="G415" s="553"/>
      <c r="H415" s="553"/>
      <c r="I415" s="553"/>
      <c r="J415" s="553"/>
      <c r="K415" s="553"/>
      <c r="L415" s="553"/>
      <c r="M415" s="553"/>
      <c r="N415" s="553"/>
      <c r="O415" s="568"/>
      <c r="P415" s="557" t="s">
        <v>70</v>
      </c>
      <c r="Q415" s="558"/>
      <c r="R415" s="558"/>
      <c r="S415" s="558"/>
      <c r="T415" s="558"/>
      <c r="U415" s="558"/>
      <c r="V415" s="559"/>
      <c r="W415" s="37" t="s">
        <v>71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x14ac:dyDescent="0.2">
      <c r="A416" s="553"/>
      <c r="B416" s="553"/>
      <c r="C416" s="553"/>
      <c r="D416" s="553"/>
      <c r="E416" s="553"/>
      <c r="F416" s="553"/>
      <c r="G416" s="553"/>
      <c r="H416" s="553"/>
      <c r="I416" s="553"/>
      <c r="J416" s="553"/>
      <c r="K416" s="553"/>
      <c r="L416" s="553"/>
      <c r="M416" s="553"/>
      <c r="N416" s="553"/>
      <c r="O416" s="568"/>
      <c r="P416" s="557" t="s">
        <v>70</v>
      </c>
      <c r="Q416" s="558"/>
      <c r="R416" s="558"/>
      <c r="S416" s="558"/>
      <c r="T416" s="558"/>
      <c r="U416" s="558"/>
      <c r="V416" s="559"/>
      <c r="W416" s="37" t="s">
        <v>68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customHeight="1" x14ac:dyDescent="0.2">
      <c r="A417" s="693" t="s">
        <v>633</v>
      </c>
      <c r="B417" s="694"/>
      <c r="C417" s="694"/>
      <c r="D417" s="694"/>
      <c r="E417" s="694"/>
      <c r="F417" s="694"/>
      <c r="G417" s="694"/>
      <c r="H417" s="694"/>
      <c r="I417" s="694"/>
      <c r="J417" s="694"/>
      <c r="K417" s="694"/>
      <c r="L417" s="694"/>
      <c r="M417" s="694"/>
      <c r="N417" s="694"/>
      <c r="O417" s="694"/>
      <c r="P417" s="694"/>
      <c r="Q417" s="694"/>
      <c r="R417" s="694"/>
      <c r="S417" s="694"/>
      <c r="T417" s="694"/>
      <c r="U417" s="694"/>
      <c r="V417" s="694"/>
      <c r="W417" s="694"/>
      <c r="X417" s="694"/>
      <c r="Y417" s="694"/>
      <c r="Z417" s="694"/>
      <c r="AA417" s="48"/>
      <c r="AB417" s="48"/>
      <c r="AC417" s="48"/>
    </row>
    <row r="418" spans="1:68" ht="16.5" customHeight="1" x14ac:dyDescent="0.25">
      <c r="A418" s="552" t="s">
        <v>633</v>
      </c>
      <c r="B418" s="553"/>
      <c r="C418" s="553"/>
      <c r="D418" s="553"/>
      <c r="E418" s="553"/>
      <c r="F418" s="553"/>
      <c r="G418" s="553"/>
      <c r="H418" s="553"/>
      <c r="I418" s="553"/>
      <c r="J418" s="553"/>
      <c r="K418" s="553"/>
      <c r="L418" s="553"/>
      <c r="M418" s="553"/>
      <c r="N418" s="553"/>
      <c r="O418" s="553"/>
      <c r="P418" s="553"/>
      <c r="Q418" s="553"/>
      <c r="R418" s="553"/>
      <c r="S418" s="553"/>
      <c r="T418" s="553"/>
      <c r="U418" s="553"/>
      <c r="V418" s="553"/>
      <c r="W418" s="553"/>
      <c r="X418" s="553"/>
      <c r="Y418" s="553"/>
      <c r="Z418" s="553"/>
      <c r="AA418" s="534"/>
      <c r="AB418" s="534"/>
      <c r="AC418" s="534"/>
    </row>
    <row r="419" spans="1:68" ht="14.25" customHeight="1" x14ac:dyDescent="0.25">
      <c r="A419" s="554" t="s">
        <v>98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535"/>
      <c r="AB419" s="535"/>
      <c r="AC419" s="535"/>
    </row>
    <row r="420" spans="1:68" ht="27" customHeight="1" x14ac:dyDescent="0.25">
      <c r="A420" s="54" t="s">
        <v>634</v>
      </c>
      <c r="B420" s="54" t="s">
        <v>635</v>
      </c>
      <c r="C420" s="31">
        <v>4301011795</v>
      </c>
      <c r="D420" s="546">
        <v>4607091389067</v>
      </c>
      <c r="E420" s="547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101</v>
      </c>
      <c r="L420" s="32" t="s">
        <v>102</v>
      </c>
      <c r="M420" s="33" t="s">
        <v>103</v>
      </c>
      <c r="N420" s="33"/>
      <c r="O420" s="32">
        <v>60</v>
      </c>
      <c r="P420" s="81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4"/>
      <c r="R420" s="544"/>
      <c r="S420" s="544"/>
      <c r="T420" s="545"/>
      <c r="U420" s="34"/>
      <c r="V420" s="34"/>
      <c r="W420" s="35" t="s">
        <v>68</v>
      </c>
      <c r="X420" s="539">
        <v>0</v>
      </c>
      <c r="Y420" s="540">
        <f t="shared" ref="Y420:Y430" si="42">IFERROR(IF(X420="",0,CEILING((X420/$H420),1)*$H420),"")</f>
        <v>0</v>
      </c>
      <c r="Z420" s="36" t="str">
        <f t="shared" ref="Z420:Z425" si="43">IFERROR(IF(Y420=0,"",ROUNDUP(Y420/H420,0)*0.01196),"")</f>
        <v/>
      </c>
      <c r="AA420" s="56"/>
      <c r="AB420" s="57"/>
      <c r="AC420" s="459" t="s">
        <v>104</v>
      </c>
      <c r="AG420" s="64"/>
      <c r="AJ420" s="68" t="s">
        <v>105</v>
      </c>
      <c r="AK420" s="68">
        <v>42.24</v>
      </c>
      <c r="BB420" s="460" t="s">
        <v>1</v>
      </c>
      <c r="BM420" s="64">
        <f t="shared" ref="BM420:BM430" si="44">IFERROR(X420*I420/H420,"0")</f>
        <v>0</v>
      </c>
      <c r="BN420" s="64">
        <f t="shared" ref="BN420:BN430" si="45">IFERROR(Y420*I420/H420,"0")</f>
        <v>0</v>
      </c>
      <c r="BO420" s="64">
        <f t="shared" ref="BO420:BO430" si="46">IFERROR(1/J420*(X420/H420),"0")</f>
        <v>0</v>
      </c>
      <c r="BP420" s="64">
        <f t="shared" ref="BP420:BP430" si="47">IFERROR(1/J420*(Y420/H420),"0")</f>
        <v>0</v>
      </c>
    </row>
    <row r="421" spans="1:68" ht="27" customHeight="1" x14ac:dyDescent="0.25">
      <c r="A421" s="54" t="s">
        <v>636</v>
      </c>
      <c r="B421" s="54" t="s">
        <v>637</v>
      </c>
      <c r="C421" s="31">
        <v>4301012145</v>
      </c>
      <c r="D421" s="546">
        <v>4607091383522</v>
      </c>
      <c r="E421" s="547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101</v>
      </c>
      <c r="L421" s="32"/>
      <c r="M421" s="33" t="s">
        <v>103</v>
      </c>
      <c r="N421" s="33"/>
      <c r="O421" s="32">
        <v>60</v>
      </c>
      <c r="P421" s="832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1" s="544"/>
      <c r="R421" s="544"/>
      <c r="S421" s="544"/>
      <c r="T421" s="545"/>
      <c r="U421" s="34"/>
      <c r="V421" s="34"/>
      <c r="W421" s="35" t="s">
        <v>68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638</v>
      </c>
      <c r="AG421" s="64"/>
      <c r="AJ421" s="68"/>
      <c r="AK421" s="68">
        <v>0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4301011961</v>
      </c>
      <c r="D422" s="546">
        <v>4680115885271</v>
      </c>
      <c r="E422" s="547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101</v>
      </c>
      <c r="L422" s="32" t="s">
        <v>102</v>
      </c>
      <c r="M422" s="33" t="s">
        <v>103</v>
      </c>
      <c r="N422" s="33"/>
      <c r="O422" s="32">
        <v>60</v>
      </c>
      <c r="P422" s="6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4"/>
      <c r="R422" s="544"/>
      <c r="S422" s="544"/>
      <c r="T422" s="545"/>
      <c r="U422" s="34"/>
      <c r="V422" s="34"/>
      <c r="W422" s="35" t="s">
        <v>68</v>
      </c>
      <c r="X422" s="539">
        <v>0</v>
      </c>
      <c r="Y422" s="540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 t="s">
        <v>105</v>
      </c>
      <c r="AK422" s="68">
        <v>42.24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4301011376</v>
      </c>
      <c r="D423" s="546">
        <v>4680115885226</v>
      </c>
      <c r="E423" s="547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101</v>
      </c>
      <c r="L423" s="32" t="s">
        <v>102</v>
      </c>
      <c r="M423" s="33" t="s">
        <v>76</v>
      </c>
      <c r="N423" s="33"/>
      <c r="O423" s="32">
        <v>60</v>
      </c>
      <c r="P423" s="6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4"/>
      <c r="R423" s="544"/>
      <c r="S423" s="544"/>
      <c r="T423" s="545"/>
      <c r="U423" s="34"/>
      <c r="V423" s="34"/>
      <c r="W423" s="35" t="s">
        <v>68</v>
      </c>
      <c r="X423" s="539">
        <v>540</v>
      </c>
      <c r="Y423" s="540">
        <f t="shared" si="42"/>
        <v>543.84</v>
      </c>
      <c r="Z423" s="36">
        <f t="shared" si="43"/>
        <v>1.2318800000000001</v>
      </c>
      <c r="AA423" s="56"/>
      <c r="AB423" s="57"/>
      <c r="AC423" s="465" t="s">
        <v>644</v>
      </c>
      <c r="AG423" s="64"/>
      <c r="AJ423" s="68" t="s">
        <v>105</v>
      </c>
      <c r="AK423" s="68">
        <v>42.24</v>
      </c>
      <c r="BB423" s="466" t="s">
        <v>1</v>
      </c>
      <c r="BM423" s="64">
        <f t="shared" si="44"/>
        <v>575.7954545454545</v>
      </c>
      <c r="BN423" s="64">
        <f t="shared" si="45"/>
        <v>579.89</v>
      </c>
      <c r="BO423" s="64">
        <f t="shared" si="46"/>
        <v>0.98339160839160833</v>
      </c>
      <c r="BP423" s="64">
        <f t="shared" si="47"/>
        <v>0.99038461538461542</v>
      </c>
    </row>
    <row r="424" spans="1:68" ht="16.5" customHeight="1" x14ac:dyDescent="0.25">
      <c r="A424" s="54" t="s">
        <v>645</v>
      </c>
      <c r="B424" s="54" t="s">
        <v>646</v>
      </c>
      <c r="C424" s="31">
        <v>4301011774</v>
      </c>
      <c r="D424" s="546">
        <v>4680115884502</v>
      </c>
      <c r="E424" s="547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101</v>
      </c>
      <c r="L424" s="32"/>
      <c r="M424" s="33" t="s">
        <v>103</v>
      </c>
      <c r="N424" s="33"/>
      <c r="O424" s="32">
        <v>60</v>
      </c>
      <c r="P424" s="6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4"/>
      <c r="R424" s="544"/>
      <c r="S424" s="544"/>
      <c r="T424" s="545"/>
      <c r="U424" s="34"/>
      <c r="V424" s="34"/>
      <c r="W424" s="35" t="s">
        <v>68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648</v>
      </c>
      <c r="B425" s="54" t="s">
        <v>649</v>
      </c>
      <c r="C425" s="31">
        <v>4301011771</v>
      </c>
      <c r="D425" s="546">
        <v>4607091389104</v>
      </c>
      <c r="E425" s="547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101</v>
      </c>
      <c r="L425" s="32" t="s">
        <v>102</v>
      </c>
      <c r="M425" s="33" t="s">
        <v>103</v>
      </c>
      <c r="N425" s="33"/>
      <c r="O425" s="32">
        <v>60</v>
      </c>
      <c r="P425" s="70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4"/>
      <c r="R425" s="544"/>
      <c r="S425" s="544"/>
      <c r="T425" s="545"/>
      <c r="U425" s="34"/>
      <c r="V425" s="34"/>
      <c r="W425" s="35" t="s">
        <v>68</v>
      </c>
      <c r="X425" s="539">
        <v>592</v>
      </c>
      <c r="Y425" s="540">
        <f t="shared" si="42"/>
        <v>596.64</v>
      </c>
      <c r="Z425" s="36">
        <f t="shared" si="43"/>
        <v>1.35148</v>
      </c>
      <c r="AA425" s="56"/>
      <c r="AB425" s="57"/>
      <c r="AC425" s="469" t="s">
        <v>650</v>
      </c>
      <c r="AG425" s="64"/>
      <c r="AJ425" s="68" t="s">
        <v>105</v>
      </c>
      <c r="AK425" s="68">
        <v>42.24</v>
      </c>
      <c r="BB425" s="470" t="s">
        <v>1</v>
      </c>
      <c r="BM425" s="64">
        <f t="shared" si="44"/>
        <v>631.24242424242425</v>
      </c>
      <c r="BN425" s="64">
        <f t="shared" si="45"/>
        <v>636.18999999999994</v>
      </c>
      <c r="BO425" s="64">
        <f t="shared" si="46"/>
        <v>1.0780885780885781</v>
      </c>
      <c r="BP425" s="64">
        <f t="shared" si="47"/>
        <v>1.0865384615384615</v>
      </c>
    </row>
    <row r="426" spans="1:68" ht="27" customHeight="1" x14ac:dyDescent="0.25">
      <c r="A426" s="54" t="s">
        <v>651</v>
      </c>
      <c r="B426" s="54" t="s">
        <v>652</v>
      </c>
      <c r="C426" s="31">
        <v>4301012125</v>
      </c>
      <c r="D426" s="546">
        <v>4680115886391</v>
      </c>
      <c r="E426" s="547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75</v>
      </c>
      <c r="L426" s="32"/>
      <c r="M426" s="33" t="s">
        <v>76</v>
      </c>
      <c r="N426" s="33"/>
      <c r="O426" s="32">
        <v>60</v>
      </c>
      <c r="P426" s="63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4"/>
      <c r="R426" s="544"/>
      <c r="S426" s="544"/>
      <c r="T426" s="545"/>
      <c r="U426" s="34"/>
      <c r="V426" s="34"/>
      <c r="W426" s="35" t="s">
        <v>68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104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653</v>
      </c>
      <c r="B427" s="54" t="s">
        <v>654</v>
      </c>
      <c r="C427" s="31">
        <v>4301012035</v>
      </c>
      <c r="D427" s="546">
        <v>4680115880603</v>
      </c>
      <c r="E427" s="547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108</v>
      </c>
      <c r="L427" s="32"/>
      <c r="M427" s="33" t="s">
        <v>103</v>
      </c>
      <c r="N427" s="33"/>
      <c r="O427" s="32">
        <v>60</v>
      </c>
      <c r="P427" s="688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4"/>
      <c r="R427" s="544"/>
      <c r="S427" s="544"/>
      <c r="T427" s="545"/>
      <c r="U427" s="34"/>
      <c r="V427" s="34"/>
      <c r="W427" s="35" t="s">
        <v>68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104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655</v>
      </c>
      <c r="B428" s="54" t="s">
        <v>656</v>
      </c>
      <c r="C428" s="31">
        <v>4301012036</v>
      </c>
      <c r="D428" s="546">
        <v>4680115882782</v>
      </c>
      <c r="E428" s="547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108</v>
      </c>
      <c r="L428" s="32"/>
      <c r="M428" s="33" t="s">
        <v>103</v>
      </c>
      <c r="N428" s="33"/>
      <c r="O428" s="32">
        <v>60</v>
      </c>
      <c r="P428" s="63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4"/>
      <c r="R428" s="544"/>
      <c r="S428" s="544"/>
      <c r="T428" s="545"/>
      <c r="U428" s="34"/>
      <c r="V428" s="34"/>
      <c r="W428" s="35" t="s">
        <v>68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657</v>
      </c>
      <c r="B429" s="54" t="s">
        <v>658</v>
      </c>
      <c r="C429" s="31">
        <v>4301012050</v>
      </c>
      <c r="D429" s="546">
        <v>4680115885479</v>
      </c>
      <c r="E429" s="547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75</v>
      </c>
      <c r="L429" s="32"/>
      <c r="M429" s="33" t="s">
        <v>103</v>
      </c>
      <c r="N429" s="33"/>
      <c r="O429" s="32">
        <v>60</v>
      </c>
      <c r="P429" s="642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4"/>
      <c r="R429" s="544"/>
      <c r="S429" s="544"/>
      <c r="T429" s="545"/>
      <c r="U429" s="34"/>
      <c r="V429" s="34"/>
      <c r="W429" s="35" t="s">
        <v>68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659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4301012034</v>
      </c>
      <c r="D430" s="546">
        <v>4607091389982</v>
      </c>
      <c r="E430" s="547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108</v>
      </c>
      <c r="L430" s="32"/>
      <c r="M430" s="33" t="s">
        <v>103</v>
      </c>
      <c r="N430" s="33"/>
      <c r="O430" s="32">
        <v>60</v>
      </c>
      <c r="P430" s="80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4"/>
      <c r="R430" s="544"/>
      <c r="S430" s="544"/>
      <c r="T430" s="545"/>
      <c r="U430" s="34"/>
      <c r="V430" s="34"/>
      <c r="W430" s="35" t="s">
        <v>68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650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67"/>
      <c r="B431" s="553"/>
      <c r="C431" s="553"/>
      <c r="D431" s="553"/>
      <c r="E431" s="553"/>
      <c r="F431" s="553"/>
      <c r="G431" s="553"/>
      <c r="H431" s="553"/>
      <c r="I431" s="553"/>
      <c r="J431" s="553"/>
      <c r="K431" s="553"/>
      <c r="L431" s="553"/>
      <c r="M431" s="553"/>
      <c r="N431" s="553"/>
      <c r="O431" s="568"/>
      <c r="P431" s="557" t="s">
        <v>70</v>
      </c>
      <c r="Q431" s="558"/>
      <c r="R431" s="558"/>
      <c r="S431" s="558"/>
      <c r="T431" s="558"/>
      <c r="U431" s="558"/>
      <c r="V431" s="559"/>
      <c r="W431" s="37" t="s">
        <v>71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214.39393939393938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216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2.5833599999999999</v>
      </c>
      <c r="AA431" s="542"/>
      <c r="AB431" s="542"/>
      <c r="AC431" s="542"/>
    </row>
    <row r="432" spans="1:68" x14ac:dyDescent="0.2">
      <c r="A432" s="553"/>
      <c r="B432" s="553"/>
      <c r="C432" s="553"/>
      <c r="D432" s="553"/>
      <c r="E432" s="553"/>
      <c r="F432" s="553"/>
      <c r="G432" s="553"/>
      <c r="H432" s="553"/>
      <c r="I432" s="553"/>
      <c r="J432" s="553"/>
      <c r="K432" s="553"/>
      <c r="L432" s="553"/>
      <c r="M432" s="553"/>
      <c r="N432" s="553"/>
      <c r="O432" s="568"/>
      <c r="P432" s="557" t="s">
        <v>70</v>
      </c>
      <c r="Q432" s="558"/>
      <c r="R432" s="558"/>
      <c r="S432" s="558"/>
      <c r="T432" s="558"/>
      <c r="U432" s="558"/>
      <c r="V432" s="559"/>
      <c r="W432" s="37" t="s">
        <v>68</v>
      </c>
      <c r="X432" s="541">
        <f>IFERROR(SUM(X420:X430),"0")</f>
        <v>1132</v>
      </c>
      <c r="Y432" s="541">
        <f>IFERROR(SUM(Y420:Y430),"0")</f>
        <v>1140.48</v>
      </c>
      <c r="Z432" s="37"/>
      <c r="AA432" s="542"/>
      <c r="AB432" s="542"/>
      <c r="AC432" s="542"/>
    </row>
    <row r="433" spans="1:68" ht="14.25" customHeight="1" x14ac:dyDescent="0.25">
      <c r="A433" s="554" t="s">
        <v>134</v>
      </c>
      <c r="B433" s="553"/>
      <c r="C433" s="553"/>
      <c r="D433" s="553"/>
      <c r="E433" s="553"/>
      <c r="F433" s="553"/>
      <c r="G433" s="553"/>
      <c r="H433" s="553"/>
      <c r="I433" s="553"/>
      <c r="J433" s="553"/>
      <c r="K433" s="553"/>
      <c r="L433" s="553"/>
      <c r="M433" s="553"/>
      <c r="N433" s="553"/>
      <c r="O433" s="553"/>
      <c r="P433" s="553"/>
      <c r="Q433" s="553"/>
      <c r="R433" s="553"/>
      <c r="S433" s="553"/>
      <c r="T433" s="553"/>
      <c r="U433" s="553"/>
      <c r="V433" s="553"/>
      <c r="W433" s="553"/>
      <c r="X433" s="553"/>
      <c r="Y433" s="553"/>
      <c r="Z433" s="553"/>
      <c r="AA433" s="535"/>
      <c r="AB433" s="535"/>
      <c r="AC433" s="535"/>
    </row>
    <row r="434" spans="1:68" ht="16.5" customHeight="1" x14ac:dyDescent="0.25">
      <c r="A434" s="54" t="s">
        <v>662</v>
      </c>
      <c r="B434" s="54" t="s">
        <v>663</v>
      </c>
      <c r="C434" s="31">
        <v>4301020334</v>
      </c>
      <c r="D434" s="546">
        <v>4607091388930</v>
      </c>
      <c r="E434" s="547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101</v>
      </c>
      <c r="L434" s="32" t="s">
        <v>102</v>
      </c>
      <c r="M434" s="33" t="s">
        <v>76</v>
      </c>
      <c r="N434" s="33"/>
      <c r="O434" s="32">
        <v>70</v>
      </c>
      <c r="P434" s="840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4"/>
      <c r="R434" s="544"/>
      <c r="S434" s="544"/>
      <c r="T434" s="545"/>
      <c r="U434" s="34"/>
      <c r="V434" s="34"/>
      <c r="W434" s="35" t="s">
        <v>68</v>
      </c>
      <c r="X434" s="539">
        <v>364</v>
      </c>
      <c r="Y434" s="540">
        <f>IFERROR(IF(X434="",0,CEILING((X434/$H434),1)*$H434),"")</f>
        <v>364.32</v>
      </c>
      <c r="Z434" s="36">
        <f>IFERROR(IF(Y434=0,"",ROUNDUP(Y434/H434,0)*0.01196),"")</f>
        <v>0.82523999999999997</v>
      </c>
      <c r="AA434" s="56"/>
      <c r="AB434" s="57"/>
      <c r="AC434" s="481" t="s">
        <v>664</v>
      </c>
      <c r="AG434" s="64"/>
      <c r="AJ434" s="68" t="s">
        <v>105</v>
      </c>
      <c r="AK434" s="68">
        <v>42.24</v>
      </c>
      <c r="BB434" s="482" t="s">
        <v>1</v>
      </c>
      <c r="BM434" s="64">
        <f>IFERROR(X434*I434/H434,"0")</f>
        <v>388.12878787878788</v>
      </c>
      <c r="BN434" s="64">
        <f>IFERROR(Y434*I434/H434,"0")</f>
        <v>388.46999999999997</v>
      </c>
      <c r="BO434" s="64">
        <f>IFERROR(1/J434*(X434/H434),"0")</f>
        <v>0.66287878787878785</v>
      </c>
      <c r="BP434" s="64">
        <f>IFERROR(1/J434*(Y434/H434),"0")</f>
        <v>0.66346153846153855</v>
      </c>
    </row>
    <row r="435" spans="1:68" ht="16.5" customHeight="1" x14ac:dyDescent="0.25">
      <c r="A435" s="54" t="s">
        <v>665</v>
      </c>
      <c r="B435" s="54" t="s">
        <v>666</v>
      </c>
      <c r="C435" s="31">
        <v>4301020384</v>
      </c>
      <c r="D435" s="546">
        <v>4680115886407</v>
      </c>
      <c r="E435" s="547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75</v>
      </c>
      <c r="L435" s="32"/>
      <c r="M435" s="33" t="s">
        <v>76</v>
      </c>
      <c r="N435" s="33"/>
      <c r="O435" s="32">
        <v>70</v>
      </c>
      <c r="P435" s="83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4"/>
      <c r="R435" s="544"/>
      <c r="S435" s="544"/>
      <c r="T435" s="545"/>
      <c r="U435" s="34"/>
      <c r="V435" s="34"/>
      <c r="W435" s="35" t="s">
        <v>68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664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667</v>
      </c>
      <c r="B436" s="54" t="s">
        <v>668</v>
      </c>
      <c r="C436" s="31">
        <v>4301020385</v>
      </c>
      <c r="D436" s="546">
        <v>4680115880054</v>
      </c>
      <c r="E436" s="547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108</v>
      </c>
      <c r="L436" s="32" t="s">
        <v>109</v>
      </c>
      <c r="M436" s="33" t="s">
        <v>103</v>
      </c>
      <c r="N436" s="33"/>
      <c r="O436" s="32">
        <v>70</v>
      </c>
      <c r="P436" s="84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4"/>
      <c r="R436" s="544"/>
      <c r="S436" s="544"/>
      <c r="T436" s="545"/>
      <c r="U436" s="34"/>
      <c r="V436" s="34"/>
      <c r="W436" s="35" t="s">
        <v>68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664</v>
      </c>
      <c r="AG436" s="64"/>
      <c r="AJ436" s="68" t="s">
        <v>105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x14ac:dyDescent="0.2">
      <c r="A437" s="567"/>
      <c r="B437" s="553"/>
      <c r="C437" s="553"/>
      <c r="D437" s="553"/>
      <c r="E437" s="553"/>
      <c r="F437" s="553"/>
      <c r="G437" s="553"/>
      <c r="H437" s="553"/>
      <c r="I437" s="553"/>
      <c r="J437" s="553"/>
      <c r="K437" s="553"/>
      <c r="L437" s="553"/>
      <c r="M437" s="553"/>
      <c r="N437" s="553"/>
      <c r="O437" s="568"/>
      <c r="P437" s="557" t="s">
        <v>70</v>
      </c>
      <c r="Q437" s="558"/>
      <c r="R437" s="558"/>
      <c r="S437" s="558"/>
      <c r="T437" s="558"/>
      <c r="U437" s="558"/>
      <c r="V437" s="559"/>
      <c r="W437" s="37" t="s">
        <v>71</v>
      </c>
      <c r="X437" s="541">
        <f>IFERROR(X434/H434,"0")+IFERROR(X435/H435,"0")+IFERROR(X436/H436,"0")</f>
        <v>68.939393939393938</v>
      </c>
      <c r="Y437" s="541">
        <f>IFERROR(Y434/H434,"0")+IFERROR(Y435/H435,"0")+IFERROR(Y436/H436,"0")</f>
        <v>69</v>
      </c>
      <c r="Z437" s="541">
        <f>IFERROR(IF(Z434="",0,Z434),"0")+IFERROR(IF(Z435="",0,Z435),"0")+IFERROR(IF(Z436="",0,Z436),"0")</f>
        <v>0.82523999999999997</v>
      </c>
      <c r="AA437" s="542"/>
      <c r="AB437" s="542"/>
      <c r="AC437" s="542"/>
    </row>
    <row r="438" spans="1:68" x14ac:dyDescent="0.2">
      <c r="A438" s="553"/>
      <c r="B438" s="553"/>
      <c r="C438" s="553"/>
      <c r="D438" s="553"/>
      <c r="E438" s="553"/>
      <c r="F438" s="553"/>
      <c r="G438" s="553"/>
      <c r="H438" s="553"/>
      <c r="I438" s="553"/>
      <c r="J438" s="553"/>
      <c r="K438" s="553"/>
      <c r="L438" s="553"/>
      <c r="M438" s="553"/>
      <c r="N438" s="553"/>
      <c r="O438" s="568"/>
      <c r="P438" s="557" t="s">
        <v>70</v>
      </c>
      <c r="Q438" s="558"/>
      <c r="R438" s="558"/>
      <c r="S438" s="558"/>
      <c r="T438" s="558"/>
      <c r="U438" s="558"/>
      <c r="V438" s="559"/>
      <c r="W438" s="37" t="s">
        <v>68</v>
      </c>
      <c r="X438" s="541">
        <f>IFERROR(SUM(X434:X436),"0")</f>
        <v>364</v>
      </c>
      <c r="Y438" s="541">
        <f>IFERROR(SUM(Y434:Y436),"0")</f>
        <v>364.32</v>
      </c>
      <c r="Z438" s="37"/>
      <c r="AA438" s="542"/>
      <c r="AB438" s="542"/>
      <c r="AC438" s="542"/>
    </row>
    <row r="439" spans="1:68" ht="14.25" customHeight="1" x14ac:dyDescent="0.25">
      <c r="A439" s="554" t="s">
        <v>63</v>
      </c>
      <c r="B439" s="553"/>
      <c r="C439" s="553"/>
      <c r="D439" s="553"/>
      <c r="E439" s="553"/>
      <c r="F439" s="553"/>
      <c r="G439" s="553"/>
      <c r="H439" s="553"/>
      <c r="I439" s="553"/>
      <c r="J439" s="553"/>
      <c r="K439" s="553"/>
      <c r="L439" s="553"/>
      <c r="M439" s="553"/>
      <c r="N439" s="553"/>
      <c r="O439" s="553"/>
      <c r="P439" s="553"/>
      <c r="Q439" s="553"/>
      <c r="R439" s="553"/>
      <c r="S439" s="553"/>
      <c r="T439" s="553"/>
      <c r="U439" s="553"/>
      <c r="V439" s="553"/>
      <c r="W439" s="553"/>
      <c r="X439" s="553"/>
      <c r="Y439" s="553"/>
      <c r="Z439" s="553"/>
      <c r="AA439" s="535"/>
      <c r="AB439" s="535"/>
      <c r="AC439" s="535"/>
    </row>
    <row r="440" spans="1:68" ht="27" customHeight="1" x14ac:dyDescent="0.25">
      <c r="A440" s="54" t="s">
        <v>669</v>
      </c>
      <c r="B440" s="54" t="s">
        <v>670</v>
      </c>
      <c r="C440" s="31">
        <v>4301031349</v>
      </c>
      <c r="D440" s="546">
        <v>4680115883116</v>
      </c>
      <c r="E440" s="547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101</v>
      </c>
      <c r="L440" s="32" t="s">
        <v>102</v>
      </c>
      <c r="M440" s="33" t="s">
        <v>103</v>
      </c>
      <c r="N440" s="33"/>
      <c r="O440" s="32">
        <v>70</v>
      </c>
      <c r="P440" s="72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4"/>
      <c r="R440" s="544"/>
      <c r="S440" s="544"/>
      <c r="T440" s="545"/>
      <c r="U440" s="34"/>
      <c r="V440" s="34"/>
      <c r="W440" s="35" t="s">
        <v>68</v>
      </c>
      <c r="X440" s="539">
        <v>0</v>
      </c>
      <c r="Y440" s="540">
        <f t="shared" ref="Y440:Y445" si="48">IFERROR(IF(X440="",0,CEILING((X440/$H440),1)*$H440),"")</f>
        <v>0</v>
      </c>
      <c r="Z440" s="36" t="str">
        <f>IFERROR(IF(Y440=0,"",ROUNDUP(Y440/H440,0)*0.01196),"")</f>
        <v/>
      </c>
      <c r="AA440" s="56"/>
      <c r="AB440" s="57"/>
      <c r="AC440" s="487" t="s">
        <v>671</v>
      </c>
      <c r="AG440" s="64"/>
      <c r="AJ440" s="68" t="s">
        <v>105</v>
      </c>
      <c r="AK440" s="68">
        <v>42.24</v>
      </c>
      <c r="BB440" s="488" t="s">
        <v>1</v>
      </c>
      <c r="BM440" s="64">
        <f t="shared" ref="BM440:BM445" si="49">IFERROR(X440*I440/H440,"0")</f>
        <v>0</v>
      </c>
      <c r="BN440" s="64">
        <f t="shared" ref="BN440:BN445" si="50">IFERROR(Y440*I440/H440,"0")</f>
        <v>0</v>
      </c>
      <c r="BO440" s="64">
        <f t="shared" ref="BO440:BO445" si="51">IFERROR(1/J440*(X440/H440),"0")</f>
        <v>0</v>
      </c>
      <c r="BP440" s="64">
        <f t="shared" ref="BP440:BP445" si="52">IFERROR(1/J440*(Y440/H440),"0")</f>
        <v>0</v>
      </c>
    </row>
    <row r="441" spans="1:68" ht="27" customHeight="1" x14ac:dyDescent="0.25">
      <c r="A441" s="54" t="s">
        <v>672</v>
      </c>
      <c r="B441" s="54" t="s">
        <v>673</v>
      </c>
      <c r="C441" s="31">
        <v>4301031350</v>
      </c>
      <c r="D441" s="546">
        <v>4680115883093</v>
      </c>
      <c r="E441" s="547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101</v>
      </c>
      <c r="L441" s="32" t="s">
        <v>102</v>
      </c>
      <c r="M441" s="33" t="s">
        <v>67</v>
      </c>
      <c r="N441" s="33"/>
      <c r="O441" s="32">
        <v>70</v>
      </c>
      <c r="P441" s="72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4"/>
      <c r="R441" s="544"/>
      <c r="S441" s="544"/>
      <c r="T441" s="545"/>
      <c r="U441" s="34"/>
      <c r="V441" s="34"/>
      <c r="W441" s="35" t="s">
        <v>68</v>
      </c>
      <c r="X441" s="539">
        <v>129</v>
      </c>
      <c r="Y441" s="540">
        <f t="shared" si="48"/>
        <v>132</v>
      </c>
      <c r="Z441" s="36">
        <f>IFERROR(IF(Y441=0,"",ROUNDUP(Y441/H441,0)*0.01196),"")</f>
        <v>0.29899999999999999</v>
      </c>
      <c r="AA441" s="56"/>
      <c r="AB441" s="57"/>
      <c r="AC441" s="489" t="s">
        <v>674</v>
      </c>
      <c r="AG441" s="64"/>
      <c r="AJ441" s="68" t="s">
        <v>105</v>
      </c>
      <c r="AK441" s="68">
        <v>42.24</v>
      </c>
      <c r="BB441" s="490" t="s">
        <v>1</v>
      </c>
      <c r="BM441" s="64">
        <f t="shared" si="49"/>
        <v>137.55113636363635</v>
      </c>
      <c r="BN441" s="64">
        <f t="shared" si="50"/>
        <v>140.75</v>
      </c>
      <c r="BO441" s="64">
        <f t="shared" si="51"/>
        <v>0.23492132867132867</v>
      </c>
      <c r="BP441" s="64">
        <f t="shared" si="52"/>
        <v>0.24038461538461539</v>
      </c>
    </row>
    <row r="442" spans="1:68" ht="27" customHeight="1" x14ac:dyDescent="0.25">
      <c r="A442" s="54" t="s">
        <v>675</v>
      </c>
      <c r="B442" s="54" t="s">
        <v>676</v>
      </c>
      <c r="C442" s="31">
        <v>4301031353</v>
      </c>
      <c r="D442" s="546">
        <v>4680115883109</v>
      </c>
      <c r="E442" s="547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101</v>
      </c>
      <c r="L442" s="32" t="s">
        <v>102</v>
      </c>
      <c r="M442" s="33" t="s">
        <v>67</v>
      </c>
      <c r="N442" s="33"/>
      <c r="O442" s="32">
        <v>70</v>
      </c>
      <c r="P442" s="660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4"/>
      <c r="R442" s="544"/>
      <c r="S442" s="544"/>
      <c r="T442" s="545"/>
      <c r="U442" s="34"/>
      <c r="V442" s="34"/>
      <c r="W442" s="35" t="s">
        <v>68</v>
      </c>
      <c r="X442" s="539">
        <v>242</v>
      </c>
      <c r="Y442" s="540">
        <f t="shared" si="48"/>
        <v>242.88000000000002</v>
      </c>
      <c r="Z442" s="36">
        <f>IFERROR(IF(Y442=0,"",ROUNDUP(Y442/H442,0)*0.01196),"")</f>
        <v>0.55015999999999998</v>
      </c>
      <c r="AA442" s="56"/>
      <c r="AB442" s="57"/>
      <c r="AC442" s="491" t="s">
        <v>677</v>
      </c>
      <c r="AG442" s="64"/>
      <c r="AJ442" s="68" t="s">
        <v>105</v>
      </c>
      <c r="AK442" s="68">
        <v>42.24</v>
      </c>
      <c r="BB442" s="492" t="s">
        <v>1</v>
      </c>
      <c r="BM442" s="64">
        <f t="shared" si="49"/>
        <v>258.04166666666669</v>
      </c>
      <c r="BN442" s="64">
        <f t="shared" si="50"/>
        <v>258.98</v>
      </c>
      <c r="BO442" s="64">
        <f t="shared" si="51"/>
        <v>0.44070512820512819</v>
      </c>
      <c r="BP442" s="64">
        <f t="shared" si="52"/>
        <v>0.44230769230769235</v>
      </c>
    </row>
    <row r="443" spans="1:68" ht="27" customHeight="1" x14ac:dyDescent="0.25">
      <c r="A443" s="54" t="s">
        <v>678</v>
      </c>
      <c r="B443" s="54" t="s">
        <v>679</v>
      </c>
      <c r="C443" s="31">
        <v>4301031419</v>
      </c>
      <c r="D443" s="546">
        <v>4680115882072</v>
      </c>
      <c r="E443" s="547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108</v>
      </c>
      <c r="L443" s="32"/>
      <c r="M443" s="33" t="s">
        <v>103</v>
      </c>
      <c r="N443" s="33"/>
      <c r="O443" s="32">
        <v>70</v>
      </c>
      <c r="P443" s="59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4"/>
      <c r="R443" s="544"/>
      <c r="S443" s="544"/>
      <c r="T443" s="545"/>
      <c r="U443" s="34"/>
      <c r="V443" s="34"/>
      <c r="W443" s="35" t="s">
        <v>68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671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680</v>
      </c>
      <c r="B444" s="54" t="s">
        <v>681</v>
      </c>
      <c r="C444" s="31">
        <v>4301031418</v>
      </c>
      <c r="D444" s="546">
        <v>4680115882102</v>
      </c>
      <c r="E444" s="547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108</v>
      </c>
      <c r="L444" s="32"/>
      <c r="M444" s="33" t="s">
        <v>67</v>
      </c>
      <c r="N444" s="33"/>
      <c r="O444" s="32">
        <v>70</v>
      </c>
      <c r="P444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4"/>
      <c r="R444" s="544"/>
      <c r="S444" s="544"/>
      <c r="T444" s="545"/>
      <c r="U444" s="34"/>
      <c r="V444" s="34"/>
      <c r="W444" s="35" t="s">
        <v>68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682</v>
      </c>
      <c r="B445" s="54" t="s">
        <v>683</v>
      </c>
      <c r="C445" s="31">
        <v>4301031417</v>
      </c>
      <c r="D445" s="546">
        <v>4680115882096</v>
      </c>
      <c r="E445" s="547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108</v>
      </c>
      <c r="L445" s="32"/>
      <c r="M445" s="33" t="s">
        <v>67</v>
      </c>
      <c r="N445" s="33"/>
      <c r="O445" s="32">
        <v>70</v>
      </c>
      <c r="P445" s="59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4"/>
      <c r="R445" s="544"/>
      <c r="S445" s="544"/>
      <c r="T445" s="545"/>
      <c r="U445" s="34"/>
      <c r="V445" s="34"/>
      <c r="W445" s="35" t="s">
        <v>68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67"/>
      <c r="B446" s="553"/>
      <c r="C446" s="553"/>
      <c r="D446" s="553"/>
      <c r="E446" s="553"/>
      <c r="F446" s="553"/>
      <c r="G446" s="553"/>
      <c r="H446" s="553"/>
      <c r="I446" s="553"/>
      <c r="J446" s="553"/>
      <c r="K446" s="553"/>
      <c r="L446" s="553"/>
      <c r="M446" s="553"/>
      <c r="N446" s="553"/>
      <c r="O446" s="568"/>
      <c r="P446" s="557" t="s">
        <v>70</v>
      </c>
      <c r="Q446" s="558"/>
      <c r="R446" s="558"/>
      <c r="S446" s="558"/>
      <c r="T446" s="558"/>
      <c r="U446" s="558"/>
      <c r="V446" s="559"/>
      <c r="W446" s="37" t="s">
        <v>71</v>
      </c>
      <c r="X446" s="541">
        <f>IFERROR(X440/H440,"0")+IFERROR(X441/H441,"0")+IFERROR(X442/H442,"0")+IFERROR(X443/H443,"0")+IFERROR(X444/H444,"0")+IFERROR(X445/H445,"0")</f>
        <v>70.265151515151501</v>
      </c>
      <c r="Y446" s="541">
        <f>IFERROR(Y440/H440,"0")+IFERROR(Y441/H441,"0")+IFERROR(Y442/H442,"0")+IFERROR(Y443/H443,"0")+IFERROR(Y444/H444,"0")+IFERROR(Y445/H445,"0")</f>
        <v>71</v>
      </c>
      <c r="Z446" s="541">
        <f>IFERROR(IF(Z440="",0,Z440),"0")+IFERROR(IF(Z441="",0,Z441),"0")+IFERROR(IF(Z442="",0,Z442),"0")+IFERROR(IF(Z443="",0,Z443),"0")+IFERROR(IF(Z444="",0,Z444),"0")+IFERROR(IF(Z445="",0,Z445),"0")</f>
        <v>0.84915999999999991</v>
      </c>
      <c r="AA446" s="542"/>
      <c r="AB446" s="542"/>
      <c r="AC446" s="542"/>
    </row>
    <row r="447" spans="1:68" x14ac:dyDescent="0.2">
      <c r="A447" s="553"/>
      <c r="B447" s="553"/>
      <c r="C447" s="553"/>
      <c r="D447" s="553"/>
      <c r="E447" s="553"/>
      <c r="F447" s="553"/>
      <c r="G447" s="553"/>
      <c r="H447" s="553"/>
      <c r="I447" s="553"/>
      <c r="J447" s="553"/>
      <c r="K447" s="553"/>
      <c r="L447" s="553"/>
      <c r="M447" s="553"/>
      <c r="N447" s="553"/>
      <c r="O447" s="568"/>
      <c r="P447" s="557" t="s">
        <v>70</v>
      </c>
      <c r="Q447" s="558"/>
      <c r="R447" s="558"/>
      <c r="S447" s="558"/>
      <c r="T447" s="558"/>
      <c r="U447" s="558"/>
      <c r="V447" s="559"/>
      <c r="W447" s="37" t="s">
        <v>68</v>
      </c>
      <c r="X447" s="541">
        <f>IFERROR(SUM(X440:X445),"0")</f>
        <v>371</v>
      </c>
      <c r="Y447" s="541">
        <f>IFERROR(SUM(Y440:Y445),"0")</f>
        <v>374.88</v>
      </c>
      <c r="Z447" s="37"/>
      <c r="AA447" s="542"/>
      <c r="AB447" s="542"/>
      <c r="AC447" s="542"/>
    </row>
    <row r="448" spans="1:68" ht="14.25" customHeight="1" x14ac:dyDescent="0.25">
      <c r="A448" s="554" t="s">
        <v>72</v>
      </c>
      <c r="B448" s="553"/>
      <c r="C448" s="553"/>
      <c r="D448" s="553"/>
      <c r="E448" s="553"/>
      <c r="F448" s="553"/>
      <c r="G448" s="553"/>
      <c r="H448" s="553"/>
      <c r="I448" s="553"/>
      <c r="J448" s="553"/>
      <c r="K448" s="553"/>
      <c r="L448" s="553"/>
      <c r="M448" s="553"/>
      <c r="N448" s="553"/>
      <c r="O448" s="553"/>
      <c r="P448" s="553"/>
      <c r="Q448" s="553"/>
      <c r="R448" s="553"/>
      <c r="S448" s="553"/>
      <c r="T448" s="553"/>
      <c r="U448" s="553"/>
      <c r="V448" s="553"/>
      <c r="W448" s="553"/>
      <c r="X448" s="553"/>
      <c r="Y448" s="553"/>
      <c r="Z448" s="553"/>
      <c r="AA448" s="535"/>
      <c r="AB448" s="535"/>
      <c r="AC448" s="535"/>
    </row>
    <row r="449" spans="1:68" ht="16.5" customHeight="1" x14ac:dyDescent="0.25">
      <c r="A449" s="54" t="s">
        <v>684</v>
      </c>
      <c r="B449" s="54" t="s">
        <v>685</v>
      </c>
      <c r="C449" s="31">
        <v>4301051232</v>
      </c>
      <c r="D449" s="546">
        <v>4607091383409</v>
      </c>
      <c r="E449" s="547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101</v>
      </c>
      <c r="L449" s="32"/>
      <c r="M449" s="33" t="s">
        <v>76</v>
      </c>
      <c r="N449" s="33"/>
      <c r="O449" s="32">
        <v>45</v>
      </c>
      <c r="P449" s="860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4"/>
      <c r="R449" s="544"/>
      <c r="S449" s="544"/>
      <c r="T449" s="545"/>
      <c r="U449" s="34"/>
      <c r="V449" s="34"/>
      <c r="W449" s="35" t="s">
        <v>68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686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customHeight="1" x14ac:dyDescent="0.25">
      <c r="A450" s="54" t="s">
        <v>687</v>
      </c>
      <c r="B450" s="54" t="s">
        <v>688</v>
      </c>
      <c r="C450" s="31">
        <v>4301051233</v>
      </c>
      <c r="D450" s="546">
        <v>4607091383416</v>
      </c>
      <c r="E450" s="547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101</v>
      </c>
      <c r="L450" s="32"/>
      <c r="M450" s="33" t="s">
        <v>76</v>
      </c>
      <c r="N450" s="33"/>
      <c r="O450" s="32">
        <v>45</v>
      </c>
      <c r="P450" s="680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4"/>
      <c r="R450" s="544"/>
      <c r="S450" s="544"/>
      <c r="T450" s="545"/>
      <c r="U450" s="34"/>
      <c r="V450" s="34"/>
      <c r="W450" s="35" t="s">
        <v>68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customHeight="1" x14ac:dyDescent="0.25">
      <c r="A451" s="54" t="s">
        <v>690</v>
      </c>
      <c r="B451" s="54" t="s">
        <v>691</v>
      </c>
      <c r="C451" s="31">
        <v>4301051064</v>
      </c>
      <c r="D451" s="546">
        <v>4680115883536</v>
      </c>
      <c r="E451" s="547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75</v>
      </c>
      <c r="L451" s="32"/>
      <c r="M451" s="33" t="s">
        <v>76</v>
      </c>
      <c r="N451" s="33"/>
      <c r="O451" s="32">
        <v>45</v>
      </c>
      <c r="P451" s="70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4"/>
      <c r="R451" s="544"/>
      <c r="S451" s="544"/>
      <c r="T451" s="545"/>
      <c r="U451" s="34"/>
      <c r="V451" s="34"/>
      <c r="W451" s="35" t="s">
        <v>68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x14ac:dyDescent="0.2">
      <c r="A452" s="567"/>
      <c r="B452" s="553"/>
      <c r="C452" s="553"/>
      <c r="D452" s="553"/>
      <c r="E452" s="553"/>
      <c r="F452" s="553"/>
      <c r="G452" s="553"/>
      <c r="H452" s="553"/>
      <c r="I452" s="553"/>
      <c r="J452" s="553"/>
      <c r="K452" s="553"/>
      <c r="L452" s="553"/>
      <c r="M452" s="553"/>
      <c r="N452" s="553"/>
      <c r="O452" s="568"/>
      <c r="P452" s="557" t="s">
        <v>70</v>
      </c>
      <c r="Q452" s="558"/>
      <c r="R452" s="558"/>
      <c r="S452" s="558"/>
      <c r="T452" s="558"/>
      <c r="U452" s="558"/>
      <c r="V452" s="559"/>
      <c r="W452" s="37" t="s">
        <v>71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x14ac:dyDescent="0.2">
      <c r="A453" s="553"/>
      <c r="B453" s="553"/>
      <c r="C453" s="553"/>
      <c r="D453" s="553"/>
      <c r="E453" s="553"/>
      <c r="F453" s="553"/>
      <c r="G453" s="553"/>
      <c r="H453" s="553"/>
      <c r="I453" s="553"/>
      <c r="J453" s="553"/>
      <c r="K453" s="553"/>
      <c r="L453" s="553"/>
      <c r="M453" s="553"/>
      <c r="N453" s="553"/>
      <c r="O453" s="568"/>
      <c r="P453" s="557" t="s">
        <v>70</v>
      </c>
      <c r="Q453" s="558"/>
      <c r="R453" s="558"/>
      <c r="S453" s="558"/>
      <c r="T453" s="558"/>
      <c r="U453" s="558"/>
      <c r="V453" s="559"/>
      <c r="W453" s="37" t="s">
        <v>68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customHeight="1" x14ac:dyDescent="0.2">
      <c r="A454" s="693" t="s">
        <v>693</v>
      </c>
      <c r="B454" s="694"/>
      <c r="C454" s="694"/>
      <c r="D454" s="694"/>
      <c r="E454" s="694"/>
      <c r="F454" s="694"/>
      <c r="G454" s="694"/>
      <c r="H454" s="694"/>
      <c r="I454" s="694"/>
      <c r="J454" s="694"/>
      <c r="K454" s="694"/>
      <c r="L454" s="694"/>
      <c r="M454" s="694"/>
      <c r="N454" s="694"/>
      <c r="O454" s="694"/>
      <c r="P454" s="694"/>
      <c r="Q454" s="694"/>
      <c r="R454" s="694"/>
      <c r="S454" s="694"/>
      <c r="T454" s="694"/>
      <c r="U454" s="694"/>
      <c r="V454" s="694"/>
      <c r="W454" s="694"/>
      <c r="X454" s="694"/>
      <c r="Y454" s="694"/>
      <c r="Z454" s="694"/>
      <c r="AA454" s="48"/>
      <c r="AB454" s="48"/>
      <c r="AC454" s="48"/>
    </row>
    <row r="455" spans="1:68" ht="16.5" customHeight="1" x14ac:dyDescent="0.25">
      <c r="A455" s="552" t="s">
        <v>693</v>
      </c>
      <c r="B455" s="553"/>
      <c r="C455" s="553"/>
      <c r="D455" s="553"/>
      <c r="E455" s="553"/>
      <c r="F455" s="553"/>
      <c r="G455" s="553"/>
      <c r="H455" s="553"/>
      <c r="I455" s="553"/>
      <c r="J455" s="553"/>
      <c r="K455" s="553"/>
      <c r="L455" s="553"/>
      <c r="M455" s="553"/>
      <c r="N455" s="553"/>
      <c r="O455" s="553"/>
      <c r="P455" s="553"/>
      <c r="Q455" s="553"/>
      <c r="R455" s="553"/>
      <c r="S455" s="553"/>
      <c r="T455" s="553"/>
      <c r="U455" s="553"/>
      <c r="V455" s="553"/>
      <c r="W455" s="553"/>
      <c r="X455" s="553"/>
      <c r="Y455" s="553"/>
      <c r="Z455" s="553"/>
      <c r="AA455" s="534"/>
      <c r="AB455" s="534"/>
      <c r="AC455" s="534"/>
    </row>
    <row r="456" spans="1:68" ht="14.25" customHeight="1" x14ac:dyDescent="0.25">
      <c r="A456" s="554" t="s">
        <v>98</v>
      </c>
      <c r="B456" s="553"/>
      <c r="C456" s="553"/>
      <c r="D456" s="553"/>
      <c r="E456" s="553"/>
      <c r="F456" s="553"/>
      <c r="G456" s="553"/>
      <c r="H456" s="553"/>
      <c r="I456" s="553"/>
      <c r="J456" s="553"/>
      <c r="K456" s="553"/>
      <c r="L456" s="553"/>
      <c r="M456" s="553"/>
      <c r="N456" s="553"/>
      <c r="O456" s="553"/>
      <c r="P456" s="553"/>
      <c r="Q456" s="553"/>
      <c r="R456" s="553"/>
      <c r="S456" s="553"/>
      <c r="T456" s="553"/>
      <c r="U456" s="553"/>
      <c r="V456" s="553"/>
      <c r="W456" s="553"/>
      <c r="X456" s="553"/>
      <c r="Y456" s="553"/>
      <c r="Z456" s="553"/>
      <c r="AA456" s="535"/>
      <c r="AB456" s="535"/>
      <c r="AC456" s="535"/>
    </row>
    <row r="457" spans="1:68" ht="27" customHeight="1" x14ac:dyDescent="0.25">
      <c r="A457" s="54" t="s">
        <v>694</v>
      </c>
      <c r="B457" s="54" t="s">
        <v>695</v>
      </c>
      <c r="C457" s="31">
        <v>4301011763</v>
      </c>
      <c r="D457" s="546">
        <v>4640242181011</v>
      </c>
      <c r="E457" s="547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101</v>
      </c>
      <c r="L457" s="32"/>
      <c r="M457" s="33" t="s">
        <v>76</v>
      </c>
      <c r="N457" s="33"/>
      <c r="O457" s="32">
        <v>55</v>
      </c>
      <c r="P457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4"/>
      <c r="R457" s="544"/>
      <c r="S457" s="544"/>
      <c r="T457" s="545"/>
      <c r="U457" s="34"/>
      <c r="V457" s="34"/>
      <c r="W457" s="35" t="s">
        <v>68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696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customHeight="1" x14ac:dyDescent="0.25">
      <c r="A458" s="54" t="s">
        <v>697</v>
      </c>
      <c r="B458" s="54" t="s">
        <v>698</v>
      </c>
      <c r="C458" s="31">
        <v>4301011585</v>
      </c>
      <c r="D458" s="546">
        <v>4640242180441</v>
      </c>
      <c r="E458" s="547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101</v>
      </c>
      <c r="L458" s="32"/>
      <c r="M458" s="33" t="s">
        <v>103</v>
      </c>
      <c r="N458" s="33"/>
      <c r="O458" s="32">
        <v>50</v>
      </c>
      <c r="P458" s="60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4"/>
      <c r="R458" s="544"/>
      <c r="S458" s="544"/>
      <c r="T458" s="545"/>
      <c r="U458" s="34"/>
      <c r="V458" s="34"/>
      <c r="W458" s="35" t="s">
        <v>68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4301011584</v>
      </c>
      <c r="D459" s="546">
        <v>4640242180564</v>
      </c>
      <c r="E459" s="547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101</v>
      </c>
      <c r="L459" s="32" t="s">
        <v>102</v>
      </c>
      <c r="M459" s="33" t="s">
        <v>103</v>
      </c>
      <c r="N459" s="33"/>
      <c r="O459" s="32">
        <v>50</v>
      </c>
      <c r="P459" s="732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4"/>
      <c r="R459" s="544"/>
      <c r="S459" s="544"/>
      <c r="T459" s="545"/>
      <c r="U459" s="34"/>
      <c r="V459" s="34"/>
      <c r="W459" s="35" t="s">
        <v>68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 t="s">
        <v>105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4301011764</v>
      </c>
      <c r="D460" s="546">
        <v>4640242181189</v>
      </c>
      <c r="E460" s="547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108</v>
      </c>
      <c r="L460" s="32"/>
      <c r="M460" s="33" t="s">
        <v>76</v>
      </c>
      <c r="N460" s="33"/>
      <c r="O460" s="32">
        <v>55</v>
      </c>
      <c r="P460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4"/>
      <c r="R460" s="544"/>
      <c r="S460" s="544"/>
      <c r="T460" s="545"/>
      <c r="U460" s="34"/>
      <c r="V460" s="34"/>
      <c r="W460" s="35" t="s">
        <v>68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696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x14ac:dyDescent="0.2">
      <c r="A461" s="567"/>
      <c r="B461" s="553"/>
      <c r="C461" s="553"/>
      <c r="D461" s="553"/>
      <c r="E461" s="553"/>
      <c r="F461" s="553"/>
      <c r="G461" s="553"/>
      <c r="H461" s="553"/>
      <c r="I461" s="553"/>
      <c r="J461" s="553"/>
      <c r="K461" s="553"/>
      <c r="L461" s="553"/>
      <c r="M461" s="553"/>
      <c r="N461" s="553"/>
      <c r="O461" s="568"/>
      <c r="P461" s="557" t="s">
        <v>70</v>
      </c>
      <c r="Q461" s="558"/>
      <c r="R461" s="558"/>
      <c r="S461" s="558"/>
      <c r="T461" s="558"/>
      <c r="U461" s="558"/>
      <c r="V461" s="559"/>
      <c r="W461" s="37" t="s">
        <v>71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x14ac:dyDescent="0.2">
      <c r="A462" s="553"/>
      <c r="B462" s="553"/>
      <c r="C462" s="553"/>
      <c r="D462" s="553"/>
      <c r="E462" s="553"/>
      <c r="F462" s="553"/>
      <c r="G462" s="553"/>
      <c r="H462" s="553"/>
      <c r="I462" s="553"/>
      <c r="J462" s="553"/>
      <c r="K462" s="553"/>
      <c r="L462" s="553"/>
      <c r="M462" s="553"/>
      <c r="N462" s="553"/>
      <c r="O462" s="568"/>
      <c r="P462" s="557" t="s">
        <v>70</v>
      </c>
      <c r="Q462" s="558"/>
      <c r="R462" s="558"/>
      <c r="S462" s="558"/>
      <c r="T462" s="558"/>
      <c r="U462" s="558"/>
      <c r="V462" s="559"/>
      <c r="W462" s="37" t="s">
        <v>68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customHeight="1" x14ac:dyDescent="0.25">
      <c r="A463" s="554" t="s">
        <v>134</v>
      </c>
      <c r="B463" s="553"/>
      <c r="C463" s="553"/>
      <c r="D463" s="553"/>
      <c r="E463" s="553"/>
      <c r="F463" s="553"/>
      <c r="G463" s="553"/>
      <c r="H463" s="553"/>
      <c r="I463" s="553"/>
      <c r="J463" s="553"/>
      <c r="K463" s="553"/>
      <c r="L463" s="553"/>
      <c r="M463" s="553"/>
      <c r="N463" s="553"/>
      <c r="O463" s="553"/>
      <c r="P463" s="553"/>
      <c r="Q463" s="553"/>
      <c r="R463" s="553"/>
      <c r="S463" s="553"/>
      <c r="T463" s="553"/>
      <c r="U463" s="553"/>
      <c r="V463" s="553"/>
      <c r="W463" s="553"/>
      <c r="X463" s="553"/>
      <c r="Y463" s="553"/>
      <c r="Z463" s="553"/>
      <c r="AA463" s="535"/>
      <c r="AB463" s="535"/>
      <c r="AC463" s="535"/>
    </row>
    <row r="464" spans="1:68" ht="27" customHeight="1" x14ac:dyDescent="0.25">
      <c r="A464" s="54" t="s">
        <v>705</v>
      </c>
      <c r="B464" s="54" t="s">
        <v>706</v>
      </c>
      <c r="C464" s="31">
        <v>4301020400</v>
      </c>
      <c r="D464" s="546">
        <v>4640242180519</v>
      </c>
      <c r="E464" s="547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101</v>
      </c>
      <c r="L464" s="32"/>
      <c r="M464" s="33" t="s">
        <v>103</v>
      </c>
      <c r="N464" s="33"/>
      <c r="O464" s="32">
        <v>50</v>
      </c>
      <c r="P464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4"/>
      <c r="R464" s="544"/>
      <c r="S464" s="544"/>
      <c r="T464" s="545"/>
      <c r="U464" s="34"/>
      <c r="V464" s="34"/>
      <c r="W464" s="35" t="s">
        <v>68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707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customHeight="1" x14ac:dyDescent="0.25">
      <c r="A465" s="54" t="s">
        <v>708</v>
      </c>
      <c r="B465" s="54" t="s">
        <v>709</v>
      </c>
      <c r="C465" s="31">
        <v>4301020260</v>
      </c>
      <c r="D465" s="546">
        <v>4640242180526</v>
      </c>
      <c r="E465" s="547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101</v>
      </c>
      <c r="L465" s="32"/>
      <c r="M465" s="33" t="s">
        <v>103</v>
      </c>
      <c r="N465" s="33"/>
      <c r="O465" s="32">
        <v>50</v>
      </c>
      <c r="P465" s="80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4"/>
      <c r="R465" s="544"/>
      <c r="S465" s="544"/>
      <c r="T465" s="545"/>
      <c r="U465" s="34"/>
      <c r="V465" s="34"/>
      <c r="W465" s="35" t="s">
        <v>68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4301020295</v>
      </c>
      <c r="D466" s="546">
        <v>4640242181363</v>
      </c>
      <c r="E466" s="547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108</v>
      </c>
      <c r="L466" s="32"/>
      <c r="M466" s="33" t="s">
        <v>103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4"/>
      <c r="R466" s="544"/>
      <c r="S466" s="544"/>
      <c r="T466" s="545"/>
      <c r="U466" s="34"/>
      <c r="V466" s="34"/>
      <c r="W466" s="35" t="s">
        <v>68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x14ac:dyDescent="0.2">
      <c r="A467" s="567"/>
      <c r="B467" s="553"/>
      <c r="C467" s="553"/>
      <c r="D467" s="553"/>
      <c r="E467" s="553"/>
      <c r="F467" s="553"/>
      <c r="G467" s="553"/>
      <c r="H467" s="553"/>
      <c r="I467" s="553"/>
      <c r="J467" s="553"/>
      <c r="K467" s="553"/>
      <c r="L467" s="553"/>
      <c r="M467" s="553"/>
      <c r="N467" s="553"/>
      <c r="O467" s="568"/>
      <c r="P467" s="557" t="s">
        <v>70</v>
      </c>
      <c r="Q467" s="558"/>
      <c r="R467" s="558"/>
      <c r="S467" s="558"/>
      <c r="T467" s="558"/>
      <c r="U467" s="558"/>
      <c r="V467" s="559"/>
      <c r="W467" s="37" t="s">
        <v>71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x14ac:dyDescent="0.2">
      <c r="A468" s="553"/>
      <c r="B468" s="553"/>
      <c r="C468" s="553"/>
      <c r="D468" s="553"/>
      <c r="E468" s="553"/>
      <c r="F468" s="553"/>
      <c r="G468" s="553"/>
      <c r="H468" s="553"/>
      <c r="I468" s="553"/>
      <c r="J468" s="553"/>
      <c r="K468" s="553"/>
      <c r="L468" s="553"/>
      <c r="M468" s="553"/>
      <c r="N468" s="553"/>
      <c r="O468" s="568"/>
      <c r="P468" s="557" t="s">
        <v>70</v>
      </c>
      <c r="Q468" s="558"/>
      <c r="R468" s="558"/>
      <c r="S468" s="558"/>
      <c r="T468" s="558"/>
      <c r="U468" s="558"/>
      <c r="V468" s="559"/>
      <c r="W468" s="37" t="s">
        <v>68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customHeight="1" x14ac:dyDescent="0.25">
      <c r="A469" s="554" t="s">
        <v>63</v>
      </c>
      <c r="B469" s="553"/>
      <c r="C469" s="553"/>
      <c r="D469" s="553"/>
      <c r="E469" s="553"/>
      <c r="F469" s="553"/>
      <c r="G469" s="553"/>
      <c r="H469" s="553"/>
      <c r="I469" s="553"/>
      <c r="J469" s="553"/>
      <c r="K469" s="553"/>
      <c r="L469" s="553"/>
      <c r="M469" s="553"/>
      <c r="N469" s="553"/>
      <c r="O469" s="553"/>
      <c r="P469" s="553"/>
      <c r="Q469" s="553"/>
      <c r="R469" s="553"/>
      <c r="S469" s="553"/>
      <c r="T469" s="553"/>
      <c r="U469" s="553"/>
      <c r="V469" s="553"/>
      <c r="W469" s="553"/>
      <c r="X469" s="553"/>
      <c r="Y469" s="553"/>
      <c r="Z469" s="553"/>
      <c r="AA469" s="535"/>
      <c r="AB469" s="535"/>
      <c r="AC469" s="535"/>
    </row>
    <row r="470" spans="1:68" ht="27" customHeight="1" x14ac:dyDescent="0.25">
      <c r="A470" s="54" t="s">
        <v>714</v>
      </c>
      <c r="B470" s="54" t="s">
        <v>715</v>
      </c>
      <c r="C470" s="31">
        <v>4301031280</v>
      </c>
      <c r="D470" s="546">
        <v>4640242180816</v>
      </c>
      <c r="E470" s="547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108</v>
      </c>
      <c r="L470" s="32"/>
      <c r="M470" s="33" t="s">
        <v>67</v>
      </c>
      <c r="N470" s="33"/>
      <c r="O470" s="32">
        <v>40</v>
      </c>
      <c r="P470" s="79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4"/>
      <c r="R470" s="544"/>
      <c r="S470" s="544"/>
      <c r="T470" s="545"/>
      <c r="U470" s="34"/>
      <c r="V470" s="34"/>
      <c r="W470" s="35" t="s">
        <v>68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716</v>
      </c>
      <c r="AG470" s="64"/>
      <c r="AJ470" s="68"/>
      <c r="AK470" s="68">
        <v>0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customHeight="1" x14ac:dyDescent="0.25">
      <c r="A471" s="54" t="s">
        <v>717</v>
      </c>
      <c r="B471" s="54" t="s">
        <v>718</v>
      </c>
      <c r="C471" s="31">
        <v>4301031244</v>
      </c>
      <c r="D471" s="546">
        <v>4640242180595</v>
      </c>
      <c r="E471" s="547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108</v>
      </c>
      <c r="L471" s="32"/>
      <c r="M471" s="33" t="s">
        <v>67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4"/>
      <c r="R471" s="544"/>
      <c r="S471" s="544"/>
      <c r="T471" s="545"/>
      <c r="U471" s="34"/>
      <c r="V471" s="34"/>
      <c r="W471" s="35" t="s">
        <v>68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x14ac:dyDescent="0.2">
      <c r="A472" s="567"/>
      <c r="B472" s="553"/>
      <c r="C472" s="553"/>
      <c r="D472" s="553"/>
      <c r="E472" s="553"/>
      <c r="F472" s="553"/>
      <c r="G472" s="553"/>
      <c r="H472" s="553"/>
      <c r="I472" s="553"/>
      <c r="J472" s="553"/>
      <c r="K472" s="553"/>
      <c r="L472" s="553"/>
      <c r="M472" s="553"/>
      <c r="N472" s="553"/>
      <c r="O472" s="568"/>
      <c r="P472" s="557" t="s">
        <v>70</v>
      </c>
      <c r="Q472" s="558"/>
      <c r="R472" s="558"/>
      <c r="S472" s="558"/>
      <c r="T472" s="558"/>
      <c r="U472" s="558"/>
      <c r="V472" s="559"/>
      <c r="W472" s="37" t="s">
        <v>71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x14ac:dyDescent="0.2">
      <c r="A473" s="553"/>
      <c r="B473" s="553"/>
      <c r="C473" s="553"/>
      <c r="D473" s="553"/>
      <c r="E473" s="553"/>
      <c r="F473" s="553"/>
      <c r="G473" s="553"/>
      <c r="H473" s="553"/>
      <c r="I473" s="553"/>
      <c r="J473" s="553"/>
      <c r="K473" s="553"/>
      <c r="L473" s="553"/>
      <c r="M473" s="553"/>
      <c r="N473" s="553"/>
      <c r="O473" s="568"/>
      <c r="P473" s="557" t="s">
        <v>70</v>
      </c>
      <c r="Q473" s="558"/>
      <c r="R473" s="558"/>
      <c r="S473" s="558"/>
      <c r="T473" s="558"/>
      <c r="U473" s="558"/>
      <c r="V473" s="559"/>
      <c r="W473" s="37" t="s">
        <v>68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customHeight="1" x14ac:dyDescent="0.25">
      <c r="A474" s="554" t="s">
        <v>72</v>
      </c>
      <c r="B474" s="553"/>
      <c r="C474" s="553"/>
      <c r="D474" s="553"/>
      <c r="E474" s="553"/>
      <c r="F474" s="553"/>
      <c r="G474" s="553"/>
      <c r="H474" s="553"/>
      <c r="I474" s="553"/>
      <c r="J474" s="553"/>
      <c r="K474" s="553"/>
      <c r="L474" s="553"/>
      <c r="M474" s="553"/>
      <c r="N474" s="553"/>
      <c r="O474" s="553"/>
      <c r="P474" s="553"/>
      <c r="Q474" s="553"/>
      <c r="R474" s="553"/>
      <c r="S474" s="553"/>
      <c r="T474" s="553"/>
      <c r="U474" s="553"/>
      <c r="V474" s="553"/>
      <c r="W474" s="553"/>
      <c r="X474" s="553"/>
      <c r="Y474" s="553"/>
      <c r="Z474" s="553"/>
      <c r="AA474" s="535"/>
      <c r="AB474" s="535"/>
      <c r="AC474" s="535"/>
    </row>
    <row r="475" spans="1:68" ht="27" customHeight="1" x14ac:dyDescent="0.25">
      <c r="A475" s="54" t="s">
        <v>720</v>
      </c>
      <c r="B475" s="54" t="s">
        <v>721</v>
      </c>
      <c r="C475" s="31">
        <v>4301052046</v>
      </c>
      <c r="D475" s="546">
        <v>4640242180533</v>
      </c>
      <c r="E475" s="547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101</v>
      </c>
      <c r="L475" s="32" t="s">
        <v>102</v>
      </c>
      <c r="M475" s="33" t="s">
        <v>83</v>
      </c>
      <c r="N475" s="33"/>
      <c r="O475" s="32">
        <v>45</v>
      </c>
      <c r="P475" s="7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4"/>
      <c r="R475" s="544"/>
      <c r="S475" s="544"/>
      <c r="T475" s="545"/>
      <c r="U475" s="34"/>
      <c r="V475" s="34"/>
      <c r="W475" s="35" t="s">
        <v>68</v>
      </c>
      <c r="X475" s="539">
        <v>0</v>
      </c>
      <c r="Y475" s="540">
        <f>IFERROR(IF(X475="",0,CEILING((X475/$H475),1)*$H475),"")</f>
        <v>0</v>
      </c>
      <c r="Z475" s="36" t="str">
        <f>IFERROR(IF(Y475=0,"",ROUNDUP(Y475/H475,0)*0.01898),"")</f>
        <v/>
      </c>
      <c r="AA475" s="56"/>
      <c r="AB475" s="57"/>
      <c r="AC475" s="523" t="s">
        <v>722</v>
      </c>
      <c r="AG475" s="64"/>
      <c r="AJ475" s="68" t="s">
        <v>105</v>
      </c>
      <c r="AK475" s="68">
        <v>72</v>
      </c>
      <c r="BB475" s="524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x14ac:dyDescent="0.2">
      <c r="A476" s="567"/>
      <c r="B476" s="553"/>
      <c r="C476" s="553"/>
      <c r="D476" s="553"/>
      <c r="E476" s="553"/>
      <c r="F476" s="553"/>
      <c r="G476" s="553"/>
      <c r="H476" s="553"/>
      <c r="I476" s="553"/>
      <c r="J476" s="553"/>
      <c r="K476" s="553"/>
      <c r="L476" s="553"/>
      <c r="M476" s="553"/>
      <c r="N476" s="553"/>
      <c r="O476" s="568"/>
      <c r="P476" s="557" t="s">
        <v>70</v>
      </c>
      <c r="Q476" s="558"/>
      <c r="R476" s="558"/>
      <c r="S476" s="558"/>
      <c r="T476" s="558"/>
      <c r="U476" s="558"/>
      <c r="V476" s="559"/>
      <c r="W476" s="37" t="s">
        <v>71</v>
      </c>
      <c r="X476" s="541">
        <f>IFERROR(X475/H475,"0")</f>
        <v>0</v>
      </c>
      <c r="Y476" s="541">
        <f>IFERROR(Y475/H475,"0")</f>
        <v>0</v>
      </c>
      <c r="Z476" s="541">
        <f>IFERROR(IF(Z475="",0,Z475),"0")</f>
        <v>0</v>
      </c>
      <c r="AA476" s="542"/>
      <c r="AB476" s="542"/>
      <c r="AC476" s="542"/>
    </row>
    <row r="477" spans="1:68" x14ac:dyDescent="0.2">
      <c r="A477" s="553"/>
      <c r="B477" s="553"/>
      <c r="C477" s="553"/>
      <c r="D477" s="553"/>
      <c r="E477" s="553"/>
      <c r="F477" s="553"/>
      <c r="G477" s="553"/>
      <c r="H477" s="553"/>
      <c r="I477" s="553"/>
      <c r="J477" s="553"/>
      <c r="K477" s="553"/>
      <c r="L477" s="553"/>
      <c r="M477" s="553"/>
      <c r="N477" s="553"/>
      <c r="O477" s="568"/>
      <c r="P477" s="557" t="s">
        <v>70</v>
      </c>
      <c r="Q477" s="558"/>
      <c r="R477" s="558"/>
      <c r="S477" s="558"/>
      <c r="T477" s="558"/>
      <c r="U477" s="558"/>
      <c r="V477" s="559"/>
      <c r="W477" s="37" t="s">
        <v>68</v>
      </c>
      <c r="X477" s="541">
        <f>IFERROR(SUM(X475:X475),"0")</f>
        <v>0</v>
      </c>
      <c r="Y477" s="541">
        <f>IFERROR(SUM(Y475:Y475),"0")</f>
        <v>0</v>
      </c>
      <c r="Z477" s="37"/>
      <c r="AA477" s="542"/>
      <c r="AB477" s="542"/>
      <c r="AC477" s="542"/>
    </row>
    <row r="478" spans="1:68" ht="14.25" customHeight="1" x14ac:dyDescent="0.25">
      <c r="A478" s="554" t="s">
        <v>162</v>
      </c>
      <c r="B478" s="553"/>
      <c r="C478" s="553"/>
      <c r="D478" s="553"/>
      <c r="E478" s="553"/>
      <c r="F478" s="553"/>
      <c r="G478" s="553"/>
      <c r="H478" s="553"/>
      <c r="I478" s="553"/>
      <c r="J478" s="553"/>
      <c r="K478" s="553"/>
      <c r="L478" s="553"/>
      <c r="M478" s="553"/>
      <c r="N478" s="553"/>
      <c r="O478" s="553"/>
      <c r="P478" s="553"/>
      <c r="Q478" s="553"/>
      <c r="R478" s="553"/>
      <c r="S478" s="553"/>
      <c r="T478" s="553"/>
      <c r="U478" s="553"/>
      <c r="V478" s="553"/>
      <c r="W478" s="553"/>
      <c r="X478" s="553"/>
      <c r="Y478" s="553"/>
      <c r="Z478" s="553"/>
      <c r="AA478" s="535"/>
      <c r="AB478" s="535"/>
      <c r="AC478" s="535"/>
    </row>
    <row r="479" spans="1:68" ht="27" customHeight="1" x14ac:dyDescent="0.25">
      <c r="A479" s="54" t="s">
        <v>723</v>
      </c>
      <c r="B479" s="54" t="s">
        <v>724</v>
      </c>
      <c r="C479" s="31">
        <v>4301060491</v>
      </c>
      <c r="D479" s="546">
        <v>4640242180120</v>
      </c>
      <c r="E479" s="547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101</v>
      </c>
      <c r="L479" s="32"/>
      <c r="M479" s="33" t="s">
        <v>76</v>
      </c>
      <c r="N479" s="33"/>
      <c r="O479" s="32">
        <v>40</v>
      </c>
      <c r="P479" s="64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4"/>
      <c r="R479" s="544"/>
      <c r="S479" s="544"/>
      <c r="T479" s="545"/>
      <c r="U479" s="34"/>
      <c r="V479" s="34"/>
      <c r="W479" s="35" t="s">
        <v>68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725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customHeight="1" x14ac:dyDescent="0.25">
      <c r="A480" s="54" t="s">
        <v>726</v>
      </c>
      <c r="B480" s="54" t="s">
        <v>727</v>
      </c>
      <c r="C480" s="31">
        <v>4301060493</v>
      </c>
      <c r="D480" s="546">
        <v>4640242180137</v>
      </c>
      <c r="E480" s="547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101</v>
      </c>
      <c r="L480" s="32"/>
      <c r="M480" s="33" t="s">
        <v>76</v>
      </c>
      <c r="N480" s="33"/>
      <c r="O480" s="32">
        <v>40</v>
      </c>
      <c r="P480" s="65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4"/>
      <c r="R480" s="544"/>
      <c r="S480" s="544"/>
      <c r="T480" s="545"/>
      <c r="U480" s="34"/>
      <c r="V480" s="34"/>
      <c r="W480" s="35" t="s">
        <v>68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x14ac:dyDescent="0.2">
      <c r="A481" s="567"/>
      <c r="B481" s="553"/>
      <c r="C481" s="553"/>
      <c r="D481" s="553"/>
      <c r="E481" s="553"/>
      <c r="F481" s="553"/>
      <c r="G481" s="553"/>
      <c r="H481" s="553"/>
      <c r="I481" s="553"/>
      <c r="J481" s="553"/>
      <c r="K481" s="553"/>
      <c r="L481" s="553"/>
      <c r="M481" s="553"/>
      <c r="N481" s="553"/>
      <c r="O481" s="568"/>
      <c r="P481" s="557" t="s">
        <v>70</v>
      </c>
      <c r="Q481" s="558"/>
      <c r="R481" s="558"/>
      <c r="S481" s="558"/>
      <c r="T481" s="558"/>
      <c r="U481" s="558"/>
      <c r="V481" s="559"/>
      <c r="W481" s="37" t="s">
        <v>71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x14ac:dyDescent="0.2">
      <c r="A482" s="553"/>
      <c r="B482" s="553"/>
      <c r="C482" s="553"/>
      <c r="D482" s="553"/>
      <c r="E482" s="553"/>
      <c r="F482" s="553"/>
      <c r="G482" s="553"/>
      <c r="H482" s="553"/>
      <c r="I482" s="553"/>
      <c r="J482" s="553"/>
      <c r="K482" s="553"/>
      <c r="L482" s="553"/>
      <c r="M482" s="553"/>
      <c r="N482" s="553"/>
      <c r="O482" s="568"/>
      <c r="P482" s="557" t="s">
        <v>70</v>
      </c>
      <c r="Q482" s="558"/>
      <c r="R482" s="558"/>
      <c r="S482" s="558"/>
      <c r="T482" s="558"/>
      <c r="U482" s="558"/>
      <c r="V482" s="559"/>
      <c r="W482" s="37" t="s">
        <v>68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customHeight="1" x14ac:dyDescent="0.25">
      <c r="A483" s="552" t="s">
        <v>729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534"/>
      <c r="AB483" s="534"/>
      <c r="AC483" s="534"/>
    </row>
    <row r="484" spans="1:68" ht="14.25" customHeight="1" x14ac:dyDescent="0.25">
      <c r="A484" s="554" t="s">
        <v>134</v>
      </c>
      <c r="B484" s="553"/>
      <c r="C484" s="553"/>
      <c r="D484" s="553"/>
      <c r="E484" s="553"/>
      <c r="F484" s="553"/>
      <c r="G484" s="553"/>
      <c r="H484" s="553"/>
      <c r="I484" s="553"/>
      <c r="J484" s="553"/>
      <c r="K484" s="553"/>
      <c r="L484" s="553"/>
      <c r="M484" s="553"/>
      <c r="N484" s="553"/>
      <c r="O484" s="553"/>
      <c r="P484" s="553"/>
      <c r="Q484" s="553"/>
      <c r="R484" s="553"/>
      <c r="S484" s="553"/>
      <c r="T484" s="553"/>
      <c r="U484" s="553"/>
      <c r="V484" s="553"/>
      <c r="W484" s="553"/>
      <c r="X484" s="553"/>
      <c r="Y484" s="553"/>
      <c r="Z484" s="553"/>
      <c r="AA484" s="535"/>
      <c r="AB484" s="535"/>
      <c r="AC484" s="535"/>
    </row>
    <row r="485" spans="1:68" ht="27" customHeight="1" x14ac:dyDescent="0.25">
      <c r="A485" s="54" t="s">
        <v>730</v>
      </c>
      <c r="B485" s="54" t="s">
        <v>731</v>
      </c>
      <c r="C485" s="31">
        <v>4301020314</v>
      </c>
      <c r="D485" s="546">
        <v>4640242180090</v>
      </c>
      <c r="E485" s="547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101</v>
      </c>
      <c r="L485" s="32"/>
      <c r="M485" s="33" t="s">
        <v>103</v>
      </c>
      <c r="N485" s="33"/>
      <c r="O485" s="32">
        <v>50</v>
      </c>
      <c r="P485" s="74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4"/>
      <c r="R485" s="544"/>
      <c r="S485" s="544"/>
      <c r="T485" s="545"/>
      <c r="U485" s="34"/>
      <c r="V485" s="34"/>
      <c r="W485" s="35" t="s">
        <v>68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732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x14ac:dyDescent="0.2">
      <c r="A486" s="567"/>
      <c r="B486" s="553"/>
      <c r="C486" s="553"/>
      <c r="D486" s="553"/>
      <c r="E486" s="553"/>
      <c r="F486" s="553"/>
      <c r="G486" s="553"/>
      <c r="H486" s="553"/>
      <c r="I486" s="553"/>
      <c r="J486" s="553"/>
      <c r="K486" s="553"/>
      <c r="L486" s="553"/>
      <c r="M486" s="553"/>
      <c r="N486" s="553"/>
      <c r="O486" s="568"/>
      <c r="P486" s="557" t="s">
        <v>70</v>
      </c>
      <c r="Q486" s="558"/>
      <c r="R486" s="558"/>
      <c r="S486" s="558"/>
      <c r="T486" s="558"/>
      <c r="U486" s="558"/>
      <c r="V486" s="559"/>
      <c r="W486" s="37" t="s">
        <v>71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x14ac:dyDescent="0.2">
      <c r="A487" s="553"/>
      <c r="B487" s="553"/>
      <c r="C487" s="553"/>
      <c r="D487" s="553"/>
      <c r="E487" s="553"/>
      <c r="F487" s="553"/>
      <c r="G487" s="553"/>
      <c r="H487" s="553"/>
      <c r="I487" s="553"/>
      <c r="J487" s="553"/>
      <c r="K487" s="553"/>
      <c r="L487" s="553"/>
      <c r="M487" s="553"/>
      <c r="N487" s="553"/>
      <c r="O487" s="568"/>
      <c r="P487" s="557" t="s">
        <v>70</v>
      </c>
      <c r="Q487" s="558"/>
      <c r="R487" s="558"/>
      <c r="S487" s="558"/>
      <c r="T487" s="558"/>
      <c r="U487" s="558"/>
      <c r="V487" s="559"/>
      <c r="W487" s="37" t="s">
        <v>68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826"/>
      <c r="B488" s="553"/>
      <c r="C488" s="553"/>
      <c r="D488" s="553"/>
      <c r="E488" s="553"/>
      <c r="F488" s="553"/>
      <c r="G488" s="553"/>
      <c r="H488" s="553"/>
      <c r="I488" s="553"/>
      <c r="J488" s="553"/>
      <c r="K488" s="553"/>
      <c r="L488" s="553"/>
      <c r="M488" s="553"/>
      <c r="N488" s="553"/>
      <c r="O488" s="700"/>
      <c r="P488" s="627" t="s">
        <v>733</v>
      </c>
      <c r="Q488" s="628"/>
      <c r="R488" s="628"/>
      <c r="S488" s="628"/>
      <c r="T488" s="628"/>
      <c r="U488" s="628"/>
      <c r="V488" s="629"/>
      <c r="W488" s="37" t="s">
        <v>68</v>
      </c>
      <c r="X488" s="541">
        <f>IFERROR(X24+X32+X36+X44+X48+X58+X64+X70+X77+X82+X89+X96+X104+X110+X117+X121+X127+X132+X137+X143+X149+X153+X159+X172+X178+X182+X188+X193+X204+X216+X221+X235+X239+X243+X251+X260+X268+X275+X281+X286+X295+X305+X312+X318+X325+X331+X338+X350+X355+X360+X364+X370+X375+X380+X394+X399+X404+X411+X416+X432+X438+X447+X453+X462+X468+X473+X477+X482+X487,"0")</f>
        <v>3494</v>
      </c>
      <c r="Y488" s="541">
        <f>IFERROR(Y24+Y32+Y36+Y44+Y48+Y58+Y64+Y70+Y77+Y82+Y89+Y96+Y104+Y110+Y117+Y121+Y127+Y132+Y137+Y143+Y149+Y153+Y159+Y172+Y178+Y182+Y188+Y193+Y204+Y216+Y221+Y235+Y239+Y243+Y251+Y260+Y268+Y275+Y281+Y286+Y295+Y305+Y312+Y318+Y325+Y331+Y338+Y350+Y355+Y360+Y364+Y370+Y375+Y380+Y394+Y399+Y404+Y411+Y416+Y432+Y438+Y447+Y453+Y462+Y468+Y473+Y477+Y482+Y487,"0")</f>
        <v>3545.5800000000004</v>
      </c>
      <c r="Z488" s="37"/>
      <c r="AA488" s="542"/>
      <c r="AB488" s="542"/>
      <c r="AC488" s="542"/>
    </row>
    <row r="489" spans="1:68" x14ac:dyDescent="0.2">
      <c r="A489" s="553"/>
      <c r="B489" s="553"/>
      <c r="C489" s="553"/>
      <c r="D489" s="553"/>
      <c r="E489" s="553"/>
      <c r="F489" s="553"/>
      <c r="G489" s="553"/>
      <c r="H489" s="553"/>
      <c r="I489" s="553"/>
      <c r="J489" s="553"/>
      <c r="K489" s="553"/>
      <c r="L489" s="553"/>
      <c r="M489" s="553"/>
      <c r="N489" s="553"/>
      <c r="O489" s="700"/>
      <c r="P489" s="627" t="s">
        <v>734</v>
      </c>
      <c r="Q489" s="628"/>
      <c r="R489" s="628"/>
      <c r="S489" s="628"/>
      <c r="T489" s="628"/>
      <c r="U489" s="628"/>
      <c r="V489" s="629"/>
      <c r="W489" s="37" t="s">
        <v>68</v>
      </c>
      <c r="X489" s="541">
        <f>IFERROR(SUM(BM22:BM485),"0")</f>
        <v>3698.2399703355395</v>
      </c>
      <c r="Y489" s="541">
        <f>IFERROR(SUM(BN22:BN485),"0")</f>
        <v>3752.59</v>
      </c>
      <c r="Z489" s="37"/>
      <c r="AA489" s="542"/>
      <c r="AB489" s="542"/>
      <c r="AC489" s="542"/>
    </row>
    <row r="490" spans="1:68" x14ac:dyDescent="0.2">
      <c r="A490" s="553"/>
      <c r="B490" s="553"/>
      <c r="C490" s="553"/>
      <c r="D490" s="553"/>
      <c r="E490" s="553"/>
      <c r="F490" s="553"/>
      <c r="G490" s="553"/>
      <c r="H490" s="553"/>
      <c r="I490" s="553"/>
      <c r="J490" s="553"/>
      <c r="K490" s="553"/>
      <c r="L490" s="553"/>
      <c r="M490" s="553"/>
      <c r="N490" s="553"/>
      <c r="O490" s="700"/>
      <c r="P490" s="627" t="s">
        <v>735</v>
      </c>
      <c r="Q490" s="628"/>
      <c r="R490" s="628"/>
      <c r="S490" s="628"/>
      <c r="T490" s="628"/>
      <c r="U490" s="628"/>
      <c r="V490" s="629"/>
      <c r="W490" s="37" t="s">
        <v>736</v>
      </c>
      <c r="X490" s="38">
        <f>ROUNDUP(SUM(BO22:BO485),0)</f>
        <v>7</v>
      </c>
      <c r="Y490" s="38">
        <f>ROUNDUP(SUM(BP22:BP485),0)</f>
        <v>7</v>
      </c>
      <c r="Z490" s="37"/>
      <c r="AA490" s="542"/>
      <c r="AB490" s="542"/>
      <c r="AC490" s="542"/>
    </row>
    <row r="491" spans="1:68" x14ac:dyDescent="0.2">
      <c r="A491" s="553"/>
      <c r="B491" s="553"/>
      <c r="C491" s="553"/>
      <c r="D491" s="553"/>
      <c r="E491" s="553"/>
      <c r="F491" s="553"/>
      <c r="G491" s="553"/>
      <c r="H491" s="553"/>
      <c r="I491" s="553"/>
      <c r="J491" s="553"/>
      <c r="K491" s="553"/>
      <c r="L491" s="553"/>
      <c r="M491" s="553"/>
      <c r="N491" s="553"/>
      <c r="O491" s="700"/>
      <c r="P491" s="627" t="s">
        <v>737</v>
      </c>
      <c r="Q491" s="628"/>
      <c r="R491" s="628"/>
      <c r="S491" s="628"/>
      <c r="T491" s="628"/>
      <c r="U491" s="628"/>
      <c r="V491" s="629"/>
      <c r="W491" s="37" t="s">
        <v>68</v>
      </c>
      <c r="X491" s="541">
        <f>GrossWeightTotal+PalletQtyTotal*25</f>
        <v>3873.2399703355395</v>
      </c>
      <c r="Y491" s="541">
        <f>GrossWeightTotalR+PalletQtyTotalR*25</f>
        <v>3927.59</v>
      </c>
      <c r="Z491" s="37"/>
      <c r="AA491" s="542"/>
      <c r="AB491" s="542"/>
      <c r="AC491" s="542"/>
    </row>
    <row r="492" spans="1:68" x14ac:dyDescent="0.2">
      <c r="A492" s="553"/>
      <c r="B492" s="553"/>
      <c r="C492" s="553"/>
      <c r="D492" s="553"/>
      <c r="E492" s="553"/>
      <c r="F492" s="553"/>
      <c r="G492" s="553"/>
      <c r="H492" s="553"/>
      <c r="I492" s="553"/>
      <c r="J492" s="553"/>
      <c r="K492" s="553"/>
      <c r="L492" s="553"/>
      <c r="M492" s="553"/>
      <c r="N492" s="553"/>
      <c r="O492" s="700"/>
      <c r="P492" s="627" t="s">
        <v>738</v>
      </c>
      <c r="Q492" s="628"/>
      <c r="R492" s="628"/>
      <c r="S492" s="628"/>
      <c r="T492" s="628"/>
      <c r="U492" s="628"/>
      <c r="V492" s="629"/>
      <c r="W492" s="37" t="s">
        <v>736</v>
      </c>
      <c r="X492" s="541">
        <f>IFERROR(X23+X31+X35+X43+X47+X57+X63+X69+X76+X81+X88+X95+X103+X109+X116+X120+X126+X131+X136+X142+X148+X152+X158+X171+X177+X181+X187+X192+X203+X215+X220+X234+X238+X242+X250+X259+X267+X274+X280+X285+X294+X304+X311+X317+X324+X330+X337+X349+X354+X359+X363+X369+X374+X379+X393+X398+X403+X410+X415+X431+X437+X446+X452+X461+X467+X472+X476+X481+X486,"0")</f>
        <v>583.23430860327403</v>
      </c>
      <c r="Y492" s="541">
        <f>IFERROR(Y23+Y31+Y35+Y43+Y47+Y57+Y63+Y69+Y76+Y81+Y88+Y95+Y103+Y109+Y116+Y120+Y126+Y131+Y136+Y142+Y148+Y152+Y158+Y171+Y177+Y181+Y187+Y192+Y203+Y215+Y220+Y234+Y238+Y242+Y250+Y259+Y267+Y274+Y280+Y285+Y294+Y304+Y311+Y317+Y324+Y330+Y337+Y349+Y354+Y359+Y363+Y369+Y374+Y379+Y393+Y398+Y403+Y410+Y415+Y431+Y437+Y446+Y452+Y461+Y467+Y472+Y476+Y481+Y486,"0")</f>
        <v>591</v>
      </c>
      <c r="Z492" s="37"/>
      <c r="AA492" s="542"/>
      <c r="AB492" s="542"/>
      <c r="AC492" s="542"/>
    </row>
    <row r="493" spans="1:68" ht="14.25" customHeight="1" x14ac:dyDescent="0.2">
      <c r="A493" s="553"/>
      <c r="B493" s="553"/>
      <c r="C493" s="553"/>
      <c r="D493" s="553"/>
      <c r="E493" s="553"/>
      <c r="F493" s="553"/>
      <c r="G493" s="553"/>
      <c r="H493" s="553"/>
      <c r="I493" s="553"/>
      <c r="J493" s="553"/>
      <c r="K493" s="553"/>
      <c r="L493" s="553"/>
      <c r="M493" s="553"/>
      <c r="N493" s="553"/>
      <c r="O493" s="700"/>
      <c r="P493" s="627" t="s">
        <v>739</v>
      </c>
      <c r="Q493" s="628"/>
      <c r="R493" s="628"/>
      <c r="S493" s="628"/>
      <c r="T493" s="628"/>
      <c r="U493" s="628"/>
      <c r="V493" s="629"/>
      <c r="W493" s="39" t="s">
        <v>740</v>
      </c>
      <c r="X493" s="37"/>
      <c r="Y493" s="37"/>
      <c r="Z493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379+Z393+Z398+Z403+Z410+Z415+Z431+Z437+Z446+Z452+Z461+Z467+Z472+Z476+Z481+Z486,"0")</f>
        <v>7.3061100000000003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741</v>
      </c>
      <c r="B495" s="536" t="s">
        <v>62</v>
      </c>
      <c r="C495" s="576" t="s">
        <v>96</v>
      </c>
      <c r="D495" s="594"/>
      <c r="E495" s="594"/>
      <c r="F495" s="594"/>
      <c r="G495" s="594"/>
      <c r="H495" s="595"/>
      <c r="I495" s="576" t="s">
        <v>250</v>
      </c>
      <c r="J495" s="594"/>
      <c r="K495" s="594"/>
      <c r="L495" s="594"/>
      <c r="M495" s="594"/>
      <c r="N495" s="594"/>
      <c r="O495" s="594"/>
      <c r="P495" s="594"/>
      <c r="Q495" s="594"/>
      <c r="R495" s="595"/>
      <c r="S495" s="576" t="s">
        <v>531</v>
      </c>
      <c r="T495" s="595"/>
      <c r="U495" s="576" t="s">
        <v>582</v>
      </c>
      <c r="V495" s="594"/>
      <c r="W495" s="595"/>
      <c r="X495" s="536" t="s">
        <v>633</v>
      </c>
      <c r="Y495" s="576" t="s">
        <v>693</v>
      </c>
      <c r="Z495" s="595"/>
      <c r="AB495" s="52"/>
      <c r="AC495" s="52"/>
      <c r="AF495" s="537"/>
    </row>
    <row r="496" spans="1:68" ht="14.25" customHeight="1" thickTop="1" x14ac:dyDescent="0.2">
      <c r="A496" s="599" t="s">
        <v>742</v>
      </c>
      <c r="B496" s="576" t="s">
        <v>62</v>
      </c>
      <c r="C496" s="576" t="s">
        <v>97</v>
      </c>
      <c r="D496" s="576" t="s">
        <v>115</v>
      </c>
      <c r="E496" s="576" t="s">
        <v>169</v>
      </c>
      <c r="F496" s="576" t="s">
        <v>189</v>
      </c>
      <c r="G496" s="576" t="s">
        <v>219</v>
      </c>
      <c r="H496" s="576" t="s">
        <v>96</v>
      </c>
      <c r="I496" s="576" t="s">
        <v>251</v>
      </c>
      <c r="J496" s="576" t="s">
        <v>296</v>
      </c>
      <c r="K496" s="576" t="s">
        <v>355</v>
      </c>
      <c r="L496" s="576" t="s">
        <v>397</v>
      </c>
      <c r="M496" s="576" t="s">
        <v>413</v>
      </c>
      <c r="N496" s="537"/>
      <c r="O496" s="576" t="s">
        <v>424</v>
      </c>
      <c r="P496" s="576" t="s">
        <v>433</v>
      </c>
      <c r="Q496" s="576" t="s">
        <v>447</v>
      </c>
      <c r="R496" s="576" t="s">
        <v>521</v>
      </c>
      <c r="S496" s="576" t="s">
        <v>532</v>
      </c>
      <c r="T496" s="576" t="s">
        <v>566</v>
      </c>
      <c r="U496" s="576" t="s">
        <v>583</v>
      </c>
      <c r="V496" s="576" t="s">
        <v>614</v>
      </c>
      <c r="W496" s="576" t="s">
        <v>629</v>
      </c>
      <c r="X496" s="576" t="s">
        <v>633</v>
      </c>
      <c r="Y496" s="576" t="s">
        <v>693</v>
      </c>
      <c r="Z496" s="576" t="s">
        <v>729</v>
      </c>
      <c r="AB496" s="52"/>
      <c r="AC496" s="52"/>
      <c r="AF496" s="537"/>
    </row>
    <row r="497" spans="1:32" ht="13.5" customHeight="1" thickBot="1" x14ac:dyDescent="0.25">
      <c r="A497" s="600"/>
      <c r="B497" s="577"/>
      <c r="C497" s="577"/>
      <c r="D497" s="577"/>
      <c r="E497" s="577"/>
      <c r="F497" s="577"/>
      <c r="G497" s="577"/>
      <c r="H497" s="577"/>
      <c r="I497" s="577"/>
      <c r="J497" s="577"/>
      <c r="K497" s="577"/>
      <c r="L497" s="577"/>
      <c r="M497" s="577"/>
      <c r="N497" s="537"/>
      <c r="O497" s="577"/>
      <c r="P497" s="577"/>
      <c r="Q497" s="577"/>
      <c r="R497" s="577"/>
      <c r="S497" s="577"/>
      <c r="T497" s="577"/>
      <c r="U497" s="577"/>
      <c r="V497" s="577"/>
      <c r="W497" s="577"/>
      <c r="X497" s="577"/>
      <c r="Y497" s="577"/>
      <c r="Z497" s="577"/>
      <c r="AB497" s="52"/>
      <c r="AC497" s="52"/>
      <c r="AF497" s="537"/>
    </row>
    <row r="498" spans="1:32" ht="18" customHeight="1" thickTop="1" thickBot="1" x14ac:dyDescent="0.25">
      <c r="A498" s="40" t="s">
        <v>743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64.800000000000011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8" s="46">
        <f>IFERROR(Y85*1,"0")+IFERROR(Y86*1,"0")+IFERROR(Y87*1,"0")+IFERROR(Y91*1,"0")+IFERROR(Y92*1,"0")+IFERROR(Y93*1,"0")+IFERROR(Y94*1,"0")</f>
        <v>78.300000000000011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261.89999999999998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IFERROR(Y140*1,"0")+IFERROR(Y141*1,"0")+IFERROR(Y145*1,"0")+IFERROR(Y146*1,"0")+IFERROR(Y147*1,"0")+IFERROR(Y151*1,"0")</f>
        <v>0</v>
      </c>
      <c r="I498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330.9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IFERROR(Y278*1,"0")+IFERROR(Y279*1,"0")+IFERROR(Y283*1,"0")+IFERROR(Y284*1,"0")</f>
        <v>0</v>
      </c>
      <c r="Q498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930</v>
      </c>
      <c r="T498" s="46">
        <f>IFERROR(Y367*1,"0")+IFERROR(Y368*1,"0")+IFERROR(Y372*1,"0")+IFERROR(Y373*1,"0")+IFERROR(Y377*1,"0")+IFERROR(Y378*1,"0")</f>
        <v>0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0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1879.68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0</v>
      </c>
      <c r="Z498" s="46">
        <f>IFERROR(Y485*1,"0")</f>
        <v>0</v>
      </c>
      <c r="AB498" s="52"/>
      <c r="AC498" s="52"/>
      <c r="AF498" s="537"/>
    </row>
  </sheetData>
  <sheetProtection algorithmName="SHA-512" hashValue="5TfaQXW9POJ/dLhH2uYRNI9tEeNJo/7lnAeAmNgyuqlL/5sRGALZ+f9Eni6dyjBx0lUkIzHW8bfRJI4tyCtx6g==" saltValue="/Ul3XHiNzeHh/ZK4wubsX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2">
    <mergeCell ref="X17:X18"/>
    <mergeCell ref="D408:E408"/>
    <mergeCell ref="P216:V216"/>
    <mergeCell ref="A8:C8"/>
    <mergeCell ref="P124:T124"/>
    <mergeCell ref="D293:E293"/>
    <mergeCell ref="P151:T151"/>
    <mergeCell ref="P76:V76"/>
    <mergeCell ref="P449:T449"/>
    <mergeCell ref="P374:V374"/>
    <mergeCell ref="A128:Z128"/>
    <mergeCell ref="A10:C10"/>
    <mergeCell ref="A413:Z413"/>
    <mergeCell ref="A217:Z217"/>
    <mergeCell ref="P218:T218"/>
    <mergeCell ref="P69:V69"/>
    <mergeCell ref="P311:V311"/>
    <mergeCell ref="A21:Z21"/>
    <mergeCell ref="P438:V438"/>
    <mergeCell ref="A194:Z194"/>
    <mergeCell ref="D42:E42"/>
    <mergeCell ref="D344:E344"/>
    <mergeCell ref="D17:E18"/>
    <mergeCell ref="P373:T373"/>
    <mergeCell ref="P307:T307"/>
    <mergeCell ref="P444:T444"/>
    <mergeCell ref="D421:E421"/>
    <mergeCell ref="P23:V23"/>
    <mergeCell ref="A262:Z262"/>
    <mergeCell ref="A333:Z333"/>
    <mergeCell ref="D54:E54"/>
    <mergeCell ref="D271:E271"/>
    <mergeCell ref="V12:W12"/>
    <mergeCell ref="D191:E191"/>
    <mergeCell ref="D458:E458"/>
    <mergeCell ref="P368:T368"/>
    <mergeCell ref="D237:E237"/>
    <mergeCell ref="P43:V43"/>
    <mergeCell ref="P285:V285"/>
    <mergeCell ref="A39:Z39"/>
    <mergeCell ref="A215:O216"/>
    <mergeCell ref="P85:T85"/>
    <mergeCell ref="A142:O143"/>
    <mergeCell ref="P60:T60"/>
    <mergeCell ref="D291:E291"/>
    <mergeCell ref="D266:E266"/>
    <mergeCell ref="P174:T174"/>
    <mergeCell ref="A339:Z339"/>
    <mergeCell ref="U17:V17"/>
    <mergeCell ref="Y17:Y18"/>
    <mergeCell ref="P385:T385"/>
    <mergeCell ref="N17:N18"/>
    <mergeCell ref="P199:T199"/>
    <mergeCell ref="F17:F18"/>
    <mergeCell ref="Q5:R5"/>
    <mergeCell ref="P297:T297"/>
    <mergeCell ref="P435:T435"/>
    <mergeCell ref="D278:E278"/>
    <mergeCell ref="P291:T291"/>
    <mergeCell ref="D163:E163"/>
    <mergeCell ref="D107:E107"/>
    <mergeCell ref="P434:T434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20:Z20"/>
    <mergeCell ref="P493:V493"/>
    <mergeCell ref="P431:V431"/>
    <mergeCell ref="P421:T421"/>
    <mergeCell ref="P408:T408"/>
    <mergeCell ref="M496:M497"/>
    <mergeCell ref="D218:E218"/>
    <mergeCell ref="P137:V137"/>
    <mergeCell ref="O496:O497"/>
    <mergeCell ref="D247:E247"/>
    <mergeCell ref="A412:Z412"/>
    <mergeCell ref="P239:V239"/>
    <mergeCell ref="P432:V432"/>
    <mergeCell ref="D249:E249"/>
    <mergeCell ref="D170:E170"/>
    <mergeCell ref="P132:V132"/>
    <mergeCell ref="P72:T72"/>
    <mergeCell ref="A31:O32"/>
    <mergeCell ref="A478:Z478"/>
    <mergeCell ref="P436:T436"/>
    <mergeCell ref="P379:V379"/>
    <mergeCell ref="A33:Z33"/>
    <mergeCell ref="D196:E196"/>
    <mergeCell ref="A269:Z269"/>
    <mergeCell ref="AD17:AF18"/>
    <mergeCell ref="A481:O482"/>
    <mergeCell ref="P142:V142"/>
    <mergeCell ref="A337:O338"/>
    <mergeCell ref="D101:E101"/>
    <mergeCell ref="P403:V403"/>
    <mergeCell ref="P166:T166"/>
    <mergeCell ref="P117:V117"/>
    <mergeCell ref="F5:G5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M17:M18"/>
    <mergeCell ref="A469:Z469"/>
    <mergeCell ref="P336:T336"/>
    <mergeCell ref="P131:V131"/>
    <mergeCell ref="P187:V187"/>
    <mergeCell ref="O17:O18"/>
    <mergeCell ref="P430:T430"/>
    <mergeCell ref="P350:V350"/>
    <mergeCell ref="P410:V410"/>
    <mergeCell ref="P102:T102"/>
    <mergeCell ref="P196:T196"/>
    <mergeCell ref="P281:V281"/>
    <mergeCell ref="D226:E226"/>
    <mergeCell ref="D164:E164"/>
    <mergeCell ref="P62:T62"/>
    <mergeCell ref="P420:T420"/>
    <mergeCell ref="P146:T146"/>
    <mergeCell ref="D323:E323"/>
    <mergeCell ref="A136:O137"/>
    <mergeCell ref="A192:O193"/>
    <mergeCell ref="D450:E450"/>
    <mergeCell ref="D279:E279"/>
    <mergeCell ref="P357:T357"/>
    <mergeCell ref="D29:E29"/>
    <mergeCell ref="E496:E497"/>
    <mergeCell ref="P465:T465"/>
    <mergeCell ref="D386:E386"/>
    <mergeCell ref="G496:G497"/>
    <mergeCell ref="P250:V250"/>
    <mergeCell ref="P63:V63"/>
    <mergeCell ref="P492:V492"/>
    <mergeCell ref="A103:O104"/>
    <mergeCell ref="P286:V286"/>
    <mergeCell ref="P481:V481"/>
    <mergeCell ref="A483:Z483"/>
    <mergeCell ref="D475:E475"/>
    <mergeCell ref="A488:O493"/>
    <mergeCell ref="P344:T344"/>
    <mergeCell ref="D265:E265"/>
    <mergeCell ref="A126:O127"/>
    <mergeCell ref="A484:Z484"/>
    <mergeCell ref="L496:L497"/>
    <mergeCell ref="D471:E471"/>
    <mergeCell ref="P202:T202"/>
    <mergeCell ref="D384:E384"/>
    <mergeCell ref="D213:E213"/>
    <mergeCell ref="P192:V192"/>
    <mergeCell ref="D151:E151"/>
    <mergeCell ref="D449:E449"/>
    <mergeCell ref="D321:E321"/>
    <mergeCell ref="P278:T278"/>
    <mergeCell ref="P107:T107"/>
    <mergeCell ref="P101:T101"/>
    <mergeCell ref="A9:C9"/>
    <mergeCell ref="D373:E373"/>
    <mergeCell ref="D202:E202"/>
    <mergeCell ref="A242:O243"/>
    <mergeCell ref="A179:Z179"/>
    <mergeCell ref="P112:T112"/>
    <mergeCell ref="P348:T348"/>
    <mergeCell ref="P323:T323"/>
    <mergeCell ref="D231:E231"/>
    <mergeCell ref="D358:E358"/>
    <mergeCell ref="P70:V70"/>
    <mergeCell ref="P337:V337"/>
    <mergeCell ref="A156:Z156"/>
    <mergeCell ref="P116:V116"/>
    <mergeCell ref="P32:V32"/>
    <mergeCell ref="P103:V103"/>
    <mergeCell ref="A155:Z155"/>
    <mergeCell ref="P268:V268"/>
    <mergeCell ref="Q13:R13"/>
    <mergeCell ref="P201:T201"/>
    <mergeCell ref="P47:V47"/>
    <mergeCell ref="P176:T176"/>
    <mergeCell ref="P247:T247"/>
    <mergeCell ref="P114:T114"/>
    <mergeCell ref="Y496:Y497"/>
    <mergeCell ref="A452:O453"/>
    <mergeCell ref="A296:Z296"/>
    <mergeCell ref="D459:E459"/>
    <mergeCell ref="P148:V148"/>
    <mergeCell ref="P130:T130"/>
    <mergeCell ref="P190:T190"/>
    <mergeCell ref="D434:E434"/>
    <mergeCell ref="P46:T46"/>
    <mergeCell ref="P482:V482"/>
    <mergeCell ref="D225:E225"/>
    <mergeCell ref="P409:T409"/>
    <mergeCell ref="P61:T61"/>
    <mergeCell ref="D200:E200"/>
    <mergeCell ref="D436:E436"/>
    <mergeCell ref="A476:O477"/>
    <mergeCell ref="P346:T346"/>
    <mergeCell ref="D292:E292"/>
    <mergeCell ref="D227:E227"/>
    <mergeCell ref="P321:T321"/>
    <mergeCell ref="P125:T125"/>
    <mergeCell ref="Z496:Z497"/>
    <mergeCell ref="A454:Z454"/>
    <mergeCell ref="D389:E389"/>
    <mergeCell ref="S495:T495"/>
    <mergeCell ref="D299:E299"/>
    <mergeCell ref="D85:E85"/>
    <mergeCell ref="A401:Z401"/>
    <mergeCell ref="P476:V476"/>
    <mergeCell ref="P57:V57"/>
    <mergeCell ref="A81:O82"/>
    <mergeCell ref="G17:G18"/>
    <mergeCell ref="D314:E314"/>
    <mergeCell ref="A152:O153"/>
    <mergeCell ref="P171:V171"/>
    <mergeCell ref="P242:V242"/>
    <mergeCell ref="P121:V121"/>
    <mergeCell ref="D80:E80"/>
    <mergeCell ref="P241:T241"/>
    <mergeCell ref="P41:T41"/>
    <mergeCell ref="A35:O36"/>
    <mergeCell ref="D22:E22"/>
    <mergeCell ref="A455:Z455"/>
    <mergeCell ref="D320:E320"/>
    <mergeCell ref="P470:T470"/>
    <mergeCell ref="A222:Z222"/>
    <mergeCell ref="D385:E385"/>
    <mergeCell ref="P301:T301"/>
    <mergeCell ref="H5:M5"/>
    <mergeCell ref="P31:V31"/>
    <mergeCell ref="P473:V473"/>
    <mergeCell ref="P158:V158"/>
    <mergeCell ref="A154:Z154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A306:Z306"/>
    <mergeCell ref="P175:T175"/>
    <mergeCell ref="P95:V95"/>
    <mergeCell ref="P331:V331"/>
    <mergeCell ref="P162:T162"/>
    <mergeCell ref="P460:T460"/>
    <mergeCell ref="D441:E441"/>
    <mergeCell ref="P227:T227"/>
    <mergeCell ref="D368:E368"/>
    <mergeCell ref="P106:T106"/>
    <mergeCell ref="P226:T226"/>
    <mergeCell ref="V6:W9"/>
    <mergeCell ref="D199:E199"/>
    <mergeCell ref="P234:V234"/>
    <mergeCell ref="A59:Z59"/>
    <mergeCell ref="D435:E435"/>
    <mergeCell ref="D186:E186"/>
    <mergeCell ref="P345:T345"/>
    <mergeCell ref="P22:T22"/>
    <mergeCell ref="P320:T320"/>
    <mergeCell ref="P314:T314"/>
    <mergeCell ref="D428:E428"/>
    <mergeCell ref="P40:T40"/>
    <mergeCell ref="P394:V394"/>
    <mergeCell ref="P257:T257"/>
    <mergeCell ref="P80:T80"/>
    <mergeCell ref="Z17:Z18"/>
    <mergeCell ref="A90:Z90"/>
    <mergeCell ref="A277:Z277"/>
    <mergeCell ref="P44:V44"/>
    <mergeCell ref="D367:E367"/>
    <mergeCell ref="A294:O295"/>
    <mergeCell ref="P335:T335"/>
    <mergeCell ref="D256:E256"/>
    <mergeCell ref="D207:E207"/>
    <mergeCell ref="AA17:AA18"/>
    <mergeCell ref="A433:Z433"/>
    <mergeCell ref="P485:T485"/>
    <mergeCell ref="AC17:AC18"/>
    <mergeCell ref="A122:Z122"/>
    <mergeCell ref="H10:M10"/>
    <mergeCell ref="P279:T279"/>
    <mergeCell ref="P108:T108"/>
    <mergeCell ref="P254:T254"/>
    <mergeCell ref="P343:T343"/>
    <mergeCell ref="A288:Z288"/>
    <mergeCell ref="D420:E420"/>
    <mergeCell ref="P256:T256"/>
    <mergeCell ref="A437:O438"/>
    <mergeCell ref="AB17:AB18"/>
    <mergeCell ref="A448:Z448"/>
    <mergeCell ref="P475:T475"/>
    <mergeCell ref="P164:T164"/>
    <mergeCell ref="P120:V120"/>
    <mergeCell ref="P93:T93"/>
    <mergeCell ref="P34:T34"/>
    <mergeCell ref="D257:E257"/>
    <mergeCell ref="P214:T214"/>
    <mergeCell ref="D86:E86"/>
    <mergeCell ref="H17:H18"/>
    <mergeCell ref="A220:O221"/>
    <mergeCell ref="P161:T161"/>
    <mergeCell ref="P452:V452"/>
    <mergeCell ref="P388:T388"/>
    <mergeCell ref="P459:T459"/>
    <mergeCell ref="D465:E465"/>
    <mergeCell ref="D440:E440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298:E298"/>
    <mergeCell ref="P91:T91"/>
    <mergeCell ref="P404:V404"/>
    <mergeCell ref="A351:Z351"/>
    <mergeCell ref="D273:E273"/>
    <mergeCell ref="P327:T327"/>
    <mergeCell ref="A160:Z160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D362:E362"/>
    <mergeCell ref="D51:E51"/>
    <mergeCell ref="A38:Z38"/>
    <mergeCell ref="P207:T207"/>
    <mergeCell ref="A131:O132"/>
    <mergeCell ref="P299:T299"/>
    <mergeCell ref="P172:V172"/>
    <mergeCell ref="P221:V221"/>
    <mergeCell ref="P215:V215"/>
    <mergeCell ref="P232:T232"/>
    <mergeCell ref="P51:T51"/>
    <mergeCell ref="P26:T26"/>
    <mergeCell ref="P461:V461"/>
    <mergeCell ref="A261:Z261"/>
    <mergeCell ref="P338:V338"/>
    <mergeCell ref="A138:Z138"/>
    <mergeCell ref="P58:V58"/>
    <mergeCell ref="A13:M13"/>
    <mergeCell ref="D87:E87"/>
    <mergeCell ref="A417:Z417"/>
    <mergeCell ref="P437:V437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A419:Z419"/>
    <mergeCell ref="P229:T229"/>
    <mergeCell ref="A133:Z133"/>
    <mergeCell ref="D125:E125"/>
    <mergeCell ref="P440:T440"/>
    <mergeCell ref="D68:E68"/>
    <mergeCell ref="P126:V126"/>
    <mergeCell ref="D424:E424"/>
    <mergeCell ref="P224:T224"/>
    <mergeCell ref="P322:T322"/>
    <mergeCell ref="A285:O286"/>
    <mergeCell ref="P211:T211"/>
    <mergeCell ref="P309:T309"/>
    <mergeCell ref="T496:T497"/>
    <mergeCell ref="Q496:Q497"/>
    <mergeCell ref="S496:S497"/>
    <mergeCell ref="A418:Z418"/>
    <mergeCell ref="D283:E283"/>
    <mergeCell ref="A356:Z356"/>
    <mergeCell ref="D112:E112"/>
    <mergeCell ref="P441:T441"/>
    <mergeCell ref="A431:O432"/>
    <mergeCell ref="P152:V152"/>
    <mergeCell ref="D140:E140"/>
    <mergeCell ref="A340:Z340"/>
    <mergeCell ref="D425:E425"/>
    <mergeCell ref="P468:V468"/>
    <mergeCell ref="A439:Z439"/>
    <mergeCell ref="P212:T212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A111:Z111"/>
    <mergeCell ref="P163:T163"/>
    <mergeCell ref="A14:M14"/>
    <mergeCell ref="D345:E345"/>
    <mergeCell ref="A280:O281"/>
    <mergeCell ref="A349:O350"/>
    <mergeCell ref="P387:T387"/>
    <mergeCell ref="A381:Z381"/>
    <mergeCell ref="P360:V360"/>
    <mergeCell ref="P87:T87"/>
    <mergeCell ref="D372:E372"/>
    <mergeCell ref="D335:E335"/>
    <mergeCell ref="D201:E201"/>
    <mergeCell ref="P245:T245"/>
    <mergeCell ref="P283:T283"/>
    <mergeCell ref="D264:E264"/>
    <mergeCell ref="D93:E93"/>
    <mergeCell ref="D391:E391"/>
    <mergeCell ref="P370:V370"/>
    <mergeCell ref="A369:O370"/>
    <mergeCell ref="D328:E328"/>
    <mergeCell ref="P496:P497"/>
    <mergeCell ref="D157:E157"/>
    <mergeCell ref="P136:V136"/>
    <mergeCell ref="R496:R497"/>
    <mergeCell ref="A253:Z253"/>
    <mergeCell ref="D480:E480"/>
    <mergeCell ref="P424:T424"/>
    <mergeCell ref="D409:E409"/>
    <mergeCell ref="D444:E444"/>
    <mergeCell ref="P425:T425"/>
    <mergeCell ref="A486:O487"/>
    <mergeCell ref="D485:E485"/>
    <mergeCell ref="P447:V447"/>
    <mergeCell ref="D422:E422"/>
    <mergeCell ref="P451:T451"/>
    <mergeCell ref="D496:D497"/>
    <mergeCell ref="F496:F497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82:V82"/>
    <mergeCell ref="P303:T303"/>
    <mergeCell ref="P489:V489"/>
    <mergeCell ref="P119:T119"/>
    <mergeCell ref="P354:V354"/>
    <mergeCell ref="P246:T246"/>
    <mergeCell ref="A43:O44"/>
    <mergeCell ref="H496:H497"/>
    <mergeCell ref="J496:J497"/>
    <mergeCell ref="D390:E390"/>
    <mergeCell ref="A123:Z123"/>
    <mergeCell ref="P491:V491"/>
    <mergeCell ref="P369:V369"/>
    <mergeCell ref="P127:V127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P358:T358"/>
    <mergeCell ref="U495:W495"/>
    <mergeCell ref="Q9:R9"/>
    <mergeCell ref="P267:V267"/>
    <mergeCell ref="D451:E451"/>
    <mergeCell ref="D255:E255"/>
    <mergeCell ref="P36:V36"/>
    <mergeCell ref="A97:Z97"/>
    <mergeCell ref="D322:E322"/>
    <mergeCell ref="Q11:R11"/>
    <mergeCell ref="A395:Z395"/>
    <mergeCell ref="D309:E309"/>
    <mergeCell ref="D113:E113"/>
    <mergeCell ref="P415:V415"/>
    <mergeCell ref="P180:T180"/>
    <mergeCell ref="P167:T167"/>
    <mergeCell ref="A332:Z332"/>
    <mergeCell ref="D26:E26"/>
    <mergeCell ref="P378:T378"/>
    <mergeCell ref="A259:O260"/>
    <mergeCell ref="A324:O325"/>
    <mergeCell ref="D115:E115"/>
    <mergeCell ref="P55:T55"/>
    <mergeCell ref="P480:T480"/>
    <mergeCell ref="A203:O204"/>
    <mergeCell ref="C495:H495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A173:Z173"/>
    <mergeCell ref="A400:Z400"/>
    <mergeCell ref="P113:T113"/>
    <mergeCell ref="P129:T129"/>
    <mergeCell ref="D329:E329"/>
    <mergeCell ref="P479:T479"/>
    <mergeCell ref="D229:E229"/>
    <mergeCell ref="A403:O404"/>
    <mergeCell ref="D108:E108"/>
    <mergeCell ref="P429:T429"/>
    <mergeCell ref="P258:T258"/>
    <mergeCell ref="P423:T423"/>
    <mergeCell ref="A304:O305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90:V490"/>
    <mergeCell ref="P17:T18"/>
    <mergeCell ref="P52:T52"/>
    <mergeCell ref="A467:O468"/>
    <mergeCell ref="I17:I18"/>
    <mergeCell ref="D141:E141"/>
    <mergeCell ref="D135:E135"/>
    <mergeCell ref="D377:E377"/>
    <mergeCell ref="P414:T414"/>
    <mergeCell ref="P352:T352"/>
    <mergeCell ref="P203:V203"/>
    <mergeCell ref="D72:E72"/>
    <mergeCell ref="A326:Z326"/>
    <mergeCell ref="P295:V295"/>
    <mergeCell ref="P178:V178"/>
    <mergeCell ref="A177:O178"/>
    <mergeCell ref="A376:Z376"/>
    <mergeCell ref="A105:Z105"/>
    <mergeCell ref="D224:E224"/>
    <mergeCell ref="A398:O399"/>
    <mergeCell ref="P230:T230"/>
    <mergeCell ref="D211:E211"/>
    <mergeCell ref="P168:T168"/>
    <mergeCell ref="D1:F1"/>
    <mergeCell ref="P466:T466"/>
    <mergeCell ref="A71:Z71"/>
    <mergeCell ref="A6:C6"/>
    <mergeCell ref="Q12:R12"/>
    <mergeCell ref="A274:O275"/>
    <mergeCell ref="P169:T169"/>
    <mergeCell ref="D388:E388"/>
    <mergeCell ref="P442:T442"/>
    <mergeCell ref="A5:C5"/>
    <mergeCell ref="A17:A18"/>
    <mergeCell ref="C17:C18"/>
    <mergeCell ref="K17:K18"/>
    <mergeCell ref="D230:E230"/>
    <mergeCell ref="P15:T16"/>
    <mergeCell ref="D106:E106"/>
    <mergeCell ref="P427:T427"/>
    <mergeCell ref="U496:U497"/>
    <mergeCell ref="P398:V398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D387:E387"/>
    <mergeCell ref="D443:E443"/>
    <mergeCell ref="D272:E272"/>
    <mergeCell ref="D210:E210"/>
    <mergeCell ref="D145:E145"/>
    <mergeCell ref="A250:O251"/>
    <mergeCell ref="D308:E308"/>
    <mergeCell ref="I496:I497"/>
    <mergeCell ref="K496:K497"/>
    <mergeCell ref="D209:E209"/>
    <mergeCell ref="A282:Z282"/>
    <mergeCell ref="P464:T464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B496:B497"/>
    <mergeCell ref="D28:E28"/>
    <mergeCell ref="A472:O473"/>
    <mergeCell ref="D92:E92"/>
    <mergeCell ref="A410:O411"/>
    <mergeCell ref="A361:Z361"/>
    <mergeCell ref="A95:O96"/>
    <mergeCell ref="D353:E353"/>
    <mergeCell ref="P407:T407"/>
    <mergeCell ref="A393:O394"/>
    <mergeCell ref="D55:E55"/>
    <mergeCell ref="D67:E67"/>
    <mergeCell ref="D30:E30"/>
    <mergeCell ref="D5:E5"/>
    <mergeCell ref="D303:E303"/>
    <mergeCell ref="A238:O239"/>
    <mergeCell ref="D7:M7"/>
    <mergeCell ref="A496:A497"/>
    <mergeCell ref="P92:T92"/>
    <mergeCell ref="D79:E79"/>
    <mergeCell ref="C496:C497"/>
    <mergeCell ref="P334:T334"/>
    <mergeCell ref="D315:E315"/>
    <mergeCell ref="Y495:Z495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P458:T458"/>
    <mergeCell ref="D208:E208"/>
    <mergeCell ref="D8:M8"/>
    <mergeCell ref="D300:E300"/>
    <mergeCell ref="P237:T237"/>
    <mergeCell ref="P472:V472"/>
    <mergeCell ref="P329:T329"/>
    <mergeCell ref="A148:O149"/>
    <mergeCell ref="W17:W18"/>
    <mergeCell ref="P96:V96"/>
    <mergeCell ref="P325:V325"/>
    <mergeCell ref="A150:Z150"/>
    <mergeCell ref="I495:R495"/>
    <mergeCell ref="A144:Z144"/>
    <mergeCell ref="A120:O121"/>
    <mergeCell ref="D378:E378"/>
    <mergeCell ref="D129:E129"/>
    <mergeCell ref="D406:E406"/>
    <mergeCell ref="P251:V251"/>
    <mergeCell ref="A446:O447"/>
    <mergeCell ref="P416:V416"/>
    <mergeCell ref="P487:V487"/>
    <mergeCell ref="P266:T266"/>
    <mergeCell ref="A461:O462"/>
    <mergeCell ref="D470:E470"/>
    <mergeCell ref="P182:V182"/>
    <mergeCell ref="P42:T42"/>
    <mergeCell ref="D290:E290"/>
    <mergeCell ref="D94:E94"/>
    <mergeCell ref="P471:T471"/>
    <mergeCell ref="A109:O110"/>
    <mergeCell ref="A47:O48"/>
    <mergeCell ref="P477:V477"/>
    <mergeCell ref="D124:E124"/>
    <mergeCell ref="P56:T56"/>
    <mergeCell ref="D195:E195"/>
    <mergeCell ref="V10:W10"/>
    <mergeCell ref="V496:V497"/>
    <mergeCell ref="X496:X497"/>
    <mergeCell ref="P99:T99"/>
    <mergeCell ref="P170:T170"/>
    <mergeCell ref="P393:V393"/>
    <mergeCell ref="P316:T316"/>
    <mergeCell ref="P145:T145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R1:T1"/>
    <mergeCell ref="A158:O159"/>
    <mergeCell ref="P28:T28"/>
    <mergeCell ref="P392:T392"/>
    <mergeCell ref="P386:T386"/>
    <mergeCell ref="D307:E307"/>
    <mergeCell ref="P457:T457"/>
    <mergeCell ref="W496:W497"/>
    <mergeCell ref="P165:T165"/>
    <mergeCell ref="D73:E73"/>
    <mergeCell ref="P77:V77"/>
    <mergeCell ref="P30:T30"/>
    <mergeCell ref="A76:O77"/>
    <mergeCell ref="P375:V375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P157:T157"/>
    <mergeCell ref="P79:T79"/>
    <mergeCell ref="D60:E60"/>
    <mergeCell ref="P73:T73"/>
    <mergeCell ref="P315:T315"/>
    <mergeCell ref="P231:T231"/>
    <mergeCell ref="D423:E423"/>
    <mergeCell ref="P302:T302"/>
    <mergeCell ref="D174:E174"/>
    <mergeCell ref="A83:Z83"/>
    <mergeCell ref="A276:Z276"/>
    <mergeCell ref="A270:Z270"/>
    <mergeCell ref="D134:E134"/>
    <mergeCell ref="A379:O380"/>
    <mergeCell ref="A330:O331"/>
    <mergeCell ref="P249:T249"/>
    <mergeCell ref="A365:Z365"/>
    <mergeCell ref="D357:E357"/>
    <mergeCell ref="D258:E258"/>
    <mergeCell ref="P235:V235"/>
    <mergeCell ref="P402:T402"/>
    <mergeCell ref="D301:E301"/>
    <mergeCell ref="D245:E245"/>
    <mergeCell ref="P188:V188"/>
    <mergeCell ref="D147:E147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1 X52 X54 X56 X60 X79 X85:X87 X91 X93:X94 X99:X101 X106 X112 X114 X124:X125 X130 X163:X164 X168 X186 X195:X200 X202 X206:X209 X211:X214 X232 X254 X256 X272:X273 X298 X307 X315 X322:X323 X335:X336 X342:X344 X352 X367 X372 X377:X378 X386 X420 X422:X423 X425 X434 X436 X440:X442 X459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744</v>
      </c>
      <c r="H1" s="52"/>
    </row>
    <row r="3" spans="2:8" x14ac:dyDescent="0.2">
      <c r="B3" s="47" t="s">
        <v>745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13</v>
      </c>
      <c r="C6" s="47" t="s">
        <v>746</v>
      </c>
      <c r="D6" s="47" t="s">
        <v>747</v>
      </c>
      <c r="E6" s="47"/>
    </row>
    <row r="8" spans="2:8" x14ac:dyDescent="0.2">
      <c r="B8" s="47" t="s">
        <v>18</v>
      </c>
      <c r="C8" s="47" t="s">
        <v>746</v>
      </c>
      <c r="D8" s="47"/>
      <c r="E8" s="47"/>
    </row>
    <row r="10" spans="2:8" x14ac:dyDescent="0.2">
      <c r="B10" s="47" t="s">
        <v>748</v>
      </c>
      <c r="C10" s="47"/>
      <c r="D10" s="47"/>
      <c r="E10" s="47"/>
    </row>
    <row r="11" spans="2:8" x14ac:dyDescent="0.2">
      <c r="B11" s="47" t="s">
        <v>749</v>
      </c>
      <c r="C11" s="47"/>
      <c r="D11" s="47"/>
      <c r="E11" s="47"/>
    </row>
    <row r="12" spans="2:8" x14ac:dyDescent="0.2">
      <c r="B12" s="47" t="s">
        <v>750</v>
      </c>
      <c r="C12" s="47"/>
      <c r="D12" s="47"/>
      <c r="E12" s="47"/>
    </row>
    <row r="13" spans="2:8" x14ac:dyDescent="0.2">
      <c r="B13" s="47" t="s">
        <v>751</v>
      </c>
      <c r="C13" s="47"/>
      <c r="D13" s="47"/>
      <c r="E13" s="47"/>
    </row>
    <row r="14" spans="2:8" x14ac:dyDescent="0.2">
      <c r="B14" s="47" t="s">
        <v>752</v>
      </c>
      <c r="C14" s="47"/>
      <c r="D14" s="47"/>
      <c r="E14" s="47"/>
    </row>
    <row r="15" spans="2:8" x14ac:dyDescent="0.2">
      <c r="B15" s="47" t="s">
        <v>753</v>
      </c>
      <c r="C15" s="47"/>
      <c r="D15" s="47"/>
      <c r="E15" s="47"/>
    </row>
    <row r="16" spans="2:8" x14ac:dyDescent="0.2">
      <c r="B16" s="47" t="s">
        <v>754</v>
      </c>
      <c r="C16" s="47"/>
      <c r="D16" s="47"/>
      <c r="E16" s="47"/>
    </row>
    <row r="17" spans="2:5" x14ac:dyDescent="0.2">
      <c r="B17" s="47" t="s">
        <v>755</v>
      </c>
      <c r="C17" s="47"/>
      <c r="D17" s="47"/>
      <c r="E17" s="47"/>
    </row>
    <row r="18" spans="2:5" x14ac:dyDescent="0.2">
      <c r="B18" s="47" t="s">
        <v>756</v>
      </c>
      <c r="C18" s="47"/>
      <c r="D18" s="47"/>
      <c r="E18" s="47"/>
    </row>
    <row r="19" spans="2:5" x14ac:dyDescent="0.2">
      <c r="B19" s="47" t="s">
        <v>757</v>
      </c>
      <c r="C19" s="47"/>
      <c r="D19" s="47"/>
      <c r="E19" s="47"/>
    </row>
    <row r="20" spans="2:5" x14ac:dyDescent="0.2">
      <c r="B20" s="47" t="s">
        <v>758</v>
      </c>
      <c r="C20" s="47"/>
      <c r="D20" s="47"/>
      <c r="E20" s="47"/>
    </row>
  </sheetData>
  <sheetProtection algorithmName="SHA-512" hashValue="pErioa5apzSVtTnzB4koQTETRGTNvTlmQI51qz9R13gRFWJQ4jjDEZWq9T5vWiroLSc1kQlPDpiQTM5KhA6+dA==" saltValue="NmZhLgqhMlSD2H1MUr+iG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2025-11-24T07:44:03Z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