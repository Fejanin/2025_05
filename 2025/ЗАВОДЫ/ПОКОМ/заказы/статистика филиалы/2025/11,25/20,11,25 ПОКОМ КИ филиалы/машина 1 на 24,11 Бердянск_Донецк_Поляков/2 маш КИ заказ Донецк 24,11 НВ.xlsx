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7E3FDAB-FBB8-4D1F-A7DD-EB336B77422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Y178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70" i="1"/>
  <c r="BP74" i="1"/>
  <c r="BN74" i="1"/>
  <c r="Z74" i="1"/>
  <c r="BP87" i="1"/>
  <c r="BN87" i="1"/>
  <c r="Z87" i="1"/>
  <c r="Y89" i="1"/>
  <c r="Y117" i="1"/>
  <c r="BP112" i="1"/>
  <c r="BN112" i="1"/>
  <c r="Z112" i="1"/>
  <c r="BP125" i="1"/>
  <c r="BN125" i="1"/>
  <c r="Z125" i="1"/>
  <c r="Z126" i="1" s="1"/>
  <c r="Y132" i="1"/>
  <c r="BP129" i="1"/>
  <c r="BN129" i="1"/>
  <c r="Z129" i="1"/>
  <c r="Z131" i="1" s="1"/>
  <c r="BP163" i="1"/>
  <c r="BN163" i="1"/>
  <c r="Z163" i="1"/>
  <c r="BP168" i="1"/>
  <c r="BN168" i="1"/>
  <c r="Z168" i="1"/>
  <c r="J498" i="1"/>
  <c r="Y188" i="1"/>
  <c r="BP185" i="1"/>
  <c r="BN185" i="1"/>
  <c r="Z185" i="1"/>
  <c r="Z187" i="1" s="1"/>
  <c r="BP201" i="1"/>
  <c r="BN201" i="1"/>
  <c r="Z201" i="1"/>
  <c r="Q498" i="1"/>
  <c r="Y294" i="1"/>
  <c r="BP289" i="1"/>
  <c r="BN289" i="1"/>
  <c r="Z289" i="1"/>
  <c r="BP293" i="1"/>
  <c r="BN293" i="1"/>
  <c r="Z293" i="1"/>
  <c r="Y295" i="1"/>
  <c r="BP301" i="1"/>
  <c r="BN301" i="1"/>
  <c r="Z301" i="1"/>
  <c r="BP309" i="1"/>
  <c r="BN309" i="1"/>
  <c r="Z309" i="1"/>
  <c r="Y58" i="1"/>
  <c r="Y64" i="1"/>
  <c r="Y77" i="1"/>
  <c r="BP72" i="1"/>
  <c r="BN72" i="1"/>
  <c r="Y96" i="1"/>
  <c r="BP91" i="1"/>
  <c r="BN91" i="1"/>
  <c r="Z91" i="1"/>
  <c r="BP100" i="1"/>
  <c r="BN100" i="1"/>
  <c r="Z100" i="1"/>
  <c r="Z103" i="1" s="1"/>
  <c r="BP108" i="1"/>
  <c r="BN108" i="1"/>
  <c r="Z108" i="1"/>
  <c r="Y110" i="1"/>
  <c r="Y116" i="1"/>
  <c r="Y127" i="1"/>
  <c r="BP146" i="1"/>
  <c r="BN146" i="1"/>
  <c r="Z146" i="1"/>
  <c r="Z148" i="1" s="1"/>
  <c r="BP176" i="1"/>
  <c r="BN176" i="1"/>
  <c r="Z176" i="1"/>
  <c r="Y181" i="1"/>
  <c r="BP180" i="1"/>
  <c r="BN180" i="1"/>
  <c r="Z180" i="1"/>
  <c r="Z181" i="1" s="1"/>
  <c r="Y182" i="1"/>
  <c r="BP197" i="1"/>
  <c r="BN197" i="1"/>
  <c r="Z197" i="1"/>
  <c r="BP209" i="1"/>
  <c r="BN209" i="1"/>
  <c r="Z209" i="1"/>
  <c r="BP213" i="1"/>
  <c r="BN213" i="1"/>
  <c r="Z213" i="1"/>
  <c r="BP284" i="1"/>
  <c r="BN284" i="1"/>
  <c r="Z284" i="1"/>
  <c r="Y286" i="1"/>
  <c r="Y304" i="1"/>
  <c r="BP297" i="1"/>
  <c r="BN297" i="1"/>
  <c r="Z297" i="1"/>
  <c r="Y305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393" i="1"/>
  <c r="Z337" i="1"/>
  <c r="Z95" i="1"/>
  <c r="Z294" i="1"/>
  <c r="Z437" i="1"/>
  <c r="Z446" i="1"/>
  <c r="Z431" i="1"/>
  <c r="Z349" i="1"/>
  <c r="Z267" i="1"/>
  <c r="Z259" i="1"/>
  <c r="Z250" i="1"/>
  <c r="Z203" i="1"/>
  <c r="Z171" i="1"/>
  <c r="Z69" i="1"/>
  <c r="Z493" i="1" s="1"/>
  <c r="Y488" i="1"/>
  <c r="Z304" i="1"/>
  <c r="Z116" i="1"/>
</calcChain>
</file>

<file path=xl/sharedStrings.xml><?xml version="1.0" encoding="utf-8"?>
<sst xmlns="http://schemas.openxmlformats.org/spreadsheetml/2006/main" count="2270" uniqueCount="759">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</sst>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351</v>
      </c>
      <c r="Y40" s="540">
        <f>IFERROR(IF(X40="",0,CEILING((X40/$H40),1)*$H40),"")</f>
        <v>356.40000000000003</v>
      </c>
      <c r="Z40" s="36">
        <f>IFERROR(IF(Y40=0,"",ROUNDUP(Y40/H40,0)*0.01898),"")</f>
        <v>0.62634000000000001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364.32500000000005</v>
      </c>
      <c r="BN40" s="64">
        <f>IFERROR(Y40*I40/H40,"0")</f>
        <v>369.93</v>
      </c>
      <c r="BO40" s="64">
        <f>IFERROR(1/J40*(X40/H40),"0")</f>
        <v>0.5078125</v>
      </c>
      <c r="BP40" s="64">
        <f>IFERROR(1/J40*(Y40/H40),"0")</f>
        <v>0.515625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32.5</v>
      </c>
      <c r="Y43" s="541">
        <f>IFERROR(Y40/H40,"0")+IFERROR(Y41/H41,"0")+IFERROR(Y42/H42,"0")</f>
        <v>33</v>
      </c>
      <c r="Z43" s="541">
        <f>IFERROR(IF(Z40="",0,Z40),"0")+IFERROR(IF(Z41="",0,Z41),"0")+IFERROR(IF(Z42="",0,Z42),"0")</f>
        <v>0.62634000000000001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351</v>
      </c>
      <c r="Y44" s="541">
        <f>IFERROR(SUM(Y40:Y42),"0")</f>
        <v>356.40000000000003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49</v>
      </c>
      <c r="Y54" s="540">
        <f t="shared" si="0"/>
        <v>52</v>
      </c>
      <c r="Z54" s="36">
        <f>IFERROR(IF(Y54=0,"",ROUNDUP(Y54/H54,0)*0.00902),"")</f>
        <v>0.11726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51.327500000000008</v>
      </c>
      <c r="BN54" s="64">
        <f t="shared" si="2"/>
        <v>54.470000000000006</v>
      </c>
      <c r="BO54" s="64">
        <f t="shared" si="3"/>
        <v>9.2803030303030304E-2</v>
      </c>
      <c r="BP54" s="64">
        <f t="shared" si="4"/>
        <v>9.8484848484848481E-2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12.25</v>
      </c>
      <c r="Y57" s="541">
        <f>IFERROR(Y51/H51,"0")+IFERROR(Y52/H52,"0")+IFERROR(Y53/H53,"0")+IFERROR(Y54/H54,"0")+IFERROR(Y55/H55,"0")+IFERROR(Y56/H56,"0")</f>
        <v>13</v>
      </c>
      <c r="Z57" s="541">
        <f>IFERROR(IF(Z51="",0,Z51),"0")+IFERROR(IF(Z52="",0,Z52),"0")+IFERROR(IF(Z53="",0,Z53),"0")+IFERROR(IF(Z54="",0,Z54),"0")+IFERROR(IF(Z55="",0,Z55),"0")+IFERROR(IF(Z56="",0,Z56),"0")</f>
        <v>0.11726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49</v>
      </c>
      <c r="Y58" s="541">
        <f>IFERROR(SUM(Y51:Y56),"0")</f>
        <v>52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9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9.3416666666666668</v>
      </c>
      <c r="BN60" s="64">
        <f>IFERROR(Y60*I60/H60,"0")</f>
        <v>11.21</v>
      </c>
      <c r="BO60" s="64">
        <f>IFERROR(1/J60*(X60/H60),"0")</f>
        <v>1.3020833333333332E-2</v>
      </c>
      <c r="BP60" s="64">
        <f>IFERROR(1/J60*(Y60/H60),"0")</f>
        <v>1.5625E-2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0.83333333333333326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9</v>
      </c>
      <c r="Y64" s="541">
        <f>IFERROR(SUM(Y60:Y62),"0")</f>
        <v>10.8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14</v>
      </c>
      <c r="Y79" s="540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14.735897435897439</v>
      </c>
      <c r="BN79" s="64">
        <f>IFERROR(Y79*I79/H79,"0")</f>
        <v>16.420000000000002</v>
      </c>
      <c r="BO79" s="64">
        <f>IFERROR(1/J79*(X79/H79),"0")</f>
        <v>2.8044871794871796E-2</v>
      </c>
      <c r="BP79" s="64">
        <f>IFERROR(1/J79*(Y79/H79),"0")</f>
        <v>3.125E-2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1.7948717948717949</v>
      </c>
      <c r="Y81" s="541">
        <f>IFERROR(Y79/H79,"0")+IFERROR(Y80/H80,"0")</f>
        <v>2</v>
      </c>
      <c r="Z81" s="541">
        <f>IFERROR(IF(Z79="",0,Z79),"0")+IFERROR(IF(Z80="",0,Z80),"0")</f>
        <v>3.7960000000000001E-2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14</v>
      </c>
      <c r="Y82" s="541">
        <f>IFERROR(SUM(Y79:Y80),"0")</f>
        <v>15.6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28</v>
      </c>
      <c r="Y87" s="540">
        <f>IFERROR(IF(X87="",0,CEILING((X87/$H87),1)*$H87),"")</f>
        <v>31.5</v>
      </c>
      <c r="Z87" s="36">
        <f>IFERROR(IF(Y87=0,"",ROUNDUP(Y87/H87,0)*0.00902),"")</f>
        <v>6.3140000000000002E-2</v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29.182222222222226</v>
      </c>
      <c r="BN87" s="64">
        <f>IFERROR(Y87*I87/H87,"0")</f>
        <v>32.830000000000005</v>
      </c>
      <c r="BO87" s="64">
        <f>IFERROR(1/J87*(X87/H87),"0")</f>
        <v>4.7138047138047139E-2</v>
      </c>
      <c r="BP87" s="64">
        <f>IFERROR(1/J87*(Y87/H87),"0")</f>
        <v>5.3030303030303032E-2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6.2222222222222223</v>
      </c>
      <c r="Y88" s="541">
        <f>IFERROR(Y85/H85,"0")+IFERROR(Y86/H86,"0")+IFERROR(Y87/H87,"0")</f>
        <v>7</v>
      </c>
      <c r="Z88" s="541">
        <f>IFERROR(IF(Z85="",0,Z85),"0")+IFERROR(IF(Z86="",0,Z86),"0")+IFERROR(IF(Z87="",0,Z87),"0")</f>
        <v>6.3140000000000002E-2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28</v>
      </c>
      <c r="Y89" s="541">
        <f>IFERROR(SUM(Y85:Y87),"0")</f>
        <v>31.5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48</v>
      </c>
      <c r="Y91" s="540">
        <f>IFERROR(IF(X91="",0,CEILING((X91/$H91),1)*$H91),"")</f>
        <v>48.599999999999994</v>
      </c>
      <c r="Z91" s="36">
        <f>IFERROR(IF(Y91=0,"",ROUNDUP(Y91/H91,0)*0.01898),"")</f>
        <v>0.11388000000000001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50.927407407407401</v>
      </c>
      <c r="BN91" s="64">
        <f>IFERROR(Y91*I91/H91,"0")</f>
        <v>51.563999999999993</v>
      </c>
      <c r="BO91" s="64">
        <f>IFERROR(1/J91*(X91/H91),"0")</f>
        <v>9.2592592592592601E-2</v>
      </c>
      <c r="BP91" s="64">
        <f>IFERROR(1/J91*(Y91/H91),"0")</f>
        <v>9.375E-2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230</v>
      </c>
      <c r="Y93" s="540">
        <f>IFERROR(IF(X93="",0,CEILING((X93/$H93),1)*$H93),"")</f>
        <v>232.20000000000002</v>
      </c>
      <c r="Z93" s="36">
        <f>IFERROR(IF(Y93=0,"",ROUNDUP(Y93/H93,0)*0.00651),"")</f>
        <v>0.55986000000000002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251.46666666666667</v>
      </c>
      <c r="BN93" s="64">
        <f>IFERROR(Y93*I93/H93,"0")</f>
        <v>253.87200000000001</v>
      </c>
      <c r="BO93" s="64">
        <f>IFERROR(1/J93*(X93/H93),"0")</f>
        <v>0.46805046805046802</v>
      </c>
      <c r="BP93" s="64">
        <f>IFERROR(1/J93*(Y93/H93),"0")</f>
        <v>0.47252747252747257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91.1111111111111</v>
      </c>
      <c r="Y95" s="541">
        <f>IFERROR(Y91/H91,"0")+IFERROR(Y92/H92,"0")+IFERROR(Y93/H93,"0")+IFERROR(Y94/H94,"0")</f>
        <v>92</v>
      </c>
      <c r="Z95" s="541">
        <f>IFERROR(IF(Z91="",0,Z91),"0")+IFERROR(IF(Z92="",0,Z92),"0")+IFERROR(IF(Z93="",0,Z93),"0")+IFERROR(IF(Z94="",0,Z94),"0")</f>
        <v>0.67374000000000001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278</v>
      </c>
      <c r="Y96" s="541">
        <f>IFERROR(SUM(Y91:Y94),"0")</f>
        <v>280.8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198</v>
      </c>
      <c r="Y99" s="540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205.51666666666668</v>
      </c>
      <c r="BN99" s="64">
        <f>IFERROR(Y99*I99/H99,"0")</f>
        <v>212.99</v>
      </c>
      <c r="BO99" s="64">
        <f>IFERROR(1/J99*(X99/H99),"0")</f>
        <v>0.28645833333333331</v>
      </c>
      <c r="BP99" s="64">
        <f>IFERROR(1/J99*(Y99/H99),"0")</f>
        <v>0.296875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18.333333333333332</v>
      </c>
      <c r="Y103" s="541">
        <f>IFERROR(Y99/H99,"0")+IFERROR(Y100/H100,"0")+IFERROR(Y101/H101,"0")+IFERROR(Y102/H102,"0")</f>
        <v>19</v>
      </c>
      <c r="Z103" s="541">
        <f>IFERROR(IF(Z99="",0,Z99),"0")+IFERROR(IF(Z100="",0,Z100),"0")+IFERROR(IF(Z101="",0,Z101),"0")+IFERROR(IF(Z102="",0,Z102),"0")</f>
        <v>0.36062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198</v>
      </c>
      <c r="Y104" s="541">
        <f>IFERROR(SUM(Y99:Y102),"0")</f>
        <v>205.20000000000002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12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12.455555555555556</v>
      </c>
      <c r="BN106" s="64">
        <f>IFERROR(Y106*I106/H106,"0")</f>
        <v>22.42</v>
      </c>
      <c r="BO106" s="64">
        <f>IFERROR(1/J106*(X106/H106),"0")</f>
        <v>1.7361111111111108E-2</v>
      </c>
      <c r="BP106" s="64">
        <f>IFERROR(1/J106*(Y106/H106),"0")</f>
        <v>3.125E-2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26</v>
      </c>
      <c r="Y108" s="540">
        <f>IFERROR(IF(X108="",0,CEILING((X108/$H108),1)*$H108),"")</f>
        <v>26.4</v>
      </c>
      <c r="Z108" s="36">
        <f>IFERROR(IF(Y108=0,"",ROUNDUP(Y108/H108,0)*0.00651),"")</f>
        <v>7.1610000000000007E-2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27.95</v>
      </c>
      <c r="BN108" s="64">
        <f>IFERROR(Y108*I108/H108,"0")</f>
        <v>28.38</v>
      </c>
      <c r="BO108" s="64">
        <f>IFERROR(1/J108*(X108/H108),"0")</f>
        <v>5.9523809523809534E-2</v>
      </c>
      <c r="BP108" s="64">
        <f>IFERROR(1/J108*(Y108/H108),"0")</f>
        <v>6.0439560439560447E-2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11.944444444444445</v>
      </c>
      <c r="Y109" s="541">
        <f>IFERROR(Y106/H106,"0")+IFERROR(Y107/H107,"0")+IFERROR(Y108/H108,"0")</f>
        <v>13</v>
      </c>
      <c r="Z109" s="541">
        <f>IFERROR(IF(Z106="",0,Z106),"0")+IFERROR(IF(Z107="",0,Z107),"0")+IFERROR(IF(Z108="",0,Z108),"0")</f>
        <v>0.10957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38</v>
      </c>
      <c r="Y110" s="541">
        <f>IFERROR(SUM(Y106:Y108),"0")</f>
        <v>48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321</v>
      </c>
      <c r="Y112" s="540">
        <f>IFERROR(IF(X112="",0,CEILING((X112/$H112),1)*$H112),"")</f>
        <v>324</v>
      </c>
      <c r="Z112" s="36">
        <f>IFERROR(IF(Y112=0,"",ROUNDUP(Y112/H112,0)*0.01898),"")</f>
        <v>0.75919999999999999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340.33925925925922</v>
      </c>
      <c r="BN112" s="64">
        <f>IFERROR(Y112*I112/H112,"0")</f>
        <v>343.52</v>
      </c>
      <c r="BO112" s="64">
        <f>IFERROR(1/J112*(X112/H112),"0")</f>
        <v>0.61921296296296302</v>
      </c>
      <c r="BP112" s="64">
        <f>IFERROR(1/J112*(Y112/H112),"0")</f>
        <v>0.625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39.629629629629633</v>
      </c>
      <c r="Y116" s="541">
        <f>IFERROR(Y112/H112,"0")+IFERROR(Y113/H113,"0")+IFERROR(Y114/H114,"0")+IFERROR(Y115/H115,"0")</f>
        <v>40</v>
      </c>
      <c r="Z116" s="541">
        <f>IFERROR(IF(Z112="",0,Z112),"0")+IFERROR(IF(Z113="",0,Z113),"0")+IFERROR(IF(Z114="",0,Z114),"0")+IFERROR(IF(Z115="",0,Z115),"0")</f>
        <v>0.75919999999999999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321</v>
      </c>
      <c r="Y117" s="541">
        <f>IFERROR(SUM(Y112:Y115),"0")</f>
        <v>324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100</v>
      </c>
      <c r="Y163" s="540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29</v>
      </c>
      <c r="Y164" s="540">
        <f t="shared" si="5"/>
        <v>29.400000000000002</v>
      </c>
      <c r="Z164" s="36">
        <f>IFERROR(IF(Y164=0,"",ROUNDUP(Y164/H164,0)*0.00502),"")</f>
        <v>7.0280000000000009E-2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30.795238095238094</v>
      </c>
      <c r="BN164" s="64">
        <f t="shared" si="7"/>
        <v>31.22</v>
      </c>
      <c r="BO164" s="64">
        <f t="shared" si="8"/>
        <v>5.9015059015059018E-2</v>
      </c>
      <c r="BP164" s="64">
        <f t="shared" si="9"/>
        <v>5.9829059829059839E-2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94</v>
      </c>
      <c r="Y168" s="540">
        <f t="shared" si="5"/>
        <v>94.5</v>
      </c>
      <c r="Z168" s="36">
        <f>IFERROR(IF(Y168=0,"",ROUNDUP(Y168/H168,0)*0.00502),"")</f>
        <v>0.22590000000000002</v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98.476190476190482</v>
      </c>
      <c r="BN168" s="64">
        <f t="shared" si="7"/>
        <v>99</v>
      </c>
      <c r="BO168" s="64">
        <f t="shared" si="8"/>
        <v>0.19129019129019129</v>
      </c>
      <c r="BP168" s="64">
        <f t="shared" si="9"/>
        <v>0.19230769230769232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82.38095238095238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83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0.51266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223</v>
      </c>
      <c r="Y172" s="541">
        <f>IFERROR(SUM(Y161:Y170),"0")</f>
        <v>224.70000000000002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2</v>
      </c>
      <c r="Y176" s="540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2.3809523809523809</v>
      </c>
      <c r="Y177" s="541">
        <f>IFERROR(Y174/H174,"0")+IFERROR(Y175/H175,"0")+IFERROR(Y176/H176,"0")</f>
        <v>3</v>
      </c>
      <c r="Z177" s="541">
        <f>IFERROR(IF(Z174="",0,Z174),"0")+IFERROR(IF(Z175="",0,Z175),"0")+IFERROR(IF(Z176="",0,Z176),"0")</f>
        <v>1.77E-2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3</v>
      </c>
      <c r="Y178" s="541">
        <f>IFERROR(SUM(Y174:Y176),"0")</f>
        <v>3.7800000000000002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1</v>
      </c>
      <c r="Y180" s="540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0.79365079365079361</v>
      </c>
      <c r="Y181" s="541">
        <f>IFERROR(Y180/H180,"0")</f>
        <v>1</v>
      </c>
      <c r="Z181" s="541">
        <f>IFERROR(IF(Z180="",0,Z180),"0")</f>
        <v>5.8999999999999999E-3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1</v>
      </c>
      <c r="Y182" s="541">
        <f>IFERROR(SUM(Y180:Y180),"0")</f>
        <v>1.26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103</v>
      </c>
      <c r="Y195" s="540">
        <f t="shared" ref="Y195:Y202" si="10">IFERROR(IF(X195="",0,CEILING((X195/$H195),1)*$H195),"")</f>
        <v>108</v>
      </c>
      <c r="Z195" s="36">
        <f>IFERROR(IF(Y195=0,"",ROUNDUP(Y195/H195,0)*0.00902),"")</f>
        <v>0.1804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106.62407407407406</v>
      </c>
      <c r="BN195" s="64">
        <f t="shared" ref="BN195:BN202" si="12">IFERROR(Y195*I195/H195,"0")</f>
        <v>111.8</v>
      </c>
      <c r="BO195" s="64">
        <f t="shared" ref="BO195:BO202" si="13">IFERROR(1/J195*(X195/H195),"0")</f>
        <v>0.14450056116722781</v>
      </c>
      <c r="BP195" s="64">
        <f t="shared" ref="BP195:BP202" si="14">IFERROR(1/J195*(Y195/H195),"0")</f>
        <v>0.15151515151515152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131</v>
      </c>
      <c r="Y196" s="540">
        <f t="shared" si="10"/>
        <v>135</v>
      </c>
      <c r="Z196" s="36">
        <f>IFERROR(IF(Y196=0,"",ROUNDUP(Y196/H196,0)*0.00902),"")</f>
        <v>0.22550000000000001</v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135.60925925925923</v>
      </c>
      <c r="BN196" s="64">
        <f t="shared" si="12"/>
        <v>139.75</v>
      </c>
      <c r="BO196" s="64">
        <f t="shared" si="13"/>
        <v>0.18378226711560042</v>
      </c>
      <c r="BP196" s="64">
        <f t="shared" si="14"/>
        <v>0.18939393939393939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182</v>
      </c>
      <c r="Y198" s="540">
        <f t="shared" si="10"/>
        <v>183.60000000000002</v>
      </c>
      <c r="Z198" s="36">
        <f>IFERROR(IF(Y198=0,"",ROUNDUP(Y198/H198,0)*0.00902),"")</f>
        <v>0.30668000000000001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188.40370370370368</v>
      </c>
      <c r="BN198" s="64">
        <f t="shared" si="12"/>
        <v>190.06</v>
      </c>
      <c r="BO198" s="64">
        <f t="shared" si="13"/>
        <v>0.255331088664422</v>
      </c>
      <c r="BP198" s="64">
        <f t="shared" si="14"/>
        <v>0.25757575757575757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42</v>
      </c>
      <c r="Y199" s="540">
        <f t="shared" si="10"/>
        <v>43.2</v>
      </c>
      <c r="Z199" s="36">
        <f>IFERROR(IF(Y199=0,"",ROUNDUP(Y199/H199,0)*0.00502),"")</f>
        <v>0.12048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45.033333333333331</v>
      </c>
      <c r="BN199" s="64">
        <f t="shared" si="12"/>
        <v>46.32</v>
      </c>
      <c r="BO199" s="64">
        <f t="shared" si="13"/>
        <v>9.9715099715099717E-2</v>
      </c>
      <c r="BP199" s="64">
        <f t="shared" si="14"/>
        <v>0.10256410256410257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13</v>
      </c>
      <c r="Y200" s="540">
        <f t="shared" si="10"/>
        <v>14.4</v>
      </c>
      <c r="Z200" s="36">
        <f>IFERROR(IF(Y200=0,"",ROUNDUP(Y200/H200,0)*0.00502),"")</f>
        <v>4.0160000000000001E-2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13.722222222222221</v>
      </c>
      <c r="BN200" s="64">
        <f t="shared" si="12"/>
        <v>15.2</v>
      </c>
      <c r="BO200" s="64">
        <f t="shared" si="13"/>
        <v>3.0864197530864203E-2</v>
      </c>
      <c r="BP200" s="64">
        <f t="shared" si="14"/>
        <v>3.4188034188034191E-2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15</v>
      </c>
      <c r="Y202" s="540">
        <f t="shared" si="10"/>
        <v>16.2</v>
      </c>
      <c r="Z202" s="36">
        <f>IFERROR(IF(Y202=0,"",ROUNDUP(Y202/H202,0)*0.00502),"")</f>
        <v>4.5179999999999998E-2</v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15.833333333333332</v>
      </c>
      <c r="BN202" s="64">
        <f t="shared" si="12"/>
        <v>17.099999999999998</v>
      </c>
      <c r="BO202" s="64">
        <f t="shared" si="13"/>
        <v>3.561253561253562E-2</v>
      </c>
      <c r="BP202" s="64">
        <f t="shared" si="14"/>
        <v>3.8461538461538464E-2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115.92592592592592</v>
      </c>
      <c r="Y203" s="541">
        <f>IFERROR(Y195/H195,"0")+IFERROR(Y196/H196,"0")+IFERROR(Y197/H197,"0")+IFERROR(Y198/H198,"0")+IFERROR(Y199/H199,"0")+IFERROR(Y200/H200,"0")+IFERROR(Y201/H201,"0")+IFERROR(Y202/H202,"0")</f>
        <v>120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0.91839999999999999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486</v>
      </c>
      <c r="Y204" s="541">
        <f>IFERROR(SUM(Y195:Y202),"0")</f>
        <v>500.4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264</v>
      </c>
      <c r="Y208" s="540">
        <f t="shared" si="15"/>
        <v>269.7</v>
      </c>
      <c r="Z208" s="36">
        <f>IFERROR(IF(Y208=0,"",ROUNDUP(Y208/H208,0)*0.01898),"")</f>
        <v>0.58838000000000001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278.99034482758628</v>
      </c>
      <c r="BN208" s="64">
        <f t="shared" si="17"/>
        <v>285.01400000000007</v>
      </c>
      <c r="BO208" s="64">
        <f t="shared" si="18"/>
        <v>0.47413793103448282</v>
      </c>
      <c r="BP208" s="64">
        <f t="shared" si="19"/>
        <v>0.484375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112</v>
      </c>
      <c r="Y209" s="540">
        <f t="shared" si="15"/>
        <v>112.8</v>
      </c>
      <c r="Z209" s="36">
        <f t="shared" ref="Z209:Z214" si="20">IFERROR(IF(Y209=0,"",ROUNDUP(Y209/H209,0)*0.00651),"")</f>
        <v>0.30597000000000002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124.6</v>
      </c>
      <c r="BN209" s="64">
        <f t="shared" si="17"/>
        <v>125.49</v>
      </c>
      <c r="BO209" s="64">
        <f t="shared" si="18"/>
        <v>0.25641025641025644</v>
      </c>
      <c r="BP209" s="64">
        <f t="shared" si="19"/>
        <v>0.25824175824175827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188</v>
      </c>
      <c r="Y211" s="540">
        <f t="shared" si="15"/>
        <v>189.6</v>
      </c>
      <c r="Z211" s="36">
        <f t="shared" si="20"/>
        <v>0.51429000000000002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207.74</v>
      </c>
      <c r="BN211" s="64">
        <f t="shared" si="17"/>
        <v>209.50800000000001</v>
      </c>
      <c r="BO211" s="64">
        <f t="shared" si="18"/>
        <v>0.43040293040293048</v>
      </c>
      <c r="BP211" s="64">
        <f t="shared" si="19"/>
        <v>0.43406593406593408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117</v>
      </c>
      <c r="Y212" s="540">
        <f t="shared" si="15"/>
        <v>117.6</v>
      </c>
      <c r="Z212" s="36">
        <f t="shared" si="20"/>
        <v>0.31899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129.285</v>
      </c>
      <c r="BN212" s="64">
        <f t="shared" si="17"/>
        <v>129.94800000000001</v>
      </c>
      <c r="BO212" s="64">
        <f t="shared" si="18"/>
        <v>0.2678571428571429</v>
      </c>
      <c r="BP212" s="64">
        <f t="shared" si="19"/>
        <v>0.26923076923076927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54</v>
      </c>
      <c r="Y213" s="540">
        <f t="shared" si="15"/>
        <v>55.199999999999996</v>
      </c>
      <c r="Z213" s="36">
        <f t="shared" si="20"/>
        <v>0.14973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59.67</v>
      </c>
      <c r="BN213" s="64">
        <f t="shared" si="17"/>
        <v>60.996000000000002</v>
      </c>
      <c r="BO213" s="64">
        <f t="shared" si="18"/>
        <v>0.12362637362637363</v>
      </c>
      <c r="BP213" s="64">
        <f t="shared" si="19"/>
        <v>0.1263736263736264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48</v>
      </c>
      <c r="Y214" s="540">
        <f t="shared" si="15"/>
        <v>48</v>
      </c>
      <c r="Z214" s="36">
        <f t="shared" si="20"/>
        <v>0.13020000000000001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53.160000000000004</v>
      </c>
      <c r="BN214" s="64">
        <f t="shared" si="17"/>
        <v>53.160000000000004</v>
      </c>
      <c r="BO214" s="64">
        <f t="shared" si="18"/>
        <v>0.1098901098901099</v>
      </c>
      <c r="BP214" s="64">
        <f t="shared" si="19"/>
        <v>0.1098901098901099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246.59482758620692</v>
      </c>
      <c r="Y215" s="541">
        <f>IFERROR(Y206/H206,"0")+IFERROR(Y207/H207,"0")+IFERROR(Y208/H208,"0")+IFERROR(Y209/H209,"0")+IFERROR(Y210/H210,"0")+IFERROR(Y211/H211,"0")+IFERROR(Y212/H212,"0")+IFERROR(Y213/H213,"0")+IFERROR(Y214/H214,"0")</f>
        <v>249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2.0075599999999998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783</v>
      </c>
      <c r="Y216" s="541">
        <f>IFERROR(SUM(Y206:Y214),"0")</f>
        <v>792.90000000000009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45</v>
      </c>
      <c r="Y218" s="540">
        <f>IFERROR(IF(X218="",0,CEILING((X218/$H218),1)*$H218),"")</f>
        <v>45.6</v>
      </c>
      <c r="Z218" s="36">
        <f>IFERROR(IF(Y218=0,"",ROUNDUP(Y218/H218,0)*0.00651),"")</f>
        <v>0.12369000000000001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49.725000000000001</v>
      </c>
      <c r="BN218" s="64">
        <f>IFERROR(Y218*I218/H218,"0")</f>
        <v>50.388000000000005</v>
      </c>
      <c r="BO218" s="64">
        <f>IFERROR(1/J218*(X218/H218),"0")</f>
        <v>0.10302197802197803</v>
      </c>
      <c r="BP218" s="64">
        <f>IFERROR(1/J218*(Y218/H218),"0")</f>
        <v>0.1043956043956044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18</v>
      </c>
      <c r="Y219" s="540">
        <f>IFERROR(IF(X219="",0,CEILING((X219/$H219),1)*$H219),"")</f>
        <v>19.2</v>
      </c>
      <c r="Z219" s="36">
        <f>IFERROR(IF(Y219=0,"",ROUNDUP(Y219/H219,0)*0.00651),"")</f>
        <v>5.2080000000000001E-2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19.890000000000004</v>
      </c>
      <c r="BN219" s="64">
        <f>IFERROR(Y219*I219/H219,"0")</f>
        <v>21.216000000000001</v>
      </c>
      <c r="BO219" s="64">
        <f>IFERROR(1/J219*(X219/H219),"0")</f>
        <v>4.1208791208791215E-2</v>
      </c>
      <c r="BP219" s="64">
        <f>IFERROR(1/J219*(Y219/H219),"0")</f>
        <v>4.3956043956043959E-2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26.25</v>
      </c>
      <c r="Y220" s="541">
        <f>IFERROR(Y218/H218,"0")+IFERROR(Y219/H219,"0")</f>
        <v>27</v>
      </c>
      <c r="Z220" s="541">
        <f>IFERROR(IF(Z218="",0,Z218),"0")+IFERROR(IF(Z219="",0,Z219),"0")</f>
        <v>0.17577000000000001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63</v>
      </c>
      <c r="Y221" s="541">
        <f>IFERROR(SUM(Y218:Y219),"0")</f>
        <v>64.8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19</v>
      </c>
      <c r="Y224" s="540">
        <f t="shared" ref="Y224:Y233" si="21">IFERROR(IF(X224="",0,CEILING((X224/$H224),1)*$H224),"")</f>
        <v>23.2</v>
      </c>
      <c r="Z224" s="36">
        <f>IFERROR(IF(Y224=0,"",ROUNDUP(Y224/H224,0)*0.01898),"")</f>
        <v>3.7960000000000001E-2</v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19.671551724137931</v>
      </c>
      <c r="BN224" s="64">
        <f t="shared" ref="BN224:BN233" si="23">IFERROR(Y224*I224/H224,"0")</f>
        <v>24.02</v>
      </c>
      <c r="BO224" s="64">
        <f t="shared" ref="BO224:BO233" si="24">IFERROR(1/J224*(X224/H224),"0")</f>
        <v>2.5592672413793104E-2</v>
      </c>
      <c r="BP224" s="64">
        <f t="shared" ref="BP224:BP233" si="25">IFERROR(1/J224*(Y224/H224),"0")</f>
        <v>3.125E-2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1.6379310344827587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3.7960000000000001E-2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19</v>
      </c>
      <c r="Y235" s="541">
        <f>IFERROR(SUM(Y224:Y233),"0")</f>
        <v>23.2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1</v>
      </c>
      <c r="Y247" s="540">
        <f>IFERROR(IF(X247="",0,CEILING((X247/$H247),1)*$H247),"")</f>
        <v>1.8</v>
      </c>
      <c r="Z247" s="36">
        <f>IFERROR(IF(Y247=0,"",ROUNDUP(Y247/H247,0)*0.0059),"")</f>
        <v>1.18E-2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1.2111111111111112</v>
      </c>
      <c r="BN247" s="64">
        <f>IFERROR(Y247*I247/H247,"0")</f>
        <v>2.1800000000000002</v>
      </c>
      <c r="BO247" s="64">
        <f>IFERROR(1/J247*(X247/H247),"0")</f>
        <v>5.1440329218106996E-3</v>
      </c>
      <c r="BP247" s="64">
        <f>IFERROR(1/J247*(Y247/H247),"0")</f>
        <v>9.2592592592592587E-3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1</v>
      </c>
      <c r="Y248" s="540">
        <f>IFERROR(IF(X248="",0,CEILING((X248/$H248),1)*$H248),"")</f>
        <v>1.98</v>
      </c>
      <c r="Z248" s="36">
        <f>IFERROR(IF(Y248=0,"",ROUNDUP(Y248/H248,0)*0.0059),"")</f>
        <v>1.18E-2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1.1919191919191918</v>
      </c>
      <c r="BN248" s="64">
        <f>IFERROR(Y248*I248/H248,"0")</f>
        <v>2.36</v>
      </c>
      <c r="BO248" s="64">
        <f>IFERROR(1/J248*(X248/H248),"0")</f>
        <v>4.6763935652824546E-3</v>
      </c>
      <c r="BP248" s="64">
        <f>IFERROR(1/J248*(Y248/H248),"0")</f>
        <v>9.2592592592592587E-3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2.1212121212121211</v>
      </c>
      <c r="Y250" s="541">
        <f>IFERROR(Y245/H245,"0")+IFERROR(Y246/H246,"0")+IFERROR(Y247/H247,"0")+IFERROR(Y248/H248,"0")+IFERROR(Y249/H249,"0")</f>
        <v>4</v>
      </c>
      <c r="Z250" s="541">
        <f>IFERROR(IF(Z245="",0,Z245),"0")+IFERROR(IF(Z246="",0,Z246),"0")+IFERROR(IF(Z247="",0,Z247),"0")+IFERROR(IF(Z248="",0,Z248),"0")+IFERROR(IF(Z249="",0,Z249),"0")</f>
        <v>2.3599999999999999E-2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2</v>
      </c>
      <c r="Y251" s="541">
        <f>IFERROR(SUM(Y245:Y249),"0")</f>
        <v>3.7800000000000002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3</v>
      </c>
      <c r="Y272" s="540">
        <f>IFERROR(IF(X272="",0,CEILING((X272/$H272),1)*$H272),"")</f>
        <v>4.8</v>
      </c>
      <c r="Z272" s="36">
        <f>IFERROR(IF(Y272=0,"",ROUNDUP(Y272/H272,0)*0.00651),"")</f>
        <v>1.302E-2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3.3150000000000004</v>
      </c>
      <c r="BN272" s="64">
        <f>IFERROR(Y272*I272/H272,"0")</f>
        <v>5.3040000000000003</v>
      </c>
      <c r="BO272" s="64">
        <f>IFERROR(1/J272*(X272/H272),"0")</f>
        <v>6.8681318681318689E-3</v>
      </c>
      <c r="BP272" s="64">
        <f>IFERROR(1/J272*(Y272/H272),"0")</f>
        <v>1.098901098901099E-2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1.25</v>
      </c>
      <c r="Y274" s="541">
        <f>IFERROR(Y271/H271,"0")+IFERROR(Y272/H272,"0")+IFERROR(Y273/H273,"0")</f>
        <v>2</v>
      </c>
      <c r="Z274" s="541">
        <f>IFERROR(IF(Z271="",0,Z271),"0")+IFERROR(IF(Z272="",0,Z272),"0")+IFERROR(IF(Z273="",0,Z273),"0")</f>
        <v>1.302E-2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3</v>
      </c>
      <c r="Y275" s="541">
        <f>IFERROR(SUM(Y271:Y273),"0")</f>
        <v>4.8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10</v>
      </c>
      <c r="Y303" s="540">
        <f t="shared" si="26"/>
        <v>10.8</v>
      </c>
      <c r="Z303" s="36">
        <f>IFERROR(IF(Y303=0,"",ROUNDUP(Y303/H303,0)*0.00651),"")</f>
        <v>3.9059999999999997E-2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11.266666666666667</v>
      </c>
      <c r="BN303" s="64">
        <f t="shared" si="28"/>
        <v>12.167999999999999</v>
      </c>
      <c r="BO303" s="64">
        <f t="shared" si="29"/>
        <v>3.0525030525030528E-2</v>
      </c>
      <c r="BP303" s="64">
        <f t="shared" si="30"/>
        <v>3.2967032967032968E-2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5.5555555555555554</v>
      </c>
      <c r="Y304" s="541">
        <f>IFERROR(Y297/H297,"0")+IFERROR(Y298/H298,"0")+IFERROR(Y299/H299,"0")+IFERROR(Y300/H300,"0")+IFERROR(Y301/H301,"0")+IFERROR(Y302/H302,"0")+IFERROR(Y303/H303,"0")</f>
        <v>6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3.9059999999999997E-2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10</v>
      </c>
      <c r="Y305" s="541">
        <f>IFERROR(SUM(Y297:Y303),"0")</f>
        <v>10.8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293</v>
      </c>
      <c r="Y315" s="540">
        <f>IFERROR(IF(X315="",0,CEILING((X315/$H315),1)*$H315),"")</f>
        <v>296.39999999999998</v>
      </c>
      <c r="Z315" s="36">
        <f>IFERROR(IF(Y315=0,"",ROUNDUP(Y315/H315,0)*0.01898),"")</f>
        <v>0.72123999999999999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311.55666666666673</v>
      </c>
      <c r="BN315" s="64">
        <f>IFERROR(Y315*I315/H315,"0")</f>
        <v>315.17199999999997</v>
      </c>
      <c r="BO315" s="64">
        <f>IFERROR(1/J315*(X315/H315),"0")</f>
        <v>0.58693910256410253</v>
      </c>
      <c r="BP315" s="64">
        <f>IFERROR(1/J315*(Y315/H315),"0")</f>
        <v>0.59375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37.564102564102562</v>
      </c>
      <c r="Y317" s="541">
        <f>IFERROR(Y314/H314,"0")+IFERROR(Y315/H315,"0")+IFERROR(Y316/H316,"0")</f>
        <v>38</v>
      </c>
      <c r="Z317" s="541">
        <f>IFERROR(IF(Z314="",0,Z314),"0")+IFERROR(IF(Z315="",0,Z315),"0")+IFERROR(IF(Z316="",0,Z316),"0")</f>
        <v>0.72123999999999999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293</v>
      </c>
      <c r="Y318" s="541">
        <f>IFERROR(SUM(Y314:Y316),"0")</f>
        <v>296.39999999999998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4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4.3552631578947372</v>
      </c>
      <c r="BN320" s="64">
        <f>IFERROR(Y320*I320/H320,"0")</f>
        <v>6.62</v>
      </c>
      <c r="BO320" s="64">
        <f>IFERROR(1/J320*(X320/H320),"0")</f>
        <v>9.9681020733652318E-3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17</v>
      </c>
      <c r="Y322" s="540">
        <f>IFERROR(IF(X322="",0,CEILING((X322/$H322),1)*$H322),"")</f>
        <v>17.849999999999998</v>
      </c>
      <c r="Z322" s="36">
        <f>IFERROR(IF(Y322=0,"",ROUNDUP(Y322/H322,0)*0.00651),"")</f>
        <v>4.5569999999999999E-2</v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19.700000000000003</v>
      </c>
      <c r="BN322" s="64">
        <f>IFERROR(Y322*I322/H322,"0")</f>
        <v>20.684999999999999</v>
      </c>
      <c r="BO322" s="64">
        <f>IFERROR(1/J322*(X322/H322),"0")</f>
        <v>3.6630036630036632E-2</v>
      </c>
      <c r="BP322" s="64">
        <f>IFERROR(1/J322*(Y322/H322),"0")</f>
        <v>3.8461538461538464E-2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19</v>
      </c>
      <c r="Y323" s="540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21.458823529411767</v>
      </c>
      <c r="BN323" s="64">
        <f>IFERROR(Y323*I323/H323,"0")</f>
        <v>23.04</v>
      </c>
      <c r="BO323" s="64">
        <f>IFERROR(1/J323*(X323/H323),"0")</f>
        <v>4.0939452704158594E-2</v>
      </c>
      <c r="BP323" s="64">
        <f>IFERROR(1/J323*(Y323/H323),"0")</f>
        <v>4.3956043956043959E-2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15.433436532507741</v>
      </c>
      <c r="Y324" s="541">
        <f>IFERROR(Y320/H320,"0")+IFERROR(Y321/H321,"0")+IFERROR(Y322/H322,"0")+IFERROR(Y323/H323,"0")</f>
        <v>17</v>
      </c>
      <c r="Z324" s="541">
        <f>IFERROR(IF(Z320="",0,Z320),"0")+IFERROR(IF(Z321="",0,Z321),"0")+IFERROR(IF(Z322="",0,Z322),"0")+IFERROR(IF(Z323="",0,Z323),"0")</f>
        <v>0.11569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40</v>
      </c>
      <c r="Y325" s="541">
        <f>IFERROR(SUM(Y320:Y323),"0")</f>
        <v>44.33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9</v>
      </c>
      <c r="Y327" s="540">
        <f>IFERROR(IF(X327="",0,CEILING((X327/$H327),1)*$H327),"")</f>
        <v>10</v>
      </c>
      <c r="Z327" s="36">
        <f>IFERROR(IF(Y327=0,"",ROUNDUP(Y327/H327,0)*0.00474),"")</f>
        <v>2.3700000000000002E-2</v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10.080000000000002</v>
      </c>
      <c r="BN327" s="64">
        <f>IFERROR(Y327*I327/H327,"0")</f>
        <v>11.200000000000001</v>
      </c>
      <c r="BO327" s="64">
        <f>IFERROR(1/J327*(X327/H327),"0")</f>
        <v>1.8907563025210083E-2</v>
      </c>
      <c r="BP327" s="64">
        <f>IFERROR(1/J327*(Y327/H327),"0")</f>
        <v>2.1008403361344536E-2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8</v>
      </c>
      <c r="Y328" s="540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8.9600000000000009</v>
      </c>
      <c r="BN328" s="64">
        <f>IFERROR(Y328*I328/H328,"0")</f>
        <v>8.9600000000000009</v>
      </c>
      <c r="BO328" s="64">
        <f>IFERROR(1/J328*(X328/H328),"0")</f>
        <v>1.680672268907563E-2</v>
      </c>
      <c r="BP328" s="64">
        <f>IFERROR(1/J328*(Y328/H328),"0")</f>
        <v>1.680672268907563E-2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8</v>
      </c>
      <c r="Y329" s="540">
        <f>IFERROR(IF(X329="",0,CEILING((X329/$H329),1)*$H329),"")</f>
        <v>8</v>
      </c>
      <c r="Z329" s="36">
        <f>IFERROR(IF(Y329=0,"",ROUNDUP(Y329/H329,0)*0.00474),"")</f>
        <v>1.8960000000000001E-2</v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8.9600000000000009</v>
      </c>
      <c r="BN329" s="64">
        <f>IFERROR(Y329*I329/H329,"0")</f>
        <v>8.9600000000000009</v>
      </c>
      <c r="BO329" s="64">
        <f>IFERROR(1/J329*(X329/H329),"0")</f>
        <v>1.680672268907563E-2</v>
      </c>
      <c r="BP329" s="64">
        <f>IFERROR(1/J329*(Y329/H329),"0")</f>
        <v>1.680672268907563E-2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12.5</v>
      </c>
      <c r="Y330" s="541">
        <f>IFERROR(Y327/H327,"0")+IFERROR(Y328/H328,"0")+IFERROR(Y329/H329,"0")</f>
        <v>13</v>
      </c>
      <c r="Z330" s="541">
        <f>IFERROR(IF(Z327="",0,Z327),"0")+IFERROR(IF(Z328="",0,Z328),"0")+IFERROR(IF(Z329="",0,Z329),"0")</f>
        <v>6.1620000000000008E-2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25</v>
      </c>
      <c r="Y331" s="541">
        <f>IFERROR(SUM(Y327:Y329),"0")</f>
        <v>26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88</v>
      </c>
      <c r="Y343" s="540">
        <f t="shared" si="31"/>
        <v>90</v>
      </c>
      <c r="Z343" s="36">
        <f>IFERROR(IF(Y343=0,"",ROUNDUP(Y343/H343,0)*0.02175),"")</f>
        <v>0.1305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90.757333333333335</v>
      </c>
      <c r="BN343" s="64">
        <f t="shared" si="33"/>
        <v>92.82</v>
      </c>
      <c r="BO343" s="64">
        <f t="shared" si="34"/>
        <v>0.1222222222222222</v>
      </c>
      <c r="BP343" s="64">
        <f t="shared" si="35"/>
        <v>0.125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5.8666666666666663</v>
      </c>
      <c r="Y349" s="541">
        <f>IFERROR(Y342/H342,"0")+IFERROR(Y343/H343,"0")+IFERROR(Y344/H344,"0")+IFERROR(Y345/H345,"0")+IFERROR(Y346/H346,"0")+IFERROR(Y347/H347,"0")+IFERROR(Y348/H348,"0")</f>
        <v>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0.1305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88</v>
      </c>
      <c r="Y350" s="541">
        <f>IFERROR(SUM(Y342:Y348),"0")</f>
        <v>90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44</v>
      </c>
      <c r="Y352" s="540">
        <f>IFERROR(IF(X352="",0,CEILING((X352/$H352),1)*$H352),"")</f>
        <v>45</v>
      </c>
      <c r="Z352" s="36">
        <f>IFERROR(IF(Y352=0,"",ROUNDUP(Y352/H352,0)*0.02175),"")</f>
        <v>6.5250000000000002E-2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45.378666666666668</v>
      </c>
      <c r="BN352" s="64">
        <f>IFERROR(Y352*I352/H352,"0")</f>
        <v>46.41</v>
      </c>
      <c r="BO352" s="64">
        <f>IFERROR(1/J352*(X352/H352),"0")</f>
        <v>6.1111111111111102E-2</v>
      </c>
      <c r="BP352" s="64">
        <f>IFERROR(1/J352*(Y352/H352),"0")</f>
        <v>6.25E-2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2.9333333333333331</v>
      </c>
      <c r="Y354" s="541">
        <f>IFERROR(Y352/H352,"0")+IFERROR(Y353/H353,"0")</f>
        <v>3</v>
      </c>
      <c r="Z354" s="541">
        <f>IFERROR(IF(Z352="",0,Z352),"0")+IFERROR(IF(Z353="",0,Z353),"0")</f>
        <v>6.5250000000000002E-2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44</v>
      </c>
      <c r="Y355" s="541">
        <f>IFERROR(SUM(Y352:Y353),"0")</f>
        <v>45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616</v>
      </c>
      <c r="Y377" s="540">
        <f>IFERROR(IF(X377="",0,CEILING((X377/$H377),1)*$H377),"")</f>
        <v>621</v>
      </c>
      <c r="Z377" s="36">
        <f>IFERROR(IF(Y377=0,"",ROUNDUP(Y377/H377,0)*0.01898),"")</f>
        <v>1.30962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649.81155555555551</v>
      </c>
      <c r="BN377" s="64">
        <f>IFERROR(Y377*I377/H377,"0")</f>
        <v>655.0859999999999</v>
      </c>
      <c r="BO377" s="64">
        <f>IFERROR(1/J377*(X377/H377),"0")</f>
        <v>1.0694444444444444</v>
      </c>
      <c r="BP377" s="64">
        <f>IFERROR(1/J377*(Y377/H377),"0")</f>
        <v>1.078125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68.444444444444443</v>
      </c>
      <c r="Y379" s="541">
        <f>IFERROR(Y377/H377,"0")+IFERROR(Y378/H378,"0")</f>
        <v>69</v>
      </c>
      <c r="Z379" s="541">
        <f>IFERROR(IF(Z377="",0,Z377),"0")+IFERROR(IF(Z378="",0,Z378),"0")</f>
        <v>1.30962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616</v>
      </c>
      <c r="Y380" s="541">
        <f>IFERROR(SUM(Y377:Y378),"0")</f>
        <v>621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7</v>
      </c>
      <c r="Y384" s="540">
        <f t="shared" ref="Y384:Y392" si="36">IFERROR(IF(X384="",0,CEILING((X384/$H384),1)*$H384),"")</f>
        <v>10.8</v>
      </c>
      <c r="Z384" s="36">
        <f>IFERROR(IF(Y384=0,"",ROUNDUP(Y384/H384,0)*0.00902),"")</f>
        <v>1.804E-2</v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7.2462962962962951</v>
      </c>
      <c r="BN384" s="64">
        <f t="shared" ref="BN384:BN392" si="38">IFERROR(Y384*I384/H384,"0")</f>
        <v>11.18</v>
      </c>
      <c r="BO384" s="64">
        <f t="shared" ref="BO384:BO392" si="39">IFERROR(1/J384*(X384/H384),"0")</f>
        <v>9.8204264870931542E-3</v>
      </c>
      <c r="BP384" s="64">
        <f t="shared" ref="BP384:BP392" si="40">IFERROR(1/J384*(Y384/H384),"0")</f>
        <v>1.5151515151515152E-2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1.2962962962962963</v>
      </c>
      <c r="Y393" s="541">
        <f>IFERROR(Y384/H384,"0")+IFERROR(Y385/H385,"0")+IFERROR(Y386/H386,"0")+IFERROR(Y387/H387,"0")+IFERROR(Y388/H388,"0")+IFERROR(Y389/H389,"0")+IFERROR(Y390/H390,"0")+IFERROR(Y391/H391,"0")+IFERROR(Y392/H392,"0")</f>
        <v>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1.804E-2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7</v>
      </c>
      <c r="Y394" s="541">
        <f>IFERROR(SUM(Y384:Y392),"0")</f>
        <v>10.8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262</v>
      </c>
      <c r="Y423" s="540">
        <f t="shared" si="42"/>
        <v>264</v>
      </c>
      <c r="Z423" s="36">
        <f t="shared" si="43"/>
        <v>0.59799999999999998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279.36742424242419</v>
      </c>
      <c r="BN423" s="64">
        <f t="shared" si="45"/>
        <v>281.5</v>
      </c>
      <c r="BO423" s="64">
        <f t="shared" si="46"/>
        <v>0.47712703962703962</v>
      </c>
      <c r="BP423" s="64">
        <f t="shared" si="47"/>
        <v>0.48076923076923078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81</v>
      </c>
      <c r="Y425" s="540">
        <f t="shared" si="42"/>
        <v>84.48</v>
      </c>
      <c r="Z425" s="36">
        <f t="shared" si="43"/>
        <v>0.19136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86.369318181818173</v>
      </c>
      <c r="BN425" s="64">
        <f t="shared" si="45"/>
        <v>90.08</v>
      </c>
      <c r="BO425" s="64">
        <f t="shared" si="46"/>
        <v>0.14750874125874125</v>
      </c>
      <c r="BP425" s="64">
        <f t="shared" si="47"/>
        <v>0.15384615384615385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94</v>
      </c>
      <c r="Y427" s="540">
        <f t="shared" si="42"/>
        <v>96</v>
      </c>
      <c r="Z427" s="36">
        <f>IFERROR(IF(Y427=0,"",ROUNDUP(Y427/H427,0)*0.00902),"")</f>
        <v>0.1804</v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135.32083333333333</v>
      </c>
      <c r="BN427" s="64">
        <f t="shared" si="45"/>
        <v>138.20000000000002</v>
      </c>
      <c r="BO427" s="64">
        <f t="shared" si="46"/>
        <v>0.14835858585858588</v>
      </c>
      <c r="BP427" s="64">
        <f t="shared" si="47"/>
        <v>0.15151515151515152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84.545454545454533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86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0.96975999999999996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437</v>
      </c>
      <c r="Y432" s="541">
        <f>IFERROR(SUM(Y420:Y430),"0")</f>
        <v>444.48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245</v>
      </c>
      <c r="Y434" s="540">
        <f>IFERROR(IF(X434="",0,CEILING((X434/$H434),1)*$H434),"")</f>
        <v>248.16000000000003</v>
      </c>
      <c r="Z434" s="36">
        <f>IFERROR(IF(Y434=0,"",ROUNDUP(Y434/H434,0)*0.01196),"")</f>
        <v>0.56211999999999995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261.24053030303025</v>
      </c>
      <c r="BN434" s="64">
        <f>IFERROR(Y434*I434/H434,"0")</f>
        <v>264.61</v>
      </c>
      <c r="BO434" s="64">
        <f>IFERROR(1/J434*(X434/H434),"0")</f>
        <v>0.44616841491841491</v>
      </c>
      <c r="BP434" s="64">
        <f>IFERROR(1/J434*(Y434/H434),"0")</f>
        <v>0.45192307692307693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69</v>
      </c>
      <c r="Y436" s="540">
        <f>IFERROR(IF(X436="",0,CEILING((X436/$H436),1)*$H436),"")</f>
        <v>72</v>
      </c>
      <c r="Z436" s="36">
        <f>IFERROR(IF(Y436=0,"",ROUNDUP(Y436/H436,0)*0.00902),"")</f>
        <v>0.1353</v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99.331250000000011</v>
      </c>
      <c r="BN436" s="64">
        <f>IFERROR(Y436*I436/H436,"0")</f>
        <v>103.65</v>
      </c>
      <c r="BO436" s="64">
        <f>IFERROR(1/J436*(X436/H436),"0")</f>
        <v>0.10890151515151515</v>
      </c>
      <c r="BP436" s="64">
        <f>IFERROR(1/J436*(Y436/H436),"0")</f>
        <v>0.11363636363636365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60.776515151515149</v>
      </c>
      <c r="Y437" s="541">
        <f>IFERROR(Y434/H434,"0")+IFERROR(Y435/H435,"0")+IFERROR(Y436/H436,"0")</f>
        <v>62</v>
      </c>
      <c r="Z437" s="541">
        <f>IFERROR(IF(Z434="",0,Z434),"0")+IFERROR(IF(Z435="",0,Z435),"0")+IFERROR(IF(Z436="",0,Z436),"0")</f>
        <v>0.69741999999999993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314</v>
      </c>
      <c r="Y438" s="541">
        <f>IFERROR(SUM(Y434:Y436),"0")</f>
        <v>320.16000000000003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122</v>
      </c>
      <c r="Y441" s="540">
        <f t="shared" si="48"/>
        <v>126.72</v>
      </c>
      <c r="Z441" s="36">
        <f>IFERROR(IF(Y441=0,"",ROUNDUP(Y441/H441,0)*0.01196),"")</f>
        <v>0.28704000000000002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130.08712121212122</v>
      </c>
      <c r="BN441" s="64">
        <f t="shared" si="50"/>
        <v>135.11999999999998</v>
      </c>
      <c r="BO441" s="64">
        <f t="shared" si="51"/>
        <v>0.22217365967365968</v>
      </c>
      <c r="BP441" s="64">
        <f t="shared" si="52"/>
        <v>0.23076923076923078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134</v>
      </c>
      <c r="Y442" s="540">
        <f t="shared" si="48"/>
        <v>137.28</v>
      </c>
      <c r="Z442" s="36">
        <f>IFERROR(IF(Y442=0,"",ROUNDUP(Y442/H442,0)*0.01196),"")</f>
        <v>0.31096000000000001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142.88257575757575</v>
      </c>
      <c r="BN442" s="64">
        <f t="shared" si="50"/>
        <v>146.38</v>
      </c>
      <c r="BO442" s="64">
        <f t="shared" si="51"/>
        <v>0.24402680652680653</v>
      </c>
      <c r="BP442" s="64">
        <f t="shared" si="52"/>
        <v>0.25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48.484848484848484</v>
      </c>
      <c r="Y446" s="541">
        <f>IFERROR(Y440/H440,"0")+IFERROR(Y441/H441,"0")+IFERROR(Y442/H442,"0")+IFERROR(Y443/H443,"0")+IFERROR(Y444/H444,"0")+IFERROR(Y445/H445,"0")</f>
        <v>50</v>
      </c>
      <c r="Z446" s="541">
        <f>IFERROR(IF(Z440="",0,Z440),"0")+IFERROR(IF(Z441="",0,Z441),"0")+IFERROR(IF(Z442="",0,Z442),"0")+IFERROR(IF(Z443="",0,Z443),"0")+IFERROR(IF(Z444="",0,Z444),"0")+IFERROR(IF(Z445="",0,Z445),"0")</f>
        <v>0.59800000000000009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256</v>
      </c>
      <c r="Y447" s="541">
        <f>IFERROR(SUM(Y440:Y445),"0")</f>
        <v>264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4999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5116.8900000000012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5373.7724322622289</v>
      </c>
      <c r="Y489" s="541">
        <f>IFERROR(SUM(BN22:BN485),"0")</f>
        <v>5500.6409999999987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10</v>
      </c>
      <c r="Y490" s="38">
        <f>ROUNDUP(SUM(BP22:BP485),0)</f>
        <v>10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5623.7724322622289</v>
      </c>
      <c r="Y491" s="541">
        <f>GrossWeightTotalR+PalletQtyTotalR*25</f>
        <v>5750.6409999999987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1037.3550516670537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1063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11.205579999999998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356.40000000000003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78.399999999999991</v>
      </c>
      <c r="E498" s="46">
        <f>IFERROR(Y85*1,"0")+IFERROR(Y86*1,"0")+IFERROR(Y87*1,"0")+IFERROR(Y91*1,"0")+IFERROR(Y92*1,"0")+IFERROR(Y93*1,"0")+IFERROR(Y94*1,"0")</f>
        <v>312.3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577.20000000000005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229.74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1358.0999999999997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26.98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4.8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377.53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135</v>
      </c>
      <c r="T498" s="46">
        <f>IFERROR(Y367*1,"0")+IFERROR(Y368*1,"0")+IFERROR(Y372*1,"0")+IFERROR(Y373*1,"0")+IFERROR(Y377*1,"0")+IFERROR(Y378*1,"0")</f>
        <v>621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10.8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1028.6400000000001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