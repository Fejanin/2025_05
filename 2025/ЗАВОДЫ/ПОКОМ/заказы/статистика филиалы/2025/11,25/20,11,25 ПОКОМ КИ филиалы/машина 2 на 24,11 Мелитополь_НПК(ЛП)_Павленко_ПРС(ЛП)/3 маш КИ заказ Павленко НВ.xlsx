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B836573-7D71-439E-BD0A-5B9468C6F2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Y325" i="1" s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Y305" i="1" s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Y274" i="1" s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L498" i="1" s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5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3" i="1" s="1"/>
  <c r="P195" i="1"/>
  <c r="X193" i="1"/>
  <c r="X192" i="1"/>
  <c r="BO191" i="1"/>
  <c r="BM191" i="1"/>
  <c r="Y191" i="1"/>
  <c r="Y193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8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2" i="1" s="1"/>
  <c r="P161" i="1"/>
  <c r="X159" i="1"/>
  <c r="X158" i="1"/>
  <c r="BO157" i="1"/>
  <c r="BM157" i="1"/>
  <c r="Y157" i="1"/>
  <c r="I498" i="1" s="1"/>
  <c r="P157" i="1"/>
  <c r="X153" i="1"/>
  <c r="X152" i="1"/>
  <c r="BO151" i="1"/>
  <c r="BM151" i="1"/>
  <c r="Y151" i="1"/>
  <c r="Y153" i="1" s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8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N80" i="1"/>
  <c r="BM80" i="1"/>
  <c r="Z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2" i="1" s="1"/>
  <c r="BO22" i="1"/>
  <c r="BM22" i="1"/>
  <c r="X489" i="1" s="1"/>
  <c r="Y22" i="1"/>
  <c r="P22" i="1"/>
  <c r="H10" i="1"/>
  <c r="A9" i="1"/>
  <c r="D7" i="1"/>
  <c r="Q6" i="1"/>
  <c r="P2" i="1"/>
  <c r="F10" i="1" l="1"/>
  <c r="J9" i="1"/>
  <c r="F9" i="1"/>
  <c r="A10" i="1"/>
  <c r="H9" i="1"/>
  <c r="B498" i="1"/>
  <c r="Y23" i="1"/>
  <c r="BP22" i="1"/>
  <c r="BN22" i="1"/>
  <c r="Z22" i="1"/>
  <c r="Z23" i="1" s="1"/>
  <c r="X490" i="1"/>
  <c r="X491" i="1" s="1"/>
  <c r="Y24" i="1"/>
  <c r="Y31" i="1"/>
  <c r="BP26" i="1"/>
  <c r="BN26" i="1"/>
  <c r="Z26" i="1"/>
  <c r="BP30" i="1"/>
  <c r="BN30" i="1"/>
  <c r="Z30" i="1"/>
  <c r="Y32" i="1"/>
  <c r="Y35" i="1"/>
  <c r="BP34" i="1"/>
  <c r="BN34" i="1"/>
  <c r="Z34" i="1"/>
  <c r="Z35" i="1" s="1"/>
  <c r="Y36" i="1"/>
  <c r="C498" i="1"/>
  <c r="Y43" i="1"/>
  <c r="BP40" i="1"/>
  <c r="BN40" i="1"/>
  <c r="Z40" i="1"/>
  <c r="Y44" i="1"/>
  <c r="BP28" i="1"/>
  <c r="BN28" i="1"/>
  <c r="Z28" i="1"/>
  <c r="BP42" i="1"/>
  <c r="BN42" i="1"/>
  <c r="Z42" i="1"/>
  <c r="Z136" i="1"/>
  <c r="Y48" i="1"/>
  <c r="Y57" i="1"/>
  <c r="Y63" i="1"/>
  <c r="Y69" i="1"/>
  <c r="Y77" i="1"/>
  <c r="Y81" i="1"/>
  <c r="Z85" i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Z103" i="1" s="1"/>
  <c r="BN100" i="1"/>
  <c r="BP100" i="1"/>
  <c r="Z102" i="1"/>
  <c r="BN102" i="1"/>
  <c r="Y103" i="1"/>
  <c r="Z106" i="1"/>
  <c r="Z109" i="1" s="1"/>
  <c r="BN106" i="1"/>
  <c r="BP106" i="1"/>
  <c r="Z108" i="1"/>
  <c r="BN108" i="1"/>
  <c r="Y109" i="1"/>
  <c r="Z112" i="1"/>
  <c r="Z116" i="1" s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BN135" i="1"/>
  <c r="BP135" i="1"/>
  <c r="Z140" i="1"/>
  <c r="Z142" i="1" s="1"/>
  <c r="BN140" i="1"/>
  <c r="BP140" i="1"/>
  <c r="Y143" i="1"/>
  <c r="Z146" i="1"/>
  <c r="Z148" i="1" s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Z191" i="1"/>
  <c r="Z192" i="1" s="1"/>
  <c r="BN191" i="1"/>
  <c r="BP191" i="1"/>
  <c r="Z195" i="1"/>
  <c r="Z203" i="1" s="1"/>
  <c r="BN195" i="1"/>
  <c r="BP195" i="1"/>
  <c r="Z197" i="1"/>
  <c r="BN197" i="1"/>
  <c r="Z199" i="1"/>
  <c r="BN199" i="1"/>
  <c r="Z201" i="1"/>
  <c r="BN201" i="1"/>
  <c r="Y204" i="1"/>
  <c r="Z207" i="1"/>
  <c r="Z215" i="1" s="1"/>
  <c r="BN207" i="1"/>
  <c r="BP207" i="1"/>
  <c r="Z209" i="1"/>
  <c r="BN209" i="1"/>
  <c r="Z211" i="1"/>
  <c r="BN211" i="1"/>
  <c r="Z213" i="1"/>
  <c r="BN213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X488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Y89" i="1"/>
  <c r="Y142" i="1"/>
  <c r="Y159" i="1"/>
  <c r="Y187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8" i="1"/>
  <c r="Y268" i="1"/>
  <c r="BP263" i="1"/>
  <c r="BN263" i="1"/>
  <c r="Z263" i="1"/>
  <c r="Z267" i="1" s="1"/>
  <c r="Y267" i="1"/>
  <c r="Z274" i="1"/>
  <c r="BP272" i="1"/>
  <c r="BN272" i="1"/>
  <c r="Z272" i="1"/>
  <c r="BP284" i="1"/>
  <c r="BN284" i="1"/>
  <c r="Z284" i="1"/>
  <c r="Y286" i="1"/>
  <c r="Q498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21" i="1"/>
  <c r="BN321" i="1"/>
  <c r="Z321" i="1"/>
  <c r="Z324" i="1" s="1"/>
  <c r="BP329" i="1"/>
  <c r="BN329" i="1"/>
  <c r="Z329" i="1"/>
  <c r="Y331" i="1"/>
  <c r="R498" i="1"/>
  <c r="Y337" i="1"/>
  <c r="BP334" i="1"/>
  <c r="BN334" i="1"/>
  <c r="Z334" i="1"/>
  <c r="Z337" i="1" s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Z446" i="1" s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93" i="1" l="1"/>
  <c r="Z259" i="1"/>
  <c r="Z250" i="1"/>
  <c r="Z57" i="1"/>
  <c r="Z349" i="1"/>
  <c r="Z330" i="1"/>
  <c r="Z285" i="1"/>
  <c r="Z177" i="1"/>
  <c r="Z171" i="1"/>
  <c r="Z95" i="1"/>
  <c r="Z88" i="1"/>
  <c r="Z43" i="1"/>
  <c r="Z31" i="1"/>
  <c r="Y488" i="1"/>
  <c r="Y490" i="1"/>
  <c r="Z431" i="1"/>
  <c r="Z311" i="1"/>
  <c r="Z493" i="1" s="1"/>
  <c r="Y489" i="1"/>
  <c r="Y491" i="1" s="1"/>
  <c r="Y492" i="1"/>
</calcChain>
</file>

<file path=xl/sharedStrings.xml><?xml version="1.0" encoding="utf-8"?>
<sst xmlns="http://schemas.openxmlformats.org/spreadsheetml/2006/main" count="2310" uniqueCount="759">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</sst>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8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5</v>
      </c>
      <c r="Y34" s="540">
        <f>IFERROR(IF(X34="",0,CEILING((X34/$H34),1)*$H34),"")</f>
        <v>5.3999999999999995</v>
      </c>
      <c r="Z34" s="36">
        <f>IFERROR(IF(Y34=0,"",ROUNDUP(Y34/H34,0)*0.00651),"")</f>
        <v>5.8590000000000003E-2</v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6.85</v>
      </c>
      <c r="BN34" s="64">
        <f>IFERROR(Y34*I34/H34,"0")</f>
        <v>7.3979999999999997</v>
      </c>
      <c r="BO34" s="64">
        <f>IFERROR(1/J34*(X34/H34),"0")</f>
        <v>4.5787545787545791E-2</v>
      </c>
      <c r="BP34" s="64">
        <f>IFERROR(1/J34*(Y34/H34),"0")</f>
        <v>4.9450549450549455E-2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8.3333333333333339</v>
      </c>
      <c r="Y35" s="541">
        <f>IFERROR(Y34/H34,"0")</f>
        <v>9</v>
      </c>
      <c r="Z35" s="541">
        <f>IFERROR(IF(Z34="",0,Z34),"0")</f>
        <v>5.8590000000000003E-2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5</v>
      </c>
      <c r="Y36" s="541">
        <f>IFERROR(SUM(Y34:Y34),"0")</f>
        <v>5.3999999999999995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109</v>
      </c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9.2592592592592595</v>
      </c>
      <c r="Y43" s="541">
        <f>IFERROR(Y40/H40,"0")+IFERROR(Y41/H41,"0")+IFERROR(Y42/H42,"0")</f>
        <v>10</v>
      </c>
      <c r="Z43" s="541">
        <f>IFERROR(IF(Z40="",0,Z40),"0")+IFERROR(IF(Z41="",0,Z41),"0")+IFERROR(IF(Z42="",0,Z42),"0")</f>
        <v>0.1898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100</v>
      </c>
      <c r="Y44" s="541">
        <f>IFERROR(SUM(Y40:Y42),"0")</f>
        <v>108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100</v>
      </c>
      <c r="Y52" s="54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45</v>
      </c>
      <c r="Y56" s="540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19.25925925925926</v>
      </c>
      <c r="Y57" s="541">
        <f>IFERROR(Y51/H51,"0")+IFERROR(Y52/H52,"0")+IFERROR(Y53/H53,"0")+IFERROR(Y54/H54,"0")+IFERROR(Y55/H55,"0")+IFERROR(Y56/H56,"0")</f>
        <v>20</v>
      </c>
      <c r="Z57" s="541">
        <f>IFERROR(IF(Z51="",0,Z51),"0")+IFERROR(IF(Z52="",0,Z52),"0")+IFERROR(IF(Z53="",0,Z53),"0")+IFERROR(IF(Z54="",0,Z54),"0")+IFERROR(IF(Z55="",0,Z55),"0")+IFERROR(IF(Z56="",0,Z56),"0")</f>
        <v>0.28000000000000003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145</v>
      </c>
      <c r="Y58" s="541">
        <f>IFERROR(SUM(Y51:Y56),"0")</f>
        <v>153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9.2592592592592595</v>
      </c>
      <c r="Y88" s="541">
        <f>IFERROR(Y85/H85,"0")+IFERROR(Y86/H86,"0")+IFERROR(Y87/H87,"0")</f>
        <v>10</v>
      </c>
      <c r="Z88" s="541">
        <f>IFERROR(IF(Z85="",0,Z85),"0")+IFERROR(IF(Z86="",0,Z86),"0")+IFERROR(IF(Z87="",0,Z87),"0")</f>
        <v>0.1898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100</v>
      </c>
      <c r="Y89" s="541">
        <f>IFERROR(SUM(Y85:Y87),"0")</f>
        <v>108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100</v>
      </c>
      <c r="Y91" s="54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45</v>
      </c>
      <c r="Y93" s="540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29.012345679012341</v>
      </c>
      <c r="Y95" s="541">
        <f>IFERROR(Y91/H91,"0")+IFERROR(Y92/H92,"0")+IFERROR(Y93/H93,"0")+IFERROR(Y94/H94,"0")</f>
        <v>30</v>
      </c>
      <c r="Z95" s="541">
        <f>IFERROR(IF(Z91="",0,Z91),"0")+IFERROR(IF(Z92="",0,Z92),"0")+IFERROR(IF(Z93="",0,Z93),"0")+IFERROR(IF(Z94="",0,Z94),"0")</f>
        <v>0.35741000000000001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145</v>
      </c>
      <c r="Y96" s="541">
        <f>IFERROR(SUM(Y91:Y94),"0")</f>
        <v>151.19999999999999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100</v>
      </c>
      <c r="Y99" s="540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9.2592592592592595</v>
      </c>
      <c r="Y103" s="541">
        <f>IFERROR(Y99/H99,"0")+IFERROR(Y100/H100,"0")+IFERROR(Y101/H101,"0")+IFERROR(Y102/H102,"0")</f>
        <v>10</v>
      </c>
      <c r="Z103" s="541">
        <f>IFERROR(IF(Z99="",0,Z99),"0")+IFERROR(IF(Z100="",0,Z100),"0")+IFERROR(IF(Z101="",0,Z101),"0")+IFERROR(IF(Z102="",0,Z102),"0")</f>
        <v>0.1898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100</v>
      </c>
      <c r="Y104" s="541">
        <f>IFERROR(SUM(Y99:Y102),"0")</f>
        <v>108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185</v>
      </c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100</v>
      </c>
      <c r="Y112" s="540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45</v>
      </c>
      <c r="Y114" s="540">
        <f>IFERROR(IF(X114="",0,CEILING((X114/$H114),1)*$H114),"")</f>
        <v>45.900000000000006</v>
      </c>
      <c r="Z114" s="36">
        <f>IFERROR(IF(Y114=0,"",ROUNDUP(Y114/H114,0)*0.00651),"")</f>
        <v>0.11067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49.199999999999996</v>
      </c>
      <c r="BN114" s="64">
        <f>IFERROR(Y114*I114/H114,"0")</f>
        <v>50.183999999999997</v>
      </c>
      <c r="BO114" s="64">
        <f>IFERROR(1/J114*(X114/H114),"0")</f>
        <v>9.1575091575091569E-2</v>
      </c>
      <c r="BP114" s="64">
        <f>IFERROR(1/J114*(Y114/H114),"0")</f>
        <v>9.3406593406593408E-2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29.012345679012341</v>
      </c>
      <c r="Y116" s="541">
        <f>IFERROR(Y112/H112,"0")+IFERROR(Y113/H113,"0")+IFERROR(Y114/H114,"0")+IFERROR(Y115/H115,"0")</f>
        <v>30</v>
      </c>
      <c r="Z116" s="541">
        <f>IFERROR(IF(Z112="",0,Z112),"0")+IFERROR(IF(Z113="",0,Z113),"0")+IFERROR(IF(Z114="",0,Z114),"0")+IFERROR(IF(Z115="",0,Z115),"0")</f>
        <v>0.35741000000000001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145</v>
      </c>
      <c r="Y117" s="541">
        <f>IFERROR(SUM(Y112:Y115),"0")</f>
        <v>151.19999999999999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109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185</v>
      </c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100</v>
      </c>
      <c r="Y195" s="540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100</v>
      </c>
      <c r="Y196" s="540">
        <f t="shared" si="10"/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103.5185185185185</v>
      </c>
      <c r="BN196" s="64">
        <f t="shared" si="12"/>
        <v>106.21</v>
      </c>
      <c r="BO196" s="64">
        <f t="shared" si="13"/>
        <v>0.14029180695847362</v>
      </c>
      <c r="BP196" s="64">
        <f t="shared" si="14"/>
        <v>0.14393939393939395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100</v>
      </c>
      <c r="Y197" s="540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100</v>
      </c>
      <c r="Y198" s="540">
        <f t="shared" si="10"/>
        <v>102.60000000000001</v>
      </c>
      <c r="Z198" s="36">
        <f>IFERROR(IF(Y198=0,"",ROUNDUP(Y198/H198,0)*0.00902),"")</f>
        <v>0.17138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103.5185185185185</v>
      </c>
      <c r="BN198" s="64">
        <f t="shared" si="12"/>
        <v>106.21</v>
      </c>
      <c r="BO198" s="64">
        <f t="shared" si="13"/>
        <v>0.14029180695847362</v>
      </c>
      <c r="BP198" s="64">
        <f t="shared" si="14"/>
        <v>0.14393939393939395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74.074074074074076</v>
      </c>
      <c r="Y203" s="541">
        <f>IFERROR(Y195/H195,"0")+IFERROR(Y196/H196,"0")+IFERROR(Y197/H197,"0")+IFERROR(Y198/H198,"0")+IFERROR(Y199/H199,"0")+IFERROR(Y200/H200,"0")+IFERROR(Y201/H201,"0")+IFERROR(Y202/H202,"0")</f>
        <v>76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0.68552000000000002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400</v>
      </c>
      <c r="Y204" s="541">
        <f>IFERROR(SUM(Y195:Y202),"0")</f>
        <v>410.40000000000003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 t="s">
        <v>185</v>
      </c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105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185</v>
      </c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 t="s">
        <v>266</v>
      </c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105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100</v>
      </c>
      <c r="Y315" s="540">
        <f>IFERROR(IF(X315="",0,CEILING((X315/$H315),1)*$H315),"")</f>
        <v>101.39999999999999</v>
      </c>
      <c r="Z315" s="36">
        <f>IFERROR(IF(Y315=0,"",ROUNDUP(Y315/H315,0)*0.01898),"")</f>
        <v>0.24674000000000001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106.33333333333334</v>
      </c>
      <c r="BN315" s="64">
        <f>IFERROR(Y315*I315/H315,"0")</f>
        <v>107.82199999999999</v>
      </c>
      <c r="BO315" s="64">
        <f>IFERROR(1/J315*(X315/H315),"0")</f>
        <v>0.20032051282051283</v>
      </c>
      <c r="BP315" s="64">
        <f>IFERROR(1/J315*(Y315/H315),"0")</f>
        <v>0.203125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12.820512820512821</v>
      </c>
      <c r="Y317" s="541">
        <f>IFERROR(Y314/H314,"0")+IFERROR(Y315/H315,"0")+IFERROR(Y316/H316,"0")</f>
        <v>13</v>
      </c>
      <c r="Z317" s="541">
        <f>IFERROR(IF(Z314="",0,Z314),"0")+IFERROR(IF(Z315="",0,Z315),"0")+IFERROR(IF(Z316="",0,Z316),"0")</f>
        <v>0.24674000000000001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100</v>
      </c>
      <c r="Y318" s="541">
        <f>IFERROR(SUM(Y314:Y316),"0")</f>
        <v>101.39999999999999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 t="s">
        <v>185</v>
      </c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105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 t="s">
        <v>185</v>
      </c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105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 t="s">
        <v>185</v>
      </c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105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35</v>
      </c>
      <c r="Y336" s="540">
        <f>IFERROR(IF(X336="",0,CEILING((X336/$H336),1)*$H336),"")</f>
        <v>35.700000000000003</v>
      </c>
      <c r="Z336" s="36">
        <f>IFERROR(IF(Y336=0,"",ROUNDUP(Y336/H336,0)*0.00651),"")</f>
        <v>0.11067</v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38.999999999999993</v>
      </c>
      <c r="BN336" s="64">
        <f>IFERROR(Y336*I336/H336,"0")</f>
        <v>39.779999999999994</v>
      </c>
      <c r="BO336" s="64">
        <f>IFERROR(1/J336*(X336/H336),"0")</f>
        <v>9.1575091575091569E-2</v>
      </c>
      <c r="BP336" s="64">
        <f>IFERROR(1/J336*(Y336/H336),"0")</f>
        <v>9.3406593406593408E-2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16.666666666666664</v>
      </c>
      <c r="Y337" s="541">
        <f>IFERROR(Y334/H334,"0")+IFERROR(Y335/H335,"0")+IFERROR(Y336/H336,"0")</f>
        <v>17</v>
      </c>
      <c r="Z337" s="541">
        <f>IFERROR(IF(Z334="",0,Z334),"0")+IFERROR(IF(Z335="",0,Z335),"0")+IFERROR(IF(Z336="",0,Z336),"0")</f>
        <v>0.11067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35</v>
      </c>
      <c r="Y338" s="541">
        <f>IFERROR(SUM(Y334:Y336),"0")</f>
        <v>35.700000000000003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250</v>
      </c>
      <c r="Y342" s="540">
        <f t="shared" ref="Y342:Y348" si="31">IFERROR(IF(X342="",0,CEILING((X342/$H342),1)*$H342),"")</f>
        <v>255</v>
      </c>
      <c r="Z342" s="36">
        <f>IFERROR(IF(Y342=0,"",ROUNDUP(Y342/H342,0)*0.02175),"")</f>
        <v>0.36974999999999997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257.83333333333331</v>
      </c>
      <c r="BN342" s="64">
        <f t="shared" ref="BN342:BN348" si="33">IFERROR(Y342*I342/H342,"0")</f>
        <v>262.99</v>
      </c>
      <c r="BO342" s="64">
        <f t="shared" ref="BO342:BO348" si="34">IFERROR(1/J342*(X342/H342),"0")</f>
        <v>0.34722222222222221</v>
      </c>
      <c r="BP342" s="64">
        <f t="shared" ref="BP342:BP348" si="35">IFERROR(1/J342*(Y342/H342),"0")</f>
        <v>0.35416666666666663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250</v>
      </c>
      <c r="Y343" s="540">
        <f t="shared" si="31"/>
        <v>255</v>
      </c>
      <c r="Z343" s="36">
        <f>IFERROR(IF(Y343=0,"",ROUNDUP(Y343/H343,0)*0.02175),"")</f>
        <v>0.36974999999999997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257.83333333333331</v>
      </c>
      <c r="BN343" s="64">
        <f t="shared" si="33"/>
        <v>262.99</v>
      </c>
      <c r="BO343" s="64">
        <f t="shared" si="34"/>
        <v>0.34722222222222221</v>
      </c>
      <c r="BP343" s="64">
        <f t="shared" si="35"/>
        <v>0.35416666666666663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250</v>
      </c>
      <c r="Y345" s="540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257.83333333333331</v>
      </c>
      <c r="BN345" s="64">
        <f t="shared" si="33"/>
        <v>262.99</v>
      </c>
      <c r="BO345" s="64">
        <f t="shared" si="34"/>
        <v>0.34722222222222221</v>
      </c>
      <c r="BP345" s="64">
        <f t="shared" si="35"/>
        <v>0.35416666666666663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50</v>
      </c>
      <c r="Y349" s="541">
        <f>IFERROR(Y342/H342,"0")+IFERROR(Y343/H343,"0")+IFERROR(Y344/H344,"0")+IFERROR(Y345/H345,"0")+IFERROR(Y346/H346,"0")+IFERROR(Y347/H347,"0")+IFERROR(Y348/H348,"0")</f>
        <v>51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1.1092499999999998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750</v>
      </c>
      <c r="Y350" s="541">
        <f>IFERROR(SUM(Y342:Y348),"0")</f>
        <v>765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250</v>
      </c>
      <c r="Y352" s="540">
        <f>IFERROR(IF(X352="",0,CEILING((X352/$H352),1)*$H352),"")</f>
        <v>255</v>
      </c>
      <c r="Z352" s="36">
        <f>IFERROR(IF(Y352=0,"",ROUNDUP(Y352/H352,0)*0.02175),"")</f>
        <v>0.36974999999999997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257.83333333333331</v>
      </c>
      <c r="BN352" s="64">
        <f>IFERROR(Y352*I352/H352,"0")</f>
        <v>262.99</v>
      </c>
      <c r="BO352" s="64">
        <f>IFERROR(1/J352*(X352/H352),"0")</f>
        <v>0.34722222222222221</v>
      </c>
      <c r="BP352" s="64">
        <f>IFERROR(1/J352*(Y352/H352),"0")</f>
        <v>0.35416666666666663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16.666666666666668</v>
      </c>
      <c r="Y354" s="541">
        <f>IFERROR(Y352/H352,"0")+IFERROR(Y353/H353,"0")</f>
        <v>17</v>
      </c>
      <c r="Z354" s="541">
        <f>IFERROR(IF(Z352="",0,Z352),"0")+IFERROR(IF(Z353="",0,Z353),"0")</f>
        <v>0.36974999999999997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250</v>
      </c>
      <c r="Y355" s="541">
        <f>IFERROR(SUM(Y352:Y353),"0")</f>
        <v>255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 t="s">
        <v>102</v>
      </c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105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100</v>
      </c>
      <c r="Y362" s="540">
        <f>IFERROR(IF(X362="",0,CEILING((X362/$H362),1)*$H362),"")</f>
        <v>108</v>
      </c>
      <c r="Z362" s="36">
        <f>IFERROR(IF(Y362=0,"",ROUNDUP(Y362/H362,0)*0.01898),"")</f>
        <v>0.22776000000000002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105.48888888888888</v>
      </c>
      <c r="BN362" s="64">
        <f>IFERROR(Y362*I362/H362,"0")</f>
        <v>113.92799999999998</v>
      </c>
      <c r="BO362" s="64">
        <f>IFERROR(1/J362*(X362/H362),"0")</f>
        <v>0.1736111111111111</v>
      </c>
      <c r="BP362" s="64">
        <f>IFERROR(1/J362*(Y362/H362),"0")</f>
        <v>0.1875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11.111111111111111</v>
      </c>
      <c r="Y363" s="541">
        <f>IFERROR(Y362/H362,"0")</f>
        <v>12</v>
      </c>
      <c r="Z363" s="541">
        <f>IFERROR(IF(Z362="",0,Z362),"0")</f>
        <v>0.22776000000000002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100</v>
      </c>
      <c r="Y364" s="541">
        <f>IFERROR(SUM(Y362:Y362),"0")</f>
        <v>108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100</v>
      </c>
      <c r="Y377" s="540">
        <f>IFERROR(IF(X377="",0,CEILING((X377/$H377),1)*$H377),"")</f>
        <v>108</v>
      </c>
      <c r="Z377" s="36">
        <f>IFERROR(IF(Y377=0,"",ROUNDUP(Y377/H377,0)*0.01898),"")</f>
        <v>0.22776000000000002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105.48888888888888</v>
      </c>
      <c r="BN377" s="64">
        <f>IFERROR(Y377*I377/H377,"0")</f>
        <v>113.92799999999998</v>
      </c>
      <c r="BO377" s="64">
        <f>IFERROR(1/J377*(X377/H377),"0")</f>
        <v>0.1736111111111111</v>
      </c>
      <c r="BP377" s="64">
        <f>IFERROR(1/J377*(Y377/H377),"0")</f>
        <v>0.1875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11.111111111111111</v>
      </c>
      <c r="Y379" s="541">
        <f>IFERROR(Y377/H377,"0")+IFERROR(Y378/H378,"0")</f>
        <v>12</v>
      </c>
      <c r="Z379" s="541">
        <f>IFERROR(IF(Z377="",0,Z377),"0")+IFERROR(IF(Z378="",0,Z378),"0")</f>
        <v>0.22776000000000002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100</v>
      </c>
      <c r="Y380" s="541">
        <f>IFERROR(SUM(Y377:Y378),"0")</f>
        <v>108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109</v>
      </c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 t="s">
        <v>266</v>
      </c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 t="s">
        <v>105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109</v>
      </c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100</v>
      </c>
      <c r="Y423" s="540">
        <f t="shared" si="42"/>
        <v>100.32000000000001</v>
      </c>
      <c r="Z423" s="36">
        <f t="shared" si="43"/>
        <v>0.22724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100</v>
      </c>
      <c r="Y425" s="540">
        <f t="shared" si="42"/>
        <v>100.32000000000001</v>
      </c>
      <c r="Z425" s="36">
        <f t="shared" si="43"/>
        <v>0.22724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106.62878787878788</v>
      </c>
      <c r="BN425" s="64">
        <f t="shared" si="45"/>
        <v>106.97</v>
      </c>
      <c r="BO425" s="64">
        <f t="shared" si="46"/>
        <v>0.18210955710955709</v>
      </c>
      <c r="BP425" s="64">
        <f t="shared" si="47"/>
        <v>0.18269230769230771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 t="s">
        <v>109</v>
      </c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 t="s">
        <v>105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37.878787878787875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0.45448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200</v>
      </c>
      <c r="Y432" s="541">
        <f>IFERROR(SUM(Y420:Y430),"0")</f>
        <v>200.64000000000001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100</v>
      </c>
      <c r="Y434" s="540">
        <f>IFERROR(IF(X434="",0,CEILING((X434/$H434),1)*$H434),"")</f>
        <v>100.32000000000001</v>
      </c>
      <c r="Z434" s="36">
        <f>IFERROR(IF(Y434=0,"",ROUNDUP(Y434/H434,0)*0.01196),"")</f>
        <v>0.22724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106.62878787878788</v>
      </c>
      <c r="BN434" s="64">
        <f>IFERROR(Y434*I434/H434,"0")</f>
        <v>106.97</v>
      </c>
      <c r="BO434" s="64">
        <f>IFERROR(1/J434*(X434/H434),"0")</f>
        <v>0.18210955710955709</v>
      </c>
      <c r="BP434" s="64">
        <f>IFERROR(1/J434*(Y434/H434),"0")</f>
        <v>0.18269230769230771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18.939393939393938</v>
      </c>
      <c r="Y437" s="541">
        <f>IFERROR(Y434/H434,"0")+IFERROR(Y435/H435,"0")+IFERROR(Y436/H436,"0")</f>
        <v>19</v>
      </c>
      <c r="Z437" s="541">
        <f>IFERROR(IF(Z434="",0,Z434),"0")+IFERROR(IF(Z435="",0,Z435),"0")+IFERROR(IF(Z436="",0,Z436),"0")</f>
        <v>0.22724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100</v>
      </c>
      <c r="Y438" s="541">
        <f>IFERROR(SUM(Y434:Y436),"0")</f>
        <v>100.32000000000001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109</v>
      </c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109</v>
      </c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100</v>
      </c>
      <c r="Y475" s="540">
        <f>IFERROR(IF(X475="",0,CEILING((X475/$H475),1)*$H475),"")</f>
        <v>108</v>
      </c>
      <c r="Z475" s="36">
        <f>IFERROR(IF(Y475=0,"",ROUNDUP(Y475/H475,0)*0.01898),"")</f>
        <v>0.22776000000000002</v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105.48888888888888</v>
      </c>
      <c r="BN475" s="64">
        <f>IFERROR(Y475*I475/H475,"0")</f>
        <v>113.92799999999998</v>
      </c>
      <c r="BO475" s="64">
        <f>IFERROR(1/J475*(X475/H475),"0")</f>
        <v>0.1736111111111111</v>
      </c>
      <c r="BP475" s="64">
        <f>IFERROR(1/J475*(Y475/H475),"0")</f>
        <v>0.1875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11.111111111111111</v>
      </c>
      <c r="Y476" s="541">
        <f>IFERROR(Y475/H475,"0")</f>
        <v>12</v>
      </c>
      <c r="Z476" s="541">
        <f>IFERROR(IF(Z475="",0,Z475),"0")</f>
        <v>0.22776000000000002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100</v>
      </c>
      <c r="Y477" s="541">
        <f>IFERROR(SUM(Y475:Y475),"0")</f>
        <v>108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2875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2977.26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3006.5524130190806</v>
      </c>
      <c r="Y489" s="541">
        <f>IFERROR(SUM(BN22:BN485),"0")</f>
        <v>3113.5279999999989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5</v>
      </c>
      <c r="Y490" s="38">
        <f>ROUNDUP(SUM(BP22:BP485),0)</f>
        <v>5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3131.5524130190806</v>
      </c>
      <c r="Y491" s="541">
        <f>GrossWeightTotalR+PalletQtyTotalR*25</f>
        <v>3238.5279999999989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373.77449710783037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386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5.5097399999999999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5.3999999999999995</v>
      </c>
      <c r="C498" s="46">
        <f>IFERROR(Y40*1,"0")+IFERROR(Y41*1,"0")+IFERROR(Y42*1,"0")+IFERROR(Y46*1,"0")</f>
        <v>108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153</v>
      </c>
      <c r="E498" s="46">
        <f>IFERROR(Y85*1,"0")+IFERROR(Y86*1,"0")+IFERROR(Y87*1,"0")+IFERROR(Y91*1,"0")+IFERROR(Y92*1,"0")+IFERROR(Y93*1,"0")+IFERROR(Y94*1,"0")</f>
        <v>259.20000000000005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259.20000000000005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410.40000000000003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101.39999999999999</v>
      </c>
      <c r="R498" s="46">
        <f>IFERROR(Y334*1,"0")+IFERROR(Y335*1,"0")+IFERROR(Y336*1,"0")</f>
        <v>35.700000000000003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1128</v>
      </c>
      <c r="T498" s="46">
        <f>IFERROR(Y367*1,"0")+IFERROR(Y368*1,"0")+IFERROR(Y372*1,"0")+IFERROR(Y373*1,"0")+IFERROR(Y377*1,"0")+IFERROR(Y378*1,"0")</f>
        <v>108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300.96000000000004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108</v>
      </c>
      <c r="Z498" s="46">
        <f>IFERROR(Y485*1,"0")</f>
        <v>0</v>
      </c>
      <c r="AB498" s="52"/>
      <c r="AC498" s="52"/>
      <c r="AF498" s="537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4 X386 X391 X406 X420 X422:X423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2025-11-21T08:16:36Z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