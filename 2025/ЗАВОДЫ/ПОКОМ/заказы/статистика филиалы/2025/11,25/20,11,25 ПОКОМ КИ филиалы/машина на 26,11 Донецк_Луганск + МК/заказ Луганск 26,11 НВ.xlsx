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9691187C-F99C-47D1-975A-512A3CF1CBA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8" i="1"/>
  <c r="Y337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Y305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Q498" i="1" s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Y89" i="1" s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Y70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63" i="1"/>
  <c r="BP60" i="1"/>
  <c r="BN60" i="1"/>
  <c r="Z60" i="1"/>
  <c r="BP80" i="1"/>
  <c r="BN80" i="1"/>
  <c r="Z80" i="1"/>
  <c r="Z81" i="1" s="1"/>
  <c r="Y82" i="1"/>
  <c r="H9" i="1"/>
  <c r="B498" i="1"/>
  <c r="X489" i="1"/>
  <c r="X490" i="1"/>
  <c r="X492" i="1"/>
  <c r="Y24" i="1"/>
  <c r="Z27" i="1"/>
  <c r="Z31" i="1" s="1"/>
  <c r="BN27" i="1"/>
  <c r="Z29" i="1"/>
  <c r="BN29" i="1"/>
  <c r="C498" i="1"/>
  <c r="Z41" i="1"/>
  <c r="Z43" i="1" s="1"/>
  <c r="BN41" i="1"/>
  <c r="BP41" i="1"/>
  <c r="Y44" i="1"/>
  <c r="D498" i="1"/>
  <c r="Y57" i="1"/>
  <c r="Z52" i="1"/>
  <c r="Z57" i="1" s="1"/>
  <c r="BN52" i="1"/>
  <c r="BP52" i="1"/>
  <c r="Z54" i="1"/>
  <c r="BN54" i="1"/>
  <c r="Z56" i="1"/>
  <c r="BN56" i="1"/>
  <c r="BP62" i="1"/>
  <c r="BN62" i="1"/>
  <c r="Z62" i="1"/>
  <c r="Y64" i="1"/>
  <c r="Y69" i="1"/>
  <c r="BP66" i="1"/>
  <c r="BN66" i="1"/>
  <c r="Z66" i="1"/>
  <c r="BP74" i="1"/>
  <c r="BN74" i="1"/>
  <c r="Z74" i="1"/>
  <c r="Y81" i="1"/>
  <c r="BP87" i="1"/>
  <c r="BN87" i="1"/>
  <c r="Z87" i="1"/>
  <c r="Y96" i="1"/>
  <c r="BP91" i="1"/>
  <c r="BN91" i="1"/>
  <c r="Z91" i="1"/>
  <c r="Y95" i="1"/>
  <c r="BP100" i="1"/>
  <c r="BN100" i="1"/>
  <c r="Z100" i="1"/>
  <c r="BP108" i="1"/>
  <c r="BN108" i="1"/>
  <c r="Z108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Z148" i="1"/>
  <c r="BP146" i="1"/>
  <c r="BN146" i="1"/>
  <c r="Z146" i="1"/>
  <c r="BP163" i="1"/>
  <c r="BN163" i="1"/>
  <c r="Z163" i="1"/>
  <c r="BP168" i="1"/>
  <c r="BN168" i="1"/>
  <c r="Z168" i="1"/>
  <c r="BP176" i="1"/>
  <c r="BN176" i="1"/>
  <c r="Z176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Z250" i="1" s="1"/>
  <c r="Y250" i="1"/>
  <c r="BP255" i="1"/>
  <c r="BN255" i="1"/>
  <c r="Z255" i="1"/>
  <c r="Y259" i="1"/>
  <c r="BP264" i="1"/>
  <c r="BN264" i="1"/>
  <c r="Z264" i="1"/>
  <c r="Z267" i="1" s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300" i="1"/>
  <c r="BN300" i="1"/>
  <c r="Z300" i="1"/>
  <c r="Y304" i="1"/>
  <c r="BP308" i="1"/>
  <c r="BN308" i="1"/>
  <c r="Z308" i="1"/>
  <c r="Y312" i="1"/>
  <c r="BP316" i="1"/>
  <c r="BN316" i="1"/>
  <c r="Z316" i="1"/>
  <c r="Y318" i="1"/>
  <c r="Y325" i="1"/>
  <c r="BP320" i="1"/>
  <c r="BN320" i="1"/>
  <c r="Z320" i="1"/>
  <c r="Y324" i="1"/>
  <c r="Z330" i="1"/>
  <c r="BP328" i="1"/>
  <c r="BN328" i="1"/>
  <c r="Z328" i="1"/>
  <c r="Y330" i="1"/>
  <c r="BP378" i="1"/>
  <c r="BN378" i="1"/>
  <c r="Z378" i="1"/>
  <c r="Z379" i="1" s="1"/>
  <c r="Y380" i="1"/>
  <c r="Y393" i="1"/>
  <c r="BP384" i="1"/>
  <c r="BN384" i="1"/>
  <c r="Z384" i="1"/>
  <c r="Y394" i="1"/>
  <c r="U498" i="1"/>
  <c r="BP388" i="1"/>
  <c r="BN388" i="1"/>
  <c r="Z388" i="1"/>
  <c r="BP392" i="1"/>
  <c r="BN392" i="1"/>
  <c r="Z392" i="1"/>
  <c r="BP68" i="1"/>
  <c r="Y490" i="1" s="1"/>
  <c r="BN68" i="1"/>
  <c r="Y489" i="1" s="1"/>
  <c r="Z68" i="1"/>
  <c r="Y77" i="1"/>
  <c r="BP72" i="1"/>
  <c r="BN72" i="1"/>
  <c r="Z72" i="1"/>
  <c r="Z76" i="1" s="1"/>
  <c r="Y76" i="1"/>
  <c r="Y492" i="1" s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BP135" i="1"/>
  <c r="BN135" i="1"/>
  <c r="Z135" i="1"/>
  <c r="Z136" i="1" s="1"/>
  <c r="Y137" i="1"/>
  <c r="H498" i="1"/>
  <c r="Y143" i="1"/>
  <c r="BP140" i="1"/>
  <c r="BN140" i="1"/>
  <c r="Z140" i="1"/>
  <c r="Z142" i="1" s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BP191" i="1"/>
  <c r="BN191" i="1"/>
  <c r="Z191" i="1"/>
  <c r="Z192" i="1" s="1"/>
  <c r="Y193" i="1"/>
  <c r="Y204" i="1"/>
  <c r="Y203" i="1"/>
  <c r="BP195" i="1"/>
  <c r="BN195" i="1"/>
  <c r="Z195" i="1"/>
  <c r="BP209" i="1"/>
  <c r="BN209" i="1"/>
  <c r="Z209" i="1"/>
  <c r="BP213" i="1"/>
  <c r="BN213" i="1"/>
  <c r="Z213" i="1"/>
  <c r="BP292" i="1"/>
  <c r="BN292" i="1"/>
  <c r="Z292" i="1"/>
  <c r="BP343" i="1"/>
  <c r="BN343" i="1"/>
  <c r="Z343" i="1"/>
  <c r="Z349" i="1" s="1"/>
  <c r="Y349" i="1"/>
  <c r="BP347" i="1"/>
  <c r="BN347" i="1"/>
  <c r="Z347" i="1"/>
  <c r="F498" i="1"/>
  <c r="Y103" i="1"/>
  <c r="G498" i="1"/>
  <c r="Y126" i="1"/>
  <c r="BP199" i="1"/>
  <c r="BN199" i="1"/>
  <c r="Z199" i="1"/>
  <c r="BP207" i="1"/>
  <c r="BN207" i="1"/>
  <c r="Z207" i="1"/>
  <c r="Z215" i="1" s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L498" i="1"/>
  <c r="BP257" i="1"/>
  <c r="BN257" i="1"/>
  <c r="Z257" i="1"/>
  <c r="Z259" i="1" s="1"/>
  <c r="BP266" i="1"/>
  <c r="BN266" i="1"/>
  <c r="Z266" i="1"/>
  <c r="O498" i="1"/>
  <c r="Y274" i="1"/>
  <c r="BP271" i="1"/>
  <c r="BN271" i="1"/>
  <c r="Z271" i="1"/>
  <c r="Z274" i="1" s="1"/>
  <c r="Z294" i="1"/>
  <c r="BP290" i="1"/>
  <c r="BN290" i="1"/>
  <c r="Z290" i="1"/>
  <c r="Y294" i="1"/>
  <c r="BP298" i="1"/>
  <c r="BN298" i="1"/>
  <c r="Z298" i="1"/>
  <c r="Z304" i="1" s="1"/>
  <c r="BP302" i="1"/>
  <c r="BN302" i="1"/>
  <c r="Z302" i="1"/>
  <c r="Y311" i="1"/>
  <c r="BP310" i="1"/>
  <c r="BN310" i="1"/>
  <c r="Z310" i="1"/>
  <c r="Z311" i="1" s="1"/>
  <c r="Y317" i="1"/>
  <c r="BP314" i="1"/>
  <c r="BN314" i="1"/>
  <c r="Z314" i="1"/>
  <c r="Z317" i="1" s="1"/>
  <c r="BP322" i="1"/>
  <c r="BN322" i="1"/>
  <c r="Z322" i="1"/>
  <c r="Y331" i="1"/>
  <c r="Z337" i="1"/>
  <c r="BP335" i="1"/>
  <c r="BN335" i="1"/>
  <c r="Z335" i="1"/>
  <c r="BP345" i="1"/>
  <c r="BN345" i="1"/>
  <c r="Z345" i="1"/>
  <c r="BP353" i="1"/>
  <c r="BN353" i="1"/>
  <c r="Z353" i="1"/>
  <c r="Z354" i="1" s="1"/>
  <c r="Y355" i="1"/>
  <c r="Y360" i="1"/>
  <c r="BP357" i="1"/>
  <c r="BN357" i="1"/>
  <c r="Z357" i="1"/>
  <c r="Z359" i="1" s="1"/>
  <c r="Y359" i="1"/>
  <c r="Z369" i="1"/>
  <c r="Y260" i="1"/>
  <c r="M498" i="1"/>
  <c r="Y267" i="1"/>
  <c r="Y295" i="1"/>
  <c r="R498" i="1"/>
  <c r="Y338" i="1"/>
  <c r="S498" i="1"/>
  <c r="Y350" i="1"/>
  <c r="Y354" i="1"/>
  <c r="BP368" i="1"/>
  <c r="BN368" i="1"/>
  <c r="Z368" i="1"/>
  <c r="Y370" i="1"/>
  <c r="Y375" i="1"/>
  <c r="BP372" i="1"/>
  <c r="BN372" i="1"/>
  <c r="Z372" i="1"/>
  <c r="Z374" i="1" s="1"/>
  <c r="Y379" i="1"/>
  <c r="BP386" i="1"/>
  <c r="BN386" i="1"/>
  <c r="Z386" i="1"/>
  <c r="BP390" i="1"/>
  <c r="BN390" i="1"/>
  <c r="Z390" i="1"/>
  <c r="BP407" i="1"/>
  <c r="BN407" i="1"/>
  <c r="Z407" i="1"/>
  <c r="Z410" i="1" s="1"/>
  <c r="BP422" i="1"/>
  <c r="BN422" i="1"/>
  <c r="Z422" i="1"/>
  <c r="BP458" i="1"/>
  <c r="BN458" i="1"/>
  <c r="Z458" i="1"/>
  <c r="Y462" i="1"/>
  <c r="BP466" i="1"/>
  <c r="BN466" i="1"/>
  <c r="Z466" i="1"/>
  <c r="Y468" i="1"/>
  <c r="Y473" i="1"/>
  <c r="BP470" i="1"/>
  <c r="BN470" i="1"/>
  <c r="Z470" i="1"/>
  <c r="Z472" i="1" s="1"/>
  <c r="Y472" i="1"/>
  <c r="Y399" i="1"/>
  <c r="BP396" i="1"/>
  <c r="BN396" i="1"/>
  <c r="Z396" i="1"/>
  <c r="Z398" i="1" s="1"/>
  <c r="Y410" i="1"/>
  <c r="BP409" i="1"/>
  <c r="BN409" i="1"/>
  <c r="Z409" i="1"/>
  <c r="Y411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Y498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91" i="1" l="1"/>
  <c r="Z446" i="1"/>
  <c r="Z431" i="1"/>
  <c r="Z234" i="1"/>
  <c r="Z116" i="1"/>
  <c r="Z69" i="1"/>
  <c r="Y488" i="1"/>
  <c r="Z63" i="1"/>
  <c r="Z493" i="1" s="1"/>
  <c r="Z203" i="1"/>
  <c r="Z171" i="1"/>
  <c r="Z393" i="1"/>
  <c r="Z324" i="1"/>
  <c r="Z103" i="1"/>
  <c r="Z95" i="1"/>
  <c r="X491" i="1"/>
</calcChain>
</file>

<file path=xl/sharedStrings.xml><?xml version="1.0" encoding="utf-8"?>
<sst xmlns="http://schemas.openxmlformats.org/spreadsheetml/2006/main" count="2246" uniqueCount="759">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</sst>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7</v>
      </c>
      <c r="B5" s="628"/>
      <c r="C5" s="629"/>
      <c r="D5" s="617"/>
      <c r="E5" s="618"/>
      <c r="F5" s="822" t="s">
        <v>8</v>
      </c>
      <c r="G5" s="629"/>
      <c r="H5" s="617"/>
      <c r="I5" s="761"/>
      <c r="J5" s="761"/>
      <c r="K5" s="761"/>
      <c r="L5" s="761"/>
      <c r="M5" s="618"/>
      <c r="N5" s="58"/>
      <c r="P5" s="24" t="s">
        <v>9</v>
      </c>
      <c r="Q5" s="836">
        <v>45985</v>
      </c>
      <c r="R5" s="651"/>
      <c r="T5" s="699" t="s">
        <v>10</v>
      </c>
      <c r="U5" s="700"/>
      <c r="V5" s="701" t="s">
        <v>11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12</v>
      </c>
      <c r="B6" s="628"/>
      <c r="C6" s="629"/>
      <c r="D6" s="764" t="s">
        <v>13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14</v>
      </c>
      <c r="Q6" s="844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15</v>
      </c>
      <c r="U6" s="700"/>
      <c r="V6" s="747" t="s">
        <v>16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17</v>
      </c>
      <c r="B8" s="558"/>
      <c r="C8" s="559"/>
      <c r="D8" s="609" t="s">
        <v>18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19</v>
      </c>
      <c r="Q8" s="658">
        <v>0.41666666666666669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20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21</v>
      </c>
      <c r="Q10" s="705"/>
      <c r="R10" s="706"/>
      <c r="U10" s="24" t="s">
        <v>22</v>
      </c>
      <c r="V10" s="584" t="s">
        <v>23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0"/>
      <c r="R11" s="651"/>
      <c r="U11" s="24" t="s">
        <v>26</v>
      </c>
      <c r="V11" s="787" t="s">
        <v>27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28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29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30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31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32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33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34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35</v>
      </c>
      <c r="B17" s="581" t="s">
        <v>36</v>
      </c>
      <c r="C17" s="666" t="s">
        <v>37</v>
      </c>
      <c r="D17" s="581" t="s">
        <v>38</v>
      </c>
      <c r="E17" s="636"/>
      <c r="F17" s="581" t="s">
        <v>39</v>
      </c>
      <c r="G17" s="581" t="s">
        <v>40</v>
      </c>
      <c r="H17" s="581" t="s">
        <v>41</v>
      </c>
      <c r="I17" s="581" t="s">
        <v>42</v>
      </c>
      <c r="J17" s="581" t="s">
        <v>43</v>
      </c>
      <c r="K17" s="581" t="s">
        <v>44</v>
      </c>
      <c r="L17" s="581" t="s">
        <v>45</v>
      </c>
      <c r="M17" s="581" t="s">
        <v>46</v>
      </c>
      <c r="N17" s="581" t="s">
        <v>47</v>
      </c>
      <c r="O17" s="581" t="s">
        <v>48</v>
      </c>
      <c r="P17" s="581" t="s">
        <v>49</v>
      </c>
      <c r="Q17" s="635"/>
      <c r="R17" s="635"/>
      <c r="S17" s="635"/>
      <c r="T17" s="636"/>
      <c r="U17" s="853" t="s">
        <v>50</v>
      </c>
      <c r="V17" s="629"/>
      <c r="W17" s="581" t="s">
        <v>51</v>
      </c>
      <c r="X17" s="581" t="s">
        <v>52</v>
      </c>
      <c r="Y17" s="854" t="s">
        <v>53</v>
      </c>
      <c r="Z17" s="759" t="s">
        <v>54</v>
      </c>
      <c r="AA17" s="738" t="s">
        <v>55</v>
      </c>
      <c r="AB17" s="738" t="s">
        <v>56</v>
      </c>
      <c r="AC17" s="738" t="s">
        <v>57</v>
      </c>
      <c r="AD17" s="738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62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62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63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64</v>
      </c>
      <c r="B22" s="54" t="s">
        <v>65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70</v>
      </c>
      <c r="Q23" s="558"/>
      <c r="R23" s="558"/>
      <c r="S23" s="558"/>
      <c r="T23" s="558"/>
      <c r="U23" s="558"/>
      <c r="V23" s="559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70</v>
      </c>
      <c r="Q24" s="558"/>
      <c r="R24" s="558"/>
      <c r="S24" s="558"/>
      <c r="T24" s="558"/>
      <c r="U24" s="558"/>
      <c r="V24" s="559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72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73</v>
      </c>
      <c r="B26" s="54" t="s">
        <v>74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78</v>
      </c>
      <c r="B27" s="54" t="s">
        <v>79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81</v>
      </c>
      <c r="B28" s="54" t="s">
        <v>82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70</v>
      </c>
      <c r="Q31" s="558"/>
      <c r="R31" s="558"/>
      <c r="S31" s="558"/>
      <c r="T31" s="558"/>
      <c r="U31" s="558"/>
      <c r="V31" s="559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70</v>
      </c>
      <c r="Q32" s="558"/>
      <c r="R32" s="558"/>
      <c r="S32" s="558"/>
      <c r="T32" s="558"/>
      <c r="U32" s="558"/>
      <c r="V32" s="559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90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91</v>
      </c>
      <c r="B34" s="54" t="s">
        <v>92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70</v>
      </c>
      <c r="Q35" s="558"/>
      <c r="R35" s="558"/>
      <c r="S35" s="558"/>
      <c r="T35" s="558"/>
      <c r="U35" s="558"/>
      <c r="V35" s="559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70</v>
      </c>
      <c r="Q36" s="558"/>
      <c r="R36" s="558"/>
      <c r="S36" s="558"/>
      <c r="T36" s="558"/>
      <c r="U36" s="558"/>
      <c r="V36" s="559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96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97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98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68</v>
      </c>
      <c r="X40" s="539">
        <v>216</v>
      </c>
      <c r="Y40" s="540">
        <f>IFERROR(IF(X40="",0,CEILING((X40/$H40),1)*$H40),"")</f>
        <v>216</v>
      </c>
      <c r="Z40" s="36">
        <f>IFERROR(IF(Y40=0,"",ROUNDUP(Y40/H40,0)*0.01898),"")</f>
        <v>0.37959999999999999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224.2</v>
      </c>
      <c r="BN40" s="64">
        <f>IFERROR(Y40*I40/H40,"0")</f>
        <v>224.2</v>
      </c>
      <c r="BO40" s="64">
        <f>IFERROR(1/J40*(X40/H40),"0")</f>
        <v>0.3125</v>
      </c>
      <c r="BP40" s="64">
        <f>IFERROR(1/J40*(Y40/H40),"0")</f>
        <v>0.3125</v>
      </c>
    </row>
    <row r="41" spans="1:68" ht="27" customHeight="1" x14ac:dyDescent="0.25">
      <c r="A41" s="54" t="s">
        <v>106</v>
      </c>
      <c r="B41" s="54" t="s">
        <v>107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/>
      <c r="M41" s="33" t="s">
        <v>76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 t="s">
        <v>111</v>
      </c>
      <c r="M42" s="33" t="s">
        <v>76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 t="s">
        <v>105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70</v>
      </c>
      <c r="Q43" s="558"/>
      <c r="R43" s="558"/>
      <c r="S43" s="558"/>
      <c r="T43" s="558"/>
      <c r="U43" s="558"/>
      <c r="V43" s="559"/>
      <c r="W43" s="37" t="s">
        <v>71</v>
      </c>
      <c r="X43" s="541">
        <f>IFERROR(X40/H40,"0")+IFERROR(X41/H41,"0")+IFERROR(X42/H42,"0")</f>
        <v>20</v>
      </c>
      <c r="Y43" s="541">
        <f>IFERROR(Y40/H40,"0")+IFERROR(Y41/H41,"0")+IFERROR(Y42/H42,"0")</f>
        <v>20</v>
      </c>
      <c r="Z43" s="541">
        <f>IFERROR(IF(Z40="",0,Z40),"0")+IFERROR(IF(Z41="",0,Z41),"0")+IFERROR(IF(Z42="",0,Z42),"0")</f>
        <v>0.37959999999999999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70</v>
      </c>
      <c r="Q44" s="558"/>
      <c r="R44" s="558"/>
      <c r="S44" s="558"/>
      <c r="T44" s="558"/>
      <c r="U44" s="558"/>
      <c r="V44" s="559"/>
      <c r="W44" s="37" t="s">
        <v>68</v>
      </c>
      <c r="X44" s="541">
        <f>IFERROR(SUM(X40:X42),"0")</f>
        <v>216</v>
      </c>
      <c r="Y44" s="541">
        <f>IFERROR(SUM(Y40:Y42),"0")</f>
        <v>216</v>
      </c>
      <c r="Z44" s="37"/>
      <c r="AA44" s="542"/>
      <c r="AB44" s="542"/>
      <c r="AC44" s="542"/>
    </row>
    <row r="45" spans="1:68" ht="14.25" customHeight="1" x14ac:dyDescent="0.25">
      <c r="A45" s="554" t="s">
        <v>72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70</v>
      </c>
      <c r="Q47" s="558"/>
      <c r="R47" s="558"/>
      <c r="S47" s="558"/>
      <c r="T47" s="558"/>
      <c r="U47" s="558"/>
      <c r="V47" s="559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70</v>
      </c>
      <c r="Q48" s="558"/>
      <c r="R48" s="558"/>
      <c r="S48" s="558"/>
      <c r="T48" s="558"/>
      <c r="U48" s="558"/>
      <c r="V48" s="559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115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98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 t="s">
        <v>102</v>
      </c>
      <c r="M51" s="33" t="s">
        <v>76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68</v>
      </c>
      <c r="X51" s="539">
        <v>64</v>
      </c>
      <c r="Y51" s="540">
        <f t="shared" ref="Y51:Y56" si="0">IFERROR(IF(X51="",0,CEILING((X51/$H51),1)*$H51),"")</f>
        <v>67.199999999999989</v>
      </c>
      <c r="Z51" s="36">
        <f>IFERROR(IF(Y51=0,"",ROUNDUP(Y51/H51,0)*0.01898),"")</f>
        <v>0.11388000000000001</v>
      </c>
      <c r="AA51" s="56"/>
      <c r="AB51" s="57"/>
      <c r="AC51" s="91" t="s">
        <v>118</v>
      </c>
      <c r="AG51" s="64"/>
      <c r="AJ51" s="68" t="s">
        <v>105</v>
      </c>
      <c r="AK51" s="68">
        <v>89.6</v>
      </c>
      <c r="BB51" s="92" t="s">
        <v>1</v>
      </c>
      <c r="BM51" s="64">
        <f t="shared" ref="BM51:BM56" si="1">IFERROR(X51*I51/H51,"0")</f>
        <v>66.342857142857142</v>
      </c>
      <c r="BN51" s="64">
        <f t="shared" ref="BN51:BN56" si="2">IFERROR(Y51*I51/H51,"0")</f>
        <v>69.659999999999982</v>
      </c>
      <c r="BO51" s="64">
        <f t="shared" ref="BO51:BO56" si="3">IFERROR(1/J51*(X51/H51),"0")</f>
        <v>8.9285714285714288E-2</v>
      </c>
      <c r="BP51" s="64">
        <f t="shared" ref="BP51:BP56" si="4">IFERROR(1/J51*(Y51/H51),"0")</f>
        <v>9.3749999999999986E-2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68</v>
      </c>
      <c r="X52" s="539">
        <v>84</v>
      </c>
      <c r="Y52" s="540">
        <f t="shared" si="0"/>
        <v>86.4</v>
      </c>
      <c r="Z52" s="36">
        <f>IFERROR(IF(Y52=0,"",ROUNDUP(Y52/H52,0)*0.01898),"")</f>
        <v>0.15184</v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87.188888888888897</v>
      </c>
      <c r="BN52" s="64">
        <f t="shared" si="2"/>
        <v>89.68</v>
      </c>
      <c r="BO52" s="64">
        <f t="shared" si="3"/>
        <v>0.12152777777777778</v>
      </c>
      <c r="BP52" s="64">
        <f t="shared" si="4"/>
        <v>0.125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111</v>
      </c>
      <c r="M54" s="33" t="s">
        <v>103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/>
      <c r="M56" s="33" t="s">
        <v>103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70</v>
      </c>
      <c r="Q57" s="558"/>
      <c r="R57" s="558"/>
      <c r="S57" s="558"/>
      <c r="T57" s="558"/>
      <c r="U57" s="558"/>
      <c r="V57" s="559"/>
      <c r="W57" s="37" t="s">
        <v>71</v>
      </c>
      <c r="X57" s="541">
        <f>IFERROR(X51/H51,"0")+IFERROR(X52/H52,"0")+IFERROR(X53/H53,"0")+IFERROR(X54/H54,"0")+IFERROR(X55/H55,"0")+IFERROR(X56/H56,"0")</f>
        <v>13.492063492063492</v>
      </c>
      <c r="Y57" s="541">
        <f>IFERROR(Y51/H51,"0")+IFERROR(Y52/H52,"0")+IFERROR(Y53/H53,"0")+IFERROR(Y54/H54,"0")+IFERROR(Y55/H55,"0")+IFERROR(Y56/H56,"0")</f>
        <v>14</v>
      </c>
      <c r="Z57" s="541">
        <f>IFERROR(IF(Z51="",0,Z51),"0")+IFERROR(IF(Z52="",0,Z52),"0")+IFERROR(IF(Z53="",0,Z53),"0")+IFERROR(IF(Z54="",0,Z54),"0")+IFERROR(IF(Z55="",0,Z55),"0")+IFERROR(IF(Z56="",0,Z56),"0")</f>
        <v>0.26572000000000001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70</v>
      </c>
      <c r="Q58" s="558"/>
      <c r="R58" s="558"/>
      <c r="S58" s="558"/>
      <c r="T58" s="558"/>
      <c r="U58" s="558"/>
      <c r="V58" s="559"/>
      <c r="W58" s="37" t="s">
        <v>68</v>
      </c>
      <c r="X58" s="541">
        <f>IFERROR(SUM(X51:X56),"0")</f>
        <v>148</v>
      </c>
      <c r="Y58" s="541">
        <f>IFERROR(SUM(Y51:Y56),"0")</f>
        <v>153.6</v>
      </c>
      <c r="Z58" s="37"/>
      <c r="AA58" s="542"/>
      <c r="AB58" s="542"/>
      <c r="AC58" s="542"/>
    </row>
    <row r="59" spans="1:68" ht="14.25" customHeight="1" x14ac:dyDescent="0.25">
      <c r="A59" s="554" t="s">
        <v>134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68</v>
      </c>
      <c r="X60" s="539">
        <v>106</v>
      </c>
      <c r="Y60" s="540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110.02407407407406</v>
      </c>
      <c r="BN60" s="64">
        <f>IFERROR(Y60*I60/H60,"0")</f>
        <v>112.1</v>
      </c>
      <c r="BO60" s="64">
        <f>IFERROR(1/J60*(X60/H60),"0")</f>
        <v>0.15335648148148148</v>
      </c>
      <c r="BP60" s="64">
        <f>IFERROR(1/J60*(Y60/H60),"0")</f>
        <v>0.15625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70</v>
      </c>
      <c r="Q63" s="558"/>
      <c r="R63" s="558"/>
      <c r="S63" s="558"/>
      <c r="T63" s="558"/>
      <c r="U63" s="558"/>
      <c r="V63" s="559"/>
      <c r="W63" s="37" t="s">
        <v>71</v>
      </c>
      <c r="X63" s="541">
        <f>IFERROR(X60/H60,"0")+IFERROR(X61/H61,"0")+IFERROR(X62/H62,"0")</f>
        <v>9.8148148148148149</v>
      </c>
      <c r="Y63" s="541">
        <f>IFERROR(Y60/H60,"0")+IFERROR(Y61/H61,"0")+IFERROR(Y62/H62,"0")</f>
        <v>10</v>
      </c>
      <c r="Z63" s="541">
        <f>IFERROR(IF(Z60="",0,Z60),"0")+IFERROR(IF(Z61="",0,Z61),"0")+IFERROR(IF(Z62="",0,Z62),"0")</f>
        <v>0.1898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70</v>
      </c>
      <c r="Q64" s="558"/>
      <c r="R64" s="558"/>
      <c r="S64" s="558"/>
      <c r="T64" s="558"/>
      <c r="U64" s="558"/>
      <c r="V64" s="559"/>
      <c r="W64" s="37" t="s">
        <v>68</v>
      </c>
      <c r="X64" s="541">
        <f>IFERROR(SUM(X60:X62),"0")</f>
        <v>106</v>
      </c>
      <c r="Y64" s="541">
        <f>IFERROR(SUM(Y60:Y62),"0")</f>
        <v>108</v>
      </c>
      <c r="Z64" s="37"/>
      <c r="AA64" s="542"/>
      <c r="AB64" s="542"/>
      <c r="AC64" s="542"/>
    </row>
    <row r="65" spans="1:68" ht="14.25" customHeight="1" x14ac:dyDescent="0.25">
      <c r="A65" s="554" t="s">
        <v>63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70</v>
      </c>
      <c r="Q69" s="558"/>
      <c r="R69" s="558"/>
      <c r="S69" s="558"/>
      <c r="T69" s="558"/>
      <c r="U69" s="558"/>
      <c r="V69" s="559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70</v>
      </c>
      <c r="Q70" s="558"/>
      <c r="R70" s="558"/>
      <c r="S70" s="558"/>
      <c r="T70" s="558"/>
      <c r="U70" s="558"/>
      <c r="V70" s="559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72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 t="s">
        <v>102</v>
      </c>
      <c r="M72" s="33" t="s">
        <v>76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105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70</v>
      </c>
      <c r="Q76" s="558"/>
      <c r="R76" s="558"/>
      <c r="S76" s="558"/>
      <c r="T76" s="558"/>
      <c r="U76" s="558"/>
      <c r="V76" s="559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70</v>
      </c>
      <c r="Q77" s="558"/>
      <c r="R77" s="558"/>
      <c r="S77" s="558"/>
      <c r="T77" s="558"/>
      <c r="U77" s="558"/>
      <c r="V77" s="559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162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70</v>
      </c>
      <c r="Q81" s="558"/>
      <c r="R81" s="558"/>
      <c r="S81" s="558"/>
      <c r="T81" s="558"/>
      <c r="U81" s="558"/>
      <c r="V81" s="559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70</v>
      </c>
      <c r="Q82" s="558"/>
      <c r="R82" s="558"/>
      <c r="S82" s="558"/>
      <c r="T82" s="558"/>
      <c r="U82" s="558"/>
      <c r="V82" s="559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169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98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68</v>
      </c>
      <c r="X85" s="539">
        <v>181</v>
      </c>
      <c r="Y85" s="540">
        <f>IFERROR(IF(X85="",0,CEILING((X85/$H85),1)*$H85),"")</f>
        <v>183.60000000000002</v>
      </c>
      <c r="Z85" s="36">
        <f>IFERROR(IF(Y85=0,"",ROUNDUP(Y85/H85,0)*0.01898),"")</f>
        <v>0.32266</v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187.87129629629629</v>
      </c>
      <c r="BN85" s="64">
        <f>IFERROR(Y85*I85/H85,"0")</f>
        <v>190.57000000000002</v>
      </c>
      <c r="BO85" s="64">
        <f>IFERROR(1/J85*(X85/H85),"0")</f>
        <v>0.26186342592592593</v>
      </c>
      <c r="BP85" s="64">
        <f>IFERROR(1/J85*(Y85/H85),"0")</f>
        <v>0.265625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111</v>
      </c>
      <c r="M87" s="33" t="s">
        <v>83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70</v>
      </c>
      <c r="Q88" s="558"/>
      <c r="R88" s="558"/>
      <c r="S88" s="558"/>
      <c r="T88" s="558"/>
      <c r="U88" s="558"/>
      <c r="V88" s="559"/>
      <c r="W88" s="37" t="s">
        <v>71</v>
      </c>
      <c r="X88" s="541">
        <f>IFERROR(X85/H85,"0")+IFERROR(X86/H86,"0")+IFERROR(X87/H87,"0")</f>
        <v>16.75925925925926</v>
      </c>
      <c r="Y88" s="541">
        <f>IFERROR(Y85/H85,"0")+IFERROR(Y86/H86,"0")+IFERROR(Y87/H87,"0")</f>
        <v>17</v>
      </c>
      <c r="Z88" s="541">
        <f>IFERROR(IF(Z85="",0,Z85),"0")+IFERROR(IF(Z86="",0,Z86),"0")+IFERROR(IF(Z87="",0,Z87),"0")</f>
        <v>0.32266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70</v>
      </c>
      <c r="Q89" s="558"/>
      <c r="R89" s="558"/>
      <c r="S89" s="558"/>
      <c r="T89" s="558"/>
      <c r="U89" s="558"/>
      <c r="V89" s="559"/>
      <c r="W89" s="37" t="s">
        <v>68</v>
      </c>
      <c r="X89" s="541">
        <f>IFERROR(SUM(X85:X87),"0")</f>
        <v>181</v>
      </c>
      <c r="Y89" s="541">
        <f>IFERROR(SUM(Y85:Y87),"0")</f>
        <v>183.60000000000002</v>
      </c>
      <c r="Z89" s="37"/>
      <c r="AA89" s="542"/>
      <c r="AB89" s="542"/>
      <c r="AC89" s="542"/>
    </row>
    <row r="90" spans="1:68" ht="14.25" customHeight="1" x14ac:dyDescent="0.25">
      <c r="A90" s="554" t="s">
        <v>72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68</v>
      </c>
      <c r="X91" s="539">
        <v>65</v>
      </c>
      <c r="Y91" s="540">
        <f>IFERROR(IF(X91="",0,CEILING((X91/$H91),1)*$H91),"")</f>
        <v>72.899999999999991</v>
      </c>
      <c r="Z91" s="36">
        <f>IFERROR(IF(Y91=0,"",ROUNDUP(Y91/H91,0)*0.01898),"")</f>
        <v>0.17082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68.964197530864197</v>
      </c>
      <c r="BN91" s="64">
        <f>IFERROR(Y91*I91/H91,"0")</f>
        <v>77.345999999999989</v>
      </c>
      <c r="BO91" s="64">
        <f>IFERROR(1/J91*(X91/H91),"0")</f>
        <v>0.1253858024691358</v>
      </c>
      <c r="BP91" s="64">
        <f>IFERROR(1/J91*(Y91/H91),"0")</f>
        <v>0.140625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/>
      <c r="M93" s="33" t="s">
        <v>83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68</v>
      </c>
      <c r="X93" s="539">
        <v>49</v>
      </c>
      <c r="Y93" s="540">
        <f>IFERROR(IF(X93="",0,CEILING((X93/$H93),1)*$H93),"")</f>
        <v>51.300000000000004</v>
      </c>
      <c r="Z93" s="36">
        <f>IFERROR(IF(Y93=0,"",ROUNDUP(Y93/H93,0)*0.00651),"")</f>
        <v>0.12369000000000001</v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53.573333333333331</v>
      </c>
      <c r="BN93" s="64">
        <f>IFERROR(Y93*I93/H93,"0")</f>
        <v>56.088000000000001</v>
      </c>
      <c r="BO93" s="64">
        <f>IFERROR(1/J93*(X93/H93),"0")</f>
        <v>9.9715099715099703E-2</v>
      </c>
      <c r="BP93" s="64">
        <f>IFERROR(1/J93*(Y93/H93),"0")</f>
        <v>0.1043956043956044</v>
      </c>
    </row>
    <row r="94" spans="1:68" ht="16.5" customHeight="1" x14ac:dyDescent="0.25">
      <c r="A94" s="54" t="s">
        <v>185</v>
      </c>
      <c r="B94" s="54" t="s">
        <v>186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/>
      <c r="M94" s="33" t="s">
        <v>76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70</v>
      </c>
      <c r="Q95" s="558"/>
      <c r="R95" s="558"/>
      <c r="S95" s="558"/>
      <c r="T95" s="558"/>
      <c r="U95" s="558"/>
      <c r="V95" s="559"/>
      <c r="W95" s="37" t="s">
        <v>71</v>
      </c>
      <c r="X95" s="541">
        <f>IFERROR(X91/H91,"0")+IFERROR(X92/H92,"0")+IFERROR(X93/H93,"0")+IFERROR(X94/H94,"0")</f>
        <v>26.172839506172835</v>
      </c>
      <c r="Y95" s="541">
        <f>IFERROR(Y91/H91,"0")+IFERROR(Y92/H92,"0")+IFERROR(Y93/H93,"0")+IFERROR(Y94/H94,"0")</f>
        <v>28</v>
      </c>
      <c r="Z95" s="541">
        <f>IFERROR(IF(Z91="",0,Z91),"0")+IFERROR(IF(Z92="",0,Z92),"0")+IFERROR(IF(Z93="",0,Z93),"0")+IFERROR(IF(Z94="",0,Z94),"0")</f>
        <v>0.29450999999999999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70</v>
      </c>
      <c r="Q96" s="558"/>
      <c r="R96" s="558"/>
      <c r="S96" s="558"/>
      <c r="T96" s="558"/>
      <c r="U96" s="558"/>
      <c r="V96" s="559"/>
      <c r="W96" s="37" t="s">
        <v>68</v>
      </c>
      <c r="X96" s="541">
        <f>IFERROR(SUM(X91:X94),"0")</f>
        <v>114</v>
      </c>
      <c r="Y96" s="541">
        <f>IFERROR(SUM(Y91:Y94),"0")</f>
        <v>124.19999999999999</v>
      </c>
      <c r="Z96" s="37"/>
      <c r="AA96" s="542"/>
      <c r="AB96" s="542"/>
      <c r="AC96" s="542"/>
    </row>
    <row r="97" spans="1:68" ht="16.5" customHeight="1" x14ac:dyDescent="0.25">
      <c r="A97" s="552" t="s">
        <v>188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98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68</v>
      </c>
      <c r="X99" s="539">
        <v>194</v>
      </c>
      <c r="Y99" s="540">
        <f>IFERROR(IF(X99="",0,CEILING((X99/$H99),1)*$H99),"")</f>
        <v>194.4</v>
      </c>
      <c r="Z99" s="36">
        <f>IFERROR(IF(Y99=0,"",ROUNDUP(Y99/H99,0)*0.01898),"")</f>
        <v>0.34164</v>
      </c>
      <c r="AA99" s="56"/>
      <c r="AB99" s="57"/>
      <c r="AC99" s="141" t="s">
        <v>191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201.36481481481482</v>
      </c>
      <c r="BN99" s="64">
        <f>IFERROR(Y99*I99/H99,"0")</f>
        <v>201.78</v>
      </c>
      <c r="BO99" s="64">
        <f>IFERROR(1/J99*(X99/H99),"0")</f>
        <v>0.28067129629629628</v>
      </c>
      <c r="BP99" s="64">
        <f>IFERROR(1/J99*(Y99/H99),"0")</f>
        <v>0.28125</v>
      </c>
    </row>
    <row r="100" spans="1:68" ht="37.5" customHeight="1" x14ac:dyDescent="0.25">
      <c r="A100" s="54" t="s">
        <v>192</v>
      </c>
      <c r="B100" s="54" t="s">
        <v>193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/>
      <c r="M100" s="33" t="s">
        <v>76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111</v>
      </c>
      <c r="M101" s="33" t="s">
        <v>76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68</v>
      </c>
      <c r="X101" s="539">
        <v>51</v>
      </c>
      <c r="Y101" s="540">
        <f>IFERROR(IF(X101="",0,CEILING((X101/$H101),1)*$H101),"")</f>
        <v>54</v>
      </c>
      <c r="Z101" s="36">
        <f>IFERROR(IF(Y101=0,"",ROUNDUP(Y101/H101,0)*0.00902),"")</f>
        <v>0.10824</v>
      </c>
      <c r="AA101" s="56"/>
      <c r="AB101" s="57"/>
      <c r="AC101" s="145" t="s">
        <v>191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53.153333333333336</v>
      </c>
      <c r="BN101" s="64">
        <f>IFERROR(Y101*I101/H101,"0")</f>
        <v>56.28</v>
      </c>
      <c r="BO101" s="64">
        <f>IFERROR(1/J101*(X101/H101),"0")</f>
        <v>8.585858585858587E-2</v>
      </c>
      <c r="BP101" s="64">
        <f>IFERROR(1/J101*(Y101/H101),"0")</f>
        <v>9.0909090909090912E-2</v>
      </c>
    </row>
    <row r="102" spans="1:68" ht="37.5" customHeight="1" x14ac:dyDescent="0.25">
      <c r="A102" s="54" t="s">
        <v>196</v>
      </c>
      <c r="B102" s="54" t="s">
        <v>197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70</v>
      </c>
      <c r="Q103" s="558"/>
      <c r="R103" s="558"/>
      <c r="S103" s="558"/>
      <c r="T103" s="558"/>
      <c r="U103" s="558"/>
      <c r="V103" s="559"/>
      <c r="W103" s="37" t="s">
        <v>71</v>
      </c>
      <c r="X103" s="541">
        <f>IFERROR(X99/H99,"0")+IFERROR(X100/H100,"0")+IFERROR(X101/H101,"0")+IFERROR(X102/H102,"0")</f>
        <v>29.296296296296298</v>
      </c>
      <c r="Y103" s="541">
        <f>IFERROR(Y99/H99,"0")+IFERROR(Y100/H100,"0")+IFERROR(Y101/H101,"0")+IFERROR(Y102/H102,"0")</f>
        <v>30</v>
      </c>
      <c r="Z103" s="541">
        <f>IFERROR(IF(Z99="",0,Z99),"0")+IFERROR(IF(Z100="",0,Z100),"0")+IFERROR(IF(Z101="",0,Z101),"0")+IFERROR(IF(Z102="",0,Z102),"0")</f>
        <v>0.44988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70</v>
      </c>
      <c r="Q104" s="558"/>
      <c r="R104" s="558"/>
      <c r="S104" s="558"/>
      <c r="T104" s="558"/>
      <c r="U104" s="558"/>
      <c r="V104" s="559"/>
      <c r="W104" s="37" t="s">
        <v>68</v>
      </c>
      <c r="X104" s="541">
        <f>IFERROR(SUM(X99:X102),"0")</f>
        <v>245</v>
      </c>
      <c r="Y104" s="541">
        <f>IFERROR(SUM(Y99:Y102),"0")</f>
        <v>248.4</v>
      </c>
      <c r="Z104" s="37"/>
      <c r="AA104" s="542"/>
      <c r="AB104" s="542"/>
      <c r="AC104" s="542"/>
    </row>
    <row r="105" spans="1:68" ht="14.25" customHeight="1" x14ac:dyDescent="0.25">
      <c r="A105" s="554" t="s">
        <v>134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198</v>
      </c>
      <c r="B106" s="54" t="s">
        <v>199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200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201</v>
      </c>
      <c r="B107" s="54" t="s">
        <v>202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203</v>
      </c>
      <c r="B108" s="54" t="s">
        <v>204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 t="s">
        <v>205</v>
      </c>
      <c r="M108" s="33" t="s">
        <v>103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200</v>
      </c>
      <c r="AG108" s="64"/>
      <c r="AJ108" s="68" t="s">
        <v>105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70</v>
      </c>
      <c r="Q109" s="558"/>
      <c r="R109" s="558"/>
      <c r="S109" s="558"/>
      <c r="T109" s="558"/>
      <c r="U109" s="558"/>
      <c r="V109" s="559"/>
      <c r="W109" s="37" t="s">
        <v>71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70</v>
      </c>
      <c r="Q110" s="558"/>
      <c r="R110" s="558"/>
      <c r="S110" s="558"/>
      <c r="T110" s="558"/>
      <c r="U110" s="558"/>
      <c r="V110" s="559"/>
      <c r="W110" s="37" t="s">
        <v>68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72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68</v>
      </c>
      <c r="X112" s="539">
        <v>71</v>
      </c>
      <c r="Y112" s="540">
        <f>IFERROR(IF(X112="",0,CEILING((X112/$H112),1)*$H112),"")</f>
        <v>72.899999999999991</v>
      </c>
      <c r="Z112" s="36">
        <f>IFERROR(IF(Y112=0,"",ROUNDUP(Y112/H112,0)*0.01898),"")</f>
        <v>0.17082</v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75.27753086419753</v>
      </c>
      <c r="BN112" s="64">
        <f>IFERROR(Y112*I112/H112,"0")</f>
        <v>77.291999999999987</v>
      </c>
      <c r="BO112" s="64">
        <f>IFERROR(1/J112*(X112/H112),"0")</f>
        <v>0.13695987654320987</v>
      </c>
      <c r="BP112" s="64">
        <f>IFERROR(1/J112*(Y112/H112),"0")</f>
        <v>0.140625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205</v>
      </c>
      <c r="M114" s="33" t="s">
        <v>83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68</v>
      </c>
      <c r="X114" s="539">
        <v>80</v>
      </c>
      <c r="Y114" s="540">
        <f>IFERROR(IF(X114="",0,CEILING((X114/$H114),1)*$H114),"")</f>
        <v>81</v>
      </c>
      <c r="Z114" s="36">
        <f>IFERROR(IF(Y114=0,"",ROUNDUP(Y114/H114,0)*0.00651),"")</f>
        <v>0.1953</v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87.466666666666654</v>
      </c>
      <c r="BN114" s="64">
        <f>IFERROR(Y114*I114/H114,"0")</f>
        <v>88.559999999999988</v>
      </c>
      <c r="BO114" s="64">
        <f>IFERROR(1/J114*(X114/H114),"0")</f>
        <v>0.1628001628001628</v>
      </c>
      <c r="BP114" s="64">
        <f>IFERROR(1/J114*(Y114/H114),"0")</f>
        <v>0.16483516483516483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70</v>
      </c>
      <c r="Q116" s="558"/>
      <c r="R116" s="558"/>
      <c r="S116" s="558"/>
      <c r="T116" s="558"/>
      <c r="U116" s="558"/>
      <c r="V116" s="559"/>
      <c r="W116" s="37" t="s">
        <v>71</v>
      </c>
      <c r="X116" s="541">
        <f>IFERROR(X112/H112,"0")+IFERROR(X113/H113,"0")+IFERROR(X114/H114,"0")+IFERROR(X115/H115,"0")</f>
        <v>38.395061728395056</v>
      </c>
      <c r="Y116" s="541">
        <f>IFERROR(Y112/H112,"0")+IFERROR(Y113/H113,"0")+IFERROR(Y114/H114,"0")+IFERROR(Y115/H115,"0")</f>
        <v>39</v>
      </c>
      <c r="Z116" s="541">
        <f>IFERROR(IF(Z112="",0,Z112),"0")+IFERROR(IF(Z113="",0,Z113),"0")+IFERROR(IF(Z114="",0,Z114),"0")+IFERROR(IF(Z115="",0,Z115),"0")</f>
        <v>0.36612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70</v>
      </c>
      <c r="Q117" s="558"/>
      <c r="R117" s="558"/>
      <c r="S117" s="558"/>
      <c r="T117" s="558"/>
      <c r="U117" s="558"/>
      <c r="V117" s="559"/>
      <c r="W117" s="37" t="s">
        <v>68</v>
      </c>
      <c r="X117" s="541">
        <f>IFERROR(SUM(X112:X115),"0")</f>
        <v>151</v>
      </c>
      <c r="Y117" s="541">
        <f>IFERROR(SUM(Y112:Y115),"0")</f>
        <v>153.89999999999998</v>
      </c>
      <c r="Z117" s="37"/>
      <c r="AA117" s="542"/>
      <c r="AB117" s="542"/>
      <c r="AC117" s="542"/>
    </row>
    <row r="118" spans="1:68" ht="14.25" customHeight="1" x14ac:dyDescent="0.25">
      <c r="A118" s="554" t="s">
        <v>162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70</v>
      </c>
      <c r="Q120" s="558"/>
      <c r="R120" s="558"/>
      <c r="S120" s="558"/>
      <c r="T120" s="558"/>
      <c r="U120" s="558"/>
      <c r="V120" s="559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70</v>
      </c>
      <c r="Q121" s="558"/>
      <c r="R121" s="558"/>
      <c r="S121" s="558"/>
      <c r="T121" s="558"/>
      <c r="U121" s="558"/>
      <c r="V121" s="559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219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98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/>
      <c r="M124" s="33" t="s">
        <v>93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/>
      <c r="M125" s="33" t="s">
        <v>93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70</v>
      </c>
      <c r="Q126" s="558"/>
      <c r="R126" s="558"/>
      <c r="S126" s="558"/>
      <c r="T126" s="558"/>
      <c r="U126" s="558"/>
      <c r="V126" s="559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70</v>
      </c>
      <c r="Q127" s="558"/>
      <c r="R127" s="558"/>
      <c r="S127" s="558"/>
      <c r="T127" s="558"/>
      <c r="U127" s="558"/>
      <c r="V127" s="559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63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/>
      <c r="M130" s="33" t="s">
        <v>93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70</v>
      </c>
      <c r="Q131" s="558"/>
      <c r="R131" s="558"/>
      <c r="S131" s="558"/>
      <c r="T131" s="558"/>
      <c r="U131" s="558"/>
      <c r="V131" s="559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70</v>
      </c>
      <c r="Q132" s="558"/>
      <c r="R132" s="558"/>
      <c r="S132" s="558"/>
      <c r="T132" s="558"/>
      <c r="U132" s="558"/>
      <c r="V132" s="559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72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70</v>
      </c>
      <c r="Q136" s="558"/>
      <c r="R136" s="558"/>
      <c r="S136" s="558"/>
      <c r="T136" s="558"/>
      <c r="U136" s="558"/>
      <c r="V136" s="559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70</v>
      </c>
      <c r="Q137" s="558"/>
      <c r="R137" s="558"/>
      <c r="S137" s="558"/>
      <c r="T137" s="558"/>
      <c r="U137" s="558"/>
      <c r="V137" s="559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96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98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70</v>
      </c>
      <c r="Q142" s="558"/>
      <c r="R142" s="558"/>
      <c r="S142" s="558"/>
      <c r="T142" s="558"/>
      <c r="U142" s="558"/>
      <c r="V142" s="559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70</v>
      </c>
      <c r="Q143" s="558"/>
      <c r="R143" s="558"/>
      <c r="S143" s="558"/>
      <c r="T143" s="558"/>
      <c r="U143" s="558"/>
      <c r="V143" s="559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63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237</v>
      </c>
      <c r="B145" s="54" t="s">
        <v>238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240</v>
      </c>
      <c r="B146" s="54" t="s">
        <v>241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243</v>
      </c>
      <c r="B147" s="54" t="s">
        <v>244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70</v>
      </c>
      <c r="Q148" s="558"/>
      <c r="R148" s="558"/>
      <c r="S148" s="558"/>
      <c r="T148" s="558"/>
      <c r="U148" s="558"/>
      <c r="V148" s="559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70</v>
      </c>
      <c r="Q149" s="558"/>
      <c r="R149" s="558"/>
      <c r="S149" s="558"/>
      <c r="T149" s="558"/>
      <c r="U149" s="558"/>
      <c r="V149" s="559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72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246</v>
      </c>
      <c r="B151" s="54" t="s">
        <v>247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59" t="s">
        <v>248</v>
      </c>
      <c r="Q151" s="544"/>
      <c r="R151" s="544"/>
      <c r="S151" s="544"/>
      <c r="T151" s="545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70</v>
      </c>
      <c r="Q152" s="558"/>
      <c r="R152" s="558"/>
      <c r="S152" s="558"/>
      <c r="T152" s="558"/>
      <c r="U152" s="558"/>
      <c r="V152" s="559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70</v>
      </c>
      <c r="Q153" s="558"/>
      <c r="R153" s="558"/>
      <c r="S153" s="558"/>
      <c r="T153" s="558"/>
      <c r="U153" s="558"/>
      <c r="V153" s="559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250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251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134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70</v>
      </c>
      <c r="Q158" s="558"/>
      <c r="R158" s="558"/>
      <c r="S158" s="558"/>
      <c r="T158" s="558"/>
      <c r="U158" s="558"/>
      <c r="V158" s="559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70</v>
      </c>
      <c r="Q159" s="558"/>
      <c r="R159" s="558"/>
      <c r="S159" s="558"/>
      <c r="T159" s="558"/>
      <c r="U159" s="558"/>
      <c r="V159" s="559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63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111</v>
      </c>
      <c r="M161" s="33" t="s">
        <v>67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68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111</v>
      </c>
      <c r="M163" s="33" t="s">
        <v>67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68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68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8" t="s">
        <v>269</v>
      </c>
      <c r="Q165" s="544"/>
      <c r="R165" s="544"/>
      <c r="S165" s="544"/>
      <c r="T165" s="545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 t="s">
        <v>266</v>
      </c>
      <c r="M167" s="33" t="s">
        <v>67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105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68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70</v>
      </c>
      <c r="Q171" s="558"/>
      <c r="R171" s="558"/>
      <c r="S171" s="558"/>
      <c r="T171" s="558"/>
      <c r="U171" s="558"/>
      <c r="V171" s="559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70</v>
      </c>
      <c r="Q172" s="558"/>
      <c r="R172" s="558"/>
      <c r="S172" s="558"/>
      <c r="T172" s="558"/>
      <c r="U172" s="558"/>
      <c r="V172" s="559"/>
      <c r="W172" s="37" t="s">
        <v>68</v>
      </c>
      <c r="X172" s="541">
        <f>IFERROR(SUM(X161:X170),"0")</f>
        <v>0</v>
      </c>
      <c r="Y172" s="541">
        <f>IFERROR(SUM(Y161:Y170),"0")</f>
        <v>0</v>
      </c>
      <c r="Z172" s="37"/>
      <c r="AA172" s="542"/>
      <c r="AB172" s="542"/>
      <c r="AC172" s="542"/>
    </row>
    <row r="173" spans="1:68" ht="14.25" customHeight="1" x14ac:dyDescent="0.25">
      <c r="A173" s="554" t="s">
        <v>90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68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70</v>
      </c>
      <c r="Q177" s="558"/>
      <c r="R177" s="558"/>
      <c r="S177" s="558"/>
      <c r="T177" s="558"/>
      <c r="U177" s="558"/>
      <c r="V177" s="559"/>
      <c r="W177" s="37" t="s">
        <v>71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70</v>
      </c>
      <c r="Q178" s="558"/>
      <c r="R178" s="558"/>
      <c r="S178" s="558"/>
      <c r="T178" s="558"/>
      <c r="U178" s="558"/>
      <c r="V178" s="559"/>
      <c r="W178" s="37" t="s">
        <v>68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293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70</v>
      </c>
      <c r="Q181" s="558"/>
      <c r="R181" s="558"/>
      <c r="S181" s="558"/>
      <c r="T181" s="558"/>
      <c r="U181" s="558"/>
      <c r="V181" s="559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70</v>
      </c>
      <c r="Q182" s="558"/>
      <c r="R182" s="558"/>
      <c r="S182" s="558"/>
      <c r="T182" s="558"/>
      <c r="U182" s="558"/>
      <c r="V182" s="559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296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98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297</v>
      </c>
      <c r="B185" s="54" t="s">
        <v>298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70</v>
      </c>
      <c r="Q187" s="558"/>
      <c r="R187" s="558"/>
      <c r="S187" s="558"/>
      <c r="T187" s="558"/>
      <c r="U187" s="558"/>
      <c r="V187" s="559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70</v>
      </c>
      <c r="Q188" s="558"/>
      <c r="R188" s="558"/>
      <c r="S188" s="558"/>
      <c r="T188" s="558"/>
      <c r="U188" s="558"/>
      <c r="V188" s="559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134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 t="s">
        <v>205</v>
      </c>
      <c r="M191" s="33" t="s">
        <v>103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105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70</v>
      </c>
      <c r="Q192" s="558"/>
      <c r="R192" s="558"/>
      <c r="S192" s="558"/>
      <c r="T192" s="558"/>
      <c r="U192" s="558"/>
      <c r="V192" s="559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70</v>
      </c>
      <c r="Q193" s="558"/>
      <c r="R193" s="558"/>
      <c r="S193" s="558"/>
      <c r="T193" s="558"/>
      <c r="U193" s="558"/>
      <c r="V193" s="559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63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111</v>
      </c>
      <c r="M195" s="33" t="s">
        <v>67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68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111</v>
      </c>
      <c r="M196" s="33" t="s">
        <v>67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68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/>
      <c r="M197" s="33" t="s">
        <v>67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111</v>
      </c>
      <c r="M198" s="33" t="s">
        <v>67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68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68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70</v>
      </c>
      <c r="Q203" s="558"/>
      <c r="R203" s="558"/>
      <c r="S203" s="558"/>
      <c r="T203" s="558"/>
      <c r="U203" s="558"/>
      <c r="V203" s="559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70</v>
      </c>
      <c r="Q204" s="558"/>
      <c r="R204" s="558"/>
      <c r="S204" s="558"/>
      <c r="T204" s="558"/>
      <c r="U204" s="558"/>
      <c r="V204" s="559"/>
      <c r="W204" s="37" t="s">
        <v>68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customHeight="1" x14ac:dyDescent="0.25">
      <c r="A205" s="554" t="s">
        <v>72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/>
      <c r="M206" s="33" t="s">
        <v>76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/>
      <c r="M207" s="33" t="s">
        <v>76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68</v>
      </c>
      <c r="X208" s="539">
        <v>117</v>
      </c>
      <c r="Y208" s="540">
        <f t="shared" si="15"/>
        <v>121.79999999999998</v>
      </c>
      <c r="Z208" s="36">
        <f>IFERROR(IF(Y208=0,"",ROUNDUP(Y208/H208,0)*0.01898),"")</f>
        <v>0.26572000000000001</v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123.64344827586208</v>
      </c>
      <c r="BN208" s="64">
        <f t="shared" si="17"/>
        <v>128.71600000000001</v>
      </c>
      <c r="BO208" s="64">
        <f t="shared" si="18"/>
        <v>0.2101293103448276</v>
      </c>
      <c r="BP208" s="64">
        <f t="shared" si="19"/>
        <v>0.21875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205</v>
      </c>
      <c r="M209" s="33" t="s">
        <v>76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68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205</v>
      </c>
      <c r="M211" s="33" t="s">
        <v>76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68</v>
      </c>
      <c r="X211" s="539">
        <v>211</v>
      </c>
      <c r="Y211" s="540">
        <f t="shared" si="15"/>
        <v>211.2</v>
      </c>
      <c r="Z211" s="36">
        <f t="shared" si="20"/>
        <v>0.57288000000000006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233.155</v>
      </c>
      <c r="BN211" s="64">
        <f t="shared" si="17"/>
        <v>233.376</v>
      </c>
      <c r="BO211" s="64">
        <f t="shared" si="18"/>
        <v>0.48305860805860812</v>
      </c>
      <c r="BP211" s="64">
        <f t="shared" si="19"/>
        <v>0.48351648351648358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205</v>
      </c>
      <c r="M212" s="33" t="s">
        <v>76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68</v>
      </c>
      <c r="X212" s="539">
        <v>125</v>
      </c>
      <c r="Y212" s="540">
        <f t="shared" si="15"/>
        <v>127.19999999999999</v>
      </c>
      <c r="Z212" s="36">
        <f t="shared" si="20"/>
        <v>0.34503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138.125</v>
      </c>
      <c r="BN212" s="64">
        <f t="shared" si="17"/>
        <v>140.55599999999998</v>
      </c>
      <c r="BO212" s="64">
        <f t="shared" si="18"/>
        <v>0.28617216117216121</v>
      </c>
      <c r="BP212" s="64">
        <f t="shared" si="19"/>
        <v>0.29120879120879123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205</v>
      </c>
      <c r="M213" s="33" t="s">
        <v>83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68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205</v>
      </c>
      <c r="M214" s="33" t="s">
        <v>76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68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70</v>
      </c>
      <c r="Q215" s="558"/>
      <c r="R215" s="558"/>
      <c r="S215" s="558"/>
      <c r="T215" s="558"/>
      <c r="U215" s="558"/>
      <c r="V215" s="559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153.44827586206898</v>
      </c>
      <c r="Y215" s="541">
        <f>IFERROR(Y206/H206,"0")+IFERROR(Y207/H207,"0")+IFERROR(Y208/H208,"0")+IFERROR(Y209/H209,"0")+IFERROR(Y210/H210,"0")+IFERROR(Y211/H211,"0")+IFERROR(Y212/H212,"0")+IFERROR(Y213/H213,"0")+IFERROR(Y214/H214,"0")</f>
        <v>155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1.18363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70</v>
      </c>
      <c r="Q216" s="558"/>
      <c r="R216" s="558"/>
      <c r="S216" s="558"/>
      <c r="T216" s="558"/>
      <c r="U216" s="558"/>
      <c r="V216" s="559"/>
      <c r="W216" s="37" t="s">
        <v>68</v>
      </c>
      <c r="X216" s="541">
        <f>IFERROR(SUM(X206:X214),"0")</f>
        <v>453</v>
      </c>
      <c r="Y216" s="541">
        <f>IFERROR(SUM(Y206:Y214),"0")</f>
        <v>460.2</v>
      </c>
      <c r="Z216" s="37"/>
      <c r="AA216" s="542"/>
      <c r="AB216" s="542"/>
      <c r="AC216" s="542"/>
    </row>
    <row r="217" spans="1:68" ht="14.25" customHeight="1" x14ac:dyDescent="0.25">
      <c r="A217" s="554" t="s">
        <v>162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 t="s">
        <v>205</v>
      </c>
      <c r="M219" s="33" t="s">
        <v>76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105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70</v>
      </c>
      <c r="Q220" s="558"/>
      <c r="R220" s="558"/>
      <c r="S220" s="558"/>
      <c r="T220" s="558"/>
      <c r="U220" s="558"/>
      <c r="V220" s="559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70</v>
      </c>
      <c r="Q221" s="558"/>
      <c r="R221" s="558"/>
      <c r="S221" s="558"/>
      <c r="T221" s="558"/>
      <c r="U221" s="558"/>
      <c r="V221" s="559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52" t="s">
        <v>355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98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 t="s">
        <v>102</v>
      </c>
      <c r="M224" s="33" t="s">
        <v>103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105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70</v>
      </c>
      <c r="Q234" s="558"/>
      <c r="R234" s="558"/>
      <c r="S234" s="558"/>
      <c r="T234" s="558"/>
      <c r="U234" s="558"/>
      <c r="V234" s="559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70</v>
      </c>
      <c r="Q235" s="558"/>
      <c r="R235" s="558"/>
      <c r="S235" s="558"/>
      <c r="T235" s="558"/>
      <c r="U235" s="558"/>
      <c r="V235" s="559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134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70</v>
      </c>
      <c r="Q238" s="558"/>
      <c r="R238" s="558"/>
      <c r="S238" s="558"/>
      <c r="T238" s="558"/>
      <c r="U238" s="558"/>
      <c r="V238" s="559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70</v>
      </c>
      <c r="Q239" s="558"/>
      <c r="R239" s="558"/>
      <c r="S239" s="558"/>
      <c r="T239" s="558"/>
      <c r="U239" s="558"/>
      <c r="V239" s="559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381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70</v>
      </c>
      <c r="Q242" s="558"/>
      <c r="R242" s="558"/>
      <c r="S242" s="558"/>
      <c r="T242" s="558"/>
      <c r="U242" s="558"/>
      <c r="V242" s="559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70</v>
      </c>
      <c r="Q243" s="558"/>
      <c r="R243" s="558"/>
      <c r="S243" s="558"/>
      <c r="T243" s="558"/>
      <c r="U243" s="558"/>
      <c r="V243" s="559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385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70</v>
      </c>
      <c r="Q250" s="558"/>
      <c r="R250" s="558"/>
      <c r="S250" s="558"/>
      <c r="T250" s="558"/>
      <c r="U250" s="558"/>
      <c r="V250" s="559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70</v>
      </c>
      <c r="Q251" s="558"/>
      <c r="R251" s="558"/>
      <c r="S251" s="558"/>
      <c r="T251" s="558"/>
      <c r="U251" s="558"/>
      <c r="V251" s="559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397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98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/>
      <c r="M254" s="33" t="s">
        <v>103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70</v>
      </c>
      <c r="Q259" s="558"/>
      <c r="R259" s="558"/>
      <c r="S259" s="558"/>
      <c r="T259" s="558"/>
      <c r="U259" s="558"/>
      <c r="V259" s="559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70</v>
      </c>
      <c r="Q260" s="558"/>
      <c r="R260" s="558"/>
      <c r="S260" s="558"/>
      <c r="T260" s="558"/>
      <c r="U260" s="558"/>
      <c r="V260" s="559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413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98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70</v>
      </c>
      <c r="Q267" s="558"/>
      <c r="R267" s="558"/>
      <c r="S267" s="558"/>
      <c r="T267" s="558"/>
      <c r="U267" s="558"/>
      <c r="V267" s="559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70</v>
      </c>
      <c r="Q268" s="558"/>
      <c r="R268" s="558"/>
      <c r="S268" s="558"/>
      <c r="T268" s="558"/>
      <c r="U268" s="558"/>
      <c r="V268" s="559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424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72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205</v>
      </c>
      <c r="M272" s="33" t="s">
        <v>83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205</v>
      </c>
      <c r="M273" s="33" t="s">
        <v>76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68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70</v>
      </c>
      <c r="Q274" s="558"/>
      <c r="R274" s="558"/>
      <c r="S274" s="558"/>
      <c r="T274" s="558"/>
      <c r="U274" s="558"/>
      <c r="V274" s="559"/>
      <c r="W274" s="37" t="s">
        <v>71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70</v>
      </c>
      <c r="Q275" s="558"/>
      <c r="R275" s="558"/>
      <c r="S275" s="558"/>
      <c r="T275" s="558"/>
      <c r="U275" s="558"/>
      <c r="V275" s="559"/>
      <c r="W275" s="37" t="s">
        <v>68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433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63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70</v>
      </c>
      <c r="Q280" s="558"/>
      <c r="R280" s="558"/>
      <c r="S280" s="558"/>
      <c r="T280" s="558"/>
      <c r="U280" s="558"/>
      <c r="V280" s="559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70</v>
      </c>
      <c r="Q281" s="558"/>
      <c r="R281" s="558"/>
      <c r="S281" s="558"/>
      <c r="T281" s="558"/>
      <c r="U281" s="558"/>
      <c r="V281" s="559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72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33" t="s">
        <v>445</v>
      </c>
      <c r="Q284" s="544"/>
      <c r="R284" s="544"/>
      <c r="S284" s="544"/>
      <c r="T284" s="545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70</v>
      </c>
      <c r="Q285" s="558"/>
      <c r="R285" s="558"/>
      <c r="S285" s="558"/>
      <c r="T285" s="558"/>
      <c r="U285" s="558"/>
      <c r="V285" s="559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70</v>
      </c>
      <c r="Q286" s="558"/>
      <c r="R286" s="558"/>
      <c r="S286" s="558"/>
      <c r="T286" s="558"/>
      <c r="U286" s="558"/>
      <c r="V286" s="559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447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98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70</v>
      </c>
      <c r="Q294" s="558"/>
      <c r="R294" s="558"/>
      <c r="S294" s="558"/>
      <c r="T294" s="558"/>
      <c r="U294" s="558"/>
      <c r="V294" s="559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70</v>
      </c>
      <c r="Q295" s="558"/>
      <c r="R295" s="558"/>
      <c r="S295" s="558"/>
      <c r="T295" s="558"/>
      <c r="U295" s="558"/>
      <c r="V295" s="559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63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/>
      <c r="M298" s="33" t="s">
        <v>67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70</v>
      </c>
      <c r="Q304" s="558"/>
      <c r="R304" s="558"/>
      <c r="S304" s="558"/>
      <c r="T304" s="558"/>
      <c r="U304" s="558"/>
      <c r="V304" s="559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70</v>
      </c>
      <c r="Q305" s="558"/>
      <c r="R305" s="558"/>
      <c r="S305" s="558"/>
      <c r="T305" s="558"/>
      <c r="U305" s="558"/>
      <c r="V305" s="559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customHeight="1" x14ac:dyDescent="0.25">
      <c r="A306" s="554" t="s">
        <v>72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/>
      <c r="M307" s="33" t="s">
        <v>76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70</v>
      </c>
      <c r="Q311" s="558"/>
      <c r="R311" s="558"/>
      <c r="S311" s="558"/>
      <c r="T311" s="558"/>
      <c r="U311" s="558"/>
      <c r="V311" s="559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70</v>
      </c>
      <c r="Q312" s="558"/>
      <c r="R312" s="558"/>
      <c r="S312" s="558"/>
      <c r="T312" s="558"/>
      <c r="U312" s="558"/>
      <c r="V312" s="559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162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 t="s">
        <v>102</v>
      </c>
      <c r="M314" s="33" t="s">
        <v>76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 t="s">
        <v>105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68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 t="s">
        <v>102</v>
      </c>
      <c r="M316" s="33" t="s">
        <v>83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105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70</v>
      </c>
      <c r="Q317" s="558"/>
      <c r="R317" s="558"/>
      <c r="S317" s="558"/>
      <c r="T317" s="558"/>
      <c r="U317" s="558"/>
      <c r="V317" s="559"/>
      <c r="W317" s="37" t="s">
        <v>71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70</v>
      </c>
      <c r="Q318" s="558"/>
      <c r="R318" s="558"/>
      <c r="S318" s="558"/>
      <c r="T318" s="558"/>
      <c r="U318" s="558"/>
      <c r="V318" s="559"/>
      <c r="W318" s="37" t="s">
        <v>68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customHeight="1" x14ac:dyDescent="0.25">
      <c r="A319" s="554" t="s">
        <v>90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/>
      <c r="M322" s="33" t="s">
        <v>93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205</v>
      </c>
      <c r="M323" s="33" t="s">
        <v>93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70</v>
      </c>
      <c r="Q324" s="558"/>
      <c r="R324" s="558"/>
      <c r="S324" s="558"/>
      <c r="T324" s="558"/>
      <c r="U324" s="558"/>
      <c r="V324" s="559"/>
      <c r="W324" s="37" t="s">
        <v>71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70</v>
      </c>
      <c r="Q325" s="558"/>
      <c r="R325" s="558"/>
      <c r="S325" s="558"/>
      <c r="T325" s="558"/>
      <c r="U325" s="558"/>
      <c r="V325" s="559"/>
      <c r="W325" s="37" t="s">
        <v>68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512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68</v>
      </c>
      <c r="X329" s="539">
        <v>8</v>
      </c>
      <c r="Y329" s="540">
        <f>IFERROR(IF(X329="",0,CEILING((X329/$H329),1)*$H329),"")</f>
        <v>8</v>
      </c>
      <c r="Z329" s="36">
        <f>IFERROR(IF(Y329=0,"",ROUNDUP(Y329/H329,0)*0.00474),"")</f>
        <v>1.8960000000000001E-2</v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8.9600000000000009</v>
      </c>
      <c r="BN329" s="64">
        <f>IFERROR(Y329*I329/H329,"0")</f>
        <v>8.9600000000000009</v>
      </c>
      <c r="BO329" s="64">
        <f>IFERROR(1/J329*(X329/H329),"0")</f>
        <v>1.680672268907563E-2</v>
      </c>
      <c r="BP329" s="64">
        <f>IFERROR(1/J329*(Y329/H329),"0")</f>
        <v>1.680672268907563E-2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70</v>
      </c>
      <c r="Q330" s="558"/>
      <c r="R330" s="558"/>
      <c r="S330" s="558"/>
      <c r="T330" s="558"/>
      <c r="U330" s="558"/>
      <c r="V330" s="559"/>
      <c r="W330" s="37" t="s">
        <v>71</v>
      </c>
      <c r="X330" s="541">
        <f>IFERROR(X327/H327,"0")+IFERROR(X328/H328,"0")+IFERROR(X329/H329,"0")</f>
        <v>4</v>
      </c>
      <c r="Y330" s="541">
        <f>IFERROR(Y327/H327,"0")+IFERROR(Y328/H328,"0")+IFERROR(Y329/H329,"0")</f>
        <v>4</v>
      </c>
      <c r="Z330" s="541">
        <f>IFERROR(IF(Z327="",0,Z327),"0")+IFERROR(IF(Z328="",0,Z328),"0")+IFERROR(IF(Z329="",0,Z329),"0")</f>
        <v>1.8960000000000001E-2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70</v>
      </c>
      <c r="Q331" s="558"/>
      <c r="R331" s="558"/>
      <c r="S331" s="558"/>
      <c r="T331" s="558"/>
      <c r="U331" s="558"/>
      <c r="V331" s="559"/>
      <c r="W331" s="37" t="s">
        <v>68</v>
      </c>
      <c r="X331" s="541">
        <f>IFERROR(SUM(X327:X329),"0")</f>
        <v>8</v>
      </c>
      <c r="Y331" s="541">
        <f>IFERROR(SUM(Y327:Y329),"0")</f>
        <v>8</v>
      </c>
      <c r="Z331" s="37"/>
      <c r="AA331" s="542"/>
      <c r="AB331" s="542"/>
      <c r="AC331" s="542"/>
    </row>
    <row r="332" spans="1:68" ht="16.5" customHeight="1" x14ac:dyDescent="0.25">
      <c r="A332" s="552" t="s">
        <v>521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72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 t="s">
        <v>102</v>
      </c>
      <c r="M334" s="33" t="s">
        <v>83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105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/>
      <c r="M335" s="33" t="s">
        <v>76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/>
      <c r="M336" s="33" t="s">
        <v>83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70</v>
      </c>
      <c r="Q337" s="558"/>
      <c r="R337" s="558"/>
      <c r="S337" s="558"/>
      <c r="T337" s="558"/>
      <c r="U337" s="558"/>
      <c r="V337" s="559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70</v>
      </c>
      <c r="Q338" s="558"/>
      <c r="R338" s="558"/>
      <c r="S338" s="558"/>
      <c r="T338" s="558"/>
      <c r="U338" s="558"/>
      <c r="V338" s="559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531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532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98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68</v>
      </c>
      <c r="X342" s="539">
        <v>414</v>
      </c>
      <c r="Y342" s="540">
        <f t="shared" ref="Y342:Y348" si="31">IFERROR(IF(X342="",0,CEILING((X342/$H342),1)*$H342),"")</f>
        <v>420</v>
      </c>
      <c r="Z342" s="36">
        <f>IFERROR(IF(Y342=0,"",ROUNDUP(Y342/H342,0)*0.02175),"")</f>
        <v>0.60899999999999999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426.97199999999998</v>
      </c>
      <c r="BN342" s="64">
        <f t="shared" ref="BN342:BN348" si="33">IFERROR(Y342*I342/H342,"0")</f>
        <v>433.16</v>
      </c>
      <c r="BO342" s="64">
        <f t="shared" ref="BO342:BO348" si="34">IFERROR(1/J342*(X342/H342),"0")</f>
        <v>0.57499999999999996</v>
      </c>
      <c r="BP342" s="64">
        <f t="shared" ref="BP342:BP348" si="35">IFERROR(1/J342*(Y342/H342),"0")</f>
        <v>0.58333333333333326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68</v>
      </c>
      <c r="X343" s="539">
        <v>308</v>
      </c>
      <c r="Y343" s="540">
        <f t="shared" si="31"/>
        <v>315</v>
      </c>
      <c r="Z343" s="36">
        <f>IFERROR(IF(Y343=0,"",ROUNDUP(Y343/H343,0)*0.02175),"")</f>
        <v>0.45674999999999999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317.65066666666667</v>
      </c>
      <c r="BN343" s="64">
        <f t="shared" si="33"/>
        <v>324.87</v>
      </c>
      <c r="BO343" s="64">
        <f t="shared" si="34"/>
        <v>0.42777777777777781</v>
      </c>
      <c r="BP343" s="64">
        <f t="shared" si="35"/>
        <v>0.4375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68</v>
      </c>
      <c r="X344" s="539">
        <v>244</v>
      </c>
      <c r="Y344" s="540">
        <f t="shared" si="31"/>
        <v>255</v>
      </c>
      <c r="Z344" s="36">
        <f>IFERROR(IF(Y344=0,"",ROUNDUP(Y344/H344,0)*0.02175),"")</f>
        <v>0.36974999999999997</v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251.64533333333335</v>
      </c>
      <c r="BN344" s="64">
        <f t="shared" si="33"/>
        <v>262.99</v>
      </c>
      <c r="BO344" s="64">
        <f t="shared" si="34"/>
        <v>0.33888888888888885</v>
      </c>
      <c r="BP344" s="64">
        <f t="shared" si="35"/>
        <v>0.35416666666666663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68</v>
      </c>
      <c r="X345" s="539">
        <v>286</v>
      </c>
      <c r="Y345" s="540">
        <f t="shared" si="31"/>
        <v>300</v>
      </c>
      <c r="Z345" s="36">
        <f>IFERROR(IF(Y345=0,"",ROUNDUP(Y345/H345,0)*0.02175),"")</f>
        <v>0.43499999999999994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294.96133333333336</v>
      </c>
      <c r="BN345" s="64">
        <f t="shared" si="33"/>
        <v>309.39999999999998</v>
      </c>
      <c r="BO345" s="64">
        <f t="shared" si="34"/>
        <v>0.3972222222222222</v>
      </c>
      <c r="BP345" s="64">
        <f t="shared" si="35"/>
        <v>0.41666666666666663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70</v>
      </c>
      <c r="Q349" s="558"/>
      <c r="R349" s="558"/>
      <c r="S349" s="558"/>
      <c r="T349" s="558"/>
      <c r="U349" s="558"/>
      <c r="V349" s="559"/>
      <c r="W349" s="37" t="s">
        <v>71</v>
      </c>
      <c r="X349" s="541">
        <f>IFERROR(X342/H342,"0")+IFERROR(X343/H343,"0")+IFERROR(X344/H344,"0")+IFERROR(X345/H345,"0")+IFERROR(X346/H346,"0")+IFERROR(X347/H347,"0")+IFERROR(X348/H348,"0")</f>
        <v>83.466666666666669</v>
      </c>
      <c r="Y349" s="541">
        <f>IFERROR(Y342/H342,"0")+IFERROR(Y343/H343,"0")+IFERROR(Y344/H344,"0")+IFERROR(Y345/H345,"0")+IFERROR(Y346/H346,"0")+IFERROR(Y347/H347,"0")+IFERROR(Y348/H348,"0")</f>
        <v>86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1.8704999999999998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70</v>
      </c>
      <c r="Q350" s="558"/>
      <c r="R350" s="558"/>
      <c r="S350" s="558"/>
      <c r="T350" s="558"/>
      <c r="U350" s="558"/>
      <c r="V350" s="559"/>
      <c r="W350" s="37" t="s">
        <v>68</v>
      </c>
      <c r="X350" s="541">
        <f>IFERROR(SUM(X342:X348),"0")</f>
        <v>1252</v>
      </c>
      <c r="Y350" s="541">
        <f>IFERROR(SUM(Y342:Y348),"0")</f>
        <v>1290</v>
      </c>
      <c r="Z350" s="37"/>
      <c r="AA350" s="542"/>
      <c r="AB350" s="542"/>
      <c r="AC350" s="542"/>
    </row>
    <row r="351" spans="1:68" ht="14.25" customHeight="1" x14ac:dyDescent="0.25">
      <c r="A351" s="554" t="s">
        <v>134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68</v>
      </c>
      <c r="X352" s="539">
        <v>534</v>
      </c>
      <c r="Y352" s="540">
        <f>IFERROR(IF(X352="",0,CEILING((X352/$H352),1)*$H352),"")</f>
        <v>540</v>
      </c>
      <c r="Z352" s="36">
        <f>IFERROR(IF(Y352=0,"",ROUNDUP(Y352/H352,0)*0.02175),"")</f>
        <v>0.78299999999999992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550.73199999999997</v>
      </c>
      <c r="BN352" s="64">
        <f>IFERROR(Y352*I352/H352,"0")</f>
        <v>556.92000000000007</v>
      </c>
      <c r="BO352" s="64">
        <f>IFERROR(1/J352*(X352/H352),"0")</f>
        <v>0.7416666666666667</v>
      </c>
      <c r="BP352" s="64">
        <f>IFERROR(1/J352*(Y352/H352),"0")</f>
        <v>0.75</v>
      </c>
    </row>
    <row r="353" spans="1:68" ht="16.5" customHeight="1" x14ac:dyDescent="0.25">
      <c r="A353" s="54" t="s">
        <v>555</v>
      </c>
      <c r="B353" s="54" t="s">
        <v>556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70</v>
      </c>
      <c r="Q354" s="558"/>
      <c r="R354" s="558"/>
      <c r="S354" s="558"/>
      <c r="T354" s="558"/>
      <c r="U354" s="558"/>
      <c r="V354" s="559"/>
      <c r="W354" s="37" t="s">
        <v>71</v>
      </c>
      <c r="X354" s="541">
        <f>IFERROR(X352/H352,"0")+IFERROR(X353/H353,"0")</f>
        <v>35.6</v>
      </c>
      <c r="Y354" s="541">
        <f>IFERROR(Y352/H352,"0")+IFERROR(Y353/H353,"0")</f>
        <v>36</v>
      </c>
      <c r="Z354" s="541">
        <f>IFERROR(IF(Z352="",0,Z352),"0")+IFERROR(IF(Z353="",0,Z353),"0")</f>
        <v>0.78299999999999992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70</v>
      </c>
      <c r="Q355" s="558"/>
      <c r="R355" s="558"/>
      <c r="S355" s="558"/>
      <c r="T355" s="558"/>
      <c r="U355" s="558"/>
      <c r="V355" s="559"/>
      <c r="W355" s="37" t="s">
        <v>68</v>
      </c>
      <c r="X355" s="541">
        <f>IFERROR(SUM(X352:X353),"0")</f>
        <v>534</v>
      </c>
      <c r="Y355" s="541">
        <f>IFERROR(SUM(Y352:Y353),"0")</f>
        <v>540</v>
      </c>
      <c r="Z355" s="37"/>
      <c r="AA355" s="542"/>
      <c r="AB355" s="542"/>
      <c r="AC355" s="542"/>
    </row>
    <row r="356" spans="1:68" ht="14.25" customHeight="1" x14ac:dyDescent="0.25">
      <c r="A356" s="554" t="s">
        <v>72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70</v>
      </c>
      <c r="Q359" s="558"/>
      <c r="R359" s="558"/>
      <c r="S359" s="558"/>
      <c r="T359" s="558"/>
      <c r="U359" s="558"/>
      <c r="V359" s="559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70</v>
      </c>
      <c r="Q360" s="558"/>
      <c r="R360" s="558"/>
      <c r="S360" s="558"/>
      <c r="T360" s="558"/>
      <c r="U360" s="558"/>
      <c r="V360" s="559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162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68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70</v>
      </c>
      <c r="Q363" s="558"/>
      <c r="R363" s="558"/>
      <c r="S363" s="558"/>
      <c r="T363" s="558"/>
      <c r="U363" s="558"/>
      <c r="V363" s="559"/>
      <c r="W363" s="37" t="s">
        <v>71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70</v>
      </c>
      <c r="Q364" s="558"/>
      <c r="R364" s="558"/>
      <c r="S364" s="558"/>
      <c r="T364" s="558"/>
      <c r="U364" s="558"/>
      <c r="V364" s="559"/>
      <c r="W364" s="37" t="s">
        <v>68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52" t="s">
        <v>566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98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/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70</v>
      </c>
      <c r="Q369" s="558"/>
      <c r="R369" s="558"/>
      <c r="S369" s="558"/>
      <c r="T369" s="558"/>
      <c r="U369" s="558"/>
      <c r="V369" s="559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70</v>
      </c>
      <c r="Q370" s="558"/>
      <c r="R370" s="558"/>
      <c r="S370" s="558"/>
      <c r="T370" s="558"/>
      <c r="U370" s="558"/>
      <c r="V370" s="559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63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/>
      <c r="M372" s="33" t="s">
        <v>67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70</v>
      </c>
      <c r="Q374" s="558"/>
      <c r="R374" s="558"/>
      <c r="S374" s="558"/>
      <c r="T374" s="558"/>
      <c r="U374" s="558"/>
      <c r="V374" s="559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70</v>
      </c>
      <c r="Q375" s="558"/>
      <c r="R375" s="558"/>
      <c r="S375" s="558"/>
      <c r="T375" s="558"/>
      <c r="U375" s="558"/>
      <c r="V375" s="559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72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68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205</v>
      </c>
      <c r="M378" s="33" t="s">
        <v>76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70</v>
      </c>
      <c r="Q379" s="558"/>
      <c r="R379" s="558"/>
      <c r="S379" s="558"/>
      <c r="T379" s="558"/>
      <c r="U379" s="558"/>
      <c r="V379" s="559"/>
      <c r="W379" s="37" t="s">
        <v>71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70</v>
      </c>
      <c r="Q380" s="558"/>
      <c r="R380" s="558"/>
      <c r="S380" s="558"/>
      <c r="T380" s="558"/>
      <c r="U380" s="558"/>
      <c r="V380" s="559"/>
      <c r="W380" s="37" t="s">
        <v>68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693" t="s">
        <v>582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583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63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/>
      <c r="M384" s="33" t="s">
        <v>67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587</v>
      </c>
      <c r="B385" s="54" t="s">
        <v>588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/>
      <c r="M386" s="33" t="s">
        <v>67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595</v>
      </c>
      <c r="B388" s="54" t="s">
        <v>596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597</v>
      </c>
      <c r="B389" s="54" t="s">
        <v>598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600</v>
      </c>
      <c r="B390" s="54" t="s">
        <v>601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606</v>
      </c>
      <c r="B392" s="54" t="s">
        <v>607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70</v>
      </c>
      <c r="Q393" s="558"/>
      <c r="R393" s="558"/>
      <c r="S393" s="558"/>
      <c r="T393" s="558"/>
      <c r="U393" s="558"/>
      <c r="V393" s="559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70</v>
      </c>
      <c r="Q394" s="558"/>
      <c r="R394" s="558"/>
      <c r="S394" s="558"/>
      <c r="T394" s="558"/>
      <c r="U394" s="558"/>
      <c r="V394" s="559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72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608</v>
      </c>
      <c r="B396" s="54" t="s">
        <v>609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611</v>
      </c>
      <c r="B397" s="54" t="s">
        <v>612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70</v>
      </c>
      <c r="Q398" s="558"/>
      <c r="R398" s="558"/>
      <c r="S398" s="558"/>
      <c r="T398" s="558"/>
      <c r="U398" s="558"/>
      <c r="V398" s="559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70</v>
      </c>
      <c r="Q399" s="558"/>
      <c r="R399" s="558"/>
      <c r="S399" s="558"/>
      <c r="T399" s="558"/>
      <c r="U399" s="558"/>
      <c r="V399" s="559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614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134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615</v>
      </c>
      <c r="B402" s="54" t="s">
        <v>616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70</v>
      </c>
      <c r="Q403" s="558"/>
      <c r="R403" s="558"/>
      <c r="S403" s="558"/>
      <c r="T403" s="558"/>
      <c r="U403" s="558"/>
      <c r="V403" s="559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70</v>
      </c>
      <c r="Q404" s="558"/>
      <c r="R404" s="558"/>
      <c r="S404" s="558"/>
      <c r="T404" s="558"/>
      <c r="U404" s="558"/>
      <c r="V404" s="559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63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618</v>
      </c>
      <c r="B406" s="54" t="s">
        <v>619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/>
      <c r="M406" s="33" t="s">
        <v>103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621</v>
      </c>
      <c r="B407" s="54" t="s">
        <v>622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70</v>
      </c>
      <c r="Q410" s="558"/>
      <c r="R410" s="558"/>
      <c r="S410" s="558"/>
      <c r="T410" s="558"/>
      <c r="U410" s="558"/>
      <c r="V410" s="559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70</v>
      </c>
      <c r="Q411" s="558"/>
      <c r="R411" s="558"/>
      <c r="S411" s="558"/>
      <c r="T411" s="558"/>
      <c r="U411" s="558"/>
      <c r="V411" s="559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629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63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630</v>
      </c>
      <c r="B414" s="54" t="s">
        <v>631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70</v>
      </c>
      <c r="Q415" s="558"/>
      <c r="R415" s="558"/>
      <c r="S415" s="558"/>
      <c r="T415" s="558"/>
      <c r="U415" s="558"/>
      <c r="V415" s="559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70</v>
      </c>
      <c r="Q416" s="558"/>
      <c r="R416" s="558"/>
      <c r="S416" s="558"/>
      <c r="T416" s="558"/>
      <c r="U416" s="558"/>
      <c r="V416" s="559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633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633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98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636</v>
      </c>
      <c r="B421" s="54" t="s">
        <v>637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68</v>
      </c>
      <c r="X423" s="539">
        <v>173</v>
      </c>
      <c r="Y423" s="540">
        <f t="shared" si="42"/>
        <v>174.24</v>
      </c>
      <c r="Z423" s="36">
        <f t="shared" si="43"/>
        <v>0.39468000000000003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184.46780303030303</v>
      </c>
      <c r="BN423" s="64">
        <f t="shared" si="45"/>
        <v>185.79</v>
      </c>
      <c r="BO423" s="64">
        <f t="shared" si="46"/>
        <v>0.31504953379953382</v>
      </c>
      <c r="BP423" s="64">
        <f t="shared" si="47"/>
        <v>0.31730769230769235</v>
      </c>
    </row>
    <row r="424" spans="1:68" ht="16.5" customHeight="1" x14ac:dyDescent="0.25">
      <c r="A424" s="54" t="s">
        <v>645</v>
      </c>
      <c r="B424" s="54" t="s">
        <v>646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68</v>
      </c>
      <c r="X425" s="539">
        <v>293</v>
      </c>
      <c r="Y425" s="540">
        <f t="shared" si="42"/>
        <v>295.68</v>
      </c>
      <c r="Z425" s="36">
        <f t="shared" si="43"/>
        <v>0.66976000000000002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312.42234848484844</v>
      </c>
      <c r="BN425" s="64">
        <f t="shared" si="45"/>
        <v>315.27999999999997</v>
      </c>
      <c r="BO425" s="64">
        <f t="shared" si="46"/>
        <v>0.53358100233100236</v>
      </c>
      <c r="BP425" s="64">
        <f t="shared" si="47"/>
        <v>0.53846153846153855</v>
      </c>
    </row>
    <row r="426" spans="1:68" ht="27" customHeight="1" x14ac:dyDescent="0.25">
      <c r="A426" s="54" t="s">
        <v>651</v>
      </c>
      <c r="B426" s="54" t="s">
        <v>652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655</v>
      </c>
      <c r="B428" s="54" t="s">
        <v>656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658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70</v>
      </c>
      <c r="Q431" s="558"/>
      <c r="R431" s="558"/>
      <c r="S431" s="558"/>
      <c r="T431" s="558"/>
      <c r="U431" s="558"/>
      <c r="V431" s="559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88.257575757575751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89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1.0644400000000001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70</v>
      </c>
      <c r="Q432" s="558"/>
      <c r="R432" s="558"/>
      <c r="S432" s="558"/>
      <c r="T432" s="558"/>
      <c r="U432" s="558"/>
      <c r="V432" s="559"/>
      <c r="W432" s="37" t="s">
        <v>68</v>
      </c>
      <c r="X432" s="541">
        <f>IFERROR(SUM(X420:X430),"0")</f>
        <v>466</v>
      </c>
      <c r="Y432" s="541">
        <f>IFERROR(SUM(Y420:Y430),"0")</f>
        <v>469.92</v>
      </c>
      <c r="Z432" s="37"/>
      <c r="AA432" s="542"/>
      <c r="AB432" s="542"/>
      <c r="AC432" s="542"/>
    </row>
    <row r="433" spans="1:68" ht="14.25" customHeight="1" x14ac:dyDescent="0.25">
      <c r="A433" s="554" t="s">
        <v>134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68</v>
      </c>
      <c r="X434" s="539">
        <v>152</v>
      </c>
      <c r="Y434" s="540">
        <f>IFERROR(IF(X434="",0,CEILING((X434/$H434),1)*$H434),"")</f>
        <v>153.12</v>
      </c>
      <c r="Z434" s="36">
        <f>IFERROR(IF(Y434=0,"",ROUNDUP(Y434/H434,0)*0.01196),"")</f>
        <v>0.34683999999999998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162.07575757575756</v>
      </c>
      <c r="BN434" s="64">
        <f>IFERROR(Y434*I434/H434,"0")</f>
        <v>163.26999999999998</v>
      </c>
      <c r="BO434" s="64">
        <f>IFERROR(1/J434*(X434/H434),"0")</f>
        <v>0.27680652680652679</v>
      </c>
      <c r="BP434" s="64">
        <f>IFERROR(1/J434*(Y434/H434),"0")</f>
        <v>0.27884615384615385</v>
      </c>
    </row>
    <row r="435" spans="1:68" ht="16.5" customHeight="1" x14ac:dyDescent="0.25">
      <c r="A435" s="54" t="s">
        <v>665</v>
      </c>
      <c r="B435" s="54" t="s">
        <v>666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111</v>
      </c>
      <c r="M436" s="33" t="s">
        <v>103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70</v>
      </c>
      <c r="Q437" s="558"/>
      <c r="R437" s="558"/>
      <c r="S437" s="558"/>
      <c r="T437" s="558"/>
      <c r="U437" s="558"/>
      <c r="V437" s="559"/>
      <c r="W437" s="37" t="s">
        <v>71</v>
      </c>
      <c r="X437" s="541">
        <f>IFERROR(X434/H434,"0")+IFERROR(X435/H435,"0")+IFERROR(X436/H436,"0")</f>
        <v>28.787878787878785</v>
      </c>
      <c r="Y437" s="541">
        <f>IFERROR(Y434/H434,"0")+IFERROR(Y435/H435,"0")+IFERROR(Y436/H436,"0")</f>
        <v>29</v>
      </c>
      <c r="Z437" s="541">
        <f>IFERROR(IF(Z434="",0,Z434),"0")+IFERROR(IF(Z435="",0,Z435),"0")+IFERROR(IF(Z436="",0,Z436),"0")</f>
        <v>0.34683999999999998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70</v>
      </c>
      <c r="Q438" s="558"/>
      <c r="R438" s="558"/>
      <c r="S438" s="558"/>
      <c r="T438" s="558"/>
      <c r="U438" s="558"/>
      <c r="V438" s="559"/>
      <c r="W438" s="37" t="s">
        <v>68</v>
      </c>
      <c r="X438" s="541">
        <f>IFERROR(SUM(X434:X436),"0")</f>
        <v>152</v>
      </c>
      <c r="Y438" s="541">
        <f>IFERROR(SUM(Y434:Y436),"0")</f>
        <v>153.12</v>
      </c>
      <c r="Z438" s="37"/>
      <c r="AA438" s="542"/>
      <c r="AB438" s="542"/>
      <c r="AC438" s="542"/>
    </row>
    <row r="439" spans="1:68" ht="14.25" customHeight="1" x14ac:dyDescent="0.25">
      <c r="A439" s="554" t="s">
        <v>63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68</v>
      </c>
      <c r="X440" s="539">
        <v>70</v>
      </c>
      <c r="Y440" s="540">
        <f t="shared" ref="Y440:Y445" si="48">IFERROR(IF(X440="",0,CEILING((X440/$H440),1)*$H440),"")</f>
        <v>73.92</v>
      </c>
      <c r="Z440" s="36">
        <f>IFERROR(IF(Y440=0,"",ROUNDUP(Y440/H440,0)*0.01196),"")</f>
        <v>0.16744000000000001</v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74.640151515151501</v>
      </c>
      <c r="BN440" s="64">
        <f t="shared" ref="BN440:BN445" si="50">IFERROR(Y440*I440/H440,"0")</f>
        <v>78.819999999999993</v>
      </c>
      <c r="BO440" s="64">
        <f t="shared" ref="BO440:BO445" si="51">IFERROR(1/J440*(X440/H440),"0")</f>
        <v>0.12747668997668998</v>
      </c>
      <c r="BP440" s="64">
        <f t="shared" ref="BP440:BP445" si="52">IFERROR(1/J440*(Y440/H440),"0")</f>
        <v>0.13461538461538464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68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68</v>
      </c>
      <c r="X442" s="539">
        <v>147</v>
      </c>
      <c r="Y442" s="540">
        <f t="shared" si="48"/>
        <v>147.84</v>
      </c>
      <c r="Z442" s="36">
        <f>IFERROR(IF(Y442=0,"",ROUNDUP(Y442/H442,0)*0.01196),"")</f>
        <v>0.33488000000000001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156.74431818181819</v>
      </c>
      <c r="BN442" s="64">
        <f t="shared" si="50"/>
        <v>157.63999999999999</v>
      </c>
      <c r="BO442" s="64">
        <f t="shared" si="51"/>
        <v>0.26770104895104896</v>
      </c>
      <c r="BP442" s="64">
        <f t="shared" si="52"/>
        <v>0.26923076923076927</v>
      </c>
    </row>
    <row r="443" spans="1:68" ht="27" customHeight="1" x14ac:dyDescent="0.25">
      <c r="A443" s="54" t="s">
        <v>678</v>
      </c>
      <c r="B443" s="54" t="s">
        <v>679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682</v>
      </c>
      <c r="B445" s="54" t="s">
        <v>683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70</v>
      </c>
      <c r="Q446" s="558"/>
      <c r="R446" s="558"/>
      <c r="S446" s="558"/>
      <c r="T446" s="558"/>
      <c r="U446" s="558"/>
      <c r="V446" s="559"/>
      <c r="W446" s="37" t="s">
        <v>71</v>
      </c>
      <c r="X446" s="541">
        <f>IFERROR(X440/H440,"0")+IFERROR(X441/H441,"0")+IFERROR(X442/H442,"0")+IFERROR(X443/H443,"0")+IFERROR(X444/H444,"0")+IFERROR(X445/H445,"0")</f>
        <v>41.098484848484844</v>
      </c>
      <c r="Y446" s="541">
        <f>IFERROR(Y440/H440,"0")+IFERROR(Y441/H441,"0")+IFERROR(Y442/H442,"0")+IFERROR(Y443/H443,"0")+IFERROR(Y444/H444,"0")+IFERROR(Y445/H445,"0")</f>
        <v>42</v>
      </c>
      <c r="Z446" s="541">
        <f>IFERROR(IF(Z440="",0,Z440),"0")+IFERROR(IF(Z441="",0,Z441),"0")+IFERROR(IF(Z442="",0,Z442),"0")+IFERROR(IF(Z443="",0,Z443),"0")+IFERROR(IF(Z444="",0,Z444),"0")+IFERROR(IF(Z445="",0,Z445),"0")</f>
        <v>0.50231999999999999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70</v>
      </c>
      <c r="Q447" s="558"/>
      <c r="R447" s="558"/>
      <c r="S447" s="558"/>
      <c r="T447" s="558"/>
      <c r="U447" s="558"/>
      <c r="V447" s="559"/>
      <c r="W447" s="37" t="s">
        <v>68</v>
      </c>
      <c r="X447" s="541">
        <f>IFERROR(SUM(X440:X445),"0")</f>
        <v>217</v>
      </c>
      <c r="Y447" s="541">
        <f>IFERROR(SUM(Y440:Y445),"0")</f>
        <v>221.76</v>
      </c>
      <c r="Z447" s="37"/>
      <c r="AA447" s="542"/>
      <c r="AB447" s="542"/>
      <c r="AC447" s="542"/>
    </row>
    <row r="448" spans="1:68" ht="14.25" customHeight="1" x14ac:dyDescent="0.25">
      <c r="A448" s="554" t="s">
        <v>72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684</v>
      </c>
      <c r="B449" s="54" t="s">
        <v>685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687</v>
      </c>
      <c r="B450" s="54" t="s">
        <v>688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690</v>
      </c>
      <c r="B451" s="54" t="s">
        <v>691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70</v>
      </c>
      <c r="Q452" s="558"/>
      <c r="R452" s="558"/>
      <c r="S452" s="558"/>
      <c r="T452" s="558"/>
      <c r="U452" s="558"/>
      <c r="V452" s="559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70</v>
      </c>
      <c r="Q453" s="558"/>
      <c r="R453" s="558"/>
      <c r="S453" s="558"/>
      <c r="T453" s="558"/>
      <c r="U453" s="558"/>
      <c r="V453" s="559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693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693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98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694</v>
      </c>
      <c r="B457" s="54" t="s">
        <v>695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697</v>
      </c>
      <c r="B458" s="54" t="s">
        <v>698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/>
      <c r="M459" s="33" t="s">
        <v>103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70</v>
      </c>
      <c r="Q461" s="558"/>
      <c r="R461" s="558"/>
      <c r="S461" s="558"/>
      <c r="T461" s="558"/>
      <c r="U461" s="558"/>
      <c r="V461" s="559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70</v>
      </c>
      <c r="Q462" s="558"/>
      <c r="R462" s="558"/>
      <c r="S462" s="558"/>
      <c r="T462" s="558"/>
      <c r="U462" s="558"/>
      <c r="V462" s="559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134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705</v>
      </c>
      <c r="B464" s="54" t="s">
        <v>706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708</v>
      </c>
      <c r="B465" s="54" t="s">
        <v>709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70</v>
      </c>
      <c r="Q467" s="558"/>
      <c r="R467" s="558"/>
      <c r="S467" s="558"/>
      <c r="T467" s="558"/>
      <c r="U467" s="558"/>
      <c r="V467" s="559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70</v>
      </c>
      <c r="Q468" s="558"/>
      <c r="R468" s="558"/>
      <c r="S468" s="558"/>
      <c r="T468" s="558"/>
      <c r="U468" s="558"/>
      <c r="V468" s="559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63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714</v>
      </c>
      <c r="B470" s="54" t="s">
        <v>715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 t="s">
        <v>111</v>
      </c>
      <c r="M470" s="33" t="s">
        <v>67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 t="s">
        <v>105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717</v>
      </c>
      <c r="B471" s="54" t="s">
        <v>718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 t="s">
        <v>111</v>
      </c>
      <c r="M471" s="33" t="s">
        <v>67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105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70</v>
      </c>
      <c r="Q472" s="558"/>
      <c r="R472" s="558"/>
      <c r="S472" s="558"/>
      <c r="T472" s="558"/>
      <c r="U472" s="558"/>
      <c r="V472" s="559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70</v>
      </c>
      <c r="Q473" s="558"/>
      <c r="R473" s="558"/>
      <c r="S473" s="558"/>
      <c r="T473" s="558"/>
      <c r="U473" s="558"/>
      <c r="V473" s="559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72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/>
      <c r="M475" s="33" t="s">
        <v>83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/>
      <c r="AK475" s="68">
        <v>0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70</v>
      </c>
      <c r="Q476" s="558"/>
      <c r="R476" s="558"/>
      <c r="S476" s="558"/>
      <c r="T476" s="558"/>
      <c r="U476" s="558"/>
      <c r="V476" s="559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70</v>
      </c>
      <c r="Q477" s="558"/>
      <c r="R477" s="558"/>
      <c r="S477" s="558"/>
      <c r="T477" s="558"/>
      <c r="U477" s="558"/>
      <c r="V477" s="559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162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723</v>
      </c>
      <c r="B479" s="54" t="s">
        <v>724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726</v>
      </c>
      <c r="B480" s="54" t="s">
        <v>727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70</v>
      </c>
      <c r="Q481" s="558"/>
      <c r="R481" s="558"/>
      <c r="S481" s="558"/>
      <c r="T481" s="558"/>
      <c r="U481" s="558"/>
      <c r="V481" s="559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70</v>
      </c>
      <c r="Q482" s="558"/>
      <c r="R482" s="558"/>
      <c r="S482" s="558"/>
      <c r="T482" s="558"/>
      <c r="U482" s="558"/>
      <c r="V482" s="559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729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134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730</v>
      </c>
      <c r="B485" s="54" t="s">
        <v>731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70</v>
      </c>
      <c r="Q486" s="558"/>
      <c r="R486" s="558"/>
      <c r="S486" s="558"/>
      <c r="T486" s="558"/>
      <c r="U486" s="558"/>
      <c r="V486" s="559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70</v>
      </c>
      <c r="Q487" s="558"/>
      <c r="R487" s="558"/>
      <c r="S487" s="558"/>
      <c r="T487" s="558"/>
      <c r="U487" s="558"/>
      <c r="V487" s="559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733</v>
      </c>
      <c r="Q488" s="628"/>
      <c r="R488" s="628"/>
      <c r="S488" s="628"/>
      <c r="T488" s="628"/>
      <c r="U488" s="628"/>
      <c r="V488" s="629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4243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4330.7000000000007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734</v>
      </c>
      <c r="Q489" s="628"/>
      <c r="R489" s="628"/>
      <c r="S489" s="628"/>
      <c r="T489" s="628"/>
      <c r="U489" s="628"/>
      <c r="V489" s="629"/>
      <c r="W489" s="37" t="s">
        <v>68</v>
      </c>
      <c r="X489" s="541">
        <f>IFERROR(SUM(BM22:BM485),"0")</f>
        <v>4451.6221533423995</v>
      </c>
      <c r="Y489" s="541">
        <f>IFERROR(SUM(BN22:BN485),"0")</f>
        <v>4543.304000000001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735</v>
      </c>
      <c r="Q490" s="628"/>
      <c r="R490" s="628"/>
      <c r="S490" s="628"/>
      <c r="T490" s="628"/>
      <c r="U490" s="628"/>
      <c r="V490" s="629"/>
      <c r="W490" s="37" t="s">
        <v>736</v>
      </c>
      <c r="X490" s="38">
        <f>ROUNDUP(SUM(BO22:BO485),0)</f>
        <v>7</v>
      </c>
      <c r="Y490" s="38">
        <f>ROUNDUP(SUM(BP22:BP485),0)</f>
        <v>7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737</v>
      </c>
      <c r="Q491" s="628"/>
      <c r="R491" s="628"/>
      <c r="S491" s="628"/>
      <c r="T491" s="628"/>
      <c r="U491" s="628"/>
      <c r="V491" s="629"/>
      <c r="W491" s="37" t="s">
        <v>68</v>
      </c>
      <c r="X491" s="541">
        <f>GrossWeightTotal+PalletQtyTotal*25</f>
        <v>4626.6221533423995</v>
      </c>
      <c r="Y491" s="541">
        <f>GrossWeightTotalR+PalletQtyTotalR*25</f>
        <v>4718.304000000001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738</v>
      </c>
      <c r="Q492" s="628"/>
      <c r="R492" s="628"/>
      <c r="S492" s="628"/>
      <c r="T492" s="628"/>
      <c r="U492" s="628"/>
      <c r="V492" s="629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588.58921701967688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599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739</v>
      </c>
      <c r="Q493" s="628"/>
      <c r="R493" s="628"/>
      <c r="S493" s="628"/>
      <c r="T493" s="628"/>
      <c r="U493" s="628"/>
      <c r="V493" s="629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8.037980000000001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6" t="s">
        <v>96</v>
      </c>
      <c r="D495" s="594"/>
      <c r="E495" s="594"/>
      <c r="F495" s="594"/>
      <c r="G495" s="594"/>
      <c r="H495" s="595"/>
      <c r="I495" s="576" t="s">
        <v>250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531</v>
      </c>
      <c r="T495" s="595"/>
      <c r="U495" s="576" t="s">
        <v>582</v>
      </c>
      <c r="V495" s="594"/>
      <c r="W495" s="595"/>
      <c r="X495" s="536" t="s">
        <v>633</v>
      </c>
      <c r="Y495" s="576" t="s">
        <v>693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742</v>
      </c>
      <c r="B496" s="576" t="s">
        <v>62</v>
      </c>
      <c r="C496" s="576" t="s">
        <v>97</v>
      </c>
      <c r="D496" s="576" t="s">
        <v>115</v>
      </c>
      <c r="E496" s="576" t="s">
        <v>169</v>
      </c>
      <c r="F496" s="576" t="s">
        <v>188</v>
      </c>
      <c r="G496" s="576" t="s">
        <v>219</v>
      </c>
      <c r="H496" s="576" t="s">
        <v>96</v>
      </c>
      <c r="I496" s="576" t="s">
        <v>251</v>
      </c>
      <c r="J496" s="576" t="s">
        <v>296</v>
      </c>
      <c r="K496" s="576" t="s">
        <v>355</v>
      </c>
      <c r="L496" s="576" t="s">
        <v>397</v>
      </c>
      <c r="M496" s="576" t="s">
        <v>413</v>
      </c>
      <c r="N496" s="537"/>
      <c r="O496" s="576" t="s">
        <v>424</v>
      </c>
      <c r="P496" s="576" t="s">
        <v>433</v>
      </c>
      <c r="Q496" s="576" t="s">
        <v>447</v>
      </c>
      <c r="R496" s="576" t="s">
        <v>521</v>
      </c>
      <c r="S496" s="576" t="s">
        <v>532</v>
      </c>
      <c r="T496" s="576" t="s">
        <v>566</v>
      </c>
      <c r="U496" s="576" t="s">
        <v>583</v>
      </c>
      <c r="V496" s="576" t="s">
        <v>614</v>
      </c>
      <c r="W496" s="576" t="s">
        <v>629</v>
      </c>
      <c r="X496" s="576" t="s">
        <v>633</v>
      </c>
      <c r="Y496" s="576" t="s">
        <v>693</v>
      </c>
      <c r="Z496" s="576" t="s">
        <v>729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216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261.60000000000002</v>
      </c>
      <c r="E498" s="46">
        <f>IFERROR(Y85*1,"0")+IFERROR(Y86*1,"0")+IFERROR(Y87*1,"0")+IFERROR(Y91*1,"0")+IFERROR(Y92*1,"0")+IFERROR(Y93*1,"0")+IFERROR(Y94*1,"0")</f>
        <v>307.8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402.3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460.2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8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1830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844.8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hN27Qks6R5GZDn894hiwAC6pxPtL3TD1iz+kA0JzTEcW54nSvBqJbJUM15hFoTLpwS6VBRx0A5HLjs4q4265ow==" saltValue="G/0/sdqDXwvcrN2FQuAor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1 X163:X164 X167:X168 X191 X195:X196 X198:X200 X202 X208:X209 X211:X214 X219 X224 X272:X273 X314:X316 X323 X334 X342:X344 X352 X377:X378 X420 X422:X423 X425 X434 X436 X440:X442 X470:X47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xTDxBxv3x/1RW9W2AnrBfs9+gCWEfd0a9DFwuHKg4lcTsoVRHZCQ4xqH5pe/lmudEVMeNsxt2unYnn4+BohwPw==" saltValue="t4bjI3lqeEdF2lpZKhxR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2025-11-24T07:46:13Z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