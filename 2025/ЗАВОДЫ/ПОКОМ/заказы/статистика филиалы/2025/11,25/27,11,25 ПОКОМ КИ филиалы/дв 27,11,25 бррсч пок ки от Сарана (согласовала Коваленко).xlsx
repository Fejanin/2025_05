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6063B40D-5BC1-42D4-9846-673A80F259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AN8" i="1" s="1"/>
  <c r="X9" i="1"/>
  <c r="X10" i="1"/>
  <c r="AN10" i="1" s="1"/>
  <c r="X11" i="1"/>
  <c r="X12" i="1"/>
  <c r="AN12" i="1" s="1"/>
  <c r="X13" i="1"/>
  <c r="X14" i="1"/>
  <c r="AN14" i="1" s="1"/>
  <c r="X15" i="1"/>
  <c r="X16" i="1"/>
  <c r="AN16" i="1" s="1"/>
  <c r="X17" i="1"/>
  <c r="X18" i="1"/>
  <c r="AN18" i="1" s="1"/>
  <c r="X19" i="1"/>
  <c r="X20" i="1"/>
  <c r="AN20" i="1" s="1"/>
  <c r="X21" i="1"/>
  <c r="X22" i="1"/>
  <c r="AN22" i="1" s="1"/>
  <c r="X23" i="1"/>
  <c r="X24" i="1"/>
  <c r="AN24" i="1" s="1"/>
  <c r="X25" i="1"/>
  <c r="X26" i="1"/>
  <c r="AN26" i="1" s="1"/>
  <c r="X27" i="1"/>
  <c r="X28" i="1"/>
  <c r="AN28" i="1" s="1"/>
  <c r="X29" i="1"/>
  <c r="X30" i="1"/>
  <c r="AN30" i="1" s="1"/>
  <c r="X31" i="1"/>
  <c r="X32" i="1"/>
  <c r="AN32" i="1" s="1"/>
  <c r="X33" i="1"/>
  <c r="X34" i="1"/>
  <c r="AN34" i="1" s="1"/>
  <c r="X35" i="1"/>
  <c r="X36" i="1"/>
  <c r="AN36" i="1" s="1"/>
  <c r="X37" i="1"/>
  <c r="X38" i="1"/>
  <c r="AN38" i="1" s="1"/>
  <c r="X39" i="1"/>
  <c r="X40" i="1"/>
  <c r="AN40" i="1" s="1"/>
  <c r="X41" i="1"/>
  <c r="X42" i="1"/>
  <c r="AN42" i="1" s="1"/>
  <c r="X43" i="1"/>
  <c r="X44" i="1"/>
  <c r="AN44" i="1" s="1"/>
  <c r="X45" i="1"/>
  <c r="X46" i="1"/>
  <c r="AN46" i="1" s="1"/>
  <c r="X47" i="1"/>
  <c r="X48" i="1"/>
  <c r="AN48" i="1" s="1"/>
  <c r="X49" i="1"/>
  <c r="X50" i="1"/>
  <c r="AN50" i="1" s="1"/>
  <c r="X51" i="1"/>
  <c r="X52" i="1"/>
  <c r="AN52" i="1" s="1"/>
  <c r="X53" i="1"/>
  <c r="X54" i="1"/>
  <c r="AN54" i="1" s="1"/>
  <c r="X55" i="1"/>
  <c r="X56" i="1"/>
  <c r="AN56" i="1" s="1"/>
  <c r="X57" i="1"/>
  <c r="X58" i="1"/>
  <c r="AN58" i="1" s="1"/>
  <c r="X59" i="1"/>
  <c r="X60" i="1"/>
  <c r="AN60" i="1" s="1"/>
  <c r="X61" i="1"/>
  <c r="X62" i="1"/>
  <c r="AN62" i="1" s="1"/>
  <c r="X63" i="1"/>
  <c r="X64" i="1"/>
  <c r="AN64" i="1" s="1"/>
  <c r="X65" i="1"/>
  <c r="X66" i="1"/>
  <c r="AN66" i="1" s="1"/>
  <c r="X67" i="1"/>
  <c r="X68" i="1"/>
  <c r="AN68" i="1" s="1"/>
  <c r="X69" i="1"/>
  <c r="X70" i="1"/>
  <c r="AN70" i="1" s="1"/>
  <c r="X71" i="1"/>
  <c r="X72" i="1"/>
  <c r="AN72" i="1" s="1"/>
  <c r="X73" i="1"/>
  <c r="X74" i="1"/>
  <c r="AN74" i="1" s="1"/>
  <c r="X75" i="1"/>
  <c r="AN75" i="1" s="1"/>
  <c r="X76" i="1"/>
  <c r="AN76" i="1" s="1"/>
  <c r="X77" i="1"/>
  <c r="X78" i="1"/>
  <c r="AN78" i="1" s="1"/>
  <c r="X79" i="1"/>
  <c r="X80" i="1"/>
  <c r="AN80" i="1" s="1"/>
  <c r="X81" i="1"/>
  <c r="X82" i="1"/>
  <c r="AN82" i="1" s="1"/>
  <c r="X83" i="1"/>
  <c r="X84" i="1"/>
  <c r="AN84" i="1" s="1"/>
  <c r="X85" i="1"/>
  <c r="X86" i="1"/>
  <c r="AN86" i="1" s="1"/>
  <c r="X87" i="1"/>
  <c r="X88" i="1"/>
  <c r="AN88" i="1" s="1"/>
  <c r="X89" i="1"/>
  <c r="X90" i="1"/>
  <c r="AN90" i="1" s="1"/>
  <c r="X91" i="1"/>
  <c r="X92" i="1"/>
  <c r="AN92" i="1" s="1"/>
  <c r="X93" i="1"/>
  <c r="X94" i="1"/>
  <c r="AN94" i="1" s="1"/>
  <c r="X95" i="1"/>
  <c r="X96" i="1"/>
  <c r="AN96" i="1" s="1"/>
  <c r="X6" i="1"/>
  <c r="AN6" i="1" s="1"/>
  <c r="AN7" i="1"/>
  <c r="AN9" i="1"/>
  <c r="AN11" i="1"/>
  <c r="AN13" i="1"/>
  <c r="AN15" i="1"/>
  <c r="AN17" i="1"/>
  <c r="AN19" i="1"/>
  <c r="AN21" i="1"/>
  <c r="AN23" i="1"/>
  <c r="AN25" i="1"/>
  <c r="AN27" i="1"/>
  <c r="AN29" i="1"/>
  <c r="AN31" i="1"/>
  <c r="AN33" i="1"/>
  <c r="AN35" i="1"/>
  <c r="AN37" i="1"/>
  <c r="AN39" i="1"/>
  <c r="AN41" i="1"/>
  <c r="AN43" i="1"/>
  <c r="AN45" i="1"/>
  <c r="AN47" i="1"/>
  <c r="AN49" i="1"/>
  <c r="AN51" i="1"/>
  <c r="AN53" i="1"/>
  <c r="AN55" i="1"/>
  <c r="AN57" i="1"/>
  <c r="AN59" i="1"/>
  <c r="AN61" i="1"/>
  <c r="AN63" i="1"/>
  <c r="AN65" i="1"/>
  <c r="AN67" i="1"/>
  <c r="AN69" i="1"/>
  <c r="AN71" i="1"/>
  <c r="AN73" i="1"/>
  <c r="AN77" i="1"/>
  <c r="AN79" i="1"/>
  <c r="AN81" i="1"/>
  <c r="AN83" i="1"/>
  <c r="AN85" i="1"/>
  <c r="AN87" i="1"/>
  <c r="AN89" i="1"/>
  <c r="AN91" i="1"/>
  <c r="AN93" i="1"/>
  <c r="AN95" i="1"/>
  <c r="AM10" i="1"/>
  <c r="AM7" i="1"/>
  <c r="AM8" i="1"/>
  <c r="AM9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6" i="1"/>
  <c r="W5" i="1"/>
  <c r="X5" i="1" l="1"/>
  <c r="AN5" i="1"/>
  <c r="T67" i="1"/>
  <c r="T34" i="1"/>
  <c r="T7" i="1"/>
  <c r="T8" i="1"/>
  <c r="V8" i="1" s="1"/>
  <c r="T11" i="1"/>
  <c r="T12" i="1"/>
  <c r="V12" i="1" s="1"/>
  <c r="T13" i="1"/>
  <c r="T16" i="1"/>
  <c r="V16" i="1" s="1"/>
  <c r="T19" i="1"/>
  <c r="T23" i="1"/>
  <c r="T24" i="1"/>
  <c r="V24" i="1" s="1"/>
  <c r="T25" i="1"/>
  <c r="V25" i="1" s="1"/>
  <c r="T27" i="1"/>
  <c r="T28" i="1"/>
  <c r="V28" i="1" s="1"/>
  <c r="T30" i="1"/>
  <c r="V30" i="1" s="1"/>
  <c r="T36" i="1"/>
  <c r="V36" i="1" s="1"/>
  <c r="T39" i="1"/>
  <c r="T40" i="1"/>
  <c r="V40" i="1" s="1"/>
  <c r="T43" i="1"/>
  <c r="T46" i="1"/>
  <c r="V46" i="1" s="1"/>
  <c r="T48" i="1"/>
  <c r="V48" i="1" s="1"/>
  <c r="T51" i="1"/>
  <c r="V51" i="1" s="1"/>
  <c r="T52" i="1"/>
  <c r="V52" i="1" s="1"/>
  <c r="T53" i="1"/>
  <c r="T56" i="1"/>
  <c r="V56" i="1" s="1"/>
  <c r="T57" i="1"/>
  <c r="V57" i="1" s="1"/>
  <c r="T58" i="1"/>
  <c r="V58" i="1" s="1"/>
  <c r="T59" i="1"/>
  <c r="V59" i="1" s="1"/>
  <c r="T65" i="1"/>
  <c r="T66" i="1"/>
  <c r="V66" i="1" s="1"/>
  <c r="T68" i="1"/>
  <c r="V68" i="1" s="1"/>
  <c r="T69" i="1"/>
  <c r="V69" i="1" s="1"/>
  <c r="T70" i="1"/>
  <c r="V70" i="1" s="1"/>
  <c r="T72" i="1"/>
  <c r="V72" i="1" s="1"/>
  <c r="T73" i="1"/>
  <c r="T74" i="1"/>
  <c r="V74" i="1" s="1"/>
  <c r="T78" i="1"/>
  <c r="V78" i="1" s="1"/>
  <c r="T79" i="1"/>
  <c r="V79" i="1" s="1"/>
  <c r="T80" i="1"/>
  <c r="V80" i="1" s="1"/>
  <c r="T81" i="1"/>
  <c r="V81" i="1" s="1"/>
  <c r="T82" i="1"/>
  <c r="V82" i="1" s="1"/>
  <c r="T84" i="1"/>
  <c r="V84" i="1" s="1"/>
  <c r="T85" i="1"/>
  <c r="T86" i="1"/>
  <c r="V86" i="1" s="1"/>
  <c r="T87" i="1"/>
  <c r="T89" i="1"/>
  <c r="V89" i="1" s="1"/>
  <c r="T92" i="1"/>
  <c r="V92" i="1" s="1"/>
  <c r="T93" i="1"/>
  <c r="V93" i="1" s="1"/>
  <c r="T94" i="1"/>
  <c r="V94" i="1" s="1"/>
  <c r="T95" i="1"/>
  <c r="V95" i="1" s="1"/>
  <c r="T96" i="1"/>
  <c r="V96" i="1" s="1"/>
  <c r="V7" i="1"/>
  <c r="V11" i="1"/>
  <c r="V13" i="1"/>
  <c r="V19" i="1"/>
  <c r="V23" i="1"/>
  <c r="V27" i="1"/>
  <c r="V39" i="1"/>
  <c r="V43" i="1"/>
  <c r="V53" i="1"/>
  <c r="V65" i="1"/>
  <c r="V73" i="1"/>
  <c r="V85" i="1"/>
  <c r="V87" i="1"/>
  <c r="R7" i="1" l="1"/>
  <c r="AB7" i="1" s="1"/>
  <c r="R8" i="1"/>
  <c r="AC8" i="1" s="1"/>
  <c r="R9" i="1"/>
  <c r="R10" i="1"/>
  <c r="U10" i="1" s="1"/>
  <c r="R11" i="1"/>
  <c r="AB11" i="1" s="1"/>
  <c r="R12" i="1"/>
  <c r="AB12" i="1" s="1"/>
  <c r="R13" i="1"/>
  <c r="AB13" i="1" s="1"/>
  <c r="R14" i="1"/>
  <c r="R15" i="1"/>
  <c r="R16" i="1"/>
  <c r="AB16" i="1" s="1"/>
  <c r="R17" i="1"/>
  <c r="U17" i="1" s="1"/>
  <c r="R18" i="1"/>
  <c r="R19" i="1"/>
  <c r="AB19" i="1" s="1"/>
  <c r="R20" i="1"/>
  <c r="U20" i="1" s="1"/>
  <c r="R21" i="1"/>
  <c r="R22" i="1"/>
  <c r="R23" i="1"/>
  <c r="AB23" i="1" s="1"/>
  <c r="R24" i="1"/>
  <c r="AB24" i="1" s="1"/>
  <c r="R25" i="1"/>
  <c r="AB25" i="1" s="1"/>
  <c r="R26" i="1"/>
  <c r="S26" i="1" s="1"/>
  <c r="T26" i="1" s="1"/>
  <c r="V26" i="1" s="1"/>
  <c r="AB26" i="1" s="1"/>
  <c r="R27" i="1"/>
  <c r="AB27" i="1" s="1"/>
  <c r="R28" i="1"/>
  <c r="AB28" i="1" s="1"/>
  <c r="R29" i="1"/>
  <c r="R30" i="1"/>
  <c r="AB30" i="1" s="1"/>
  <c r="R31" i="1"/>
  <c r="R32" i="1"/>
  <c r="R33" i="1"/>
  <c r="R34" i="1"/>
  <c r="R35" i="1"/>
  <c r="U35" i="1" s="1"/>
  <c r="R36" i="1"/>
  <c r="AB36" i="1" s="1"/>
  <c r="R37" i="1"/>
  <c r="S37" i="1" s="1"/>
  <c r="T37" i="1" s="1"/>
  <c r="V37" i="1" s="1"/>
  <c r="R38" i="1"/>
  <c r="R39" i="1"/>
  <c r="AB39" i="1" s="1"/>
  <c r="R40" i="1"/>
  <c r="AB40" i="1" s="1"/>
  <c r="R41" i="1"/>
  <c r="R42" i="1"/>
  <c r="S42" i="1" s="1"/>
  <c r="T42" i="1" s="1"/>
  <c r="V42" i="1" s="1"/>
  <c r="AB42" i="1" s="1"/>
  <c r="R43" i="1"/>
  <c r="AB43" i="1" s="1"/>
  <c r="R44" i="1"/>
  <c r="U44" i="1" s="1"/>
  <c r="R45" i="1"/>
  <c r="R46" i="1"/>
  <c r="AB46" i="1" s="1"/>
  <c r="R47" i="1"/>
  <c r="R48" i="1"/>
  <c r="AB48" i="1" s="1"/>
  <c r="R49" i="1"/>
  <c r="S49" i="1" s="1"/>
  <c r="T49" i="1" s="1"/>
  <c r="V49" i="1" s="1"/>
  <c r="R50" i="1"/>
  <c r="R51" i="1"/>
  <c r="AB51" i="1" s="1"/>
  <c r="R52" i="1"/>
  <c r="AB52" i="1" s="1"/>
  <c r="R53" i="1"/>
  <c r="AB53" i="1" s="1"/>
  <c r="R54" i="1"/>
  <c r="R55" i="1"/>
  <c r="R56" i="1"/>
  <c r="AB56" i="1" s="1"/>
  <c r="R57" i="1"/>
  <c r="AB57" i="1" s="1"/>
  <c r="R58" i="1"/>
  <c r="AB58" i="1" s="1"/>
  <c r="R59" i="1"/>
  <c r="AB59" i="1" s="1"/>
  <c r="R60" i="1"/>
  <c r="R61" i="1"/>
  <c r="U61" i="1" s="1"/>
  <c r="R62" i="1"/>
  <c r="R63" i="1"/>
  <c r="U63" i="1" s="1"/>
  <c r="R64" i="1"/>
  <c r="R65" i="1"/>
  <c r="AB65" i="1" s="1"/>
  <c r="R66" i="1"/>
  <c r="AB66" i="1" s="1"/>
  <c r="R67" i="1"/>
  <c r="S67" i="1" s="1"/>
  <c r="V67" i="1" s="1"/>
  <c r="R68" i="1"/>
  <c r="AB68" i="1" s="1"/>
  <c r="R69" i="1"/>
  <c r="AB69" i="1" s="1"/>
  <c r="R70" i="1"/>
  <c r="AB70" i="1" s="1"/>
  <c r="R71" i="1"/>
  <c r="R72" i="1"/>
  <c r="AB72" i="1" s="1"/>
  <c r="R73" i="1"/>
  <c r="AB73" i="1" s="1"/>
  <c r="R74" i="1"/>
  <c r="AB74" i="1" s="1"/>
  <c r="R75" i="1"/>
  <c r="R76" i="1"/>
  <c r="U76" i="1" s="1"/>
  <c r="R77" i="1"/>
  <c r="U77" i="1" s="1"/>
  <c r="R78" i="1"/>
  <c r="AB78" i="1" s="1"/>
  <c r="R79" i="1"/>
  <c r="AB79" i="1" s="1"/>
  <c r="R80" i="1"/>
  <c r="AB80" i="1" s="1"/>
  <c r="R81" i="1"/>
  <c r="AB81" i="1" s="1"/>
  <c r="R82" i="1"/>
  <c r="AB82" i="1" s="1"/>
  <c r="R83" i="1"/>
  <c r="R84" i="1"/>
  <c r="AB84" i="1" s="1"/>
  <c r="R85" i="1"/>
  <c r="AB85" i="1" s="1"/>
  <c r="R86" i="1"/>
  <c r="AB86" i="1" s="1"/>
  <c r="R87" i="1"/>
  <c r="AB87" i="1" s="1"/>
  <c r="R88" i="1"/>
  <c r="R89" i="1"/>
  <c r="AB89" i="1" s="1"/>
  <c r="R90" i="1"/>
  <c r="S90" i="1" s="1"/>
  <c r="T90" i="1" s="1"/>
  <c r="V90" i="1" s="1"/>
  <c r="R91" i="1"/>
  <c r="S91" i="1" s="1"/>
  <c r="T91" i="1" s="1"/>
  <c r="V91" i="1" s="1"/>
  <c r="R92" i="1"/>
  <c r="AC92" i="1" s="1"/>
  <c r="R93" i="1"/>
  <c r="AB93" i="1" s="1"/>
  <c r="R94" i="1"/>
  <c r="AC94" i="1" s="1"/>
  <c r="R95" i="1"/>
  <c r="AB95" i="1" s="1"/>
  <c r="R96" i="1"/>
  <c r="AC96" i="1" s="1"/>
  <c r="R6" i="1"/>
  <c r="S6" i="1" s="1"/>
  <c r="T6" i="1" s="1"/>
  <c r="V6" i="1" s="1"/>
  <c r="AA5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Q5" i="1"/>
  <c r="P5" i="1"/>
  <c r="O5" i="1"/>
  <c r="N5" i="1"/>
  <c r="M5" i="1"/>
  <c r="K5" i="1"/>
  <c r="F5" i="1"/>
  <c r="E5" i="1"/>
  <c r="S75" i="1" l="1"/>
  <c r="T75" i="1" s="1"/>
  <c r="U75" i="1"/>
  <c r="S45" i="1"/>
  <c r="T45" i="1" s="1"/>
  <c r="U45" i="1"/>
  <c r="S33" i="1"/>
  <c r="T33" i="1" s="1"/>
  <c r="U33" i="1"/>
  <c r="S15" i="1"/>
  <c r="T15" i="1" s="1"/>
  <c r="U15" i="1"/>
  <c r="S88" i="1"/>
  <c r="T88" i="1" s="1"/>
  <c r="U88" i="1"/>
  <c r="S64" i="1"/>
  <c r="T64" i="1" s="1"/>
  <c r="U64" i="1"/>
  <c r="S62" i="1"/>
  <c r="T62" i="1" s="1"/>
  <c r="U62" i="1"/>
  <c r="S60" i="1"/>
  <c r="T60" i="1" s="1"/>
  <c r="U60" i="1"/>
  <c r="S54" i="1"/>
  <c r="T54" i="1" s="1"/>
  <c r="U54" i="1"/>
  <c r="AB6" i="1"/>
  <c r="AB90" i="1"/>
  <c r="AB94" i="1"/>
  <c r="AB91" i="1"/>
  <c r="AB67" i="1"/>
  <c r="AB49" i="1"/>
  <c r="AB37" i="1"/>
  <c r="AB8" i="1"/>
  <c r="AB92" i="1"/>
  <c r="AB96" i="1"/>
  <c r="S41" i="1"/>
  <c r="T41" i="1" s="1"/>
  <c r="V41" i="1" s="1"/>
  <c r="S29" i="1"/>
  <c r="T29" i="1" s="1"/>
  <c r="V29" i="1" s="1"/>
  <c r="AC95" i="1"/>
  <c r="AC93" i="1"/>
  <c r="S63" i="1"/>
  <c r="T63" i="1" s="1"/>
  <c r="V63" i="1" s="1"/>
  <c r="S61" i="1"/>
  <c r="T61" i="1" s="1"/>
  <c r="V61" i="1" s="1"/>
  <c r="S55" i="1"/>
  <c r="T55" i="1" s="1"/>
  <c r="V55" i="1" s="1"/>
  <c r="S9" i="1"/>
  <c r="T9" i="1" s="1"/>
  <c r="V9" i="1" s="1"/>
  <c r="S17" i="1"/>
  <c r="T17" i="1" s="1"/>
  <c r="V17" i="1" s="1"/>
  <c r="S21" i="1"/>
  <c r="T21" i="1" s="1"/>
  <c r="V21" i="1" s="1"/>
  <c r="S31" i="1"/>
  <c r="T31" i="1" s="1"/>
  <c r="V31" i="1" s="1"/>
  <c r="S35" i="1"/>
  <c r="T35" i="1" s="1"/>
  <c r="V35" i="1" s="1"/>
  <c r="S47" i="1"/>
  <c r="T47" i="1" s="1"/>
  <c r="V47" i="1" s="1"/>
  <c r="S71" i="1"/>
  <c r="T71" i="1" s="1"/>
  <c r="V71" i="1" s="1"/>
  <c r="S77" i="1"/>
  <c r="T77" i="1" s="1"/>
  <c r="V77" i="1" s="1"/>
  <c r="S83" i="1"/>
  <c r="T83" i="1" s="1"/>
  <c r="V83" i="1" s="1"/>
  <c r="S10" i="1"/>
  <c r="T10" i="1" s="1"/>
  <c r="V10" i="1" s="1"/>
  <c r="S14" i="1"/>
  <c r="T14" i="1" s="1"/>
  <c r="V14" i="1" s="1"/>
  <c r="S18" i="1"/>
  <c r="T18" i="1" s="1"/>
  <c r="V18" i="1" s="1"/>
  <c r="S20" i="1"/>
  <c r="T20" i="1" s="1"/>
  <c r="V20" i="1" s="1"/>
  <c r="S22" i="1"/>
  <c r="T22" i="1" s="1"/>
  <c r="V22" i="1" s="1"/>
  <c r="S32" i="1"/>
  <c r="T32" i="1" s="1"/>
  <c r="V32" i="1" s="1"/>
  <c r="S34" i="1"/>
  <c r="V34" i="1" s="1"/>
  <c r="S38" i="1"/>
  <c r="T38" i="1" s="1"/>
  <c r="V38" i="1" s="1"/>
  <c r="S44" i="1"/>
  <c r="T44" i="1" s="1"/>
  <c r="V44" i="1" s="1"/>
  <c r="S50" i="1"/>
  <c r="T50" i="1" s="1"/>
  <c r="V50" i="1" s="1"/>
  <c r="S76" i="1"/>
  <c r="T76" i="1" s="1"/>
  <c r="V76" i="1" s="1"/>
  <c r="AC86" i="1"/>
  <c r="AC78" i="1"/>
  <c r="AC70" i="1"/>
  <c r="AC62" i="1"/>
  <c r="AC54" i="1"/>
  <c r="AC46" i="1"/>
  <c r="AC38" i="1"/>
  <c r="AC30" i="1"/>
  <c r="AC22" i="1"/>
  <c r="AC14" i="1"/>
  <c r="AC90" i="1"/>
  <c r="AC82" i="1"/>
  <c r="AC74" i="1"/>
  <c r="AC66" i="1"/>
  <c r="AC58" i="1"/>
  <c r="AC50" i="1"/>
  <c r="AC42" i="1"/>
  <c r="AC34" i="1"/>
  <c r="AC26" i="1"/>
  <c r="AC18" i="1"/>
  <c r="AC10" i="1"/>
  <c r="AC88" i="1"/>
  <c r="AC84" i="1"/>
  <c r="AC80" i="1"/>
  <c r="AC76" i="1"/>
  <c r="AC72" i="1"/>
  <c r="AC68" i="1"/>
  <c r="AC64" i="1"/>
  <c r="AC60" i="1"/>
  <c r="AC56" i="1"/>
  <c r="AC52" i="1"/>
  <c r="AC48" i="1"/>
  <c r="AC44" i="1"/>
  <c r="AC40" i="1"/>
  <c r="AC36" i="1"/>
  <c r="AC32" i="1"/>
  <c r="AC28" i="1"/>
  <c r="AC24" i="1"/>
  <c r="AC20" i="1"/>
  <c r="AC16" i="1"/>
  <c r="AC12" i="1"/>
  <c r="AC6" i="1"/>
  <c r="L5" i="1"/>
  <c r="R5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U5" i="1" l="1"/>
  <c r="V54" i="1"/>
  <c r="AB54" i="1" s="1"/>
  <c r="V60" i="1"/>
  <c r="AB60" i="1" s="1"/>
  <c r="V62" i="1"/>
  <c r="V64" i="1"/>
  <c r="AB64" i="1" s="1"/>
  <c r="V88" i="1"/>
  <c r="V15" i="1"/>
  <c r="V33" i="1"/>
  <c r="V45" i="1"/>
  <c r="V75" i="1"/>
  <c r="AB15" i="1"/>
  <c r="AB76" i="1"/>
  <c r="AB44" i="1"/>
  <c r="AB34" i="1"/>
  <c r="AB22" i="1"/>
  <c r="AB18" i="1"/>
  <c r="AB10" i="1"/>
  <c r="AB77" i="1"/>
  <c r="AB47" i="1"/>
  <c r="AB31" i="1"/>
  <c r="AB17" i="1"/>
  <c r="AB55" i="1"/>
  <c r="AB63" i="1"/>
  <c r="AB41" i="1"/>
  <c r="AB50" i="1"/>
  <c r="AB38" i="1"/>
  <c r="AB32" i="1"/>
  <c r="AB20" i="1"/>
  <c r="AB14" i="1"/>
  <c r="AB83" i="1"/>
  <c r="AB71" i="1"/>
  <c r="AB35" i="1"/>
  <c r="AB21" i="1"/>
  <c r="AB9" i="1"/>
  <c r="AB61" i="1"/>
  <c r="AB29" i="1"/>
  <c r="T5" i="1"/>
  <c r="S5" i="1"/>
  <c r="V5" i="1" l="1"/>
  <c r="AB45" i="1"/>
  <c r="AB75" i="1"/>
  <c r="AB33" i="1"/>
  <c r="AB88" i="1"/>
  <c r="AB62" i="1"/>
  <c r="AM5" i="1"/>
</calcChain>
</file>

<file path=xl/sharedStrings.xml><?xml version="1.0" encoding="utf-8"?>
<sst xmlns="http://schemas.openxmlformats.org/spreadsheetml/2006/main" count="379" uniqueCount="162">
  <si>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</si>
  <si>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</si>
  <si>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</si>
  <si>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</si>
  <si>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</si>
  <si>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</si>
  <si>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</si>
  <si>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</si>
  <si>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</si>
  <si>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</si>
  <si>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</si>
  <si>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</si>
  <si>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</si>
  <si>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</si>
  <si>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</si>
  <si>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</si>
  <si>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</si>
  <si>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</si>
  <si>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</si>
  <si>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</si>
  <si>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</si>
  <si>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</si>
  <si>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</si>
  <si>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</si>
  <si>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22,11,</t>
  </si>
  <si>
    <t>24,11,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</si>
  <si>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</si>
  <si>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</si>
  <si>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</si>
  <si>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</si>
  <si>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</si>
  <si>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</si>
  <si>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</si>
  <si>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</si>
  <si>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</si>
  <si>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</si>
  <si>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</si>
  <si>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</si>
  <si>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</si>
  <si>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</si>
  <si>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</si>
  <si>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</si>
  <si>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</si>
  <si>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</si>
  <si>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</si>
  <si>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</si>
  <si>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</si>
  <si>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</si>
  <si>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</si>
  <si>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</si>
  <si>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</si>
  <si>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</si>
  <si>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</si>
  <si>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</si>
  <si>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</si>
  <si>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</si>
  <si>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</si>
  <si>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</si>
  <si>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</si>
  <si>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</si>
  <si>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</si>
  <si>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</si>
  <si>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</si>
  <si>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</si>
  <si>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</si>
  <si>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</si>
  <si>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</si>
  <si>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</si>
  <si>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</si>
  <si>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</si>
  <si>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</si>
  <si>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</si>
  <si>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</si>
  <si>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</si>
  <si>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</si>
  <si>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</si>
  <si>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</si>
  <si>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</si>
  <si>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</si>
  <si>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</si>
  <si>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</si>
  <si>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</si>
  <si>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</si>
  <si>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</si>
  <si>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</si>
  <si>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</si>
  <si>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</si>
  <si>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</si>
  <si>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</si>
  <si>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</si>
  <si>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</si>
  <si>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</si>
  <si>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</si>
  <si>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</si>
  <si>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</si>
  <si>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</si>
  <si>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</si>
  <si>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</si>
  <si>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</si>
  <si>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</si>
  <si>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</si>
  <si>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</si>
  <si>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</si>
  <si>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</si>
  <si>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</si>
  <si>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</si>
  <si>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</si>
  <si>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</si>
  <si>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</si>
  <si>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</si>
  <si>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</si>
  <si>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</si>
  <si>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</si>
  <si>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 29,10,25 заказываем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</si>
  <si>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</si>
  <si>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</si>
  <si>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</si>
  <si>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</si>
  <si>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</si>
  <si>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</si>
  <si>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</si>
  <si>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</si>
  <si>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</si>
  <si>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</si>
  <si>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</si>
  <si>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</si>
  <si>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</si>
  <si>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</si>
  <si>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</si>
  <si>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</si>
  <si>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</si>
  <si>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</si>
  <si>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</si>
  <si>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</si>
  <si>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</si>
  <si>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</si>
  <si>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</si>
  <si>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</si>
  <si>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</si>
  <si>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</si>
  <si>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</si>
  <si>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</si>
  <si>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</si>
  <si>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</si>
  <si>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</si>
  <si>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</si>
  <si>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</si>
  <si>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</si>
  <si>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</si>
  <si>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</si>
  <si>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t>нужно увеличить продажи</t>
  </si>
  <si>
    <t>нужно увеличить продажи / ТМА ноябрь_декабрь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</si>
  <si>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</si>
  <si>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03,10,25 снова в бланке</t>
    </r>
  </si>
  <si>
    <t>ПРОМ Мера с 01.12.25</t>
  </si>
  <si>
    <t>ВНИМАНИЕ / матрица</t>
  </si>
  <si>
    <t>с учетом ТК</t>
  </si>
  <si>
    <t>до машины</t>
  </si>
  <si>
    <t>итого</t>
  </si>
  <si>
    <t>заказ</t>
  </si>
  <si>
    <t>01,12,(1)</t>
  </si>
  <si>
    <t>01,12,(2)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</si>
</sst>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7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1" fillId="9" borderId="2" xfId="1" applyNumberFormat="1" applyFill="1" applyBorder="1"/>
    <xf numFmtId="164" fontId="6" fillId="7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6" sqref="Z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5" width="7" customWidth="1"/>
    <col min="26" max="26" width="10.42578125" customWidth="1"/>
    <col min="27" max="27" width="7" customWidth="1"/>
    <col min="28" max="29" width="5" customWidth="1"/>
    <col min="30" max="37" width="6" customWidth="1"/>
    <col min="38" max="38" width="13.42578125" customWidth="1"/>
    <col min="39" max="40" width="7" customWidth="1"/>
    <col min="41" max="57" width="8" customWidth="1"/>
  </cols>
  <sheetData>
    <row r="1" spans="1:57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4">
        <v>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156</v>
      </c>
      <c r="U3" s="3" t="s">
        <v>157</v>
      </c>
      <c r="V3" s="3" t="s">
        <v>158</v>
      </c>
      <c r="W3" s="3" t="s">
        <v>159</v>
      </c>
      <c r="X3" s="3" t="s">
        <v>159</v>
      </c>
      <c r="Y3" s="7" t="s">
        <v>17</v>
      </c>
      <c r="Z3" s="7" t="s">
        <v>18</v>
      </c>
      <c r="AA3" s="10" t="s">
        <v>148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 t="s">
        <v>160</v>
      </c>
      <c r="X4" s="1" t="s">
        <v>161</v>
      </c>
      <c r="Y4" s="1"/>
      <c r="Z4" s="1"/>
      <c r="AA4" s="1"/>
      <c r="AB4" s="1"/>
      <c r="AC4" s="1"/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/>
      <c r="AM4" s="1" t="s">
        <v>160</v>
      </c>
      <c r="AN4" s="1" t="s">
        <v>161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"/>
      <c r="B5" s="1"/>
      <c r="C5" s="1"/>
      <c r="D5" s="1"/>
      <c r="E5" s="4">
        <f>SUM(E6:E500)</f>
        <v>10727.931000000002</v>
      </c>
      <c r="F5" s="4">
        <f>SUM(F6:F500)</f>
        <v>8248.5969999999998</v>
      </c>
      <c r="G5" s="8"/>
      <c r="H5" s="1"/>
      <c r="I5" s="1"/>
      <c r="J5" s="1"/>
      <c r="K5" s="4">
        <f t="shared" ref="K5:AA5" si="0">SUM(K6:K500)</f>
        <v>11016.045</v>
      </c>
      <c r="L5" s="4">
        <f t="shared" si="0"/>
        <v>-288.11400000000009</v>
      </c>
      <c r="M5" s="4">
        <f t="shared" si="0"/>
        <v>0</v>
      </c>
      <c r="N5" s="4">
        <f t="shared" si="0"/>
        <v>0</v>
      </c>
      <c r="O5" s="4">
        <f t="shared" si="0"/>
        <v>8403.9825800000035</v>
      </c>
      <c r="P5" s="4">
        <f t="shared" si="0"/>
        <v>2591.6315399999985</v>
      </c>
      <c r="Q5" s="4">
        <f t="shared" si="0"/>
        <v>4329.015980000001</v>
      </c>
      <c r="R5" s="4">
        <f t="shared" si="0"/>
        <v>2145.5862000000011</v>
      </c>
      <c r="S5" s="4">
        <f t="shared" si="0"/>
        <v>5092.8085000000001</v>
      </c>
      <c r="T5" s="4">
        <f t="shared" si="0"/>
        <v>5226.4084999999995</v>
      </c>
      <c r="U5" s="4">
        <f t="shared" si="0"/>
        <v>1535.9110000000001</v>
      </c>
      <c r="V5" s="4">
        <f t="shared" si="0"/>
        <v>6762.3195000000005</v>
      </c>
      <c r="W5" s="4">
        <f t="shared" si="0"/>
        <v>500</v>
      </c>
      <c r="X5" s="4">
        <f t="shared" ref="X5" si="1">SUM(X6:X500)</f>
        <v>6262.3195000000005</v>
      </c>
      <c r="Y5" s="4">
        <f t="shared" si="0"/>
        <v>180</v>
      </c>
      <c r="Z5" s="1"/>
      <c r="AA5" s="4">
        <f t="shared" si="0"/>
        <v>0</v>
      </c>
      <c r="AB5" s="1"/>
      <c r="AC5" s="1"/>
      <c r="AD5" s="4">
        <f t="shared" ref="AD5:AK5" si="2">SUM(AD6:AD500)</f>
        <v>2059.7105999999999</v>
      </c>
      <c r="AE5" s="4">
        <f t="shared" si="2"/>
        <v>2202.6275999999998</v>
      </c>
      <c r="AF5" s="4">
        <f t="shared" si="2"/>
        <v>2512.7852000000003</v>
      </c>
      <c r="AG5" s="4">
        <f t="shared" si="2"/>
        <v>2404.3861999999999</v>
      </c>
      <c r="AH5" s="4">
        <f t="shared" si="2"/>
        <v>2088.7852000000007</v>
      </c>
      <c r="AI5" s="4">
        <f t="shared" si="2"/>
        <v>1927.2731999999994</v>
      </c>
      <c r="AJ5" s="4">
        <f t="shared" si="2"/>
        <v>1931.2177999999999</v>
      </c>
      <c r="AK5" s="4">
        <f t="shared" si="2"/>
        <v>2321.7342000000003</v>
      </c>
      <c r="AL5" s="1"/>
      <c r="AM5" s="4">
        <f>SUM(AM6:AM500)</f>
        <v>500</v>
      </c>
      <c r="AN5" s="4">
        <f>SUM(AN6:AN500)</f>
        <v>4592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" t="s">
        <v>36</v>
      </c>
      <c r="B6" s="1" t="s">
        <v>37</v>
      </c>
      <c r="C6" s="1">
        <v>57.283000000000001</v>
      </c>
      <c r="D6" s="1">
        <v>54.262999999999998</v>
      </c>
      <c r="E6" s="1">
        <v>110.517</v>
      </c>
      <c r="F6" s="1">
        <v>2.1999999999999999E-2</v>
      </c>
      <c r="G6" s="8">
        <v>1</v>
      </c>
      <c r="H6" s="1">
        <v>50</v>
      </c>
      <c r="I6" s="1" t="s">
        <v>38</v>
      </c>
      <c r="J6" s="1"/>
      <c r="K6" s="1">
        <v>110.3</v>
      </c>
      <c r="L6" s="1">
        <f t="shared" ref="L6:L37" si="3">E6-K6</f>
        <v>0.21699999999999875</v>
      </c>
      <c r="M6" s="1"/>
      <c r="N6" s="1"/>
      <c r="O6" s="1">
        <v>134.6848</v>
      </c>
      <c r="P6" s="1">
        <v>14.24080000000002</v>
      </c>
      <c r="Q6" s="1">
        <v>29.898600000000041</v>
      </c>
      <c r="R6" s="1">
        <f>E6/5</f>
        <v>22.103400000000001</v>
      </c>
      <c r="S6" s="5">
        <f>12*R6-Q6-P6-O6-F6</f>
        <v>86.394599999999983</v>
      </c>
      <c r="T6" s="5">
        <f>S6</f>
        <v>86.394599999999983</v>
      </c>
      <c r="U6" s="5"/>
      <c r="V6" s="5">
        <f>U6+T6</f>
        <v>86.394599999999983</v>
      </c>
      <c r="W6" s="5"/>
      <c r="X6" s="5">
        <f>V6-W6</f>
        <v>86.394599999999983</v>
      </c>
      <c r="Y6" s="5"/>
      <c r="Z6" s="1"/>
      <c r="AA6" s="1"/>
      <c r="AB6" s="1">
        <f>(F6+O6+P6+Q6+V6)/R6</f>
        <v>12.000000000000002</v>
      </c>
      <c r="AC6" s="1">
        <f>(F6+O6+P6+Q6)/R6</f>
        <v>8.0913434132305451</v>
      </c>
      <c r="AD6" s="1">
        <v>19.587199999999999</v>
      </c>
      <c r="AE6" s="1">
        <v>20.831199999999999</v>
      </c>
      <c r="AF6" s="1">
        <v>23.738600000000002</v>
      </c>
      <c r="AG6" s="1">
        <v>17.1004</v>
      </c>
      <c r="AH6" s="1">
        <v>17.651599999999998</v>
      </c>
      <c r="AI6" s="1">
        <v>19.516400000000001</v>
      </c>
      <c r="AJ6" s="1">
        <v>14.5044</v>
      </c>
      <c r="AK6" s="1">
        <v>22.097799999999999</v>
      </c>
      <c r="AL6" s="1"/>
      <c r="AM6" s="1">
        <f>ROUND(W6*G6,0)</f>
        <v>0</v>
      </c>
      <c r="AN6" s="1">
        <f>ROUND(X6*G6,0)</f>
        <v>86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" t="s">
        <v>39</v>
      </c>
      <c r="B7" s="1" t="s">
        <v>37</v>
      </c>
      <c r="C7" s="1">
        <v>155.40199999999999</v>
      </c>
      <c r="D7" s="1">
        <v>142.43199999999999</v>
      </c>
      <c r="E7" s="1">
        <v>67.522999999999996</v>
      </c>
      <c r="F7" s="1">
        <v>94.944000000000003</v>
      </c>
      <c r="G7" s="8">
        <v>1</v>
      </c>
      <c r="H7" s="1">
        <v>45</v>
      </c>
      <c r="I7" s="1" t="s">
        <v>38</v>
      </c>
      <c r="J7" s="1"/>
      <c r="K7" s="1">
        <v>63.7</v>
      </c>
      <c r="L7" s="1">
        <f t="shared" si="3"/>
        <v>3.8229999999999933</v>
      </c>
      <c r="M7" s="1"/>
      <c r="N7" s="1"/>
      <c r="O7" s="1">
        <v>0</v>
      </c>
      <c r="P7" s="1">
        <v>0</v>
      </c>
      <c r="Q7" s="1">
        <v>77.924399999999977</v>
      </c>
      <c r="R7" s="1">
        <f t="shared" ref="R7:R70" si="4">E7/5</f>
        <v>13.5046</v>
      </c>
      <c r="S7" s="5"/>
      <c r="T7" s="5">
        <f t="shared" ref="T7:T70" si="5">S7</f>
        <v>0</v>
      </c>
      <c r="U7" s="5"/>
      <c r="V7" s="5">
        <f t="shared" ref="V7:V70" si="6">U7+T7</f>
        <v>0</v>
      </c>
      <c r="W7" s="5"/>
      <c r="X7" s="5">
        <f t="shared" ref="X7:X70" si="7">V7-W7</f>
        <v>0</v>
      </c>
      <c r="Y7" s="5"/>
      <c r="Z7" s="1"/>
      <c r="AA7" s="1"/>
      <c r="AB7" s="1">
        <f t="shared" ref="AB7:AB70" si="8">(F7+O7+P7+Q7+V7)/R7</f>
        <v>12.800704944981709</v>
      </c>
      <c r="AC7" s="1">
        <f t="shared" ref="AC7:AC70" si="9">(F7+O7+P7+Q7)/R7</f>
        <v>12.800704944981709</v>
      </c>
      <c r="AD7" s="1">
        <v>16.084399999999999</v>
      </c>
      <c r="AE7" s="1">
        <v>6.0244</v>
      </c>
      <c r="AF7" s="1">
        <v>3.5636000000000001</v>
      </c>
      <c r="AG7" s="1">
        <v>11.3546</v>
      </c>
      <c r="AH7" s="1">
        <v>18.198</v>
      </c>
      <c r="AI7" s="1">
        <v>11.243600000000001</v>
      </c>
      <c r="AJ7" s="1">
        <v>14.307600000000001</v>
      </c>
      <c r="AK7" s="1">
        <v>13.9976</v>
      </c>
      <c r="AL7" s="1" t="s">
        <v>40</v>
      </c>
      <c r="AM7" s="1">
        <f t="shared" ref="AM7:AN70" si="10">ROUND(W7*G7,0)</f>
        <v>0</v>
      </c>
      <c r="AN7" s="1">
        <f t="shared" ref="AN7:AN70" si="11">ROUND(X7*G7,0)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" t="s">
        <v>41</v>
      </c>
      <c r="B8" s="1" t="s">
        <v>37</v>
      </c>
      <c r="C8" s="1">
        <v>28.355</v>
      </c>
      <c r="D8" s="1">
        <v>42.613999999999997</v>
      </c>
      <c r="E8" s="1">
        <v>45.34</v>
      </c>
      <c r="F8" s="1">
        <v>9.44</v>
      </c>
      <c r="G8" s="8">
        <v>1</v>
      </c>
      <c r="H8" s="1">
        <v>45</v>
      </c>
      <c r="I8" s="1" t="s">
        <v>38</v>
      </c>
      <c r="J8" s="1"/>
      <c r="K8" s="1">
        <v>50.2</v>
      </c>
      <c r="L8" s="1">
        <f t="shared" si="3"/>
        <v>-4.8599999999999994</v>
      </c>
      <c r="M8" s="1"/>
      <c r="N8" s="1"/>
      <c r="O8" s="1">
        <v>88.366600000000034</v>
      </c>
      <c r="P8" s="1">
        <v>44.050399999999932</v>
      </c>
      <c r="Q8" s="1">
        <v>0</v>
      </c>
      <c r="R8" s="1">
        <f t="shared" si="4"/>
        <v>9.0680000000000014</v>
      </c>
      <c r="S8" s="5"/>
      <c r="T8" s="5">
        <f t="shared" si="5"/>
        <v>0</v>
      </c>
      <c r="U8" s="5"/>
      <c r="V8" s="5">
        <f t="shared" si="6"/>
        <v>0</v>
      </c>
      <c r="W8" s="5"/>
      <c r="X8" s="5">
        <f t="shared" si="7"/>
        <v>0</v>
      </c>
      <c r="Y8" s="5"/>
      <c r="Z8" s="1"/>
      <c r="AA8" s="1"/>
      <c r="AB8" s="1">
        <f t="shared" si="8"/>
        <v>15.643692104102332</v>
      </c>
      <c r="AC8" s="1">
        <f t="shared" si="9"/>
        <v>15.643692104102332</v>
      </c>
      <c r="AD8" s="1">
        <v>8.5060000000000002</v>
      </c>
      <c r="AE8" s="1">
        <v>14.9778</v>
      </c>
      <c r="AF8" s="1">
        <v>15.8192</v>
      </c>
      <c r="AG8" s="1">
        <v>9.6616</v>
      </c>
      <c r="AH8" s="1">
        <v>10.4476</v>
      </c>
      <c r="AI8" s="1">
        <v>11.976800000000001</v>
      </c>
      <c r="AJ8" s="1">
        <v>9.2382000000000009</v>
      </c>
      <c r="AK8" s="1">
        <v>14.6676</v>
      </c>
      <c r="AL8" s="1"/>
      <c r="AM8" s="1">
        <f t="shared" si="10"/>
        <v>0</v>
      </c>
      <c r="AN8" s="1">
        <f t="shared" si="11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" t="s">
        <v>42</v>
      </c>
      <c r="B9" s="1" t="s">
        <v>43</v>
      </c>
      <c r="C9" s="1">
        <v>-1</v>
      </c>
      <c r="D9" s="1">
        <v>224</v>
      </c>
      <c r="E9" s="1">
        <v>133</v>
      </c>
      <c r="F9" s="1">
        <v>48</v>
      </c>
      <c r="G9" s="8">
        <v>0.45</v>
      </c>
      <c r="H9" s="1">
        <v>45</v>
      </c>
      <c r="I9" s="1" t="s">
        <v>38</v>
      </c>
      <c r="J9" s="1"/>
      <c r="K9" s="1">
        <v>166</v>
      </c>
      <c r="L9" s="1">
        <f t="shared" si="3"/>
        <v>-33</v>
      </c>
      <c r="M9" s="1"/>
      <c r="N9" s="1"/>
      <c r="O9" s="1">
        <v>198.12</v>
      </c>
      <c r="P9" s="1">
        <v>29.079999999999959</v>
      </c>
      <c r="Q9" s="1">
        <v>0</v>
      </c>
      <c r="R9" s="1">
        <f t="shared" si="4"/>
        <v>26.6</v>
      </c>
      <c r="S9" s="5">
        <f t="shared" ref="S9:S22" si="12">12*R9-Q9-P9-O9-F9</f>
        <v>44.000000000000057</v>
      </c>
      <c r="T9" s="5">
        <f t="shared" si="5"/>
        <v>44.000000000000057</v>
      </c>
      <c r="U9" s="5"/>
      <c r="V9" s="5">
        <f t="shared" si="6"/>
        <v>44.000000000000057</v>
      </c>
      <c r="W9" s="5"/>
      <c r="X9" s="5">
        <f t="shared" si="7"/>
        <v>44.000000000000057</v>
      </c>
      <c r="Y9" s="5"/>
      <c r="Z9" s="1"/>
      <c r="AA9" s="1"/>
      <c r="AB9" s="1">
        <f t="shared" si="8"/>
        <v>12.000000000000002</v>
      </c>
      <c r="AC9" s="1">
        <f t="shared" si="9"/>
        <v>10.345864661654135</v>
      </c>
      <c r="AD9" s="1">
        <v>18.2</v>
      </c>
      <c r="AE9" s="1">
        <v>36.799999999999997</v>
      </c>
      <c r="AF9" s="1">
        <v>41.4</v>
      </c>
      <c r="AG9" s="1">
        <v>33.200000000000003</v>
      </c>
      <c r="AH9" s="1">
        <v>14.8</v>
      </c>
      <c r="AI9" s="1">
        <v>18.2</v>
      </c>
      <c r="AJ9" s="1">
        <v>23.8</v>
      </c>
      <c r="AK9" s="1">
        <v>36</v>
      </c>
      <c r="AL9" s="1" t="s">
        <v>40</v>
      </c>
      <c r="AM9" s="1">
        <f t="shared" si="10"/>
        <v>0</v>
      </c>
      <c r="AN9" s="1">
        <f t="shared" si="11"/>
        <v>20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" t="s">
        <v>44</v>
      </c>
      <c r="B10" s="1" t="s">
        <v>43</v>
      </c>
      <c r="C10" s="1">
        <v>68</v>
      </c>
      <c r="D10" s="1">
        <v>302</v>
      </c>
      <c r="E10" s="1">
        <v>267</v>
      </c>
      <c r="F10" s="1">
        <v>51</v>
      </c>
      <c r="G10" s="8">
        <v>0.45</v>
      </c>
      <c r="H10" s="1">
        <v>45</v>
      </c>
      <c r="I10" s="1" t="s">
        <v>38</v>
      </c>
      <c r="J10" s="1"/>
      <c r="K10" s="1">
        <v>273</v>
      </c>
      <c r="L10" s="1">
        <f t="shared" si="3"/>
        <v>-6</v>
      </c>
      <c r="M10" s="1"/>
      <c r="N10" s="1"/>
      <c r="O10" s="1">
        <v>381.16</v>
      </c>
      <c r="P10" s="1">
        <v>0</v>
      </c>
      <c r="Q10" s="1">
        <v>0</v>
      </c>
      <c r="R10" s="1">
        <f t="shared" si="4"/>
        <v>53.4</v>
      </c>
      <c r="S10" s="5">
        <f t="shared" si="12"/>
        <v>208.63999999999993</v>
      </c>
      <c r="T10" s="5">
        <f t="shared" si="5"/>
        <v>208.63999999999993</v>
      </c>
      <c r="U10" s="5">
        <f>$U$1*R10</f>
        <v>53.4</v>
      </c>
      <c r="V10" s="5">
        <f t="shared" si="6"/>
        <v>262.03999999999991</v>
      </c>
      <c r="W10" s="5"/>
      <c r="X10" s="5">
        <f t="shared" si="7"/>
        <v>262.03999999999991</v>
      </c>
      <c r="Y10" s="5"/>
      <c r="Z10" s="1"/>
      <c r="AA10" s="1"/>
      <c r="AB10" s="1">
        <f t="shared" si="8"/>
        <v>12.999999999999998</v>
      </c>
      <c r="AC10" s="1">
        <f t="shared" si="9"/>
        <v>8.0928838951310862</v>
      </c>
      <c r="AD10" s="1">
        <v>48</v>
      </c>
      <c r="AE10" s="1">
        <v>50.4</v>
      </c>
      <c r="AF10" s="1">
        <v>70.2</v>
      </c>
      <c r="AG10" s="1">
        <v>50.6</v>
      </c>
      <c r="AH10" s="1">
        <v>37.799999999999997</v>
      </c>
      <c r="AI10" s="1">
        <v>33.799999999999997</v>
      </c>
      <c r="AJ10" s="1">
        <v>17.8</v>
      </c>
      <c r="AK10" s="1">
        <v>42</v>
      </c>
      <c r="AL10" s="1"/>
      <c r="AM10" s="1">
        <f>ROUND(W10*G10,0)</f>
        <v>0</v>
      </c>
      <c r="AN10" s="1">
        <f t="shared" si="11"/>
        <v>118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" t="s">
        <v>45</v>
      </c>
      <c r="B11" s="1" t="s">
        <v>43</v>
      </c>
      <c r="C11" s="1">
        <v>23</v>
      </c>
      <c r="D11" s="1">
        <v>34</v>
      </c>
      <c r="E11" s="1">
        <v>12</v>
      </c>
      <c r="F11" s="1">
        <v>36</v>
      </c>
      <c r="G11" s="8">
        <v>0.17</v>
      </c>
      <c r="H11" s="1">
        <v>180</v>
      </c>
      <c r="I11" s="1" t="s">
        <v>38</v>
      </c>
      <c r="J11" s="1"/>
      <c r="K11" s="1">
        <v>12</v>
      </c>
      <c r="L11" s="1">
        <f t="shared" si="3"/>
        <v>0</v>
      </c>
      <c r="M11" s="1"/>
      <c r="N11" s="1"/>
      <c r="O11" s="1">
        <v>6</v>
      </c>
      <c r="P11" s="1">
        <v>0</v>
      </c>
      <c r="Q11" s="1">
        <v>0</v>
      </c>
      <c r="R11" s="1">
        <f t="shared" si="4"/>
        <v>2.4</v>
      </c>
      <c r="S11" s="5"/>
      <c r="T11" s="5">
        <f t="shared" si="5"/>
        <v>0</v>
      </c>
      <c r="U11" s="5"/>
      <c r="V11" s="5">
        <f t="shared" si="6"/>
        <v>0</v>
      </c>
      <c r="W11" s="5"/>
      <c r="X11" s="5">
        <f t="shared" si="7"/>
        <v>0</v>
      </c>
      <c r="Y11" s="5"/>
      <c r="Z11" s="1"/>
      <c r="AA11" s="1"/>
      <c r="AB11" s="1">
        <f t="shared" si="8"/>
        <v>17.5</v>
      </c>
      <c r="AC11" s="1">
        <f t="shared" si="9"/>
        <v>17.5</v>
      </c>
      <c r="AD11" s="1">
        <v>4.2</v>
      </c>
      <c r="AE11" s="1">
        <v>3.4</v>
      </c>
      <c r="AF11" s="1">
        <v>6.4</v>
      </c>
      <c r="AG11" s="1">
        <v>6</v>
      </c>
      <c r="AH11" s="1">
        <v>2.6</v>
      </c>
      <c r="AI11" s="1">
        <v>2.6</v>
      </c>
      <c r="AJ11" s="1">
        <v>1.8</v>
      </c>
      <c r="AK11" s="1">
        <v>2.6</v>
      </c>
      <c r="AL11" s="1"/>
      <c r="AM11" s="1">
        <f t="shared" si="10"/>
        <v>0</v>
      </c>
      <c r="AN11" s="1">
        <f t="shared" si="1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1" t="s">
        <v>46</v>
      </c>
      <c r="B12" s="1" t="s">
        <v>43</v>
      </c>
      <c r="C12" s="1">
        <v>11</v>
      </c>
      <c r="D12" s="1">
        <v>66</v>
      </c>
      <c r="E12" s="1">
        <v>15</v>
      </c>
      <c r="F12" s="1">
        <v>48</v>
      </c>
      <c r="G12" s="8">
        <v>0.3</v>
      </c>
      <c r="H12" s="1">
        <v>40</v>
      </c>
      <c r="I12" s="1" t="s">
        <v>38</v>
      </c>
      <c r="J12" s="1"/>
      <c r="K12" s="1">
        <v>16</v>
      </c>
      <c r="L12" s="1">
        <f t="shared" si="3"/>
        <v>-1</v>
      </c>
      <c r="M12" s="1"/>
      <c r="N12" s="1"/>
      <c r="O12" s="1">
        <v>26.799999999999979</v>
      </c>
      <c r="P12" s="1">
        <v>0</v>
      </c>
      <c r="Q12" s="1">
        <v>0</v>
      </c>
      <c r="R12" s="1">
        <f t="shared" si="4"/>
        <v>3</v>
      </c>
      <c r="S12" s="5"/>
      <c r="T12" s="5">
        <f t="shared" si="5"/>
        <v>0</v>
      </c>
      <c r="U12" s="5"/>
      <c r="V12" s="5">
        <f t="shared" si="6"/>
        <v>0</v>
      </c>
      <c r="W12" s="5"/>
      <c r="X12" s="5">
        <f t="shared" si="7"/>
        <v>0</v>
      </c>
      <c r="Y12" s="5"/>
      <c r="Z12" s="1"/>
      <c r="AA12" s="1"/>
      <c r="AB12" s="1">
        <f t="shared" si="8"/>
        <v>24.933333333333326</v>
      </c>
      <c r="AC12" s="1">
        <f t="shared" si="9"/>
        <v>24.933333333333326</v>
      </c>
      <c r="AD12" s="1">
        <v>2.6</v>
      </c>
      <c r="AE12" s="1">
        <v>6.2</v>
      </c>
      <c r="AF12" s="1">
        <v>8.1999999999999993</v>
      </c>
      <c r="AG12" s="1">
        <v>7.2</v>
      </c>
      <c r="AH12" s="1">
        <v>4.2</v>
      </c>
      <c r="AI12" s="1">
        <v>2.2000000000000002</v>
      </c>
      <c r="AJ12" s="1">
        <v>5.4</v>
      </c>
      <c r="AK12" s="1">
        <v>4.8</v>
      </c>
      <c r="AL12" s="15" t="s">
        <v>150</v>
      </c>
      <c r="AM12" s="1">
        <f t="shared" si="10"/>
        <v>0</v>
      </c>
      <c r="AN12" s="1">
        <f t="shared" si="11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1" t="s">
        <v>47</v>
      </c>
      <c r="B13" s="1" t="s">
        <v>43</v>
      </c>
      <c r="C13" s="1">
        <v>16</v>
      </c>
      <c r="D13" s="1">
        <v>61</v>
      </c>
      <c r="E13" s="1">
        <v>20</v>
      </c>
      <c r="F13" s="1">
        <v>52</v>
      </c>
      <c r="G13" s="8">
        <v>0.17</v>
      </c>
      <c r="H13" s="1">
        <v>180</v>
      </c>
      <c r="I13" s="1" t="s">
        <v>38</v>
      </c>
      <c r="J13" s="1"/>
      <c r="K13" s="1">
        <v>20</v>
      </c>
      <c r="L13" s="1">
        <f t="shared" si="3"/>
        <v>0</v>
      </c>
      <c r="M13" s="1"/>
      <c r="N13" s="1"/>
      <c r="O13" s="1">
        <v>8.1999999999999815</v>
      </c>
      <c r="P13" s="1">
        <v>0</v>
      </c>
      <c r="Q13" s="1">
        <v>0</v>
      </c>
      <c r="R13" s="1">
        <f t="shared" si="4"/>
        <v>4</v>
      </c>
      <c r="S13" s="5"/>
      <c r="T13" s="5">
        <f t="shared" si="5"/>
        <v>0</v>
      </c>
      <c r="U13" s="5"/>
      <c r="V13" s="5">
        <f t="shared" si="6"/>
        <v>0</v>
      </c>
      <c r="W13" s="5"/>
      <c r="X13" s="5">
        <f t="shared" si="7"/>
        <v>0</v>
      </c>
      <c r="Y13" s="5"/>
      <c r="Z13" s="1"/>
      <c r="AA13" s="1"/>
      <c r="AB13" s="1">
        <f t="shared" si="8"/>
        <v>15.049999999999995</v>
      </c>
      <c r="AC13" s="1">
        <f t="shared" si="9"/>
        <v>15.049999999999995</v>
      </c>
      <c r="AD13" s="1">
        <v>5.2</v>
      </c>
      <c r="AE13" s="1">
        <v>4</v>
      </c>
      <c r="AF13" s="1">
        <v>8.6</v>
      </c>
      <c r="AG13" s="1">
        <v>8.4</v>
      </c>
      <c r="AH13" s="1">
        <v>1.6</v>
      </c>
      <c r="AI13" s="1">
        <v>1.2</v>
      </c>
      <c r="AJ13" s="1">
        <v>1.8</v>
      </c>
      <c r="AK13" s="1">
        <v>2.4</v>
      </c>
      <c r="AL13" s="1"/>
      <c r="AM13" s="1">
        <f t="shared" si="10"/>
        <v>0</v>
      </c>
      <c r="AN13" s="1">
        <f t="shared" si="11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1" t="s">
        <v>48</v>
      </c>
      <c r="B14" s="1" t="s">
        <v>37</v>
      </c>
      <c r="C14" s="1">
        <v>25.321999999999999</v>
      </c>
      <c r="D14" s="1">
        <v>172.98</v>
      </c>
      <c r="E14" s="1">
        <v>144.941</v>
      </c>
      <c r="F14" s="1">
        <v>0.75700000000000001</v>
      </c>
      <c r="G14" s="8">
        <v>1</v>
      </c>
      <c r="H14" s="1">
        <v>55</v>
      </c>
      <c r="I14" s="1" t="s">
        <v>38</v>
      </c>
      <c r="J14" s="1"/>
      <c r="K14" s="1">
        <v>178.68</v>
      </c>
      <c r="L14" s="1">
        <f t="shared" si="3"/>
        <v>-33.739000000000004</v>
      </c>
      <c r="M14" s="1"/>
      <c r="N14" s="1"/>
      <c r="O14" s="1">
        <v>236.49039999999979</v>
      </c>
      <c r="P14" s="1">
        <v>56.422100000000157</v>
      </c>
      <c r="Q14" s="1">
        <v>0</v>
      </c>
      <c r="R14" s="1">
        <f t="shared" si="4"/>
        <v>28.988199999999999</v>
      </c>
      <c r="S14" s="5">
        <f t="shared" si="12"/>
        <v>54.188899999999997</v>
      </c>
      <c r="T14" s="5">
        <f t="shared" si="5"/>
        <v>54.188899999999997</v>
      </c>
      <c r="U14" s="5"/>
      <c r="V14" s="5">
        <f t="shared" si="6"/>
        <v>54.188899999999997</v>
      </c>
      <c r="W14" s="5"/>
      <c r="X14" s="5">
        <f t="shared" si="7"/>
        <v>54.188899999999997</v>
      </c>
      <c r="Y14" s="5"/>
      <c r="Z14" s="1"/>
      <c r="AA14" s="1"/>
      <c r="AB14" s="1">
        <f t="shared" si="8"/>
        <v>11.999999999999998</v>
      </c>
      <c r="AC14" s="1">
        <f t="shared" si="9"/>
        <v>10.130656612000745</v>
      </c>
      <c r="AD14" s="1">
        <v>27.410599999999999</v>
      </c>
      <c r="AE14" s="1">
        <v>36.727600000000002</v>
      </c>
      <c r="AF14" s="1">
        <v>41.312800000000003</v>
      </c>
      <c r="AG14" s="1">
        <v>27.535799999999998</v>
      </c>
      <c r="AH14" s="1">
        <v>23.167999999999999</v>
      </c>
      <c r="AI14" s="1">
        <v>24.0124</v>
      </c>
      <c r="AJ14" s="1">
        <v>25.2178</v>
      </c>
      <c r="AK14" s="1">
        <v>20.227799999999998</v>
      </c>
      <c r="AL14" s="1" t="s">
        <v>49</v>
      </c>
      <c r="AM14" s="1">
        <f t="shared" si="10"/>
        <v>0</v>
      </c>
      <c r="AN14" s="1">
        <f t="shared" si="11"/>
        <v>54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" t="s">
        <v>50</v>
      </c>
      <c r="B15" s="1" t="s">
        <v>37</v>
      </c>
      <c r="C15" s="1">
        <v>935.51</v>
      </c>
      <c r="D15" s="1">
        <v>1058.222</v>
      </c>
      <c r="E15" s="1">
        <v>1020.6609999999999</v>
      </c>
      <c r="F15" s="1">
        <v>486.11399999999998</v>
      </c>
      <c r="G15" s="8">
        <v>1</v>
      </c>
      <c r="H15" s="1">
        <v>50</v>
      </c>
      <c r="I15" s="1" t="s">
        <v>38</v>
      </c>
      <c r="J15" s="1"/>
      <c r="K15" s="1">
        <v>1025.9000000000001</v>
      </c>
      <c r="L15" s="1">
        <f t="shared" si="3"/>
        <v>-5.2390000000001464</v>
      </c>
      <c r="M15" s="1"/>
      <c r="N15" s="1"/>
      <c r="O15" s="1">
        <v>891.17888000000085</v>
      </c>
      <c r="P15" s="1">
        <v>52.157239999999888</v>
      </c>
      <c r="Q15" s="1">
        <v>534.63767999999925</v>
      </c>
      <c r="R15" s="1">
        <f t="shared" si="4"/>
        <v>204.13219999999998</v>
      </c>
      <c r="S15" s="5">
        <f t="shared" si="12"/>
        <v>485.4985999999995</v>
      </c>
      <c r="T15" s="5">
        <f t="shared" si="5"/>
        <v>485.4985999999995</v>
      </c>
      <c r="U15" s="5">
        <f>$U$1*R15</f>
        <v>204.13219999999998</v>
      </c>
      <c r="V15" s="5">
        <f t="shared" si="6"/>
        <v>689.63079999999945</v>
      </c>
      <c r="W15" s="5"/>
      <c r="X15" s="5">
        <f t="shared" si="7"/>
        <v>689.63079999999945</v>
      </c>
      <c r="Y15" s="5"/>
      <c r="Z15" s="1"/>
      <c r="AA15" s="1"/>
      <c r="AB15" s="1">
        <f t="shared" si="8"/>
        <v>13</v>
      </c>
      <c r="AC15" s="1">
        <f t="shared" si="9"/>
        <v>9.6216461685123686</v>
      </c>
      <c r="AD15" s="1">
        <v>183.4896</v>
      </c>
      <c r="AE15" s="1">
        <v>203.5548</v>
      </c>
      <c r="AF15" s="1">
        <v>229.80019999999999</v>
      </c>
      <c r="AG15" s="1">
        <v>207.3784</v>
      </c>
      <c r="AH15" s="1">
        <v>184.22839999999999</v>
      </c>
      <c r="AI15" s="1">
        <v>179.7842</v>
      </c>
      <c r="AJ15" s="1">
        <v>171.54060000000001</v>
      </c>
      <c r="AK15" s="1">
        <v>174.85659999999999</v>
      </c>
      <c r="AL15" s="1" t="s">
        <v>49</v>
      </c>
      <c r="AM15" s="1">
        <f t="shared" si="10"/>
        <v>0</v>
      </c>
      <c r="AN15" s="1">
        <f t="shared" si="11"/>
        <v>690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" t="s">
        <v>51</v>
      </c>
      <c r="B16" s="1" t="s">
        <v>37</v>
      </c>
      <c r="C16" s="1">
        <v>5.2549999999999999</v>
      </c>
      <c r="D16" s="1">
        <v>21.193999999999999</v>
      </c>
      <c r="E16" s="1">
        <v>6.51</v>
      </c>
      <c r="F16" s="1">
        <v>1.7000000000000001E-2</v>
      </c>
      <c r="G16" s="8">
        <v>1</v>
      </c>
      <c r="H16" s="1">
        <v>60</v>
      </c>
      <c r="I16" s="1" t="s">
        <v>38</v>
      </c>
      <c r="J16" s="1"/>
      <c r="K16" s="1">
        <v>21.2</v>
      </c>
      <c r="L16" s="1">
        <f t="shared" si="3"/>
        <v>-14.69</v>
      </c>
      <c r="M16" s="1"/>
      <c r="N16" s="1"/>
      <c r="O16" s="1">
        <v>55.165599999999998</v>
      </c>
      <c r="P16" s="1">
        <v>53.990599999999993</v>
      </c>
      <c r="Q16" s="1">
        <v>0</v>
      </c>
      <c r="R16" s="1">
        <f t="shared" si="4"/>
        <v>1.302</v>
      </c>
      <c r="S16" s="5"/>
      <c r="T16" s="5">
        <f t="shared" si="5"/>
        <v>0</v>
      </c>
      <c r="U16" s="5"/>
      <c r="V16" s="5">
        <f t="shared" si="6"/>
        <v>0</v>
      </c>
      <c r="W16" s="5"/>
      <c r="X16" s="5">
        <f t="shared" si="7"/>
        <v>0</v>
      </c>
      <c r="Y16" s="5"/>
      <c r="Z16" s="1"/>
      <c r="AA16" s="1"/>
      <c r="AB16" s="1">
        <f t="shared" si="8"/>
        <v>83.850384024577565</v>
      </c>
      <c r="AC16" s="1">
        <f t="shared" si="9"/>
        <v>83.850384024577565</v>
      </c>
      <c r="AD16" s="1">
        <v>3.5842000000000001</v>
      </c>
      <c r="AE16" s="1">
        <v>9.8675999999999995</v>
      </c>
      <c r="AF16" s="1">
        <v>9.6981999999999999</v>
      </c>
      <c r="AG16" s="1">
        <v>4.9336000000000002</v>
      </c>
      <c r="AH16" s="1">
        <v>3.5398000000000009</v>
      </c>
      <c r="AI16" s="1">
        <v>5.7923999999999998</v>
      </c>
      <c r="AJ16" s="1">
        <v>7.8696000000000002</v>
      </c>
      <c r="AK16" s="1">
        <v>4.8920000000000003</v>
      </c>
      <c r="AL16" s="1"/>
      <c r="AM16" s="1">
        <f t="shared" si="10"/>
        <v>0</v>
      </c>
      <c r="AN16" s="1">
        <f t="shared" si="11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" t="s">
        <v>52</v>
      </c>
      <c r="B17" s="1" t="s">
        <v>37</v>
      </c>
      <c r="C17" s="1">
        <v>718.96299999999997</v>
      </c>
      <c r="D17" s="1">
        <v>733.79399999999998</v>
      </c>
      <c r="E17" s="1">
        <v>632.09100000000001</v>
      </c>
      <c r="F17" s="1">
        <v>513.90899999999999</v>
      </c>
      <c r="G17" s="8">
        <v>1</v>
      </c>
      <c r="H17" s="1">
        <v>60</v>
      </c>
      <c r="I17" s="1" t="s">
        <v>38</v>
      </c>
      <c r="J17" s="1"/>
      <c r="K17" s="1">
        <v>632.64</v>
      </c>
      <c r="L17" s="1">
        <f t="shared" si="3"/>
        <v>-0.54899999999997817</v>
      </c>
      <c r="M17" s="1"/>
      <c r="N17" s="1"/>
      <c r="O17" s="1">
        <v>395.33524000000023</v>
      </c>
      <c r="P17" s="1">
        <v>0</v>
      </c>
      <c r="Q17" s="1">
        <v>385.32495999999981</v>
      </c>
      <c r="R17" s="1">
        <f t="shared" si="4"/>
        <v>126.4182</v>
      </c>
      <c r="S17" s="5">
        <f t="shared" si="12"/>
        <v>222.44919999999979</v>
      </c>
      <c r="T17" s="5">
        <f t="shared" si="5"/>
        <v>222.44919999999979</v>
      </c>
      <c r="U17" s="5">
        <f>$U$1*R17</f>
        <v>126.4182</v>
      </c>
      <c r="V17" s="5">
        <f t="shared" si="6"/>
        <v>348.8673999999998</v>
      </c>
      <c r="W17" s="5"/>
      <c r="X17" s="5">
        <f t="shared" si="7"/>
        <v>348.8673999999998</v>
      </c>
      <c r="Y17" s="5"/>
      <c r="Z17" s="1"/>
      <c r="AA17" s="1"/>
      <c r="AB17" s="1">
        <f t="shared" si="8"/>
        <v>12.999999999999998</v>
      </c>
      <c r="AC17" s="1">
        <f t="shared" si="9"/>
        <v>10.240370452988572</v>
      </c>
      <c r="AD17" s="1">
        <v>118.1044</v>
      </c>
      <c r="AE17" s="1">
        <v>121.0548</v>
      </c>
      <c r="AF17" s="1">
        <v>145.8058</v>
      </c>
      <c r="AG17" s="1">
        <v>142.18639999999999</v>
      </c>
      <c r="AH17" s="1">
        <v>124.3242</v>
      </c>
      <c r="AI17" s="1">
        <v>117.9644</v>
      </c>
      <c r="AJ17" s="1">
        <v>115.432</v>
      </c>
      <c r="AK17" s="1">
        <v>115.8438</v>
      </c>
      <c r="AL17" s="1"/>
      <c r="AM17" s="1">
        <f t="shared" si="10"/>
        <v>0</v>
      </c>
      <c r="AN17" s="1">
        <f t="shared" si="11"/>
        <v>349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" t="s">
        <v>53</v>
      </c>
      <c r="B18" s="1" t="s">
        <v>37</v>
      </c>
      <c r="C18" s="1">
        <v>6.4260000000000002</v>
      </c>
      <c r="D18" s="1">
        <v>59.856000000000002</v>
      </c>
      <c r="E18" s="1">
        <v>29.466000000000001</v>
      </c>
      <c r="F18" s="1">
        <v>25.213999999999999</v>
      </c>
      <c r="G18" s="8">
        <v>1</v>
      </c>
      <c r="H18" s="1">
        <v>60</v>
      </c>
      <c r="I18" s="1" t="s">
        <v>38</v>
      </c>
      <c r="J18" s="1"/>
      <c r="K18" s="1">
        <v>31.25</v>
      </c>
      <c r="L18" s="1">
        <f t="shared" si="3"/>
        <v>-1.7839999999999989</v>
      </c>
      <c r="M18" s="1"/>
      <c r="N18" s="1"/>
      <c r="O18" s="1">
        <v>0</v>
      </c>
      <c r="P18" s="1">
        <v>0</v>
      </c>
      <c r="Q18" s="1">
        <v>16.5944</v>
      </c>
      <c r="R18" s="1">
        <f t="shared" si="4"/>
        <v>5.8932000000000002</v>
      </c>
      <c r="S18" s="5">
        <f t="shared" si="12"/>
        <v>28.910000000000004</v>
      </c>
      <c r="T18" s="5">
        <f t="shared" si="5"/>
        <v>28.910000000000004</v>
      </c>
      <c r="U18" s="5"/>
      <c r="V18" s="5">
        <f t="shared" si="6"/>
        <v>28.910000000000004</v>
      </c>
      <c r="W18" s="5"/>
      <c r="X18" s="5">
        <f t="shared" si="7"/>
        <v>28.910000000000004</v>
      </c>
      <c r="Y18" s="5"/>
      <c r="Z18" s="1"/>
      <c r="AA18" s="1"/>
      <c r="AB18" s="1">
        <f t="shared" si="8"/>
        <v>12</v>
      </c>
      <c r="AC18" s="1">
        <f t="shared" si="9"/>
        <v>7.0943460259281883</v>
      </c>
      <c r="AD18" s="1">
        <v>5.5014000000000003</v>
      </c>
      <c r="AE18" s="1">
        <v>3.8847999999999998</v>
      </c>
      <c r="AF18" s="1">
        <v>4.3773999999999997</v>
      </c>
      <c r="AG18" s="1">
        <v>5.7746000000000004</v>
      </c>
      <c r="AH18" s="1">
        <v>3.5051999999999999</v>
      </c>
      <c r="AI18" s="1">
        <v>3.0005999999999999</v>
      </c>
      <c r="AJ18" s="1">
        <v>3.0424000000000002</v>
      </c>
      <c r="AK18" s="1">
        <v>3.0691999999999999</v>
      </c>
      <c r="AL18" s="1"/>
      <c r="AM18" s="1">
        <f t="shared" si="10"/>
        <v>0</v>
      </c>
      <c r="AN18" s="1">
        <f t="shared" si="11"/>
        <v>29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" t="s">
        <v>54</v>
      </c>
      <c r="B19" s="1" t="s">
        <v>37</v>
      </c>
      <c r="C19" s="1">
        <v>13.914999999999999</v>
      </c>
      <c r="D19" s="1">
        <v>1.806</v>
      </c>
      <c r="E19" s="1">
        <v>5.2039999999999997</v>
      </c>
      <c r="F19" s="1">
        <v>8.6679999999999993</v>
      </c>
      <c r="G19" s="8">
        <v>1</v>
      </c>
      <c r="H19" s="1">
        <v>180</v>
      </c>
      <c r="I19" s="1" t="s">
        <v>38</v>
      </c>
      <c r="J19" s="1"/>
      <c r="K19" s="1">
        <v>5.05</v>
      </c>
      <c r="L19" s="1">
        <f t="shared" si="3"/>
        <v>0.15399999999999991</v>
      </c>
      <c r="M19" s="1"/>
      <c r="N19" s="1"/>
      <c r="O19" s="1">
        <v>0</v>
      </c>
      <c r="P19" s="1">
        <v>0</v>
      </c>
      <c r="Q19" s="1">
        <v>4</v>
      </c>
      <c r="R19" s="1">
        <f t="shared" si="4"/>
        <v>1.0407999999999999</v>
      </c>
      <c r="S19" s="5"/>
      <c r="T19" s="5">
        <f t="shared" si="5"/>
        <v>0</v>
      </c>
      <c r="U19" s="5"/>
      <c r="V19" s="5">
        <f t="shared" si="6"/>
        <v>0</v>
      </c>
      <c r="W19" s="5"/>
      <c r="X19" s="5">
        <f t="shared" si="7"/>
        <v>0</v>
      </c>
      <c r="Y19" s="5"/>
      <c r="Z19" s="1"/>
      <c r="AA19" s="1"/>
      <c r="AB19" s="1">
        <f t="shared" si="8"/>
        <v>12.171406610299769</v>
      </c>
      <c r="AC19" s="1">
        <f t="shared" si="9"/>
        <v>12.171406610299769</v>
      </c>
      <c r="AD19" s="1">
        <v>1.1104000000000001</v>
      </c>
      <c r="AE19" s="1">
        <v>0.14879999999999999</v>
      </c>
      <c r="AF19" s="1">
        <v>0.14480000000000001</v>
      </c>
      <c r="AG19" s="1">
        <v>0.89399999999999991</v>
      </c>
      <c r="AH19" s="1">
        <v>1.0706</v>
      </c>
      <c r="AI19" s="1">
        <v>1.5446</v>
      </c>
      <c r="AJ19" s="1">
        <v>1.7756000000000001</v>
      </c>
      <c r="AK19" s="1">
        <v>0.63480000000000003</v>
      </c>
      <c r="AL19" s="1"/>
      <c r="AM19" s="1">
        <f t="shared" si="10"/>
        <v>0</v>
      </c>
      <c r="AN19" s="1">
        <f t="shared" si="11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" t="s">
        <v>55</v>
      </c>
      <c r="B20" s="1" t="s">
        <v>37</v>
      </c>
      <c r="C20" s="1">
        <v>81.908000000000001</v>
      </c>
      <c r="D20" s="1">
        <v>234.88200000000001</v>
      </c>
      <c r="E20" s="1">
        <v>202.03</v>
      </c>
      <c r="F20" s="1">
        <v>57.524999999999999</v>
      </c>
      <c r="G20" s="8">
        <v>1</v>
      </c>
      <c r="H20" s="1">
        <v>60</v>
      </c>
      <c r="I20" s="1" t="s">
        <v>38</v>
      </c>
      <c r="J20" s="1"/>
      <c r="K20" s="1">
        <v>193.24</v>
      </c>
      <c r="L20" s="1">
        <f t="shared" si="3"/>
        <v>8.789999999999992</v>
      </c>
      <c r="M20" s="1"/>
      <c r="N20" s="1"/>
      <c r="O20" s="1">
        <v>184.51722000000001</v>
      </c>
      <c r="P20" s="1">
        <v>114.62558</v>
      </c>
      <c r="Q20" s="1">
        <v>0</v>
      </c>
      <c r="R20" s="1">
        <f t="shared" si="4"/>
        <v>40.405999999999999</v>
      </c>
      <c r="S20" s="5">
        <f t="shared" si="12"/>
        <v>128.20419999999993</v>
      </c>
      <c r="T20" s="5">
        <f t="shared" si="5"/>
        <v>128.20419999999993</v>
      </c>
      <c r="U20" s="5">
        <f>$U$1*R20</f>
        <v>40.405999999999999</v>
      </c>
      <c r="V20" s="5">
        <f t="shared" si="6"/>
        <v>168.61019999999994</v>
      </c>
      <c r="W20" s="5"/>
      <c r="X20" s="5">
        <f t="shared" si="7"/>
        <v>168.61019999999994</v>
      </c>
      <c r="Y20" s="5"/>
      <c r="Z20" s="1"/>
      <c r="AA20" s="1"/>
      <c r="AB20" s="1">
        <f t="shared" si="8"/>
        <v>12.999999999999998</v>
      </c>
      <c r="AC20" s="1">
        <f t="shared" si="9"/>
        <v>8.8270999356531217</v>
      </c>
      <c r="AD20" s="1">
        <v>36.976999999999997</v>
      </c>
      <c r="AE20" s="1">
        <v>45.398000000000003</v>
      </c>
      <c r="AF20" s="1">
        <v>45.7806</v>
      </c>
      <c r="AG20" s="1">
        <v>38.988600000000012</v>
      </c>
      <c r="AH20" s="1">
        <v>31.837</v>
      </c>
      <c r="AI20" s="1">
        <v>29.66</v>
      </c>
      <c r="AJ20" s="1">
        <v>25.259399999999999</v>
      </c>
      <c r="AK20" s="1">
        <v>32.289400000000001</v>
      </c>
      <c r="AL20" s="1" t="s">
        <v>49</v>
      </c>
      <c r="AM20" s="1">
        <f t="shared" si="10"/>
        <v>0</v>
      </c>
      <c r="AN20" s="1">
        <f t="shared" si="11"/>
        <v>169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1" t="s">
        <v>56</v>
      </c>
      <c r="B21" s="1" t="s">
        <v>37</v>
      </c>
      <c r="C21" s="1">
        <v>18.623000000000001</v>
      </c>
      <c r="D21" s="1">
        <v>136.36099999999999</v>
      </c>
      <c r="E21" s="1">
        <v>68.588999999999999</v>
      </c>
      <c r="F21" s="1">
        <v>60.960999999999999</v>
      </c>
      <c r="G21" s="8">
        <v>1</v>
      </c>
      <c r="H21" s="1">
        <v>60</v>
      </c>
      <c r="I21" s="1" t="s">
        <v>38</v>
      </c>
      <c r="J21" s="1"/>
      <c r="K21" s="1">
        <v>71.48</v>
      </c>
      <c r="L21" s="1">
        <f t="shared" si="3"/>
        <v>-2.8910000000000053</v>
      </c>
      <c r="M21" s="1"/>
      <c r="N21" s="1"/>
      <c r="O21" s="1">
        <v>41.752599999999973</v>
      </c>
      <c r="P21" s="1">
        <v>13.93360000000002</v>
      </c>
      <c r="Q21" s="1">
        <v>0</v>
      </c>
      <c r="R21" s="1">
        <f t="shared" si="4"/>
        <v>13.7178</v>
      </c>
      <c r="S21" s="5">
        <f t="shared" si="12"/>
        <v>47.966400000000036</v>
      </c>
      <c r="T21" s="5">
        <f t="shared" si="5"/>
        <v>47.966400000000036</v>
      </c>
      <c r="U21" s="5"/>
      <c r="V21" s="5">
        <f t="shared" si="6"/>
        <v>47.966400000000036</v>
      </c>
      <c r="W21" s="5"/>
      <c r="X21" s="5">
        <f t="shared" si="7"/>
        <v>47.966400000000036</v>
      </c>
      <c r="Y21" s="5"/>
      <c r="Z21" s="1"/>
      <c r="AA21" s="1"/>
      <c r="AB21" s="1">
        <f t="shared" si="8"/>
        <v>12.000000000000002</v>
      </c>
      <c r="AC21" s="1">
        <f t="shared" si="9"/>
        <v>8.5033460175829934</v>
      </c>
      <c r="AD21" s="1">
        <v>11.576000000000001</v>
      </c>
      <c r="AE21" s="1">
        <v>15.3306</v>
      </c>
      <c r="AF21" s="1">
        <v>17.834399999999999</v>
      </c>
      <c r="AG21" s="1">
        <v>17.0654</v>
      </c>
      <c r="AH21" s="1">
        <v>11.918200000000001</v>
      </c>
      <c r="AI21" s="1">
        <v>11.257</v>
      </c>
      <c r="AJ21" s="1">
        <v>12.854200000000001</v>
      </c>
      <c r="AK21" s="1">
        <v>11.2568</v>
      </c>
      <c r="AL21" s="1"/>
      <c r="AM21" s="1">
        <f t="shared" si="10"/>
        <v>0</v>
      </c>
      <c r="AN21" s="1">
        <f t="shared" si="11"/>
        <v>48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1" t="s">
        <v>57</v>
      </c>
      <c r="B22" s="1" t="s">
        <v>37</v>
      </c>
      <c r="C22" s="1">
        <v>14.124000000000001</v>
      </c>
      <c r="D22" s="1">
        <v>113.232</v>
      </c>
      <c r="E22" s="1">
        <v>55.991</v>
      </c>
      <c r="F22" s="1">
        <v>36.011000000000003</v>
      </c>
      <c r="G22" s="8">
        <v>1</v>
      </c>
      <c r="H22" s="1">
        <v>60</v>
      </c>
      <c r="I22" s="1" t="s">
        <v>38</v>
      </c>
      <c r="J22" s="1"/>
      <c r="K22" s="1">
        <v>61.377000000000002</v>
      </c>
      <c r="L22" s="1">
        <f t="shared" si="3"/>
        <v>-5.3860000000000028</v>
      </c>
      <c r="M22" s="1"/>
      <c r="N22" s="1"/>
      <c r="O22" s="1">
        <v>0</v>
      </c>
      <c r="P22" s="1">
        <v>3.8646000000000051</v>
      </c>
      <c r="Q22" s="1">
        <v>14.6168</v>
      </c>
      <c r="R22" s="1">
        <f t="shared" si="4"/>
        <v>11.1982</v>
      </c>
      <c r="S22" s="5">
        <f t="shared" si="12"/>
        <v>79.885999999999996</v>
      </c>
      <c r="T22" s="5">
        <f t="shared" si="5"/>
        <v>79.885999999999996</v>
      </c>
      <c r="U22" s="5"/>
      <c r="V22" s="5">
        <f t="shared" si="6"/>
        <v>79.885999999999996</v>
      </c>
      <c r="W22" s="5"/>
      <c r="X22" s="5">
        <f t="shared" si="7"/>
        <v>79.885999999999996</v>
      </c>
      <c r="Y22" s="5"/>
      <c r="Z22" s="1"/>
      <c r="AA22" s="1"/>
      <c r="AB22" s="1">
        <f t="shared" si="8"/>
        <v>12</v>
      </c>
      <c r="AC22" s="1">
        <f t="shared" si="9"/>
        <v>4.866174920969442</v>
      </c>
      <c r="AD22" s="1">
        <v>8.3884000000000007</v>
      </c>
      <c r="AE22" s="1">
        <v>8.4285999999999994</v>
      </c>
      <c r="AF22" s="1">
        <v>9.8415999999999997</v>
      </c>
      <c r="AG22" s="1">
        <v>11.5738</v>
      </c>
      <c r="AH22" s="1">
        <v>7.3388000000000009</v>
      </c>
      <c r="AI22" s="1">
        <v>6.8285999999999998</v>
      </c>
      <c r="AJ22" s="1">
        <v>6.6537999999999986</v>
      </c>
      <c r="AK22" s="1">
        <v>5.9564000000000004</v>
      </c>
      <c r="AL22" s="1"/>
      <c r="AM22" s="1">
        <f t="shared" si="10"/>
        <v>0</v>
      </c>
      <c r="AN22" s="1">
        <f t="shared" si="11"/>
        <v>80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23" s="1" t="s">
        <v>58</v>
      </c>
      <c r="B23" s="1" t="s">
        <v>37</v>
      </c>
      <c r="C23" s="1">
        <v>12.195</v>
      </c>
      <c r="D23" s="1"/>
      <c r="E23" s="1">
        <v>1.423</v>
      </c>
      <c r="F23" s="1">
        <v>10.760999999999999</v>
      </c>
      <c r="G23" s="8">
        <v>1</v>
      </c>
      <c r="H23" s="1">
        <v>180</v>
      </c>
      <c r="I23" s="1" t="s">
        <v>38</v>
      </c>
      <c r="J23" s="1"/>
      <c r="K23" s="1">
        <v>1.35</v>
      </c>
      <c r="L23" s="1">
        <f t="shared" si="3"/>
        <v>7.2999999999999954E-2</v>
      </c>
      <c r="M23" s="1"/>
      <c r="N23" s="1"/>
      <c r="O23" s="1">
        <v>0</v>
      </c>
      <c r="P23" s="1">
        <v>0</v>
      </c>
      <c r="Q23" s="1">
        <v>0</v>
      </c>
      <c r="R23" s="1">
        <f t="shared" si="4"/>
        <v>0.28460000000000002</v>
      </c>
      <c r="S23" s="5"/>
      <c r="T23" s="5">
        <f t="shared" si="5"/>
        <v>0</v>
      </c>
      <c r="U23" s="5"/>
      <c r="V23" s="5">
        <f t="shared" si="6"/>
        <v>0</v>
      </c>
      <c r="W23" s="5"/>
      <c r="X23" s="5">
        <f t="shared" si="7"/>
        <v>0</v>
      </c>
      <c r="Y23" s="5"/>
      <c r="Z23" s="1"/>
      <c r="AA23" s="1"/>
      <c r="AB23" s="1">
        <f t="shared" si="8"/>
        <v>37.810962754743493</v>
      </c>
      <c r="AC23" s="1">
        <f t="shared" si="9"/>
        <v>37.810962754743493</v>
      </c>
      <c r="AD23" s="1">
        <v>0.2122</v>
      </c>
      <c r="AE23" s="1">
        <v>0.35520000000000002</v>
      </c>
      <c r="AF23" s="1">
        <v>0.49519999999999997</v>
      </c>
      <c r="AG23" s="1">
        <v>0.2084</v>
      </c>
      <c r="AH23" s="1">
        <v>0.28039999999999998</v>
      </c>
      <c r="AI23" s="1">
        <v>0.86240000000000006</v>
      </c>
      <c r="AJ23" s="1">
        <v>0.85839999999999994</v>
      </c>
      <c r="AK23" s="1">
        <v>0.20799999999999999</v>
      </c>
      <c r="AL23" s="21" t="s">
        <v>59</v>
      </c>
      <c r="AM23" s="1">
        <f t="shared" si="10"/>
        <v>0</v>
      </c>
      <c r="AN23" s="1">
        <f t="shared" si="11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24" s="1" t="s">
        <v>60</v>
      </c>
      <c r="B24" s="1" t="s">
        <v>37</v>
      </c>
      <c r="C24" s="1">
        <v>3.72</v>
      </c>
      <c r="D24" s="1">
        <v>150.964</v>
      </c>
      <c r="E24" s="1">
        <v>74.888999999999996</v>
      </c>
      <c r="F24" s="1">
        <v>29.375</v>
      </c>
      <c r="G24" s="8">
        <v>1</v>
      </c>
      <c r="H24" s="1">
        <v>60</v>
      </c>
      <c r="I24" s="1" t="s">
        <v>38</v>
      </c>
      <c r="J24" s="1"/>
      <c r="K24" s="1">
        <v>82.869</v>
      </c>
      <c r="L24" s="1">
        <f t="shared" si="3"/>
        <v>-7.980000000000004</v>
      </c>
      <c r="M24" s="1"/>
      <c r="N24" s="1"/>
      <c r="O24" s="1">
        <v>173.69359999999989</v>
      </c>
      <c r="P24" s="1">
        <v>50.123400000000053</v>
      </c>
      <c r="Q24" s="1">
        <v>0</v>
      </c>
      <c r="R24" s="1">
        <f t="shared" si="4"/>
        <v>14.977799999999998</v>
      </c>
      <c r="S24" s="5"/>
      <c r="T24" s="5">
        <f t="shared" si="5"/>
        <v>0</v>
      </c>
      <c r="U24" s="5"/>
      <c r="V24" s="5">
        <f t="shared" si="6"/>
        <v>0</v>
      </c>
      <c r="W24" s="5"/>
      <c r="X24" s="5">
        <f t="shared" si="7"/>
        <v>0</v>
      </c>
      <c r="Y24" s="5"/>
      <c r="Z24" s="1"/>
      <c r="AA24" s="1"/>
      <c r="AB24" s="1">
        <f t="shared" si="8"/>
        <v>16.904485304917944</v>
      </c>
      <c r="AC24" s="1">
        <f t="shared" si="9"/>
        <v>16.904485304917944</v>
      </c>
      <c r="AD24" s="1">
        <v>15.308</v>
      </c>
      <c r="AE24" s="1">
        <v>27.5396</v>
      </c>
      <c r="AF24" s="1">
        <v>29.780799999999999</v>
      </c>
      <c r="AG24" s="1">
        <v>20.190999999999999</v>
      </c>
      <c r="AH24" s="1">
        <v>17.934799999999999</v>
      </c>
      <c r="AI24" s="1">
        <v>20.0534</v>
      </c>
      <c r="AJ24" s="1">
        <v>17.748999999999999</v>
      </c>
      <c r="AK24" s="1">
        <v>14.2624</v>
      </c>
      <c r="AL24" s="1" t="s">
        <v>49</v>
      </c>
      <c r="AM24" s="1">
        <f t="shared" si="10"/>
        <v>0</v>
      </c>
      <c r="AN24" s="1">
        <f t="shared" si="11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s="16" t="s">
        <v>61</v>
      </c>
      <c r="B25" s="16" t="s">
        <v>37</v>
      </c>
      <c r="C25" s="16"/>
      <c r="D25" s="16"/>
      <c r="E25" s="16"/>
      <c r="F25" s="16"/>
      <c r="G25" s="17">
        <v>0</v>
      </c>
      <c r="H25" s="16">
        <v>30</v>
      </c>
      <c r="I25" s="16" t="s">
        <v>38</v>
      </c>
      <c r="J25" s="16"/>
      <c r="K25" s="16"/>
      <c r="L25" s="16">
        <f t="shared" si="3"/>
        <v>0</v>
      </c>
      <c r="M25" s="16"/>
      <c r="N25" s="16"/>
      <c r="O25" s="16">
        <v>0</v>
      </c>
      <c r="P25" s="16">
        <v>0</v>
      </c>
      <c r="Q25" s="16">
        <v>0</v>
      </c>
      <c r="R25" s="16">
        <f t="shared" si="4"/>
        <v>0</v>
      </c>
      <c r="S25" s="18"/>
      <c r="T25" s="5">
        <f t="shared" si="5"/>
        <v>0</v>
      </c>
      <c r="U25" s="18"/>
      <c r="V25" s="5">
        <f t="shared" si="6"/>
        <v>0</v>
      </c>
      <c r="W25" s="5"/>
      <c r="X25" s="5">
        <f t="shared" si="7"/>
        <v>0</v>
      </c>
      <c r="Y25" s="18"/>
      <c r="Z25" s="16"/>
      <c r="AA25" s="16"/>
      <c r="AB25" s="1" t="e">
        <f t="shared" si="8"/>
        <v>#DIV/0!</v>
      </c>
      <c r="AC25" s="16" t="e">
        <f t="shared" si="9"/>
        <v>#DIV/0!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 t="s">
        <v>62</v>
      </c>
      <c r="AM25" s="1">
        <f t="shared" si="10"/>
        <v>0</v>
      </c>
      <c r="AN25" s="1">
        <f t="shared" si="11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26" s="1" t="s">
        <v>63</v>
      </c>
      <c r="B26" s="1" t="s">
        <v>37</v>
      </c>
      <c r="C26" s="1">
        <v>106.273</v>
      </c>
      <c r="D26" s="1">
        <v>118.042</v>
      </c>
      <c r="E26" s="1">
        <v>91.403000000000006</v>
      </c>
      <c r="F26" s="1">
        <v>68.59</v>
      </c>
      <c r="G26" s="8">
        <v>1</v>
      </c>
      <c r="H26" s="1">
        <v>30</v>
      </c>
      <c r="I26" s="1" t="s">
        <v>38</v>
      </c>
      <c r="J26" s="1"/>
      <c r="K26" s="1">
        <v>85</v>
      </c>
      <c r="L26" s="1">
        <f t="shared" si="3"/>
        <v>6.4030000000000058</v>
      </c>
      <c r="M26" s="1"/>
      <c r="N26" s="1"/>
      <c r="O26" s="1">
        <v>0</v>
      </c>
      <c r="P26" s="1">
        <v>31.596000000000029</v>
      </c>
      <c r="Q26" s="1">
        <v>46.738999999999983</v>
      </c>
      <c r="R26" s="1">
        <f t="shared" si="4"/>
        <v>18.2806</v>
      </c>
      <c r="S26" s="5">
        <f t="shared" ref="S26" si="13">12*R26-Q26-P26-O26-F26</f>
        <v>72.442199999999985</v>
      </c>
      <c r="T26" s="5">
        <f t="shared" si="5"/>
        <v>72.442199999999985</v>
      </c>
      <c r="U26" s="5"/>
      <c r="V26" s="5">
        <f t="shared" si="6"/>
        <v>72.442199999999985</v>
      </c>
      <c r="W26" s="5"/>
      <c r="X26" s="5">
        <f t="shared" si="7"/>
        <v>72.442199999999985</v>
      </c>
      <c r="Y26" s="5"/>
      <c r="Z26" s="1"/>
      <c r="AA26" s="1"/>
      <c r="AB26" s="1">
        <f t="shared" si="8"/>
        <v>12</v>
      </c>
      <c r="AC26" s="1">
        <f t="shared" si="9"/>
        <v>8.0372088443486547</v>
      </c>
      <c r="AD26" s="1">
        <v>17.439</v>
      </c>
      <c r="AE26" s="1">
        <v>15.557399999999999</v>
      </c>
      <c r="AF26" s="1">
        <v>17.917200000000001</v>
      </c>
      <c r="AG26" s="1">
        <v>19.0182</v>
      </c>
      <c r="AH26" s="1">
        <v>21.1936</v>
      </c>
      <c r="AI26" s="1">
        <v>19.5396</v>
      </c>
      <c r="AJ26" s="1">
        <v>15.5586</v>
      </c>
      <c r="AK26" s="1">
        <v>16.598800000000001</v>
      </c>
      <c r="AL26" s="1"/>
      <c r="AM26" s="1">
        <f t="shared" si="10"/>
        <v>0</v>
      </c>
      <c r="AN26" s="1">
        <f t="shared" si="11"/>
        <v>72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27" s="1" t="s">
        <v>64</v>
      </c>
      <c r="B27" s="1" t="s">
        <v>37</v>
      </c>
      <c r="C27" s="1">
        <v>148.084</v>
      </c>
      <c r="D27" s="1">
        <v>201.18100000000001</v>
      </c>
      <c r="E27" s="1">
        <v>89.616</v>
      </c>
      <c r="F27" s="1">
        <v>229.37799999999999</v>
      </c>
      <c r="G27" s="8">
        <v>1</v>
      </c>
      <c r="H27" s="1">
        <v>30</v>
      </c>
      <c r="I27" s="1" t="s">
        <v>38</v>
      </c>
      <c r="J27" s="1"/>
      <c r="K27" s="1">
        <v>101.1</v>
      </c>
      <c r="L27" s="1">
        <f t="shared" si="3"/>
        <v>-11.483999999999995</v>
      </c>
      <c r="M27" s="1"/>
      <c r="N27" s="1"/>
      <c r="O27" s="1">
        <v>0</v>
      </c>
      <c r="P27" s="1">
        <v>0</v>
      </c>
      <c r="Q27" s="1">
        <v>0</v>
      </c>
      <c r="R27" s="1">
        <f t="shared" si="4"/>
        <v>17.923200000000001</v>
      </c>
      <c r="S27" s="5"/>
      <c r="T27" s="5">
        <f t="shared" si="5"/>
        <v>0</v>
      </c>
      <c r="U27" s="5"/>
      <c r="V27" s="5">
        <f t="shared" si="6"/>
        <v>0</v>
      </c>
      <c r="W27" s="5"/>
      <c r="X27" s="5">
        <f t="shared" si="7"/>
        <v>0</v>
      </c>
      <c r="Y27" s="5"/>
      <c r="Z27" s="1"/>
      <c r="AA27" s="1"/>
      <c r="AB27" s="1">
        <f t="shared" si="8"/>
        <v>12.797826281021244</v>
      </c>
      <c r="AC27" s="1">
        <f t="shared" si="9"/>
        <v>12.797826281021244</v>
      </c>
      <c r="AD27" s="1">
        <v>19.881399999999999</v>
      </c>
      <c r="AE27" s="1">
        <v>18.697800000000001</v>
      </c>
      <c r="AF27" s="1">
        <v>27.293800000000001</v>
      </c>
      <c r="AG27" s="1">
        <v>34.190800000000003</v>
      </c>
      <c r="AH27" s="1">
        <v>27.4316</v>
      </c>
      <c r="AI27" s="1">
        <v>18.855</v>
      </c>
      <c r="AJ27" s="1">
        <v>23.1294</v>
      </c>
      <c r="AK27" s="1">
        <v>13.593999999999999</v>
      </c>
      <c r="AL27" s="1" t="s">
        <v>49</v>
      </c>
      <c r="AM27" s="1">
        <f t="shared" si="10"/>
        <v>0</v>
      </c>
      <c r="AN27" s="1">
        <f t="shared" si="1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28" s="16" t="s">
        <v>65</v>
      </c>
      <c r="B28" s="16" t="s">
        <v>37</v>
      </c>
      <c r="C28" s="16"/>
      <c r="D28" s="16"/>
      <c r="E28" s="16"/>
      <c r="F28" s="16"/>
      <c r="G28" s="17">
        <v>0</v>
      </c>
      <c r="H28" s="16">
        <v>45</v>
      </c>
      <c r="I28" s="16" t="s">
        <v>38</v>
      </c>
      <c r="J28" s="16"/>
      <c r="K28" s="16"/>
      <c r="L28" s="16">
        <f t="shared" si="3"/>
        <v>0</v>
      </c>
      <c r="M28" s="16"/>
      <c r="N28" s="16"/>
      <c r="O28" s="16">
        <v>0</v>
      </c>
      <c r="P28" s="16">
        <v>0</v>
      </c>
      <c r="Q28" s="16">
        <v>0</v>
      </c>
      <c r="R28" s="16">
        <f t="shared" si="4"/>
        <v>0</v>
      </c>
      <c r="S28" s="18"/>
      <c r="T28" s="5">
        <f t="shared" si="5"/>
        <v>0</v>
      </c>
      <c r="U28" s="18"/>
      <c r="V28" s="5">
        <f t="shared" si="6"/>
        <v>0</v>
      </c>
      <c r="W28" s="5"/>
      <c r="X28" s="5">
        <f t="shared" si="7"/>
        <v>0</v>
      </c>
      <c r="Y28" s="18"/>
      <c r="Z28" s="16"/>
      <c r="AA28" s="16"/>
      <c r="AB28" s="1" t="e">
        <f t="shared" si="8"/>
        <v>#DIV/0!</v>
      </c>
      <c r="AC28" s="16" t="e">
        <f t="shared" si="9"/>
        <v>#DIV/0!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 t="s">
        <v>62</v>
      </c>
      <c r="AM28" s="1">
        <f t="shared" si="10"/>
        <v>0</v>
      </c>
      <c r="AN28" s="1">
        <f t="shared" si="11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29" s="1" t="s">
        <v>66</v>
      </c>
      <c r="B29" s="1" t="s">
        <v>37</v>
      </c>
      <c r="C29" s="1">
        <v>15.699</v>
      </c>
      <c r="D29" s="1">
        <v>28.712</v>
      </c>
      <c r="E29" s="1">
        <v>26.074000000000002</v>
      </c>
      <c r="F29" s="1">
        <v>14.362</v>
      </c>
      <c r="G29" s="8">
        <v>1</v>
      </c>
      <c r="H29" s="1">
        <v>40</v>
      </c>
      <c r="I29" s="1" t="s">
        <v>38</v>
      </c>
      <c r="J29" s="1"/>
      <c r="K29" s="1">
        <v>21.6</v>
      </c>
      <c r="L29" s="1">
        <f t="shared" si="3"/>
        <v>4.4740000000000002</v>
      </c>
      <c r="M29" s="1"/>
      <c r="N29" s="1"/>
      <c r="O29" s="1">
        <v>4</v>
      </c>
      <c r="P29" s="1">
        <v>0</v>
      </c>
      <c r="Q29" s="1">
        <v>4.6462000000000003</v>
      </c>
      <c r="R29" s="1">
        <f t="shared" si="4"/>
        <v>5.2148000000000003</v>
      </c>
      <c r="S29" s="5">
        <f>11*R29-Q29-P29-O29-F29</f>
        <v>34.354600000000005</v>
      </c>
      <c r="T29" s="5">
        <f t="shared" si="5"/>
        <v>34.354600000000005</v>
      </c>
      <c r="U29" s="5"/>
      <c r="V29" s="5">
        <f t="shared" si="6"/>
        <v>34.354600000000005</v>
      </c>
      <c r="W29" s="5"/>
      <c r="X29" s="5">
        <f t="shared" si="7"/>
        <v>34.354600000000005</v>
      </c>
      <c r="Y29" s="5"/>
      <c r="Z29" s="1"/>
      <c r="AA29" s="1"/>
      <c r="AB29" s="1">
        <f t="shared" si="8"/>
        <v>11</v>
      </c>
      <c r="AC29" s="1">
        <f t="shared" si="9"/>
        <v>4.4120963411827878</v>
      </c>
      <c r="AD29" s="1">
        <v>3.2502</v>
      </c>
      <c r="AE29" s="1">
        <v>2.3372000000000002</v>
      </c>
      <c r="AF29" s="1">
        <v>3.7732000000000001</v>
      </c>
      <c r="AG29" s="1">
        <v>4.0533999999999999</v>
      </c>
      <c r="AH29" s="1">
        <v>3.2191999999999998</v>
      </c>
      <c r="AI29" s="1">
        <v>2.1379999999999999</v>
      </c>
      <c r="AJ29" s="1">
        <v>3.278</v>
      </c>
      <c r="AK29" s="1">
        <v>2.0179999999999998</v>
      </c>
      <c r="AL29" s="1"/>
      <c r="AM29" s="1">
        <f t="shared" si="10"/>
        <v>0</v>
      </c>
      <c r="AN29" s="1">
        <f t="shared" si="11"/>
        <v>34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30" s="1" t="s">
        <v>67</v>
      </c>
      <c r="B30" s="1" t="s">
        <v>37</v>
      </c>
      <c r="C30" s="1">
        <v>-5.6000000000000001E-2</v>
      </c>
      <c r="D30" s="1">
        <v>65.225999999999999</v>
      </c>
      <c r="E30" s="1">
        <v>28.594000000000001</v>
      </c>
      <c r="F30" s="1">
        <v>14.256</v>
      </c>
      <c r="G30" s="8">
        <v>1</v>
      </c>
      <c r="H30" s="1">
        <v>30</v>
      </c>
      <c r="I30" s="1" t="s">
        <v>38</v>
      </c>
      <c r="J30" s="1"/>
      <c r="K30" s="1">
        <v>31.4</v>
      </c>
      <c r="L30" s="1">
        <f t="shared" si="3"/>
        <v>-2.8059999999999974</v>
      </c>
      <c r="M30" s="1"/>
      <c r="N30" s="1"/>
      <c r="O30" s="1">
        <v>25.329799999999992</v>
      </c>
      <c r="P30" s="1">
        <v>37.246400000000001</v>
      </c>
      <c r="Q30" s="1">
        <v>0</v>
      </c>
      <c r="R30" s="1">
        <f t="shared" si="4"/>
        <v>5.7187999999999999</v>
      </c>
      <c r="S30" s="5"/>
      <c r="T30" s="5">
        <f t="shared" si="5"/>
        <v>0</v>
      </c>
      <c r="U30" s="5"/>
      <c r="V30" s="5">
        <f t="shared" si="6"/>
        <v>0</v>
      </c>
      <c r="W30" s="5"/>
      <c r="X30" s="5">
        <f t="shared" si="7"/>
        <v>0</v>
      </c>
      <c r="Y30" s="5"/>
      <c r="Z30" s="1"/>
      <c r="AA30" s="1"/>
      <c r="AB30" s="1">
        <f t="shared" si="8"/>
        <v>13.435021333146814</v>
      </c>
      <c r="AC30" s="1">
        <f t="shared" si="9"/>
        <v>13.435021333146814</v>
      </c>
      <c r="AD30" s="1">
        <v>6.0586000000000002</v>
      </c>
      <c r="AE30" s="1">
        <v>8.0104000000000006</v>
      </c>
      <c r="AF30" s="1">
        <v>7.8464</v>
      </c>
      <c r="AG30" s="1">
        <v>6.9766000000000004</v>
      </c>
      <c r="AH30" s="1">
        <v>3.3992</v>
      </c>
      <c r="AI30" s="1">
        <v>2.3052000000000001</v>
      </c>
      <c r="AJ30" s="1">
        <v>5.8220000000000001</v>
      </c>
      <c r="AK30" s="1">
        <v>7.8620000000000001</v>
      </c>
      <c r="AL30" s="1" t="s">
        <v>68</v>
      </c>
      <c r="AM30" s="1">
        <f t="shared" si="10"/>
        <v>0</v>
      </c>
      <c r="AN30" s="1">
        <f t="shared" si="11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31" s="1" t="s">
        <v>69</v>
      </c>
      <c r="B31" s="1" t="s">
        <v>37</v>
      </c>
      <c r="C31" s="1">
        <v>42.512999999999998</v>
      </c>
      <c r="D31" s="1">
        <v>165.494</v>
      </c>
      <c r="E31" s="1">
        <v>95.594999999999999</v>
      </c>
      <c r="F31" s="1">
        <v>72.552999999999997</v>
      </c>
      <c r="G31" s="8">
        <v>1</v>
      </c>
      <c r="H31" s="1">
        <v>50</v>
      </c>
      <c r="I31" s="1" t="s">
        <v>38</v>
      </c>
      <c r="J31" s="1"/>
      <c r="K31" s="1">
        <v>83</v>
      </c>
      <c r="L31" s="1">
        <f t="shared" si="3"/>
        <v>12.594999999999999</v>
      </c>
      <c r="M31" s="1"/>
      <c r="N31" s="1"/>
      <c r="O31" s="1">
        <v>123.18259999999999</v>
      </c>
      <c r="P31" s="1">
        <v>0</v>
      </c>
      <c r="Q31" s="1">
        <v>0</v>
      </c>
      <c r="R31" s="1">
        <f t="shared" si="4"/>
        <v>19.119</v>
      </c>
      <c r="S31" s="5">
        <f t="shared" ref="S31:S50" si="14">12*R31-Q31-P31-O31-F31</f>
        <v>33.692400000000006</v>
      </c>
      <c r="T31" s="5">
        <f t="shared" si="5"/>
        <v>33.692400000000006</v>
      </c>
      <c r="U31" s="5"/>
      <c r="V31" s="5">
        <f t="shared" si="6"/>
        <v>33.692400000000006</v>
      </c>
      <c r="W31" s="5"/>
      <c r="X31" s="5">
        <f t="shared" si="7"/>
        <v>33.692400000000006</v>
      </c>
      <c r="Y31" s="5"/>
      <c r="Z31" s="1"/>
      <c r="AA31" s="1"/>
      <c r="AB31" s="1">
        <f t="shared" si="8"/>
        <v>12</v>
      </c>
      <c r="AC31" s="1">
        <f t="shared" si="9"/>
        <v>10.237753020555468</v>
      </c>
      <c r="AD31" s="1">
        <v>11.136200000000001</v>
      </c>
      <c r="AE31" s="1">
        <v>20.192799999999998</v>
      </c>
      <c r="AF31" s="1">
        <v>26.755600000000001</v>
      </c>
      <c r="AG31" s="1">
        <v>21.529</v>
      </c>
      <c r="AH31" s="1">
        <v>17.1066</v>
      </c>
      <c r="AI31" s="1">
        <v>10.542999999999999</v>
      </c>
      <c r="AJ31" s="1">
        <v>16.421800000000001</v>
      </c>
      <c r="AK31" s="1">
        <v>22.9648</v>
      </c>
      <c r="AL31" s="1"/>
      <c r="AM31" s="1">
        <f t="shared" si="10"/>
        <v>0</v>
      </c>
      <c r="AN31" s="1">
        <f t="shared" si="11"/>
        <v>34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32" s="1" t="s">
        <v>70</v>
      </c>
      <c r="B32" s="1" t="s">
        <v>37</v>
      </c>
      <c r="C32" s="1">
        <v>60.475999999999999</v>
      </c>
      <c r="D32" s="1">
        <v>46.237000000000002</v>
      </c>
      <c r="E32" s="1">
        <v>51.207000000000001</v>
      </c>
      <c r="F32" s="1">
        <v>28.847000000000001</v>
      </c>
      <c r="G32" s="8">
        <v>1</v>
      </c>
      <c r="H32" s="1">
        <v>50</v>
      </c>
      <c r="I32" s="1" t="s">
        <v>38</v>
      </c>
      <c r="J32" s="1"/>
      <c r="K32" s="1">
        <v>45.3</v>
      </c>
      <c r="L32" s="1">
        <f t="shared" si="3"/>
        <v>5.9070000000000036</v>
      </c>
      <c r="M32" s="1"/>
      <c r="N32" s="1"/>
      <c r="O32" s="1">
        <v>68.521400000000028</v>
      </c>
      <c r="P32" s="1">
        <v>0</v>
      </c>
      <c r="Q32" s="1">
        <v>0</v>
      </c>
      <c r="R32" s="1">
        <f t="shared" si="4"/>
        <v>10.241400000000001</v>
      </c>
      <c r="S32" s="5">
        <f t="shared" si="14"/>
        <v>25.528399999999984</v>
      </c>
      <c r="T32" s="5">
        <f t="shared" si="5"/>
        <v>25.528399999999984</v>
      </c>
      <c r="U32" s="5"/>
      <c r="V32" s="5">
        <f t="shared" si="6"/>
        <v>25.528399999999984</v>
      </c>
      <c r="W32" s="5"/>
      <c r="X32" s="5">
        <f t="shared" si="7"/>
        <v>25.528399999999984</v>
      </c>
      <c r="Y32" s="5"/>
      <c r="Z32" s="1"/>
      <c r="AA32" s="1"/>
      <c r="AB32" s="1">
        <f t="shared" si="8"/>
        <v>12</v>
      </c>
      <c r="AC32" s="1">
        <f t="shared" si="9"/>
        <v>9.5073329818188945</v>
      </c>
      <c r="AD32" s="1">
        <v>9.4992000000000001</v>
      </c>
      <c r="AE32" s="1">
        <v>9.333400000000001</v>
      </c>
      <c r="AF32" s="1">
        <v>14.702999999999999</v>
      </c>
      <c r="AG32" s="1">
        <v>10.761799999999999</v>
      </c>
      <c r="AH32" s="1">
        <v>6.2683999999999997</v>
      </c>
      <c r="AI32" s="1">
        <v>10.7212</v>
      </c>
      <c r="AJ32" s="1">
        <v>15.5512</v>
      </c>
      <c r="AK32" s="1">
        <v>13.703200000000001</v>
      </c>
      <c r="AL32" s="1"/>
      <c r="AM32" s="1">
        <f t="shared" si="10"/>
        <v>0</v>
      </c>
      <c r="AN32" s="1">
        <f t="shared" si="11"/>
        <v>26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33" s="1" t="s">
        <v>71</v>
      </c>
      <c r="B33" s="1" t="s">
        <v>43</v>
      </c>
      <c r="C33" s="1">
        <v>453</v>
      </c>
      <c r="D33" s="1">
        <v>576</v>
      </c>
      <c r="E33" s="1">
        <v>558</v>
      </c>
      <c r="F33" s="1">
        <v>296</v>
      </c>
      <c r="G33" s="8">
        <v>0.4</v>
      </c>
      <c r="H33" s="1">
        <v>45</v>
      </c>
      <c r="I33" s="1" t="s">
        <v>38</v>
      </c>
      <c r="J33" s="1"/>
      <c r="K33" s="1">
        <v>554</v>
      </c>
      <c r="L33" s="1">
        <f t="shared" si="3"/>
        <v>4</v>
      </c>
      <c r="M33" s="1"/>
      <c r="N33" s="1"/>
      <c r="O33" s="1">
        <v>302.43999999999988</v>
      </c>
      <c r="P33" s="1">
        <v>10</v>
      </c>
      <c r="Q33" s="1">
        <v>363.76000000000028</v>
      </c>
      <c r="R33" s="1">
        <f t="shared" si="4"/>
        <v>111.6</v>
      </c>
      <c r="S33" s="5">
        <f t="shared" si="14"/>
        <v>366.99999999999977</v>
      </c>
      <c r="T33" s="5">
        <f t="shared" si="5"/>
        <v>366.99999999999977</v>
      </c>
      <c r="U33" s="5">
        <f>$U$1*R33</f>
        <v>111.6</v>
      </c>
      <c r="V33" s="5">
        <f t="shared" si="6"/>
        <v>478.5999999999998</v>
      </c>
      <c r="W33" s="5"/>
      <c r="X33" s="5">
        <f t="shared" si="7"/>
        <v>478.5999999999998</v>
      </c>
      <c r="Y33" s="5"/>
      <c r="Z33" s="1"/>
      <c r="AA33" s="1"/>
      <c r="AB33" s="1">
        <f t="shared" si="8"/>
        <v>12.999999999999998</v>
      </c>
      <c r="AC33" s="1">
        <f t="shared" si="9"/>
        <v>8.7114695340501793</v>
      </c>
      <c r="AD33" s="1">
        <v>97.4</v>
      </c>
      <c r="AE33" s="1">
        <v>99</v>
      </c>
      <c r="AF33" s="1">
        <v>115.8</v>
      </c>
      <c r="AG33" s="1">
        <v>115</v>
      </c>
      <c r="AH33" s="1">
        <v>93.6</v>
      </c>
      <c r="AI33" s="1">
        <v>79.8</v>
      </c>
      <c r="AJ33" s="1">
        <v>88.6</v>
      </c>
      <c r="AK33" s="1">
        <v>99.2</v>
      </c>
      <c r="AL33" s="1" t="s">
        <v>72</v>
      </c>
      <c r="AM33" s="1">
        <f t="shared" si="10"/>
        <v>0</v>
      </c>
      <c r="AN33" s="1">
        <f t="shared" si="11"/>
        <v>191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34" s="1" t="s">
        <v>73</v>
      </c>
      <c r="B34" s="1" t="s">
        <v>43</v>
      </c>
      <c r="C34" s="1">
        <v>170</v>
      </c>
      <c r="D34" s="1">
        <v>173</v>
      </c>
      <c r="E34" s="1">
        <v>111</v>
      </c>
      <c r="F34" s="1">
        <v>145</v>
      </c>
      <c r="G34" s="8">
        <v>0.45</v>
      </c>
      <c r="H34" s="1">
        <v>50</v>
      </c>
      <c r="I34" s="1" t="s">
        <v>155</v>
      </c>
      <c r="J34" s="1"/>
      <c r="K34" s="1">
        <v>128</v>
      </c>
      <c r="L34" s="1">
        <f t="shared" si="3"/>
        <v>-17</v>
      </c>
      <c r="M34" s="1"/>
      <c r="N34" s="1"/>
      <c r="O34" s="1">
        <v>0</v>
      </c>
      <c r="P34" s="1">
        <v>0</v>
      </c>
      <c r="Q34" s="1">
        <v>89</v>
      </c>
      <c r="R34" s="1">
        <f t="shared" si="4"/>
        <v>22.2</v>
      </c>
      <c r="S34" s="5">
        <f t="shared" si="14"/>
        <v>32.399999999999977</v>
      </c>
      <c r="T34" s="5">
        <f>Y34</f>
        <v>120</v>
      </c>
      <c r="U34" s="5"/>
      <c r="V34" s="5">
        <f t="shared" si="6"/>
        <v>120</v>
      </c>
      <c r="W34" s="5"/>
      <c r="X34" s="5">
        <f t="shared" si="7"/>
        <v>120</v>
      </c>
      <c r="Y34" s="23">
        <v>120</v>
      </c>
      <c r="Z34" s="22" t="s">
        <v>154</v>
      </c>
      <c r="AA34" s="1"/>
      <c r="AB34" s="1">
        <f t="shared" si="8"/>
        <v>15.945945945945946</v>
      </c>
      <c r="AC34" s="1">
        <f t="shared" si="9"/>
        <v>10.54054054054054</v>
      </c>
      <c r="AD34" s="1">
        <v>24</v>
      </c>
      <c r="AE34" s="1">
        <v>15.8</v>
      </c>
      <c r="AF34" s="1">
        <v>25.8</v>
      </c>
      <c r="AG34" s="1">
        <v>33.6</v>
      </c>
      <c r="AH34" s="1">
        <v>31</v>
      </c>
      <c r="AI34" s="1">
        <v>21</v>
      </c>
      <c r="AJ34" s="1">
        <v>24.8</v>
      </c>
      <c r="AK34" s="1">
        <v>26.6</v>
      </c>
      <c r="AL34" s="1" t="s">
        <v>40</v>
      </c>
      <c r="AM34" s="1">
        <f t="shared" si="10"/>
        <v>0</v>
      </c>
      <c r="AN34" s="1">
        <f t="shared" si="11"/>
        <v>54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35" s="1" t="s">
        <v>74</v>
      </c>
      <c r="B35" s="1" t="s">
        <v>43</v>
      </c>
      <c r="C35" s="1">
        <v>366</v>
      </c>
      <c r="D35" s="1">
        <v>409</v>
      </c>
      <c r="E35" s="1">
        <v>425</v>
      </c>
      <c r="F35" s="1">
        <v>223</v>
      </c>
      <c r="G35" s="8">
        <v>0.4</v>
      </c>
      <c r="H35" s="1">
        <v>45</v>
      </c>
      <c r="I35" s="1" t="s">
        <v>38</v>
      </c>
      <c r="J35" s="1"/>
      <c r="K35" s="1">
        <v>417</v>
      </c>
      <c r="L35" s="1">
        <f t="shared" si="3"/>
        <v>8</v>
      </c>
      <c r="M35" s="1"/>
      <c r="N35" s="1"/>
      <c r="O35" s="1">
        <v>284.09999999999991</v>
      </c>
      <c r="P35" s="1">
        <v>159.4999999999998</v>
      </c>
      <c r="Q35" s="1">
        <v>175.2</v>
      </c>
      <c r="R35" s="1">
        <f t="shared" si="4"/>
        <v>85</v>
      </c>
      <c r="S35" s="5">
        <f t="shared" si="14"/>
        <v>178.20000000000027</v>
      </c>
      <c r="T35" s="5">
        <f t="shared" si="5"/>
        <v>178.20000000000027</v>
      </c>
      <c r="U35" s="5">
        <f>$U$1*R35</f>
        <v>85</v>
      </c>
      <c r="V35" s="5">
        <f t="shared" si="6"/>
        <v>263.20000000000027</v>
      </c>
      <c r="W35" s="5"/>
      <c r="X35" s="5">
        <f t="shared" si="7"/>
        <v>263.20000000000027</v>
      </c>
      <c r="Y35" s="5"/>
      <c r="Z35" s="1"/>
      <c r="AA35" s="1"/>
      <c r="AB35" s="1">
        <f t="shared" si="8"/>
        <v>13</v>
      </c>
      <c r="AC35" s="1">
        <f t="shared" si="9"/>
        <v>9.903529411764703</v>
      </c>
      <c r="AD35" s="1">
        <v>82.6</v>
      </c>
      <c r="AE35" s="1">
        <v>92.6</v>
      </c>
      <c r="AF35" s="1">
        <v>97.8</v>
      </c>
      <c r="AG35" s="1">
        <v>94.2</v>
      </c>
      <c r="AH35" s="1">
        <v>81.599999999999994</v>
      </c>
      <c r="AI35" s="1">
        <v>77.2</v>
      </c>
      <c r="AJ35" s="1">
        <v>74.2</v>
      </c>
      <c r="AK35" s="1">
        <v>94</v>
      </c>
      <c r="AL35" s="1"/>
      <c r="AM35" s="1">
        <f t="shared" si="10"/>
        <v>0</v>
      </c>
      <c r="AN35" s="1">
        <f t="shared" si="11"/>
        <v>105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36" s="1" t="s">
        <v>75</v>
      </c>
      <c r="B36" s="1" t="s">
        <v>43</v>
      </c>
      <c r="C36" s="1">
        <v>4</v>
      </c>
      <c r="D36" s="1"/>
      <c r="E36" s="1">
        <v>4.3659999999999997</v>
      </c>
      <c r="F36" s="1">
        <v>-4.3659999999999997</v>
      </c>
      <c r="G36" s="8">
        <v>0.4</v>
      </c>
      <c r="H36" s="1">
        <v>40</v>
      </c>
      <c r="I36" s="1" t="s">
        <v>38</v>
      </c>
      <c r="J36" s="1"/>
      <c r="K36" s="1">
        <v>15</v>
      </c>
      <c r="L36" s="1">
        <f t="shared" si="3"/>
        <v>-10.634</v>
      </c>
      <c r="M36" s="1"/>
      <c r="N36" s="1"/>
      <c r="O36" s="1">
        <v>72</v>
      </c>
      <c r="P36" s="1">
        <v>202.4</v>
      </c>
      <c r="Q36" s="1">
        <v>0</v>
      </c>
      <c r="R36" s="1">
        <f t="shared" si="4"/>
        <v>0.87319999999999998</v>
      </c>
      <c r="S36" s="5"/>
      <c r="T36" s="5">
        <f t="shared" si="5"/>
        <v>0</v>
      </c>
      <c r="U36" s="5"/>
      <c r="V36" s="5">
        <f t="shared" si="6"/>
        <v>0</v>
      </c>
      <c r="W36" s="5"/>
      <c r="X36" s="5">
        <f t="shared" si="7"/>
        <v>0</v>
      </c>
      <c r="Y36" s="5"/>
      <c r="Z36" s="1"/>
      <c r="AA36" s="1"/>
      <c r="AB36" s="1">
        <f t="shared" si="8"/>
        <v>309.24644983967016</v>
      </c>
      <c r="AC36" s="1">
        <f t="shared" si="9"/>
        <v>309.24644983967016</v>
      </c>
      <c r="AD36" s="1">
        <v>11.273199999999999</v>
      </c>
      <c r="AE36" s="1">
        <v>23.2</v>
      </c>
      <c r="AF36" s="1">
        <v>12.8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 t="s">
        <v>76</v>
      </c>
      <c r="AM36" s="1">
        <f t="shared" si="10"/>
        <v>0</v>
      </c>
      <c r="AN36" s="1">
        <f t="shared" si="11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37" s="1" t="s">
        <v>77</v>
      </c>
      <c r="B37" s="1" t="s">
        <v>37</v>
      </c>
      <c r="C37" s="1">
        <v>95.722999999999999</v>
      </c>
      <c r="D37" s="1">
        <v>109.139</v>
      </c>
      <c r="E37" s="1">
        <v>49.08</v>
      </c>
      <c r="F37" s="1">
        <v>107.286</v>
      </c>
      <c r="G37" s="8">
        <v>1</v>
      </c>
      <c r="H37" s="1">
        <v>45</v>
      </c>
      <c r="I37" s="1" t="s">
        <v>38</v>
      </c>
      <c r="J37" s="1"/>
      <c r="K37" s="1">
        <v>43.8</v>
      </c>
      <c r="L37" s="1">
        <f t="shared" si="3"/>
        <v>5.2800000000000011</v>
      </c>
      <c r="M37" s="1"/>
      <c r="N37" s="1"/>
      <c r="O37" s="1">
        <v>0</v>
      </c>
      <c r="P37" s="1">
        <v>0</v>
      </c>
      <c r="Q37" s="1">
        <v>0</v>
      </c>
      <c r="R37" s="1">
        <f t="shared" si="4"/>
        <v>9.8159999999999989</v>
      </c>
      <c r="S37" s="5">
        <f t="shared" si="14"/>
        <v>10.505999999999986</v>
      </c>
      <c r="T37" s="5">
        <f t="shared" si="5"/>
        <v>10.505999999999986</v>
      </c>
      <c r="U37" s="5"/>
      <c r="V37" s="5">
        <f t="shared" si="6"/>
        <v>10.505999999999986</v>
      </c>
      <c r="W37" s="5"/>
      <c r="X37" s="5">
        <f t="shared" si="7"/>
        <v>10.505999999999986</v>
      </c>
      <c r="Y37" s="5"/>
      <c r="Z37" s="1"/>
      <c r="AA37" s="1"/>
      <c r="AB37" s="1">
        <f t="shared" si="8"/>
        <v>12</v>
      </c>
      <c r="AC37" s="1">
        <f t="shared" si="9"/>
        <v>10.929706601466995</v>
      </c>
      <c r="AD37" s="1">
        <v>6.9276</v>
      </c>
      <c r="AE37" s="1">
        <v>3.18</v>
      </c>
      <c r="AF37" s="1">
        <v>6.6059999999999999</v>
      </c>
      <c r="AG37" s="1">
        <v>11.784599999999999</v>
      </c>
      <c r="AH37" s="1">
        <v>11.749000000000001</v>
      </c>
      <c r="AI37" s="1">
        <v>9.9488000000000003</v>
      </c>
      <c r="AJ37" s="1">
        <v>4.2332000000000001</v>
      </c>
      <c r="AK37" s="1">
        <v>3.1520000000000001</v>
      </c>
      <c r="AL37" s="1"/>
      <c r="AM37" s="1">
        <f t="shared" si="10"/>
        <v>0</v>
      </c>
      <c r="AN37" s="1">
        <f t="shared" si="11"/>
        <v>11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38" s="1" t="s">
        <v>78</v>
      </c>
      <c r="B38" s="1" t="s">
        <v>43</v>
      </c>
      <c r="C38" s="1">
        <v>96</v>
      </c>
      <c r="D38" s="1">
        <v>60</v>
      </c>
      <c r="E38" s="1">
        <v>31</v>
      </c>
      <c r="F38" s="1">
        <v>65</v>
      </c>
      <c r="G38" s="8">
        <v>0.1</v>
      </c>
      <c r="H38" s="1">
        <v>730</v>
      </c>
      <c r="I38" s="1" t="s">
        <v>38</v>
      </c>
      <c r="J38" s="1"/>
      <c r="K38" s="1">
        <v>31</v>
      </c>
      <c r="L38" s="1">
        <f t="shared" ref="L38:L69" si="15">E38-K38</f>
        <v>0</v>
      </c>
      <c r="M38" s="1"/>
      <c r="N38" s="1"/>
      <c r="O38" s="1">
        <v>0</v>
      </c>
      <c r="P38" s="1">
        <v>0</v>
      </c>
      <c r="Q38" s="1">
        <v>0</v>
      </c>
      <c r="R38" s="1">
        <f t="shared" si="4"/>
        <v>6.2</v>
      </c>
      <c r="S38" s="5">
        <f t="shared" si="14"/>
        <v>9.4000000000000057</v>
      </c>
      <c r="T38" s="5">
        <f t="shared" si="5"/>
        <v>9.4000000000000057</v>
      </c>
      <c r="U38" s="5"/>
      <c r="V38" s="5">
        <f t="shared" si="6"/>
        <v>9.4000000000000057</v>
      </c>
      <c r="W38" s="5"/>
      <c r="X38" s="5">
        <f t="shared" si="7"/>
        <v>9.4000000000000057</v>
      </c>
      <c r="Y38" s="5"/>
      <c r="Z38" s="1"/>
      <c r="AA38" s="1"/>
      <c r="AB38" s="1">
        <f t="shared" si="8"/>
        <v>12</v>
      </c>
      <c r="AC38" s="1">
        <f t="shared" si="9"/>
        <v>10.483870967741936</v>
      </c>
      <c r="AD38" s="1">
        <v>5.6</v>
      </c>
      <c r="AE38" s="1">
        <v>7.2</v>
      </c>
      <c r="AF38" s="1">
        <v>8.1999999999999993</v>
      </c>
      <c r="AG38" s="1">
        <v>8.8000000000000007</v>
      </c>
      <c r="AH38" s="1">
        <v>11.6</v>
      </c>
      <c r="AI38" s="1">
        <v>14.6</v>
      </c>
      <c r="AJ38" s="1">
        <v>11.6</v>
      </c>
      <c r="AK38" s="1">
        <v>6.6</v>
      </c>
      <c r="AL38" s="1"/>
      <c r="AM38" s="1">
        <f t="shared" si="10"/>
        <v>0</v>
      </c>
      <c r="AN38" s="1">
        <f t="shared" si="11"/>
        <v>1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39" s="1" t="s">
        <v>79</v>
      </c>
      <c r="B39" s="1" t="s">
        <v>43</v>
      </c>
      <c r="C39" s="1">
        <v>73</v>
      </c>
      <c r="D39" s="1">
        <v>10</v>
      </c>
      <c r="E39" s="1">
        <v>68</v>
      </c>
      <c r="F39" s="1">
        <v>1</v>
      </c>
      <c r="G39" s="8">
        <v>0.35</v>
      </c>
      <c r="H39" s="1">
        <v>40</v>
      </c>
      <c r="I39" s="1" t="s">
        <v>38</v>
      </c>
      <c r="J39" s="1"/>
      <c r="K39" s="1">
        <v>107</v>
      </c>
      <c r="L39" s="1">
        <f t="shared" si="15"/>
        <v>-39</v>
      </c>
      <c r="M39" s="1"/>
      <c r="N39" s="1"/>
      <c r="O39" s="1">
        <v>103.4</v>
      </c>
      <c r="P39" s="1">
        <v>186</v>
      </c>
      <c r="Q39" s="1">
        <v>0</v>
      </c>
      <c r="R39" s="1">
        <f t="shared" si="4"/>
        <v>13.6</v>
      </c>
      <c r="S39" s="5"/>
      <c r="T39" s="5">
        <f t="shared" si="5"/>
        <v>0</v>
      </c>
      <c r="U39" s="5"/>
      <c r="V39" s="5">
        <f t="shared" si="6"/>
        <v>0</v>
      </c>
      <c r="W39" s="5"/>
      <c r="X39" s="5">
        <f t="shared" si="7"/>
        <v>0</v>
      </c>
      <c r="Y39" s="5"/>
      <c r="Z39" s="1"/>
      <c r="AA39" s="1"/>
      <c r="AB39" s="1">
        <f t="shared" si="8"/>
        <v>21.352941176470587</v>
      </c>
      <c r="AC39" s="1">
        <f t="shared" si="9"/>
        <v>21.352941176470587</v>
      </c>
      <c r="AD39" s="1">
        <v>20.6</v>
      </c>
      <c r="AE39" s="1">
        <v>30.2</v>
      </c>
      <c r="AF39" s="1">
        <v>20.399999999999999</v>
      </c>
      <c r="AG39" s="1">
        <v>9.6</v>
      </c>
      <c r="AH39" s="1">
        <v>18.2</v>
      </c>
      <c r="AI39" s="1">
        <v>24.6</v>
      </c>
      <c r="AJ39" s="1">
        <v>20.399999999999999</v>
      </c>
      <c r="AK39" s="1">
        <v>14.6</v>
      </c>
      <c r="AL39" s="1" t="s">
        <v>40</v>
      </c>
      <c r="AM39" s="1">
        <f t="shared" si="10"/>
        <v>0</v>
      </c>
      <c r="AN39" s="1">
        <f t="shared" si="11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40" s="1" t="s">
        <v>80</v>
      </c>
      <c r="B40" s="1" t="s">
        <v>37</v>
      </c>
      <c r="C40" s="1">
        <v>157.93700000000001</v>
      </c>
      <c r="D40" s="1">
        <v>55.286999999999999</v>
      </c>
      <c r="E40" s="1">
        <v>87.019000000000005</v>
      </c>
      <c r="F40" s="1">
        <v>65.59</v>
      </c>
      <c r="G40" s="8">
        <v>1</v>
      </c>
      <c r="H40" s="1">
        <v>40</v>
      </c>
      <c r="I40" s="1" t="s">
        <v>38</v>
      </c>
      <c r="J40" s="1"/>
      <c r="K40" s="1">
        <v>90.92</v>
      </c>
      <c r="L40" s="1">
        <f t="shared" si="15"/>
        <v>-3.9009999999999962</v>
      </c>
      <c r="M40" s="1"/>
      <c r="N40" s="1"/>
      <c r="O40" s="1">
        <v>134.857</v>
      </c>
      <c r="P40" s="1">
        <v>113.934</v>
      </c>
      <c r="Q40" s="1">
        <v>0</v>
      </c>
      <c r="R40" s="1">
        <f t="shared" si="4"/>
        <v>17.4038</v>
      </c>
      <c r="S40" s="5"/>
      <c r="T40" s="5">
        <f t="shared" si="5"/>
        <v>0</v>
      </c>
      <c r="U40" s="5"/>
      <c r="V40" s="5">
        <f t="shared" si="6"/>
        <v>0</v>
      </c>
      <c r="W40" s="5"/>
      <c r="X40" s="5">
        <f t="shared" si="7"/>
        <v>0</v>
      </c>
      <c r="Y40" s="5"/>
      <c r="Z40" s="1"/>
      <c r="AA40" s="1"/>
      <c r="AB40" s="1">
        <f t="shared" si="8"/>
        <v>18.063928567324375</v>
      </c>
      <c r="AC40" s="1">
        <f t="shared" si="9"/>
        <v>18.063928567324375</v>
      </c>
      <c r="AD40" s="1">
        <v>26.459199999999999</v>
      </c>
      <c r="AE40" s="1">
        <v>33.893999999999998</v>
      </c>
      <c r="AF40" s="1">
        <v>32.201000000000001</v>
      </c>
      <c r="AG40" s="1">
        <v>14.1966</v>
      </c>
      <c r="AH40" s="1">
        <v>22.717600000000001</v>
      </c>
      <c r="AI40" s="1">
        <v>26.006</v>
      </c>
      <c r="AJ40" s="1">
        <v>16.503799999999998</v>
      </c>
      <c r="AK40" s="1">
        <v>20.4678</v>
      </c>
      <c r="AL40" s="1"/>
      <c r="AM40" s="1">
        <f t="shared" si="10"/>
        <v>0</v>
      </c>
      <c r="AN40" s="1">
        <f t="shared" si="11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 t="s">
        <v>81</v>
      </c>
      <c r="B41" s="1" t="s">
        <v>43</v>
      </c>
      <c r="C41" s="1">
        <v>6</v>
      </c>
      <c r="D41" s="1">
        <v>112</v>
      </c>
      <c r="E41" s="1">
        <v>71</v>
      </c>
      <c r="F41" s="1">
        <v>28</v>
      </c>
      <c r="G41" s="8">
        <v>0.4</v>
      </c>
      <c r="H41" s="1">
        <v>40</v>
      </c>
      <c r="I41" s="1" t="s">
        <v>38</v>
      </c>
      <c r="J41" s="1"/>
      <c r="K41" s="1">
        <v>97</v>
      </c>
      <c r="L41" s="1">
        <f t="shared" si="15"/>
        <v>-26</v>
      </c>
      <c r="M41" s="1"/>
      <c r="N41" s="1"/>
      <c r="O41" s="1">
        <v>28.800000000000011</v>
      </c>
      <c r="P41" s="1">
        <v>0</v>
      </c>
      <c r="Q41" s="1">
        <v>0</v>
      </c>
      <c r="R41" s="1">
        <f t="shared" si="4"/>
        <v>14.2</v>
      </c>
      <c r="S41" s="5">
        <f t="shared" ref="S41:S42" si="16">11*R41-Q41-P41-O41-F41</f>
        <v>99.399999999999977</v>
      </c>
      <c r="T41" s="5">
        <f t="shared" si="5"/>
        <v>99.399999999999977</v>
      </c>
      <c r="U41" s="5"/>
      <c r="V41" s="5">
        <f t="shared" si="6"/>
        <v>99.399999999999977</v>
      </c>
      <c r="W41" s="5"/>
      <c r="X41" s="5">
        <f t="shared" si="7"/>
        <v>99.399999999999977</v>
      </c>
      <c r="Y41" s="5"/>
      <c r="Z41" s="1"/>
      <c r="AA41" s="1"/>
      <c r="AB41" s="1">
        <f t="shared" si="8"/>
        <v>11</v>
      </c>
      <c r="AC41" s="1">
        <f t="shared" si="9"/>
        <v>4.0000000000000009</v>
      </c>
      <c r="AD41" s="1">
        <v>3.6</v>
      </c>
      <c r="AE41" s="1">
        <v>6.4</v>
      </c>
      <c r="AF41" s="1">
        <v>13.4</v>
      </c>
      <c r="AG41" s="1">
        <v>13.4</v>
      </c>
      <c r="AH41" s="1">
        <v>8.8000000000000007</v>
      </c>
      <c r="AI41" s="1">
        <v>11.4</v>
      </c>
      <c r="AJ41" s="1">
        <v>10.8</v>
      </c>
      <c r="AK41" s="1">
        <v>13</v>
      </c>
      <c r="AL41" s="1"/>
      <c r="AM41" s="1">
        <f t="shared" si="10"/>
        <v>0</v>
      </c>
      <c r="AN41" s="1">
        <f t="shared" si="11"/>
        <v>40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 t="s">
        <v>82</v>
      </c>
      <c r="B42" s="1" t="s">
        <v>43</v>
      </c>
      <c r="C42" s="1">
        <v>319</v>
      </c>
      <c r="D42" s="1">
        <v>60</v>
      </c>
      <c r="E42" s="1">
        <v>183</v>
      </c>
      <c r="F42" s="1">
        <v>136</v>
      </c>
      <c r="G42" s="8">
        <v>0.4</v>
      </c>
      <c r="H42" s="1">
        <v>45</v>
      </c>
      <c r="I42" s="1" t="s">
        <v>38</v>
      </c>
      <c r="J42" s="1"/>
      <c r="K42" s="1">
        <v>184</v>
      </c>
      <c r="L42" s="1">
        <f t="shared" si="15"/>
        <v>-1</v>
      </c>
      <c r="M42" s="1"/>
      <c r="N42" s="1"/>
      <c r="O42" s="1">
        <v>0</v>
      </c>
      <c r="P42" s="1">
        <v>0</v>
      </c>
      <c r="Q42" s="1">
        <v>21</v>
      </c>
      <c r="R42" s="1">
        <f t="shared" si="4"/>
        <v>36.6</v>
      </c>
      <c r="S42" s="5">
        <f t="shared" si="16"/>
        <v>245.60000000000002</v>
      </c>
      <c r="T42" s="5">
        <f t="shared" si="5"/>
        <v>245.60000000000002</v>
      </c>
      <c r="U42" s="5"/>
      <c r="V42" s="5">
        <f t="shared" si="6"/>
        <v>245.60000000000002</v>
      </c>
      <c r="W42" s="5"/>
      <c r="X42" s="5">
        <f t="shared" si="7"/>
        <v>245.60000000000002</v>
      </c>
      <c r="Y42" s="5"/>
      <c r="Z42" s="1"/>
      <c r="AA42" s="1"/>
      <c r="AB42" s="1">
        <f t="shared" si="8"/>
        <v>11</v>
      </c>
      <c r="AC42" s="1">
        <f t="shared" si="9"/>
        <v>4.2896174863387975</v>
      </c>
      <c r="AD42" s="1">
        <v>25.8</v>
      </c>
      <c r="AE42" s="1">
        <v>20.399999999999999</v>
      </c>
      <c r="AF42" s="1">
        <v>21.8</v>
      </c>
      <c r="AG42" s="1">
        <v>22.2</v>
      </c>
      <c r="AH42" s="1">
        <v>17.399999999999999</v>
      </c>
      <c r="AI42" s="1">
        <v>9.8000000000000007</v>
      </c>
      <c r="AJ42" s="1">
        <v>34.6</v>
      </c>
      <c r="AK42" s="1">
        <v>53.8</v>
      </c>
      <c r="AL42" s="1" t="s">
        <v>40</v>
      </c>
      <c r="AM42" s="1">
        <f t="shared" si="10"/>
        <v>0</v>
      </c>
      <c r="AN42" s="1">
        <f t="shared" si="11"/>
        <v>98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 t="s">
        <v>83</v>
      </c>
      <c r="B43" s="1" t="s">
        <v>37</v>
      </c>
      <c r="C43" s="1">
        <v>75.337999999999994</v>
      </c>
      <c r="D43" s="1">
        <v>158.352</v>
      </c>
      <c r="E43" s="1">
        <v>94.497</v>
      </c>
      <c r="F43" s="1">
        <v>81.37</v>
      </c>
      <c r="G43" s="8">
        <v>1</v>
      </c>
      <c r="H43" s="1">
        <v>40</v>
      </c>
      <c r="I43" s="1" t="s">
        <v>38</v>
      </c>
      <c r="J43" s="1"/>
      <c r="K43" s="1">
        <v>95.039000000000001</v>
      </c>
      <c r="L43" s="1">
        <f t="shared" si="15"/>
        <v>-0.54200000000000159</v>
      </c>
      <c r="M43" s="1"/>
      <c r="N43" s="1"/>
      <c r="O43" s="1">
        <v>122.02380000000009</v>
      </c>
      <c r="P43" s="1">
        <v>188.95660000000001</v>
      </c>
      <c r="Q43" s="1">
        <v>0</v>
      </c>
      <c r="R43" s="1">
        <f t="shared" si="4"/>
        <v>18.8994</v>
      </c>
      <c r="S43" s="5"/>
      <c r="T43" s="5">
        <f t="shared" si="5"/>
        <v>0</v>
      </c>
      <c r="U43" s="5"/>
      <c r="V43" s="5">
        <f t="shared" si="6"/>
        <v>0</v>
      </c>
      <c r="W43" s="5"/>
      <c r="X43" s="5">
        <f t="shared" si="7"/>
        <v>0</v>
      </c>
      <c r="Y43" s="5"/>
      <c r="Z43" s="1"/>
      <c r="AA43" s="1"/>
      <c r="AB43" s="1">
        <f t="shared" si="8"/>
        <v>20.759939468977858</v>
      </c>
      <c r="AC43" s="1">
        <f t="shared" si="9"/>
        <v>20.759939468977858</v>
      </c>
      <c r="AD43" s="1">
        <v>30.1252</v>
      </c>
      <c r="AE43" s="1">
        <v>39.570999999999998</v>
      </c>
      <c r="AF43" s="1">
        <v>34.6616</v>
      </c>
      <c r="AG43" s="1">
        <v>29.303999999999998</v>
      </c>
      <c r="AH43" s="1">
        <v>30.934000000000001</v>
      </c>
      <c r="AI43" s="1">
        <v>32.066400000000002</v>
      </c>
      <c r="AJ43" s="1">
        <v>23.393000000000001</v>
      </c>
      <c r="AK43" s="1">
        <v>26.324400000000001</v>
      </c>
      <c r="AL43" s="15" t="s">
        <v>150</v>
      </c>
      <c r="AM43" s="1">
        <f t="shared" si="10"/>
        <v>0</v>
      </c>
      <c r="AN43" s="1">
        <f t="shared" si="11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 t="s">
        <v>84</v>
      </c>
      <c r="B44" s="1" t="s">
        <v>43</v>
      </c>
      <c r="C44" s="1">
        <v>121</v>
      </c>
      <c r="D44" s="1">
        <v>165</v>
      </c>
      <c r="E44" s="1">
        <v>189</v>
      </c>
      <c r="F44" s="1">
        <v>48</v>
      </c>
      <c r="G44" s="8">
        <v>0.35</v>
      </c>
      <c r="H44" s="1">
        <v>40</v>
      </c>
      <c r="I44" s="1" t="s">
        <v>38</v>
      </c>
      <c r="J44" s="1"/>
      <c r="K44" s="1">
        <v>191</v>
      </c>
      <c r="L44" s="1">
        <f t="shared" si="15"/>
        <v>-2</v>
      </c>
      <c r="M44" s="1"/>
      <c r="N44" s="1"/>
      <c r="O44" s="1">
        <v>43.799999999999983</v>
      </c>
      <c r="P44" s="1">
        <v>92.6</v>
      </c>
      <c r="Q44" s="1">
        <v>32.400000000000027</v>
      </c>
      <c r="R44" s="1">
        <f t="shared" si="4"/>
        <v>37.799999999999997</v>
      </c>
      <c r="S44" s="5">
        <f t="shared" si="14"/>
        <v>236.79999999999995</v>
      </c>
      <c r="T44" s="5">
        <f t="shared" si="5"/>
        <v>236.79999999999995</v>
      </c>
      <c r="U44" s="5">
        <f t="shared" ref="U44:U45" si="17">$U$1*R44</f>
        <v>37.799999999999997</v>
      </c>
      <c r="V44" s="5">
        <f t="shared" si="6"/>
        <v>274.59999999999997</v>
      </c>
      <c r="W44" s="5"/>
      <c r="X44" s="5">
        <f t="shared" si="7"/>
        <v>274.59999999999997</v>
      </c>
      <c r="Y44" s="5"/>
      <c r="Z44" s="1"/>
      <c r="AA44" s="1"/>
      <c r="AB44" s="1">
        <f t="shared" si="8"/>
        <v>13</v>
      </c>
      <c r="AC44" s="1">
        <f t="shared" si="9"/>
        <v>5.7354497354497358</v>
      </c>
      <c r="AD44" s="1">
        <v>29.8</v>
      </c>
      <c r="AE44" s="1">
        <v>31.4</v>
      </c>
      <c r="AF44" s="1">
        <v>32.6</v>
      </c>
      <c r="AG44" s="1">
        <v>33</v>
      </c>
      <c r="AH44" s="1">
        <v>32.6</v>
      </c>
      <c r="AI44" s="1">
        <v>32.6</v>
      </c>
      <c r="AJ44" s="1">
        <v>30</v>
      </c>
      <c r="AK44" s="1">
        <v>32</v>
      </c>
      <c r="AL44" s="1" t="s">
        <v>49</v>
      </c>
      <c r="AM44" s="1">
        <f t="shared" si="10"/>
        <v>0</v>
      </c>
      <c r="AN44" s="1">
        <f t="shared" si="11"/>
        <v>96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" t="s">
        <v>85</v>
      </c>
      <c r="B45" s="1" t="s">
        <v>43</v>
      </c>
      <c r="C45" s="1">
        <v>202</v>
      </c>
      <c r="D45" s="1">
        <v>401</v>
      </c>
      <c r="E45" s="1">
        <v>242</v>
      </c>
      <c r="F45" s="1">
        <v>215</v>
      </c>
      <c r="G45" s="8">
        <v>0.4</v>
      </c>
      <c r="H45" s="1">
        <v>40</v>
      </c>
      <c r="I45" s="1" t="s">
        <v>38</v>
      </c>
      <c r="J45" s="1"/>
      <c r="K45" s="1">
        <v>254</v>
      </c>
      <c r="L45" s="1">
        <f t="shared" si="15"/>
        <v>-12</v>
      </c>
      <c r="M45" s="1"/>
      <c r="N45" s="1"/>
      <c r="O45" s="1">
        <v>204.20000000000019</v>
      </c>
      <c r="P45" s="1">
        <v>0</v>
      </c>
      <c r="Q45" s="1">
        <v>21.99999999999989</v>
      </c>
      <c r="R45" s="1">
        <f t="shared" si="4"/>
        <v>48.4</v>
      </c>
      <c r="S45" s="5">
        <f t="shared" si="14"/>
        <v>139.59999999999991</v>
      </c>
      <c r="T45" s="5">
        <f t="shared" si="5"/>
        <v>139.59999999999991</v>
      </c>
      <c r="U45" s="5">
        <f t="shared" si="17"/>
        <v>48.4</v>
      </c>
      <c r="V45" s="5">
        <f t="shared" si="6"/>
        <v>187.99999999999991</v>
      </c>
      <c r="W45" s="5"/>
      <c r="X45" s="5">
        <f t="shared" si="7"/>
        <v>187.99999999999991</v>
      </c>
      <c r="Y45" s="5"/>
      <c r="Z45" s="1"/>
      <c r="AA45" s="1"/>
      <c r="AB45" s="1">
        <f t="shared" si="8"/>
        <v>12.999999999999998</v>
      </c>
      <c r="AC45" s="1">
        <f t="shared" si="9"/>
        <v>9.1157024793388448</v>
      </c>
      <c r="AD45" s="1">
        <v>47.2</v>
      </c>
      <c r="AE45" s="1">
        <v>52.6</v>
      </c>
      <c r="AF45" s="1">
        <v>67.400000000000006</v>
      </c>
      <c r="AG45" s="1">
        <v>65.8</v>
      </c>
      <c r="AH45" s="1">
        <v>55.4</v>
      </c>
      <c r="AI45" s="1">
        <v>50.6</v>
      </c>
      <c r="AJ45" s="1">
        <v>63.6</v>
      </c>
      <c r="AK45" s="1">
        <v>56.4</v>
      </c>
      <c r="AL45" s="1" t="s">
        <v>40</v>
      </c>
      <c r="AM45" s="1">
        <f t="shared" si="10"/>
        <v>0</v>
      </c>
      <c r="AN45" s="1">
        <f t="shared" si="11"/>
        <v>75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 t="s">
        <v>86</v>
      </c>
      <c r="B46" s="1" t="s">
        <v>37</v>
      </c>
      <c r="C46" s="1">
        <v>20.443000000000001</v>
      </c>
      <c r="D46" s="1">
        <v>86.007000000000005</v>
      </c>
      <c r="E46" s="1">
        <v>33.35</v>
      </c>
      <c r="F46" s="1">
        <v>54.646000000000001</v>
      </c>
      <c r="G46" s="8">
        <v>1</v>
      </c>
      <c r="H46" s="1">
        <v>50</v>
      </c>
      <c r="I46" s="1" t="s">
        <v>38</v>
      </c>
      <c r="J46" s="1"/>
      <c r="K46" s="1">
        <v>41.5</v>
      </c>
      <c r="L46" s="1">
        <f t="shared" si="15"/>
        <v>-8.1499999999999986</v>
      </c>
      <c r="M46" s="1"/>
      <c r="N46" s="1"/>
      <c r="O46" s="1">
        <v>9.9455999999999918</v>
      </c>
      <c r="P46" s="1">
        <v>84.641399999999962</v>
      </c>
      <c r="Q46" s="1">
        <v>0</v>
      </c>
      <c r="R46" s="1">
        <f t="shared" si="4"/>
        <v>6.67</v>
      </c>
      <c r="S46" s="5"/>
      <c r="T46" s="5">
        <f t="shared" si="5"/>
        <v>0</v>
      </c>
      <c r="U46" s="5"/>
      <c r="V46" s="5">
        <f t="shared" si="6"/>
        <v>0</v>
      </c>
      <c r="W46" s="5"/>
      <c r="X46" s="5">
        <f t="shared" si="7"/>
        <v>0</v>
      </c>
      <c r="Y46" s="5"/>
      <c r="Z46" s="1"/>
      <c r="AA46" s="1"/>
      <c r="AB46" s="1">
        <f t="shared" si="8"/>
        <v>22.37376311844077</v>
      </c>
      <c r="AC46" s="1">
        <f t="shared" si="9"/>
        <v>22.37376311844077</v>
      </c>
      <c r="AD46" s="1">
        <v>13.2408</v>
      </c>
      <c r="AE46" s="1">
        <v>13.295</v>
      </c>
      <c r="AF46" s="1">
        <v>10.221</v>
      </c>
      <c r="AG46" s="1">
        <v>10.7812</v>
      </c>
      <c r="AH46" s="1">
        <v>9.9163999999999994</v>
      </c>
      <c r="AI46" s="1">
        <v>9.9561999999999991</v>
      </c>
      <c r="AJ46" s="1">
        <v>12.7616</v>
      </c>
      <c r="AK46" s="1">
        <v>15.2072</v>
      </c>
      <c r="AL46" s="1"/>
      <c r="AM46" s="1">
        <f t="shared" si="10"/>
        <v>0</v>
      </c>
      <c r="AN46" s="1">
        <f t="shared" si="11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 t="s">
        <v>87</v>
      </c>
      <c r="B47" s="1" t="s">
        <v>37</v>
      </c>
      <c r="C47" s="1">
        <v>129.23599999999999</v>
      </c>
      <c r="D47" s="1">
        <v>168.41</v>
      </c>
      <c r="E47" s="1">
        <v>142.10400000000001</v>
      </c>
      <c r="F47" s="1">
        <v>146.81700000000001</v>
      </c>
      <c r="G47" s="8">
        <v>1</v>
      </c>
      <c r="H47" s="1">
        <v>50</v>
      </c>
      <c r="I47" s="1" t="s">
        <v>38</v>
      </c>
      <c r="J47" s="1"/>
      <c r="K47" s="1">
        <v>133.1</v>
      </c>
      <c r="L47" s="1">
        <f t="shared" si="15"/>
        <v>9.0040000000000191</v>
      </c>
      <c r="M47" s="1"/>
      <c r="N47" s="1"/>
      <c r="O47" s="1">
        <v>37.013399999999983</v>
      </c>
      <c r="P47" s="1">
        <v>0</v>
      </c>
      <c r="Q47" s="1">
        <v>0</v>
      </c>
      <c r="R47" s="1">
        <f t="shared" si="4"/>
        <v>28.420800000000003</v>
      </c>
      <c r="S47" s="5">
        <f t="shared" si="14"/>
        <v>157.21920000000006</v>
      </c>
      <c r="T47" s="5">
        <f t="shared" si="5"/>
        <v>157.21920000000006</v>
      </c>
      <c r="U47" s="5"/>
      <c r="V47" s="5">
        <f t="shared" si="6"/>
        <v>157.21920000000006</v>
      </c>
      <c r="W47" s="5"/>
      <c r="X47" s="5">
        <f t="shared" si="7"/>
        <v>157.21920000000006</v>
      </c>
      <c r="Y47" s="5"/>
      <c r="Z47" s="1"/>
      <c r="AA47" s="1"/>
      <c r="AB47" s="1">
        <f t="shared" si="8"/>
        <v>12</v>
      </c>
      <c r="AC47" s="1">
        <f t="shared" si="9"/>
        <v>6.468164161459212</v>
      </c>
      <c r="AD47" s="1">
        <v>18.7074</v>
      </c>
      <c r="AE47" s="1">
        <v>18.491800000000001</v>
      </c>
      <c r="AF47" s="1">
        <v>30.000599999999999</v>
      </c>
      <c r="AG47" s="1">
        <v>31.035599999999999</v>
      </c>
      <c r="AH47" s="1">
        <v>25.999400000000001</v>
      </c>
      <c r="AI47" s="1">
        <v>20.065000000000001</v>
      </c>
      <c r="AJ47" s="1">
        <v>17.214600000000001</v>
      </c>
      <c r="AK47" s="1">
        <v>25.673999999999999</v>
      </c>
      <c r="AL47" s="1"/>
      <c r="AM47" s="1">
        <f t="shared" si="10"/>
        <v>0</v>
      </c>
      <c r="AN47" s="1">
        <f t="shared" si="11"/>
        <v>157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" t="s">
        <v>88</v>
      </c>
      <c r="B48" s="1" t="s">
        <v>37</v>
      </c>
      <c r="C48" s="1">
        <v>102.544</v>
      </c>
      <c r="D48" s="1">
        <v>42.997999999999998</v>
      </c>
      <c r="E48" s="1">
        <v>33.814999999999998</v>
      </c>
      <c r="F48" s="1">
        <v>68.891000000000005</v>
      </c>
      <c r="G48" s="8">
        <v>1</v>
      </c>
      <c r="H48" s="1">
        <v>40</v>
      </c>
      <c r="I48" s="11" t="s">
        <v>89</v>
      </c>
      <c r="J48" s="1"/>
      <c r="K48" s="1">
        <v>31.3</v>
      </c>
      <c r="L48" s="1">
        <f t="shared" si="15"/>
        <v>2.514999999999997</v>
      </c>
      <c r="M48" s="1"/>
      <c r="N48" s="1"/>
      <c r="O48" s="1">
        <v>1300</v>
      </c>
      <c r="P48" s="1">
        <v>0</v>
      </c>
      <c r="Q48" s="1">
        <v>0</v>
      </c>
      <c r="R48" s="1">
        <f t="shared" si="4"/>
        <v>6.7629999999999999</v>
      </c>
      <c r="S48" s="5"/>
      <c r="T48" s="5">
        <f t="shared" si="5"/>
        <v>0</v>
      </c>
      <c r="U48" s="5"/>
      <c r="V48" s="5">
        <f t="shared" si="6"/>
        <v>0</v>
      </c>
      <c r="W48" s="5"/>
      <c r="X48" s="5">
        <f t="shared" si="7"/>
        <v>0</v>
      </c>
      <c r="Y48" s="5"/>
      <c r="Z48" s="1"/>
      <c r="AA48" s="1"/>
      <c r="AB48" s="1">
        <f t="shared" si="8"/>
        <v>202.40884222977971</v>
      </c>
      <c r="AC48" s="1">
        <f t="shared" si="9"/>
        <v>202.40884222977971</v>
      </c>
      <c r="AD48" s="1">
        <v>6.1753999999999998</v>
      </c>
      <c r="AE48" s="1">
        <v>9.5682000000000009</v>
      </c>
      <c r="AF48" s="1">
        <v>13.1676</v>
      </c>
      <c r="AG48" s="1">
        <v>13.786799999999999</v>
      </c>
      <c r="AH48" s="1">
        <v>9.6112000000000002</v>
      </c>
      <c r="AI48" s="1">
        <v>0</v>
      </c>
      <c r="AJ48" s="1">
        <v>0</v>
      </c>
      <c r="AK48" s="1">
        <v>305.3734</v>
      </c>
      <c r="AL48" s="1" t="s">
        <v>90</v>
      </c>
      <c r="AM48" s="1">
        <f t="shared" si="10"/>
        <v>0</v>
      </c>
      <c r="AN48" s="1">
        <f t="shared" si="11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 t="s">
        <v>91</v>
      </c>
      <c r="B49" s="1" t="s">
        <v>43</v>
      </c>
      <c r="C49" s="1">
        <v>123</v>
      </c>
      <c r="D49" s="1">
        <v>179</v>
      </c>
      <c r="E49" s="1">
        <v>104</v>
      </c>
      <c r="F49" s="1">
        <v>187</v>
      </c>
      <c r="G49" s="8">
        <v>0.45</v>
      </c>
      <c r="H49" s="1">
        <v>50</v>
      </c>
      <c r="I49" s="1" t="s">
        <v>38</v>
      </c>
      <c r="J49" s="1"/>
      <c r="K49" s="1">
        <v>109</v>
      </c>
      <c r="L49" s="1">
        <f t="shared" si="15"/>
        <v>-5</v>
      </c>
      <c r="M49" s="1"/>
      <c r="N49" s="1"/>
      <c r="O49" s="1">
        <v>0</v>
      </c>
      <c r="P49" s="1">
        <v>0</v>
      </c>
      <c r="Q49" s="1">
        <v>24.199999999999989</v>
      </c>
      <c r="R49" s="1">
        <f t="shared" si="4"/>
        <v>20.8</v>
      </c>
      <c r="S49" s="5">
        <f t="shared" si="14"/>
        <v>38.400000000000034</v>
      </c>
      <c r="T49" s="5">
        <f t="shared" si="5"/>
        <v>38.400000000000034</v>
      </c>
      <c r="U49" s="5"/>
      <c r="V49" s="5">
        <f t="shared" si="6"/>
        <v>38.400000000000034</v>
      </c>
      <c r="W49" s="5"/>
      <c r="X49" s="5">
        <f t="shared" si="7"/>
        <v>38.400000000000034</v>
      </c>
      <c r="Y49" s="5"/>
      <c r="Z49" s="1"/>
      <c r="AA49" s="1"/>
      <c r="AB49" s="1">
        <f t="shared" si="8"/>
        <v>12</v>
      </c>
      <c r="AC49" s="1">
        <f t="shared" si="9"/>
        <v>10.153846153846153</v>
      </c>
      <c r="AD49" s="1">
        <v>20.2</v>
      </c>
      <c r="AE49" s="1">
        <v>8</v>
      </c>
      <c r="AF49" s="1">
        <v>15.8</v>
      </c>
      <c r="AG49" s="1">
        <v>27.2</v>
      </c>
      <c r="AH49" s="1">
        <v>23.2</v>
      </c>
      <c r="AI49" s="1">
        <v>12.8</v>
      </c>
      <c r="AJ49" s="1">
        <v>15.2</v>
      </c>
      <c r="AK49" s="1">
        <v>20.2</v>
      </c>
      <c r="AL49" s="1"/>
      <c r="AM49" s="1">
        <f t="shared" si="10"/>
        <v>0</v>
      </c>
      <c r="AN49" s="1">
        <f t="shared" si="11"/>
        <v>17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 t="s">
        <v>92</v>
      </c>
      <c r="B50" s="1" t="s">
        <v>43</v>
      </c>
      <c r="C50" s="1">
        <v>90</v>
      </c>
      <c r="D50" s="1"/>
      <c r="E50" s="1">
        <v>41</v>
      </c>
      <c r="F50" s="1">
        <v>41</v>
      </c>
      <c r="G50" s="8">
        <v>0.4</v>
      </c>
      <c r="H50" s="1">
        <v>40</v>
      </c>
      <c r="I50" s="1" t="s">
        <v>38</v>
      </c>
      <c r="J50" s="1"/>
      <c r="K50" s="1">
        <v>49</v>
      </c>
      <c r="L50" s="1">
        <f t="shared" si="15"/>
        <v>-8</v>
      </c>
      <c r="M50" s="1"/>
      <c r="N50" s="1"/>
      <c r="O50" s="1">
        <v>0</v>
      </c>
      <c r="P50" s="1">
        <v>0</v>
      </c>
      <c r="Q50" s="1">
        <v>24</v>
      </c>
      <c r="R50" s="1">
        <f t="shared" si="4"/>
        <v>8.1999999999999993</v>
      </c>
      <c r="S50" s="5">
        <f t="shared" si="14"/>
        <v>33.399999999999991</v>
      </c>
      <c r="T50" s="5">
        <f t="shared" si="5"/>
        <v>33.399999999999991</v>
      </c>
      <c r="U50" s="5"/>
      <c r="V50" s="5">
        <f t="shared" si="6"/>
        <v>33.399999999999991</v>
      </c>
      <c r="W50" s="5"/>
      <c r="X50" s="5">
        <f t="shared" si="7"/>
        <v>33.399999999999991</v>
      </c>
      <c r="Y50" s="5"/>
      <c r="Z50" s="1"/>
      <c r="AA50" s="1"/>
      <c r="AB50" s="1">
        <f t="shared" si="8"/>
        <v>12</v>
      </c>
      <c r="AC50" s="1">
        <f t="shared" si="9"/>
        <v>7.9268292682926838</v>
      </c>
      <c r="AD50" s="1">
        <v>7.8</v>
      </c>
      <c r="AE50" s="1">
        <v>3.8</v>
      </c>
      <c r="AF50" s="1">
        <v>6.8</v>
      </c>
      <c r="AG50" s="1">
        <v>9.1999999999999993</v>
      </c>
      <c r="AH50" s="1">
        <v>4.4000000000000004</v>
      </c>
      <c r="AI50" s="1">
        <v>0.6</v>
      </c>
      <c r="AJ50" s="1">
        <v>10.4</v>
      </c>
      <c r="AK50" s="1">
        <v>15.8</v>
      </c>
      <c r="AL50" s="1" t="s">
        <v>93</v>
      </c>
      <c r="AM50" s="1">
        <f t="shared" si="10"/>
        <v>0</v>
      </c>
      <c r="AN50" s="1">
        <f t="shared" si="11"/>
        <v>13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 t="s">
        <v>94</v>
      </c>
      <c r="B51" s="1" t="s">
        <v>43</v>
      </c>
      <c r="C51" s="1">
        <v>211</v>
      </c>
      <c r="D51" s="1">
        <v>81</v>
      </c>
      <c r="E51" s="1">
        <v>36</v>
      </c>
      <c r="F51" s="1">
        <v>168</v>
      </c>
      <c r="G51" s="8">
        <v>0.4</v>
      </c>
      <c r="H51" s="1">
        <v>40</v>
      </c>
      <c r="I51" s="1" t="s">
        <v>38</v>
      </c>
      <c r="J51" s="1"/>
      <c r="K51" s="1">
        <v>45</v>
      </c>
      <c r="L51" s="1">
        <f t="shared" si="15"/>
        <v>-9</v>
      </c>
      <c r="M51" s="1"/>
      <c r="N51" s="1"/>
      <c r="O51" s="1">
        <v>30</v>
      </c>
      <c r="P51" s="1">
        <v>0</v>
      </c>
      <c r="Q51" s="1">
        <v>0</v>
      </c>
      <c r="R51" s="1">
        <f t="shared" si="4"/>
        <v>7.2</v>
      </c>
      <c r="S51" s="5"/>
      <c r="T51" s="5">
        <f t="shared" si="5"/>
        <v>0</v>
      </c>
      <c r="U51" s="5"/>
      <c r="V51" s="5">
        <f t="shared" si="6"/>
        <v>0</v>
      </c>
      <c r="W51" s="5"/>
      <c r="X51" s="5">
        <f t="shared" si="7"/>
        <v>0</v>
      </c>
      <c r="Y51" s="5"/>
      <c r="Z51" s="1"/>
      <c r="AA51" s="1"/>
      <c r="AB51" s="1">
        <f t="shared" si="8"/>
        <v>27.5</v>
      </c>
      <c r="AC51" s="1">
        <f t="shared" si="9"/>
        <v>27.5</v>
      </c>
      <c r="AD51" s="1">
        <v>9.1999999999999993</v>
      </c>
      <c r="AE51" s="1">
        <v>8.8000000000000007</v>
      </c>
      <c r="AF51" s="1">
        <v>4.2</v>
      </c>
      <c r="AG51" s="1">
        <v>12.6</v>
      </c>
      <c r="AH51" s="1">
        <v>22.8</v>
      </c>
      <c r="AI51" s="1">
        <v>14.4</v>
      </c>
      <c r="AJ51" s="1">
        <v>7.4</v>
      </c>
      <c r="AK51" s="1">
        <v>0.4</v>
      </c>
      <c r="AL51" s="22" t="s">
        <v>151</v>
      </c>
      <c r="AM51" s="1">
        <f t="shared" si="10"/>
        <v>0</v>
      </c>
      <c r="AN51" s="1">
        <f t="shared" si="11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6" t="s">
        <v>95</v>
      </c>
      <c r="B52" s="16" t="s">
        <v>37</v>
      </c>
      <c r="C52" s="16"/>
      <c r="D52" s="16"/>
      <c r="E52" s="16"/>
      <c r="F52" s="16"/>
      <c r="G52" s="17">
        <v>0</v>
      </c>
      <c r="H52" s="16">
        <v>50</v>
      </c>
      <c r="I52" s="16" t="s">
        <v>38</v>
      </c>
      <c r="J52" s="16"/>
      <c r="K52" s="16"/>
      <c r="L52" s="16">
        <f t="shared" si="15"/>
        <v>0</v>
      </c>
      <c r="M52" s="16"/>
      <c r="N52" s="16"/>
      <c r="O52" s="16">
        <v>0</v>
      </c>
      <c r="P52" s="16">
        <v>0</v>
      </c>
      <c r="Q52" s="16">
        <v>0</v>
      </c>
      <c r="R52" s="16">
        <f t="shared" si="4"/>
        <v>0</v>
      </c>
      <c r="S52" s="18"/>
      <c r="T52" s="5">
        <f t="shared" si="5"/>
        <v>0</v>
      </c>
      <c r="U52" s="18"/>
      <c r="V52" s="5">
        <f t="shared" si="6"/>
        <v>0</v>
      </c>
      <c r="W52" s="5"/>
      <c r="X52" s="5">
        <f t="shared" si="7"/>
        <v>0</v>
      </c>
      <c r="Y52" s="18"/>
      <c r="Z52" s="16"/>
      <c r="AA52" s="16"/>
      <c r="AB52" s="1" t="e">
        <f t="shared" si="8"/>
        <v>#DIV/0!</v>
      </c>
      <c r="AC52" s="16" t="e">
        <f t="shared" si="9"/>
        <v>#DIV/0!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 t="s">
        <v>62</v>
      </c>
      <c r="AM52" s="1">
        <f t="shared" si="10"/>
        <v>0</v>
      </c>
      <c r="AN52" s="1">
        <f t="shared" si="11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 t="s">
        <v>96</v>
      </c>
      <c r="B53" s="1" t="s">
        <v>43</v>
      </c>
      <c r="C53" s="1">
        <v>105</v>
      </c>
      <c r="D53" s="1">
        <v>36</v>
      </c>
      <c r="E53" s="1">
        <v>27</v>
      </c>
      <c r="F53" s="1">
        <v>78</v>
      </c>
      <c r="G53" s="8">
        <v>0.1</v>
      </c>
      <c r="H53" s="1">
        <v>730</v>
      </c>
      <c r="I53" s="1" t="s">
        <v>38</v>
      </c>
      <c r="J53" s="1"/>
      <c r="K53" s="1">
        <v>27</v>
      </c>
      <c r="L53" s="1">
        <f t="shared" si="15"/>
        <v>0</v>
      </c>
      <c r="M53" s="1"/>
      <c r="N53" s="1"/>
      <c r="O53" s="1">
        <v>0</v>
      </c>
      <c r="P53" s="1">
        <v>0</v>
      </c>
      <c r="Q53" s="1">
        <v>0</v>
      </c>
      <c r="R53" s="1">
        <f t="shared" si="4"/>
        <v>5.4</v>
      </c>
      <c r="S53" s="5"/>
      <c r="T53" s="5">
        <f t="shared" si="5"/>
        <v>0</v>
      </c>
      <c r="U53" s="5"/>
      <c r="V53" s="5">
        <f t="shared" si="6"/>
        <v>0</v>
      </c>
      <c r="W53" s="5"/>
      <c r="X53" s="5">
        <f t="shared" si="7"/>
        <v>0</v>
      </c>
      <c r="Y53" s="5"/>
      <c r="Z53" s="1"/>
      <c r="AA53" s="1"/>
      <c r="AB53" s="1">
        <f t="shared" si="8"/>
        <v>14.444444444444443</v>
      </c>
      <c r="AC53" s="1">
        <f t="shared" si="9"/>
        <v>14.444444444444443</v>
      </c>
      <c r="AD53" s="1">
        <v>4.2</v>
      </c>
      <c r="AE53" s="1">
        <v>5.4</v>
      </c>
      <c r="AF53" s="1">
        <v>6.8</v>
      </c>
      <c r="AG53" s="1">
        <v>6.2</v>
      </c>
      <c r="AH53" s="1">
        <v>9</v>
      </c>
      <c r="AI53" s="1">
        <v>13.8</v>
      </c>
      <c r="AJ53" s="1">
        <v>10.8</v>
      </c>
      <c r="AK53" s="1">
        <v>7.6</v>
      </c>
      <c r="AL53" s="1"/>
      <c r="AM53" s="1">
        <f t="shared" si="10"/>
        <v>0</v>
      </c>
      <c r="AN53" s="1">
        <f t="shared" si="11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" t="s">
        <v>97</v>
      </c>
      <c r="B54" s="1" t="s">
        <v>37</v>
      </c>
      <c r="C54" s="1">
        <v>150.339</v>
      </c>
      <c r="D54" s="1">
        <v>150.56100000000001</v>
      </c>
      <c r="E54" s="1">
        <v>163.911</v>
      </c>
      <c r="F54" s="1">
        <v>101.59</v>
      </c>
      <c r="G54" s="8">
        <v>1</v>
      </c>
      <c r="H54" s="1">
        <v>50</v>
      </c>
      <c r="I54" s="1" t="s">
        <v>38</v>
      </c>
      <c r="J54" s="1"/>
      <c r="K54" s="1">
        <v>157.69999999999999</v>
      </c>
      <c r="L54" s="1">
        <f t="shared" si="15"/>
        <v>6.2110000000000127</v>
      </c>
      <c r="M54" s="1"/>
      <c r="N54" s="1"/>
      <c r="O54" s="1">
        <v>10.9312000000001</v>
      </c>
      <c r="P54" s="1">
        <v>0</v>
      </c>
      <c r="Q54" s="1">
        <v>253.47759999999991</v>
      </c>
      <c r="R54" s="1">
        <f t="shared" si="4"/>
        <v>32.782200000000003</v>
      </c>
      <c r="S54" s="5">
        <f t="shared" ref="S54:S64" si="18">12*R54-Q54-P54-O54-F54</f>
        <v>27.38760000000002</v>
      </c>
      <c r="T54" s="5">
        <f t="shared" si="5"/>
        <v>27.38760000000002</v>
      </c>
      <c r="U54" s="5">
        <f>$U$1*R54</f>
        <v>32.782200000000003</v>
      </c>
      <c r="V54" s="5">
        <f t="shared" si="6"/>
        <v>60.169800000000023</v>
      </c>
      <c r="W54" s="5"/>
      <c r="X54" s="5">
        <f t="shared" si="7"/>
        <v>60.169800000000023</v>
      </c>
      <c r="Y54" s="5"/>
      <c r="Z54" s="1"/>
      <c r="AA54" s="1"/>
      <c r="AB54" s="1">
        <f t="shared" si="8"/>
        <v>13</v>
      </c>
      <c r="AC54" s="1">
        <f t="shared" si="9"/>
        <v>11.164558815454727</v>
      </c>
      <c r="AD54" s="1">
        <v>30.646599999999999</v>
      </c>
      <c r="AE54" s="1">
        <v>21.851600000000001</v>
      </c>
      <c r="AF54" s="1">
        <v>26.482600000000001</v>
      </c>
      <c r="AG54" s="1">
        <v>30.510400000000001</v>
      </c>
      <c r="AH54" s="1">
        <v>30.425599999999999</v>
      </c>
      <c r="AI54" s="1">
        <v>20.245799999999999</v>
      </c>
      <c r="AJ54" s="1">
        <v>20.403199999999998</v>
      </c>
      <c r="AK54" s="1">
        <v>21.472200000000001</v>
      </c>
      <c r="AL54" s="1"/>
      <c r="AM54" s="1">
        <f t="shared" si="10"/>
        <v>0</v>
      </c>
      <c r="AN54" s="1">
        <f t="shared" si="11"/>
        <v>60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" t="s">
        <v>98</v>
      </c>
      <c r="B55" s="1" t="s">
        <v>37</v>
      </c>
      <c r="C55" s="1">
        <v>55.837000000000003</v>
      </c>
      <c r="D55" s="1">
        <v>14.983000000000001</v>
      </c>
      <c r="E55" s="1">
        <v>33.170999999999999</v>
      </c>
      <c r="F55" s="1">
        <v>32.923000000000002</v>
      </c>
      <c r="G55" s="8">
        <v>1</v>
      </c>
      <c r="H55" s="1">
        <v>50</v>
      </c>
      <c r="I55" s="1" t="s">
        <v>38</v>
      </c>
      <c r="J55" s="1"/>
      <c r="K55" s="1">
        <v>33.5</v>
      </c>
      <c r="L55" s="1">
        <f t="shared" si="15"/>
        <v>-0.32900000000000063</v>
      </c>
      <c r="M55" s="1"/>
      <c r="N55" s="1"/>
      <c r="O55" s="1">
        <v>0</v>
      </c>
      <c r="P55" s="1">
        <v>4</v>
      </c>
      <c r="Q55" s="1">
        <v>0</v>
      </c>
      <c r="R55" s="1">
        <f t="shared" si="4"/>
        <v>6.6341999999999999</v>
      </c>
      <c r="S55" s="5">
        <f t="shared" si="18"/>
        <v>42.687399999999997</v>
      </c>
      <c r="T55" s="5">
        <f t="shared" si="5"/>
        <v>42.687399999999997</v>
      </c>
      <c r="U55" s="5"/>
      <c r="V55" s="5">
        <f t="shared" si="6"/>
        <v>42.687399999999997</v>
      </c>
      <c r="W55" s="5"/>
      <c r="X55" s="5">
        <f t="shared" si="7"/>
        <v>42.687399999999997</v>
      </c>
      <c r="Y55" s="5"/>
      <c r="Z55" s="1"/>
      <c r="AA55" s="1"/>
      <c r="AB55" s="1">
        <f t="shared" si="8"/>
        <v>12</v>
      </c>
      <c r="AC55" s="1">
        <f t="shared" si="9"/>
        <v>5.565554249193573</v>
      </c>
      <c r="AD55" s="1">
        <v>3.8988</v>
      </c>
      <c r="AE55" s="1">
        <v>5.4142000000000001</v>
      </c>
      <c r="AF55" s="1">
        <v>5.4139999999999997</v>
      </c>
      <c r="AG55" s="1">
        <v>6.7549999999999999</v>
      </c>
      <c r="AH55" s="1">
        <v>7.2695999999999996</v>
      </c>
      <c r="AI55" s="1">
        <v>4.5891999999999999</v>
      </c>
      <c r="AJ55" s="1">
        <v>3.5293999999999999</v>
      </c>
      <c r="AK55" s="1">
        <v>5.4336000000000002</v>
      </c>
      <c r="AL55" s="1"/>
      <c r="AM55" s="1">
        <f t="shared" si="10"/>
        <v>0</v>
      </c>
      <c r="AN55" s="1">
        <f t="shared" si="11"/>
        <v>43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" t="s">
        <v>99</v>
      </c>
      <c r="B56" s="1" t="s">
        <v>43</v>
      </c>
      <c r="C56" s="1">
        <v>103</v>
      </c>
      <c r="D56" s="1">
        <v>40</v>
      </c>
      <c r="E56" s="1">
        <v>30</v>
      </c>
      <c r="F56" s="1">
        <v>73</v>
      </c>
      <c r="G56" s="8">
        <v>0.1</v>
      </c>
      <c r="H56" s="1">
        <v>730</v>
      </c>
      <c r="I56" s="1" t="s">
        <v>38</v>
      </c>
      <c r="J56" s="1"/>
      <c r="K56" s="1">
        <v>30</v>
      </c>
      <c r="L56" s="1">
        <f t="shared" si="15"/>
        <v>0</v>
      </c>
      <c r="M56" s="1"/>
      <c r="N56" s="1"/>
      <c r="O56" s="1">
        <v>0</v>
      </c>
      <c r="P56" s="1">
        <v>0</v>
      </c>
      <c r="Q56" s="1">
        <v>0</v>
      </c>
      <c r="R56" s="1">
        <f t="shared" si="4"/>
        <v>6</v>
      </c>
      <c r="S56" s="5"/>
      <c r="T56" s="5">
        <f t="shared" si="5"/>
        <v>0</v>
      </c>
      <c r="U56" s="5"/>
      <c r="V56" s="5">
        <f t="shared" si="6"/>
        <v>0</v>
      </c>
      <c r="W56" s="5"/>
      <c r="X56" s="5">
        <f t="shared" si="7"/>
        <v>0</v>
      </c>
      <c r="Y56" s="5"/>
      <c r="Z56" s="1"/>
      <c r="AA56" s="1"/>
      <c r="AB56" s="1">
        <f t="shared" si="8"/>
        <v>12.166666666666666</v>
      </c>
      <c r="AC56" s="1">
        <f t="shared" si="9"/>
        <v>12.166666666666666</v>
      </c>
      <c r="AD56" s="1">
        <v>4.8</v>
      </c>
      <c r="AE56" s="1">
        <v>5.8</v>
      </c>
      <c r="AF56" s="1">
        <v>6.8</v>
      </c>
      <c r="AG56" s="1">
        <v>6.6</v>
      </c>
      <c r="AH56" s="1">
        <v>9.8000000000000007</v>
      </c>
      <c r="AI56" s="1">
        <v>13.8</v>
      </c>
      <c r="AJ56" s="1">
        <v>9.8000000000000007</v>
      </c>
      <c r="AK56" s="1">
        <v>6.4</v>
      </c>
      <c r="AL56" s="1"/>
      <c r="AM56" s="1">
        <f t="shared" si="10"/>
        <v>0</v>
      </c>
      <c r="AN56" s="1">
        <f t="shared" si="11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 t="s">
        <v>100</v>
      </c>
      <c r="B57" s="1" t="s">
        <v>43</v>
      </c>
      <c r="C57" s="1">
        <v>34</v>
      </c>
      <c r="D57" s="1">
        <v>73</v>
      </c>
      <c r="E57" s="1">
        <v>49</v>
      </c>
      <c r="F57" s="1">
        <v>45</v>
      </c>
      <c r="G57" s="8">
        <v>0.4</v>
      </c>
      <c r="H57" s="1">
        <v>50</v>
      </c>
      <c r="I57" s="1" t="s">
        <v>38</v>
      </c>
      <c r="J57" s="1"/>
      <c r="K57" s="1">
        <v>54</v>
      </c>
      <c r="L57" s="1">
        <f t="shared" si="15"/>
        <v>-5</v>
      </c>
      <c r="M57" s="1"/>
      <c r="N57" s="1"/>
      <c r="O57" s="1">
        <v>0</v>
      </c>
      <c r="P57" s="1">
        <v>0</v>
      </c>
      <c r="Q57" s="1">
        <v>70</v>
      </c>
      <c r="R57" s="1">
        <f t="shared" si="4"/>
        <v>9.8000000000000007</v>
      </c>
      <c r="S57" s="5">
        <v>6</v>
      </c>
      <c r="T57" s="5">
        <f t="shared" si="5"/>
        <v>6</v>
      </c>
      <c r="U57" s="5"/>
      <c r="V57" s="5">
        <f t="shared" si="6"/>
        <v>6</v>
      </c>
      <c r="W57" s="5"/>
      <c r="X57" s="5">
        <f t="shared" si="7"/>
        <v>6</v>
      </c>
      <c r="Y57" s="5"/>
      <c r="Z57" s="1"/>
      <c r="AA57" s="1"/>
      <c r="AB57" s="1">
        <f t="shared" si="8"/>
        <v>12.346938775510203</v>
      </c>
      <c r="AC57" s="1">
        <f t="shared" si="9"/>
        <v>11.73469387755102</v>
      </c>
      <c r="AD57" s="1">
        <v>11</v>
      </c>
      <c r="AE57" s="1">
        <v>4</v>
      </c>
      <c r="AF57" s="1">
        <v>8.4</v>
      </c>
      <c r="AG57" s="1">
        <v>10.8</v>
      </c>
      <c r="AH57" s="1">
        <v>5.8</v>
      </c>
      <c r="AI57" s="1">
        <v>6.4</v>
      </c>
      <c r="AJ57" s="1">
        <v>12.4</v>
      </c>
      <c r="AK57" s="1">
        <v>12.8</v>
      </c>
      <c r="AL57" s="1"/>
      <c r="AM57" s="1">
        <f t="shared" si="10"/>
        <v>0</v>
      </c>
      <c r="AN57" s="1">
        <f t="shared" si="11"/>
        <v>2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 t="s">
        <v>101</v>
      </c>
      <c r="B58" s="1" t="s">
        <v>37</v>
      </c>
      <c r="C58" s="1">
        <v>1.272</v>
      </c>
      <c r="D58" s="1"/>
      <c r="E58" s="1"/>
      <c r="F58" s="1"/>
      <c r="G58" s="8">
        <v>1</v>
      </c>
      <c r="H58" s="1">
        <v>40</v>
      </c>
      <c r="I58" s="1" t="s">
        <v>38</v>
      </c>
      <c r="J58" s="1"/>
      <c r="K58" s="1">
        <v>2.6</v>
      </c>
      <c r="L58" s="1">
        <f t="shared" si="15"/>
        <v>-2.6</v>
      </c>
      <c r="M58" s="1"/>
      <c r="N58" s="1"/>
      <c r="O58" s="1">
        <v>28.438600000000001</v>
      </c>
      <c r="P58" s="1">
        <v>45.896600000000007</v>
      </c>
      <c r="Q58" s="1">
        <v>0</v>
      </c>
      <c r="R58" s="1">
        <f t="shared" si="4"/>
        <v>0</v>
      </c>
      <c r="S58" s="5"/>
      <c r="T58" s="5">
        <f t="shared" si="5"/>
        <v>0</v>
      </c>
      <c r="U58" s="5"/>
      <c r="V58" s="5">
        <f t="shared" si="6"/>
        <v>0</v>
      </c>
      <c r="W58" s="5"/>
      <c r="X58" s="5">
        <f t="shared" si="7"/>
        <v>0</v>
      </c>
      <c r="Y58" s="5"/>
      <c r="Z58" s="1"/>
      <c r="AA58" s="1"/>
      <c r="AB58" s="1" t="e">
        <f t="shared" si="8"/>
        <v>#DIV/0!</v>
      </c>
      <c r="AC58" s="1" t="e">
        <f t="shared" si="9"/>
        <v>#DIV/0!</v>
      </c>
      <c r="AD58" s="1">
        <v>2.1882000000000001</v>
      </c>
      <c r="AE58" s="1">
        <v>6.3006000000000002</v>
      </c>
      <c r="AF58" s="1">
        <v>4.3723999999999998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 t="s">
        <v>76</v>
      </c>
      <c r="AM58" s="1">
        <f t="shared" si="10"/>
        <v>0</v>
      </c>
      <c r="AN58" s="1">
        <f t="shared" si="11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 t="s">
        <v>102</v>
      </c>
      <c r="B59" s="1" t="s">
        <v>37</v>
      </c>
      <c r="C59" s="1">
        <v>8.0790000000000006</v>
      </c>
      <c r="D59" s="1">
        <v>0.217</v>
      </c>
      <c r="E59" s="1">
        <v>8.2959999999999994</v>
      </c>
      <c r="F59" s="1"/>
      <c r="G59" s="8">
        <v>1</v>
      </c>
      <c r="H59" s="1">
        <v>40</v>
      </c>
      <c r="I59" s="1" t="s">
        <v>38</v>
      </c>
      <c r="J59" s="1"/>
      <c r="K59" s="1">
        <v>15.8</v>
      </c>
      <c r="L59" s="1">
        <f t="shared" si="15"/>
        <v>-7.5040000000000013</v>
      </c>
      <c r="M59" s="1"/>
      <c r="N59" s="1"/>
      <c r="O59" s="1">
        <v>20.61</v>
      </c>
      <c r="P59" s="1">
        <v>30.912600000000001</v>
      </c>
      <c r="Q59" s="1">
        <v>0</v>
      </c>
      <c r="R59" s="1">
        <f t="shared" si="4"/>
        <v>1.6591999999999998</v>
      </c>
      <c r="S59" s="5"/>
      <c r="T59" s="5">
        <f t="shared" si="5"/>
        <v>0</v>
      </c>
      <c r="U59" s="5"/>
      <c r="V59" s="5">
        <f t="shared" si="6"/>
        <v>0</v>
      </c>
      <c r="W59" s="5"/>
      <c r="X59" s="5">
        <f t="shared" si="7"/>
        <v>0</v>
      </c>
      <c r="Y59" s="5"/>
      <c r="Z59" s="1"/>
      <c r="AA59" s="1"/>
      <c r="AB59" s="1">
        <f t="shared" si="8"/>
        <v>31.05267598842816</v>
      </c>
      <c r="AC59" s="1">
        <f t="shared" si="9"/>
        <v>31.05267598842816</v>
      </c>
      <c r="AD59" s="1">
        <v>3.0577999999999999</v>
      </c>
      <c r="AE59" s="1">
        <v>4.9668000000000001</v>
      </c>
      <c r="AF59" s="1">
        <v>3.5682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 t="s">
        <v>76</v>
      </c>
      <c r="AM59" s="1">
        <f t="shared" si="10"/>
        <v>0</v>
      </c>
      <c r="AN59" s="1">
        <f t="shared" si="11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 t="s">
        <v>103</v>
      </c>
      <c r="B60" s="1" t="s">
        <v>43</v>
      </c>
      <c r="C60" s="1">
        <v>396</v>
      </c>
      <c r="D60" s="1">
        <v>616</v>
      </c>
      <c r="E60" s="1">
        <v>368</v>
      </c>
      <c r="F60" s="1">
        <v>309</v>
      </c>
      <c r="G60" s="8">
        <v>0.4</v>
      </c>
      <c r="H60" s="1">
        <v>40</v>
      </c>
      <c r="I60" s="1" t="s">
        <v>38</v>
      </c>
      <c r="J60" s="1"/>
      <c r="K60" s="1">
        <v>375</v>
      </c>
      <c r="L60" s="1">
        <f t="shared" si="15"/>
        <v>-7</v>
      </c>
      <c r="M60" s="1"/>
      <c r="N60" s="1"/>
      <c r="O60" s="1">
        <v>123.2000000000004</v>
      </c>
      <c r="P60" s="1">
        <v>0</v>
      </c>
      <c r="Q60" s="1">
        <v>269.39999999999952</v>
      </c>
      <c r="R60" s="1">
        <f t="shared" si="4"/>
        <v>73.599999999999994</v>
      </c>
      <c r="S60" s="5">
        <f t="shared" si="18"/>
        <v>181.60000000000002</v>
      </c>
      <c r="T60" s="5">
        <f t="shared" si="5"/>
        <v>181.60000000000002</v>
      </c>
      <c r="U60" s="5">
        <f t="shared" ref="U60:U64" si="19">$U$1*R60</f>
        <v>73.599999999999994</v>
      </c>
      <c r="V60" s="5">
        <f t="shared" si="6"/>
        <v>255.20000000000002</v>
      </c>
      <c r="W60" s="5"/>
      <c r="X60" s="5">
        <f t="shared" si="7"/>
        <v>255.20000000000002</v>
      </c>
      <c r="Y60" s="5"/>
      <c r="Z60" s="1"/>
      <c r="AA60" s="1"/>
      <c r="AB60" s="1">
        <f t="shared" si="8"/>
        <v>13</v>
      </c>
      <c r="AC60" s="1">
        <f t="shared" si="9"/>
        <v>9.5326086956521738</v>
      </c>
      <c r="AD60" s="1">
        <v>72.599999999999994</v>
      </c>
      <c r="AE60" s="1">
        <v>65.599999999999994</v>
      </c>
      <c r="AF60" s="1">
        <v>81.8</v>
      </c>
      <c r="AG60" s="1">
        <v>84.6</v>
      </c>
      <c r="AH60" s="1">
        <v>81.599999999999994</v>
      </c>
      <c r="AI60" s="1">
        <v>74.8</v>
      </c>
      <c r="AJ60" s="1">
        <v>80.599999999999994</v>
      </c>
      <c r="AK60" s="1">
        <v>86.8</v>
      </c>
      <c r="AL60" s="1"/>
      <c r="AM60" s="1">
        <f t="shared" si="10"/>
        <v>0</v>
      </c>
      <c r="AN60" s="1">
        <f t="shared" si="11"/>
        <v>102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 t="s">
        <v>104</v>
      </c>
      <c r="B61" s="1" t="s">
        <v>43</v>
      </c>
      <c r="C61" s="1">
        <v>199</v>
      </c>
      <c r="D61" s="1">
        <v>390</v>
      </c>
      <c r="E61" s="1">
        <v>265</v>
      </c>
      <c r="F61" s="1">
        <v>244</v>
      </c>
      <c r="G61" s="8">
        <v>0.4</v>
      </c>
      <c r="H61" s="1">
        <v>40</v>
      </c>
      <c r="I61" s="1" t="s">
        <v>38</v>
      </c>
      <c r="J61" s="1"/>
      <c r="K61" s="1">
        <v>267</v>
      </c>
      <c r="L61" s="1">
        <f t="shared" si="15"/>
        <v>-2</v>
      </c>
      <c r="M61" s="1"/>
      <c r="N61" s="1"/>
      <c r="O61" s="1">
        <v>176</v>
      </c>
      <c r="P61" s="1">
        <v>0</v>
      </c>
      <c r="Q61" s="1">
        <v>51.399999999999977</v>
      </c>
      <c r="R61" s="1">
        <f t="shared" si="4"/>
        <v>53</v>
      </c>
      <c r="S61" s="5">
        <f t="shared" si="18"/>
        <v>164.60000000000002</v>
      </c>
      <c r="T61" s="5">
        <f t="shared" si="5"/>
        <v>164.60000000000002</v>
      </c>
      <c r="U61" s="5">
        <f t="shared" si="19"/>
        <v>53</v>
      </c>
      <c r="V61" s="5">
        <f t="shared" si="6"/>
        <v>217.60000000000002</v>
      </c>
      <c r="W61" s="5"/>
      <c r="X61" s="5">
        <f t="shared" si="7"/>
        <v>217.60000000000002</v>
      </c>
      <c r="Y61" s="5"/>
      <c r="Z61" s="1"/>
      <c r="AA61" s="1"/>
      <c r="AB61" s="1">
        <f t="shared" si="8"/>
        <v>13</v>
      </c>
      <c r="AC61" s="1">
        <f t="shared" si="9"/>
        <v>8.8943396226415086</v>
      </c>
      <c r="AD61" s="1">
        <v>50.4</v>
      </c>
      <c r="AE61" s="1">
        <v>53.2</v>
      </c>
      <c r="AF61" s="1">
        <v>68.599999999999994</v>
      </c>
      <c r="AG61" s="1">
        <v>64.599999999999994</v>
      </c>
      <c r="AH61" s="1">
        <v>55</v>
      </c>
      <c r="AI61" s="1">
        <v>48.8</v>
      </c>
      <c r="AJ61" s="1">
        <v>55.6</v>
      </c>
      <c r="AK61" s="1">
        <v>62.6</v>
      </c>
      <c r="AL61" s="1" t="s">
        <v>40</v>
      </c>
      <c r="AM61" s="1">
        <f t="shared" si="10"/>
        <v>0</v>
      </c>
      <c r="AN61" s="1">
        <f t="shared" si="11"/>
        <v>87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 t="s">
        <v>105</v>
      </c>
      <c r="B62" s="1" t="s">
        <v>37</v>
      </c>
      <c r="C62" s="1">
        <v>159.41900000000001</v>
      </c>
      <c r="D62" s="1">
        <v>392.98500000000001</v>
      </c>
      <c r="E62" s="1">
        <v>167.67500000000001</v>
      </c>
      <c r="F62" s="1">
        <v>217.33199999999999</v>
      </c>
      <c r="G62" s="8">
        <v>1</v>
      </c>
      <c r="H62" s="1">
        <v>40</v>
      </c>
      <c r="I62" s="1" t="s">
        <v>38</v>
      </c>
      <c r="J62" s="1"/>
      <c r="K62" s="1">
        <v>158.9</v>
      </c>
      <c r="L62" s="1">
        <f t="shared" si="15"/>
        <v>8.7750000000000057</v>
      </c>
      <c r="M62" s="1"/>
      <c r="N62" s="1"/>
      <c r="O62" s="1">
        <v>4</v>
      </c>
      <c r="P62" s="1">
        <v>0</v>
      </c>
      <c r="Q62" s="1">
        <v>143.05120000000011</v>
      </c>
      <c r="R62" s="1">
        <f t="shared" si="4"/>
        <v>33.535000000000004</v>
      </c>
      <c r="S62" s="5">
        <f t="shared" si="18"/>
        <v>38.036799999999971</v>
      </c>
      <c r="T62" s="5">
        <f t="shared" si="5"/>
        <v>38.036799999999971</v>
      </c>
      <c r="U62" s="5">
        <f t="shared" si="19"/>
        <v>33.535000000000004</v>
      </c>
      <c r="V62" s="5">
        <f t="shared" si="6"/>
        <v>71.571799999999968</v>
      </c>
      <c r="W62" s="5"/>
      <c r="X62" s="5">
        <f t="shared" si="7"/>
        <v>71.571799999999968</v>
      </c>
      <c r="Y62" s="5"/>
      <c r="Z62" s="1"/>
      <c r="AA62" s="1"/>
      <c r="AB62" s="1">
        <f t="shared" si="8"/>
        <v>13</v>
      </c>
      <c r="AC62" s="1">
        <f t="shared" si="9"/>
        <v>10.865758163113167</v>
      </c>
      <c r="AD62" s="1">
        <v>37.005200000000002</v>
      </c>
      <c r="AE62" s="1">
        <v>29.488</v>
      </c>
      <c r="AF62" s="1">
        <v>39.411799999999999</v>
      </c>
      <c r="AG62" s="1">
        <v>43.397199999999998</v>
      </c>
      <c r="AH62" s="1">
        <v>37.247799999999998</v>
      </c>
      <c r="AI62" s="1">
        <v>32.560400000000001</v>
      </c>
      <c r="AJ62" s="1">
        <v>30.3734</v>
      </c>
      <c r="AK62" s="1">
        <v>33.2044</v>
      </c>
      <c r="AL62" s="1"/>
      <c r="AM62" s="1">
        <f t="shared" si="10"/>
        <v>0</v>
      </c>
      <c r="AN62" s="1">
        <f t="shared" si="11"/>
        <v>72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 t="s">
        <v>106</v>
      </c>
      <c r="B63" s="1" t="s">
        <v>37</v>
      </c>
      <c r="C63" s="1">
        <v>194.93700000000001</v>
      </c>
      <c r="D63" s="1">
        <v>199.934</v>
      </c>
      <c r="E63" s="1">
        <v>172.14599999999999</v>
      </c>
      <c r="F63" s="1">
        <v>93.954999999999998</v>
      </c>
      <c r="G63" s="8">
        <v>1</v>
      </c>
      <c r="H63" s="1">
        <v>40</v>
      </c>
      <c r="I63" s="1" t="s">
        <v>38</v>
      </c>
      <c r="J63" s="1"/>
      <c r="K63" s="1">
        <v>154.9</v>
      </c>
      <c r="L63" s="1">
        <f t="shared" si="15"/>
        <v>17.245999999999981</v>
      </c>
      <c r="M63" s="1"/>
      <c r="N63" s="1"/>
      <c r="O63" s="1">
        <v>162.9444</v>
      </c>
      <c r="P63" s="1">
        <v>60.210000000000122</v>
      </c>
      <c r="Q63" s="1">
        <v>55.603199999999823</v>
      </c>
      <c r="R63" s="1">
        <f t="shared" si="4"/>
        <v>34.429199999999994</v>
      </c>
      <c r="S63" s="5">
        <f t="shared" si="18"/>
        <v>40.437799999999939</v>
      </c>
      <c r="T63" s="5">
        <f t="shared" si="5"/>
        <v>40.437799999999939</v>
      </c>
      <c r="U63" s="5">
        <f t="shared" si="19"/>
        <v>34.429199999999994</v>
      </c>
      <c r="V63" s="5">
        <f t="shared" si="6"/>
        <v>74.866999999999933</v>
      </c>
      <c r="W63" s="5"/>
      <c r="X63" s="5">
        <f t="shared" si="7"/>
        <v>74.866999999999933</v>
      </c>
      <c r="Y63" s="5"/>
      <c r="Z63" s="1"/>
      <c r="AA63" s="1"/>
      <c r="AB63" s="1">
        <f t="shared" si="8"/>
        <v>13</v>
      </c>
      <c r="AC63" s="1">
        <f t="shared" si="9"/>
        <v>10.825479534813475</v>
      </c>
      <c r="AD63" s="1">
        <v>38.568600000000004</v>
      </c>
      <c r="AE63" s="1">
        <v>41.019599999999997</v>
      </c>
      <c r="AF63" s="1">
        <v>45.186199999999999</v>
      </c>
      <c r="AG63" s="1">
        <v>38.601199999999999</v>
      </c>
      <c r="AH63" s="1">
        <v>38.673400000000001</v>
      </c>
      <c r="AI63" s="1">
        <v>43.221400000000003</v>
      </c>
      <c r="AJ63" s="1">
        <v>37.890799999999999</v>
      </c>
      <c r="AK63" s="1">
        <v>33.007800000000003</v>
      </c>
      <c r="AL63" s="1"/>
      <c r="AM63" s="1">
        <f t="shared" si="10"/>
        <v>0</v>
      </c>
      <c r="AN63" s="1">
        <f t="shared" si="11"/>
        <v>75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 t="s">
        <v>107</v>
      </c>
      <c r="B64" s="1" t="s">
        <v>37</v>
      </c>
      <c r="C64" s="1">
        <v>272.33100000000002</v>
      </c>
      <c r="D64" s="1">
        <v>561.66200000000003</v>
      </c>
      <c r="E64" s="1">
        <v>345.69299999999998</v>
      </c>
      <c r="F64" s="1">
        <v>212.15100000000001</v>
      </c>
      <c r="G64" s="8">
        <v>1</v>
      </c>
      <c r="H64" s="1">
        <v>40</v>
      </c>
      <c r="I64" s="1" t="s">
        <v>38</v>
      </c>
      <c r="J64" s="1"/>
      <c r="K64" s="1">
        <v>319.89999999999998</v>
      </c>
      <c r="L64" s="1">
        <f t="shared" si="15"/>
        <v>25.793000000000006</v>
      </c>
      <c r="M64" s="1"/>
      <c r="N64" s="1"/>
      <c r="O64" s="1">
        <v>137.35040000000001</v>
      </c>
      <c r="P64" s="1">
        <v>25.02091999999999</v>
      </c>
      <c r="Q64" s="1">
        <v>294.06168000000002</v>
      </c>
      <c r="R64" s="1">
        <f t="shared" si="4"/>
        <v>69.138599999999997</v>
      </c>
      <c r="S64" s="5">
        <f t="shared" si="18"/>
        <v>161.07919999999996</v>
      </c>
      <c r="T64" s="5">
        <f t="shared" si="5"/>
        <v>161.07919999999996</v>
      </c>
      <c r="U64" s="5">
        <f t="shared" si="19"/>
        <v>69.138599999999997</v>
      </c>
      <c r="V64" s="5">
        <f t="shared" si="6"/>
        <v>230.21779999999995</v>
      </c>
      <c r="W64" s="5"/>
      <c r="X64" s="5">
        <f t="shared" si="7"/>
        <v>230.21779999999995</v>
      </c>
      <c r="Y64" s="5"/>
      <c r="Z64" s="1"/>
      <c r="AA64" s="1"/>
      <c r="AB64" s="1">
        <f t="shared" si="8"/>
        <v>13</v>
      </c>
      <c r="AC64" s="1">
        <f t="shared" si="9"/>
        <v>9.6701987023167977</v>
      </c>
      <c r="AD64" s="1">
        <v>66.917999999999992</v>
      </c>
      <c r="AE64" s="1">
        <v>59.311400000000013</v>
      </c>
      <c r="AF64" s="1">
        <v>67.319000000000003</v>
      </c>
      <c r="AG64" s="1">
        <v>69.433999999999997</v>
      </c>
      <c r="AH64" s="1">
        <v>59.194800000000001</v>
      </c>
      <c r="AI64" s="1">
        <v>51.930399999999999</v>
      </c>
      <c r="AJ64" s="1">
        <v>58.971400000000003</v>
      </c>
      <c r="AK64" s="1">
        <v>49.595199999999998</v>
      </c>
      <c r="AL64" s="1"/>
      <c r="AM64" s="1">
        <f t="shared" si="10"/>
        <v>0</v>
      </c>
      <c r="AN64" s="1">
        <f t="shared" si="11"/>
        <v>230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6" t="s">
        <v>108</v>
      </c>
      <c r="B65" s="16" t="s">
        <v>37</v>
      </c>
      <c r="C65" s="16"/>
      <c r="D65" s="16"/>
      <c r="E65" s="16"/>
      <c r="F65" s="16"/>
      <c r="G65" s="17">
        <v>0</v>
      </c>
      <c r="H65" s="16">
        <v>30</v>
      </c>
      <c r="I65" s="16" t="s">
        <v>38</v>
      </c>
      <c r="J65" s="16"/>
      <c r="K65" s="16"/>
      <c r="L65" s="16">
        <f t="shared" si="15"/>
        <v>0</v>
      </c>
      <c r="M65" s="16"/>
      <c r="N65" s="16"/>
      <c r="O65" s="16">
        <v>0</v>
      </c>
      <c r="P65" s="16">
        <v>0</v>
      </c>
      <c r="Q65" s="16">
        <v>0</v>
      </c>
      <c r="R65" s="16">
        <f t="shared" si="4"/>
        <v>0</v>
      </c>
      <c r="S65" s="18"/>
      <c r="T65" s="5">
        <f t="shared" si="5"/>
        <v>0</v>
      </c>
      <c r="U65" s="18"/>
      <c r="V65" s="5">
        <f t="shared" si="6"/>
        <v>0</v>
      </c>
      <c r="W65" s="5"/>
      <c r="X65" s="5">
        <f t="shared" si="7"/>
        <v>0</v>
      </c>
      <c r="Y65" s="18"/>
      <c r="Z65" s="16"/>
      <c r="AA65" s="16"/>
      <c r="AB65" s="1" t="e">
        <f t="shared" si="8"/>
        <v>#DIV/0!</v>
      </c>
      <c r="AC65" s="16" t="e">
        <f t="shared" si="9"/>
        <v>#DIV/0!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 t="s">
        <v>62</v>
      </c>
      <c r="AM65" s="1">
        <f t="shared" si="10"/>
        <v>0</v>
      </c>
      <c r="AN65" s="1">
        <f t="shared" si="11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 t="s">
        <v>109</v>
      </c>
      <c r="B66" s="1" t="s">
        <v>43</v>
      </c>
      <c r="C66" s="1">
        <v>17</v>
      </c>
      <c r="D66" s="1">
        <v>16</v>
      </c>
      <c r="E66" s="1">
        <v>3</v>
      </c>
      <c r="F66" s="1">
        <v>30</v>
      </c>
      <c r="G66" s="8">
        <v>0.6</v>
      </c>
      <c r="H66" s="1">
        <v>60</v>
      </c>
      <c r="I66" s="1" t="s">
        <v>38</v>
      </c>
      <c r="J66" s="1"/>
      <c r="K66" s="1">
        <v>3</v>
      </c>
      <c r="L66" s="1">
        <f t="shared" si="15"/>
        <v>0</v>
      </c>
      <c r="M66" s="1"/>
      <c r="N66" s="1"/>
      <c r="O66" s="1">
        <v>0</v>
      </c>
      <c r="P66" s="1">
        <v>0</v>
      </c>
      <c r="Q66" s="1">
        <v>0</v>
      </c>
      <c r="R66" s="1">
        <f t="shared" si="4"/>
        <v>0.6</v>
      </c>
      <c r="S66" s="5"/>
      <c r="T66" s="5">
        <f t="shared" si="5"/>
        <v>0</v>
      </c>
      <c r="U66" s="5"/>
      <c r="V66" s="5">
        <f t="shared" si="6"/>
        <v>0</v>
      </c>
      <c r="W66" s="5"/>
      <c r="X66" s="5">
        <f t="shared" si="7"/>
        <v>0</v>
      </c>
      <c r="Y66" s="5"/>
      <c r="Z66" s="1"/>
      <c r="AA66" s="1"/>
      <c r="AB66" s="1">
        <f t="shared" si="8"/>
        <v>50</v>
      </c>
      <c r="AC66" s="1">
        <f t="shared" si="9"/>
        <v>50</v>
      </c>
      <c r="AD66" s="1">
        <v>1.4</v>
      </c>
      <c r="AE66" s="1">
        <v>1</v>
      </c>
      <c r="AF66" s="1">
        <v>1</v>
      </c>
      <c r="AG66" s="1">
        <v>2.6</v>
      </c>
      <c r="AH66" s="1">
        <v>1</v>
      </c>
      <c r="AI66" s="1">
        <v>0</v>
      </c>
      <c r="AJ66" s="1">
        <v>0</v>
      </c>
      <c r="AK66" s="1">
        <v>0</v>
      </c>
      <c r="AL66" s="15" t="s">
        <v>152</v>
      </c>
      <c r="AM66" s="1">
        <f t="shared" si="10"/>
        <v>0</v>
      </c>
      <c r="AN66" s="1">
        <f t="shared" si="11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 t="s">
        <v>110</v>
      </c>
      <c r="B67" s="1" t="s">
        <v>43</v>
      </c>
      <c r="C67" s="1">
        <v>131</v>
      </c>
      <c r="D67" s="1">
        <v>65</v>
      </c>
      <c r="E67" s="1">
        <v>61</v>
      </c>
      <c r="F67" s="1">
        <v>97</v>
      </c>
      <c r="G67" s="8">
        <v>0.37</v>
      </c>
      <c r="H67" s="1">
        <v>50</v>
      </c>
      <c r="I67" s="1" t="s">
        <v>155</v>
      </c>
      <c r="J67" s="1"/>
      <c r="K67" s="1">
        <v>73</v>
      </c>
      <c r="L67" s="1">
        <f t="shared" si="15"/>
        <v>-12</v>
      </c>
      <c r="M67" s="1"/>
      <c r="N67" s="1"/>
      <c r="O67" s="1">
        <v>0</v>
      </c>
      <c r="P67" s="1">
        <v>0</v>
      </c>
      <c r="Q67" s="1">
        <v>35.400000000000013</v>
      </c>
      <c r="R67" s="1">
        <f t="shared" si="4"/>
        <v>12.2</v>
      </c>
      <c r="S67" s="5">
        <f t="shared" ref="S67" si="20">12*R67-Q67-P67-O67-F67</f>
        <v>13.999999999999972</v>
      </c>
      <c r="T67" s="5">
        <f>Y67</f>
        <v>60</v>
      </c>
      <c r="U67" s="5"/>
      <c r="V67" s="5">
        <f t="shared" si="6"/>
        <v>60</v>
      </c>
      <c r="W67" s="5"/>
      <c r="X67" s="5">
        <f t="shared" si="7"/>
        <v>60</v>
      </c>
      <c r="Y67" s="23">
        <v>60</v>
      </c>
      <c r="Z67" s="22" t="s">
        <v>154</v>
      </c>
      <c r="AA67" s="1"/>
      <c r="AB67" s="1">
        <f t="shared" si="8"/>
        <v>15.77049180327869</v>
      </c>
      <c r="AC67" s="1">
        <f t="shared" si="9"/>
        <v>10.852459016393444</v>
      </c>
      <c r="AD67" s="1">
        <v>12.4</v>
      </c>
      <c r="AE67" s="1">
        <v>5.8</v>
      </c>
      <c r="AF67" s="1">
        <v>10.199999999999999</v>
      </c>
      <c r="AG67" s="1">
        <v>16</v>
      </c>
      <c r="AH67" s="1">
        <v>16</v>
      </c>
      <c r="AI67" s="1">
        <v>12</v>
      </c>
      <c r="AJ67" s="1">
        <v>13.8</v>
      </c>
      <c r="AK67" s="1">
        <v>7.4</v>
      </c>
      <c r="AL67" s="1" t="s">
        <v>40</v>
      </c>
      <c r="AM67" s="1">
        <f t="shared" si="10"/>
        <v>0</v>
      </c>
      <c r="AN67" s="1">
        <f t="shared" si="11"/>
        <v>22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6" t="s">
        <v>111</v>
      </c>
      <c r="B68" s="16" t="s">
        <v>43</v>
      </c>
      <c r="C68" s="16"/>
      <c r="D68" s="16"/>
      <c r="E68" s="16"/>
      <c r="F68" s="16"/>
      <c r="G68" s="17">
        <v>0</v>
      </c>
      <c r="H68" s="16">
        <v>30</v>
      </c>
      <c r="I68" s="16" t="s">
        <v>38</v>
      </c>
      <c r="J68" s="16"/>
      <c r="K68" s="16"/>
      <c r="L68" s="16">
        <f t="shared" si="15"/>
        <v>0</v>
      </c>
      <c r="M68" s="16"/>
      <c r="N68" s="16"/>
      <c r="O68" s="16">
        <v>0</v>
      </c>
      <c r="P68" s="16">
        <v>0</v>
      </c>
      <c r="Q68" s="16">
        <v>0</v>
      </c>
      <c r="R68" s="16">
        <f t="shared" si="4"/>
        <v>0</v>
      </c>
      <c r="S68" s="18"/>
      <c r="T68" s="5">
        <f t="shared" si="5"/>
        <v>0</v>
      </c>
      <c r="U68" s="18"/>
      <c r="V68" s="5">
        <f t="shared" si="6"/>
        <v>0</v>
      </c>
      <c r="W68" s="5"/>
      <c r="X68" s="5">
        <f t="shared" si="7"/>
        <v>0</v>
      </c>
      <c r="Y68" s="18"/>
      <c r="Z68" s="16"/>
      <c r="AA68" s="16"/>
      <c r="AB68" s="1" t="e">
        <f t="shared" si="8"/>
        <v>#DIV/0!</v>
      </c>
      <c r="AC68" s="16" t="e">
        <f t="shared" si="9"/>
        <v>#DIV/0!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 t="s">
        <v>62</v>
      </c>
      <c r="AM68" s="1">
        <f t="shared" si="10"/>
        <v>0</v>
      </c>
      <c r="AN68" s="1">
        <f t="shared" si="1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 t="s">
        <v>112</v>
      </c>
      <c r="B69" s="1" t="s">
        <v>43</v>
      </c>
      <c r="C69" s="1">
        <v>25</v>
      </c>
      <c r="D69" s="1"/>
      <c r="E69" s="1">
        <v>8</v>
      </c>
      <c r="F69" s="1">
        <v>17</v>
      </c>
      <c r="G69" s="8">
        <v>0.6</v>
      </c>
      <c r="H69" s="1">
        <v>55</v>
      </c>
      <c r="I69" s="1" t="s">
        <v>38</v>
      </c>
      <c r="J69" s="1"/>
      <c r="K69" s="1">
        <v>8</v>
      </c>
      <c r="L69" s="1">
        <f t="shared" si="15"/>
        <v>0</v>
      </c>
      <c r="M69" s="1"/>
      <c r="N69" s="1"/>
      <c r="O69" s="1">
        <v>0</v>
      </c>
      <c r="P69" s="1">
        <v>0</v>
      </c>
      <c r="Q69" s="1">
        <v>0</v>
      </c>
      <c r="R69" s="1">
        <f t="shared" si="4"/>
        <v>1.6</v>
      </c>
      <c r="S69" s="5">
        <v>6</v>
      </c>
      <c r="T69" s="5">
        <f t="shared" si="5"/>
        <v>6</v>
      </c>
      <c r="U69" s="5"/>
      <c r="V69" s="5">
        <f t="shared" si="6"/>
        <v>6</v>
      </c>
      <c r="W69" s="5"/>
      <c r="X69" s="5">
        <f t="shared" si="7"/>
        <v>6</v>
      </c>
      <c r="Y69" s="5"/>
      <c r="Z69" s="1"/>
      <c r="AA69" s="1"/>
      <c r="AB69" s="1">
        <f t="shared" si="8"/>
        <v>14.375</v>
      </c>
      <c r="AC69" s="1">
        <f t="shared" si="9"/>
        <v>10.625</v>
      </c>
      <c r="AD69" s="1">
        <v>2</v>
      </c>
      <c r="AE69" s="1">
        <v>1</v>
      </c>
      <c r="AF69" s="1">
        <v>0.4</v>
      </c>
      <c r="AG69" s="1">
        <v>0.4</v>
      </c>
      <c r="AH69" s="1">
        <v>0</v>
      </c>
      <c r="AI69" s="1">
        <v>0</v>
      </c>
      <c r="AJ69" s="1">
        <v>0</v>
      </c>
      <c r="AK69" s="1">
        <v>0</v>
      </c>
      <c r="AL69" s="1" t="s">
        <v>113</v>
      </c>
      <c r="AM69" s="1">
        <f t="shared" si="10"/>
        <v>0</v>
      </c>
      <c r="AN69" s="1">
        <f t="shared" si="11"/>
        <v>4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6" t="s">
        <v>114</v>
      </c>
      <c r="B70" s="16" t="s">
        <v>43</v>
      </c>
      <c r="C70" s="16"/>
      <c r="D70" s="16"/>
      <c r="E70" s="16"/>
      <c r="F70" s="16"/>
      <c r="G70" s="17">
        <v>0</v>
      </c>
      <c r="H70" s="16">
        <v>40</v>
      </c>
      <c r="I70" s="16" t="s">
        <v>38</v>
      </c>
      <c r="J70" s="16"/>
      <c r="K70" s="16"/>
      <c r="L70" s="16">
        <f t="shared" ref="L70:L96" si="21">E70-K70</f>
        <v>0</v>
      </c>
      <c r="M70" s="16"/>
      <c r="N70" s="16"/>
      <c r="O70" s="16">
        <v>0</v>
      </c>
      <c r="P70" s="16">
        <v>0</v>
      </c>
      <c r="Q70" s="16">
        <v>0</v>
      </c>
      <c r="R70" s="16">
        <f t="shared" si="4"/>
        <v>0</v>
      </c>
      <c r="S70" s="18"/>
      <c r="T70" s="5">
        <f t="shared" si="5"/>
        <v>0</v>
      </c>
      <c r="U70" s="18"/>
      <c r="V70" s="5">
        <f t="shared" si="6"/>
        <v>0</v>
      </c>
      <c r="W70" s="5"/>
      <c r="X70" s="5">
        <f t="shared" si="7"/>
        <v>0</v>
      </c>
      <c r="Y70" s="18"/>
      <c r="Z70" s="16"/>
      <c r="AA70" s="16"/>
      <c r="AB70" s="1" t="e">
        <f t="shared" si="8"/>
        <v>#DIV/0!</v>
      </c>
      <c r="AC70" s="16" t="e">
        <f t="shared" si="9"/>
        <v>#DIV/0!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 t="s">
        <v>115</v>
      </c>
      <c r="AM70" s="1">
        <f t="shared" si="10"/>
        <v>0</v>
      </c>
      <c r="AN70" s="1">
        <f t="shared" si="11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 t="s">
        <v>116</v>
      </c>
      <c r="B71" s="1" t="s">
        <v>43</v>
      </c>
      <c r="C71" s="1">
        <v>67</v>
      </c>
      <c r="D71" s="1">
        <v>34</v>
      </c>
      <c r="E71" s="1">
        <v>47</v>
      </c>
      <c r="F71" s="1">
        <v>16</v>
      </c>
      <c r="G71" s="8">
        <v>0.4</v>
      </c>
      <c r="H71" s="1">
        <v>50</v>
      </c>
      <c r="I71" s="1" t="s">
        <v>38</v>
      </c>
      <c r="J71" s="1"/>
      <c r="K71" s="1">
        <v>50</v>
      </c>
      <c r="L71" s="1">
        <f t="shared" si="21"/>
        <v>-3</v>
      </c>
      <c r="M71" s="1"/>
      <c r="N71" s="1"/>
      <c r="O71" s="1">
        <v>0</v>
      </c>
      <c r="P71" s="1">
        <v>0</v>
      </c>
      <c r="Q71" s="1">
        <v>62</v>
      </c>
      <c r="R71" s="1">
        <f t="shared" ref="R71:R96" si="22">E71/5</f>
        <v>9.4</v>
      </c>
      <c r="S71" s="5">
        <f>12*R71-Q71-P71-O71-F71</f>
        <v>34.800000000000011</v>
      </c>
      <c r="T71" s="5">
        <f t="shared" ref="T71:T96" si="23">S71</f>
        <v>34.800000000000011</v>
      </c>
      <c r="U71" s="5"/>
      <c r="V71" s="5">
        <f t="shared" ref="V71:V96" si="24">U71+T71</f>
        <v>34.800000000000011</v>
      </c>
      <c r="W71" s="5"/>
      <c r="X71" s="5">
        <f t="shared" ref="X71:X96" si="25">V71-W71</f>
        <v>34.800000000000011</v>
      </c>
      <c r="Y71" s="5"/>
      <c r="Z71" s="1"/>
      <c r="AA71" s="1"/>
      <c r="AB71" s="1">
        <f t="shared" ref="AB71:AB96" si="26">(F71+O71+P71+Q71+V71)/R71</f>
        <v>12</v>
      </c>
      <c r="AC71" s="1">
        <f t="shared" ref="AC71:AC96" si="27">(F71+O71+P71+Q71)/R71</f>
        <v>8.2978723404255312</v>
      </c>
      <c r="AD71" s="1">
        <v>10</v>
      </c>
      <c r="AE71" s="1">
        <v>5</v>
      </c>
      <c r="AF71" s="1">
        <v>4</v>
      </c>
      <c r="AG71" s="1">
        <v>4.5999999999999996</v>
      </c>
      <c r="AH71" s="1">
        <v>7.8</v>
      </c>
      <c r="AI71" s="1">
        <v>8</v>
      </c>
      <c r="AJ71" s="1">
        <v>8.8000000000000007</v>
      </c>
      <c r="AK71" s="1">
        <v>5.4</v>
      </c>
      <c r="AL71" s="1"/>
      <c r="AM71" s="1">
        <f t="shared" ref="AM71:AN96" si="28">ROUND(W71*G71,0)</f>
        <v>0</v>
      </c>
      <c r="AN71" s="1">
        <f t="shared" ref="AN71:AN96" si="29">ROUND(X71*G71,0)</f>
        <v>14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6" t="s">
        <v>117</v>
      </c>
      <c r="B72" s="16" t="s">
        <v>43</v>
      </c>
      <c r="C72" s="16"/>
      <c r="D72" s="16"/>
      <c r="E72" s="16"/>
      <c r="F72" s="16"/>
      <c r="G72" s="17">
        <v>0</v>
      </c>
      <c r="H72" s="16">
        <v>55</v>
      </c>
      <c r="I72" s="16" t="s">
        <v>38</v>
      </c>
      <c r="J72" s="16"/>
      <c r="K72" s="16"/>
      <c r="L72" s="16">
        <f t="shared" si="21"/>
        <v>0</v>
      </c>
      <c r="M72" s="16"/>
      <c r="N72" s="16"/>
      <c r="O72" s="16">
        <v>0</v>
      </c>
      <c r="P72" s="16">
        <v>0</v>
      </c>
      <c r="Q72" s="16">
        <v>0</v>
      </c>
      <c r="R72" s="16">
        <f t="shared" si="22"/>
        <v>0</v>
      </c>
      <c r="S72" s="18"/>
      <c r="T72" s="5">
        <f t="shared" si="23"/>
        <v>0</v>
      </c>
      <c r="U72" s="18"/>
      <c r="V72" s="5">
        <f t="shared" si="24"/>
        <v>0</v>
      </c>
      <c r="W72" s="5"/>
      <c r="X72" s="5">
        <f t="shared" si="25"/>
        <v>0</v>
      </c>
      <c r="Y72" s="18"/>
      <c r="Z72" s="16"/>
      <c r="AA72" s="16"/>
      <c r="AB72" s="1" t="e">
        <f t="shared" si="26"/>
        <v>#DIV/0!</v>
      </c>
      <c r="AC72" s="16" t="e">
        <f t="shared" si="27"/>
        <v>#DIV/0!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 t="s">
        <v>62</v>
      </c>
      <c r="AM72" s="1">
        <f t="shared" si="28"/>
        <v>0</v>
      </c>
      <c r="AN72" s="1">
        <f t="shared" si="29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6" t="s">
        <v>118</v>
      </c>
      <c r="B73" s="16" t="s">
        <v>37</v>
      </c>
      <c r="C73" s="16"/>
      <c r="D73" s="16"/>
      <c r="E73" s="16"/>
      <c r="F73" s="16"/>
      <c r="G73" s="17">
        <v>0</v>
      </c>
      <c r="H73" s="16">
        <v>55</v>
      </c>
      <c r="I73" s="16" t="s">
        <v>38</v>
      </c>
      <c r="J73" s="16"/>
      <c r="K73" s="16"/>
      <c r="L73" s="16">
        <f t="shared" si="21"/>
        <v>0</v>
      </c>
      <c r="M73" s="16"/>
      <c r="N73" s="16"/>
      <c r="O73" s="16">
        <v>0</v>
      </c>
      <c r="P73" s="16">
        <v>0</v>
      </c>
      <c r="Q73" s="16">
        <v>0</v>
      </c>
      <c r="R73" s="16">
        <f t="shared" si="22"/>
        <v>0</v>
      </c>
      <c r="S73" s="18"/>
      <c r="T73" s="5">
        <f t="shared" si="23"/>
        <v>0</v>
      </c>
      <c r="U73" s="18"/>
      <c r="V73" s="5">
        <f t="shared" si="24"/>
        <v>0</v>
      </c>
      <c r="W73" s="5"/>
      <c r="X73" s="5">
        <f t="shared" si="25"/>
        <v>0</v>
      </c>
      <c r="Y73" s="18"/>
      <c r="Z73" s="16"/>
      <c r="AA73" s="16"/>
      <c r="AB73" s="1" t="e">
        <f t="shared" si="26"/>
        <v>#DIV/0!</v>
      </c>
      <c r="AC73" s="16" t="e">
        <f t="shared" si="27"/>
        <v>#DIV/0!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 t="s">
        <v>119</v>
      </c>
      <c r="AM73" s="1">
        <f t="shared" si="28"/>
        <v>0</v>
      </c>
      <c r="AN73" s="1">
        <f t="shared" si="29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 t="s">
        <v>120</v>
      </c>
      <c r="B74" s="1" t="s">
        <v>37</v>
      </c>
      <c r="C74" s="1">
        <v>2.831</v>
      </c>
      <c r="D74" s="1">
        <v>230.16499999999999</v>
      </c>
      <c r="E74" s="1">
        <v>64.429000000000002</v>
      </c>
      <c r="F74" s="1">
        <v>119.52200000000001</v>
      </c>
      <c r="G74" s="8">
        <v>1</v>
      </c>
      <c r="H74" s="1">
        <v>60</v>
      </c>
      <c r="I74" s="1" t="s">
        <v>38</v>
      </c>
      <c r="J74" s="1"/>
      <c r="K74" s="1">
        <v>84.15</v>
      </c>
      <c r="L74" s="1">
        <f t="shared" si="21"/>
        <v>-19.721000000000004</v>
      </c>
      <c r="M74" s="1"/>
      <c r="N74" s="1"/>
      <c r="O74" s="1">
        <v>49.514800000000079</v>
      </c>
      <c r="P74" s="1">
        <v>27.35139999999992</v>
      </c>
      <c r="Q74" s="1">
        <v>0</v>
      </c>
      <c r="R74" s="1">
        <f t="shared" si="22"/>
        <v>12.8858</v>
      </c>
      <c r="S74" s="5"/>
      <c r="T74" s="5">
        <f t="shared" si="23"/>
        <v>0</v>
      </c>
      <c r="U74" s="5"/>
      <c r="V74" s="5">
        <f t="shared" si="24"/>
        <v>0</v>
      </c>
      <c r="W74" s="5"/>
      <c r="X74" s="5">
        <f t="shared" si="25"/>
        <v>0</v>
      </c>
      <c r="Y74" s="5"/>
      <c r="Z74" s="1"/>
      <c r="AA74" s="1"/>
      <c r="AB74" s="1">
        <f t="shared" si="26"/>
        <v>15.240668022163934</v>
      </c>
      <c r="AC74" s="1">
        <f t="shared" si="27"/>
        <v>15.240668022163934</v>
      </c>
      <c r="AD74" s="1">
        <v>14.573600000000001</v>
      </c>
      <c r="AE74" s="1">
        <v>21.3994</v>
      </c>
      <c r="AF74" s="1">
        <v>25.075600000000001</v>
      </c>
      <c r="AG74" s="1">
        <v>23.010400000000001</v>
      </c>
      <c r="AH74" s="1">
        <v>15.619199999999999</v>
      </c>
      <c r="AI74" s="1">
        <v>13.597799999999999</v>
      </c>
      <c r="AJ74" s="1">
        <v>12.075799999999999</v>
      </c>
      <c r="AK74" s="1">
        <v>13.6318</v>
      </c>
      <c r="AL74" s="1" t="s">
        <v>49</v>
      </c>
      <c r="AM74" s="1">
        <f t="shared" si="28"/>
        <v>0</v>
      </c>
      <c r="AN74" s="1">
        <f t="shared" si="29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 t="s">
        <v>121</v>
      </c>
      <c r="B75" s="1" t="s">
        <v>37</v>
      </c>
      <c r="C75" s="1">
        <v>578.83900000000006</v>
      </c>
      <c r="D75" s="1">
        <v>1282.662</v>
      </c>
      <c r="E75" s="1">
        <v>665.83600000000001</v>
      </c>
      <c r="F75" s="1">
        <v>583.88</v>
      </c>
      <c r="G75" s="8">
        <v>1</v>
      </c>
      <c r="H75" s="1">
        <v>60</v>
      </c>
      <c r="I75" s="1" t="s">
        <v>38</v>
      </c>
      <c r="J75" s="1"/>
      <c r="K75" s="1">
        <v>668.1</v>
      </c>
      <c r="L75" s="1">
        <f t="shared" si="21"/>
        <v>-2.26400000000001</v>
      </c>
      <c r="M75" s="1"/>
      <c r="N75" s="1"/>
      <c r="O75" s="1">
        <v>182.84556000000029</v>
      </c>
      <c r="P75" s="1">
        <v>203.38105999999891</v>
      </c>
      <c r="Q75" s="1">
        <v>457.89818000000099</v>
      </c>
      <c r="R75" s="1">
        <f t="shared" si="22"/>
        <v>133.16720000000001</v>
      </c>
      <c r="S75" s="5">
        <f t="shared" ref="S75:S77" si="30">12*R75-Q75-P75-O75-F75</f>
        <v>170.00159999999994</v>
      </c>
      <c r="T75" s="5">
        <f t="shared" si="23"/>
        <v>170.00159999999994</v>
      </c>
      <c r="U75" s="5">
        <f t="shared" ref="U75:U77" si="31">$U$1*R75</f>
        <v>133.16720000000001</v>
      </c>
      <c r="V75" s="5">
        <f t="shared" si="24"/>
        <v>303.16879999999992</v>
      </c>
      <c r="W75" s="5">
        <v>100</v>
      </c>
      <c r="X75" s="5">
        <f t="shared" si="25"/>
        <v>203.16879999999992</v>
      </c>
      <c r="Y75" s="5"/>
      <c r="Z75" s="1"/>
      <c r="AA75" s="1"/>
      <c r="AB75" s="1">
        <f t="shared" si="26"/>
        <v>13</v>
      </c>
      <c r="AC75" s="1">
        <f t="shared" si="27"/>
        <v>10.723397353101966</v>
      </c>
      <c r="AD75" s="1">
        <v>134.17259999999999</v>
      </c>
      <c r="AE75" s="1">
        <v>134.75720000000001</v>
      </c>
      <c r="AF75" s="1">
        <v>145.8092</v>
      </c>
      <c r="AG75" s="1">
        <v>155.6842</v>
      </c>
      <c r="AH75" s="1">
        <v>122.06740000000001</v>
      </c>
      <c r="AI75" s="1">
        <v>133.33080000000001</v>
      </c>
      <c r="AJ75" s="1">
        <v>134.61619999999999</v>
      </c>
      <c r="AK75" s="1">
        <v>107.20399999999999</v>
      </c>
      <c r="AL75" s="1"/>
      <c r="AM75" s="1">
        <f t="shared" si="28"/>
        <v>100</v>
      </c>
      <c r="AN75" s="1">
        <f t="shared" si="29"/>
        <v>203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 t="s">
        <v>122</v>
      </c>
      <c r="B76" s="1" t="s">
        <v>37</v>
      </c>
      <c r="C76" s="1">
        <v>398.82</v>
      </c>
      <c r="D76" s="1">
        <v>487.161</v>
      </c>
      <c r="E76" s="1">
        <v>495.54399999999998</v>
      </c>
      <c r="F76" s="1">
        <v>247.07300000000001</v>
      </c>
      <c r="G76" s="8">
        <v>1</v>
      </c>
      <c r="H76" s="1">
        <v>60</v>
      </c>
      <c r="I76" s="1" t="s">
        <v>38</v>
      </c>
      <c r="J76" s="1"/>
      <c r="K76" s="1">
        <v>497</v>
      </c>
      <c r="L76" s="1">
        <f t="shared" si="21"/>
        <v>-1.4560000000000173</v>
      </c>
      <c r="M76" s="1"/>
      <c r="N76" s="1"/>
      <c r="O76" s="1">
        <v>600.44663999999977</v>
      </c>
      <c r="P76" s="1">
        <v>100.3689600000002</v>
      </c>
      <c r="Q76" s="1">
        <v>0</v>
      </c>
      <c r="R76" s="1">
        <f t="shared" si="22"/>
        <v>99.108800000000002</v>
      </c>
      <c r="S76" s="5">
        <f t="shared" si="30"/>
        <v>241.41700000000012</v>
      </c>
      <c r="T76" s="5">
        <f t="shared" si="23"/>
        <v>241.41700000000012</v>
      </c>
      <c r="U76" s="5">
        <f t="shared" si="31"/>
        <v>99.108800000000002</v>
      </c>
      <c r="V76" s="5">
        <f t="shared" si="24"/>
        <v>340.52580000000012</v>
      </c>
      <c r="W76" s="5">
        <v>100</v>
      </c>
      <c r="X76" s="5">
        <f t="shared" si="25"/>
        <v>240.52580000000012</v>
      </c>
      <c r="Y76" s="5"/>
      <c r="Z76" s="1"/>
      <c r="AA76" s="1"/>
      <c r="AB76" s="1">
        <f t="shared" si="26"/>
        <v>13</v>
      </c>
      <c r="AC76" s="1">
        <f t="shared" si="27"/>
        <v>9.5641214503656578</v>
      </c>
      <c r="AD76" s="1">
        <v>90.947000000000003</v>
      </c>
      <c r="AE76" s="1">
        <v>121.664</v>
      </c>
      <c r="AF76" s="1">
        <v>131.53380000000001</v>
      </c>
      <c r="AG76" s="1">
        <v>112.47539999999999</v>
      </c>
      <c r="AH76" s="1">
        <v>95.709599999999995</v>
      </c>
      <c r="AI76" s="1">
        <v>84.222999999999999</v>
      </c>
      <c r="AJ76" s="1">
        <v>78.826800000000006</v>
      </c>
      <c r="AK76" s="1">
        <v>72.585599999999999</v>
      </c>
      <c r="AL76" s="1" t="s">
        <v>49</v>
      </c>
      <c r="AM76" s="1">
        <f t="shared" si="28"/>
        <v>100</v>
      </c>
      <c r="AN76" s="1">
        <f t="shared" si="29"/>
        <v>241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 t="s">
        <v>123</v>
      </c>
      <c r="B77" s="1" t="s">
        <v>37</v>
      </c>
      <c r="C77" s="1">
        <v>726.23599999999999</v>
      </c>
      <c r="D77" s="1">
        <v>1181.0940000000001</v>
      </c>
      <c r="E77" s="1">
        <v>1039.6010000000001</v>
      </c>
      <c r="F77" s="1">
        <v>411.82400000000001</v>
      </c>
      <c r="G77" s="8">
        <v>1</v>
      </c>
      <c r="H77" s="1">
        <v>60</v>
      </c>
      <c r="I77" s="1" t="s">
        <v>38</v>
      </c>
      <c r="J77" s="1"/>
      <c r="K77" s="1">
        <v>1052</v>
      </c>
      <c r="L77" s="1">
        <f t="shared" si="21"/>
        <v>-12.398999999999887</v>
      </c>
      <c r="M77" s="1"/>
      <c r="N77" s="1"/>
      <c r="O77" s="1">
        <v>804.7080399999993</v>
      </c>
      <c r="P77" s="1">
        <v>403.7272799999995</v>
      </c>
      <c r="Q77" s="1">
        <v>569.05028000000118</v>
      </c>
      <c r="R77" s="1">
        <f t="shared" si="22"/>
        <v>207.92020000000002</v>
      </c>
      <c r="S77" s="5">
        <f t="shared" si="30"/>
        <v>305.73280000000005</v>
      </c>
      <c r="T77" s="5">
        <f t="shared" si="23"/>
        <v>305.73280000000005</v>
      </c>
      <c r="U77" s="5">
        <f t="shared" si="31"/>
        <v>207.92020000000002</v>
      </c>
      <c r="V77" s="5">
        <f t="shared" si="24"/>
        <v>513.65300000000002</v>
      </c>
      <c r="W77" s="5">
        <v>300</v>
      </c>
      <c r="X77" s="5">
        <f t="shared" si="25"/>
        <v>213.65300000000002</v>
      </c>
      <c r="Y77" s="5"/>
      <c r="Z77" s="1"/>
      <c r="AA77" s="1"/>
      <c r="AB77" s="1">
        <f t="shared" si="26"/>
        <v>12.999999999999998</v>
      </c>
      <c r="AC77" s="1">
        <f t="shared" si="27"/>
        <v>10.52956663181355</v>
      </c>
      <c r="AD77" s="1">
        <v>203.87020000000001</v>
      </c>
      <c r="AE77" s="1">
        <v>220.21899999999999</v>
      </c>
      <c r="AF77" s="1">
        <v>228.37520000000001</v>
      </c>
      <c r="AG77" s="1">
        <v>210.73939999999999</v>
      </c>
      <c r="AH77" s="1">
        <v>177.18860000000001</v>
      </c>
      <c r="AI77" s="1">
        <v>172.42519999999999</v>
      </c>
      <c r="AJ77" s="1">
        <v>173.37100000000001</v>
      </c>
      <c r="AK77" s="1">
        <v>164.77160000000001</v>
      </c>
      <c r="AL77" s="1" t="s">
        <v>49</v>
      </c>
      <c r="AM77" s="1">
        <f t="shared" si="28"/>
        <v>300</v>
      </c>
      <c r="AN77" s="1">
        <f t="shared" si="29"/>
        <v>214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2" t="s">
        <v>124</v>
      </c>
      <c r="B78" s="12" t="s">
        <v>37</v>
      </c>
      <c r="C78" s="12">
        <v>8.0000000000000002E-3</v>
      </c>
      <c r="D78" s="12">
        <v>2.71</v>
      </c>
      <c r="E78" s="12"/>
      <c r="F78" s="12"/>
      <c r="G78" s="13">
        <v>0</v>
      </c>
      <c r="H78" s="12">
        <v>55</v>
      </c>
      <c r="I78" s="12" t="s">
        <v>125</v>
      </c>
      <c r="J78" s="12"/>
      <c r="K78" s="12">
        <v>2.6</v>
      </c>
      <c r="L78" s="12">
        <f t="shared" si="21"/>
        <v>-2.6</v>
      </c>
      <c r="M78" s="12"/>
      <c r="N78" s="12"/>
      <c r="O78" s="12">
        <v>0</v>
      </c>
      <c r="P78" s="12">
        <v>0</v>
      </c>
      <c r="Q78" s="12">
        <v>0</v>
      </c>
      <c r="R78" s="12">
        <f t="shared" si="22"/>
        <v>0</v>
      </c>
      <c r="S78" s="14"/>
      <c r="T78" s="5">
        <f t="shared" si="23"/>
        <v>0</v>
      </c>
      <c r="U78" s="14"/>
      <c r="V78" s="5">
        <f t="shared" si="24"/>
        <v>0</v>
      </c>
      <c r="W78" s="5"/>
      <c r="X78" s="5">
        <f t="shared" si="25"/>
        <v>0</v>
      </c>
      <c r="Y78" s="14"/>
      <c r="Z78" s="12"/>
      <c r="AA78" s="12"/>
      <c r="AB78" s="1" t="e">
        <f t="shared" si="26"/>
        <v>#DIV/0!</v>
      </c>
      <c r="AC78" s="12" t="e">
        <f t="shared" si="27"/>
        <v>#DIV/0!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 t="s">
        <v>126</v>
      </c>
      <c r="AM78" s="1">
        <f t="shared" si="28"/>
        <v>0</v>
      </c>
      <c r="AN78" s="1">
        <f t="shared" si="29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A79" s="16" t="s">
        <v>127</v>
      </c>
      <c r="B79" s="16" t="s">
        <v>37</v>
      </c>
      <c r="C79" s="16"/>
      <c r="D79" s="16"/>
      <c r="E79" s="16"/>
      <c r="F79" s="16"/>
      <c r="G79" s="17">
        <v>0</v>
      </c>
      <c r="H79" s="16">
        <v>60</v>
      </c>
      <c r="I79" s="16" t="s">
        <v>38</v>
      </c>
      <c r="J79" s="16"/>
      <c r="K79" s="16"/>
      <c r="L79" s="16">
        <f t="shared" si="21"/>
        <v>0</v>
      </c>
      <c r="M79" s="16"/>
      <c r="N79" s="16"/>
      <c r="O79" s="16">
        <v>0</v>
      </c>
      <c r="P79" s="16">
        <v>0</v>
      </c>
      <c r="Q79" s="16">
        <v>0</v>
      </c>
      <c r="R79" s="16">
        <f t="shared" si="22"/>
        <v>0</v>
      </c>
      <c r="S79" s="18"/>
      <c r="T79" s="5">
        <f t="shared" si="23"/>
        <v>0</v>
      </c>
      <c r="U79" s="18"/>
      <c r="V79" s="5">
        <f t="shared" si="24"/>
        <v>0</v>
      </c>
      <c r="W79" s="5"/>
      <c r="X79" s="5">
        <f t="shared" si="25"/>
        <v>0</v>
      </c>
      <c r="Y79" s="18"/>
      <c r="Z79" s="16"/>
      <c r="AA79" s="16"/>
      <c r="AB79" s="1" t="e">
        <f t="shared" si="26"/>
        <v>#DIV/0!</v>
      </c>
      <c r="AC79" s="16" t="e">
        <f t="shared" si="27"/>
        <v>#DIV/0!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 t="s">
        <v>62</v>
      </c>
      <c r="AM79" s="1">
        <f t="shared" si="28"/>
        <v>0</v>
      </c>
      <c r="AN79" s="1">
        <f t="shared" si="29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x14ac:dyDescent="0.25">
      <c r="A80" s="1" t="s">
        <v>128</v>
      </c>
      <c r="B80" s="1" t="s">
        <v>43</v>
      </c>
      <c r="C80" s="1">
        <v>5</v>
      </c>
      <c r="D80" s="1">
        <v>180</v>
      </c>
      <c r="E80" s="1">
        <v>66</v>
      </c>
      <c r="F80" s="1">
        <v>107</v>
      </c>
      <c r="G80" s="8">
        <v>0.3</v>
      </c>
      <c r="H80" s="1">
        <v>40</v>
      </c>
      <c r="I80" s="1" t="s">
        <v>38</v>
      </c>
      <c r="J80" s="1"/>
      <c r="K80" s="1">
        <v>99</v>
      </c>
      <c r="L80" s="1">
        <f t="shared" si="21"/>
        <v>-33</v>
      </c>
      <c r="M80" s="1"/>
      <c r="N80" s="1"/>
      <c r="O80" s="1">
        <v>70</v>
      </c>
      <c r="P80" s="1">
        <v>0</v>
      </c>
      <c r="Q80" s="1">
        <v>0</v>
      </c>
      <c r="R80" s="1">
        <f t="shared" si="22"/>
        <v>13.2</v>
      </c>
      <c r="S80" s="5"/>
      <c r="T80" s="5">
        <f t="shared" si="23"/>
        <v>0</v>
      </c>
      <c r="U80" s="5"/>
      <c r="V80" s="5">
        <f t="shared" si="24"/>
        <v>0</v>
      </c>
      <c r="W80" s="5"/>
      <c r="X80" s="5">
        <f t="shared" si="25"/>
        <v>0</v>
      </c>
      <c r="Y80" s="5"/>
      <c r="Z80" s="1"/>
      <c r="AA80" s="1"/>
      <c r="AB80" s="1">
        <f t="shared" si="26"/>
        <v>13.40909090909091</v>
      </c>
      <c r="AC80" s="1">
        <f t="shared" si="27"/>
        <v>13.40909090909091</v>
      </c>
      <c r="AD80" s="1">
        <v>11</v>
      </c>
      <c r="AE80" s="1">
        <v>18</v>
      </c>
      <c r="AF80" s="1">
        <v>25.8</v>
      </c>
      <c r="AG80" s="1">
        <v>24.8</v>
      </c>
      <c r="AH80" s="1">
        <v>11.2</v>
      </c>
      <c r="AI80" s="1">
        <v>8.1999999999999993</v>
      </c>
      <c r="AJ80" s="1">
        <v>14.2</v>
      </c>
      <c r="AK80" s="1">
        <v>22</v>
      </c>
      <c r="AL80" s="1"/>
      <c r="AM80" s="1">
        <f t="shared" si="28"/>
        <v>0</v>
      </c>
      <c r="AN80" s="1">
        <f t="shared" si="29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x14ac:dyDescent="0.25">
      <c r="A81" s="1" t="s">
        <v>129</v>
      </c>
      <c r="B81" s="1" t="s">
        <v>43</v>
      </c>
      <c r="C81" s="1">
        <v>42</v>
      </c>
      <c r="D81" s="1">
        <v>1</v>
      </c>
      <c r="E81" s="1">
        <v>25</v>
      </c>
      <c r="F81" s="1">
        <v>17</v>
      </c>
      <c r="G81" s="8">
        <v>7.0000000000000007E-2</v>
      </c>
      <c r="H81" s="1">
        <v>90</v>
      </c>
      <c r="I81" s="1" t="s">
        <v>38</v>
      </c>
      <c r="J81" s="1"/>
      <c r="K81" s="1">
        <v>26</v>
      </c>
      <c r="L81" s="1">
        <f t="shared" si="21"/>
        <v>-1</v>
      </c>
      <c r="M81" s="1"/>
      <c r="N81" s="1"/>
      <c r="O81" s="1">
        <v>0</v>
      </c>
      <c r="P81" s="1">
        <v>37.199999999999989</v>
      </c>
      <c r="Q81" s="1">
        <v>19.600000000000009</v>
      </c>
      <c r="R81" s="1">
        <f t="shared" si="22"/>
        <v>5</v>
      </c>
      <c r="S81" s="5"/>
      <c r="T81" s="5">
        <f t="shared" si="23"/>
        <v>0</v>
      </c>
      <c r="U81" s="5"/>
      <c r="V81" s="5">
        <f t="shared" si="24"/>
        <v>0</v>
      </c>
      <c r="W81" s="5"/>
      <c r="X81" s="5">
        <f t="shared" si="25"/>
        <v>0</v>
      </c>
      <c r="Y81" s="5"/>
      <c r="Z81" s="1"/>
      <c r="AA81" s="1"/>
      <c r="AB81" s="1">
        <f t="shared" si="26"/>
        <v>14.76</v>
      </c>
      <c r="AC81" s="1">
        <f t="shared" si="27"/>
        <v>14.76</v>
      </c>
      <c r="AD81" s="1">
        <v>7.8</v>
      </c>
      <c r="AE81" s="1">
        <v>6.6</v>
      </c>
      <c r="AF81" s="1">
        <v>3.2</v>
      </c>
      <c r="AG81" s="1">
        <v>5.4</v>
      </c>
      <c r="AH81" s="1">
        <v>6.8</v>
      </c>
      <c r="AI81" s="1">
        <v>7</v>
      </c>
      <c r="AJ81" s="1">
        <v>7</v>
      </c>
      <c r="AK81" s="1">
        <v>5</v>
      </c>
      <c r="AL81" s="1"/>
      <c r="AM81" s="1">
        <f t="shared" si="28"/>
        <v>0</v>
      </c>
      <c r="AN81" s="1">
        <f t="shared" si="29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x14ac:dyDescent="0.25">
      <c r="A82" s="1" t="s">
        <v>130</v>
      </c>
      <c r="B82" s="1" t="s">
        <v>43</v>
      </c>
      <c r="C82" s="1">
        <v>38</v>
      </c>
      <c r="D82" s="1">
        <v>54</v>
      </c>
      <c r="E82" s="1">
        <v>25</v>
      </c>
      <c r="F82" s="1">
        <v>49</v>
      </c>
      <c r="G82" s="8">
        <v>7.0000000000000007E-2</v>
      </c>
      <c r="H82" s="1">
        <v>90</v>
      </c>
      <c r="I82" s="1" t="s">
        <v>38</v>
      </c>
      <c r="J82" s="1"/>
      <c r="K82" s="1">
        <v>25</v>
      </c>
      <c r="L82" s="1">
        <f t="shared" si="21"/>
        <v>0</v>
      </c>
      <c r="M82" s="1"/>
      <c r="N82" s="1"/>
      <c r="O82" s="1">
        <v>0</v>
      </c>
      <c r="P82" s="1">
        <v>31</v>
      </c>
      <c r="Q82" s="1">
        <v>0</v>
      </c>
      <c r="R82" s="1">
        <f t="shared" si="22"/>
        <v>5</v>
      </c>
      <c r="S82" s="5"/>
      <c r="T82" s="5">
        <f t="shared" si="23"/>
        <v>0</v>
      </c>
      <c r="U82" s="5"/>
      <c r="V82" s="5">
        <f t="shared" si="24"/>
        <v>0</v>
      </c>
      <c r="W82" s="5"/>
      <c r="X82" s="5">
        <f t="shared" si="25"/>
        <v>0</v>
      </c>
      <c r="Y82" s="5"/>
      <c r="Z82" s="1"/>
      <c r="AA82" s="1"/>
      <c r="AB82" s="1">
        <f t="shared" si="26"/>
        <v>16</v>
      </c>
      <c r="AC82" s="1">
        <f t="shared" si="27"/>
        <v>16</v>
      </c>
      <c r="AD82" s="1">
        <v>8.1999999999999993</v>
      </c>
      <c r="AE82" s="1">
        <v>7.8</v>
      </c>
      <c r="AF82" s="1">
        <v>6</v>
      </c>
      <c r="AG82" s="1">
        <v>7.6</v>
      </c>
      <c r="AH82" s="1">
        <v>7.6</v>
      </c>
      <c r="AI82" s="1">
        <v>8</v>
      </c>
      <c r="AJ82" s="1">
        <v>8.4</v>
      </c>
      <c r="AK82" s="1">
        <v>5</v>
      </c>
      <c r="AL82" s="1"/>
      <c r="AM82" s="1">
        <f t="shared" si="28"/>
        <v>0</v>
      </c>
      <c r="AN82" s="1">
        <f t="shared" si="29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x14ac:dyDescent="0.25">
      <c r="A83" s="1" t="s">
        <v>131</v>
      </c>
      <c r="B83" s="1" t="s">
        <v>43</v>
      </c>
      <c r="C83" s="1">
        <v>39</v>
      </c>
      <c r="D83" s="1">
        <v>1</v>
      </c>
      <c r="E83" s="1">
        <v>21</v>
      </c>
      <c r="F83" s="1"/>
      <c r="G83" s="8">
        <v>7.0000000000000007E-2</v>
      </c>
      <c r="H83" s="1">
        <v>90</v>
      </c>
      <c r="I83" s="1" t="s">
        <v>38</v>
      </c>
      <c r="J83" s="1"/>
      <c r="K83" s="1">
        <v>21</v>
      </c>
      <c r="L83" s="1">
        <f t="shared" si="21"/>
        <v>0</v>
      </c>
      <c r="M83" s="1"/>
      <c r="N83" s="1"/>
      <c r="O83" s="1">
        <v>12.000000000000011</v>
      </c>
      <c r="P83" s="1">
        <v>5.3999999999999906</v>
      </c>
      <c r="Q83" s="1">
        <v>14.4</v>
      </c>
      <c r="R83" s="1">
        <f t="shared" si="22"/>
        <v>4.2</v>
      </c>
      <c r="S83" s="5">
        <f t="shared" ref="S83" si="32">12*R83-Q83-P83-O83-F83</f>
        <v>18.600000000000005</v>
      </c>
      <c r="T83" s="5">
        <f t="shared" si="23"/>
        <v>18.600000000000005</v>
      </c>
      <c r="U83" s="5"/>
      <c r="V83" s="5">
        <f t="shared" si="24"/>
        <v>18.600000000000005</v>
      </c>
      <c r="W83" s="5"/>
      <c r="X83" s="5">
        <f t="shared" si="25"/>
        <v>18.600000000000005</v>
      </c>
      <c r="Y83" s="5"/>
      <c r="Z83" s="1"/>
      <c r="AA83" s="1"/>
      <c r="AB83" s="1">
        <f t="shared" si="26"/>
        <v>12</v>
      </c>
      <c r="AC83" s="1">
        <f t="shared" si="27"/>
        <v>7.5714285714285721</v>
      </c>
      <c r="AD83" s="1">
        <v>3.8</v>
      </c>
      <c r="AE83" s="1">
        <v>5.2</v>
      </c>
      <c r="AF83" s="1">
        <v>5.4</v>
      </c>
      <c r="AG83" s="1">
        <v>4.8</v>
      </c>
      <c r="AH83" s="1">
        <v>5.8</v>
      </c>
      <c r="AI83" s="1">
        <v>4.4000000000000004</v>
      </c>
      <c r="AJ83" s="1">
        <v>2.8</v>
      </c>
      <c r="AK83" s="1">
        <v>3.6</v>
      </c>
      <c r="AL83" s="1"/>
      <c r="AM83" s="1">
        <f t="shared" si="28"/>
        <v>0</v>
      </c>
      <c r="AN83" s="1">
        <f t="shared" si="29"/>
        <v>1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x14ac:dyDescent="0.25">
      <c r="A84" s="1" t="s">
        <v>132</v>
      </c>
      <c r="B84" s="1" t="s">
        <v>43</v>
      </c>
      <c r="C84" s="1">
        <v>111</v>
      </c>
      <c r="D84" s="1">
        <v>1</v>
      </c>
      <c r="E84" s="1">
        <v>16</v>
      </c>
      <c r="F84" s="1">
        <v>95</v>
      </c>
      <c r="G84" s="8">
        <v>0.05</v>
      </c>
      <c r="H84" s="1">
        <v>90</v>
      </c>
      <c r="I84" s="1" t="s">
        <v>38</v>
      </c>
      <c r="J84" s="1"/>
      <c r="K84" s="1">
        <v>17</v>
      </c>
      <c r="L84" s="1">
        <f t="shared" si="21"/>
        <v>-1</v>
      </c>
      <c r="M84" s="1"/>
      <c r="N84" s="1"/>
      <c r="O84" s="1">
        <v>0</v>
      </c>
      <c r="P84" s="1">
        <v>0</v>
      </c>
      <c r="Q84" s="1">
        <v>0</v>
      </c>
      <c r="R84" s="1">
        <f t="shared" si="22"/>
        <v>3.2</v>
      </c>
      <c r="S84" s="5"/>
      <c r="T84" s="5">
        <f t="shared" si="23"/>
        <v>0</v>
      </c>
      <c r="U84" s="5"/>
      <c r="V84" s="5">
        <f t="shared" si="24"/>
        <v>0</v>
      </c>
      <c r="W84" s="5"/>
      <c r="X84" s="5">
        <f t="shared" si="25"/>
        <v>0</v>
      </c>
      <c r="Y84" s="5"/>
      <c r="Z84" s="1"/>
      <c r="AA84" s="1"/>
      <c r="AB84" s="1">
        <f t="shared" si="26"/>
        <v>29.6875</v>
      </c>
      <c r="AC84" s="1">
        <f t="shared" si="27"/>
        <v>29.6875</v>
      </c>
      <c r="AD84" s="1">
        <v>5.6</v>
      </c>
      <c r="AE84" s="1">
        <v>6.6</v>
      </c>
      <c r="AF84" s="1">
        <v>5.8</v>
      </c>
      <c r="AG84" s="1">
        <v>7.8</v>
      </c>
      <c r="AH84" s="1">
        <v>9.4</v>
      </c>
      <c r="AI84" s="1">
        <v>10.8</v>
      </c>
      <c r="AJ84" s="1">
        <v>9.6</v>
      </c>
      <c r="AK84" s="1">
        <v>6.8</v>
      </c>
      <c r="AL84" s="21" t="s">
        <v>59</v>
      </c>
      <c r="AM84" s="1">
        <f t="shared" si="28"/>
        <v>0</v>
      </c>
      <c r="AN84" s="1">
        <f t="shared" si="29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x14ac:dyDescent="0.25">
      <c r="A85" s="1" t="s">
        <v>133</v>
      </c>
      <c r="B85" s="1" t="s">
        <v>43</v>
      </c>
      <c r="C85" s="1">
        <v>103</v>
      </c>
      <c r="D85" s="1">
        <v>61</v>
      </c>
      <c r="E85" s="1">
        <v>18</v>
      </c>
      <c r="F85" s="1">
        <v>121</v>
      </c>
      <c r="G85" s="8">
        <v>0.05</v>
      </c>
      <c r="H85" s="1">
        <v>90</v>
      </c>
      <c r="I85" s="1" t="s">
        <v>38</v>
      </c>
      <c r="J85" s="1"/>
      <c r="K85" s="1">
        <v>18</v>
      </c>
      <c r="L85" s="1">
        <f t="shared" si="21"/>
        <v>0</v>
      </c>
      <c r="M85" s="1"/>
      <c r="N85" s="1"/>
      <c r="O85" s="1">
        <v>0</v>
      </c>
      <c r="P85" s="1">
        <v>0</v>
      </c>
      <c r="Q85" s="1">
        <v>0</v>
      </c>
      <c r="R85" s="1">
        <f t="shared" si="22"/>
        <v>3.6</v>
      </c>
      <c r="S85" s="5"/>
      <c r="T85" s="5">
        <f t="shared" si="23"/>
        <v>0</v>
      </c>
      <c r="U85" s="5"/>
      <c r="V85" s="5">
        <f t="shared" si="24"/>
        <v>0</v>
      </c>
      <c r="W85" s="5"/>
      <c r="X85" s="5">
        <f t="shared" si="25"/>
        <v>0</v>
      </c>
      <c r="Y85" s="5"/>
      <c r="Z85" s="1"/>
      <c r="AA85" s="1"/>
      <c r="AB85" s="1">
        <f t="shared" si="26"/>
        <v>33.611111111111107</v>
      </c>
      <c r="AC85" s="1">
        <f t="shared" si="27"/>
        <v>33.611111111111107</v>
      </c>
      <c r="AD85" s="1">
        <v>4</v>
      </c>
      <c r="AE85" s="1">
        <v>5.8</v>
      </c>
      <c r="AF85" s="1">
        <v>7.4</v>
      </c>
      <c r="AG85" s="1">
        <v>10.199999999999999</v>
      </c>
      <c r="AH85" s="1">
        <v>10.4</v>
      </c>
      <c r="AI85" s="1">
        <v>9</v>
      </c>
      <c r="AJ85" s="1">
        <v>7.2</v>
      </c>
      <c r="AK85" s="1">
        <v>3</v>
      </c>
      <c r="AL85" s="15" t="s">
        <v>153</v>
      </c>
      <c r="AM85" s="1">
        <f t="shared" si="28"/>
        <v>0</v>
      </c>
      <c r="AN85" s="1">
        <f t="shared" si="29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x14ac:dyDescent="0.25">
      <c r="A86" s="1" t="s">
        <v>134</v>
      </c>
      <c r="B86" s="1" t="s">
        <v>43</v>
      </c>
      <c r="C86" s="1">
        <v>153</v>
      </c>
      <c r="D86" s="1">
        <v>111</v>
      </c>
      <c r="E86" s="1">
        <v>16</v>
      </c>
      <c r="F86" s="1">
        <v>136</v>
      </c>
      <c r="G86" s="8">
        <v>5.5E-2</v>
      </c>
      <c r="H86" s="1">
        <v>90</v>
      </c>
      <c r="I86" s="1" t="s">
        <v>38</v>
      </c>
      <c r="J86" s="1"/>
      <c r="K86" s="1">
        <v>16</v>
      </c>
      <c r="L86" s="1">
        <f t="shared" si="21"/>
        <v>0</v>
      </c>
      <c r="M86" s="1"/>
      <c r="N86" s="1"/>
      <c r="O86" s="1">
        <v>0</v>
      </c>
      <c r="P86" s="1">
        <v>0</v>
      </c>
      <c r="Q86" s="1">
        <v>0</v>
      </c>
      <c r="R86" s="1">
        <f t="shared" si="22"/>
        <v>3.2</v>
      </c>
      <c r="S86" s="5"/>
      <c r="T86" s="5">
        <f t="shared" si="23"/>
        <v>0</v>
      </c>
      <c r="U86" s="5"/>
      <c r="V86" s="5">
        <f t="shared" si="24"/>
        <v>0</v>
      </c>
      <c r="W86" s="5"/>
      <c r="X86" s="5">
        <f t="shared" si="25"/>
        <v>0</v>
      </c>
      <c r="Y86" s="5"/>
      <c r="Z86" s="1"/>
      <c r="AA86" s="1"/>
      <c r="AB86" s="1">
        <f t="shared" si="26"/>
        <v>42.5</v>
      </c>
      <c r="AC86" s="1">
        <f t="shared" si="27"/>
        <v>42.5</v>
      </c>
      <c r="AD86" s="1">
        <v>3.2</v>
      </c>
      <c r="AE86" s="1">
        <v>3.2</v>
      </c>
      <c r="AF86" s="1">
        <v>4.8</v>
      </c>
      <c r="AG86" s="1">
        <v>9.1999999999999993</v>
      </c>
      <c r="AH86" s="1">
        <v>11.4</v>
      </c>
      <c r="AI86" s="1">
        <v>12.6</v>
      </c>
      <c r="AJ86" s="1">
        <v>11.2</v>
      </c>
      <c r="AK86" s="1">
        <v>5.6</v>
      </c>
      <c r="AL86" s="21" t="s">
        <v>59</v>
      </c>
      <c r="AM86" s="1">
        <f t="shared" si="28"/>
        <v>0</v>
      </c>
      <c r="AN86" s="1">
        <f t="shared" si="29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x14ac:dyDescent="0.25">
      <c r="A87" s="12" t="s">
        <v>135</v>
      </c>
      <c r="B87" s="12" t="s">
        <v>43</v>
      </c>
      <c r="C87" s="12">
        <v>28</v>
      </c>
      <c r="D87" s="12"/>
      <c r="E87" s="12"/>
      <c r="F87" s="12">
        <v>28</v>
      </c>
      <c r="G87" s="13">
        <v>0</v>
      </c>
      <c r="H87" s="12">
        <v>120</v>
      </c>
      <c r="I87" s="12" t="s">
        <v>136</v>
      </c>
      <c r="J87" s="12"/>
      <c r="K87" s="12"/>
      <c r="L87" s="12">
        <f t="shared" si="21"/>
        <v>0</v>
      </c>
      <c r="M87" s="12"/>
      <c r="N87" s="12"/>
      <c r="O87" s="12">
        <v>0</v>
      </c>
      <c r="P87" s="12">
        <v>0</v>
      </c>
      <c r="Q87" s="12">
        <v>0</v>
      </c>
      <c r="R87" s="12">
        <f t="shared" si="22"/>
        <v>0</v>
      </c>
      <c r="S87" s="14"/>
      <c r="T87" s="5">
        <f t="shared" si="23"/>
        <v>0</v>
      </c>
      <c r="U87" s="14"/>
      <c r="V87" s="5">
        <f t="shared" si="24"/>
        <v>0</v>
      </c>
      <c r="W87" s="5"/>
      <c r="X87" s="5">
        <f t="shared" si="25"/>
        <v>0</v>
      </c>
      <c r="Y87" s="14"/>
      <c r="Z87" s="12"/>
      <c r="AA87" s="12"/>
      <c r="AB87" s="1" t="e">
        <f t="shared" si="26"/>
        <v>#DIV/0!</v>
      </c>
      <c r="AC87" s="12" t="e">
        <f t="shared" si="27"/>
        <v>#DIV/0!</v>
      </c>
      <c r="AD87" s="12">
        <v>0.6</v>
      </c>
      <c r="AE87" s="12">
        <v>0.6</v>
      </c>
      <c r="AF87" s="12">
        <v>0.4</v>
      </c>
      <c r="AG87" s="12">
        <v>0.4</v>
      </c>
      <c r="AH87" s="12">
        <v>0.4</v>
      </c>
      <c r="AI87" s="12">
        <v>1.2</v>
      </c>
      <c r="AJ87" s="12">
        <v>1.2</v>
      </c>
      <c r="AK87" s="12">
        <v>0.4</v>
      </c>
      <c r="AL87" s="15" t="s">
        <v>149</v>
      </c>
      <c r="AM87" s="1">
        <f t="shared" si="28"/>
        <v>0</v>
      </c>
      <c r="AN87" s="1">
        <f t="shared" si="29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x14ac:dyDescent="0.25">
      <c r="A88" s="1" t="s">
        <v>137</v>
      </c>
      <c r="B88" s="1" t="s">
        <v>37</v>
      </c>
      <c r="C88" s="1">
        <v>308.89699999999999</v>
      </c>
      <c r="D88" s="1">
        <v>557.38699999999994</v>
      </c>
      <c r="E88" s="1">
        <v>460.36700000000002</v>
      </c>
      <c r="F88" s="1">
        <v>264.68700000000001</v>
      </c>
      <c r="G88" s="8">
        <v>1</v>
      </c>
      <c r="H88" s="1">
        <v>40</v>
      </c>
      <c r="I88" s="1" t="s">
        <v>38</v>
      </c>
      <c r="J88" s="1"/>
      <c r="K88" s="1">
        <v>430.6</v>
      </c>
      <c r="L88" s="1">
        <f t="shared" si="21"/>
        <v>29.766999999999996</v>
      </c>
      <c r="M88" s="1"/>
      <c r="N88" s="1"/>
      <c r="O88" s="1">
        <v>272.71440000000013</v>
      </c>
      <c r="P88" s="1">
        <v>0</v>
      </c>
      <c r="Q88" s="1">
        <v>145.93179999999981</v>
      </c>
      <c r="R88" s="1">
        <f t="shared" si="22"/>
        <v>92.073400000000007</v>
      </c>
      <c r="S88" s="5">
        <f t="shared" ref="S88:S91" si="33">12*R88-Q88-P88-O88-F88</f>
        <v>421.54760000000022</v>
      </c>
      <c r="T88" s="5">
        <f t="shared" si="23"/>
        <v>421.54760000000022</v>
      </c>
      <c r="U88" s="5">
        <f>$U$1*R88</f>
        <v>92.073400000000007</v>
      </c>
      <c r="V88" s="5">
        <f t="shared" si="24"/>
        <v>513.62100000000021</v>
      </c>
      <c r="W88" s="5"/>
      <c r="X88" s="5">
        <f t="shared" si="25"/>
        <v>513.62100000000021</v>
      </c>
      <c r="Y88" s="5"/>
      <c r="Z88" s="1"/>
      <c r="AA88" s="1"/>
      <c r="AB88" s="1">
        <f t="shared" si="26"/>
        <v>13</v>
      </c>
      <c r="AC88" s="1">
        <f t="shared" si="27"/>
        <v>7.4216136256508394</v>
      </c>
      <c r="AD88" s="1">
        <v>78.230199999999996</v>
      </c>
      <c r="AE88" s="1">
        <v>77.002399999999994</v>
      </c>
      <c r="AF88" s="1">
        <v>97.767200000000003</v>
      </c>
      <c r="AG88" s="1">
        <v>90.594000000000008</v>
      </c>
      <c r="AH88" s="1">
        <v>81.693600000000004</v>
      </c>
      <c r="AI88" s="1">
        <v>62.6126</v>
      </c>
      <c r="AJ88" s="1">
        <v>51.185199999999988</v>
      </c>
      <c r="AK88" s="1">
        <v>81.7744</v>
      </c>
      <c r="AL88" s="1" t="s">
        <v>49</v>
      </c>
      <c r="AM88" s="1">
        <f t="shared" si="28"/>
        <v>0</v>
      </c>
      <c r="AN88" s="1">
        <f t="shared" si="29"/>
        <v>514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x14ac:dyDescent="0.25">
      <c r="A89" s="19" t="s">
        <v>138</v>
      </c>
      <c r="B89" s="1" t="s">
        <v>37</v>
      </c>
      <c r="C89" s="1">
        <v>-2.4E-2</v>
      </c>
      <c r="D89" s="1">
        <v>2.4E-2</v>
      </c>
      <c r="E89" s="1">
        <v>-3.444</v>
      </c>
      <c r="F89" s="1"/>
      <c r="G89" s="8">
        <v>1</v>
      </c>
      <c r="H89" s="1">
        <v>60</v>
      </c>
      <c r="I89" s="1" t="s">
        <v>38</v>
      </c>
      <c r="J89" s="1"/>
      <c r="K89" s="1"/>
      <c r="L89" s="1">
        <f t="shared" si="21"/>
        <v>-3.444</v>
      </c>
      <c r="M89" s="1"/>
      <c r="N89" s="1"/>
      <c r="O89" s="1"/>
      <c r="P89" s="1"/>
      <c r="Q89" s="19"/>
      <c r="R89" s="1">
        <f t="shared" si="22"/>
        <v>-0.68879999999999997</v>
      </c>
      <c r="S89" s="20">
        <v>4</v>
      </c>
      <c r="T89" s="5">
        <f t="shared" si="23"/>
        <v>4</v>
      </c>
      <c r="U89" s="20"/>
      <c r="V89" s="5">
        <f t="shared" si="24"/>
        <v>4</v>
      </c>
      <c r="W89" s="5"/>
      <c r="X89" s="5">
        <f t="shared" si="25"/>
        <v>4</v>
      </c>
      <c r="Y89" s="5"/>
      <c r="Z89" s="1"/>
      <c r="AA89" s="1"/>
      <c r="AB89" s="1">
        <f t="shared" si="26"/>
        <v>-5.8072009291521489</v>
      </c>
      <c r="AC89" s="1">
        <f t="shared" si="27"/>
        <v>0</v>
      </c>
      <c r="AD89" s="1">
        <v>-0.47920000000000001</v>
      </c>
      <c r="AE89" s="1">
        <v>-0.3604</v>
      </c>
      <c r="AF89" s="1">
        <v>0</v>
      </c>
      <c r="AG89" s="1">
        <v>1.0884</v>
      </c>
      <c r="AH89" s="1">
        <v>3.6067999999999998</v>
      </c>
      <c r="AI89" s="1">
        <v>8.7484000000000002</v>
      </c>
      <c r="AJ89" s="1">
        <v>9.1348000000000003</v>
      </c>
      <c r="AK89" s="1">
        <v>5.3834</v>
      </c>
      <c r="AL89" s="19" t="s">
        <v>139</v>
      </c>
      <c r="AM89" s="1">
        <f t="shared" si="28"/>
        <v>0</v>
      </c>
      <c r="AN89" s="1">
        <f t="shared" si="29"/>
        <v>4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x14ac:dyDescent="0.25">
      <c r="A90" s="1" t="s">
        <v>140</v>
      </c>
      <c r="B90" s="1" t="s">
        <v>43</v>
      </c>
      <c r="C90" s="1">
        <v>26</v>
      </c>
      <c r="D90" s="1">
        <v>153</v>
      </c>
      <c r="E90" s="1">
        <v>85</v>
      </c>
      <c r="F90" s="1">
        <v>82</v>
      </c>
      <c r="G90" s="8">
        <v>0.3</v>
      </c>
      <c r="H90" s="1">
        <v>40</v>
      </c>
      <c r="I90" s="1" t="s">
        <v>38</v>
      </c>
      <c r="J90" s="1"/>
      <c r="K90" s="1">
        <v>123</v>
      </c>
      <c r="L90" s="1">
        <f t="shared" si="21"/>
        <v>-38</v>
      </c>
      <c r="M90" s="1"/>
      <c r="N90" s="1"/>
      <c r="O90" s="1">
        <v>16.199999999999989</v>
      </c>
      <c r="P90" s="1">
        <v>27.799999999999979</v>
      </c>
      <c r="Q90" s="1">
        <v>21.80000000000004</v>
      </c>
      <c r="R90" s="1">
        <f t="shared" si="22"/>
        <v>17</v>
      </c>
      <c r="S90" s="5">
        <f t="shared" si="33"/>
        <v>56.199999999999989</v>
      </c>
      <c r="T90" s="5">
        <f t="shared" si="23"/>
        <v>56.199999999999989</v>
      </c>
      <c r="U90" s="5"/>
      <c r="V90" s="5">
        <f t="shared" si="24"/>
        <v>56.199999999999989</v>
      </c>
      <c r="W90" s="5"/>
      <c r="X90" s="5">
        <f t="shared" si="25"/>
        <v>56.199999999999989</v>
      </c>
      <c r="Y90" s="5"/>
      <c r="Z90" s="1"/>
      <c r="AA90" s="1"/>
      <c r="AB90" s="1">
        <f t="shared" si="26"/>
        <v>12</v>
      </c>
      <c r="AC90" s="1">
        <f t="shared" si="27"/>
        <v>8.6941176470588246</v>
      </c>
      <c r="AD90" s="1">
        <v>17.8</v>
      </c>
      <c r="AE90" s="1">
        <v>18.399999999999999</v>
      </c>
      <c r="AF90" s="1">
        <v>22</v>
      </c>
      <c r="AG90" s="1">
        <v>23.4</v>
      </c>
      <c r="AH90" s="1">
        <v>13.2</v>
      </c>
      <c r="AI90" s="1">
        <v>9</v>
      </c>
      <c r="AJ90" s="1">
        <v>16</v>
      </c>
      <c r="AK90" s="1">
        <v>26.4</v>
      </c>
      <c r="AL90" s="1"/>
      <c r="AM90" s="1">
        <f t="shared" si="28"/>
        <v>0</v>
      </c>
      <c r="AN90" s="1">
        <f t="shared" si="29"/>
        <v>17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x14ac:dyDescent="0.25">
      <c r="A91" s="1" t="s">
        <v>141</v>
      </c>
      <c r="B91" s="1" t="s">
        <v>43</v>
      </c>
      <c r="C91" s="1">
        <v>135</v>
      </c>
      <c r="D91" s="1">
        <v>186</v>
      </c>
      <c r="E91" s="1">
        <v>109</v>
      </c>
      <c r="F91" s="1">
        <v>207</v>
      </c>
      <c r="G91" s="8">
        <v>0.3</v>
      </c>
      <c r="H91" s="1">
        <v>40</v>
      </c>
      <c r="I91" s="1" t="s">
        <v>38</v>
      </c>
      <c r="J91" s="1"/>
      <c r="K91" s="1">
        <v>112</v>
      </c>
      <c r="L91" s="1">
        <f t="shared" si="21"/>
        <v>-3</v>
      </c>
      <c r="M91" s="1"/>
      <c r="N91" s="1"/>
      <c r="O91" s="1">
        <v>0</v>
      </c>
      <c r="P91" s="1">
        <v>0</v>
      </c>
      <c r="Q91" s="1">
        <v>0</v>
      </c>
      <c r="R91" s="1">
        <f t="shared" si="22"/>
        <v>21.8</v>
      </c>
      <c r="S91" s="5">
        <f t="shared" si="33"/>
        <v>54.600000000000023</v>
      </c>
      <c r="T91" s="5">
        <f t="shared" si="23"/>
        <v>54.600000000000023</v>
      </c>
      <c r="U91" s="5"/>
      <c r="V91" s="5">
        <f t="shared" si="24"/>
        <v>54.600000000000023</v>
      </c>
      <c r="W91" s="5"/>
      <c r="X91" s="5">
        <f t="shared" si="25"/>
        <v>54.600000000000023</v>
      </c>
      <c r="Y91" s="5"/>
      <c r="Z91" s="1"/>
      <c r="AA91" s="1"/>
      <c r="AB91" s="1">
        <f t="shared" si="26"/>
        <v>12</v>
      </c>
      <c r="AC91" s="1">
        <f t="shared" si="27"/>
        <v>9.4954128440366965</v>
      </c>
      <c r="AD91" s="1">
        <v>18.399999999999999</v>
      </c>
      <c r="AE91" s="1">
        <v>10.8</v>
      </c>
      <c r="AF91" s="1">
        <v>16.8</v>
      </c>
      <c r="AG91" s="1">
        <v>31</v>
      </c>
      <c r="AH91" s="1">
        <v>28.6</v>
      </c>
      <c r="AI91" s="1">
        <v>15.6</v>
      </c>
      <c r="AJ91" s="1">
        <v>3.6</v>
      </c>
      <c r="AK91" s="1">
        <v>13.2</v>
      </c>
      <c r="AL91" s="1"/>
      <c r="AM91" s="1">
        <f t="shared" si="28"/>
        <v>0</v>
      </c>
      <c r="AN91" s="1">
        <f t="shared" si="29"/>
        <v>16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x14ac:dyDescent="0.25">
      <c r="A92" s="12" t="s">
        <v>142</v>
      </c>
      <c r="B92" s="12" t="s">
        <v>37</v>
      </c>
      <c r="C92" s="12">
        <v>2.5999999999999999E-2</v>
      </c>
      <c r="D92" s="12"/>
      <c r="E92" s="12"/>
      <c r="F92" s="12"/>
      <c r="G92" s="13">
        <v>0</v>
      </c>
      <c r="H92" s="12">
        <v>45</v>
      </c>
      <c r="I92" s="12" t="s">
        <v>136</v>
      </c>
      <c r="J92" s="12"/>
      <c r="K92" s="12"/>
      <c r="L92" s="12">
        <f t="shared" si="21"/>
        <v>0</v>
      </c>
      <c r="M92" s="12"/>
      <c r="N92" s="12"/>
      <c r="O92" s="12">
        <v>0</v>
      </c>
      <c r="P92" s="12">
        <v>0</v>
      </c>
      <c r="Q92" s="12">
        <v>0</v>
      </c>
      <c r="R92" s="12">
        <f t="shared" si="22"/>
        <v>0</v>
      </c>
      <c r="S92" s="14"/>
      <c r="T92" s="5">
        <f t="shared" si="23"/>
        <v>0</v>
      </c>
      <c r="U92" s="14"/>
      <c r="V92" s="5">
        <f t="shared" si="24"/>
        <v>0</v>
      </c>
      <c r="W92" s="5"/>
      <c r="X92" s="5">
        <f t="shared" si="25"/>
        <v>0</v>
      </c>
      <c r="Y92" s="14"/>
      <c r="Z92" s="12"/>
      <c r="AA92" s="12"/>
      <c r="AB92" s="1" t="e">
        <f t="shared" si="26"/>
        <v>#DIV/0!</v>
      </c>
      <c r="AC92" s="12" t="e">
        <f t="shared" si="27"/>
        <v>#DIV/0!</v>
      </c>
      <c r="AD92" s="12">
        <v>0</v>
      </c>
      <c r="AE92" s="12">
        <v>0</v>
      </c>
      <c r="AF92" s="12">
        <v>0</v>
      </c>
      <c r="AG92" s="12">
        <v>3.0257999999999998</v>
      </c>
      <c r="AH92" s="12">
        <v>6.6048</v>
      </c>
      <c r="AI92" s="12">
        <v>4.1173999999999999</v>
      </c>
      <c r="AJ92" s="12">
        <v>1.8859999999999999</v>
      </c>
      <c r="AK92" s="12">
        <v>1.8844000000000001</v>
      </c>
      <c r="AL92" s="12" t="s">
        <v>143</v>
      </c>
      <c r="AM92" s="1">
        <f t="shared" si="28"/>
        <v>0</v>
      </c>
      <c r="AN92" s="1">
        <f t="shared" si="29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x14ac:dyDescent="0.25">
      <c r="A93" s="1" t="s">
        <v>144</v>
      </c>
      <c r="B93" s="1" t="s">
        <v>37</v>
      </c>
      <c r="C93" s="1">
        <v>23.273</v>
      </c>
      <c r="D93" s="1">
        <v>36.133000000000003</v>
      </c>
      <c r="E93" s="1">
        <v>13.811</v>
      </c>
      <c r="F93" s="1">
        <v>38.722000000000001</v>
      </c>
      <c r="G93" s="8">
        <v>1</v>
      </c>
      <c r="H93" s="1">
        <v>50</v>
      </c>
      <c r="I93" s="1" t="s">
        <v>38</v>
      </c>
      <c r="J93" s="1"/>
      <c r="K93" s="1">
        <v>13</v>
      </c>
      <c r="L93" s="1">
        <f t="shared" si="21"/>
        <v>0.81099999999999994</v>
      </c>
      <c r="M93" s="1"/>
      <c r="N93" s="1"/>
      <c r="O93" s="1">
        <v>0</v>
      </c>
      <c r="P93" s="1">
        <v>0</v>
      </c>
      <c r="Q93" s="1">
        <v>0</v>
      </c>
      <c r="R93" s="1">
        <f t="shared" si="22"/>
        <v>2.7622</v>
      </c>
      <c r="S93" s="5"/>
      <c r="T93" s="5">
        <f t="shared" si="23"/>
        <v>0</v>
      </c>
      <c r="U93" s="5"/>
      <c r="V93" s="5">
        <f t="shared" si="24"/>
        <v>0</v>
      </c>
      <c r="W93" s="5"/>
      <c r="X93" s="5">
        <f t="shared" si="25"/>
        <v>0</v>
      </c>
      <c r="Y93" s="5"/>
      <c r="Z93" s="1"/>
      <c r="AA93" s="1"/>
      <c r="AB93" s="1">
        <f t="shared" si="26"/>
        <v>14.018535949605388</v>
      </c>
      <c r="AC93" s="1">
        <f t="shared" si="27"/>
        <v>14.018535949605388</v>
      </c>
      <c r="AD93" s="1">
        <v>3.2997999999999998</v>
      </c>
      <c r="AE93" s="1">
        <v>3.7410000000000001</v>
      </c>
      <c r="AF93" s="1">
        <v>4.5297999999999998</v>
      </c>
      <c r="AG93" s="1">
        <v>4.6026000000000007</v>
      </c>
      <c r="AH93" s="1">
        <v>3.8161999999999998</v>
      </c>
      <c r="AI93" s="1">
        <v>3.0022000000000002</v>
      </c>
      <c r="AJ93" s="1">
        <v>2.1861999999999999</v>
      </c>
      <c r="AK93" s="1">
        <v>3.8862000000000001</v>
      </c>
      <c r="AL93" s="1"/>
      <c r="AM93" s="1">
        <f t="shared" si="28"/>
        <v>0</v>
      </c>
      <c r="AN93" s="1">
        <f t="shared" si="29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x14ac:dyDescent="0.25">
      <c r="A94" s="1" t="s">
        <v>145</v>
      </c>
      <c r="B94" s="1" t="s">
        <v>43</v>
      </c>
      <c r="C94" s="1">
        <v>6</v>
      </c>
      <c r="D94" s="1">
        <v>165</v>
      </c>
      <c r="E94" s="1">
        <v>51</v>
      </c>
      <c r="F94" s="1">
        <v>98</v>
      </c>
      <c r="G94" s="8">
        <v>0.3</v>
      </c>
      <c r="H94" s="1">
        <v>40</v>
      </c>
      <c r="I94" s="1" t="s">
        <v>38</v>
      </c>
      <c r="J94" s="1"/>
      <c r="K94" s="1">
        <v>61</v>
      </c>
      <c r="L94" s="1">
        <f t="shared" si="21"/>
        <v>-10</v>
      </c>
      <c r="M94" s="1"/>
      <c r="N94" s="1"/>
      <c r="O94" s="1">
        <v>17</v>
      </c>
      <c r="P94" s="1">
        <v>17.800000000000011</v>
      </c>
      <c r="Q94" s="1">
        <v>0</v>
      </c>
      <c r="R94" s="1">
        <f t="shared" si="22"/>
        <v>10.199999999999999</v>
      </c>
      <c r="S94" s="5"/>
      <c r="T94" s="5">
        <f t="shared" si="23"/>
        <v>0</v>
      </c>
      <c r="U94" s="5"/>
      <c r="V94" s="5">
        <f t="shared" si="24"/>
        <v>0</v>
      </c>
      <c r="W94" s="5"/>
      <c r="X94" s="5">
        <f t="shared" si="25"/>
        <v>0</v>
      </c>
      <c r="Y94" s="5"/>
      <c r="Z94" s="1"/>
      <c r="AA94" s="1"/>
      <c r="AB94" s="1">
        <f t="shared" si="26"/>
        <v>13.019607843137257</v>
      </c>
      <c r="AC94" s="1">
        <f t="shared" si="27"/>
        <v>13.019607843137257</v>
      </c>
      <c r="AD94" s="1">
        <v>11.4</v>
      </c>
      <c r="AE94" s="1">
        <v>15</v>
      </c>
      <c r="AF94" s="1">
        <v>18.2</v>
      </c>
      <c r="AG94" s="1">
        <v>18.600000000000001</v>
      </c>
      <c r="AH94" s="1">
        <v>8.4</v>
      </c>
      <c r="AI94" s="1">
        <v>11.8</v>
      </c>
      <c r="AJ94" s="1">
        <v>16.399999999999999</v>
      </c>
      <c r="AK94" s="1">
        <v>15.4</v>
      </c>
      <c r="AL94" s="1"/>
      <c r="AM94" s="1">
        <f t="shared" si="28"/>
        <v>0</v>
      </c>
      <c r="AN94" s="1">
        <f t="shared" si="29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x14ac:dyDescent="0.25">
      <c r="A95" s="1" t="s">
        <v>146</v>
      </c>
      <c r="B95" s="1" t="s">
        <v>43</v>
      </c>
      <c r="C95" s="1">
        <v>23</v>
      </c>
      <c r="D95" s="1"/>
      <c r="E95" s="1">
        <v>13</v>
      </c>
      <c r="F95" s="1">
        <v>6</v>
      </c>
      <c r="G95" s="8">
        <v>0.12</v>
      </c>
      <c r="H95" s="1">
        <v>45</v>
      </c>
      <c r="I95" s="1" t="s">
        <v>38</v>
      </c>
      <c r="J95" s="1"/>
      <c r="K95" s="1">
        <v>16</v>
      </c>
      <c r="L95" s="1">
        <f t="shared" si="21"/>
        <v>-3</v>
      </c>
      <c r="M95" s="1"/>
      <c r="N95" s="1"/>
      <c r="O95" s="1">
        <v>0</v>
      </c>
      <c r="P95" s="1">
        <v>32.200000000000003</v>
      </c>
      <c r="Q95" s="1">
        <v>0</v>
      </c>
      <c r="R95" s="1">
        <f t="shared" si="22"/>
        <v>2.6</v>
      </c>
      <c r="S95" s="5"/>
      <c r="T95" s="5">
        <f t="shared" si="23"/>
        <v>0</v>
      </c>
      <c r="U95" s="5"/>
      <c r="V95" s="5">
        <f t="shared" si="24"/>
        <v>0</v>
      </c>
      <c r="W95" s="5"/>
      <c r="X95" s="5">
        <f t="shared" si="25"/>
        <v>0</v>
      </c>
      <c r="Y95" s="5"/>
      <c r="Z95" s="1"/>
      <c r="AA95" s="1"/>
      <c r="AB95" s="1">
        <f t="shared" si="26"/>
        <v>14.692307692307693</v>
      </c>
      <c r="AC95" s="1">
        <f t="shared" si="27"/>
        <v>14.692307692307693</v>
      </c>
      <c r="AD95" s="1">
        <v>4.2</v>
      </c>
      <c r="AE95" s="1">
        <v>4.5999999999999996</v>
      </c>
      <c r="AF95" s="1">
        <v>3.4</v>
      </c>
      <c r="AG95" s="1">
        <v>2.6</v>
      </c>
      <c r="AH95" s="1">
        <v>3.8</v>
      </c>
      <c r="AI95" s="1">
        <v>4.2</v>
      </c>
      <c r="AJ95" s="1">
        <v>4.4000000000000004</v>
      </c>
      <c r="AK95" s="1">
        <v>4</v>
      </c>
      <c r="AL95" s="1"/>
      <c r="AM95" s="1">
        <f t="shared" si="28"/>
        <v>0</v>
      </c>
      <c r="AN95" s="1">
        <f t="shared" si="29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x14ac:dyDescent="0.25">
      <c r="A96" s="19" t="s">
        <v>147</v>
      </c>
      <c r="B96" s="1" t="s">
        <v>37</v>
      </c>
      <c r="C96" s="1">
        <v>8.0000000000000002E-3</v>
      </c>
      <c r="D96" s="1"/>
      <c r="E96" s="1"/>
      <c r="F96" s="1"/>
      <c r="G96" s="8">
        <v>1</v>
      </c>
      <c r="H96" s="1">
        <v>180</v>
      </c>
      <c r="I96" s="1" t="s">
        <v>38</v>
      </c>
      <c r="J96" s="1"/>
      <c r="K96" s="1">
        <v>4</v>
      </c>
      <c r="L96" s="1">
        <f t="shared" si="21"/>
        <v>-4</v>
      </c>
      <c r="M96" s="1"/>
      <c r="N96" s="1"/>
      <c r="O96" s="1"/>
      <c r="P96" s="1"/>
      <c r="Q96" s="19"/>
      <c r="R96" s="1">
        <f t="shared" si="22"/>
        <v>0</v>
      </c>
      <c r="S96" s="20">
        <v>4</v>
      </c>
      <c r="T96" s="5">
        <f t="shared" si="23"/>
        <v>4</v>
      </c>
      <c r="U96" s="20"/>
      <c r="V96" s="5">
        <f t="shared" si="24"/>
        <v>4</v>
      </c>
      <c r="W96" s="5"/>
      <c r="X96" s="5">
        <f t="shared" si="25"/>
        <v>4</v>
      </c>
      <c r="Y96" s="5"/>
      <c r="Z96" s="1"/>
      <c r="AA96" s="1"/>
      <c r="AB96" s="1" t="e">
        <f t="shared" si="26"/>
        <v>#DIV/0!</v>
      </c>
      <c r="AC96" s="1" t="e">
        <f t="shared" si="27"/>
        <v>#DIV/0!</v>
      </c>
      <c r="AD96" s="1">
        <v>0</v>
      </c>
      <c r="AE96" s="1">
        <v>0</v>
      </c>
      <c r="AF96" s="1">
        <v>0</v>
      </c>
      <c r="AG96" s="1">
        <v>3.0000000000000001E-3</v>
      </c>
      <c r="AH96" s="1">
        <v>7.9000000000000001E-2</v>
      </c>
      <c r="AI96" s="1">
        <v>0.22739999999999999</v>
      </c>
      <c r="AJ96" s="1">
        <v>0.59740000000000004</v>
      </c>
      <c r="AK96" s="1">
        <v>0.89979999999999993</v>
      </c>
      <c r="AL96" s="19" t="s">
        <v>139</v>
      </c>
      <c r="AM96" s="1">
        <f t="shared" si="28"/>
        <v>0</v>
      </c>
      <c r="AN96" s="1">
        <f t="shared" si="29"/>
        <v>4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</sheetData>
  <autoFilter ref="A3:AM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2025-11-27T10:39:53Z</dcterms:created>
  <dcterms:modified xsi:type="dcterms:W3CDTF">2025-11-28T08:02:09Z</dcterms:modified>
</cp:coreProperties>
</file>