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3043EA9D-E814-4CE8-853C-56101D7D894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8" i="1" s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N68" i="1"/>
  <c r="BM68" i="1"/>
  <c r="Z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Y69" i="1"/>
  <c r="Z67" i="1"/>
  <c r="Z69" i="1" s="1"/>
  <c r="BN67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Y149" i="1"/>
  <c r="BP162" i="1"/>
  <c r="BN162" i="1"/>
  <c r="Z162" i="1"/>
  <c r="BP165" i="1"/>
  <c r="BN165" i="1"/>
  <c r="Z165" i="1"/>
  <c r="BP169" i="1"/>
  <c r="BN169" i="1"/>
  <c r="Z169" i="1"/>
  <c r="Y178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Y24" i="1"/>
  <c r="Y44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4" i="1"/>
  <c r="BN164" i="1"/>
  <c r="Z164" i="1"/>
  <c r="Z171" i="1" s="1"/>
  <c r="BP167" i="1"/>
  <c r="BN167" i="1"/>
  <c r="Z167" i="1"/>
  <c r="Y171" i="1"/>
  <c r="BP175" i="1"/>
  <c r="BN175" i="1"/>
  <c r="Z175" i="1"/>
  <c r="Z177" i="1" s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Z380" i="1" s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304" i="1"/>
  <c r="Z294" i="1"/>
  <c r="Z274" i="1"/>
  <c r="Y489" i="1"/>
  <c r="Z337" i="1"/>
  <c r="Z234" i="1"/>
  <c r="Z109" i="1"/>
  <c r="Z88" i="1"/>
  <c r="Z76" i="1"/>
  <c r="Z57" i="1"/>
  <c r="Z43" i="1"/>
  <c r="Z31" i="1"/>
  <c r="Y491" i="1"/>
  <c r="Z438" i="1"/>
  <c r="Z447" i="1"/>
  <c r="Z432" i="1"/>
  <c r="Z349" i="1"/>
  <c r="Z215" i="1"/>
  <c r="Z494" i="1" s="1"/>
  <c r="Y493" i="1"/>
  <c r="Y490" i="1"/>
  <c r="Y492" i="1" s="1"/>
</calcChain>
</file>

<file path=xl/sharedStrings.xml><?xml version="1.0" encoding="utf-8"?>
<sst xmlns="http://schemas.openxmlformats.org/spreadsheetml/2006/main" count="2276" uniqueCount="762">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</sst>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183</v>
      </c>
      <c r="Y85" s="542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189.94722222222222</v>
      </c>
      <c r="BN85" s="64">
        <f>IFERROR(Y85*I85/H85,"0")</f>
        <v>190.57000000000002</v>
      </c>
      <c r="BO85" s="64">
        <f>IFERROR(1/J85*(X85/H85),"0")</f>
        <v>0.26475694444444442</v>
      </c>
      <c r="BP85" s="64">
        <f>IFERROR(1/J85*(Y85/H85),"0")</f>
        <v>0.265625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16.944444444444443</v>
      </c>
      <c r="Y88" s="543">
        <f>IFERROR(Y85/H85,"0")+IFERROR(Y86/H86,"0")+IFERROR(Y87/H87,"0")</f>
        <v>17</v>
      </c>
      <c r="Z88" s="543">
        <f>IFERROR(IF(Z85="",0,Z85),"0")+IFERROR(IF(Z86="",0,Z86),"0")+IFERROR(IF(Z87="",0,Z87),"0")</f>
        <v>0.32266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183</v>
      </c>
      <c r="Y89" s="543">
        <f>IFERROR(SUM(Y85:Y87),"0")</f>
        <v>183.60000000000002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128</v>
      </c>
      <c r="Y93" s="542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139.94666666666666</v>
      </c>
      <c r="BN93" s="64">
        <f>IFERROR(Y93*I93/H93,"0")</f>
        <v>141.69600000000003</v>
      </c>
      <c r="BO93" s="64">
        <f>IFERROR(1/J93*(X93/H93),"0")</f>
        <v>0.26048026048026046</v>
      </c>
      <c r="BP93" s="64">
        <f>IFERROR(1/J93*(Y93/H93),"0")</f>
        <v>0.2637362637362638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47.407407407407405</v>
      </c>
      <c r="Y95" s="543">
        <f>IFERROR(Y91/H91,"0")+IFERROR(Y92/H92,"0")+IFERROR(Y93/H93,"0")+IFERROR(Y94/H94,"0")</f>
        <v>48.000000000000007</v>
      </c>
      <c r="Z95" s="543">
        <f>IFERROR(IF(Z91="",0,Z91),"0")+IFERROR(IF(Z92="",0,Z92),"0")+IFERROR(IF(Z93="",0,Z93),"0")+IFERROR(IF(Z94="",0,Z94),"0")</f>
        <v>0.31247999999999998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128</v>
      </c>
      <c r="Y96" s="543">
        <f>IFERROR(SUM(Y91:Y94),"0")</f>
        <v>129.60000000000002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151</v>
      </c>
      <c r="Y99" s="542">
        <f>IFERROR(IF(X99="",0,CEILING((X99/$H99),1)*$H99),"")</f>
        <v>151.20000000000002</v>
      </c>
      <c r="Z99" s="36">
        <f>IFERROR(IF(Y99=0,"",ROUNDUP(Y99/H99,0)*0.01898),"")</f>
        <v>0.26572000000000001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156.73240740740741</v>
      </c>
      <c r="BN99" s="64">
        <f>IFERROR(Y99*I99/H99,"0")</f>
        <v>156.94</v>
      </c>
      <c r="BO99" s="64">
        <f>IFERROR(1/J99*(X99/H99),"0")</f>
        <v>0.21846064814814814</v>
      </c>
      <c r="BP99" s="64">
        <f>IFERROR(1/J99*(Y99/H99),"0")</f>
        <v>0.21875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13.981481481481481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0.26572000000000001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151</v>
      </c>
      <c r="Y104" s="543">
        <f>IFERROR(SUM(Y99:Y102),"0")</f>
        <v>151.20000000000002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189</v>
      </c>
      <c r="Y112" s="542">
        <f>IFERROR(IF(X112="",0,CEILING((X112/$H112),1)*$H112),"")</f>
        <v>194.39999999999998</v>
      </c>
      <c r="Z112" s="36">
        <f>IFERROR(IF(Y112=0,"",ROUNDUP(Y112/H112,0)*0.01898),"")</f>
        <v>0.45552000000000004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200.38666666666666</v>
      </c>
      <c r="BN112" s="64">
        <f>IFERROR(Y112*I112/H112,"0")</f>
        <v>206.11199999999997</v>
      </c>
      <c r="BO112" s="64">
        <f>IFERROR(1/J112*(X112/H112),"0")</f>
        <v>0.36458333333333337</v>
      </c>
      <c r="BP112" s="64">
        <f>IFERROR(1/J112*(Y112/H112),"0")</f>
        <v>0.375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202</v>
      </c>
      <c r="Y114" s="542">
        <f>IFERROR(IF(X114="",0,CEILING((X114/$H114),1)*$H114),"")</f>
        <v>202.5</v>
      </c>
      <c r="Z114" s="36">
        <f>IFERROR(IF(Y114=0,"",ROUNDUP(Y114/H114,0)*0.00651),"")</f>
        <v>0.48825000000000002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220.8533333333333</v>
      </c>
      <c r="BN114" s="64">
        <f>IFERROR(Y114*I114/H114,"0")</f>
        <v>221.39999999999998</v>
      </c>
      <c r="BO114" s="64">
        <f>IFERROR(1/J114*(X114/H114),"0")</f>
        <v>0.41107041107041109</v>
      </c>
      <c r="BP114" s="64">
        <f>IFERROR(1/J114*(Y114/H114),"0")</f>
        <v>0.41208791208791212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98.148148148148152</v>
      </c>
      <c r="Y116" s="543">
        <f>IFERROR(Y112/H112,"0")+IFERROR(Y113/H113,"0")+IFERROR(Y114/H114,"0")+IFERROR(Y115/H115,"0")</f>
        <v>99</v>
      </c>
      <c r="Z116" s="543">
        <f>IFERROR(IF(Z112="",0,Z112),"0")+IFERROR(IF(Z113="",0,Z113),"0")+IFERROR(IF(Z114="",0,Z114),"0")+IFERROR(IF(Z115="",0,Z115),"0")</f>
        <v>0.94377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391</v>
      </c>
      <c r="Y117" s="543">
        <f>IFERROR(SUM(Y112:Y115),"0")</f>
        <v>396.9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127</v>
      </c>
      <c r="Y208" s="542">
        <f t="shared" si="15"/>
        <v>130.5</v>
      </c>
      <c r="Z208" s="36">
        <f>IFERROR(IF(Y208=0,"",ROUNDUP(Y208/H208,0)*0.01898),"")</f>
        <v>0.28470000000000001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134.21126436781611</v>
      </c>
      <c r="BN208" s="64">
        <f t="shared" si="17"/>
        <v>137.91000000000003</v>
      </c>
      <c r="BO208" s="64">
        <f t="shared" si="18"/>
        <v>0.22808908045977014</v>
      </c>
      <c r="BP208" s="64">
        <f t="shared" si="19"/>
        <v>0.23437500000000003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166</v>
      </c>
      <c r="Y211" s="542">
        <f t="shared" si="15"/>
        <v>168</v>
      </c>
      <c r="Z211" s="36">
        <f t="shared" si="20"/>
        <v>0.45569999999999999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183.43</v>
      </c>
      <c r="BN211" s="64">
        <f t="shared" si="17"/>
        <v>185.64000000000001</v>
      </c>
      <c r="BO211" s="64">
        <f t="shared" si="18"/>
        <v>0.38003663003663007</v>
      </c>
      <c r="BP211" s="64">
        <f t="shared" si="19"/>
        <v>0.38461538461538464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158</v>
      </c>
      <c r="Y212" s="542">
        <f t="shared" si="15"/>
        <v>158.4</v>
      </c>
      <c r="Z212" s="36">
        <f t="shared" si="20"/>
        <v>0.42965999999999999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174.59</v>
      </c>
      <c r="BN212" s="64">
        <f t="shared" si="17"/>
        <v>175.03200000000004</v>
      </c>
      <c r="BO212" s="64">
        <f t="shared" si="18"/>
        <v>0.36172161172161182</v>
      </c>
      <c r="BP212" s="64">
        <f t="shared" si="19"/>
        <v>0.36263736263736268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149.59770114942529</v>
      </c>
      <c r="Y215" s="543">
        <f>IFERROR(Y206/H206,"0")+IFERROR(Y207/H207,"0")+IFERROR(Y208/H208,"0")+IFERROR(Y209/H209,"0")+IFERROR(Y210/H210,"0")+IFERROR(Y211/H211,"0")+IFERROR(Y212/H212,"0")+IFERROR(Y213/H213,"0")+IFERROR(Y214/H214,"0")</f>
        <v>151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1.1700599999999999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451</v>
      </c>
      <c r="Y216" s="543">
        <f>IFERROR(SUM(Y206:Y214),"0")</f>
        <v>456.9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691</v>
      </c>
      <c r="Y342" s="542">
        <f t="shared" ref="Y342:Y348" si="31">IFERROR(IF(X342="",0,CEILING((X342/$H342),1)*$H342),"")</f>
        <v>705</v>
      </c>
      <c r="Z342" s="36">
        <f>IFERROR(IF(Y342=0,"",ROUNDUP(Y342/H342,0)*0.02175),"")</f>
        <v>1.0222499999999999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712.65133333333335</v>
      </c>
      <c r="BN342" s="64">
        <f t="shared" ref="BN342:BN348" si="33">IFERROR(Y342*I342/H342,"0")</f>
        <v>727.09</v>
      </c>
      <c r="BO342" s="64">
        <f t="shared" ref="BO342:BO348" si="34">IFERROR(1/J342*(X342/H342),"0")</f>
        <v>0.95972222222222225</v>
      </c>
      <c r="BP342" s="64">
        <f t="shared" ref="BP342:BP348" si="35">IFERROR(1/J342*(Y342/H342),"0")</f>
        <v>0.97916666666666663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311</v>
      </c>
      <c r="Y344" s="542">
        <f t="shared" si="31"/>
        <v>315</v>
      </c>
      <c r="Z344" s="36">
        <f>IFERROR(IF(Y344=0,"",ROUNDUP(Y344/H344,0)*0.02175),"")</f>
        <v>0.45674999999999999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320.74466666666666</v>
      </c>
      <c r="BN344" s="64">
        <f t="shared" si="33"/>
        <v>324.87</v>
      </c>
      <c r="BO344" s="64">
        <f t="shared" si="34"/>
        <v>0.43194444444444446</v>
      </c>
      <c r="BP344" s="64">
        <f t="shared" si="35"/>
        <v>0.4375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199</v>
      </c>
      <c r="Y345" s="542">
        <f t="shared" si="31"/>
        <v>210</v>
      </c>
      <c r="Z345" s="36">
        <f>IFERROR(IF(Y345=0,"",ROUNDUP(Y345/H345,0)*0.02175),"")</f>
        <v>0.30449999999999999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205.23533333333336</v>
      </c>
      <c r="BN345" s="64">
        <f t="shared" si="33"/>
        <v>216.58</v>
      </c>
      <c r="BO345" s="64">
        <f t="shared" si="34"/>
        <v>0.27638888888888891</v>
      </c>
      <c r="BP345" s="64">
        <f t="shared" si="35"/>
        <v>0.29166666666666663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80.066666666666677</v>
      </c>
      <c r="Y349" s="543">
        <f>IFERROR(Y342/H342,"0")+IFERROR(Y343/H343,"0")+IFERROR(Y344/H344,"0")+IFERROR(Y345/H345,"0")+IFERROR(Y346/H346,"0")+IFERROR(Y347/H347,"0")+IFERROR(Y348/H348,"0")</f>
        <v>82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1.7834999999999999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1201</v>
      </c>
      <c r="Y350" s="543">
        <f>IFERROR(SUM(Y342:Y348),"0")</f>
        <v>1230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587</v>
      </c>
      <c r="Y352" s="542">
        <f>IFERROR(IF(X352="",0,CEILING((X352/$H352),1)*$H352),"")</f>
        <v>600</v>
      </c>
      <c r="Z352" s="36">
        <f>IFERROR(IF(Y352=0,"",ROUNDUP(Y352/H352,0)*0.02175),"")</f>
        <v>0.86999999999999988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605.39266666666674</v>
      </c>
      <c r="BN352" s="64">
        <f>IFERROR(Y352*I352/H352,"0")</f>
        <v>618.79999999999995</v>
      </c>
      <c r="BO352" s="64">
        <f>IFERROR(1/J352*(X352/H352),"0")</f>
        <v>0.81527777777777777</v>
      </c>
      <c r="BP352" s="64">
        <f>IFERROR(1/J352*(Y352/H352),"0")</f>
        <v>0.83333333333333326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39.133333333333333</v>
      </c>
      <c r="Y354" s="543">
        <f>IFERROR(Y352/H352,"0")+IFERROR(Y353/H353,"0")</f>
        <v>40</v>
      </c>
      <c r="Z354" s="543">
        <f>IFERROR(IF(Z352="",0,Z352),"0")+IFERROR(IF(Z353="",0,Z353),"0")</f>
        <v>0.86999999999999988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587</v>
      </c>
      <c r="Y355" s="543">
        <f>IFERROR(SUM(Y352:Y353),"0")</f>
        <v>600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703</v>
      </c>
      <c r="Y424" s="542">
        <f t="shared" si="42"/>
        <v>707.52</v>
      </c>
      <c r="Z424" s="36">
        <f t="shared" si="43"/>
        <v>1.6026400000000001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749.60037878787875</v>
      </c>
      <c r="BN424" s="64">
        <f t="shared" si="45"/>
        <v>754.42</v>
      </c>
      <c r="BO424" s="64">
        <f t="shared" si="46"/>
        <v>1.2802301864801864</v>
      </c>
      <c r="BP424" s="64">
        <f t="shared" si="47"/>
        <v>1.2884615384615385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988</v>
      </c>
      <c r="Y426" s="542">
        <f t="shared" si="42"/>
        <v>992.6400000000001</v>
      </c>
      <c r="Z426" s="36">
        <f t="shared" si="43"/>
        <v>2.2484799999999998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1053.492424242424</v>
      </c>
      <c r="BN426" s="64">
        <f t="shared" si="45"/>
        <v>1058.44</v>
      </c>
      <c r="BO426" s="64">
        <f t="shared" si="46"/>
        <v>1.7992424242424243</v>
      </c>
      <c r="BP426" s="64">
        <f t="shared" si="47"/>
        <v>1.8076923076923077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320.2651515151515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322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3.8511199999999999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1691</v>
      </c>
      <c r="Y433" s="543">
        <f>IFERROR(SUM(Y421:Y431),"0")</f>
        <v>1700.16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562</v>
      </c>
      <c r="Y435" s="542">
        <f>IFERROR(IF(X435="",0,CEILING((X435/$H435),1)*$H435),"")</f>
        <v>564.96</v>
      </c>
      <c r="Z435" s="36">
        <f>IFERROR(IF(Y435=0,"",ROUNDUP(Y435/H435,0)*0.01196),"")</f>
        <v>1.27972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599.25378787878788</v>
      </c>
      <c r="BN435" s="64">
        <f>IFERROR(Y435*I435/H435,"0")</f>
        <v>602.41</v>
      </c>
      <c r="BO435" s="64">
        <f>IFERROR(1/J435*(X435/H435),"0")</f>
        <v>1.023455710955711</v>
      </c>
      <c r="BP435" s="64">
        <f>IFERROR(1/J435*(Y435/H435),"0")</f>
        <v>1.028846153846154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106.43939393939394</v>
      </c>
      <c r="Y438" s="543">
        <f>IFERROR(Y435/H435,"0")+IFERROR(Y436/H436,"0")+IFERROR(Y437/H437,"0")</f>
        <v>107</v>
      </c>
      <c r="Z438" s="543">
        <f>IFERROR(IF(Z435="",0,Z435),"0")+IFERROR(IF(Z436="",0,Z436),"0")+IFERROR(IF(Z437="",0,Z437),"0")</f>
        <v>1.27972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562</v>
      </c>
      <c r="Y439" s="543">
        <f>IFERROR(SUM(Y435:Y437),"0")</f>
        <v>564.96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177</v>
      </c>
      <c r="Y441" s="542">
        <f t="shared" ref="Y441:Y446" si="48">IFERROR(IF(X441="",0,CEILING((X441/$H441),1)*$H441),"")</f>
        <v>179.52</v>
      </c>
      <c r="Z441" s="36">
        <f>IFERROR(IF(Y441=0,"",ROUNDUP(Y441/H441,0)*0.01196),"")</f>
        <v>0.40664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188.73295454545453</v>
      </c>
      <c r="BN441" s="64">
        <f t="shared" ref="BN441:BN446" si="50">IFERROR(Y441*I441/H441,"0")</f>
        <v>191.42000000000002</v>
      </c>
      <c r="BO441" s="64">
        <f t="shared" ref="BO441:BO446" si="51">IFERROR(1/J441*(X441/H441),"0")</f>
        <v>0.32233391608391609</v>
      </c>
      <c r="BP441" s="64">
        <f t="shared" ref="BP441:BP446" si="52">IFERROR(1/J441*(Y441/H441),"0")</f>
        <v>0.32692307692307693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211</v>
      </c>
      <c r="Y442" s="542">
        <f t="shared" si="48"/>
        <v>211.20000000000002</v>
      </c>
      <c r="Z442" s="36">
        <f>IFERROR(IF(Y442=0,"",ROUNDUP(Y442/H442,0)*0.01196),"")</f>
        <v>0.47839999999999999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224.98674242424244</v>
      </c>
      <c r="BN442" s="64">
        <f t="shared" si="50"/>
        <v>225.2</v>
      </c>
      <c r="BO442" s="64">
        <f t="shared" si="51"/>
        <v>0.3842511655011655</v>
      </c>
      <c r="BP442" s="64">
        <f t="shared" si="52"/>
        <v>0.38461538461538464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415</v>
      </c>
      <c r="Y443" s="542">
        <f t="shared" si="48"/>
        <v>417.12</v>
      </c>
      <c r="Z443" s="36">
        <f>IFERROR(IF(Y443=0,"",ROUNDUP(Y443/H443,0)*0.01196),"")</f>
        <v>0.94484000000000001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442.50946969696963</v>
      </c>
      <c r="BN443" s="64">
        <f t="shared" si="50"/>
        <v>444.77</v>
      </c>
      <c r="BO443" s="64">
        <f t="shared" si="51"/>
        <v>0.75575466200466201</v>
      </c>
      <c r="BP443" s="64">
        <f t="shared" si="52"/>
        <v>0.75961538461538469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152.08333333333331</v>
      </c>
      <c r="Y447" s="543">
        <f>IFERROR(Y441/H441,"0")+IFERROR(Y442/H442,"0")+IFERROR(Y443/H443,"0")+IFERROR(Y444/H444,"0")+IFERROR(Y445/H445,"0")+IFERROR(Y446/H446,"0")</f>
        <v>153</v>
      </c>
      <c r="Z447" s="543">
        <f>IFERROR(IF(Z441="",0,Z441),"0")+IFERROR(IF(Z442="",0,Z442),"0")+IFERROR(IF(Z443="",0,Z443),"0")+IFERROR(IF(Z444="",0,Z444),"0")+IFERROR(IF(Z445="",0,Z445),"0")+IFERROR(IF(Z446="",0,Z446),"0")</f>
        <v>1.8298800000000002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803</v>
      </c>
      <c r="Y448" s="543">
        <f>IFERROR(SUM(Y441:Y446),"0")</f>
        <v>807.84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6148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6221.16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6502.6973182398697</v>
      </c>
      <c r="Y490" s="543">
        <f>IFERROR(SUM(BN22:BN486),"0")</f>
        <v>6579.2999999999993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11</v>
      </c>
      <c r="Y491" s="38">
        <f>ROUNDUP(SUM(BP22:BP486),0)</f>
        <v>11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6777.6973182398697</v>
      </c>
      <c r="Y492" s="543">
        <f>GrossWeightTotalR+PalletQtyTotalR*25</f>
        <v>6854.2999999999993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1024.0670614187854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1033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12.628910000000001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313.20000000000005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548.1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456.9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1830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3072.9599999999996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2025-12-01T10:35:10Z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