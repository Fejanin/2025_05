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2320DF6-1662-4214-86D1-EE91D74BA80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Y354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Y250" i="1" s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Y204" i="1" s="1"/>
  <c r="P195" i="1"/>
  <c r="X193" i="1"/>
  <c r="X192" i="1"/>
  <c r="BO191" i="1"/>
  <c r="BM191" i="1"/>
  <c r="Y191" i="1"/>
  <c r="BP191" i="1" s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J499" i="1" s="1"/>
  <c r="P185" i="1"/>
  <c r="X182" i="1"/>
  <c r="X181" i="1"/>
  <c r="BO180" i="1"/>
  <c r="BM180" i="1"/>
  <c r="Y180" i="1"/>
  <c r="Y181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77" i="1" s="1"/>
  <c r="P174" i="1"/>
  <c r="X172" i="1"/>
  <c r="X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P162" i="1"/>
  <c r="BO161" i="1"/>
  <c r="BM161" i="1"/>
  <c r="Y161" i="1"/>
  <c r="Y171" i="1" s="1"/>
  <c r="P161" i="1"/>
  <c r="X159" i="1"/>
  <c r="X158" i="1"/>
  <c r="BO157" i="1"/>
  <c r="BM157" i="1"/>
  <c r="Y157" i="1"/>
  <c r="I499" i="1" s="1"/>
  <c r="P157" i="1"/>
  <c r="X153" i="1"/>
  <c r="X152" i="1"/>
  <c r="BO151" i="1"/>
  <c r="BM151" i="1"/>
  <c r="Y151" i="1"/>
  <c r="Y152" i="1" s="1"/>
  <c r="P151" i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9" i="1" s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F10" i="1" s="1"/>
  <c r="D7" i="1"/>
  <c r="Q6" i="1"/>
  <c r="P2" i="1"/>
  <c r="Y36" i="1" l="1"/>
  <c r="Y44" i="1"/>
  <c r="Y48" i="1"/>
  <c r="Y57" i="1"/>
  <c r="Y77" i="1"/>
  <c r="Y88" i="1"/>
  <c r="Y96" i="1"/>
  <c r="Y103" i="1"/>
  <c r="Y109" i="1"/>
  <c r="Y121" i="1"/>
  <c r="Y126" i="1"/>
  <c r="Y132" i="1"/>
  <c r="Y149" i="1"/>
  <c r="Y153" i="1"/>
  <c r="Y178" i="1"/>
  <c r="Y182" i="1"/>
  <c r="Y187" i="1"/>
  <c r="Y193" i="1"/>
  <c r="BP230" i="1"/>
  <c r="BN230" i="1"/>
  <c r="Z230" i="1"/>
  <c r="BP255" i="1"/>
  <c r="BN255" i="1"/>
  <c r="Z255" i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BP299" i="1"/>
  <c r="BN299" i="1"/>
  <c r="Z299" i="1"/>
  <c r="Y312" i="1"/>
  <c r="BP307" i="1"/>
  <c r="BN307" i="1"/>
  <c r="Z307" i="1"/>
  <c r="BP315" i="1"/>
  <c r="BN315" i="1"/>
  <c r="Z315" i="1"/>
  <c r="Z317" i="1" s="1"/>
  <c r="BP323" i="1"/>
  <c r="BN323" i="1"/>
  <c r="Z323" i="1"/>
  <c r="Y330" i="1"/>
  <c r="BP327" i="1"/>
  <c r="BN327" i="1"/>
  <c r="Z327" i="1"/>
  <c r="S499" i="1"/>
  <c r="Y349" i="1"/>
  <c r="BP342" i="1"/>
  <c r="BN342" i="1"/>
  <c r="Z342" i="1"/>
  <c r="BP346" i="1"/>
  <c r="BN346" i="1"/>
  <c r="Z346" i="1"/>
  <c r="L499" i="1"/>
  <c r="H9" i="1"/>
  <c r="A10" i="1"/>
  <c r="Y24" i="1"/>
  <c r="Y32" i="1"/>
  <c r="Y63" i="1"/>
  <c r="Y69" i="1"/>
  <c r="Y81" i="1"/>
  <c r="Y117" i="1"/>
  <c r="Y136" i="1"/>
  <c r="Y143" i="1"/>
  <c r="Y159" i="1"/>
  <c r="Y172" i="1"/>
  <c r="Y203" i="1"/>
  <c r="BP213" i="1"/>
  <c r="BN213" i="1"/>
  <c r="Z213" i="1"/>
  <c r="BP226" i="1"/>
  <c r="BN226" i="1"/>
  <c r="Z226" i="1"/>
  <c r="Y234" i="1"/>
  <c r="BP246" i="1"/>
  <c r="BN246" i="1"/>
  <c r="Z246" i="1"/>
  <c r="Z250" i="1" s="1"/>
  <c r="Y275" i="1"/>
  <c r="BP291" i="1"/>
  <c r="BN291" i="1"/>
  <c r="Z291" i="1"/>
  <c r="BP303" i="1"/>
  <c r="BN303" i="1"/>
  <c r="Z303" i="1"/>
  <c r="Y305" i="1"/>
  <c r="Y311" i="1"/>
  <c r="Y325" i="1"/>
  <c r="BP336" i="1"/>
  <c r="BN336" i="1"/>
  <c r="Z336" i="1"/>
  <c r="Y338" i="1"/>
  <c r="F9" i="1"/>
  <c r="J9" i="1"/>
  <c r="Z22" i="1"/>
  <c r="Z23" i="1" s="1"/>
  <c r="BN22" i="1"/>
  <c r="BP22" i="1"/>
  <c r="Y23" i="1"/>
  <c r="X489" i="1"/>
  <c r="Z26" i="1"/>
  <c r="Z31" i="1" s="1"/>
  <c r="BN26" i="1"/>
  <c r="BP26" i="1"/>
  <c r="Z28" i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Z76" i="1" s="1"/>
  <c r="BN73" i="1"/>
  <c r="Z75" i="1"/>
  <c r="BN75" i="1"/>
  <c r="Z79" i="1"/>
  <c r="Z81" i="1" s="1"/>
  <c r="BN79" i="1"/>
  <c r="BP79" i="1"/>
  <c r="E499" i="1"/>
  <c r="Z86" i="1"/>
  <c r="Z88" i="1" s="1"/>
  <c r="BN86" i="1"/>
  <c r="Y89" i="1"/>
  <c r="Z92" i="1"/>
  <c r="Z95" i="1" s="1"/>
  <c r="BN92" i="1"/>
  <c r="Z94" i="1"/>
  <c r="BN94" i="1"/>
  <c r="Z99" i="1"/>
  <c r="Z103" i="1" s="1"/>
  <c r="BN99" i="1"/>
  <c r="BP99" i="1"/>
  <c r="Z101" i="1"/>
  <c r="BN101" i="1"/>
  <c r="Y104" i="1"/>
  <c r="Z107" i="1"/>
  <c r="Z109" i="1" s="1"/>
  <c r="BN107" i="1"/>
  <c r="Z113" i="1"/>
  <c r="Z116" i="1" s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9" i="1"/>
  <c r="Z141" i="1"/>
  <c r="Z142" i="1" s="1"/>
  <c r="BN141" i="1"/>
  <c r="Y142" i="1"/>
  <c r="Z145" i="1"/>
  <c r="Z148" i="1" s="1"/>
  <c r="BN145" i="1"/>
  <c r="BP145" i="1"/>
  <c r="Z147" i="1"/>
  <c r="BN147" i="1"/>
  <c r="Z151" i="1"/>
  <c r="Z152" i="1" s="1"/>
  <c r="BN151" i="1"/>
  <c r="BP151" i="1"/>
  <c r="Z157" i="1"/>
  <c r="Z158" i="1" s="1"/>
  <c r="BN157" i="1"/>
  <c r="BP157" i="1"/>
  <c r="Y158" i="1"/>
  <c r="Z161" i="1"/>
  <c r="Z171" i="1" s="1"/>
  <c r="BN161" i="1"/>
  <c r="BP161" i="1"/>
  <c r="Z163" i="1"/>
  <c r="BN163" i="1"/>
  <c r="Z166" i="1"/>
  <c r="BN166" i="1"/>
  <c r="Z168" i="1"/>
  <c r="BN168" i="1"/>
  <c r="Z170" i="1"/>
  <c r="BN170" i="1"/>
  <c r="Z174" i="1"/>
  <c r="BN174" i="1"/>
  <c r="BP174" i="1"/>
  <c r="Z176" i="1"/>
  <c r="BN176" i="1"/>
  <c r="Z180" i="1"/>
  <c r="Z181" i="1" s="1"/>
  <c r="BN180" i="1"/>
  <c r="BP180" i="1"/>
  <c r="Z185" i="1"/>
  <c r="Z187" i="1" s="1"/>
  <c r="BN185" i="1"/>
  <c r="BP185" i="1"/>
  <c r="Y188" i="1"/>
  <c r="Z191" i="1"/>
  <c r="Z192" i="1" s="1"/>
  <c r="BN191" i="1"/>
  <c r="Z195" i="1"/>
  <c r="BN195" i="1"/>
  <c r="BP195" i="1"/>
  <c r="Z197" i="1"/>
  <c r="BN197" i="1"/>
  <c r="Z199" i="1"/>
  <c r="BN199" i="1"/>
  <c r="Z201" i="1"/>
  <c r="BN201" i="1"/>
  <c r="Y216" i="1"/>
  <c r="Z207" i="1"/>
  <c r="Z215" i="1" s="1"/>
  <c r="BN207" i="1"/>
  <c r="Z209" i="1"/>
  <c r="BN209" i="1"/>
  <c r="Z211" i="1"/>
  <c r="BN211" i="1"/>
  <c r="Y215" i="1"/>
  <c r="BP219" i="1"/>
  <c r="BN219" i="1"/>
  <c r="Z219" i="1"/>
  <c r="Z220" i="1" s="1"/>
  <c r="Y221" i="1"/>
  <c r="K499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Z259" i="1" s="1"/>
  <c r="BP266" i="1"/>
  <c r="BN266" i="1"/>
  <c r="Z266" i="1"/>
  <c r="Y268" i="1"/>
  <c r="O499" i="1"/>
  <c r="Y274" i="1"/>
  <c r="BP271" i="1"/>
  <c r="BN271" i="1"/>
  <c r="Z271" i="1"/>
  <c r="Z274" i="1" s="1"/>
  <c r="Y280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Y318" i="1"/>
  <c r="Y317" i="1"/>
  <c r="BP321" i="1"/>
  <c r="BN321" i="1"/>
  <c r="Z321" i="1"/>
  <c r="Z324" i="1" s="1"/>
  <c r="BP329" i="1"/>
  <c r="BN329" i="1"/>
  <c r="Z329" i="1"/>
  <c r="Y331" i="1"/>
  <c r="R499" i="1"/>
  <c r="Y337" i="1"/>
  <c r="BP334" i="1"/>
  <c r="BN334" i="1"/>
  <c r="Z334" i="1"/>
  <c r="Z337" i="1" s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BP378" i="1"/>
  <c r="BN378" i="1"/>
  <c r="Z378" i="1"/>
  <c r="Z380" i="1" s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47" i="1" l="1"/>
  <c r="Z432" i="1"/>
  <c r="Z304" i="1"/>
  <c r="Z294" i="1"/>
  <c r="Z203" i="1"/>
  <c r="Z177" i="1"/>
  <c r="Z494" i="1" s="1"/>
  <c r="Z57" i="1"/>
  <c r="Y491" i="1"/>
  <c r="Z330" i="1"/>
  <c r="Z394" i="1"/>
  <c r="Z234" i="1"/>
  <c r="Y493" i="1"/>
  <c r="Y490" i="1"/>
  <c r="Y492" i="1" s="1"/>
  <c r="Y489" i="1"/>
  <c r="Z349" i="1"/>
  <c r="Z311" i="1"/>
</calcChain>
</file>

<file path=xl/sharedStrings.xml><?xml version="1.0" encoding="utf-8"?>
<sst xmlns="http://schemas.openxmlformats.org/spreadsheetml/2006/main" count="2316" uniqueCount="762">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</sst>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30</v>
      </c>
      <c r="Y40" s="542">
        <f>IFERROR(IF(X40="",0,CEILING((X40/$H40),1)*$H40),"")</f>
        <v>32.400000000000006</v>
      </c>
      <c r="Z40" s="36">
        <f>IFERROR(IF(Y40=0,"",ROUNDUP(Y40/H40,0)*0.01898),"")</f>
        <v>5.6940000000000004E-2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31.138888888888889</v>
      </c>
      <c r="BN40" s="64">
        <f>IFERROR(Y40*I40/H40,"0")</f>
        <v>33.630000000000003</v>
      </c>
      <c r="BO40" s="64">
        <f>IFERROR(1/J40*(X40/H40),"0")</f>
        <v>4.3402777777777776E-2</v>
      </c>
      <c r="BP40" s="64">
        <f>IFERROR(1/J40*(Y40/H40),"0")</f>
        <v>4.6875000000000007E-2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2.7777777777777777</v>
      </c>
      <c r="Y43" s="543">
        <f>IFERROR(Y40/H40,"0")+IFERROR(Y41/H41,"0")+IFERROR(Y42/H42,"0")</f>
        <v>3.0000000000000004</v>
      </c>
      <c r="Z43" s="543">
        <f>IFERROR(IF(Z40="",0,Z40),"0")+IFERROR(IF(Z41="",0,Z41),"0")+IFERROR(IF(Z42="",0,Z42),"0")</f>
        <v>5.6940000000000004E-2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30</v>
      </c>
      <c r="Y44" s="543">
        <f>IFERROR(SUM(Y40:Y42),"0")</f>
        <v>32.400000000000006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30</v>
      </c>
      <c r="Y52" s="542">
        <f t="shared" si="0"/>
        <v>32.400000000000006</v>
      </c>
      <c r="Z52" s="36">
        <f>IFERROR(IF(Y52=0,"",ROUNDUP(Y52/H52,0)*0.01898),"")</f>
        <v>5.6940000000000004E-2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31.138888888888889</v>
      </c>
      <c r="BN52" s="64">
        <f t="shared" si="2"/>
        <v>33.630000000000003</v>
      </c>
      <c r="BO52" s="64">
        <f t="shared" si="3"/>
        <v>4.3402777777777776E-2</v>
      </c>
      <c r="BP52" s="64">
        <f t="shared" si="4"/>
        <v>4.6875000000000007E-2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2.7777777777777777</v>
      </c>
      <c r="Y57" s="543">
        <f>IFERROR(Y51/H51,"0")+IFERROR(Y52/H52,"0")+IFERROR(Y53/H53,"0")+IFERROR(Y54/H54,"0")+IFERROR(Y55/H55,"0")+IFERROR(Y56/H56,"0")</f>
        <v>3.0000000000000004</v>
      </c>
      <c r="Z57" s="543">
        <f>IFERROR(IF(Z51="",0,Z51),"0")+IFERROR(IF(Z52="",0,Z52),"0")+IFERROR(IF(Z53="",0,Z53),"0")+IFERROR(IF(Z54="",0,Z54),"0")+IFERROR(IF(Z55="",0,Z55),"0")+IFERROR(IF(Z56="",0,Z56),"0")</f>
        <v>5.6940000000000004E-2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30</v>
      </c>
      <c r="Y58" s="543">
        <f>IFERROR(SUM(Y51:Y56),"0")</f>
        <v>32.400000000000006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customHeight="1" x14ac:dyDescent="0.25">
      <c r="A97" s="558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100</v>
      </c>
      <c r="Y112" s="542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106.0246913580247</v>
      </c>
      <c r="BN112" s="64">
        <f>IFERROR(Y112*I112/H112,"0")</f>
        <v>111.64399999999999</v>
      </c>
      <c r="BO112" s="64">
        <f>IFERROR(1/J112*(X112/H112),"0")</f>
        <v>0.19290123456790123</v>
      </c>
      <c r="BP112" s="64">
        <f>IFERROR(1/J112*(Y112/H112),"0")</f>
        <v>0.203125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12.345679012345679</v>
      </c>
      <c r="Y116" s="543">
        <f>IFERROR(Y112/H112,"0")+IFERROR(Y113/H113,"0")+IFERROR(Y114/H114,"0")+IFERROR(Y115/H115,"0")</f>
        <v>13</v>
      </c>
      <c r="Z116" s="543">
        <f>IFERROR(IF(Z112="",0,Z112),"0")+IFERROR(IF(Z113="",0,Z113),"0")+IFERROR(IF(Z114="",0,Z114),"0")+IFERROR(IF(Z115="",0,Z115),"0")</f>
        <v>0.24674000000000001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100</v>
      </c>
      <c r="Y117" s="543">
        <f>IFERROR(SUM(Y112:Y115),"0")</f>
        <v>105.3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50</v>
      </c>
      <c r="Y162" s="542">
        <f t="shared" si="5"/>
        <v>50.400000000000006</v>
      </c>
      <c r="Z162" s="36">
        <f>IFERROR(IF(Y162=0,"",ROUNDUP(Y162/H162,0)*0.00902),"")</f>
        <v>0.10824</v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52.976190476190474</v>
      </c>
      <c r="BN162" s="64">
        <f t="shared" si="7"/>
        <v>53.400000000000006</v>
      </c>
      <c r="BO162" s="64">
        <f t="shared" si="8"/>
        <v>9.0187590187590191E-2</v>
      </c>
      <c r="BP162" s="64">
        <f t="shared" si="9"/>
        <v>9.0909090909090912E-2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50</v>
      </c>
      <c r="Y163" s="542">
        <f t="shared" si="5"/>
        <v>50.400000000000006</v>
      </c>
      <c r="Z163" s="36">
        <f>IFERROR(IF(Y163=0,"",ROUNDUP(Y163/H163,0)*0.00902),"")</f>
        <v>0.10824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52.261904761904752</v>
      </c>
      <c r="BN163" s="64">
        <f t="shared" si="7"/>
        <v>52.68</v>
      </c>
      <c r="BO163" s="64">
        <f t="shared" si="8"/>
        <v>9.0187590187590191E-2</v>
      </c>
      <c r="BP163" s="64">
        <f t="shared" si="9"/>
        <v>9.0909090909090912E-2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12.6</v>
      </c>
      <c r="Y168" s="542">
        <f t="shared" si="5"/>
        <v>12.600000000000001</v>
      </c>
      <c r="Z168" s="36">
        <f>IFERROR(IF(Y168=0,"",ROUNDUP(Y168/H168,0)*0.00502),"")</f>
        <v>3.0120000000000001E-2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13.200000000000001</v>
      </c>
      <c r="BN168" s="64">
        <f t="shared" si="7"/>
        <v>13.200000000000003</v>
      </c>
      <c r="BO168" s="64">
        <f t="shared" si="8"/>
        <v>2.5641025641025644E-2</v>
      </c>
      <c r="BP168" s="64">
        <f t="shared" si="9"/>
        <v>2.5641025641025644E-2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29.80952380952381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30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0.24660000000000001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112.6</v>
      </c>
      <c r="Y172" s="543">
        <f>IFERROR(SUM(Y161:Y170),"0")</f>
        <v>113.4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200</v>
      </c>
      <c r="Y195" s="542">
        <f t="shared" ref="Y195:Y202" si="10">IFERROR(IF(X195="",0,CEILING((X195/$H195),1)*$H195),"")</f>
        <v>205.20000000000002</v>
      </c>
      <c r="Z195" s="36">
        <f>IFERROR(IF(Y195=0,"",ROUNDUP(Y195/H195,0)*0.00902),"")</f>
        <v>0.34276000000000001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207.03703703703701</v>
      </c>
      <c r="BN195" s="64">
        <f t="shared" ref="BN195:BN202" si="12">IFERROR(Y195*I195/H195,"0")</f>
        <v>212.42</v>
      </c>
      <c r="BO195" s="64">
        <f t="shared" ref="BO195:BO202" si="13">IFERROR(1/J195*(X195/H195),"0")</f>
        <v>0.28058361391694725</v>
      </c>
      <c r="BP195" s="64">
        <f t="shared" ref="BP195:BP202" si="14">IFERROR(1/J195*(Y195/H195),"0")</f>
        <v>0.2878787878787879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100</v>
      </c>
      <c r="Y197" s="542">
        <f t="shared" si="10"/>
        <v>102.60000000000001</v>
      </c>
      <c r="Z197" s="36">
        <f>IFERROR(IF(Y197=0,"",ROUNDUP(Y197/H197,0)*0.00902),"")</f>
        <v>0.17138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103.5185185185185</v>
      </c>
      <c r="BN197" s="64">
        <f t="shared" si="12"/>
        <v>106.21</v>
      </c>
      <c r="BO197" s="64">
        <f t="shared" si="13"/>
        <v>0.14029180695847362</v>
      </c>
      <c r="BP197" s="64">
        <f t="shared" si="14"/>
        <v>0.14393939393939395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150</v>
      </c>
      <c r="Y198" s="542">
        <f t="shared" si="10"/>
        <v>151.20000000000002</v>
      </c>
      <c r="Z198" s="36">
        <f>IFERROR(IF(Y198=0,"",ROUNDUP(Y198/H198,0)*0.00902),"")</f>
        <v>0.25256000000000001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155.27777777777777</v>
      </c>
      <c r="BN198" s="64">
        <f t="shared" si="12"/>
        <v>156.52000000000001</v>
      </c>
      <c r="BO198" s="64">
        <f t="shared" si="13"/>
        <v>0.21043771043771042</v>
      </c>
      <c r="BP198" s="64">
        <f t="shared" si="14"/>
        <v>0.21212121212121213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83.333333333333329</v>
      </c>
      <c r="Y203" s="543">
        <f>IFERROR(Y195/H195,"0")+IFERROR(Y196/H196,"0")+IFERROR(Y197/H197,"0")+IFERROR(Y198/H198,"0")+IFERROR(Y199/H199,"0")+IFERROR(Y200/H200,"0")+IFERROR(Y201/H201,"0")+IFERROR(Y202/H202,"0")</f>
        <v>85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0.76670000000000005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450</v>
      </c>
      <c r="Y204" s="543">
        <f>IFERROR(SUM(Y195:Y202),"0")</f>
        <v>459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30</v>
      </c>
      <c r="Y206" s="542">
        <f t="shared" ref="Y206:Y214" si="15">IFERROR(IF(X206="",0,CEILING((X206/$H206),1)*$H206),"")</f>
        <v>32.4</v>
      </c>
      <c r="Z206" s="36">
        <f>IFERROR(IF(Y206=0,"",ROUNDUP(Y206/H206,0)*0.01898),"")</f>
        <v>7.5920000000000001E-2</v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31.829629629629629</v>
      </c>
      <c r="BN206" s="64">
        <f t="shared" ref="BN206:BN214" si="17">IFERROR(Y206*I206/H206,"0")</f>
        <v>34.375999999999998</v>
      </c>
      <c r="BO206" s="64">
        <f t="shared" ref="BO206:BO214" si="18">IFERROR(1/J206*(X206/H206),"0")</f>
        <v>5.7870370370370371E-2</v>
      </c>
      <c r="BP206" s="64">
        <f t="shared" ref="BP206:BP214" si="19">IFERROR(1/J206*(Y206/H206),"0")</f>
        <v>6.25E-2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168</v>
      </c>
      <c r="Y211" s="542">
        <f t="shared" si="15"/>
        <v>168</v>
      </c>
      <c r="Z211" s="36">
        <f t="shared" si="20"/>
        <v>0.45569999999999999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185.64000000000001</v>
      </c>
      <c r="BN211" s="64">
        <f t="shared" si="17"/>
        <v>185.64000000000001</v>
      </c>
      <c r="BO211" s="64">
        <f t="shared" si="18"/>
        <v>0.38461538461538464</v>
      </c>
      <c r="BP211" s="64">
        <f t="shared" si="19"/>
        <v>0.38461538461538464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144</v>
      </c>
      <c r="Y212" s="542">
        <f t="shared" si="15"/>
        <v>144</v>
      </c>
      <c r="Z212" s="36">
        <f t="shared" si="20"/>
        <v>0.3906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159.12000000000003</v>
      </c>
      <c r="BN212" s="64">
        <f t="shared" si="17"/>
        <v>159.12000000000003</v>
      </c>
      <c r="BO212" s="64">
        <f t="shared" si="18"/>
        <v>0.32967032967032972</v>
      </c>
      <c r="BP212" s="64">
        <f t="shared" si="19"/>
        <v>0.32967032967032972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144</v>
      </c>
      <c r="Y213" s="542">
        <f t="shared" si="15"/>
        <v>144</v>
      </c>
      <c r="Z213" s="36">
        <f t="shared" si="20"/>
        <v>0.3906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159.12000000000003</v>
      </c>
      <c r="BN213" s="64">
        <f t="shared" si="17"/>
        <v>159.12000000000003</v>
      </c>
      <c r="BO213" s="64">
        <f t="shared" si="18"/>
        <v>0.32967032967032972</v>
      </c>
      <c r="BP213" s="64">
        <f t="shared" si="19"/>
        <v>0.32967032967032972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144</v>
      </c>
      <c r="Y214" s="542">
        <f t="shared" si="15"/>
        <v>144</v>
      </c>
      <c r="Z214" s="36">
        <f t="shared" si="20"/>
        <v>0.3906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159.48000000000002</v>
      </c>
      <c r="BN214" s="64">
        <f t="shared" si="17"/>
        <v>159.48000000000002</v>
      </c>
      <c r="BO214" s="64">
        <f t="shared" si="18"/>
        <v>0.32967032967032972</v>
      </c>
      <c r="BP214" s="64">
        <f t="shared" si="19"/>
        <v>0.32967032967032972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253.7037037037037</v>
      </c>
      <c r="Y215" s="543">
        <f>IFERROR(Y206/H206,"0")+IFERROR(Y207/H207,"0")+IFERROR(Y208/H208,"0")+IFERROR(Y209/H209,"0")+IFERROR(Y210/H210,"0")+IFERROR(Y211/H211,"0")+IFERROR(Y212/H212,"0")+IFERROR(Y213/H213,"0")+IFERROR(Y214/H214,"0")</f>
        <v>254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1.7034200000000002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630</v>
      </c>
      <c r="Y216" s="543">
        <f>IFERROR(SUM(Y206:Y214),"0")</f>
        <v>632.4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100</v>
      </c>
      <c r="Y314" s="542">
        <f>IFERROR(IF(X314="",0,CEILING((X314/$H314),1)*$H314),"")</f>
        <v>100.80000000000001</v>
      </c>
      <c r="Z314" s="36">
        <f>IFERROR(IF(Y314=0,"",ROUNDUP(Y314/H314,0)*0.01898),"")</f>
        <v>0.22776000000000002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105.88095238095238</v>
      </c>
      <c r="BN314" s="64">
        <f>IFERROR(Y314*I314/H314,"0")</f>
        <v>106.72800000000001</v>
      </c>
      <c r="BO314" s="64">
        <f>IFERROR(1/J314*(X314/H314),"0")</f>
        <v>0.18601190476190477</v>
      </c>
      <c r="BP314" s="64">
        <f>IFERROR(1/J314*(Y314/H314),"0")</f>
        <v>0.1875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200</v>
      </c>
      <c r="Y315" s="542">
        <f>IFERROR(IF(X315="",0,CEILING((X315/$H315),1)*$H315),"")</f>
        <v>202.79999999999998</v>
      </c>
      <c r="Z315" s="36">
        <f>IFERROR(IF(Y315=0,"",ROUNDUP(Y315/H315,0)*0.01898),"")</f>
        <v>0.49348000000000003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212.66666666666669</v>
      </c>
      <c r="BN315" s="64">
        <f>IFERROR(Y315*I315/H315,"0")</f>
        <v>215.64399999999998</v>
      </c>
      <c r="BO315" s="64">
        <f>IFERROR(1/J315*(X315/H315),"0")</f>
        <v>0.40064102564102566</v>
      </c>
      <c r="BP315" s="64">
        <f>IFERROR(1/J315*(Y315/H315),"0")</f>
        <v>0.40625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37.545787545787547</v>
      </c>
      <c r="Y317" s="543">
        <f>IFERROR(Y314/H314,"0")+IFERROR(Y315/H315,"0")+IFERROR(Y316/H316,"0")</f>
        <v>38</v>
      </c>
      <c r="Z317" s="543">
        <f>IFERROR(IF(Z314="",0,Z314),"0")+IFERROR(IF(Z315="",0,Z315),"0")+IFERROR(IF(Z316="",0,Z316),"0")</f>
        <v>0.7212400000000001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300</v>
      </c>
      <c r="Y318" s="543">
        <f>IFERROR(SUM(Y314:Y316),"0")</f>
        <v>303.60000000000002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186</v>
      </c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4000</v>
      </c>
      <c r="Y342" s="542">
        <f t="shared" ref="Y342:Y348" si="31">IFERROR(IF(X342="",0,CEILING((X342/$H342),1)*$H342),"")</f>
        <v>4005</v>
      </c>
      <c r="Z342" s="36">
        <f>IFERROR(IF(Y342=0,"",ROUNDUP(Y342/H342,0)*0.02175),"")</f>
        <v>5.8072499999999998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4125.333333333333</v>
      </c>
      <c r="BN342" s="64">
        <f t="shared" ref="BN342:BN348" si="33">IFERROR(Y342*I342/H342,"0")</f>
        <v>4130.4900000000007</v>
      </c>
      <c r="BO342" s="64">
        <f t="shared" ref="BO342:BO348" si="34">IFERROR(1/J342*(X342/H342),"0")</f>
        <v>5.5555555555555554</v>
      </c>
      <c r="BP342" s="64">
        <f t="shared" ref="BP342:BP348" si="35">IFERROR(1/J342*(Y342/H342),"0")</f>
        <v>5.5625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1500</v>
      </c>
      <c r="Y343" s="542">
        <f t="shared" si="31"/>
        <v>1500</v>
      </c>
      <c r="Z343" s="36">
        <f>IFERROR(IF(Y343=0,"",ROUNDUP(Y343/H343,0)*0.02175),"")</f>
        <v>2.1749999999999998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1547</v>
      </c>
      <c r="BN343" s="64">
        <f t="shared" si="33"/>
        <v>1547</v>
      </c>
      <c r="BO343" s="64">
        <f t="shared" si="34"/>
        <v>2.083333333333333</v>
      </c>
      <c r="BP343" s="64">
        <f t="shared" si="35"/>
        <v>2.083333333333333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3000</v>
      </c>
      <c r="Y344" s="542">
        <f t="shared" si="31"/>
        <v>3000</v>
      </c>
      <c r="Z344" s="36">
        <f>IFERROR(IF(Y344=0,"",ROUNDUP(Y344/H344,0)*0.02175),"")</f>
        <v>4.3499999999999996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3094</v>
      </c>
      <c r="BN344" s="64">
        <f t="shared" si="33"/>
        <v>3094</v>
      </c>
      <c r="BO344" s="64">
        <f t="shared" si="34"/>
        <v>4.1666666666666661</v>
      </c>
      <c r="BP344" s="64">
        <f t="shared" si="35"/>
        <v>4.1666666666666661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566.66666666666674</v>
      </c>
      <c r="Y349" s="543">
        <f>IFERROR(Y342/H342,"0")+IFERROR(Y343/H343,"0")+IFERROR(Y344/H344,"0")+IFERROR(Y345/H345,"0")+IFERROR(Y346/H346,"0")+IFERROR(Y347/H347,"0")+IFERROR(Y348/H348,"0")</f>
        <v>567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12.332249999999998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8500</v>
      </c>
      <c r="Y350" s="543">
        <f>IFERROR(SUM(Y342:Y348),"0")</f>
        <v>8505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3500</v>
      </c>
      <c r="Y352" s="542">
        <f>IFERROR(IF(X352="",0,CEILING((X352/$H352),1)*$H352),"")</f>
        <v>3510</v>
      </c>
      <c r="Z352" s="36">
        <f>IFERROR(IF(Y352=0,"",ROUNDUP(Y352/H352,0)*0.02175),"")</f>
        <v>5.0894999999999992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3609.6666666666665</v>
      </c>
      <c r="BN352" s="64">
        <f>IFERROR(Y352*I352/H352,"0")</f>
        <v>3619.9800000000005</v>
      </c>
      <c r="BO352" s="64">
        <f>IFERROR(1/J352*(X352/H352),"0")</f>
        <v>4.8611111111111107</v>
      </c>
      <c r="BP352" s="64">
        <f>IFERROR(1/J352*(Y352/H352),"0")</f>
        <v>4.875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233.33333333333334</v>
      </c>
      <c r="Y354" s="543">
        <f>IFERROR(Y352/H352,"0")+IFERROR(Y353/H353,"0")</f>
        <v>234</v>
      </c>
      <c r="Z354" s="543">
        <f>IFERROR(IF(Z352="",0,Z352),"0")+IFERROR(IF(Z353="",0,Z353),"0")</f>
        <v>5.0894999999999992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3500</v>
      </c>
      <c r="Y355" s="543">
        <f>IFERROR(SUM(Y352:Y353),"0")</f>
        <v>3510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100</v>
      </c>
      <c r="Y358" s="542">
        <f>IFERROR(IF(X358="",0,CEILING((X358/$H358),1)*$H358),"")</f>
        <v>108</v>
      </c>
      <c r="Z358" s="36">
        <f>IFERROR(IF(Y358=0,"",ROUNDUP(Y358/H358,0)*0.01898),"")</f>
        <v>0.22776000000000002</v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105.48888888888888</v>
      </c>
      <c r="BN358" s="64">
        <f>IFERROR(Y358*I358/H358,"0")</f>
        <v>113.92799999999998</v>
      </c>
      <c r="BO358" s="64">
        <f>IFERROR(1/J358*(X358/H358),"0")</f>
        <v>0.1736111111111111</v>
      </c>
      <c r="BP358" s="64">
        <f>IFERROR(1/J358*(Y358/H358),"0")</f>
        <v>0.1875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11.111111111111111</v>
      </c>
      <c r="Y359" s="543">
        <f>IFERROR(Y357/H357,"0")+IFERROR(Y358/H358,"0")</f>
        <v>12</v>
      </c>
      <c r="Z359" s="543">
        <f>IFERROR(IF(Z357="",0,Z357),"0")+IFERROR(IF(Z358="",0,Z358),"0")</f>
        <v>0.22776000000000002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100</v>
      </c>
      <c r="Y360" s="543">
        <f>IFERROR(SUM(Y357:Y358),"0")</f>
        <v>108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300</v>
      </c>
      <c r="Y362" s="542">
        <f>IFERROR(IF(X362="",0,CEILING((X362/$H362),1)*$H362),"")</f>
        <v>306</v>
      </c>
      <c r="Z362" s="36">
        <f>IFERROR(IF(Y362=0,"",ROUNDUP(Y362/H362,0)*0.01898),"")</f>
        <v>0.64532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316.46666666666664</v>
      </c>
      <c r="BN362" s="64">
        <f>IFERROR(Y362*I362/H362,"0")</f>
        <v>322.79599999999999</v>
      </c>
      <c r="BO362" s="64">
        <f>IFERROR(1/J362*(X362/H362),"0")</f>
        <v>0.52083333333333337</v>
      </c>
      <c r="BP362" s="64">
        <f>IFERROR(1/J362*(Y362/H362),"0")</f>
        <v>0.53125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33.333333333333336</v>
      </c>
      <c r="Y363" s="543">
        <f>IFERROR(Y362/H362,"0")</f>
        <v>34</v>
      </c>
      <c r="Z363" s="543">
        <f>IFERROR(IF(Z362="",0,Z362),"0")</f>
        <v>0.64532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300</v>
      </c>
      <c r="Y364" s="543">
        <f>IFERROR(SUM(Y362:Y362),"0")</f>
        <v>306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100</v>
      </c>
      <c r="Y377" s="542">
        <f>IFERROR(IF(X377="",0,CEILING((X377/$H377),1)*$H377),"")</f>
        <v>108</v>
      </c>
      <c r="Z377" s="36">
        <f>IFERROR(IF(Y377=0,"",ROUNDUP(Y377/H377,0)*0.01898),"")</f>
        <v>0.22776000000000002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105.48888888888888</v>
      </c>
      <c r="BN377" s="64">
        <f>IFERROR(Y377*I377/H377,"0")</f>
        <v>113.92799999999998</v>
      </c>
      <c r="BO377" s="64">
        <f>IFERROR(1/J377*(X377/H377),"0")</f>
        <v>0.1736111111111111</v>
      </c>
      <c r="BP377" s="64">
        <f>IFERROR(1/J377*(Y377/H377),"0")</f>
        <v>0.1875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11.111111111111111</v>
      </c>
      <c r="Y380" s="543">
        <f>IFERROR(Y377/H377,"0")+IFERROR(Y378/H378,"0")+IFERROR(Y379/H379,"0")</f>
        <v>12</v>
      </c>
      <c r="Z380" s="543">
        <f>IFERROR(IF(Z377="",0,Z377),"0")+IFERROR(IF(Z378="",0,Z378),"0")+IFERROR(IF(Z379="",0,Z379),"0")</f>
        <v>0.22776000000000002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100</v>
      </c>
      <c r="Y381" s="543">
        <f>IFERROR(SUM(Y377:Y379),"0")</f>
        <v>108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200</v>
      </c>
      <c r="Y387" s="542">
        <f t="shared" si="36"/>
        <v>205.20000000000002</v>
      </c>
      <c r="Z387" s="36">
        <f>IFERROR(IF(Y387=0,"",ROUNDUP(Y387/H387,0)*0.00902),"")</f>
        <v>0.34276000000000001</v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207.03703703703701</v>
      </c>
      <c r="BN387" s="64">
        <f t="shared" si="38"/>
        <v>212.42</v>
      </c>
      <c r="BO387" s="64">
        <f t="shared" si="39"/>
        <v>0.28058361391694725</v>
      </c>
      <c r="BP387" s="64">
        <f t="shared" si="40"/>
        <v>0.2878787878787879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12.6</v>
      </c>
      <c r="Y390" s="542">
        <f t="shared" si="36"/>
        <v>12.600000000000001</v>
      </c>
      <c r="Z390" s="36">
        <f t="shared" si="41"/>
        <v>3.0120000000000001E-2</v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13.379999999999999</v>
      </c>
      <c r="BN390" s="64">
        <f t="shared" si="38"/>
        <v>13.38</v>
      </c>
      <c r="BO390" s="64">
        <f t="shared" si="39"/>
        <v>2.5641025641025644E-2</v>
      </c>
      <c r="BP390" s="64">
        <f t="shared" si="40"/>
        <v>2.5641025641025644E-2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43.037037037037038</v>
      </c>
      <c r="Y394" s="543">
        <f>IFERROR(Y385/H385,"0")+IFERROR(Y386/H386,"0")+IFERROR(Y387/H387,"0")+IFERROR(Y388/H388,"0")+IFERROR(Y389/H389,"0")+IFERROR(Y390/H390,"0")+IFERROR(Y391/H391,"0")+IFERROR(Y392/H392,"0")+IFERROR(Y393/H393,"0")</f>
        <v>44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0.37287999999999999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212.6</v>
      </c>
      <c r="Y395" s="543">
        <f>IFERROR(SUM(Y385:Y393),"0")</f>
        <v>217.8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100</v>
      </c>
      <c r="Y423" s="542">
        <f t="shared" si="42"/>
        <v>100.32000000000001</v>
      </c>
      <c r="Z423" s="36">
        <f t="shared" si="43"/>
        <v>0.22724</v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106.62878787878788</v>
      </c>
      <c r="BN423" s="64">
        <f t="shared" si="45"/>
        <v>106.97</v>
      </c>
      <c r="BO423" s="64">
        <f t="shared" si="46"/>
        <v>0.18210955710955709</v>
      </c>
      <c r="BP423" s="64">
        <f t="shared" si="47"/>
        <v>0.18269230769230771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200</v>
      </c>
      <c r="Y424" s="542">
        <f t="shared" si="42"/>
        <v>200.64000000000001</v>
      </c>
      <c r="Z424" s="36">
        <f t="shared" si="43"/>
        <v>0.45448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213.25757575757575</v>
      </c>
      <c r="BN424" s="64">
        <f t="shared" si="45"/>
        <v>213.94</v>
      </c>
      <c r="BO424" s="64">
        <f t="shared" si="46"/>
        <v>0.36421911421911418</v>
      </c>
      <c r="BP424" s="64">
        <f t="shared" si="47"/>
        <v>0.36538461538461542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300</v>
      </c>
      <c r="Y426" s="542">
        <f t="shared" si="42"/>
        <v>300.96000000000004</v>
      </c>
      <c r="Z426" s="36">
        <f t="shared" si="43"/>
        <v>0.68171999999999999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319.88636363636363</v>
      </c>
      <c r="BN426" s="64">
        <f t="shared" si="45"/>
        <v>320.91000000000003</v>
      </c>
      <c r="BO426" s="64">
        <f t="shared" si="46"/>
        <v>0.54632867132867136</v>
      </c>
      <c r="BP426" s="64">
        <f t="shared" si="47"/>
        <v>0.54807692307692313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113.63636363636363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114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1.36344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600</v>
      </c>
      <c r="Y433" s="543">
        <f>IFERROR(SUM(Y421:Y431),"0")</f>
        <v>601.92000000000007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200</v>
      </c>
      <c r="Y435" s="542">
        <f>IFERROR(IF(X435="",0,CEILING((X435/$H435),1)*$H435),"")</f>
        <v>200.64000000000001</v>
      </c>
      <c r="Z435" s="36">
        <f>IFERROR(IF(Y435=0,"",ROUNDUP(Y435/H435,0)*0.01196),"")</f>
        <v>0.45448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213.25757575757575</v>
      </c>
      <c r="BN435" s="64">
        <f>IFERROR(Y435*I435/H435,"0")</f>
        <v>213.94</v>
      </c>
      <c r="BO435" s="64">
        <f>IFERROR(1/J435*(X435/H435),"0")</f>
        <v>0.36421911421911418</v>
      </c>
      <c r="BP435" s="64">
        <f>IFERROR(1/J435*(Y435/H435),"0")</f>
        <v>0.36538461538461542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37.878787878787875</v>
      </c>
      <c r="Y438" s="543">
        <f>IFERROR(Y435/H435,"0")+IFERROR(Y436/H436,"0")+IFERROR(Y437/H437,"0")</f>
        <v>38</v>
      </c>
      <c r="Z438" s="543">
        <f>IFERROR(IF(Z435="",0,Z435),"0")+IFERROR(IF(Z436="",0,Z436),"0")+IFERROR(IF(Z437="",0,Z437),"0")</f>
        <v>0.45448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200</v>
      </c>
      <c r="Y439" s="543">
        <f>IFERROR(SUM(Y435:Y437),"0")</f>
        <v>200.64000000000001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100</v>
      </c>
      <c r="Y441" s="542">
        <f t="shared" ref="Y441:Y446" si="48">IFERROR(IF(X441="",0,CEILING((X441/$H441),1)*$H441),"")</f>
        <v>100.32000000000001</v>
      </c>
      <c r="Z441" s="36">
        <f>IFERROR(IF(Y441=0,"",ROUNDUP(Y441/H441,0)*0.01196),"")</f>
        <v>0.22724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106.62878787878788</v>
      </c>
      <c r="BN441" s="64">
        <f t="shared" ref="BN441:BN446" si="50">IFERROR(Y441*I441/H441,"0")</f>
        <v>106.97</v>
      </c>
      <c r="BO441" s="64">
        <f t="shared" ref="BO441:BO446" si="51">IFERROR(1/J441*(X441/H441),"0")</f>
        <v>0.18210955710955709</v>
      </c>
      <c r="BP441" s="64">
        <f t="shared" ref="BP441:BP446" si="52">IFERROR(1/J441*(Y441/H441),"0")</f>
        <v>0.18269230769230771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100</v>
      </c>
      <c r="Y443" s="542">
        <f t="shared" si="48"/>
        <v>100.32000000000001</v>
      </c>
      <c r="Z443" s="36">
        <f>IFERROR(IF(Y443=0,"",ROUNDUP(Y443/H443,0)*0.01196),"")</f>
        <v>0.22724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106.62878787878788</v>
      </c>
      <c r="BN443" s="64">
        <f t="shared" si="50"/>
        <v>106.97</v>
      </c>
      <c r="BO443" s="64">
        <f t="shared" si="51"/>
        <v>0.18210955710955709</v>
      </c>
      <c r="BP443" s="64">
        <f t="shared" si="52"/>
        <v>0.18269230769230771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56.818181818181813</v>
      </c>
      <c r="Y447" s="543">
        <f>IFERROR(Y441/H441,"0")+IFERROR(Y442/H442,"0")+IFERROR(Y443/H443,"0")+IFERROR(Y444/H444,"0")+IFERROR(Y445/H445,"0")+IFERROR(Y446/H446,"0")</f>
        <v>57</v>
      </c>
      <c r="Z447" s="543">
        <f>IFERROR(IF(Z441="",0,Z441),"0")+IFERROR(IF(Z442="",0,Z442),"0")+IFERROR(IF(Z443="",0,Z443),"0")+IFERROR(IF(Z444="",0,Z444),"0")+IFERROR(IF(Z445="",0,Z445),"0")+IFERROR(IF(Z446="",0,Z446),"0")</f>
        <v>0.68171999999999999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300</v>
      </c>
      <c r="Y448" s="543">
        <f>IFERROR(SUM(Y441:Y446),"0")</f>
        <v>300.96000000000004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100</v>
      </c>
      <c r="Y471" s="542">
        <f>IFERROR(IF(X471="",0,CEILING((X471/$H471),1)*$H471),"")</f>
        <v>100.80000000000001</v>
      </c>
      <c r="Z471" s="36">
        <f>IFERROR(IF(Y471=0,"",ROUNDUP(Y471/H471,0)*0.00902),"")</f>
        <v>0.21648000000000001</v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105.95238095238095</v>
      </c>
      <c r="BN471" s="64">
        <f>IFERROR(Y471*I471/H471,"0")</f>
        <v>106.80000000000001</v>
      </c>
      <c r="BO471" s="64">
        <f>IFERROR(1/J471*(X471/H471),"0")</f>
        <v>0.18037518037518038</v>
      </c>
      <c r="BP471" s="64">
        <f>IFERROR(1/J471*(Y471/H471),"0")</f>
        <v>0.18181818181818182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23.80952380952381</v>
      </c>
      <c r="Y473" s="543">
        <f>IFERROR(Y471/H471,"0")+IFERROR(Y472/H472,"0")</f>
        <v>24</v>
      </c>
      <c r="Z473" s="543">
        <f>IFERROR(IF(Z471="",0,Z471),"0")+IFERROR(IF(Z472="",0,Z472),"0")</f>
        <v>0.21648000000000001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100</v>
      </c>
      <c r="Y474" s="543">
        <f>IFERROR(SUM(Y471:Y472),"0")</f>
        <v>100.80000000000001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1000</v>
      </c>
      <c r="Y476" s="542">
        <f>IFERROR(IF(X476="",0,CEILING((X476/$H476),1)*$H476),"")</f>
        <v>1008</v>
      </c>
      <c r="Z476" s="36">
        <f>IFERROR(IF(Y476=0,"",ROUNDUP(Y476/H476,0)*0.01898),"")</f>
        <v>2.1257600000000001</v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1054.8888888888889</v>
      </c>
      <c r="BN476" s="64">
        <f>IFERROR(Y476*I476/H476,"0")</f>
        <v>1063.328</v>
      </c>
      <c r="BO476" s="64">
        <f>IFERROR(1/J476*(X476/H476),"0")</f>
        <v>1.7361111111111112</v>
      </c>
      <c r="BP476" s="64">
        <f>IFERROR(1/J476*(Y476/H476),"0")</f>
        <v>1.75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111.11111111111111</v>
      </c>
      <c r="Y477" s="543">
        <f>IFERROR(Y476/H476,"0")</f>
        <v>112</v>
      </c>
      <c r="Z477" s="543">
        <f>IFERROR(IF(Z476="",0,Z476),"0")</f>
        <v>2.1257600000000001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1000</v>
      </c>
      <c r="Y478" s="543">
        <f>IFERROR(SUM(Y476:Y476),"0")</f>
        <v>1008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16565.2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16645.62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17223.930564373899</v>
      </c>
      <c r="Y490" s="543">
        <f>IFERROR(SUM(BN22:BN486),"0")</f>
        <v>17308.161999999997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25</v>
      </c>
      <c r="Y491" s="38">
        <f>ROUNDUP(SUM(BP22:BP486),0)</f>
        <v>26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17848.930564373899</v>
      </c>
      <c r="Y492" s="543">
        <f>GrossWeightTotalR+PalletQtyTotalR*25</f>
        <v>17958.161999999997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1664.1401438068106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1674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27.535929999999997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32.400000000000006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32.400000000000006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105.3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113.4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1091.4000000000001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303.60000000000002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12429</v>
      </c>
      <c r="T499" s="46">
        <f>IFERROR(Y367*1,"0")+IFERROR(Y368*1,"0")+IFERROR(Y372*1,"0")+IFERROR(Y373*1,"0")+IFERROR(Y377*1,"0")+IFERROR(Y378*1,"0")+IFERROR(Y379*1,"0")</f>
        <v>108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217.8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1103.5200000000002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1108.8</v>
      </c>
      <c r="Z499" s="46">
        <f>IFERROR(Y486*1,"0")</f>
        <v>0</v>
      </c>
      <c r="AB499" s="52"/>
      <c r="AC499" s="52"/>
      <c r="AF499" s="539"/>
    </row>
  </sheetData>
  <sheetProtection algorithmName="SHA-512" hashValue="ja1GUQjaw7DiRMALpNZGp4GTMicZZGKAalw3D1QejLzGTfz7gAp0L/JNNu7xsh19KbKdJgXSjz9VZoGmqL8qKg==" saltValue="d+xitUp46JUZOnHzPZ69d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5 X387 X392 X407 X421 X423:X424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FA9G/ET78YwWv/wa2Rs8D9Y3SoZJXaMZqdWX52TLqA9unWXg34ExnQv8y5vbNs9IaN6tCdAGHoXAOcrgyrs2YQ==" saltValue="LuBcGaphU7yAIvkRZ3fk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2025-11-28T07:05:21Z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