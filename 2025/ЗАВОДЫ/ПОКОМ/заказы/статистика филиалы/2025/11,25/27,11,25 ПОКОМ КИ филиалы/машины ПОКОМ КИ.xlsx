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A35EBBC7-AE54-4A6D-B0FF-33FB012323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1" i="1"/>
  <c r="U12" i="1"/>
  <c r="U3" i="1"/>
  <c r="U10" i="1" l="1"/>
  <c r="T10" i="1" l="1"/>
  <c r="S10" i="1"/>
  <c r="R10" i="1"/>
  <c r="Q10" i="1" l="1"/>
  <c r="P10" i="1"/>
  <c r="O10" i="1"/>
  <c r="C10" i="1" l="1"/>
  <c r="C13" i="1" s="1"/>
  <c r="N10" i="1" l="1"/>
  <c r="M10" i="1"/>
  <c r="L10" i="1"/>
  <c r="D10" i="1" l="1"/>
  <c r="E10" i="1"/>
  <c r="E13" i="1" s="1"/>
  <c r="F10" i="1"/>
  <c r="G10" i="1"/>
  <c r="H10" i="1"/>
  <c r="I10" i="1"/>
  <c r="J10" i="1"/>
  <c r="K10" i="1"/>
  <c r="B10" i="1" l="1"/>
  <c r="B14" i="1" s="1"/>
  <c r="B15" i="1" s="1"/>
</calcChain>
</file>

<file path=xl/sharedStrings.xml><?xml version="1.0" encoding="utf-8"?>
<sst xmlns="http://schemas.openxmlformats.org/spreadsheetml/2006/main" count="37" uniqueCount="22">
  <si>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</si>
  <si>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</si>
  <si>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</si>
  <si>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</si>
  <si>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</si>
  <si>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</si>
  <si>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</si>
  <si>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</si>
  <si>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</si>
  <si>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Патяка</t>
  </si>
  <si>
    <t>нетто</t>
  </si>
  <si>
    <t>брутто</t>
  </si>
  <si>
    <t>паллеты</t>
  </si>
  <si>
    <t>НПК ЛП</t>
  </si>
  <si>
    <t>Владстандарт</t>
  </si>
  <si>
    <t>Сыры</t>
  </si>
  <si>
    <t>вс машина</t>
  </si>
  <si>
    <t>пн1 машина</t>
  </si>
  <si>
    <t>пн2 машина</t>
  </si>
  <si>
    <t>пн3 машина</t>
  </si>
  <si>
    <t>пн4 машина</t>
  </si>
  <si>
    <t>пн5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</si>
</sst>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17" xfId="0" applyFill="1" applyBorder="1"/>
    <xf numFmtId="0" fontId="0" fillId="3" borderId="8" xfId="0" applyFill="1" applyBorder="1"/>
    <xf numFmtId="0" fontId="0" fillId="3" borderId="14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33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="115" zoomScaleNormal="115" workbookViewId="0">
      <selection activeCell="T16" sqref="T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20" width="9.85546875" customWidth="1"/>
    <col min="21" max="21" width="8.140625" bestFit="1" customWidth="1"/>
  </cols>
  <sheetData>
    <row r="1" spans="1:21" x14ac:dyDescent="0.25">
      <c r="A1" s="35" t="s">
        <v>5</v>
      </c>
      <c r="B1" s="37" t="s">
        <v>6</v>
      </c>
      <c r="C1" s="35" t="s">
        <v>16</v>
      </c>
      <c r="D1" s="39"/>
      <c r="E1" s="40"/>
      <c r="F1" s="35" t="s">
        <v>17</v>
      </c>
      <c r="G1" s="39"/>
      <c r="H1" s="40"/>
      <c r="I1" s="35" t="s">
        <v>18</v>
      </c>
      <c r="J1" s="39"/>
      <c r="K1" s="40"/>
      <c r="L1" s="35" t="s">
        <v>19</v>
      </c>
      <c r="M1" s="39"/>
      <c r="N1" s="40"/>
      <c r="O1" s="35" t="s">
        <v>20</v>
      </c>
      <c r="P1" s="39"/>
      <c r="Q1" s="40"/>
      <c r="R1" s="35" t="s">
        <v>21</v>
      </c>
      <c r="S1" s="39"/>
      <c r="T1" s="40"/>
      <c r="U1" s="33" t="s">
        <v>7</v>
      </c>
    </row>
    <row r="2" spans="1:21" ht="15.75" thickBot="1" x14ac:dyDescent="0.3">
      <c r="A2" s="36"/>
      <c r="B2" s="38"/>
      <c r="C2" s="11" t="s">
        <v>10</v>
      </c>
      <c r="D2" s="8" t="s">
        <v>11</v>
      </c>
      <c r="E2" s="12" t="s">
        <v>12</v>
      </c>
      <c r="F2" s="11" t="s">
        <v>10</v>
      </c>
      <c r="G2" s="8" t="s">
        <v>11</v>
      </c>
      <c r="H2" s="12" t="s">
        <v>12</v>
      </c>
      <c r="I2" s="11" t="s">
        <v>10</v>
      </c>
      <c r="J2" s="8" t="s">
        <v>11</v>
      </c>
      <c r="K2" s="12" t="s">
        <v>12</v>
      </c>
      <c r="L2" s="11" t="s">
        <v>10</v>
      </c>
      <c r="M2" s="8" t="s">
        <v>11</v>
      </c>
      <c r="N2" s="12" t="s">
        <v>12</v>
      </c>
      <c r="O2" s="11" t="s">
        <v>10</v>
      </c>
      <c r="P2" s="8" t="s">
        <v>11</v>
      </c>
      <c r="Q2" s="12" t="s">
        <v>12</v>
      </c>
      <c r="R2" s="11" t="s">
        <v>10</v>
      </c>
      <c r="S2" s="8" t="s">
        <v>11</v>
      </c>
      <c r="T2" s="12" t="s">
        <v>12</v>
      </c>
      <c r="U2" s="34"/>
    </row>
    <row r="3" spans="1:21" x14ac:dyDescent="0.25">
      <c r="A3" s="6" t="s">
        <v>0</v>
      </c>
      <c r="B3" s="9">
        <v>5090</v>
      </c>
      <c r="C3" s="6"/>
      <c r="D3" s="3"/>
      <c r="E3" s="7"/>
      <c r="F3" s="6"/>
      <c r="G3" s="3"/>
      <c r="H3" s="7"/>
      <c r="I3" s="6">
        <v>500</v>
      </c>
      <c r="J3" s="3">
        <v>550</v>
      </c>
      <c r="K3" s="7">
        <v>1</v>
      </c>
      <c r="L3" s="6"/>
      <c r="M3" s="3"/>
      <c r="N3" s="7"/>
      <c r="O3" s="6"/>
      <c r="P3" s="3"/>
      <c r="Q3" s="7"/>
      <c r="R3" s="6">
        <v>4590</v>
      </c>
      <c r="S3" s="3">
        <v>5152</v>
      </c>
      <c r="T3" s="7">
        <v>8</v>
      </c>
      <c r="U3" s="13">
        <f>B3-C3-F3-I3-L3-O3-R3</f>
        <v>0</v>
      </c>
    </row>
    <row r="4" spans="1:21" x14ac:dyDescent="0.25">
      <c r="A4" s="4" t="s">
        <v>1</v>
      </c>
      <c r="B4" s="10">
        <v>21020</v>
      </c>
      <c r="C4" s="4">
        <v>11500</v>
      </c>
      <c r="D4" s="2">
        <v>12854</v>
      </c>
      <c r="E4" s="5">
        <v>21</v>
      </c>
      <c r="F4" s="4"/>
      <c r="G4" s="2"/>
      <c r="H4" s="5"/>
      <c r="I4" s="4"/>
      <c r="J4" s="2"/>
      <c r="K4" s="5"/>
      <c r="L4" s="4"/>
      <c r="M4" s="2"/>
      <c r="N4" s="5"/>
      <c r="O4" s="4"/>
      <c r="P4" s="2"/>
      <c r="Q4" s="5"/>
      <c r="R4" s="4">
        <v>9520</v>
      </c>
      <c r="S4" s="2">
        <v>10520</v>
      </c>
      <c r="T4" s="5">
        <v>17</v>
      </c>
      <c r="U4" s="13">
        <f t="shared" ref="U4:U9" si="0">B4-C4-F4-I4-L4-O4-R4</f>
        <v>0</v>
      </c>
    </row>
    <row r="5" spans="1:21" x14ac:dyDescent="0.25">
      <c r="A5" s="4" t="s">
        <v>2</v>
      </c>
      <c r="B5" s="10">
        <v>19500</v>
      </c>
      <c r="C5" s="4"/>
      <c r="D5" s="2"/>
      <c r="E5" s="5"/>
      <c r="F5" s="4">
        <v>3450</v>
      </c>
      <c r="G5" s="2">
        <v>3772</v>
      </c>
      <c r="H5" s="5">
        <v>6</v>
      </c>
      <c r="I5" s="4"/>
      <c r="J5" s="2"/>
      <c r="K5" s="5"/>
      <c r="L5" s="4"/>
      <c r="M5" s="2"/>
      <c r="N5" s="5"/>
      <c r="O5" s="4">
        <v>16050</v>
      </c>
      <c r="P5" s="2">
        <v>17938</v>
      </c>
      <c r="Q5" s="5">
        <v>29</v>
      </c>
      <c r="R5" s="4"/>
      <c r="S5" s="2"/>
      <c r="T5" s="5"/>
      <c r="U5" s="13">
        <f t="shared" si="0"/>
        <v>0</v>
      </c>
    </row>
    <row r="6" spans="1:21" x14ac:dyDescent="0.25">
      <c r="A6" s="4" t="s">
        <v>3</v>
      </c>
      <c r="B6" s="10">
        <v>3940</v>
      </c>
      <c r="C6" s="4"/>
      <c r="D6" s="2"/>
      <c r="E6" s="5"/>
      <c r="F6" s="4"/>
      <c r="G6" s="2"/>
      <c r="H6" s="5"/>
      <c r="I6" s="4"/>
      <c r="J6" s="2"/>
      <c r="K6" s="5"/>
      <c r="L6" s="4"/>
      <c r="M6" s="2"/>
      <c r="N6" s="5"/>
      <c r="O6" s="4">
        <v>1000</v>
      </c>
      <c r="P6" s="2">
        <v>1092</v>
      </c>
      <c r="Q6" s="5">
        <v>2</v>
      </c>
      <c r="R6" s="4">
        <v>2940</v>
      </c>
      <c r="S6" s="2">
        <v>3361</v>
      </c>
      <c r="T6" s="5">
        <v>6</v>
      </c>
      <c r="U6" s="13">
        <f t="shared" si="0"/>
        <v>0</v>
      </c>
    </row>
    <row r="7" spans="1:21" x14ac:dyDescent="0.25">
      <c r="A7" s="4" t="s">
        <v>9</v>
      </c>
      <c r="B7" s="10">
        <v>16565</v>
      </c>
      <c r="C7" s="4"/>
      <c r="D7" s="2"/>
      <c r="E7" s="5"/>
      <c r="F7" s="4"/>
      <c r="G7" s="2"/>
      <c r="H7" s="5"/>
      <c r="I7" s="4">
        <v>16565</v>
      </c>
      <c r="J7" s="2">
        <v>17958</v>
      </c>
      <c r="K7" s="5">
        <v>26</v>
      </c>
      <c r="L7" s="4"/>
      <c r="M7" s="2"/>
      <c r="N7" s="5"/>
      <c r="O7" s="4"/>
      <c r="P7" s="2"/>
      <c r="Q7" s="5"/>
      <c r="R7" s="4"/>
      <c r="S7" s="2"/>
      <c r="T7" s="5"/>
      <c r="U7" s="13">
        <f t="shared" si="0"/>
        <v>0</v>
      </c>
    </row>
    <row r="8" spans="1:21" x14ac:dyDescent="0.25">
      <c r="A8" s="4" t="s">
        <v>4</v>
      </c>
      <c r="B8" s="10">
        <v>16859</v>
      </c>
      <c r="C8" s="4"/>
      <c r="D8" s="2"/>
      <c r="E8" s="5"/>
      <c r="F8" s="4"/>
      <c r="G8" s="2"/>
      <c r="H8" s="5"/>
      <c r="I8" s="4"/>
      <c r="J8" s="2"/>
      <c r="K8" s="5"/>
      <c r="L8" s="4">
        <v>16859</v>
      </c>
      <c r="M8" s="2">
        <v>18167</v>
      </c>
      <c r="N8" s="5">
        <v>25</v>
      </c>
      <c r="O8" s="4"/>
      <c r="P8" s="2"/>
      <c r="Q8" s="5"/>
      <c r="R8" s="4"/>
      <c r="S8" s="2"/>
      <c r="T8" s="5"/>
      <c r="U8" s="13">
        <f t="shared" si="0"/>
        <v>0</v>
      </c>
    </row>
    <row r="9" spans="1:21" ht="15.75" thickBot="1" x14ac:dyDescent="0.3">
      <c r="A9" s="14" t="s">
        <v>13</v>
      </c>
      <c r="B9" s="15">
        <v>13570</v>
      </c>
      <c r="C9" s="14"/>
      <c r="D9" s="16"/>
      <c r="E9" s="17"/>
      <c r="F9" s="14">
        <v>13570</v>
      </c>
      <c r="G9" s="16">
        <v>15477</v>
      </c>
      <c r="H9" s="17">
        <v>25</v>
      </c>
      <c r="I9" s="14"/>
      <c r="J9" s="16"/>
      <c r="K9" s="17"/>
      <c r="L9" s="14"/>
      <c r="M9" s="16"/>
      <c r="N9" s="17"/>
      <c r="O9" s="14"/>
      <c r="P9" s="16"/>
      <c r="Q9" s="17"/>
      <c r="R9" s="14"/>
      <c r="S9" s="16"/>
      <c r="T9" s="17"/>
      <c r="U9" s="13">
        <f t="shared" si="0"/>
        <v>0</v>
      </c>
    </row>
    <row r="10" spans="1:21" s="1" customFormat="1" ht="15.75" thickBot="1" x14ac:dyDescent="0.3">
      <c r="A10" s="18" t="s">
        <v>8</v>
      </c>
      <c r="B10" s="19">
        <f t="shared" ref="B10:U10" si="1">SUM(B3:B9)</f>
        <v>96544</v>
      </c>
      <c r="C10" s="18">
        <f t="shared" si="1"/>
        <v>11500</v>
      </c>
      <c r="D10" s="20">
        <f t="shared" si="1"/>
        <v>12854</v>
      </c>
      <c r="E10" s="21">
        <f t="shared" si="1"/>
        <v>21</v>
      </c>
      <c r="F10" s="18">
        <f t="shared" si="1"/>
        <v>17020</v>
      </c>
      <c r="G10" s="20">
        <f t="shared" si="1"/>
        <v>19249</v>
      </c>
      <c r="H10" s="21">
        <f t="shared" si="1"/>
        <v>31</v>
      </c>
      <c r="I10" s="18">
        <f t="shared" si="1"/>
        <v>17065</v>
      </c>
      <c r="J10" s="20">
        <f t="shared" si="1"/>
        <v>18508</v>
      </c>
      <c r="K10" s="21">
        <f t="shared" si="1"/>
        <v>27</v>
      </c>
      <c r="L10" s="18">
        <f t="shared" si="1"/>
        <v>16859</v>
      </c>
      <c r="M10" s="20">
        <f t="shared" si="1"/>
        <v>18167</v>
      </c>
      <c r="N10" s="21">
        <f t="shared" si="1"/>
        <v>25</v>
      </c>
      <c r="O10" s="18">
        <f t="shared" si="1"/>
        <v>17050</v>
      </c>
      <c r="P10" s="20">
        <f t="shared" si="1"/>
        <v>19030</v>
      </c>
      <c r="Q10" s="21">
        <f t="shared" si="1"/>
        <v>31</v>
      </c>
      <c r="R10" s="18">
        <f t="shared" ref="R10" si="2">SUM(R3:R9)</f>
        <v>17050</v>
      </c>
      <c r="S10" s="20">
        <f t="shared" ref="S10" si="3">SUM(S3:S9)</f>
        <v>19033</v>
      </c>
      <c r="T10" s="21">
        <f t="shared" ref="T10" si="4">SUM(T3:T9)</f>
        <v>31</v>
      </c>
      <c r="U10" s="22">
        <f t="shared" si="1"/>
        <v>0</v>
      </c>
    </row>
    <row r="11" spans="1:21" x14ac:dyDescent="0.25">
      <c r="A11" s="23" t="s">
        <v>14</v>
      </c>
      <c r="B11" s="24">
        <v>1450</v>
      </c>
      <c r="C11" s="23">
        <v>1450</v>
      </c>
      <c r="D11" s="25"/>
      <c r="E11" s="26">
        <v>4</v>
      </c>
      <c r="F11" s="23"/>
      <c r="G11" s="25"/>
      <c r="H11" s="26"/>
      <c r="I11" s="23"/>
      <c r="J11" s="25"/>
      <c r="K11" s="26"/>
      <c r="L11" s="23"/>
      <c r="M11" s="25"/>
      <c r="N11" s="26"/>
      <c r="O11" s="23"/>
      <c r="P11" s="25"/>
      <c r="Q11" s="26"/>
      <c r="R11" s="23"/>
      <c r="S11" s="25"/>
      <c r="T11" s="26"/>
      <c r="U11" s="27">
        <f t="shared" ref="U11:U12" si="5">B11-C11-F11-I11-L11</f>
        <v>0</v>
      </c>
    </row>
    <row r="12" spans="1:21" ht="15.75" thickBot="1" x14ac:dyDescent="0.3">
      <c r="A12" s="28" t="s">
        <v>15</v>
      </c>
      <c r="B12" s="29">
        <v>2400</v>
      </c>
      <c r="C12" s="28">
        <v>2400</v>
      </c>
      <c r="D12" s="30"/>
      <c r="E12" s="31">
        <v>5</v>
      </c>
      <c r="F12" s="28"/>
      <c r="G12" s="30"/>
      <c r="H12" s="31"/>
      <c r="I12" s="28"/>
      <c r="J12" s="30"/>
      <c r="K12" s="31"/>
      <c r="L12" s="28"/>
      <c r="M12" s="30"/>
      <c r="N12" s="31"/>
      <c r="O12" s="28"/>
      <c r="P12" s="30"/>
      <c r="Q12" s="31"/>
      <c r="R12" s="28"/>
      <c r="S12" s="30"/>
      <c r="T12" s="31"/>
      <c r="U12" s="32">
        <f t="shared" si="5"/>
        <v>0</v>
      </c>
    </row>
    <row r="13" spans="1:21" x14ac:dyDescent="0.25">
      <c r="C13">
        <f>SUM(C10:C12)</f>
        <v>15350</v>
      </c>
      <c r="E13">
        <f>SUM(E10:E12)</f>
        <v>30</v>
      </c>
    </row>
    <row r="14" spans="1:21" x14ac:dyDescent="0.25">
      <c r="B14">
        <f>B10-C14</f>
        <v>85044</v>
      </c>
      <c r="C14">
        <v>11500</v>
      </c>
      <c r="E14">
        <v>23</v>
      </c>
    </row>
    <row r="15" spans="1:21" x14ac:dyDescent="0.25">
      <c r="B15">
        <f>B14/C15</f>
        <v>17008.8</v>
      </c>
      <c r="C15">
        <v>5</v>
      </c>
    </row>
  </sheetData>
  <mergeCells count="9">
    <mergeCell ref="U1:U2"/>
    <mergeCell ref="A1:A2"/>
    <mergeCell ref="B1:B2"/>
    <mergeCell ref="C1:E1"/>
    <mergeCell ref="F1:H1"/>
    <mergeCell ref="I1:K1"/>
    <mergeCell ref="L1:N1"/>
    <mergeCell ref="O1:Q1"/>
    <mergeCell ref="R1:T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2025-11-28T09:21:29Z</dcterms:modified>
</cp:coreProperties>
</file>