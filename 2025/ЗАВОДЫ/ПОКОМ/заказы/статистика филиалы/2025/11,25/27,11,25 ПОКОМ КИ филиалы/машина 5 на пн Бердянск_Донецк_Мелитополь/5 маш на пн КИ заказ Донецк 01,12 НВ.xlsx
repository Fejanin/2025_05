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574A2A8A-FA3D-4771-87C0-6B1C6921E0F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Y374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Z357" i="1"/>
  <c r="Z359" i="1" s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Y331" i="1" s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Y221" i="1" s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Y177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P161" i="1"/>
  <c r="BO161" i="1"/>
  <c r="BN161" i="1"/>
  <c r="BM161" i="1"/>
  <c r="Z161" i="1"/>
  <c r="Y161" i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P151" i="1"/>
  <c r="X149" i="1"/>
  <c r="Y148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Y149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Y131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Y104" i="1" s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Y82" i="1" s="1"/>
  <c r="P80" i="1"/>
  <c r="BP79" i="1"/>
  <c r="BO79" i="1"/>
  <c r="BN79" i="1"/>
  <c r="BM79" i="1"/>
  <c r="Z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77" i="1" l="1"/>
  <c r="BP72" i="1"/>
  <c r="BN72" i="1"/>
  <c r="Z72" i="1"/>
  <c r="Y76" i="1"/>
  <c r="BP114" i="1"/>
  <c r="BN114" i="1"/>
  <c r="Z114" i="1"/>
  <c r="BP135" i="1"/>
  <c r="BN135" i="1"/>
  <c r="Z135" i="1"/>
  <c r="Z136" i="1" s="1"/>
  <c r="H499" i="1"/>
  <c r="Y143" i="1"/>
  <c r="BP140" i="1"/>
  <c r="BN140" i="1"/>
  <c r="Z140" i="1"/>
  <c r="Z142" i="1" s="1"/>
  <c r="BP162" i="1"/>
  <c r="BN162" i="1"/>
  <c r="Z162" i="1"/>
  <c r="BP165" i="1"/>
  <c r="BN165" i="1"/>
  <c r="Z165" i="1"/>
  <c r="Y193" i="1"/>
  <c r="BP190" i="1"/>
  <c r="BN190" i="1"/>
  <c r="Z190" i="1"/>
  <c r="Z192" i="1" s="1"/>
  <c r="BP202" i="1"/>
  <c r="BN202" i="1"/>
  <c r="Z202" i="1"/>
  <c r="Y216" i="1"/>
  <c r="BP206" i="1"/>
  <c r="BN206" i="1"/>
  <c r="Z206" i="1"/>
  <c r="BP210" i="1"/>
  <c r="BN210" i="1"/>
  <c r="Z210" i="1"/>
  <c r="Y215" i="1"/>
  <c r="BP228" i="1"/>
  <c r="BN228" i="1"/>
  <c r="Z228" i="1"/>
  <c r="BP257" i="1"/>
  <c r="BN257" i="1"/>
  <c r="Z257" i="1"/>
  <c r="BP321" i="1"/>
  <c r="BN321" i="1"/>
  <c r="Z321" i="1"/>
  <c r="Y325" i="1"/>
  <c r="Y355" i="1"/>
  <c r="BP352" i="1"/>
  <c r="BN352" i="1"/>
  <c r="Z352" i="1"/>
  <c r="Z354" i="1" s="1"/>
  <c r="Y354" i="1"/>
  <c r="Y31" i="1"/>
  <c r="Y43" i="1"/>
  <c r="Y493" i="1" s="1"/>
  <c r="Y58" i="1"/>
  <c r="Y64" i="1"/>
  <c r="Y70" i="1"/>
  <c r="BP80" i="1"/>
  <c r="BN80" i="1"/>
  <c r="Z80" i="1"/>
  <c r="Z81" i="1" s="1"/>
  <c r="E499" i="1"/>
  <c r="Y88" i="1"/>
  <c r="BP85" i="1"/>
  <c r="BN85" i="1"/>
  <c r="Z85" i="1"/>
  <c r="BP93" i="1"/>
  <c r="BN93" i="1"/>
  <c r="Z93" i="1"/>
  <c r="BP102" i="1"/>
  <c r="BN102" i="1"/>
  <c r="Z102" i="1"/>
  <c r="Y109" i="1"/>
  <c r="BP106" i="1"/>
  <c r="BN106" i="1"/>
  <c r="Z106" i="1"/>
  <c r="Y137" i="1"/>
  <c r="BP169" i="1"/>
  <c r="BN169" i="1"/>
  <c r="Z169" i="1"/>
  <c r="BP186" i="1"/>
  <c r="BN186" i="1"/>
  <c r="Z186" i="1"/>
  <c r="Z187" i="1" s="1"/>
  <c r="Y188" i="1"/>
  <c r="BP198" i="1"/>
  <c r="BN198" i="1"/>
  <c r="Z198" i="1"/>
  <c r="Y204" i="1"/>
  <c r="BP219" i="1"/>
  <c r="BN219" i="1"/>
  <c r="Z219" i="1"/>
  <c r="Z220" i="1" s="1"/>
  <c r="K499" i="1"/>
  <c r="Y235" i="1"/>
  <c r="BP224" i="1"/>
  <c r="BN224" i="1"/>
  <c r="Z224" i="1"/>
  <c r="Y234" i="1"/>
  <c r="BP232" i="1"/>
  <c r="BN232" i="1"/>
  <c r="Z232" i="1"/>
  <c r="BP329" i="1"/>
  <c r="BN329" i="1"/>
  <c r="Z329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D499" i="1"/>
  <c r="H9" i="1"/>
  <c r="B499" i="1"/>
  <c r="X490" i="1"/>
  <c r="X491" i="1"/>
  <c r="X493" i="1"/>
  <c r="Y24" i="1"/>
  <c r="Z27" i="1"/>
  <c r="Z31" i="1" s="1"/>
  <c r="BN27" i="1"/>
  <c r="Y490" i="1" s="1"/>
  <c r="Y492" i="1" s="1"/>
  <c r="Z29" i="1"/>
  <c r="BN29" i="1"/>
  <c r="C499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Z66" i="1"/>
  <c r="BN66" i="1"/>
  <c r="BP66" i="1"/>
  <c r="Z68" i="1"/>
  <c r="BN68" i="1"/>
  <c r="BP74" i="1"/>
  <c r="BN74" i="1"/>
  <c r="Z74" i="1"/>
  <c r="Y81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Z116" i="1" s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Y142" i="1"/>
  <c r="BP146" i="1"/>
  <c r="BN146" i="1"/>
  <c r="Z146" i="1"/>
  <c r="Z148" i="1" s="1"/>
  <c r="Y172" i="1"/>
  <c r="BP164" i="1"/>
  <c r="BN164" i="1"/>
  <c r="Z164" i="1"/>
  <c r="Z171" i="1" s="1"/>
  <c r="BP167" i="1"/>
  <c r="BN167" i="1"/>
  <c r="Z167" i="1"/>
  <c r="Y171" i="1"/>
  <c r="BP175" i="1"/>
  <c r="BN175" i="1"/>
  <c r="Z175" i="1"/>
  <c r="Z177" i="1" s="1"/>
  <c r="Y192" i="1"/>
  <c r="BP196" i="1"/>
  <c r="BN196" i="1"/>
  <c r="Z196" i="1"/>
  <c r="Z203" i="1" s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Z380" i="1" s="1"/>
  <c r="Y381" i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Z250" i="1"/>
  <c r="BP246" i="1"/>
  <c r="BN246" i="1"/>
  <c r="Z246" i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Z324" i="1" s="1"/>
  <c r="Y330" i="1"/>
  <c r="BP327" i="1"/>
  <c r="BN327" i="1"/>
  <c r="Z327" i="1"/>
  <c r="Z330" i="1" s="1"/>
  <c r="BP336" i="1"/>
  <c r="BN336" i="1"/>
  <c r="Z336" i="1"/>
  <c r="S499" i="1"/>
  <c r="Y349" i="1"/>
  <c r="BP342" i="1"/>
  <c r="BN342" i="1"/>
  <c r="Z342" i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Z374" i="1" s="1"/>
  <c r="Y380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38" i="1" l="1"/>
  <c r="Z447" i="1"/>
  <c r="Z432" i="1"/>
  <c r="Z349" i="1"/>
  <c r="X492" i="1"/>
  <c r="Z337" i="1"/>
  <c r="Z234" i="1"/>
  <c r="Z76" i="1"/>
  <c r="Z394" i="1"/>
  <c r="Z304" i="1"/>
  <c r="Z294" i="1"/>
  <c r="Z274" i="1"/>
  <c r="Z69" i="1"/>
  <c r="Z494" i="1" s="1"/>
  <c r="Y489" i="1"/>
  <c r="Z109" i="1"/>
  <c r="Z88" i="1"/>
  <c r="Z215" i="1"/>
</calcChain>
</file>

<file path=xl/sharedStrings.xml><?xml version="1.0" encoding="utf-8"?>
<sst xmlns="http://schemas.openxmlformats.org/spreadsheetml/2006/main" count="2276" uniqueCount="762">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</sst>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9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3" t="s">
        <v>8</v>
      </c>
      <c r="B5" s="628"/>
      <c r="C5" s="629"/>
      <c r="D5" s="617"/>
      <c r="E5" s="618"/>
      <c r="F5" s="823" t="s">
        <v>9</v>
      </c>
      <c r="G5" s="629"/>
      <c r="H5" s="617"/>
      <c r="I5" s="764"/>
      <c r="J5" s="764"/>
      <c r="K5" s="764"/>
      <c r="L5" s="764"/>
      <c r="M5" s="618"/>
      <c r="N5" s="58"/>
      <c r="P5" s="24" t="s">
        <v>10</v>
      </c>
      <c r="Q5" s="839">
        <v>45992</v>
      </c>
      <c r="R5" s="652"/>
      <c r="T5" s="701" t="s">
        <v>11</v>
      </c>
      <c r="U5" s="702"/>
      <c r="V5" s="703" t="s">
        <v>12</v>
      </c>
      <c r="W5" s="652"/>
      <c r="AB5" s="51"/>
      <c r="AC5" s="51"/>
      <c r="AD5" s="51"/>
      <c r="AE5" s="51"/>
    </row>
    <row r="6" spans="1:32" s="535" customFormat="1" ht="24" customHeight="1" x14ac:dyDescent="0.2">
      <c r="A6" s="653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2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06" t="s">
        <v>16</v>
      </c>
      <c r="U6" s="702"/>
      <c r="V6" s="750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2"/>
      <c r="V7" s="751"/>
      <c r="W7" s="752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1">
        <v>0.41666666666666669</v>
      </c>
      <c r="R8" s="599"/>
      <c r="T8" s="555"/>
      <c r="U8" s="702"/>
      <c r="V8" s="751"/>
      <c r="W8" s="752"/>
      <c r="AB8" s="51"/>
      <c r="AC8" s="51"/>
      <c r="AD8" s="51"/>
      <c r="AE8" s="51"/>
    </row>
    <row r="9" spans="1:32" s="535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3"/>
      <c r="E9" s="561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9"/>
      <c r="R9" s="650"/>
      <c r="T9" s="555"/>
      <c r="U9" s="702"/>
      <c r="V9" s="753"/>
      <c r="W9" s="754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3"/>
      <c r="E10" s="561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3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1"/>
      <c r="R11" s="652"/>
      <c r="U11" s="24" t="s">
        <v>27</v>
      </c>
      <c r="V11" s="790" t="s">
        <v>28</v>
      </c>
      <c r="W11" s="650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4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1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4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4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0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4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0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2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8"/>
      <c r="AF17" s="819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3"/>
      <c r="AA18" s="742"/>
      <c r="AB18" s="742"/>
      <c r="AC18" s="742"/>
      <c r="AD18" s="820"/>
      <c r="AE18" s="821"/>
      <c r="AF18" s="822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8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9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97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8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9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9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customHeight="1" x14ac:dyDescent="0.25">
      <c r="A59" s="559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9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8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9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500</v>
      </c>
      <c r="Y85" s="542">
        <f>IFERROR(IF(X85="",0,CEILING((X85/$H85),1)*$H85),"")</f>
        <v>507.6</v>
      </c>
      <c r="Z85" s="36">
        <f>IFERROR(IF(Y85=0,"",ROUNDUP(Y85/H85,0)*0.01898),"")</f>
        <v>0.89205999999999996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518.98148148148141</v>
      </c>
      <c r="BN85" s="64">
        <f>IFERROR(Y85*I85/H85,"0")</f>
        <v>526.87</v>
      </c>
      <c r="BO85" s="64">
        <f>IFERROR(1/J85*(X85/H85),"0")</f>
        <v>0.72337962962962954</v>
      </c>
      <c r="BP85" s="64">
        <f>IFERROR(1/J85*(Y85/H85),"0")</f>
        <v>0.734375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46.296296296296291</v>
      </c>
      <c r="Y88" s="543">
        <f>IFERROR(Y85/H85,"0")+IFERROR(Y86/H86,"0")+IFERROR(Y87/H87,"0")</f>
        <v>47</v>
      </c>
      <c r="Z88" s="543">
        <f>IFERROR(IF(Z85="",0,Z85),"0")+IFERROR(IF(Z86="",0,Z86),"0")+IFERROR(IF(Z87="",0,Z87),"0")</f>
        <v>0.89205999999999996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500</v>
      </c>
      <c r="Y89" s="543">
        <f>IFERROR(SUM(Y85:Y87),"0")</f>
        <v>507.6</v>
      </c>
      <c r="Z89" s="37"/>
      <c r="AA89" s="544"/>
      <c r="AB89" s="544"/>
      <c r="AC89" s="544"/>
    </row>
    <row r="90" spans="1:68" ht="14.25" customHeight="1" x14ac:dyDescent="0.25">
      <c r="A90" s="559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225</v>
      </c>
      <c r="Y93" s="542">
        <f>IFERROR(IF(X93="",0,CEILING((X93/$H93),1)*$H93),"")</f>
        <v>226.8</v>
      </c>
      <c r="Z93" s="36">
        <f>IFERROR(IF(Y93=0,"",ROUNDUP(Y93/H93,0)*0.00651),"")</f>
        <v>0.54683999999999999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246</v>
      </c>
      <c r="BN93" s="64">
        <f>IFERROR(Y93*I93/H93,"0")</f>
        <v>247.96799999999999</v>
      </c>
      <c r="BO93" s="64">
        <f>IFERROR(1/J93*(X93/H93),"0")</f>
        <v>0.45787545787545786</v>
      </c>
      <c r="BP93" s="64">
        <f>IFERROR(1/J93*(Y93/H93),"0")</f>
        <v>0.46153846153846156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83.333333333333329</v>
      </c>
      <c r="Y95" s="543">
        <f>IFERROR(Y91/H91,"0")+IFERROR(Y92/H92,"0")+IFERROR(Y93/H93,"0")+IFERROR(Y94/H94,"0")</f>
        <v>84</v>
      </c>
      <c r="Z95" s="543">
        <f>IFERROR(IF(Z91="",0,Z91),"0")+IFERROR(IF(Z92="",0,Z92),"0")+IFERROR(IF(Z93="",0,Z93),"0")+IFERROR(IF(Z94="",0,Z94),"0")</f>
        <v>0.54683999999999999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225</v>
      </c>
      <c r="Y96" s="543">
        <f>IFERROR(SUM(Y91:Y94),"0")</f>
        <v>226.8</v>
      </c>
      <c r="Z96" s="37"/>
      <c r="AA96" s="544"/>
      <c r="AB96" s="544"/>
      <c r="AC96" s="544"/>
    </row>
    <row r="97" spans="1:68" ht="16.5" customHeight="1" x14ac:dyDescent="0.25">
      <c r="A97" s="558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9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300</v>
      </c>
      <c r="Y99" s="542">
        <f>IFERROR(IF(X99="",0,CEILING((X99/$H99),1)*$H99),"")</f>
        <v>302.40000000000003</v>
      </c>
      <c r="Z99" s="36">
        <f>IFERROR(IF(Y99=0,"",ROUNDUP(Y99/H99,0)*0.01898),"")</f>
        <v>0.53144000000000002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311.38888888888891</v>
      </c>
      <c r="BN99" s="64">
        <f>IFERROR(Y99*I99/H99,"0")</f>
        <v>313.88</v>
      </c>
      <c r="BO99" s="64">
        <f>IFERROR(1/J99*(X99/H99),"0")</f>
        <v>0.43402777777777773</v>
      </c>
      <c r="BP99" s="64">
        <f>IFERROR(1/J99*(Y99/H99),"0")</f>
        <v>0.4375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27.777777777777775</v>
      </c>
      <c r="Y103" s="543">
        <f>IFERROR(Y99/H99,"0")+IFERROR(Y100/H100,"0")+IFERROR(Y101/H101,"0")+IFERROR(Y102/H102,"0")</f>
        <v>28</v>
      </c>
      <c r="Z103" s="543">
        <f>IFERROR(IF(Z99="",0,Z99),"0")+IFERROR(IF(Z100="",0,Z100),"0")+IFERROR(IF(Z101="",0,Z101),"0")+IFERROR(IF(Z102="",0,Z102),"0")</f>
        <v>0.53144000000000002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300</v>
      </c>
      <c r="Y104" s="543">
        <f>IFERROR(SUM(Y99:Y102),"0")</f>
        <v>302.40000000000003</v>
      </c>
      <c r="Z104" s="37"/>
      <c r="AA104" s="544"/>
      <c r="AB104" s="544"/>
      <c r="AC104" s="544"/>
    </row>
    <row r="105" spans="1:68" ht="14.25" customHeight="1" x14ac:dyDescent="0.25">
      <c r="A105" s="559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9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225</v>
      </c>
      <c r="Y114" s="542">
        <f>IFERROR(IF(X114="",0,CEILING((X114/$H114),1)*$H114),"")</f>
        <v>226.8</v>
      </c>
      <c r="Z114" s="36">
        <f>IFERROR(IF(Y114=0,"",ROUNDUP(Y114/H114,0)*0.00651),"")</f>
        <v>0.54683999999999999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246</v>
      </c>
      <c r="BN114" s="64">
        <f>IFERROR(Y114*I114/H114,"0")</f>
        <v>247.96799999999999</v>
      </c>
      <c r="BO114" s="64">
        <f>IFERROR(1/J114*(X114/H114),"0")</f>
        <v>0.45787545787545786</v>
      </c>
      <c r="BP114" s="64">
        <f>IFERROR(1/J114*(Y114/H114),"0")</f>
        <v>0.46153846153846156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83.333333333333329</v>
      </c>
      <c r="Y116" s="543">
        <f>IFERROR(Y112/H112,"0")+IFERROR(Y113/H113,"0")+IFERROR(Y114/H114,"0")+IFERROR(Y115/H115,"0")</f>
        <v>84</v>
      </c>
      <c r="Z116" s="543">
        <f>IFERROR(IF(Z112="",0,Z112),"0")+IFERROR(IF(Z113="",0,Z113),"0")+IFERROR(IF(Z114="",0,Z114),"0")+IFERROR(IF(Z115="",0,Z115),"0")</f>
        <v>0.54683999999999999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225</v>
      </c>
      <c r="Y117" s="543">
        <f>IFERROR(SUM(Y112:Y115),"0")</f>
        <v>226.8</v>
      </c>
      <c r="Z117" s="37"/>
      <c r="AA117" s="544"/>
      <c r="AB117" s="544"/>
      <c r="AC117" s="544"/>
    </row>
    <row r="118" spans="1:68" ht="14.25" customHeight="1" x14ac:dyDescent="0.25">
      <c r="A118" s="559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8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9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9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9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8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9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9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9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250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8" t="s">
        <v>251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9" t="s">
        <v>135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9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/>
      <c r="M161" s="33" t="s">
        <v>68</v>
      </c>
      <c r="N161" s="33"/>
      <c r="O161" s="32">
        <v>40</v>
      </c>
      <c r="P161" s="7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/>
      <c r="AK161" s="68">
        <v>0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269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customHeight="1" x14ac:dyDescent="0.25">
      <c r="A173" s="559" t="s">
        <v>91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9" t="s">
        <v>293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8" t="s">
        <v>296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9" t="s">
        <v>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186</v>
      </c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106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9" t="s">
        <v>135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9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customHeight="1" x14ac:dyDescent="0.25">
      <c r="A205" s="559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200</v>
      </c>
      <c r="Y211" s="542">
        <f t="shared" si="15"/>
        <v>201.6</v>
      </c>
      <c r="Z211" s="36">
        <f t="shared" si="20"/>
        <v>0.54683999999999999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221</v>
      </c>
      <c r="BN211" s="64">
        <f t="shared" si="17"/>
        <v>222.768</v>
      </c>
      <c r="BO211" s="64">
        <f t="shared" si="18"/>
        <v>0.45787545787545797</v>
      </c>
      <c r="BP211" s="64">
        <f t="shared" si="19"/>
        <v>0.46153846153846156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83.333333333333343</v>
      </c>
      <c r="Y215" s="543">
        <f>IFERROR(Y206/H206,"0")+IFERROR(Y207/H207,"0")+IFERROR(Y208/H208,"0")+IFERROR(Y209/H209,"0")+IFERROR(Y210/H210,"0")+IFERROR(Y211/H211,"0")+IFERROR(Y212/H212,"0")+IFERROR(Y213/H213,"0")+IFERROR(Y214/H214,"0")</f>
        <v>84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0.54683999999999999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200</v>
      </c>
      <c r="Y216" s="543">
        <f>IFERROR(SUM(Y206:Y214),"0")</f>
        <v>201.6</v>
      </c>
      <c r="Z216" s="37"/>
      <c r="AA216" s="544"/>
      <c r="AB216" s="544"/>
      <c r="AC216" s="544"/>
    </row>
    <row r="217" spans="1:68" ht="14.25" customHeight="1" x14ac:dyDescent="0.25">
      <c r="A217" s="559" t="s">
        <v>163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8" t="s">
        <v>355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9" t="s">
        <v>99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/>
      <c r="M224" s="33" t="s">
        <v>104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9" t="s">
        <v>135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9" t="s">
        <v>381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9" t="s">
        <v>385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8" t="s">
        <v>397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9" t="s">
        <v>99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 t="s">
        <v>103</v>
      </c>
      <c r="M256" s="33" t="s">
        <v>104</v>
      </c>
      <c r="N256" s="33"/>
      <c r="O256" s="32">
        <v>55</v>
      </c>
      <c r="P256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106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8" t="s">
        <v>413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9" t="s">
        <v>99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8" t="s">
        <v>424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9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58" t="s">
        <v>433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9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9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446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9" t="s">
        <v>99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447</v>
      </c>
      <c r="B289" s="54" t="s">
        <v>448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450</v>
      </c>
      <c r="B290" s="54" t="s">
        <v>451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458</v>
      </c>
      <c r="B293" s="54" t="s">
        <v>459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4"/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6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5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9" t="s">
        <v>64</v>
      </c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5"/>
      <c r="P296" s="555"/>
      <c r="Q296" s="555"/>
      <c r="R296" s="555"/>
      <c r="S296" s="555"/>
      <c r="T296" s="555"/>
      <c r="U296" s="555"/>
      <c r="V296" s="555"/>
      <c r="W296" s="555"/>
      <c r="X296" s="555"/>
      <c r="Y296" s="555"/>
      <c r="Z296" s="555"/>
      <c r="AA296" s="537"/>
      <c r="AB296" s="537"/>
      <c r="AC296" s="537"/>
    </row>
    <row r="297" spans="1:68" ht="27" customHeight="1" x14ac:dyDescent="0.25">
      <c r="A297" s="54" t="s">
        <v>461</v>
      </c>
      <c r="B297" s="54" t="s">
        <v>462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464</v>
      </c>
      <c r="B298" s="54" t="s">
        <v>465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472</v>
      </c>
      <c r="B301" s="54" t="s">
        <v>473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4"/>
      <c r="B304" s="555"/>
      <c r="C304" s="555"/>
      <c r="D304" s="555"/>
      <c r="E304" s="555"/>
      <c r="F304" s="555"/>
      <c r="G304" s="555"/>
      <c r="H304" s="555"/>
      <c r="I304" s="555"/>
      <c r="J304" s="555"/>
      <c r="K304" s="555"/>
      <c r="L304" s="555"/>
      <c r="M304" s="555"/>
      <c r="N304" s="555"/>
      <c r="O304" s="556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x14ac:dyDescent="0.2">
      <c r="A305" s="555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customHeight="1" x14ac:dyDescent="0.25">
      <c r="A306" s="559" t="s">
        <v>73</v>
      </c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5"/>
      <c r="P306" s="555"/>
      <c r="Q306" s="555"/>
      <c r="R306" s="555"/>
      <c r="S306" s="555"/>
      <c r="T306" s="555"/>
      <c r="U306" s="555"/>
      <c r="V306" s="555"/>
      <c r="W306" s="555"/>
      <c r="X306" s="555"/>
      <c r="Y306" s="555"/>
      <c r="Z306" s="555"/>
      <c r="AA306" s="537"/>
      <c r="AB306" s="537"/>
      <c r="AC306" s="537"/>
    </row>
    <row r="307" spans="1:68" ht="27" customHeight="1" x14ac:dyDescent="0.25">
      <c r="A307" s="54" t="s">
        <v>480</v>
      </c>
      <c r="B307" s="54" t="s">
        <v>481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483</v>
      </c>
      <c r="B308" s="54" t="s">
        <v>484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486</v>
      </c>
      <c r="B309" s="54" t="s">
        <v>487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54"/>
      <c r="B311" s="555"/>
      <c r="C311" s="555"/>
      <c r="D311" s="555"/>
      <c r="E311" s="555"/>
      <c r="F311" s="555"/>
      <c r="G311" s="555"/>
      <c r="H311" s="555"/>
      <c r="I311" s="555"/>
      <c r="J311" s="555"/>
      <c r="K311" s="555"/>
      <c r="L311" s="555"/>
      <c r="M311" s="555"/>
      <c r="N311" s="555"/>
      <c r="O311" s="556"/>
      <c r="P311" s="562" t="s">
        <v>71</v>
      </c>
      <c r="Q311" s="563"/>
      <c r="R311" s="563"/>
      <c r="S311" s="563"/>
      <c r="T311" s="563"/>
      <c r="U311" s="563"/>
      <c r="V311" s="564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x14ac:dyDescent="0.2">
      <c r="A312" s="555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customHeight="1" x14ac:dyDescent="0.25">
      <c r="A313" s="559" t="s">
        <v>163</v>
      </c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5"/>
      <c r="P313" s="555"/>
      <c r="Q313" s="555"/>
      <c r="R313" s="555"/>
      <c r="S313" s="555"/>
      <c r="T313" s="555"/>
      <c r="U313" s="555"/>
      <c r="V313" s="555"/>
      <c r="W313" s="555"/>
      <c r="X313" s="555"/>
      <c r="Y313" s="555"/>
      <c r="Z313" s="555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8">
        <v>4607091380880</v>
      </c>
      <c r="E314" s="549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5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494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8">
        <v>4607091384482</v>
      </c>
      <c r="E315" s="549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300</v>
      </c>
      <c r="Y315" s="542">
        <f>IFERROR(IF(X315="",0,CEILING((X315/$H315),1)*$H315),"")</f>
        <v>304.2</v>
      </c>
      <c r="Z315" s="36">
        <f>IFERROR(IF(Y315=0,"",ROUNDUP(Y315/H315,0)*0.01898),"")</f>
        <v>0.74021999999999999</v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319.00000000000006</v>
      </c>
      <c r="BN315" s="64">
        <f>IFERROR(Y315*I315/H315,"0")</f>
        <v>323.46600000000001</v>
      </c>
      <c r="BO315" s="64">
        <f>IFERROR(1/J315*(X315/H315),"0")</f>
        <v>0.60096153846153844</v>
      </c>
      <c r="BP315" s="64">
        <f>IFERROR(1/J315*(Y315/H315),"0")</f>
        <v>0.609375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8">
        <v>4607091380897</v>
      </c>
      <c r="E316" s="549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4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56"/>
      <c r="P317" s="562" t="s">
        <v>71</v>
      </c>
      <c r="Q317" s="563"/>
      <c r="R317" s="563"/>
      <c r="S317" s="563"/>
      <c r="T317" s="563"/>
      <c r="U317" s="563"/>
      <c r="V317" s="564"/>
      <c r="W317" s="37" t="s">
        <v>72</v>
      </c>
      <c r="X317" s="543">
        <f>IFERROR(X314/H314,"0")+IFERROR(X315/H315,"0")+IFERROR(X316/H316,"0")</f>
        <v>38.46153846153846</v>
      </c>
      <c r="Y317" s="543">
        <f>IFERROR(Y314/H314,"0")+IFERROR(Y315/H315,"0")+IFERROR(Y316/H316,"0")</f>
        <v>39</v>
      </c>
      <c r="Z317" s="543">
        <f>IFERROR(IF(Z314="",0,Z314),"0")+IFERROR(IF(Z315="",0,Z315),"0")+IFERROR(IF(Z316="",0,Z316),"0")</f>
        <v>0.74021999999999999</v>
      </c>
      <c r="AA317" s="544"/>
      <c r="AB317" s="544"/>
      <c r="AC317" s="544"/>
    </row>
    <row r="318" spans="1:68" x14ac:dyDescent="0.2">
      <c r="A318" s="555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69</v>
      </c>
      <c r="X318" s="543">
        <f>IFERROR(SUM(X314:X316),"0")</f>
        <v>300</v>
      </c>
      <c r="Y318" s="543">
        <f>IFERROR(SUM(Y314:Y316),"0")</f>
        <v>304.2</v>
      </c>
      <c r="Z318" s="37"/>
      <c r="AA318" s="544"/>
      <c r="AB318" s="544"/>
      <c r="AC318" s="544"/>
    </row>
    <row r="319" spans="1:68" ht="14.25" customHeight="1" x14ac:dyDescent="0.25">
      <c r="A319" s="559" t="s">
        <v>91</v>
      </c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  <c r="U319" s="555"/>
      <c r="V319" s="555"/>
      <c r="W319" s="555"/>
      <c r="X319" s="555"/>
      <c r="Y319" s="555"/>
      <c r="Z319" s="555"/>
      <c r="AA319" s="537"/>
      <c r="AB319" s="537"/>
      <c r="AC319" s="537"/>
    </row>
    <row r="320" spans="1:68" ht="27" customHeight="1" x14ac:dyDescent="0.25">
      <c r="A320" s="54" t="s">
        <v>501</v>
      </c>
      <c r="B320" s="54" t="s">
        <v>502</v>
      </c>
      <c r="C320" s="31">
        <v>4301030235</v>
      </c>
      <c r="D320" s="548">
        <v>4607091388381</v>
      </c>
      <c r="E320" s="549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504</v>
      </c>
      <c r="B321" s="54" t="s">
        <v>505</v>
      </c>
      <c r="C321" s="31">
        <v>4301030232</v>
      </c>
      <c r="D321" s="548">
        <v>4607091388374</v>
      </c>
      <c r="E321" s="549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506</v>
      </c>
      <c r="B322" s="54" t="s">
        <v>507</v>
      </c>
      <c r="C322" s="31">
        <v>4301032015</v>
      </c>
      <c r="D322" s="548">
        <v>4607091383102</v>
      </c>
      <c r="E322" s="549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509</v>
      </c>
      <c r="B323" s="54" t="s">
        <v>510</v>
      </c>
      <c r="C323" s="31">
        <v>4301030233</v>
      </c>
      <c r="D323" s="548">
        <v>4607091388404</v>
      </c>
      <c r="E323" s="549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54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55"/>
      <c r="M324" s="555"/>
      <c r="N324" s="555"/>
      <c r="O324" s="556"/>
      <c r="P324" s="562" t="s">
        <v>71</v>
      </c>
      <c r="Q324" s="563"/>
      <c r="R324" s="563"/>
      <c r="S324" s="563"/>
      <c r="T324" s="563"/>
      <c r="U324" s="563"/>
      <c r="V324" s="564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x14ac:dyDescent="0.2">
      <c r="A325" s="555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customHeight="1" x14ac:dyDescent="0.25">
      <c r="A326" s="559" t="s">
        <v>511</v>
      </c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5"/>
      <c r="P326" s="555"/>
      <c r="Q326" s="555"/>
      <c r="R326" s="555"/>
      <c r="S326" s="555"/>
      <c r="T326" s="555"/>
      <c r="U326" s="555"/>
      <c r="V326" s="555"/>
      <c r="W326" s="555"/>
      <c r="X326" s="555"/>
      <c r="Y326" s="555"/>
      <c r="Z326" s="555"/>
      <c r="AA326" s="537"/>
      <c r="AB326" s="537"/>
      <c r="AC326" s="537"/>
    </row>
    <row r="327" spans="1:68" ht="16.5" customHeight="1" x14ac:dyDescent="0.25">
      <c r="A327" s="54" t="s">
        <v>512</v>
      </c>
      <c r="B327" s="54" t="s">
        <v>513</v>
      </c>
      <c r="C327" s="31">
        <v>4301180007</v>
      </c>
      <c r="D327" s="548">
        <v>4680115881808</v>
      </c>
      <c r="E327" s="549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/>
      <c r="M327" s="33" t="s">
        <v>514</v>
      </c>
      <c r="N327" s="33"/>
      <c r="O327" s="32">
        <v>730</v>
      </c>
      <c r="P327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516</v>
      </c>
      <c r="B328" s="54" t="s">
        <v>517</v>
      </c>
      <c r="C328" s="31">
        <v>4301180006</v>
      </c>
      <c r="D328" s="548">
        <v>4680115881822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8">
        <v>4680115880016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514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54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56"/>
      <c r="P330" s="562" t="s">
        <v>71</v>
      </c>
      <c r="Q330" s="563"/>
      <c r="R330" s="563"/>
      <c r="S330" s="563"/>
      <c r="T330" s="563"/>
      <c r="U330" s="563"/>
      <c r="V330" s="564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x14ac:dyDescent="0.2">
      <c r="A331" s="555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customHeight="1" x14ac:dyDescent="0.25">
      <c r="A332" s="558" t="s">
        <v>520</v>
      </c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  <c r="U332" s="555"/>
      <c r="V332" s="555"/>
      <c r="W332" s="555"/>
      <c r="X332" s="555"/>
      <c r="Y332" s="555"/>
      <c r="Z332" s="555"/>
      <c r="AA332" s="536"/>
      <c r="AB332" s="536"/>
      <c r="AC332" s="536"/>
    </row>
    <row r="333" spans="1:68" ht="14.25" customHeight="1" x14ac:dyDescent="0.25">
      <c r="A333" s="559" t="s">
        <v>73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7"/>
      <c r="AB333" s="537"/>
      <c r="AC333" s="537"/>
    </row>
    <row r="334" spans="1:68" ht="27" customHeight="1" x14ac:dyDescent="0.25">
      <c r="A334" s="54" t="s">
        <v>521</v>
      </c>
      <c r="B334" s="54" t="s">
        <v>522</v>
      </c>
      <c r="C334" s="31">
        <v>4301051489</v>
      </c>
      <c r="D334" s="548">
        <v>4607091387919</v>
      </c>
      <c r="E334" s="549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524</v>
      </c>
      <c r="B335" s="54" t="s">
        <v>525</v>
      </c>
      <c r="C335" s="31">
        <v>4301051461</v>
      </c>
      <c r="D335" s="548">
        <v>4680115883604</v>
      </c>
      <c r="E335" s="549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527</v>
      </c>
      <c r="B336" s="54" t="s">
        <v>528</v>
      </c>
      <c r="C336" s="31">
        <v>4301051864</v>
      </c>
      <c r="D336" s="548">
        <v>4680115883567</v>
      </c>
      <c r="E336" s="549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54"/>
      <c r="B337" s="555"/>
      <c r="C337" s="555"/>
      <c r="D337" s="555"/>
      <c r="E337" s="555"/>
      <c r="F337" s="555"/>
      <c r="G337" s="555"/>
      <c r="H337" s="555"/>
      <c r="I337" s="555"/>
      <c r="J337" s="555"/>
      <c r="K337" s="555"/>
      <c r="L337" s="555"/>
      <c r="M337" s="555"/>
      <c r="N337" s="555"/>
      <c r="O337" s="556"/>
      <c r="P337" s="562" t="s">
        <v>71</v>
      </c>
      <c r="Q337" s="563"/>
      <c r="R337" s="563"/>
      <c r="S337" s="563"/>
      <c r="T337" s="563"/>
      <c r="U337" s="563"/>
      <c r="V337" s="564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x14ac:dyDescent="0.2">
      <c r="A338" s="555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customHeight="1" x14ac:dyDescent="0.2">
      <c r="A339" s="632" t="s">
        <v>530</v>
      </c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3"/>
      <c r="P339" s="633"/>
      <c r="Q339" s="633"/>
      <c r="R339" s="633"/>
      <c r="S339" s="633"/>
      <c r="T339" s="633"/>
      <c r="U339" s="633"/>
      <c r="V339" s="633"/>
      <c r="W339" s="633"/>
      <c r="X339" s="633"/>
      <c r="Y339" s="633"/>
      <c r="Z339" s="633"/>
      <c r="AA339" s="48"/>
      <c r="AB339" s="48"/>
      <c r="AC339" s="48"/>
    </row>
    <row r="340" spans="1:68" ht="16.5" customHeight="1" x14ac:dyDescent="0.25">
      <c r="A340" s="558" t="s">
        <v>531</v>
      </c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5"/>
      <c r="P340" s="555"/>
      <c r="Q340" s="555"/>
      <c r="R340" s="555"/>
      <c r="S340" s="555"/>
      <c r="T340" s="555"/>
      <c r="U340" s="555"/>
      <c r="V340" s="555"/>
      <c r="W340" s="555"/>
      <c r="X340" s="555"/>
      <c r="Y340" s="555"/>
      <c r="Z340" s="555"/>
      <c r="AA340" s="536"/>
      <c r="AB340" s="536"/>
      <c r="AC340" s="536"/>
    </row>
    <row r="341" spans="1:68" ht="14.25" customHeight="1" x14ac:dyDescent="0.25">
      <c r="A341" s="559" t="s">
        <v>99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8">
        <v>4680115884847</v>
      </c>
      <c r="E342" s="549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41">
        <v>1000</v>
      </c>
      <c r="Y342" s="542">
        <f t="shared" ref="Y342:Y348" si="31">IFERROR(IF(X342="",0,CEILING((X342/$H342),1)*$H342),"")</f>
        <v>1005</v>
      </c>
      <c r="Z342" s="36">
        <f>IFERROR(IF(Y342=0,"",ROUNDUP(Y342/H342,0)*0.02175),"")</f>
        <v>1.4572499999999999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1031.3333333333333</v>
      </c>
      <c r="BN342" s="64">
        <f t="shared" ref="BN342:BN348" si="33">IFERROR(Y342*I342/H342,"0")</f>
        <v>1036.49</v>
      </c>
      <c r="BO342" s="64">
        <f t="shared" ref="BO342:BO348" si="34">IFERROR(1/J342*(X342/H342),"0")</f>
        <v>1.3888888888888888</v>
      </c>
      <c r="BP342" s="64">
        <f t="shared" ref="BP342:BP348" si="35">IFERROR(1/J342*(Y342/H342),"0")</f>
        <v>1.3958333333333333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8">
        <v>4680115884854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0</v>
      </c>
      <c r="Y343" s="542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8">
        <v>4680115884830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270</v>
      </c>
      <c r="Y344" s="542">
        <f t="shared" si="31"/>
        <v>270</v>
      </c>
      <c r="Z344" s="36">
        <f>IFERROR(IF(Y344=0,"",ROUNDUP(Y344/H344,0)*0.02175),"")</f>
        <v>0.39149999999999996</v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278.46000000000004</v>
      </c>
      <c r="BN344" s="64">
        <f t="shared" si="33"/>
        <v>278.46000000000004</v>
      </c>
      <c r="BO344" s="64">
        <f t="shared" si="34"/>
        <v>0.375</v>
      </c>
      <c r="BP344" s="64">
        <f t="shared" si="35"/>
        <v>0.375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8">
        <v>4680115887046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544</v>
      </c>
      <c r="B346" s="54" t="s">
        <v>545</v>
      </c>
      <c r="C346" s="31">
        <v>4301011433</v>
      </c>
      <c r="D346" s="548">
        <v>4680115882638</v>
      </c>
      <c r="E346" s="549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547</v>
      </c>
      <c r="B347" s="54" t="s">
        <v>548</v>
      </c>
      <c r="C347" s="31">
        <v>4301011952</v>
      </c>
      <c r="D347" s="548">
        <v>4680115884922</v>
      </c>
      <c r="E347" s="549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549</v>
      </c>
      <c r="B348" s="54" t="s">
        <v>550</v>
      </c>
      <c r="C348" s="31">
        <v>4301011868</v>
      </c>
      <c r="D348" s="548">
        <v>4680115884861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4"/>
      <c r="B349" s="555"/>
      <c r="C349" s="555"/>
      <c r="D349" s="555"/>
      <c r="E349" s="555"/>
      <c r="F349" s="555"/>
      <c r="G349" s="555"/>
      <c r="H349" s="555"/>
      <c r="I349" s="555"/>
      <c r="J349" s="555"/>
      <c r="K349" s="555"/>
      <c r="L349" s="555"/>
      <c r="M349" s="555"/>
      <c r="N349" s="555"/>
      <c r="O349" s="556"/>
      <c r="P349" s="562" t="s">
        <v>71</v>
      </c>
      <c r="Q349" s="563"/>
      <c r="R349" s="563"/>
      <c r="S349" s="563"/>
      <c r="T349" s="563"/>
      <c r="U349" s="563"/>
      <c r="V349" s="564"/>
      <c r="W349" s="37" t="s">
        <v>72</v>
      </c>
      <c r="X349" s="543">
        <f>IFERROR(X342/H342,"0")+IFERROR(X343/H343,"0")+IFERROR(X344/H344,"0")+IFERROR(X345/H345,"0")+IFERROR(X346/H346,"0")+IFERROR(X347/H347,"0")+IFERROR(X348/H348,"0")</f>
        <v>84.666666666666671</v>
      </c>
      <c r="Y349" s="543">
        <f>IFERROR(Y342/H342,"0")+IFERROR(Y343/H343,"0")+IFERROR(Y344/H344,"0")+IFERROR(Y345/H345,"0")+IFERROR(Y346/H346,"0")+IFERROR(Y347/H347,"0")+IFERROR(Y348/H348,"0")</f>
        <v>85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1.8487499999999999</v>
      </c>
      <c r="AA349" s="544"/>
      <c r="AB349" s="544"/>
      <c r="AC349" s="544"/>
    </row>
    <row r="350" spans="1:68" x14ac:dyDescent="0.2">
      <c r="A350" s="555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69</v>
      </c>
      <c r="X350" s="543">
        <f>IFERROR(SUM(X342:X348),"0")</f>
        <v>1270</v>
      </c>
      <c r="Y350" s="543">
        <f>IFERROR(SUM(Y342:Y348),"0")</f>
        <v>1275</v>
      </c>
      <c r="Z350" s="37"/>
      <c r="AA350" s="544"/>
      <c r="AB350" s="544"/>
      <c r="AC350" s="544"/>
    </row>
    <row r="351" spans="1:68" ht="14.25" customHeight="1" x14ac:dyDescent="0.25">
      <c r="A351" s="559" t="s">
        <v>135</v>
      </c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5"/>
      <c r="P351" s="555"/>
      <c r="Q351" s="555"/>
      <c r="R351" s="555"/>
      <c r="S351" s="555"/>
      <c r="T351" s="555"/>
      <c r="U351" s="555"/>
      <c r="V351" s="555"/>
      <c r="W351" s="555"/>
      <c r="X351" s="555"/>
      <c r="Y351" s="555"/>
      <c r="Z351" s="555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8">
        <v>4607091383980</v>
      </c>
      <c r="E352" s="549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41">
        <v>800</v>
      </c>
      <c r="Y352" s="542">
        <f>IFERROR(IF(X352="",0,CEILING((X352/$H352),1)*$H352),"")</f>
        <v>810</v>
      </c>
      <c r="Z352" s="36">
        <f>IFERROR(IF(Y352=0,"",ROUNDUP(Y352/H352,0)*0.02175),"")</f>
        <v>1.1744999999999999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825.06666666666672</v>
      </c>
      <c r="BN352" s="64">
        <f>IFERROR(Y352*I352/H352,"0")</f>
        <v>835.38</v>
      </c>
      <c r="BO352" s="64">
        <f>IFERROR(1/J352*(X352/H352),"0")</f>
        <v>1.1111111111111112</v>
      </c>
      <c r="BP352" s="64">
        <f>IFERROR(1/J352*(Y352/H352),"0")</f>
        <v>1.125</v>
      </c>
    </row>
    <row r="353" spans="1:68" ht="27" customHeight="1" x14ac:dyDescent="0.25">
      <c r="A353" s="54" t="s">
        <v>554</v>
      </c>
      <c r="B353" s="54" t="s">
        <v>555</v>
      </c>
      <c r="C353" s="31">
        <v>4301020179</v>
      </c>
      <c r="D353" s="548">
        <v>4607091384178</v>
      </c>
      <c r="E353" s="549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4"/>
      <c r="B354" s="555"/>
      <c r="C354" s="555"/>
      <c r="D354" s="555"/>
      <c r="E354" s="555"/>
      <c r="F354" s="555"/>
      <c r="G354" s="555"/>
      <c r="H354" s="555"/>
      <c r="I354" s="555"/>
      <c r="J354" s="555"/>
      <c r="K354" s="555"/>
      <c r="L354" s="555"/>
      <c r="M354" s="555"/>
      <c r="N354" s="555"/>
      <c r="O354" s="556"/>
      <c r="P354" s="562" t="s">
        <v>71</v>
      </c>
      <c r="Q354" s="563"/>
      <c r="R354" s="563"/>
      <c r="S354" s="563"/>
      <c r="T354" s="563"/>
      <c r="U354" s="563"/>
      <c r="V354" s="564"/>
      <c r="W354" s="37" t="s">
        <v>72</v>
      </c>
      <c r="X354" s="543">
        <f>IFERROR(X352/H352,"0")+IFERROR(X353/H353,"0")</f>
        <v>53.333333333333336</v>
      </c>
      <c r="Y354" s="543">
        <f>IFERROR(Y352/H352,"0")+IFERROR(Y353/H353,"0")</f>
        <v>54</v>
      </c>
      <c r="Z354" s="543">
        <f>IFERROR(IF(Z352="",0,Z352),"0")+IFERROR(IF(Z353="",0,Z353),"0")</f>
        <v>1.1744999999999999</v>
      </c>
      <c r="AA354" s="544"/>
      <c r="AB354" s="544"/>
      <c r="AC354" s="544"/>
    </row>
    <row r="355" spans="1:68" x14ac:dyDescent="0.2">
      <c r="A355" s="555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69</v>
      </c>
      <c r="X355" s="543">
        <f>IFERROR(SUM(X352:X353),"0")</f>
        <v>800</v>
      </c>
      <c r="Y355" s="543">
        <f>IFERROR(SUM(Y352:Y353),"0")</f>
        <v>810</v>
      </c>
      <c r="Z355" s="37"/>
      <c r="AA355" s="544"/>
      <c r="AB355" s="544"/>
      <c r="AC355" s="544"/>
    </row>
    <row r="356" spans="1:68" ht="14.25" customHeight="1" x14ac:dyDescent="0.25">
      <c r="A356" s="559" t="s">
        <v>73</v>
      </c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5"/>
      <c r="P356" s="555"/>
      <c r="Q356" s="555"/>
      <c r="R356" s="555"/>
      <c r="S356" s="555"/>
      <c r="T356" s="555"/>
      <c r="U356" s="555"/>
      <c r="V356" s="555"/>
      <c r="W356" s="555"/>
      <c r="X356" s="555"/>
      <c r="Y356" s="555"/>
      <c r="Z356" s="555"/>
      <c r="AA356" s="537"/>
      <c r="AB356" s="537"/>
      <c r="AC356" s="537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8">
        <v>4607091383928</v>
      </c>
      <c r="E357" s="549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8">
        <v>4607091384260</v>
      </c>
      <c r="E358" s="549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54"/>
      <c r="B359" s="555"/>
      <c r="C359" s="555"/>
      <c r="D359" s="555"/>
      <c r="E359" s="555"/>
      <c r="F359" s="555"/>
      <c r="G359" s="555"/>
      <c r="H359" s="555"/>
      <c r="I359" s="555"/>
      <c r="J359" s="555"/>
      <c r="K359" s="555"/>
      <c r="L359" s="555"/>
      <c r="M359" s="555"/>
      <c r="N359" s="555"/>
      <c r="O359" s="556"/>
      <c r="P359" s="562" t="s">
        <v>71</v>
      </c>
      <c r="Q359" s="563"/>
      <c r="R359" s="563"/>
      <c r="S359" s="563"/>
      <c r="T359" s="563"/>
      <c r="U359" s="563"/>
      <c r="V359" s="564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x14ac:dyDescent="0.2">
      <c r="A360" s="555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customHeight="1" x14ac:dyDescent="0.25">
      <c r="A361" s="559" t="s">
        <v>163</v>
      </c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5"/>
      <c r="P361" s="555"/>
      <c r="Q361" s="555"/>
      <c r="R361" s="555"/>
      <c r="S361" s="555"/>
      <c r="T361" s="555"/>
      <c r="U361" s="555"/>
      <c r="V361" s="555"/>
      <c r="W361" s="555"/>
      <c r="X361" s="555"/>
      <c r="Y361" s="555"/>
      <c r="Z361" s="555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8">
        <v>4607091384673</v>
      </c>
      <c r="E362" s="549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41">
        <v>0</v>
      </c>
      <c r="Y362" s="542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54"/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6"/>
      <c r="P363" s="562" t="s">
        <v>71</v>
      </c>
      <c r="Q363" s="563"/>
      <c r="R363" s="563"/>
      <c r="S363" s="563"/>
      <c r="T363" s="563"/>
      <c r="U363" s="563"/>
      <c r="V363" s="564"/>
      <c r="W363" s="37" t="s">
        <v>72</v>
      </c>
      <c r="X363" s="543">
        <f>IFERROR(X362/H362,"0")</f>
        <v>0</v>
      </c>
      <c r="Y363" s="543">
        <f>IFERROR(Y362/H362,"0")</f>
        <v>0</v>
      </c>
      <c r="Z363" s="543">
        <f>IFERROR(IF(Z362="",0,Z362),"0")</f>
        <v>0</v>
      </c>
      <c r="AA363" s="544"/>
      <c r="AB363" s="544"/>
      <c r="AC363" s="544"/>
    </row>
    <row r="364" spans="1:68" x14ac:dyDescent="0.2">
      <c r="A364" s="555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69</v>
      </c>
      <c r="X364" s="543">
        <f>IFERROR(SUM(X362:X362),"0")</f>
        <v>0</v>
      </c>
      <c r="Y364" s="543">
        <f>IFERROR(SUM(Y362:Y362),"0")</f>
        <v>0</v>
      </c>
      <c r="Z364" s="37"/>
      <c r="AA364" s="544"/>
      <c r="AB364" s="544"/>
      <c r="AC364" s="544"/>
    </row>
    <row r="365" spans="1:68" ht="16.5" customHeight="1" x14ac:dyDescent="0.25">
      <c r="A365" s="558" t="s">
        <v>566</v>
      </c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5"/>
      <c r="P365" s="555"/>
      <c r="Q365" s="555"/>
      <c r="R365" s="555"/>
      <c r="S365" s="555"/>
      <c r="T365" s="555"/>
      <c r="U365" s="555"/>
      <c r="V365" s="555"/>
      <c r="W365" s="555"/>
      <c r="X365" s="555"/>
      <c r="Y365" s="555"/>
      <c r="Z365" s="555"/>
      <c r="AA365" s="536"/>
      <c r="AB365" s="536"/>
      <c r="AC365" s="536"/>
    </row>
    <row r="366" spans="1:68" ht="14.25" customHeight="1" x14ac:dyDescent="0.25">
      <c r="A366" s="559" t="s">
        <v>99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7"/>
      <c r="AB366" s="537"/>
      <c r="AC366" s="537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8">
        <v>4680115884885</v>
      </c>
      <c r="E367" s="549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8">
        <v>4680115884908</v>
      </c>
      <c r="E368" s="549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4"/>
      <c r="B369" s="555"/>
      <c r="C369" s="555"/>
      <c r="D369" s="555"/>
      <c r="E369" s="555"/>
      <c r="F369" s="555"/>
      <c r="G369" s="555"/>
      <c r="H369" s="555"/>
      <c r="I369" s="555"/>
      <c r="J369" s="555"/>
      <c r="K369" s="555"/>
      <c r="L369" s="555"/>
      <c r="M369" s="555"/>
      <c r="N369" s="555"/>
      <c r="O369" s="556"/>
      <c r="P369" s="562" t="s">
        <v>71</v>
      </c>
      <c r="Q369" s="563"/>
      <c r="R369" s="563"/>
      <c r="S369" s="563"/>
      <c r="T369" s="563"/>
      <c r="U369" s="563"/>
      <c r="V369" s="564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x14ac:dyDescent="0.2">
      <c r="A370" s="555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customHeight="1" x14ac:dyDescent="0.25">
      <c r="A371" s="559" t="s">
        <v>64</v>
      </c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  <c r="U371" s="555"/>
      <c r="V371" s="555"/>
      <c r="W371" s="555"/>
      <c r="X371" s="555"/>
      <c r="Y371" s="555"/>
      <c r="Z371" s="555"/>
      <c r="AA371" s="537"/>
      <c r="AB371" s="537"/>
      <c r="AC371" s="537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8">
        <v>4607091384802</v>
      </c>
      <c r="E372" s="549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8">
        <v>4607091384802</v>
      </c>
      <c r="E373" s="549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54"/>
      <c r="B374" s="555"/>
      <c r="C374" s="555"/>
      <c r="D374" s="555"/>
      <c r="E374" s="555"/>
      <c r="F374" s="555"/>
      <c r="G374" s="555"/>
      <c r="H374" s="555"/>
      <c r="I374" s="555"/>
      <c r="J374" s="555"/>
      <c r="K374" s="555"/>
      <c r="L374" s="555"/>
      <c r="M374" s="555"/>
      <c r="N374" s="555"/>
      <c r="O374" s="556"/>
      <c r="P374" s="562" t="s">
        <v>71</v>
      </c>
      <c r="Q374" s="563"/>
      <c r="R374" s="563"/>
      <c r="S374" s="563"/>
      <c r="T374" s="563"/>
      <c r="U374" s="563"/>
      <c r="V374" s="564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x14ac:dyDescent="0.2">
      <c r="A375" s="555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customHeight="1" x14ac:dyDescent="0.25">
      <c r="A376" s="559" t="s">
        <v>73</v>
      </c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5"/>
      <c r="P376" s="555"/>
      <c r="Q376" s="555"/>
      <c r="R376" s="555"/>
      <c r="S376" s="555"/>
      <c r="T376" s="555"/>
      <c r="U376" s="555"/>
      <c r="V376" s="555"/>
      <c r="W376" s="555"/>
      <c r="X376" s="555"/>
      <c r="Y376" s="555"/>
      <c r="Z376" s="555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8">
        <v>4607091384246</v>
      </c>
      <c r="E377" s="549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41">
        <v>2500</v>
      </c>
      <c r="Y377" s="542">
        <f>IFERROR(IF(X377="",0,CEILING((X377/$H377),1)*$H377),"")</f>
        <v>2502</v>
      </c>
      <c r="Z377" s="36">
        <f>IFERROR(IF(Y377=0,"",ROUNDUP(Y377/H377,0)*0.01898),"")</f>
        <v>5.27644</v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2637.2222222222222</v>
      </c>
      <c r="BN377" s="64">
        <f>IFERROR(Y377*I377/H377,"0")</f>
        <v>2639.3320000000003</v>
      </c>
      <c r="BO377" s="64">
        <f>IFERROR(1/J377*(X377/H377),"0")</f>
        <v>4.3402777777777777</v>
      </c>
      <c r="BP377" s="64">
        <f>IFERROR(1/J377*(Y377/H377),"0")</f>
        <v>4.34375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8">
        <v>4607091384253</v>
      </c>
      <c r="E378" s="549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5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580</v>
      </c>
      <c r="B379" s="54" t="s">
        <v>582</v>
      </c>
      <c r="C379" s="31">
        <v>4301052069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4" t="s">
        <v>583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IFERROR(X377/H377,"0")+IFERROR(X378/H378,"0")+IFERROR(X379/H379,"0")</f>
        <v>277.77777777777777</v>
      </c>
      <c r="Y380" s="543">
        <f>IFERROR(Y377/H377,"0")+IFERROR(Y378/H378,"0")+IFERROR(Y379/H379,"0")</f>
        <v>278</v>
      </c>
      <c r="Z380" s="543">
        <f>IFERROR(IF(Z377="",0,Z377),"0")+IFERROR(IF(Z378="",0,Z378),"0")+IFERROR(IF(Z379="",0,Z379),"0")</f>
        <v>5.27644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IFERROR(SUM(X377:X379),"0")</f>
        <v>2500</v>
      </c>
      <c r="Y381" s="543">
        <f>IFERROR(SUM(Y377:Y379),"0")</f>
        <v>2502</v>
      </c>
      <c r="Z381" s="37"/>
      <c r="AA381" s="544"/>
      <c r="AB381" s="544"/>
      <c r="AC381" s="544"/>
    </row>
    <row r="382" spans="1:68" ht="27.75" customHeight="1" x14ac:dyDescent="0.2">
      <c r="A382" s="632" t="s">
        <v>585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8" t="s">
        <v>586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9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9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617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9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9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8" t="s">
        <v>632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9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636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8" t="s">
        <v>636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9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1200</v>
      </c>
      <c r="Y424" s="542">
        <f t="shared" si="42"/>
        <v>1203.8400000000001</v>
      </c>
      <c r="Z424" s="36">
        <f t="shared" si="43"/>
        <v>2.72688</v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1279.5454545454545</v>
      </c>
      <c r="BN424" s="64">
        <f t="shared" si="45"/>
        <v>1283.6400000000001</v>
      </c>
      <c r="BO424" s="64">
        <f t="shared" si="46"/>
        <v>2.1853146853146854</v>
      </c>
      <c r="BP424" s="64">
        <f t="shared" si="47"/>
        <v>2.1923076923076925</v>
      </c>
    </row>
    <row r="425" spans="1:68" ht="16.5" customHeight="1" x14ac:dyDescent="0.25">
      <c r="A425" s="54" t="s">
        <v>648</v>
      </c>
      <c r="B425" s="54" t="s">
        <v>649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1400</v>
      </c>
      <c r="Y426" s="542">
        <f t="shared" si="42"/>
        <v>1404.48</v>
      </c>
      <c r="Z426" s="36">
        <f t="shared" si="43"/>
        <v>3.1813600000000002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1492.8030303030303</v>
      </c>
      <c r="BN426" s="64">
        <f t="shared" si="45"/>
        <v>1497.58</v>
      </c>
      <c r="BO426" s="64">
        <f t="shared" si="46"/>
        <v>2.5495337995337994</v>
      </c>
      <c r="BP426" s="64">
        <f t="shared" si="47"/>
        <v>2.5576923076923079</v>
      </c>
    </row>
    <row r="427" spans="1:68" ht="27" customHeight="1" x14ac:dyDescent="0.25">
      <c r="A427" s="54" t="s">
        <v>654</v>
      </c>
      <c r="B427" s="54" t="s">
        <v>655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492.42424242424238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494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5.9082400000000002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2600</v>
      </c>
      <c r="Y433" s="543">
        <f>IFERROR(SUM(Y421:Y431),"0")</f>
        <v>2608.3200000000002</v>
      </c>
      <c r="Z433" s="37"/>
      <c r="AA433" s="544"/>
      <c r="AB433" s="544"/>
      <c r="AC433" s="544"/>
    </row>
    <row r="434" spans="1:68" ht="14.25" customHeight="1" x14ac:dyDescent="0.25">
      <c r="A434" s="559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668</v>
      </c>
      <c r="B436" s="54" t="s">
        <v>669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customHeight="1" x14ac:dyDescent="0.25">
      <c r="A440" s="559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600</v>
      </c>
      <c r="Y443" s="542">
        <f t="shared" si="48"/>
        <v>601.92000000000007</v>
      </c>
      <c r="Z443" s="36">
        <f>IFERROR(IF(Y443=0,"",ROUNDUP(Y443/H443,0)*0.01196),"")</f>
        <v>1.36344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639.77272727272725</v>
      </c>
      <c r="BN443" s="64">
        <f t="shared" si="50"/>
        <v>641.82000000000005</v>
      </c>
      <c r="BO443" s="64">
        <f t="shared" si="51"/>
        <v>1.0926573426573427</v>
      </c>
      <c r="BP443" s="64">
        <f t="shared" si="52"/>
        <v>1.0961538461538463</v>
      </c>
    </row>
    <row r="444" spans="1:68" ht="27" customHeight="1" x14ac:dyDescent="0.25">
      <c r="A444" s="54" t="s">
        <v>681</v>
      </c>
      <c r="B444" s="54" t="s">
        <v>682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113.63636363636363</v>
      </c>
      <c r="Y447" s="543">
        <f>IFERROR(Y441/H441,"0")+IFERROR(Y442/H442,"0")+IFERROR(Y443/H443,"0")+IFERROR(Y444/H444,"0")+IFERROR(Y445/H445,"0")+IFERROR(Y446/H446,"0")</f>
        <v>114.00000000000001</v>
      </c>
      <c r="Z447" s="543">
        <f>IFERROR(IF(Z441="",0,Z441),"0")+IFERROR(IF(Z442="",0,Z442),"0")+IFERROR(IF(Z443="",0,Z443),"0")+IFERROR(IF(Z444="",0,Z444),"0")+IFERROR(IF(Z445="",0,Z445),"0")+IFERROR(IF(Z446="",0,Z446),"0")</f>
        <v>1.36344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600</v>
      </c>
      <c r="Y448" s="543">
        <f>IFERROR(SUM(Y441:Y446),"0")</f>
        <v>601.92000000000007</v>
      </c>
      <c r="Z448" s="37"/>
      <c r="AA448" s="544"/>
      <c r="AB448" s="544"/>
      <c r="AC448" s="544"/>
    </row>
    <row r="449" spans="1:68" ht="14.25" customHeight="1" x14ac:dyDescent="0.25">
      <c r="A449" s="559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687</v>
      </c>
      <c r="B450" s="54" t="s">
        <v>688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690</v>
      </c>
      <c r="B451" s="54" t="s">
        <v>691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693</v>
      </c>
      <c r="B452" s="54" t="s">
        <v>694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696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8" t="s">
        <v>696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9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697</v>
      </c>
      <c r="B458" s="54" t="s">
        <v>698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9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708</v>
      </c>
      <c r="B465" s="54" t="s">
        <v>709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6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9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717</v>
      </c>
      <c r="B471" s="54" t="s">
        <v>718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720</v>
      </c>
      <c r="B472" s="54" t="s">
        <v>721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4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9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9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726</v>
      </c>
      <c r="B480" s="54" t="s">
        <v>727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729</v>
      </c>
      <c r="B481" s="54" t="s">
        <v>730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732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9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733</v>
      </c>
      <c r="B486" s="54" t="s">
        <v>734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2"/>
      <c r="P489" s="627" t="s">
        <v>736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9520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9566.64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2"/>
      <c r="P490" s="627" t="s">
        <v>737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10046.573804713804</v>
      </c>
      <c r="Y490" s="543">
        <f>IFERROR(SUM(BN22:BN486),"0")</f>
        <v>10095.621999999999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2"/>
      <c r="P491" s="627" t="s">
        <v>738</v>
      </c>
      <c r="Q491" s="628"/>
      <c r="R491" s="628"/>
      <c r="S491" s="628"/>
      <c r="T491" s="628"/>
      <c r="U491" s="628"/>
      <c r="V491" s="629"/>
      <c r="W491" s="37" t="s">
        <v>739</v>
      </c>
      <c r="X491" s="38">
        <f>ROUNDUP(SUM(BO22:BO486),0)</f>
        <v>17</v>
      </c>
      <c r="Y491" s="38">
        <f>ROUNDUP(SUM(BP22:BP486),0)</f>
        <v>17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2"/>
      <c r="P492" s="627" t="s">
        <v>740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10471.573804713804</v>
      </c>
      <c r="Y492" s="543">
        <f>GrossWeightTotalR+PalletQtyTotalR*25</f>
        <v>10520.621999999999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2"/>
      <c r="P493" s="627" t="s">
        <v>741</v>
      </c>
      <c r="Q493" s="628"/>
      <c r="R493" s="628"/>
      <c r="S493" s="628"/>
      <c r="T493" s="628"/>
      <c r="U493" s="628"/>
      <c r="V493" s="629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1384.3739963739963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1391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2"/>
      <c r="P494" s="627" t="s">
        <v>742</v>
      </c>
      <c r="Q494" s="628"/>
      <c r="R494" s="628"/>
      <c r="S494" s="628"/>
      <c r="T494" s="628"/>
      <c r="U494" s="628"/>
      <c r="V494" s="629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19.375609999999998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54"/>
      <c r="E496" s="654"/>
      <c r="F496" s="654"/>
      <c r="G496" s="654"/>
      <c r="H496" s="622"/>
      <c r="I496" s="592" t="s">
        <v>250</v>
      </c>
      <c r="J496" s="654"/>
      <c r="K496" s="654"/>
      <c r="L496" s="654"/>
      <c r="M496" s="654"/>
      <c r="N496" s="654"/>
      <c r="O496" s="654"/>
      <c r="P496" s="654"/>
      <c r="Q496" s="654"/>
      <c r="R496" s="622"/>
      <c r="S496" s="592" t="s">
        <v>530</v>
      </c>
      <c r="T496" s="622"/>
      <c r="U496" s="592" t="s">
        <v>585</v>
      </c>
      <c r="V496" s="654"/>
      <c r="W496" s="622"/>
      <c r="X496" s="538" t="s">
        <v>636</v>
      </c>
      <c r="Y496" s="592" t="s">
        <v>696</v>
      </c>
      <c r="Z496" s="622"/>
      <c r="AB496" s="52"/>
      <c r="AC496" s="52"/>
      <c r="AF496" s="539"/>
    </row>
    <row r="497" spans="1:32" ht="14.25" customHeight="1" thickTop="1" x14ac:dyDescent="0.2">
      <c r="A497" s="835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190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734.40000000000009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529.20000000000005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201.6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304.2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2085</v>
      </c>
      <c r="T499" s="46">
        <f>IFERROR(Y367*1,"0")+IFERROR(Y368*1,"0")+IFERROR(Y372*1,"0")+IFERROR(Y373*1,"0")+IFERROR(Y377*1,"0")+IFERROR(Y378*1,"0")+IFERROR(Y379*1,"0")</f>
        <v>2502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3210.2400000000002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KsyrZkJsBYn0v0p57SqHd6TtPtMCBscTCBjX3zRZfC0O5DsnhAHZpxfhkhRYQmfjLqUM7baNZPnqVuFh6TgdEA==" saltValue="8KWS2d12fJEDSrDhzUBqK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T497:T498"/>
    <mergeCell ref="D196:E196"/>
    <mergeCell ref="V497:V498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D373:E373"/>
    <mergeCell ref="D202:E202"/>
    <mergeCell ref="A242:O243"/>
    <mergeCell ref="A179:Z179"/>
    <mergeCell ref="P63:V63"/>
    <mergeCell ref="P174:T174"/>
    <mergeCell ref="A339:Z339"/>
    <mergeCell ref="P410:T410"/>
    <mergeCell ref="P385:T385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P446:T446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D52:E52"/>
    <mergeCell ref="P110:V110"/>
    <mergeCell ref="D27:E27"/>
    <mergeCell ref="P208:T208"/>
    <mergeCell ref="P15:T16"/>
    <mergeCell ref="P450:T450"/>
    <mergeCell ref="D352:E352"/>
    <mergeCell ref="P219:T219"/>
    <mergeCell ref="D91:E91"/>
    <mergeCell ref="D162:E162"/>
    <mergeCell ref="P272:T272"/>
    <mergeCell ref="D327:E327"/>
    <mergeCell ref="P439:V439"/>
    <mergeCell ref="D398:E398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3:X164 X168 X186 X195:X200 X202 X206:X209 X211:X214 X232 X254 X256 X272:X273 X298 X307 X315 X322:X323 X335:X336 X342:X344 X352 X367 X372 X377:X378 X387 X421 X423:X424 X426 X435 X437 X441:X443 X460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ai57I0qyl3NU9xU6W9fvpzPqiYM3RzYA9l/zekjC704yffVkUfJ431EvWCl8S1TE2Fn8CpRYIjNZoV3KJ6O/1w==" saltValue="uz1nQfykUEKLwYQ5X/8OY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2025-11-28T09:12:27Z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