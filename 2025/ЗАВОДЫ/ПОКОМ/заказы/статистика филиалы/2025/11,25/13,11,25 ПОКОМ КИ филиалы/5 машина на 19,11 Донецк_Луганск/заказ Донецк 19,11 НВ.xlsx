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A14EC6C-49E5-448D-8E73-94F46CBBA0F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Z57" i="1" l="1"/>
  <c r="Z31" i="1"/>
  <c r="Y31" i="1"/>
  <c r="Y493" i="1" s="1"/>
  <c r="Y43" i="1"/>
  <c r="Y58" i="1"/>
  <c r="Y64" i="1"/>
  <c r="Y69" i="1"/>
  <c r="BP73" i="1"/>
  <c r="BN73" i="1"/>
  <c r="Z73" i="1"/>
  <c r="Z76" i="1" s="1"/>
  <c r="Z88" i="1"/>
  <c r="BP86" i="1"/>
  <c r="BN86" i="1"/>
  <c r="Z86" i="1"/>
  <c r="BP94" i="1"/>
  <c r="BN94" i="1"/>
  <c r="Z94" i="1"/>
  <c r="Y96" i="1"/>
  <c r="F499" i="1"/>
  <c r="Y104" i="1"/>
  <c r="BP99" i="1"/>
  <c r="BN99" i="1"/>
  <c r="Z99" i="1"/>
  <c r="Z103" i="1" s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Z216" i="1" s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Z281" i="1"/>
  <c r="Z331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Y490" i="1" s="1"/>
  <c r="Z29" i="1"/>
  <c r="BN29" i="1"/>
  <c r="C499" i="1"/>
  <c r="Z41" i="1"/>
  <c r="Z43" i="1" s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Z69" i="1" s="1"/>
  <c r="BN66" i="1"/>
  <c r="BP66" i="1"/>
  <c r="Y491" i="1" s="1"/>
  <c r="BP67" i="1"/>
  <c r="BN67" i="1"/>
  <c r="Z67" i="1"/>
  <c r="Y76" i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Z172" i="1" s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Z41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Y282" i="1"/>
  <c r="BP285" i="1"/>
  <c r="BN285" i="1"/>
  <c r="Z285" i="1"/>
  <c r="Z286" i="1" s="1"/>
  <c r="Y287" i="1"/>
  <c r="Q499" i="1"/>
  <c r="Y295" i="1"/>
  <c r="BP290" i="1"/>
  <c r="BN290" i="1"/>
  <c r="Z290" i="1"/>
  <c r="BP294" i="1"/>
  <c r="BN294" i="1"/>
  <c r="Z294" i="1"/>
  <c r="Y296" i="1"/>
  <c r="Y305" i="1"/>
  <c r="BP298" i="1"/>
  <c r="BN298" i="1"/>
  <c r="Z298" i="1"/>
  <c r="BP302" i="1"/>
  <c r="BN302" i="1"/>
  <c r="Z302" i="1"/>
  <c r="BP310" i="1"/>
  <c r="BN310" i="1"/>
  <c r="Z310" i="1"/>
  <c r="Y319" i="1"/>
  <c r="BP323" i="1"/>
  <c r="BN323" i="1"/>
  <c r="Z323" i="1"/>
  <c r="Z325" i="1" s="1"/>
  <c r="Y332" i="1"/>
  <c r="Z338" i="1"/>
  <c r="BP336" i="1"/>
  <c r="BN336" i="1"/>
  <c r="Z336" i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Z380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Z462" i="1" s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394" i="1"/>
  <c r="Y489" i="1"/>
  <c r="Z204" i="1"/>
  <c r="Z178" i="1"/>
  <c r="Z494" i="1" s="1"/>
  <c r="Z438" i="1"/>
  <c r="Z447" i="1"/>
  <c r="Z432" i="1"/>
  <c r="Z305" i="1"/>
  <c r="Z295" i="1"/>
  <c r="Z312" i="1"/>
  <c r="Z63" i="1"/>
  <c r="X492" i="1"/>
  <c r="Z268" i="1"/>
  <c r="Z260" i="1"/>
  <c r="Z251" i="1"/>
</calcChain>
</file>

<file path=xl/sharedStrings.xml><?xml version="1.0" encoding="utf-8"?>
<sst xmlns="http://schemas.openxmlformats.org/spreadsheetml/2006/main" count="2282" uniqueCount="767">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</sst>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116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135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163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170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 t="s">
        <v>110</v>
      </c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 t="s">
        <v>106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91</v>
      </c>
      <c r="Y93" s="542">
        <f>IFERROR(IF(X93="",0,CEILING((X93/$H93),1)*$H93),"")</f>
        <v>91.800000000000011</v>
      </c>
      <c r="Z93" s="36">
        <f>IFERROR(IF(Y93=0,"",ROUNDUP(Y93/H93,0)*0.00651),"")</f>
        <v>0.22134000000000001</v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99.493333333333325</v>
      </c>
      <c r="BN93" s="64">
        <f>IFERROR(Y93*I93/H93,"0")</f>
        <v>100.36799999999999</v>
      </c>
      <c r="BO93" s="64">
        <f>IFERROR(1/J93*(X93/H93),"0")</f>
        <v>0.1851851851851852</v>
      </c>
      <c r="BP93" s="64">
        <f>IFERROR(1/J93*(Y93/H93),"0")</f>
        <v>0.18681318681318682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33.703703703703702</v>
      </c>
      <c r="Y95" s="543">
        <f>IFERROR(Y91/H91,"0")+IFERROR(Y92/H92,"0")+IFERROR(Y93/H93,"0")+IFERROR(Y94/H94,"0")</f>
        <v>34</v>
      </c>
      <c r="Z95" s="543">
        <f>IFERROR(IF(Z91="",0,Z91),"0")+IFERROR(IF(Z92="",0,Z92),"0")+IFERROR(IF(Z93="",0,Z93),"0")+IFERROR(IF(Z94="",0,Z94),"0")</f>
        <v>0.22134000000000001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91</v>
      </c>
      <c r="Y96" s="543">
        <f>IFERROR(SUM(Y91:Y94),"0")</f>
        <v>91.800000000000011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117</v>
      </c>
      <c r="Y99" s="542">
        <f>IFERROR(IF(X99="",0,CEILING((X99/$H99),1)*$H99),"")</f>
        <v>118.80000000000001</v>
      </c>
      <c r="Z99" s="36">
        <f>IFERROR(IF(Y99=0,"",ROUNDUP(Y99/H99,0)*0.01898),"")</f>
        <v>0.20877999999999999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121.44166666666668</v>
      </c>
      <c r="BN99" s="64">
        <f>IFERROR(Y99*I99/H99,"0")</f>
        <v>123.31000000000002</v>
      </c>
      <c r="BO99" s="64">
        <f>IFERROR(1/J99*(X99/H99),"0")</f>
        <v>0.16927083333333331</v>
      </c>
      <c r="BP99" s="64">
        <f>IFERROR(1/J99*(Y99/H99),"0")</f>
        <v>0.171875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10.833333333333332</v>
      </c>
      <c r="Y103" s="543">
        <f>IFERROR(Y99/H99,"0")+IFERROR(Y100/H100,"0")+IFERROR(Y101/H101,"0")+IFERROR(Y102/H102,"0")</f>
        <v>11</v>
      </c>
      <c r="Z103" s="543">
        <f>IFERROR(IF(Z99="",0,Z99),"0")+IFERROR(IF(Z100="",0,Z100),"0")+IFERROR(IF(Z101="",0,Z101),"0")+IFERROR(IF(Z102="",0,Z102),"0")</f>
        <v>0.20877999999999999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117</v>
      </c>
      <c r="Y104" s="543">
        <f>IFERROR(SUM(Y99:Y102),"0")</f>
        <v>118.80000000000001</v>
      </c>
      <c r="Z104" s="37"/>
      <c r="AA104" s="544"/>
      <c r="AB104" s="544"/>
      <c r="AC104" s="544"/>
    </row>
    <row r="105" spans="1:68" ht="14.25" customHeight="1" x14ac:dyDescent="0.25">
      <c r="A105" s="558" t="s">
        <v>135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159</v>
      </c>
      <c r="Y112" s="542">
        <f>IFERROR(IF(X112="",0,CEILING((X112/$H112),1)*$H112),"")</f>
        <v>162</v>
      </c>
      <c r="Z112" s="36">
        <f>IFERROR(IF(Y112=0,"",ROUNDUP(Y112/H112,0)*0.01898),"")</f>
        <v>0.37959999999999999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168.57925925925926</v>
      </c>
      <c r="BN112" s="64">
        <f>IFERROR(Y112*I112/H112,"0")</f>
        <v>171.76</v>
      </c>
      <c r="BO112" s="64">
        <f>IFERROR(1/J112*(X112/H112),"0")</f>
        <v>0.30671296296296297</v>
      </c>
      <c r="BP112" s="64">
        <f>IFERROR(1/J112*(Y112/H112),"0")</f>
        <v>0.3125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262</v>
      </c>
      <c r="Y114" s="542">
        <f>IFERROR(IF(X114="",0,CEILING((X114/$H114),1)*$H114),"")</f>
        <v>264.60000000000002</v>
      </c>
      <c r="Z114" s="36">
        <f>IFERROR(IF(Y114=0,"",ROUNDUP(Y114/H114,0)*0.00651),"")</f>
        <v>0.63797999999999999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286.45333333333332</v>
      </c>
      <c r="BN114" s="64">
        <f>IFERROR(Y114*I114/H114,"0")</f>
        <v>289.29600000000005</v>
      </c>
      <c r="BO114" s="64">
        <f>IFERROR(1/J114*(X114/H114),"0")</f>
        <v>0.53317053317053309</v>
      </c>
      <c r="BP114" s="64">
        <f>IFERROR(1/J114*(Y114/H114),"0")</f>
        <v>0.53846153846153855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116.66666666666666</v>
      </c>
      <c r="Y116" s="543">
        <f>IFERROR(Y112/H112,"0")+IFERROR(Y113/H113,"0")+IFERROR(Y114/H114,"0")+IFERROR(Y115/H115,"0")</f>
        <v>118</v>
      </c>
      <c r="Z116" s="543">
        <f>IFERROR(IF(Z112="",0,Z112),"0")+IFERROR(IF(Z113="",0,Z113),"0")+IFERROR(IF(Z114="",0,Z114),"0")+IFERROR(IF(Z115="",0,Z115),"0")</f>
        <v>1.0175799999999999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421</v>
      </c>
      <c r="Y117" s="543">
        <f>IFERROR(SUM(Y112:Y115),"0")</f>
        <v>426.6</v>
      </c>
      <c r="Z117" s="37"/>
      <c r="AA117" s="544"/>
      <c r="AB117" s="544"/>
      <c r="AC117" s="544"/>
    </row>
    <row r="118" spans="1:68" ht="14.25" customHeight="1" x14ac:dyDescent="0.25">
      <c r="A118" s="558" t="s">
        <v>163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135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110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0</v>
      </c>
      <c r="Y173" s="543">
        <f>IFERROR(SUM(Y162:Y171),"0")</f>
        <v>0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0</v>
      </c>
      <c r="Y177" s="542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0</v>
      </c>
      <c r="Y178" s="543">
        <f>IFERROR(Y175/H175,"0")+IFERROR(Y176/H176,"0")+IFERROR(Y177/H177,"0")</f>
        <v>0</v>
      </c>
      <c r="Z178" s="543">
        <f>IFERROR(IF(Z175="",0,Z175),"0")+IFERROR(IF(Z176="",0,Z176),"0")+IFERROR(IF(Z177="",0,Z177),"0")</f>
        <v>0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0</v>
      </c>
      <c r="Y179" s="543">
        <f>IFERROR(SUM(Y175:Y177),"0")</f>
        <v>0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 t="s">
        <v>186</v>
      </c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106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135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110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0</v>
      </c>
      <c r="Y203" s="542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106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0</v>
      </c>
      <c r="Y204" s="543">
        <f>IFERROR(Y196/H196,"0")+IFERROR(Y197/H197,"0")+IFERROR(Y198/H198,"0")+IFERROR(Y199/H199,"0")+IFERROR(Y200/H200,"0")+IFERROR(Y201/H201,"0")+IFERROR(Y202/H202,"0")+IFERROR(Y203/H203,"0")</f>
        <v>0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0</v>
      </c>
      <c r="Y205" s="543">
        <f>IFERROR(SUM(Y196:Y203),"0")</f>
        <v>0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 t="s">
        <v>106</v>
      </c>
      <c r="AK207" s="68">
        <v>64.8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64.8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 t="s">
        <v>103</v>
      </c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106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186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132</v>
      </c>
      <c r="Y212" s="542">
        <f t="shared" si="15"/>
        <v>132</v>
      </c>
      <c r="Z212" s="36">
        <f t="shared" si="20"/>
        <v>0.35805000000000003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145.86000000000001</v>
      </c>
      <c r="BN212" s="64">
        <f t="shared" si="17"/>
        <v>145.86000000000001</v>
      </c>
      <c r="BO212" s="64">
        <f t="shared" si="18"/>
        <v>0.30219780219780223</v>
      </c>
      <c r="BP212" s="64">
        <f t="shared" si="19"/>
        <v>0.30219780219780223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131</v>
      </c>
      <c r="Y213" s="542">
        <f t="shared" si="15"/>
        <v>132</v>
      </c>
      <c r="Z213" s="36">
        <f t="shared" si="20"/>
        <v>0.35805000000000003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144.75500000000002</v>
      </c>
      <c r="BN213" s="64">
        <f t="shared" si="17"/>
        <v>145.86000000000001</v>
      </c>
      <c r="BO213" s="64">
        <f t="shared" si="18"/>
        <v>0.29990842490842495</v>
      </c>
      <c r="BP213" s="64">
        <f t="shared" si="19"/>
        <v>0.30219780219780223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186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186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0</v>
      </c>
      <c r="Y215" s="542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109.58333333333334</v>
      </c>
      <c r="Y216" s="543">
        <f>IFERROR(Y207/H207,"0")+IFERROR(Y208/H208,"0")+IFERROR(Y209/H209,"0")+IFERROR(Y210/H210,"0")+IFERROR(Y211/H211,"0")+IFERROR(Y212/H212,"0")+IFERROR(Y213/H213,"0")+IFERROR(Y214/H214,"0")+IFERROR(Y215/H215,"0")</f>
        <v>110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0.71610000000000007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263</v>
      </c>
      <c r="Y217" s="543">
        <f>IFERROR(SUM(Y207:Y215),"0")</f>
        <v>264</v>
      </c>
      <c r="Z217" s="37"/>
      <c r="AA217" s="544"/>
      <c r="AB217" s="544"/>
      <c r="AC217" s="544"/>
    </row>
    <row r="218" spans="1:68" ht="14.25" customHeight="1" x14ac:dyDescent="0.25">
      <c r="A218" s="558" t="s">
        <v>163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 t="s">
        <v>110</v>
      </c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106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135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0</v>
      </c>
      <c r="Y251" s="543">
        <f>IFERROR(Y246/H246,"0")+IFERROR(Y247/H247,"0")+IFERROR(Y248/H248,"0")+IFERROR(Y249/H249,"0")+IFERROR(Y250/H250,"0")</f>
        <v>0</v>
      </c>
      <c r="Z251" s="543">
        <f>IFERROR(IF(Z246="",0,Z246),"0")+IFERROR(IF(Z247="",0,Z247),"0")+IFERROR(IF(Z248="",0,Z248),"0")+IFERROR(IF(Z249="",0,Z249),"0")+IFERROR(IF(Z250="",0,Z250),"0")</f>
        <v>0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0</v>
      </c>
      <c r="Y252" s="543">
        <f>IFERROR(SUM(Y246:Y250),"0")</f>
        <v>0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 t="s">
        <v>103</v>
      </c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106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 t="s">
        <v>103</v>
      </c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106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186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186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50</v>
      </c>
      <c r="Y274" s="542">
        <f>IFERROR(IF(X274="",0,CEILING((X274/$H274),1)*$H274),"")</f>
        <v>50.4</v>
      </c>
      <c r="Z274" s="36">
        <f>IFERROR(IF(Y274=0,"",ROUNDUP(Y274/H274,0)*0.00651),"")</f>
        <v>0.13671</v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53.75</v>
      </c>
      <c r="BN274" s="64">
        <f>IFERROR(Y274*I274/H274,"0")</f>
        <v>54.180000000000007</v>
      </c>
      <c r="BO274" s="64">
        <f>IFERROR(1/J274*(X274/H274),"0")</f>
        <v>0.11446886446886449</v>
      </c>
      <c r="BP274" s="64">
        <f>IFERROR(1/J274*(Y274/H274),"0")</f>
        <v>0.11538461538461539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20.833333333333336</v>
      </c>
      <c r="Y275" s="543">
        <f>IFERROR(Y272/H272,"0")+IFERROR(Y273/H273,"0")+IFERROR(Y274/H274,"0")</f>
        <v>21</v>
      </c>
      <c r="Z275" s="543">
        <f>IFERROR(IF(Z272="",0,Z272),"0")+IFERROR(IF(Z273="",0,Z273),"0")+IFERROR(IF(Z274="",0,Z274),"0")</f>
        <v>0.13671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50</v>
      </c>
      <c r="Y276" s="543">
        <f>IFERROR(SUM(Y272:Y274),"0")</f>
        <v>50.4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 t="s">
        <v>110</v>
      </c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106</v>
      </c>
      <c r="AK299" s="68">
        <v>50.4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26"/>
        <v>0</v>
      </c>
      <c r="Z304" s="36" t="str">
        <f>IFERROR(IF(Y304=0,"",ROUNDUP(Y304/H304,0)*0.00651),"")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0</v>
      </c>
      <c r="BN304" s="64">
        <f t="shared" si="28"/>
        <v>0</v>
      </c>
      <c r="BO304" s="64">
        <f t="shared" si="29"/>
        <v>0</v>
      </c>
      <c r="BP304" s="64">
        <f t="shared" si="30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 t="s">
        <v>103</v>
      </c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 t="s">
        <v>106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163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186</v>
      </c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510</v>
      </c>
      <c r="AG324" s="64"/>
      <c r="AJ324" s="68" t="s">
        <v>106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186</v>
      </c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186</v>
      </c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106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608</v>
      </c>
      <c r="Y343" s="542">
        <f t="shared" ref="Y343:Y349" si="31">IFERROR(IF(X343="",0,CEILING((X343/$H343),1)*$H343),"")</f>
        <v>615</v>
      </c>
      <c r="Z343" s="36">
        <f>IFERROR(IF(Y343=0,"",ROUNDUP(Y343/H343,0)*0.02175),"")</f>
        <v>0.89174999999999993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627.05066666666664</v>
      </c>
      <c r="BN343" s="64">
        <f t="shared" ref="BN343:BN349" si="33">IFERROR(Y343*I343/H343,"0")</f>
        <v>634.2700000000001</v>
      </c>
      <c r="BO343" s="64">
        <f t="shared" ref="BO343:BO349" si="34">IFERROR(1/J343*(X343/H343),"0")</f>
        <v>0.84444444444444433</v>
      </c>
      <c r="BP343" s="64">
        <f t="shared" ref="BP343:BP349" si="35">IFERROR(1/J343*(Y343/H343),"0")</f>
        <v>0.85416666666666663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0</v>
      </c>
      <c r="Y344" s="542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362</v>
      </c>
      <c r="Y345" s="542">
        <f t="shared" si="31"/>
        <v>375</v>
      </c>
      <c r="Z345" s="36">
        <f>IFERROR(IF(Y345=0,"",ROUNDUP(Y345/H345,0)*0.02175),"")</f>
        <v>0.54374999999999996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373.34266666666667</v>
      </c>
      <c r="BN345" s="64">
        <f t="shared" si="33"/>
        <v>386.75</v>
      </c>
      <c r="BO345" s="64">
        <f t="shared" si="34"/>
        <v>0.50277777777777777</v>
      </c>
      <c r="BP345" s="64">
        <f t="shared" si="35"/>
        <v>0.52083333333333326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200</v>
      </c>
      <c r="Y346" s="542">
        <f t="shared" si="31"/>
        <v>210</v>
      </c>
      <c r="Z346" s="36">
        <f>IFERROR(IF(Y346=0,"",ROUNDUP(Y346/H346,0)*0.02175),"")</f>
        <v>0.30449999999999999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206.26666666666668</v>
      </c>
      <c r="BN346" s="64">
        <f t="shared" si="33"/>
        <v>216.58</v>
      </c>
      <c r="BO346" s="64">
        <f t="shared" si="34"/>
        <v>0.27777777777777779</v>
      </c>
      <c r="BP346" s="64">
        <f t="shared" si="35"/>
        <v>0.29166666666666663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77.999999999999986</v>
      </c>
      <c r="Y350" s="543">
        <f>IFERROR(Y343/H343,"0")+IFERROR(Y344/H344,"0")+IFERROR(Y345/H345,"0")+IFERROR(Y346/H346,"0")+IFERROR(Y347/H347,"0")+IFERROR(Y348/H348,"0")+IFERROR(Y349/H349,"0")</f>
        <v>80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1.7399999999999998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1170</v>
      </c>
      <c r="Y351" s="543">
        <f>IFERROR(SUM(Y343:Y349),"0")</f>
        <v>1200</v>
      </c>
      <c r="Z351" s="37"/>
      <c r="AA351" s="544"/>
      <c r="AB351" s="544"/>
      <c r="AC351" s="544"/>
    </row>
    <row r="352" spans="1:68" ht="14.25" customHeight="1" x14ac:dyDescent="0.25">
      <c r="A352" s="558" t="s">
        <v>135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494</v>
      </c>
      <c r="Y353" s="542">
        <f>IFERROR(IF(X353="",0,CEILING((X353/$H353),1)*$H353),"")</f>
        <v>495</v>
      </c>
      <c r="Z353" s="36">
        <f>IFERROR(IF(Y353=0,"",ROUNDUP(Y353/H353,0)*0.02175),"")</f>
        <v>0.71775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509.4786666666667</v>
      </c>
      <c r="BN353" s="64">
        <f>IFERROR(Y353*I353/H353,"0")</f>
        <v>510.51000000000005</v>
      </c>
      <c r="BO353" s="64">
        <f>IFERROR(1/J353*(X353/H353),"0")</f>
        <v>0.68611111111111101</v>
      </c>
      <c r="BP353" s="64">
        <f>IFERROR(1/J353*(Y353/H353),"0")</f>
        <v>0.6875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32.93333333333333</v>
      </c>
      <c r="Y355" s="543">
        <f>IFERROR(Y353/H353,"0")+IFERROR(Y354/H354,"0")</f>
        <v>33</v>
      </c>
      <c r="Z355" s="543">
        <f>IFERROR(IF(Z353="",0,Z353),"0")+IFERROR(IF(Z354="",0,Z354),"0")</f>
        <v>0.71775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494</v>
      </c>
      <c r="Y356" s="543">
        <f>IFERROR(SUM(Y353:Y354),"0")</f>
        <v>495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163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 t="s">
        <v>103</v>
      </c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 t="s">
        <v>106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 t="s">
        <v>110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 t="s">
        <v>106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186</v>
      </c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 t="s">
        <v>106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594</v>
      </c>
      <c r="AG385" s="64"/>
      <c r="AJ385" s="68"/>
      <c r="AK385" s="68">
        <v>0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135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/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628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 t="s">
        <v>103</v>
      </c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646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761</v>
      </c>
      <c r="Y426" s="542">
        <f t="shared" si="42"/>
        <v>765.6</v>
      </c>
      <c r="Z426" s="36">
        <f t="shared" si="43"/>
        <v>1.7342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811.44507575757575</v>
      </c>
      <c r="BN426" s="64">
        <f t="shared" si="45"/>
        <v>816.35</v>
      </c>
      <c r="BO426" s="64">
        <f t="shared" si="46"/>
        <v>1.3858537296037297</v>
      </c>
      <c r="BP426" s="64">
        <f t="shared" si="47"/>
        <v>1.3942307692307694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144.12878787878788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145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1.7342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761</v>
      </c>
      <c r="Y433" s="543">
        <f>IFERROR(SUM(Y421:Y431),"0")</f>
        <v>765.6</v>
      </c>
      <c r="Z433" s="37"/>
      <c r="AA433" s="544"/>
      <c r="AB433" s="544"/>
      <c r="AC433" s="544"/>
    </row>
    <row r="434" spans="1:68" ht="14.25" customHeight="1" x14ac:dyDescent="0.25">
      <c r="A434" s="558" t="s">
        <v>135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435</v>
      </c>
      <c r="Y435" s="542">
        <f>IFERROR(IF(X435="",0,CEILING((X435/$H435),1)*$H435),"")</f>
        <v>438.24</v>
      </c>
      <c r="Z435" s="36">
        <f>IFERROR(IF(Y435=0,"",ROUNDUP(Y435/H435,0)*0.01196),"")</f>
        <v>0.99268000000000001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463.8352272727272</v>
      </c>
      <c r="BN435" s="64">
        <f>IFERROR(Y435*I435/H435,"0")</f>
        <v>467.29</v>
      </c>
      <c r="BO435" s="64">
        <f>IFERROR(1/J435*(X435/H435),"0")</f>
        <v>0.79217657342657333</v>
      </c>
      <c r="BP435" s="64">
        <f>IFERROR(1/J435*(Y435/H435),"0")</f>
        <v>0.79807692307692313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82.386363636363626</v>
      </c>
      <c r="Y438" s="543">
        <f>IFERROR(Y435/H435,"0")+IFERROR(Y436/H436,"0")+IFERROR(Y437/H437,"0")</f>
        <v>83</v>
      </c>
      <c r="Z438" s="543">
        <f>IFERROR(IF(Z435="",0,Z435),"0")+IFERROR(IF(Z436="",0,Z436),"0")+IFERROR(IF(Z437="",0,Z437),"0")</f>
        <v>0.99268000000000001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435</v>
      </c>
      <c r="Y439" s="543">
        <f>IFERROR(SUM(Y435:Y437),"0")</f>
        <v>438.24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134</v>
      </c>
      <c r="Y441" s="542">
        <f t="shared" ref="Y441:Y446" si="48">IFERROR(IF(X441="",0,CEILING((X441/$H441),1)*$H441),"")</f>
        <v>137.28</v>
      </c>
      <c r="Z441" s="36">
        <f>IFERROR(IF(Y441=0,"",ROUNDUP(Y441/H441,0)*0.01196),"")</f>
        <v>0.31096000000000001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142.88257575757575</v>
      </c>
      <c r="BN441" s="64">
        <f t="shared" ref="BN441:BN446" si="50">IFERROR(Y441*I441/H441,"0")</f>
        <v>146.38</v>
      </c>
      <c r="BO441" s="64">
        <f t="shared" ref="BO441:BO446" si="51">IFERROR(1/J441*(X441/H441),"0")</f>
        <v>0.24402680652680653</v>
      </c>
      <c r="BP441" s="64">
        <f t="shared" ref="BP441:BP446" si="52">IFERROR(1/J441*(Y441/H441),"0")</f>
        <v>0.25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146</v>
      </c>
      <c r="Y442" s="542">
        <f t="shared" si="48"/>
        <v>147.84</v>
      </c>
      <c r="Z442" s="36">
        <f>IFERROR(IF(Y442=0,"",ROUNDUP(Y442/H442,0)*0.01196),"")</f>
        <v>0.33488000000000001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155.67803030303031</v>
      </c>
      <c r="BN442" s="64">
        <f t="shared" si="50"/>
        <v>157.63999999999999</v>
      </c>
      <c r="BO442" s="64">
        <f t="shared" si="51"/>
        <v>0.26587995337995335</v>
      </c>
      <c r="BP442" s="64">
        <f t="shared" si="52"/>
        <v>0.26923076923076927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314</v>
      </c>
      <c r="Y443" s="542">
        <f t="shared" si="48"/>
        <v>316.8</v>
      </c>
      <c r="Z443" s="36">
        <f>IFERROR(IF(Y443=0,"",ROUNDUP(Y443/H443,0)*0.01196),"")</f>
        <v>0.71760000000000002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334.81439393939394</v>
      </c>
      <c r="BN443" s="64">
        <f t="shared" si="50"/>
        <v>337.8</v>
      </c>
      <c r="BO443" s="64">
        <f t="shared" si="51"/>
        <v>0.57182400932400934</v>
      </c>
      <c r="BP443" s="64">
        <f t="shared" si="52"/>
        <v>0.57692307692307698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112.5</v>
      </c>
      <c r="Y447" s="543">
        <f>IFERROR(Y441/H441,"0")+IFERROR(Y442/H442,"0")+IFERROR(Y443/H443,"0")+IFERROR(Y444/H444,"0")+IFERROR(Y445/H445,"0")+IFERROR(Y446/H446,"0")</f>
        <v>114</v>
      </c>
      <c r="Z447" s="543">
        <f>IFERROR(IF(Z441="",0,Z441),"0")+IFERROR(IF(Z442="",0,Z442),"0")+IFERROR(IF(Z443="",0,Z443),"0")+IFERROR(IF(Z444="",0,Z444),"0")+IFERROR(IF(Z445="",0,Z445),"0")+IFERROR(IF(Z446="",0,Z446),"0")</f>
        <v>1.36344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594</v>
      </c>
      <c r="Y448" s="543">
        <f>IFERROR(SUM(Y441:Y446),"0")</f>
        <v>601.92000000000007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135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163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135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4396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4452.3599999999997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4645.1265622895626</v>
      </c>
      <c r="Y490" s="543">
        <f>IFERROR(SUM(BN22:BN486),"0")</f>
        <v>4704.2040000000006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8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4845.1265622895626</v>
      </c>
      <c r="Y492" s="543">
        <f>GrossWeightTotalR+PalletQtyTotalR*25</f>
        <v>4904.2040000000006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741.56885521885522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749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8.8485800000000001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116</v>
      </c>
      <c r="E497" s="593" t="s">
        <v>170</v>
      </c>
      <c r="F497" s="593" t="s">
        <v>190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91.800000000000011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545.40000000000009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264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50.4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1695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1805.76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XgZqHEJ2MABgr0j5xXV1HE3GTJrbNbVAVAZ/MHFc7Jyd3qZn4AFf1oq9GWcdalQKUkhWgRyyNfkykayQA1c/qQ==" saltValue="PDVKBN9I2JRCwWHWzm/Vd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5:X166 X169 X187 X196:X201 X203 X207:X210 X212:X215 X233 X255 X257 X273:X274 X299 X308 X316 X323:X324 X336:X337 X343:X345 X353 X368 X373 X378:X379 X387 X421:X423 X426 X435 X437 X441:X443 X460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zvPMnSCa7+7cs6I5fpJmSo2+voyy1kRApVMm/FJwLrygu0bw1eoZQmTSPns4MS+tTArxtJqVjaLLvhNyf3a5ig==" saltValue="h1k8yPaE1NqAt89V0d1YS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2025-11-17T09:16:39Z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