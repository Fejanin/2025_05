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3746BA0F-0153-4A78-BAB8-EECB122318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57" i="1" l="1"/>
  <c r="Z31" i="1"/>
  <c r="Y31" i="1"/>
  <c r="Y493" i="1" s="1"/>
  <c r="Y43" i="1"/>
  <c r="Y58" i="1"/>
  <c r="Y64" i="1"/>
  <c r="Y69" i="1"/>
  <c r="BP73" i="1"/>
  <c r="BN73" i="1"/>
  <c r="Z73" i="1"/>
  <c r="Z76" i="1" s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Z103" i="1" s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Z216" i="1" s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Z281" i="1"/>
  <c r="Z331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Y490" i="1" s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Y491" i="1" s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Z172" i="1" s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Y489" i="1"/>
  <c r="Z204" i="1"/>
  <c r="Z178" i="1"/>
  <c r="Z394" i="1"/>
  <c r="Z438" i="1"/>
  <c r="Z447" i="1"/>
  <c r="Z432" i="1"/>
  <c r="Z305" i="1"/>
  <c r="Z295" i="1"/>
  <c r="Z312" i="1"/>
  <c r="Z63" i="1"/>
  <c r="Z494" i="1" s="1"/>
  <c r="X492" i="1"/>
  <c r="Z268" i="1"/>
  <c r="Z260" i="1"/>
  <c r="Z251" i="1"/>
</calcChain>
</file>

<file path=xl/sharedStrings.xml><?xml version="1.0" encoding="utf-8"?>
<sst xmlns="http://schemas.openxmlformats.org/spreadsheetml/2006/main" count="2258" uniqueCount="767">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</sst>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300</v>
      </c>
      <c r="Y40" s="542">
        <f>IFERROR(IF(X40="",0,CEILING((X40/$H40),1)*$H40),"")</f>
        <v>302.40000000000003</v>
      </c>
      <c r="Z40" s="36">
        <f>IFERROR(IF(Y40=0,"",ROUNDUP(Y40/H40,0)*0.01898),"")</f>
        <v>0.53144000000000002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311.38888888888891</v>
      </c>
      <c r="BN40" s="64">
        <f>IFERROR(Y40*I40/H40,"0")</f>
        <v>313.88</v>
      </c>
      <c r="BO40" s="64">
        <f>IFERROR(1/J40*(X40/H40),"0")</f>
        <v>0.43402777777777773</v>
      </c>
      <c r="BP40" s="64">
        <f>IFERROR(1/J40*(Y40/H40),"0")</f>
        <v>0.4375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111</v>
      </c>
      <c r="Y42" s="542">
        <f>IFERROR(IF(X42="",0,CEILING((X42/$H42),1)*$H42),"")</f>
        <v>111</v>
      </c>
      <c r="Z42" s="36">
        <f>IFERROR(IF(Y42=0,"",ROUNDUP(Y42/H42,0)*0.00902),"")</f>
        <v>0.27060000000000001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116.7</v>
      </c>
      <c r="BN42" s="64">
        <f>IFERROR(Y42*I42/H42,"0")</f>
        <v>116.7</v>
      </c>
      <c r="BO42" s="64">
        <f>IFERROR(1/J42*(X42/H42),"0")</f>
        <v>0.22727272727272729</v>
      </c>
      <c r="BP42" s="64">
        <f>IFERROR(1/J42*(Y42/H42),"0")</f>
        <v>0.22727272727272729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57.777777777777771</v>
      </c>
      <c r="Y43" s="543">
        <f>IFERROR(Y40/H40,"0")+IFERROR(Y41/H41,"0")+IFERROR(Y42/H42,"0")</f>
        <v>58</v>
      </c>
      <c r="Z43" s="543">
        <f>IFERROR(IF(Z40="",0,Z40),"0")+IFERROR(IF(Z41="",0,Z41),"0")+IFERROR(IF(Z42="",0,Z42),"0")</f>
        <v>0.80204000000000009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411</v>
      </c>
      <c r="Y44" s="543">
        <f>IFERROR(SUM(Y40:Y42),"0")</f>
        <v>413.40000000000003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225</v>
      </c>
      <c r="Y114" s="542">
        <f>IFERROR(IF(X114="",0,CEILING((X114/$H114),1)*$H114),"")</f>
        <v>226.8</v>
      </c>
      <c r="Z114" s="36">
        <f>IFERROR(IF(Y114=0,"",ROUNDUP(Y114/H114,0)*0.00651),"")</f>
        <v>0.54683999999999999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246</v>
      </c>
      <c r="BN114" s="64">
        <f>IFERROR(Y114*I114/H114,"0")</f>
        <v>247.96799999999999</v>
      </c>
      <c r="BO114" s="64">
        <f>IFERROR(1/J114*(X114/H114),"0")</f>
        <v>0.45787545787545786</v>
      </c>
      <c r="BP114" s="64">
        <f>IFERROR(1/J114*(Y114/H114),"0")</f>
        <v>0.46153846153846156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83.333333333333329</v>
      </c>
      <c r="Y116" s="543">
        <f>IFERROR(Y112/H112,"0")+IFERROR(Y113/H113,"0")+IFERROR(Y114/H114,"0")+IFERROR(Y115/H115,"0")</f>
        <v>84</v>
      </c>
      <c r="Z116" s="543">
        <f>IFERROR(IF(Z112="",0,Z112),"0")+IFERROR(IF(Z113="",0,Z113),"0")+IFERROR(IF(Z114="",0,Z114),"0")+IFERROR(IF(Z115="",0,Z115),"0")</f>
        <v>0.54683999999999999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225</v>
      </c>
      <c r="Y117" s="543">
        <f>IFERROR(SUM(Y112:Y115),"0")</f>
        <v>226.8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280</v>
      </c>
      <c r="Y169" s="542">
        <f t="shared" si="5"/>
        <v>281.40000000000003</v>
      </c>
      <c r="Z169" s="36">
        <f>IFERROR(IF(Y169=0,"",ROUNDUP(Y169/H169,0)*0.00502),"")</f>
        <v>0.67268000000000006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293.33333333333331</v>
      </c>
      <c r="BN169" s="64">
        <f t="shared" si="7"/>
        <v>294.80000000000007</v>
      </c>
      <c r="BO169" s="64">
        <f t="shared" si="8"/>
        <v>0.56980056980056981</v>
      </c>
      <c r="BP169" s="64">
        <f t="shared" si="9"/>
        <v>0.57264957264957272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133.33333333333331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134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0.67268000000000006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280</v>
      </c>
      <c r="Y173" s="543">
        <f>IFERROR(SUM(Y162:Y171),"0")</f>
        <v>281.40000000000003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440</v>
      </c>
      <c r="Y212" s="542">
        <f t="shared" si="15"/>
        <v>441.59999999999997</v>
      </c>
      <c r="Z212" s="36">
        <f t="shared" si="20"/>
        <v>1.19784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486.20000000000005</v>
      </c>
      <c r="BN212" s="64">
        <f t="shared" si="17"/>
        <v>487.96800000000002</v>
      </c>
      <c r="BO212" s="64">
        <f t="shared" si="18"/>
        <v>1.0073260073260075</v>
      </c>
      <c r="BP212" s="64">
        <f t="shared" si="19"/>
        <v>1.0109890109890112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183.33333333333334</v>
      </c>
      <c r="Y216" s="543">
        <f>IFERROR(Y207/H207,"0")+IFERROR(Y208/H208,"0")+IFERROR(Y209/H209,"0")+IFERROR(Y210/H210,"0")+IFERROR(Y211/H211,"0")+IFERROR(Y212/H212,"0")+IFERROR(Y213/H213,"0")+IFERROR(Y214/H214,"0")+IFERROR(Y215/H215,"0")</f>
        <v>184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1.19784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440</v>
      </c>
      <c r="Y217" s="543">
        <f>IFERROR(SUM(Y207:Y215),"0")</f>
        <v>441.59999999999997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300</v>
      </c>
      <c r="Y225" s="542">
        <f t="shared" ref="Y225:Y234" si="21">IFERROR(IF(X225="",0,CEILING((X225/$H225),1)*$H225),"")</f>
        <v>301.59999999999997</v>
      </c>
      <c r="Z225" s="36">
        <f>IFERROR(IF(Y225=0,"",ROUNDUP(Y225/H225,0)*0.01898),"")</f>
        <v>0.49348000000000003</v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310.60344827586209</v>
      </c>
      <c r="BN225" s="64">
        <f t="shared" ref="BN225:BN234" si="23">IFERROR(Y225*I225/H225,"0")</f>
        <v>312.25999999999993</v>
      </c>
      <c r="BO225" s="64">
        <f t="shared" ref="BO225:BO234" si="24">IFERROR(1/J225*(X225/H225),"0")</f>
        <v>0.40409482758620691</v>
      </c>
      <c r="BP225" s="64">
        <f t="shared" ref="BP225:BP234" si="25">IFERROR(1/J225*(Y225/H225),"0")</f>
        <v>0.40624999999999994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25.862068965517242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25.999999999999996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0.49348000000000003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300</v>
      </c>
      <c r="Y236" s="543">
        <f>IFERROR(SUM(Y225:Y234),"0")</f>
        <v>301.59999999999997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800</v>
      </c>
      <c r="Y343" s="542">
        <f t="shared" ref="Y343:Y349" si="31">IFERROR(IF(X343="",0,CEILING((X343/$H343),1)*$H343),"")</f>
        <v>810</v>
      </c>
      <c r="Z343" s="36">
        <f>IFERROR(IF(Y343=0,"",ROUNDUP(Y343/H343,0)*0.02175),"")</f>
        <v>1.1744999999999999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825.06666666666672</v>
      </c>
      <c r="BN343" s="64">
        <f t="shared" ref="BN343:BN349" si="33">IFERROR(Y343*I343/H343,"0")</f>
        <v>835.38</v>
      </c>
      <c r="BO343" s="64">
        <f t="shared" ref="BO343:BO349" si="34">IFERROR(1/J343*(X343/H343),"0")</f>
        <v>1.1111111111111112</v>
      </c>
      <c r="BP343" s="64">
        <f t="shared" ref="BP343:BP349" si="35">IFERROR(1/J343*(Y343/H343),"0")</f>
        <v>1.125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300</v>
      </c>
      <c r="Y344" s="542">
        <f t="shared" si="31"/>
        <v>300</v>
      </c>
      <c r="Z344" s="36">
        <f>IFERROR(IF(Y344=0,"",ROUNDUP(Y344/H344,0)*0.02175),"")</f>
        <v>0.43499999999999994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309.39999999999998</v>
      </c>
      <c r="BN344" s="64">
        <f t="shared" si="33"/>
        <v>309.39999999999998</v>
      </c>
      <c r="BO344" s="64">
        <f t="shared" si="34"/>
        <v>0.41666666666666663</v>
      </c>
      <c r="BP344" s="64">
        <f t="shared" si="35"/>
        <v>0.41666666666666663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500</v>
      </c>
      <c r="Y345" s="542">
        <f t="shared" si="31"/>
        <v>510</v>
      </c>
      <c r="Z345" s="36">
        <f>IFERROR(IF(Y345=0,"",ROUNDUP(Y345/H345,0)*0.02175),"")</f>
        <v>0.73949999999999994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515.66666666666663</v>
      </c>
      <c r="BN345" s="64">
        <f t="shared" si="33"/>
        <v>525.98</v>
      </c>
      <c r="BO345" s="64">
        <f t="shared" si="34"/>
        <v>0.69444444444444442</v>
      </c>
      <c r="BP345" s="64">
        <f t="shared" si="35"/>
        <v>0.70833333333333326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1000</v>
      </c>
      <c r="Y346" s="542">
        <f t="shared" si="31"/>
        <v>1005</v>
      </c>
      <c r="Z346" s="36">
        <f>IFERROR(IF(Y346=0,"",ROUNDUP(Y346/H346,0)*0.02175),"")</f>
        <v>1.4572499999999999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1031.3333333333333</v>
      </c>
      <c r="BN346" s="64">
        <f t="shared" si="33"/>
        <v>1036.49</v>
      </c>
      <c r="BO346" s="64">
        <f t="shared" si="34"/>
        <v>1.3888888888888888</v>
      </c>
      <c r="BP346" s="64">
        <f t="shared" si="35"/>
        <v>1.3958333333333333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173.33333333333337</v>
      </c>
      <c r="Y350" s="543">
        <f>IFERROR(Y343/H343,"0")+IFERROR(Y344/H344,"0")+IFERROR(Y345/H345,"0")+IFERROR(Y346/H346,"0")+IFERROR(Y347/H347,"0")+IFERROR(Y348/H348,"0")+IFERROR(Y349/H349,"0")</f>
        <v>175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3.8062499999999995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2600</v>
      </c>
      <c r="Y351" s="543">
        <f>IFERROR(SUM(Y343:Y349),"0")</f>
        <v>2625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1000</v>
      </c>
      <c r="Y353" s="542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1031.3333333333333</v>
      </c>
      <c r="BN353" s="64">
        <f>IFERROR(Y353*I353/H353,"0")</f>
        <v>1036.49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66.666666666666671</v>
      </c>
      <c r="Y355" s="543">
        <f>IFERROR(Y353/H353,"0")+IFERROR(Y354/H354,"0")</f>
        <v>67</v>
      </c>
      <c r="Z355" s="543">
        <f>IFERROR(IF(Z353="",0,Z353),"0")+IFERROR(IF(Z354="",0,Z354),"0")</f>
        <v>1.4572499999999999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1000</v>
      </c>
      <c r="Y356" s="543">
        <f>IFERROR(SUM(Y353:Y354),"0")</f>
        <v>1005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1000</v>
      </c>
      <c r="Y378" s="542">
        <f>IFERROR(IF(X378="",0,CEILING((X378/$H378),1)*$H378),"")</f>
        <v>1008</v>
      </c>
      <c r="Z378" s="36">
        <f>IFERROR(IF(Y378=0,"",ROUNDUP(Y378/H378,0)*0.01898),"")</f>
        <v>2.1257600000000001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1054.8888888888889</v>
      </c>
      <c r="BN378" s="64">
        <f>IFERROR(Y378*I378/H378,"0")</f>
        <v>1063.328</v>
      </c>
      <c r="BO378" s="64">
        <f>IFERROR(1/J378*(X378/H378),"0")</f>
        <v>1.7361111111111112</v>
      </c>
      <c r="BP378" s="64">
        <f>IFERROR(1/J378*(Y378/H378),"0")</f>
        <v>1.75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111.11111111111111</v>
      </c>
      <c r="Y380" s="543">
        <f>IFERROR(Y378/H378,"0")+IFERROR(Y379/H379,"0")</f>
        <v>112</v>
      </c>
      <c r="Z380" s="543">
        <f>IFERROR(IF(Z378="",0,Z378),"0")+IFERROR(IF(Z379="",0,Z379),"0")</f>
        <v>2.1257600000000001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1000</v>
      </c>
      <c r="Y381" s="543">
        <f>IFERROR(SUM(Y378:Y379),"0")</f>
        <v>1008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400</v>
      </c>
      <c r="Y426" s="542">
        <f t="shared" si="42"/>
        <v>401.28000000000003</v>
      </c>
      <c r="Z426" s="36">
        <f t="shared" si="43"/>
        <v>0.90895999999999999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426.5151515151515</v>
      </c>
      <c r="BN426" s="64">
        <f t="shared" si="45"/>
        <v>427.88</v>
      </c>
      <c r="BO426" s="64">
        <f t="shared" si="46"/>
        <v>0.72843822843822836</v>
      </c>
      <c r="BP426" s="64">
        <f t="shared" si="47"/>
        <v>0.73076923076923084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75.757575757575751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0.90895999999999999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400</v>
      </c>
      <c r="Y433" s="543">
        <f>IFERROR(SUM(Y421:Y431),"0")</f>
        <v>401.28000000000003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145</v>
      </c>
      <c r="Y443" s="542">
        <f t="shared" si="48"/>
        <v>147.84</v>
      </c>
      <c r="Z443" s="36">
        <f>IFERROR(IF(Y443=0,"",ROUNDUP(Y443/H443,0)*0.01196),"")</f>
        <v>0.33488000000000001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154.61174242424241</v>
      </c>
      <c r="BN443" s="64">
        <f t="shared" si="50"/>
        <v>157.63999999999999</v>
      </c>
      <c r="BO443" s="64">
        <f t="shared" si="51"/>
        <v>0.26405885780885779</v>
      </c>
      <c r="BP443" s="64">
        <f t="shared" si="52"/>
        <v>0.26923076923076927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27.462121212121211</v>
      </c>
      <c r="Y447" s="543">
        <f>IFERROR(Y441/H441,"0")+IFERROR(Y442/H442,"0")+IFERROR(Y443/H443,"0")+IFERROR(Y444/H444,"0")+IFERROR(Y445/H445,"0")+IFERROR(Y446/H446,"0")</f>
        <v>28</v>
      </c>
      <c r="Z447" s="543">
        <f>IFERROR(IF(Z441="",0,Z441),"0")+IFERROR(IF(Z442="",0,Z442),"0")+IFERROR(IF(Z443="",0,Z443),"0")+IFERROR(IF(Z444="",0,Z444),"0")+IFERROR(IF(Z445="",0,Z445),"0")+IFERROR(IF(Z446="",0,Z446),"0")</f>
        <v>0.33488000000000001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145</v>
      </c>
      <c r="Y448" s="543">
        <f>IFERROR(SUM(Y441:Y446),"0")</f>
        <v>147.84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6801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6851.92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7113.0414533263665</v>
      </c>
      <c r="Y490" s="543">
        <f>IFERROR(SUM(BN22:BN486),"0")</f>
        <v>7166.1640000000007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11</v>
      </c>
      <c r="Y491" s="38">
        <f>ROUNDUP(SUM(BP22:BP486),0)</f>
        <v>11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7388.0414533263665</v>
      </c>
      <c r="Y492" s="543">
        <f>GrossWeightTotalR+PalletQtyTotalR*25</f>
        <v>7441.1640000000007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937.97065482410301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944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12.345979999999999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413.40000000000003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226.8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281.40000000000003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441.59999999999997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301.59999999999997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3630</v>
      </c>
      <c r="T499" s="46">
        <f>IFERROR(Y368*1,"0")+IFERROR(Y369*1,"0")+IFERROR(Y373*1,"0")+IFERROR(Y374*1,"0")+IFERROR(Y378*1,"0")+IFERROR(Y379*1,"0")</f>
        <v>1008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549.12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