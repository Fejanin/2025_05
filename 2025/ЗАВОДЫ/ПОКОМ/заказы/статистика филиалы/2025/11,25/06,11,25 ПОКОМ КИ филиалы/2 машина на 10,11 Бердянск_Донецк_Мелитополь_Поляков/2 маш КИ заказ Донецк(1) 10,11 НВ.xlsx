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0E3B1F4F-91E0-4D65-AC19-47297587319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U498" i="1" s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Y354" i="1" s="1"/>
  <c r="P352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BP343" i="1" s="1"/>
  <c r="P343" i="1"/>
  <c r="BP342" i="1"/>
  <c r="BO342" i="1"/>
  <c r="BN342" i="1"/>
  <c r="BM342" i="1"/>
  <c r="Z342" i="1"/>
  <c r="Y342" i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Y325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Y312" i="1" s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BP297" i="1" s="1"/>
  <c r="P297" i="1"/>
  <c r="BP296" i="1"/>
  <c r="BO296" i="1"/>
  <c r="BN296" i="1"/>
  <c r="BM296" i="1"/>
  <c r="Z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BP289" i="1" s="1"/>
  <c r="P289" i="1"/>
  <c r="BP288" i="1"/>
  <c r="BO288" i="1"/>
  <c r="BN288" i="1"/>
  <c r="BM288" i="1"/>
  <c r="Z288" i="1"/>
  <c r="Y288" i="1"/>
  <c r="Q498" i="1" s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498" i="1" s="1"/>
  <c r="P278" i="1"/>
  <c r="X275" i="1"/>
  <c r="X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O498" i="1" s="1"/>
  <c r="P271" i="1"/>
  <c r="X268" i="1"/>
  <c r="X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BP246" i="1" s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K498" i="1" s="1"/>
  <c r="P224" i="1"/>
  <c r="X221" i="1"/>
  <c r="X220" i="1"/>
  <c r="BO219" i="1"/>
  <c r="BM219" i="1"/>
  <c r="Y219" i="1"/>
  <c r="BP219" i="1" s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Y188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Y177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1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50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H498" i="1" s="1"/>
  <c r="P140" i="1"/>
  <c r="X137" i="1"/>
  <c r="X136" i="1"/>
  <c r="BO135" i="1"/>
  <c r="BM135" i="1"/>
  <c r="Y135" i="1"/>
  <c r="Y137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Y127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498" i="1" s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Y43" i="1"/>
  <c r="X43" i="1"/>
  <c r="BP42" i="1"/>
  <c r="BO42" i="1"/>
  <c r="BN42" i="1"/>
  <c r="BM42" i="1"/>
  <c r="Z42" i="1"/>
  <c r="Y42" i="1"/>
  <c r="P42" i="1"/>
  <c r="BO41" i="1"/>
  <c r="BM41" i="1"/>
  <c r="Y41" i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X488" i="1"/>
  <c r="Z26" i="1"/>
  <c r="BN26" i="1"/>
  <c r="BP26" i="1"/>
  <c r="Z28" i="1"/>
  <c r="BN28" i="1"/>
  <c r="BP29" i="1"/>
  <c r="BN29" i="1"/>
  <c r="Y31" i="1"/>
  <c r="BP41" i="1"/>
  <c r="BN41" i="1"/>
  <c r="Z41" i="1"/>
  <c r="Z43" i="1" s="1"/>
  <c r="H9" i="1"/>
  <c r="Y24" i="1"/>
  <c r="Y58" i="1"/>
  <c r="BP52" i="1"/>
  <c r="BN52" i="1"/>
  <c r="Z52" i="1"/>
  <c r="Z57" i="1" s="1"/>
  <c r="Z171" i="1"/>
  <c r="C498" i="1"/>
  <c r="Y44" i="1"/>
  <c r="D498" i="1"/>
  <c r="Z54" i="1"/>
  <c r="BN54" i="1"/>
  <c r="Z56" i="1"/>
  <c r="BN56" i="1"/>
  <c r="Y57" i="1"/>
  <c r="Z60" i="1"/>
  <c r="BN60" i="1"/>
  <c r="BP60" i="1"/>
  <c r="Z62" i="1"/>
  <c r="BN62" i="1"/>
  <c r="Y63" i="1"/>
  <c r="Z66" i="1"/>
  <c r="BN66" i="1"/>
  <c r="BP66" i="1"/>
  <c r="Z68" i="1"/>
  <c r="BN68" i="1"/>
  <c r="Y69" i="1"/>
  <c r="Z72" i="1"/>
  <c r="BN72" i="1"/>
  <c r="BP72" i="1"/>
  <c r="Z74" i="1"/>
  <c r="BN74" i="1"/>
  <c r="Y77" i="1"/>
  <c r="Z80" i="1"/>
  <c r="Z81" i="1" s="1"/>
  <c r="BN80" i="1"/>
  <c r="BP80" i="1"/>
  <c r="Z85" i="1"/>
  <c r="Z88" i="1" s="1"/>
  <c r="BN85" i="1"/>
  <c r="BP85" i="1"/>
  <c r="Z87" i="1"/>
  <c r="BN87" i="1"/>
  <c r="Y88" i="1"/>
  <c r="Z91" i="1"/>
  <c r="Z95" i="1" s="1"/>
  <c r="BN91" i="1"/>
  <c r="BP91" i="1"/>
  <c r="Z93" i="1"/>
  <c r="BN93" i="1"/>
  <c r="Y96" i="1"/>
  <c r="F498" i="1"/>
  <c r="Z100" i="1"/>
  <c r="BN100" i="1"/>
  <c r="BP100" i="1"/>
  <c r="Z102" i="1"/>
  <c r="Z103" i="1" s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498" i="1"/>
  <c r="Z125" i="1"/>
  <c r="Z126" i="1" s="1"/>
  <c r="BN125" i="1"/>
  <c r="BP125" i="1"/>
  <c r="Y126" i="1"/>
  <c r="Z129" i="1"/>
  <c r="Z131" i="1" s="1"/>
  <c r="BN129" i="1"/>
  <c r="BP129" i="1"/>
  <c r="Y132" i="1"/>
  <c r="Z135" i="1"/>
  <c r="Z136" i="1" s="1"/>
  <c r="BN135" i="1"/>
  <c r="BP135" i="1"/>
  <c r="Z140" i="1"/>
  <c r="BN140" i="1"/>
  <c r="BP140" i="1"/>
  <c r="Z142" i="1"/>
  <c r="BN142" i="1"/>
  <c r="Y143" i="1"/>
  <c r="Z146" i="1"/>
  <c r="BN146" i="1"/>
  <c r="BP146" i="1"/>
  <c r="Z148" i="1"/>
  <c r="BN148" i="1"/>
  <c r="Y149" i="1"/>
  <c r="I498" i="1"/>
  <c r="Y160" i="1"/>
  <c r="Z163" i="1"/>
  <c r="BN163" i="1"/>
  <c r="Z165" i="1"/>
  <c r="BN165" i="1"/>
  <c r="Z167" i="1"/>
  <c r="BN167" i="1"/>
  <c r="Z169" i="1"/>
  <c r="BN169" i="1"/>
  <c r="Y172" i="1"/>
  <c r="Z175" i="1"/>
  <c r="Z177" i="1" s="1"/>
  <c r="BN175" i="1"/>
  <c r="BP175" i="1"/>
  <c r="J498" i="1"/>
  <c r="Z186" i="1"/>
  <c r="Z187" i="1" s="1"/>
  <c r="BN186" i="1"/>
  <c r="BP186" i="1"/>
  <c r="Y187" i="1"/>
  <c r="Z190" i="1"/>
  <c r="Z192" i="1" s="1"/>
  <c r="BN190" i="1"/>
  <c r="BP190" i="1"/>
  <c r="Y193" i="1"/>
  <c r="Y204" i="1"/>
  <c r="Z196" i="1"/>
  <c r="BN196" i="1"/>
  <c r="Z198" i="1"/>
  <c r="BN198" i="1"/>
  <c r="BP199" i="1"/>
  <c r="BN199" i="1"/>
  <c r="Z199" i="1"/>
  <c r="Y203" i="1"/>
  <c r="BP207" i="1"/>
  <c r="BN207" i="1"/>
  <c r="Z207" i="1"/>
  <c r="Z215" i="1" s="1"/>
  <c r="Y215" i="1"/>
  <c r="BP211" i="1"/>
  <c r="BN211" i="1"/>
  <c r="Z211" i="1"/>
  <c r="Z369" i="1"/>
  <c r="Y89" i="1"/>
  <c r="Y144" i="1"/>
  <c r="Z203" i="1"/>
  <c r="BP201" i="1"/>
  <c r="BN201" i="1"/>
  <c r="Z201" i="1"/>
  <c r="BP209" i="1"/>
  <c r="BN209" i="1"/>
  <c r="Z209" i="1"/>
  <c r="BP213" i="1"/>
  <c r="BN213" i="1"/>
  <c r="Z213" i="1"/>
  <c r="Z220" i="1"/>
  <c r="Z349" i="1"/>
  <c r="Y221" i="1"/>
  <c r="Y234" i="1"/>
  <c r="Y250" i="1"/>
  <c r="Y259" i="1"/>
  <c r="Y268" i="1"/>
  <c r="Y275" i="1"/>
  <c r="Y280" i="1"/>
  <c r="Y293" i="1"/>
  <c r="Y303" i="1"/>
  <c r="Y311" i="1"/>
  <c r="Y317" i="1"/>
  <c r="Y324" i="1"/>
  <c r="Y330" i="1"/>
  <c r="Y337" i="1"/>
  <c r="Y350" i="1"/>
  <c r="BP368" i="1"/>
  <c r="BN368" i="1"/>
  <c r="Z368" i="1"/>
  <c r="Y370" i="1"/>
  <c r="Y375" i="1"/>
  <c r="BP372" i="1"/>
  <c r="BN372" i="1"/>
  <c r="Z372" i="1"/>
  <c r="Z374" i="1" s="1"/>
  <c r="BP386" i="1"/>
  <c r="BN386" i="1"/>
  <c r="Z386" i="1"/>
  <c r="BP390" i="1"/>
  <c r="BN390" i="1"/>
  <c r="Z390" i="1"/>
  <c r="BP407" i="1"/>
  <c r="BN407" i="1"/>
  <c r="Z407" i="1"/>
  <c r="Z410" i="1" s="1"/>
  <c r="BP422" i="1"/>
  <c r="BN422" i="1"/>
  <c r="Z422" i="1"/>
  <c r="BP458" i="1"/>
  <c r="BN458" i="1"/>
  <c r="Z458" i="1"/>
  <c r="Z461" i="1" s="1"/>
  <c r="Y462" i="1"/>
  <c r="BP466" i="1"/>
  <c r="BN466" i="1"/>
  <c r="Z466" i="1"/>
  <c r="Y468" i="1"/>
  <c r="Y473" i="1"/>
  <c r="BP470" i="1"/>
  <c r="BN470" i="1"/>
  <c r="Z470" i="1"/>
  <c r="Z472" i="1" s="1"/>
  <c r="Y472" i="1"/>
  <c r="L498" i="1"/>
  <c r="Z219" i="1"/>
  <c r="BN219" i="1"/>
  <c r="Z224" i="1"/>
  <c r="BN224" i="1"/>
  <c r="BP224" i="1"/>
  <c r="Z226" i="1"/>
  <c r="BN226" i="1"/>
  <c r="Z228" i="1"/>
  <c r="BN228" i="1"/>
  <c r="Z230" i="1"/>
  <c r="BN230" i="1"/>
  <c r="Z232" i="1"/>
  <c r="BN232" i="1"/>
  <c r="Y235" i="1"/>
  <c r="Z246" i="1"/>
  <c r="Z250" i="1" s="1"/>
  <c r="BN246" i="1"/>
  <c r="Z248" i="1"/>
  <c r="BN248" i="1"/>
  <c r="Z255" i="1"/>
  <c r="Z259" i="1" s="1"/>
  <c r="BN255" i="1"/>
  <c r="Z257" i="1"/>
  <c r="BN257" i="1"/>
  <c r="M498" i="1"/>
  <c r="Z264" i="1"/>
  <c r="Z267" i="1" s="1"/>
  <c r="BN264" i="1"/>
  <c r="Z266" i="1"/>
  <c r="BN266" i="1"/>
  <c r="Y267" i="1"/>
  <c r="Z271" i="1"/>
  <c r="BN271" i="1"/>
  <c r="BP271" i="1"/>
  <c r="Z273" i="1"/>
  <c r="BN273" i="1"/>
  <c r="Y274" i="1"/>
  <c r="Z278" i="1"/>
  <c r="Z280" i="1" s="1"/>
  <c r="BN278" i="1"/>
  <c r="BP278" i="1"/>
  <c r="Y281" i="1"/>
  <c r="Z289" i="1"/>
  <c r="Z293" i="1" s="1"/>
  <c r="BN289" i="1"/>
  <c r="Z291" i="1"/>
  <c r="BN291" i="1"/>
  <c r="Y294" i="1"/>
  <c r="Z297" i="1"/>
  <c r="Z303" i="1" s="1"/>
  <c r="BN297" i="1"/>
  <c r="Z299" i="1"/>
  <c r="BN299" i="1"/>
  <c r="Z301" i="1"/>
  <c r="BN301" i="1"/>
  <c r="Z307" i="1"/>
  <c r="Z311" i="1" s="1"/>
  <c r="BN307" i="1"/>
  <c r="Z309" i="1"/>
  <c r="BN309" i="1"/>
  <c r="Z315" i="1"/>
  <c r="Z317" i="1" s="1"/>
  <c r="BN315" i="1"/>
  <c r="Z322" i="1"/>
  <c r="Z324" i="1" s="1"/>
  <c r="BN322" i="1"/>
  <c r="Z328" i="1"/>
  <c r="Z330" i="1" s="1"/>
  <c r="BN328" i="1"/>
  <c r="R498" i="1"/>
  <c r="Z335" i="1"/>
  <c r="Z337" i="1" s="1"/>
  <c r="BN335" i="1"/>
  <c r="Y338" i="1"/>
  <c r="S498" i="1"/>
  <c r="Z343" i="1"/>
  <c r="BN343" i="1"/>
  <c r="Z346" i="1"/>
  <c r="BN346" i="1"/>
  <c r="Z348" i="1"/>
  <c r="BN348" i="1"/>
  <c r="Y349" i="1"/>
  <c r="Z352" i="1"/>
  <c r="Z354" i="1" s="1"/>
  <c r="BN352" i="1"/>
  <c r="BP352" i="1"/>
  <c r="Y355" i="1"/>
  <c r="Y360" i="1"/>
  <c r="BP357" i="1"/>
  <c r="BN357" i="1"/>
  <c r="Z357" i="1"/>
  <c r="Z359" i="1" s="1"/>
  <c r="Y374" i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Y411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Y498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BP450" i="1"/>
  <c r="BN450" i="1"/>
  <c r="Z450" i="1"/>
  <c r="Z452" i="1" s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446" i="1" l="1"/>
  <c r="Z431" i="1"/>
  <c r="Z393" i="1"/>
  <c r="Y488" i="1"/>
  <c r="Y490" i="1"/>
  <c r="Z274" i="1"/>
  <c r="Z234" i="1"/>
  <c r="Z149" i="1"/>
  <c r="Z143" i="1"/>
  <c r="Z116" i="1"/>
  <c r="Z109" i="1"/>
  <c r="Z76" i="1"/>
  <c r="Z69" i="1"/>
  <c r="Z63" i="1"/>
  <c r="Z31" i="1"/>
  <c r="Z493" i="1" s="1"/>
  <c r="Y492" i="1"/>
  <c r="Y489" i="1"/>
  <c r="Y491" i="1" s="1"/>
</calcChain>
</file>

<file path=xl/sharedStrings.xml><?xml version="1.0" encoding="utf-8"?>
<sst xmlns="http://schemas.openxmlformats.org/spreadsheetml/2006/main" count="2271" uniqueCount="762">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</sst>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0.41666666666666669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0</v>
      </c>
      <c r="Y43" s="541">
        <f>IFERROR(Y40/H40,"0")+IFERROR(Y41/H41,"0")+IFERROR(Y42/H42,"0")</f>
        <v>0</v>
      </c>
      <c r="Z43" s="541">
        <f>IFERROR(IF(Z40="",0,Z40),"0")+IFERROR(IF(Z41="",0,Z41),"0")+IFERROR(IF(Z42="",0,Z42),"0")</f>
        <v>0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0</v>
      </c>
      <c r="Y44" s="541">
        <f>IFERROR(SUM(Y40:Y42),"0")</f>
        <v>0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0</v>
      </c>
      <c r="Y95" s="541">
        <f>IFERROR(Y91/H91,"0")+IFERROR(Y92/H92,"0")+IFERROR(Y93/H93,"0")+IFERROR(Y94/H94,"0")</f>
        <v>0</v>
      </c>
      <c r="Z95" s="541">
        <f>IFERROR(IF(Z91="",0,Z91),"0")+IFERROR(IF(Z92="",0,Z92),"0")+IFERROR(IF(Z93="",0,Z93),"0")+IFERROR(IF(Z94="",0,Z94),"0")</f>
        <v>0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0</v>
      </c>
      <c r="Y96" s="541">
        <f>IFERROR(SUM(Y91:Y94),"0")</f>
        <v>0</v>
      </c>
      <c r="Z96" s="37"/>
      <c r="AA96" s="542"/>
      <c r="AB96" s="542"/>
      <c r="AC96" s="542"/>
    </row>
    <row r="97" spans="1:68" ht="16.5" customHeight="1" x14ac:dyDescent="0.25">
      <c r="A97" s="552" t="s">
        <v>190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450</v>
      </c>
      <c r="Y114" s="540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492</v>
      </c>
      <c r="BN114" s="64">
        <f>IFERROR(Y114*I114/H114,"0")</f>
        <v>492.98399999999998</v>
      </c>
      <c r="BO114" s="64">
        <f>IFERROR(1/J114*(X114/H114),"0")</f>
        <v>0.91575091575091572</v>
      </c>
      <c r="BP114" s="64">
        <f>IFERROR(1/J114*(Y114/H114),"0")</f>
        <v>0.91758241758241765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166.66666666666666</v>
      </c>
      <c r="Y116" s="541">
        <f>IFERROR(Y112/H112,"0")+IFERROR(Y113/H113,"0")+IFERROR(Y114/H114,"0")+IFERROR(Y115/H115,"0")</f>
        <v>167</v>
      </c>
      <c r="Z116" s="541">
        <f>IFERROR(IF(Z112="",0,Z112),"0")+IFERROR(IF(Z113="",0,Z113),"0")+IFERROR(IF(Z114="",0,Z114),"0")+IFERROR(IF(Z115="",0,Z115),"0")</f>
        <v>1.08717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450</v>
      </c>
      <c r="Y117" s="541">
        <f>IFERROR(SUM(Y112:Y115),"0")</f>
        <v>450.90000000000003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255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256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135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/>
      <c r="AK162" s="68">
        <v>0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0</v>
      </c>
      <c r="Y172" s="541">
        <f>IFERROR(SUM(Y162:Y170),"0")</f>
        <v>0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0</v>
      </c>
      <c r="Y215" s="541">
        <f>IFERROR(Y206/H206,"0")+IFERROR(Y207/H207,"0")+IFERROR(Y208/H208,"0")+IFERROR(Y209/H209,"0")+IFERROR(Y210/H210,"0")+IFERROR(Y211/H211,"0")+IFERROR(Y212/H212,"0")+IFERROR(Y213/H213,"0")+IFERROR(Y214/H214,"0")</f>
        <v>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0</v>
      </c>
      <c r="Y216" s="541">
        <f>IFERROR(SUM(Y206:Y214),"0")</f>
        <v>0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52" t="s">
        <v>357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383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387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399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415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426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435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445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449</v>
      </c>
      <c r="B289" s="54" t="s">
        <v>450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460</v>
      </c>
      <c r="B296" s="54" t="s">
        <v>461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463</v>
      </c>
      <c r="B297" s="54" t="s">
        <v>464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0</v>
      </c>
      <c r="Y303" s="541">
        <f>IFERROR(Y296/H296,"0")+IFERROR(Y297/H297,"0")+IFERROR(Y298/H298,"0")+IFERROR(Y299/H299,"0")+IFERROR(Y300/H300,"0")+IFERROR(Y301/H301,"0")+IFERROR(Y302/H302,"0")</f>
        <v>0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0</v>
      </c>
      <c r="Y304" s="541">
        <f>IFERROR(SUM(Y296:Y302),"0")</f>
        <v>0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479</v>
      </c>
      <c r="B306" s="54" t="s">
        <v>480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482</v>
      </c>
      <c r="B307" s="54" t="s">
        <v>483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508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514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517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518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523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524</v>
      </c>
      <c r="B334" s="54" t="s">
        <v>525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527</v>
      </c>
      <c r="B335" s="54" t="s">
        <v>528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533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534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0</v>
      </c>
      <c r="Y342" s="540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0</v>
      </c>
      <c r="Y343" s="540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546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548</v>
      </c>
      <c r="B346" s="54" t="s">
        <v>549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553</v>
      </c>
      <c r="B348" s="54" t="s">
        <v>554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0</v>
      </c>
      <c r="Y349" s="541">
        <f>IFERROR(Y342/H342,"0")+IFERROR(Y343/H343,"0")+IFERROR(Y344/H344,"0")+IFERROR(Y345/H345,"0")+IFERROR(Y346/H346,"0")+IFERROR(Y347/H347,"0")+IFERROR(Y348/H348,"0")</f>
        <v>0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0</v>
      </c>
      <c r="Y350" s="541">
        <f>IFERROR(SUM(Y342:Y348),"0")</f>
        <v>0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0</v>
      </c>
      <c r="Y352" s="540">
        <f>IFERROR(IF(X352="",0,CEILING((X352/$H352),1)*$H352),"")</f>
        <v>0</v>
      </c>
      <c r="Z352" s="36" t="str">
        <f>IFERROR(IF(Y352=0,"",ROUNDUP(Y352/H352,0)*0.02175),"")</f>
        <v/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558</v>
      </c>
      <c r="B353" s="54" t="s">
        <v>559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0</v>
      </c>
      <c r="Y354" s="541">
        <f>IFERROR(Y352/H352,"0")+IFERROR(Y353/H353,"0")</f>
        <v>0</v>
      </c>
      <c r="Z354" s="541">
        <f>IFERROR(IF(Z352="",0,Z352),"0")+IFERROR(IF(Z353="",0,Z353),"0")</f>
        <v>0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0</v>
      </c>
      <c r="Y355" s="541">
        <f>IFERROR(SUM(Y352:Y353),"0")</f>
        <v>0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560</v>
      </c>
      <c r="B357" s="54" t="s">
        <v>561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52" t="s">
        <v>569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570</v>
      </c>
      <c r="B367" s="54" t="s">
        <v>571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573</v>
      </c>
      <c r="B368" s="54" t="s">
        <v>574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575</v>
      </c>
      <c r="B372" s="54" t="s">
        <v>576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575</v>
      </c>
      <c r="B373" s="54" t="s">
        <v>578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1060</v>
      </c>
      <c r="Y377" s="540">
        <f>IFERROR(IF(X377="",0,CEILING((X377/$H377),1)*$H377),"")</f>
        <v>1062</v>
      </c>
      <c r="Z377" s="36">
        <f>IFERROR(IF(Y377=0,"",ROUNDUP(Y377/H377,0)*0.01898),"")</f>
        <v>2.2396400000000001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1118.1822222222222</v>
      </c>
      <c r="BN377" s="64">
        <f>IFERROR(Y377*I377/H377,"0")</f>
        <v>1120.2920000000001</v>
      </c>
      <c r="BO377" s="64">
        <f>IFERROR(1/J377*(X377/H377),"0")</f>
        <v>1.8402777777777777</v>
      </c>
      <c r="BP377" s="64">
        <f>IFERROR(1/J377*(Y377/H377),"0")</f>
        <v>1.84375</v>
      </c>
    </row>
    <row r="378" spans="1:68" ht="27" customHeight="1" x14ac:dyDescent="0.25">
      <c r="A378" s="54" t="s">
        <v>583</v>
      </c>
      <c r="B378" s="54" t="s">
        <v>584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117.77777777777777</v>
      </c>
      <c r="Y379" s="541">
        <f>IFERROR(Y377/H377,"0")+IFERROR(Y378/H378,"0")</f>
        <v>118</v>
      </c>
      <c r="Z379" s="541">
        <f>IFERROR(IF(Z377="",0,Z377),"0")+IFERROR(IF(Z378="",0,Z378),"0")</f>
        <v>2.2396400000000001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1060</v>
      </c>
      <c r="Y380" s="541">
        <f>IFERROR(SUM(Y377:Y378),"0")</f>
        <v>1062</v>
      </c>
      <c r="Z380" s="37"/>
      <c r="AA380" s="542"/>
      <c r="AB380" s="542"/>
      <c r="AC380" s="542"/>
    </row>
    <row r="381" spans="1:68" ht="27.75" customHeight="1" x14ac:dyDescent="0.2">
      <c r="A381" s="693" t="s">
        <v>585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586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590</v>
      </c>
      <c r="B385" s="54" t="s">
        <v>591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598</v>
      </c>
      <c r="B388" s="54" t="s">
        <v>599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600</v>
      </c>
      <c r="B389" s="54" t="s">
        <v>601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603</v>
      </c>
      <c r="B390" s="54" t="s">
        <v>604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609</v>
      </c>
      <c r="B392" s="54" t="s">
        <v>610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611</v>
      </c>
      <c r="B396" s="54" t="s">
        <v>612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614</v>
      </c>
      <c r="B397" s="54" t="s">
        <v>615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617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618</v>
      </c>
      <c r="B402" s="54" t="s">
        <v>619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624</v>
      </c>
      <c r="B407" s="54" t="s">
        <v>625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632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633</v>
      </c>
      <c r="B414" s="54" t="s">
        <v>634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636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636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400</v>
      </c>
      <c r="Y422" s="540">
        <f t="shared" si="42"/>
        <v>401.28000000000003</v>
      </c>
      <c r="Z422" s="36">
        <f t="shared" si="43"/>
        <v>0.90895999999999999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426.5151515151515</v>
      </c>
      <c r="BN422" s="64">
        <f t="shared" si="45"/>
        <v>427.88</v>
      </c>
      <c r="BO422" s="64">
        <f t="shared" si="46"/>
        <v>0.72843822843822836</v>
      </c>
      <c r="BP422" s="64">
        <f t="shared" si="47"/>
        <v>0.73076923076923084</v>
      </c>
    </row>
    <row r="423" spans="1:68" ht="27" customHeight="1" x14ac:dyDescent="0.25">
      <c r="A423" s="54" t="s">
        <v>645</v>
      </c>
      <c r="B423" s="54" t="s">
        <v>646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648</v>
      </c>
      <c r="B424" s="54" t="s">
        <v>649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300</v>
      </c>
      <c r="Y425" s="540">
        <f t="shared" si="42"/>
        <v>300.96000000000004</v>
      </c>
      <c r="Z425" s="36">
        <f t="shared" si="43"/>
        <v>0.68171999999999999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319.88636363636363</v>
      </c>
      <c r="BN425" s="64">
        <f t="shared" si="45"/>
        <v>320.91000000000003</v>
      </c>
      <c r="BO425" s="64">
        <f t="shared" si="46"/>
        <v>0.54632867132867136</v>
      </c>
      <c r="BP425" s="64">
        <f t="shared" si="47"/>
        <v>0.54807692307692313</v>
      </c>
    </row>
    <row r="426" spans="1:68" ht="27" customHeight="1" x14ac:dyDescent="0.25">
      <c r="A426" s="54" t="s">
        <v>654</v>
      </c>
      <c r="B426" s="54" t="s">
        <v>655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656</v>
      </c>
      <c r="B427" s="54" t="s">
        <v>657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132.57575757575756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133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1.5906799999999999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700</v>
      </c>
      <c r="Y432" s="541">
        <f>IFERROR(SUM(Y420:Y430),"0")</f>
        <v>702.24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customHeight="1" x14ac:dyDescent="0.25">
      <c r="A435" s="54" t="s">
        <v>668</v>
      </c>
      <c r="B435" s="54" t="s">
        <v>669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670</v>
      </c>
      <c r="B436" s="54" t="s">
        <v>671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681</v>
      </c>
      <c r="B443" s="54" t="s">
        <v>682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683</v>
      </c>
      <c r="B444" s="54" t="s">
        <v>684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0</v>
      </c>
      <c r="Y446" s="541">
        <f>IFERROR(Y440/H440,"0")+IFERROR(Y441/H441,"0")+IFERROR(Y442/H442,"0")+IFERROR(Y443/H443,"0")+IFERROR(Y444/H444,"0")+IFERROR(Y445/H445,"0")</f>
        <v>0</v>
      </c>
      <c r="Z446" s="541">
        <f>IFERROR(IF(Z440="",0,Z440),"0")+IFERROR(IF(Z441="",0,Z441),"0")+IFERROR(IF(Z442="",0,Z442),"0")+IFERROR(IF(Z443="",0,Z443),"0")+IFERROR(IF(Z444="",0,Z444),"0")+IFERROR(IF(Z445="",0,Z445),"0")</f>
        <v>0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0</v>
      </c>
      <c r="Y447" s="541">
        <f>IFERROR(SUM(Y440:Y445),"0")</f>
        <v>0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687</v>
      </c>
      <c r="B449" s="54" t="s">
        <v>688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690</v>
      </c>
      <c r="B450" s="54" t="s">
        <v>691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693</v>
      </c>
      <c r="B451" s="54" t="s">
        <v>694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696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696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697</v>
      </c>
      <c r="B457" s="54" t="s">
        <v>698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700</v>
      </c>
      <c r="B458" s="54" t="s">
        <v>701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708</v>
      </c>
      <c r="B464" s="54" t="s">
        <v>709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711</v>
      </c>
      <c r="B465" s="54" t="s">
        <v>712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717</v>
      </c>
      <c r="B470" s="54" t="s">
        <v>718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720</v>
      </c>
      <c r="B471" s="54" t="s">
        <v>721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726</v>
      </c>
      <c r="B479" s="54" t="s">
        <v>727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729</v>
      </c>
      <c r="B480" s="54" t="s">
        <v>730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732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733</v>
      </c>
      <c r="B485" s="54" t="s">
        <v>734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736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2210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2215.1400000000003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737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2356.5837373737372</v>
      </c>
      <c r="Y489" s="541">
        <f>IFERROR(SUM(BN22:BN485),"0")</f>
        <v>2362.0659999999998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738</v>
      </c>
      <c r="Q490" s="629"/>
      <c r="R490" s="629"/>
      <c r="S490" s="629"/>
      <c r="T490" s="629"/>
      <c r="U490" s="629"/>
      <c r="V490" s="630"/>
      <c r="W490" s="37" t="s">
        <v>739</v>
      </c>
      <c r="X490" s="38">
        <f>ROUNDUP(SUM(BO22:BO485),0)</f>
        <v>5</v>
      </c>
      <c r="Y490" s="38">
        <f>ROUNDUP(SUM(BP22:BP485),0)</f>
        <v>5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740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2481.5837373737372</v>
      </c>
      <c r="Y491" s="541">
        <f>GrossWeightTotalR+PalletQtyTotalR*25</f>
        <v>2487.0659999999998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741</v>
      </c>
      <c r="Q492" s="629"/>
      <c r="R492" s="629"/>
      <c r="S492" s="629"/>
      <c r="T492" s="629"/>
      <c r="U492" s="629"/>
      <c r="V492" s="630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417.02020202020202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418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742</v>
      </c>
      <c r="Q493" s="629"/>
      <c r="R493" s="629"/>
      <c r="S493" s="629"/>
      <c r="T493" s="629"/>
      <c r="U493" s="629"/>
      <c r="V493" s="630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4.9174899999999999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255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533</v>
      </c>
      <c r="T495" s="594"/>
      <c r="U495" s="575" t="s">
        <v>585</v>
      </c>
      <c r="V495" s="593"/>
      <c r="W495" s="594"/>
      <c r="X495" s="536" t="s">
        <v>636</v>
      </c>
      <c r="Y495" s="575" t="s">
        <v>696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745</v>
      </c>
      <c r="B496" s="575" t="s">
        <v>63</v>
      </c>
      <c r="C496" s="575" t="s">
        <v>98</v>
      </c>
      <c r="D496" s="575" t="s">
        <v>116</v>
      </c>
      <c r="E496" s="575" t="s">
        <v>170</v>
      </c>
      <c r="F496" s="575" t="s">
        <v>190</v>
      </c>
      <c r="G496" s="575" t="s">
        <v>220</v>
      </c>
      <c r="H496" s="575" t="s">
        <v>97</v>
      </c>
      <c r="I496" s="575" t="s">
        <v>256</v>
      </c>
      <c r="J496" s="575" t="s">
        <v>297</v>
      </c>
      <c r="K496" s="575" t="s">
        <v>357</v>
      </c>
      <c r="L496" s="575" t="s">
        <v>399</v>
      </c>
      <c r="M496" s="575" t="s">
        <v>415</v>
      </c>
      <c r="N496" s="537"/>
      <c r="O496" s="575" t="s">
        <v>426</v>
      </c>
      <c r="P496" s="575" t="s">
        <v>435</v>
      </c>
      <c r="Q496" s="575" t="s">
        <v>445</v>
      </c>
      <c r="R496" s="575" t="s">
        <v>523</v>
      </c>
      <c r="S496" s="575" t="s">
        <v>534</v>
      </c>
      <c r="T496" s="575" t="s">
        <v>569</v>
      </c>
      <c r="U496" s="575" t="s">
        <v>586</v>
      </c>
      <c r="V496" s="575" t="s">
        <v>617</v>
      </c>
      <c r="W496" s="575" t="s">
        <v>632</v>
      </c>
      <c r="X496" s="575" t="s">
        <v>636</v>
      </c>
      <c r="Y496" s="575" t="s">
        <v>696</v>
      </c>
      <c r="Z496" s="575" t="s">
        <v>732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0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450.90000000000003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8" s="46">
        <f>IFERROR(Y367*1,"0")+IFERROR(Y368*1,"0")+IFERROR(Y372*1,"0")+IFERROR(Y373*1,"0")+IFERROR(Y377*1,"0")+IFERROR(Y378*1,"0")</f>
        <v>1062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702.24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an1yzAv6DglFAHw6DEKZPcoL62UQDf/I6YfLiT9IdR5nv8S1jTYSCZ8ExCE7cFCvr6RrkuJjOc0dQ3VfcFtMGg==" saltValue="+7HMETAL/OAV7zsxKa74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4:X165 X168 X186 X195:X200 X202 X206:X209 X211:X214 X232 X254 X256 X272:X273 X297 X306 X315 X322:X323 X335:X336 X342:X344 X352 X367 X372 X377:X378 X386 X420:X422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tijkfmOu+7lmyM//yLYNauYR0z8tEO8Lfbr++L/sEpRvFRnYWvTzzDHZujnJ0z1Wd7hltJUGr1Pp7r34vYIOEA==" saltValue="roumy47e3I7yz0DKy25i0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2025-11-07T07:01:55Z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