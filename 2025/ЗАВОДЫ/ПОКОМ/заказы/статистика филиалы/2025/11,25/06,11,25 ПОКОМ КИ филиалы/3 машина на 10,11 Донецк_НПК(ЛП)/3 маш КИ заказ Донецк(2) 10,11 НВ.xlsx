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922ABA50-AFCE-4C79-ADA4-838D2D9BEEA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Y330" i="1" s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Y317" i="1" s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Q498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Y268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L498" i="1" s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Y144" i="1" s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N56" i="1"/>
  <c r="BM56" i="1"/>
  <c r="Z56" i="1"/>
  <c r="Y56" i="1"/>
  <c r="BP56" i="1" s="1"/>
  <c r="P56" i="1"/>
  <c r="BO55" i="1"/>
  <c r="BM55" i="1"/>
  <c r="Y55" i="1"/>
  <c r="BP55" i="1" s="1"/>
  <c r="P55" i="1"/>
  <c r="BO54" i="1"/>
  <c r="BN54" i="1"/>
  <c r="BM54" i="1"/>
  <c r="Z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488" i="1" s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D498" i="1"/>
  <c r="Y57" i="1"/>
  <c r="BP62" i="1"/>
  <c r="BN62" i="1"/>
  <c r="Z62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9" i="1"/>
  <c r="BP146" i="1"/>
  <c r="BN146" i="1"/>
  <c r="Z146" i="1"/>
  <c r="BP165" i="1"/>
  <c r="BN165" i="1"/>
  <c r="Z165" i="1"/>
  <c r="F9" i="1"/>
  <c r="J9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8" i="1"/>
  <c r="Y143" i="1"/>
  <c r="BP140" i="1"/>
  <c r="BN140" i="1"/>
  <c r="Z140" i="1"/>
  <c r="Z143" i="1" s="1"/>
  <c r="BP148" i="1"/>
  <c r="BN148" i="1"/>
  <c r="Z148" i="1"/>
  <c r="Y150" i="1"/>
  <c r="Y171" i="1"/>
  <c r="BP163" i="1"/>
  <c r="BN163" i="1"/>
  <c r="Z163" i="1"/>
  <c r="Z171" i="1" s="1"/>
  <c r="F498" i="1"/>
  <c r="Y103" i="1"/>
  <c r="G498" i="1"/>
  <c r="Y126" i="1"/>
  <c r="I498" i="1"/>
  <c r="Y160" i="1"/>
  <c r="Z167" i="1"/>
  <c r="BN167" i="1"/>
  <c r="Z169" i="1"/>
  <c r="BN169" i="1"/>
  <c r="Z175" i="1"/>
  <c r="Z177" i="1" s="1"/>
  <c r="BN175" i="1"/>
  <c r="BP175" i="1"/>
  <c r="J498" i="1"/>
  <c r="Z186" i="1"/>
  <c r="Z187" i="1" s="1"/>
  <c r="BN186" i="1"/>
  <c r="BP186" i="1"/>
  <c r="Y187" i="1"/>
  <c r="Z190" i="1"/>
  <c r="Z192" i="1" s="1"/>
  <c r="BN190" i="1"/>
  <c r="BP190" i="1"/>
  <c r="Y193" i="1"/>
  <c r="Y204" i="1"/>
  <c r="Z196" i="1"/>
  <c r="BN196" i="1"/>
  <c r="Z198" i="1"/>
  <c r="BN198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O498" i="1"/>
  <c r="Y274" i="1"/>
  <c r="BP271" i="1"/>
  <c r="BN271" i="1"/>
  <c r="Z271" i="1"/>
  <c r="BP289" i="1"/>
  <c r="BN289" i="1"/>
  <c r="Z289" i="1"/>
  <c r="Y293" i="1"/>
  <c r="BP297" i="1"/>
  <c r="BN297" i="1"/>
  <c r="Z297" i="1"/>
  <c r="Z303" i="1" s="1"/>
  <c r="BP301" i="1"/>
  <c r="BN301" i="1"/>
  <c r="Z301" i="1"/>
  <c r="Y312" i="1"/>
  <c r="BP309" i="1"/>
  <c r="BN309" i="1"/>
  <c r="Z309" i="1"/>
  <c r="Y318" i="1"/>
  <c r="BP322" i="1"/>
  <c r="BN322" i="1"/>
  <c r="Z322" i="1"/>
  <c r="Z324" i="1" s="1"/>
  <c r="Y331" i="1"/>
  <c r="Z337" i="1"/>
  <c r="BP335" i="1"/>
  <c r="BN335" i="1"/>
  <c r="Z335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BP201" i="1"/>
  <c r="BN201" i="1"/>
  <c r="Z201" i="1"/>
  <c r="Z203" i="1" s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Y234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Y275" i="1"/>
  <c r="P498" i="1"/>
  <c r="Y281" i="1"/>
  <c r="BP278" i="1"/>
  <c r="BN278" i="1"/>
  <c r="Z278" i="1"/>
  <c r="Z280" i="1" s="1"/>
  <c r="BP291" i="1"/>
  <c r="BN291" i="1"/>
  <c r="Z291" i="1"/>
  <c r="Z293" i="1" s="1"/>
  <c r="BP299" i="1"/>
  <c r="BN299" i="1"/>
  <c r="Z299" i="1"/>
  <c r="Y303" i="1"/>
  <c r="BP307" i="1"/>
  <c r="BN307" i="1"/>
  <c r="Z307" i="1"/>
  <c r="Z311" i="1" s="1"/>
  <c r="Y311" i="1"/>
  <c r="Z317" i="1"/>
  <c r="BP315" i="1"/>
  <c r="BN315" i="1"/>
  <c r="Z315" i="1"/>
  <c r="Z330" i="1"/>
  <c r="BP328" i="1"/>
  <c r="BN328" i="1"/>
  <c r="Z328" i="1"/>
  <c r="BP343" i="1"/>
  <c r="BN343" i="1"/>
  <c r="Z343" i="1"/>
  <c r="Z349" i="1" s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Z410" i="1" s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46" i="1" l="1"/>
  <c r="Z431" i="1"/>
  <c r="Y490" i="1"/>
  <c r="Z69" i="1"/>
  <c r="Z393" i="1"/>
  <c r="Z274" i="1"/>
  <c r="Z234" i="1"/>
  <c r="Z57" i="1"/>
  <c r="Z493" i="1" s="1"/>
  <c r="Y492" i="1"/>
  <c r="Y489" i="1"/>
  <c r="Y491" i="1" s="1"/>
  <c r="Z149" i="1"/>
  <c r="Z116" i="1"/>
  <c r="Z95" i="1"/>
  <c r="Y488" i="1"/>
</calcChain>
</file>

<file path=xl/sharedStrings.xml><?xml version="1.0" encoding="utf-8"?>
<sst xmlns="http://schemas.openxmlformats.org/spreadsheetml/2006/main" count="2271" uniqueCount="762">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</sst>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0.41666666666666669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285</v>
      </c>
      <c r="Y40" s="540">
        <f>IFERROR(IF(X40="",0,CEILING((X40/$H40),1)*$H40),"")</f>
        <v>291.60000000000002</v>
      </c>
      <c r="Z40" s="36">
        <f>IFERROR(IF(Y40=0,"",ROUNDUP(Y40/H40,0)*0.01898),"")</f>
        <v>0.51246000000000003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295.81944444444446</v>
      </c>
      <c r="BN40" s="64">
        <f>IFERROR(Y40*I40/H40,"0")</f>
        <v>302.67000000000007</v>
      </c>
      <c r="BO40" s="64">
        <f>IFERROR(1/J40*(X40/H40),"0")</f>
        <v>0.41232638888888884</v>
      </c>
      <c r="BP40" s="64">
        <f>IFERROR(1/J40*(Y40/H40),"0")</f>
        <v>0.421875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26.388888888888886</v>
      </c>
      <c r="Y43" s="541">
        <f>IFERROR(Y40/H40,"0")+IFERROR(Y41/H41,"0")+IFERROR(Y42/H42,"0")</f>
        <v>27</v>
      </c>
      <c r="Z43" s="541">
        <f>IFERROR(IF(Z40="",0,Z40),"0")+IFERROR(IF(Z41="",0,Z41),"0")+IFERROR(IF(Z42="",0,Z42),"0")</f>
        <v>0.51246000000000003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285</v>
      </c>
      <c r="Y44" s="541">
        <f>IFERROR(SUM(Y40:Y42),"0")</f>
        <v>291.60000000000002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74</v>
      </c>
      <c r="Y51" s="540">
        <f t="shared" ref="Y51:Y56" si="0">IFERROR(IF(X51="",0,CEILING((X51/$H51),1)*$H51),"")</f>
        <v>78.399999999999991</v>
      </c>
      <c r="Z51" s="36">
        <f>IFERROR(IF(Y51=0,"",ROUNDUP(Y51/H51,0)*0.01898),"")</f>
        <v>0.13286000000000001</v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76.708928571428572</v>
      </c>
      <c r="BN51" s="64">
        <f t="shared" ref="BN51:BN56" si="2">IFERROR(Y51*I51/H51,"0")</f>
        <v>81.27</v>
      </c>
      <c r="BO51" s="64">
        <f t="shared" ref="BO51:BO56" si="3">IFERROR(1/J51*(X51/H51),"0")</f>
        <v>0.10323660714285715</v>
      </c>
      <c r="BP51" s="64">
        <f t="shared" ref="BP51:BP56" si="4">IFERROR(1/J51*(Y51/H51),"0")</f>
        <v>0.109375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87</v>
      </c>
      <c r="Y52" s="540">
        <f t="shared" si="0"/>
        <v>97.2</v>
      </c>
      <c r="Z52" s="36">
        <f>IFERROR(IF(Y52=0,"",ROUNDUP(Y52/H52,0)*0.01898),"")</f>
        <v>0.17082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90.302777777777777</v>
      </c>
      <c r="BN52" s="64">
        <f t="shared" si="2"/>
        <v>100.89</v>
      </c>
      <c r="BO52" s="64">
        <f t="shared" si="3"/>
        <v>0.12586805555555555</v>
      </c>
      <c r="BP52" s="64">
        <f t="shared" si="4"/>
        <v>0.140625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45</v>
      </c>
      <c r="Y54" s="540">
        <f t="shared" si="0"/>
        <v>48</v>
      </c>
      <c r="Z54" s="36">
        <f>IFERROR(IF(Y54=0,"",ROUNDUP(Y54/H54,0)*0.00902),"")</f>
        <v>0.10824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47.137500000000003</v>
      </c>
      <c r="BN54" s="64">
        <f t="shared" si="2"/>
        <v>50.28</v>
      </c>
      <c r="BO54" s="64">
        <f t="shared" si="3"/>
        <v>8.5227272727272735E-2</v>
      </c>
      <c r="BP54" s="64">
        <f t="shared" si="4"/>
        <v>9.0909090909090912E-2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25.912698412698411</v>
      </c>
      <c r="Y57" s="541">
        <f>IFERROR(Y51/H51,"0")+IFERROR(Y52/H52,"0")+IFERROR(Y53/H53,"0")+IFERROR(Y54/H54,"0")+IFERROR(Y55/H55,"0")+IFERROR(Y56/H56,"0")</f>
        <v>28</v>
      </c>
      <c r="Z57" s="541">
        <f>IFERROR(IF(Z51="",0,Z51),"0")+IFERROR(IF(Z52="",0,Z52),"0")+IFERROR(IF(Z53="",0,Z53),"0")+IFERROR(IF(Z54="",0,Z54),"0")+IFERROR(IF(Z55="",0,Z55),"0")+IFERROR(IF(Z56="",0,Z56),"0")</f>
        <v>0.41192000000000001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206</v>
      </c>
      <c r="Y58" s="541">
        <f>IFERROR(SUM(Y51:Y56),"0")</f>
        <v>223.6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36</v>
      </c>
      <c r="Y60" s="540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37.366666666666667</v>
      </c>
      <c r="BN60" s="64">
        <f>IFERROR(Y60*I60/H60,"0")</f>
        <v>44.84</v>
      </c>
      <c r="BO60" s="64">
        <f>IFERROR(1/J60*(X60/H60),"0")</f>
        <v>5.2083333333333329E-2</v>
      </c>
      <c r="BP60" s="64">
        <f>IFERROR(1/J60*(Y60/H60),"0")</f>
        <v>6.25E-2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3.333333333333333</v>
      </c>
      <c r="Y63" s="541">
        <f>IFERROR(Y60/H60,"0")+IFERROR(Y61/H61,"0")+IFERROR(Y62/H62,"0")</f>
        <v>4</v>
      </c>
      <c r="Z63" s="541">
        <f>IFERROR(IF(Z60="",0,Z60),"0")+IFERROR(IF(Z61="",0,Z61),"0")+IFERROR(IF(Z62="",0,Z62),"0")</f>
        <v>7.5920000000000001E-2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36</v>
      </c>
      <c r="Y64" s="541">
        <f>IFERROR(SUM(Y60:Y62),"0")</f>
        <v>43.2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168</v>
      </c>
      <c r="Y85" s="540">
        <f>IFERROR(IF(X85="",0,CEILING((X85/$H85),1)*$H85),"")</f>
        <v>172.8</v>
      </c>
      <c r="Z85" s="36">
        <f>IFERROR(IF(Y85=0,"",ROUNDUP(Y85/H85,0)*0.01898),"")</f>
        <v>0.30368000000000001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174.37777777777779</v>
      </c>
      <c r="BN85" s="64">
        <f>IFERROR(Y85*I85/H85,"0")</f>
        <v>179.36</v>
      </c>
      <c r="BO85" s="64">
        <f>IFERROR(1/J85*(X85/H85),"0")</f>
        <v>0.24305555555555555</v>
      </c>
      <c r="BP85" s="64">
        <f>IFERROR(1/J85*(Y85/H85),"0")</f>
        <v>0.25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28</v>
      </c>
      <c r="Y87" s="540">
        <f>IFERROR(IF(X87="",0,CEILING((X87/$H87),1)*$H87),"")</f>
        <v>31.5</v>
      </c>
      <c r="Z87" s="36">
        <f>IFERROR(IF(Y87=0,"",ROUNDUP(Y87/H87,0)*0.00902),"")</f>
        <v>6.3140000000000002E-2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29.182222222222226</v>
      </c>
      <c r="BN87" s="64">
        <f>IFERROR(Y87*I87/H87,"0")</f>
        <v>32.830000000000005</v>
      </c>
      <c r="BO87" s="64">
        <f>IFERROR(1/J87*(X87/H87),"0")</f>
        <v>4.7138047138047139E-2</v>
      </c>
      <c r="BP87" s="64">
        <f>IFERROR(1/J87*(Y87/H87),"0")</f>
        <v>5.3030303030303032E-2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21.777777777777779</v>
      </c>
      <c r="Y88" s="541">
        <f>IFERROR(Y85/H85,"0")+IFERROR(Y86/H86,"0")+IFERROR(Y87/H87,"0")</f>
        <v>23</v>
      </c>
      <c r="Z88" s="541">
        <f>IFERROR(IF(Z85="",0,Z85),"0")+IFERROR(IF(Z86="",0,Z86),"0")+IFERROR(IF(Z87="",0,Z87),"0")</f>
        <v>0.36682000000000003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196</v>
      </c>
      <c r="Y89" s="541">
        <f>IFERROR(SUM(Y85:Y87),"0")</f>
        <v>204.3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39</v>
      </c>
      <c r="Y91" s="540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41.378518518518518</v>
      </c>
      <c r="BN91" s="64">
        <f>IFERROR(Y91*I91/H91,"0")</f>
        <v>42.97</v>
      </c>
      <c r="BO91" s="64">
        <f>IFERROR(1/J91*(X91/H91),"0")</f>
        <v>7.5231481481481483E-2</v>
      </c>
      <c r="BP91" s="64">
        <f>IFERROR(1/J91*(Y91/H91),"0")</f>
        <v>7.8125E-2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263</v>
      </c>
      <c r="Y93" s="540">
        <f>IFERROR(IF(X93="",0,CEILING((X93/$H93),1)*$H93),"")</f>
        <v>264.60000000000002</v>
      </c>
      <c r="Z93" s="36">
        <f>IFERROR(IF(Y93=0,"",ROUNDUP(Y93/H93,0)*0.00651),"")</f>
        <v>0.63797999999999999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287.54666666666662</v>
      </c>
      <c r="BN93" s="64">
        <f>IFERROR(Y93*I93/H93,"0")</f>
        <v>289.29600000000005</v>
      </c>
      <c r="BO93" s="64">
        <f>IFERROR(1/J93*(X93/H93),"0")</f>
        <v>0.53520553520553527</v>
      </c>
      <c r="BP93" s="64">
        <f>IFERROR(1/J93*(Y93/H93),"0")</f>
        <v>0.53846153846153855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102.22222222222221</v>
      </c>
      <c r="Y95" s="541">
        <f>IFERROR(Y91/H91,"0")+IFERROR(Y92/H92,"0")+IFERROR(Y93/H93,"0")+IFERROR(Y94/H94,"0")</f>
        <v>103</v>
      </c>
      <c r="Z95" s="541">
        <f>IFERROR(IF(Z91="",0,Z91),"0")+IFERROR(IF(Z92="",0,Z92),"0")+IFERROR(IF(Z93="",0,Z93),"0")+IFERROR(IF(Z94="",0,Z94),"0")</f>
        <v>0.73287999999999998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302</v>
      </c>
      <c r="Y96" s="541">
        <f>IFERROR(SUM(Y91:Y94),"0")</f>
        <v>305.10000000000002</v>
      </c>
      <c r="Z96" s="37"/>
      <c r="AA96" s="542"/>
      <c r="AB96" s="542"/>
      <c r="AC96" s="542"/>
    </row>
    <row r="97" spans="1:68" ht="16.5" customHeight="1" x14ac:dyDescent="0.25">
      <c r="A97" s="552" t="s">
        <v>190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90</v>
      </c>
      <c r="Y101" s="540">
        <f>IFERROR(IF(X101="",0,CEILING((X101/$H101),1)*$H101),"")</f>
        <v>90</v>
      </c>
      <c r="Z101" s="36">
        <f>IFERROR(IF(Y101=0,"",ROUNDUP(Y101/H101,0)*0.00902),"")</f>
        <v>0.1804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93.800000000000011</v>
      </c>
      <c r="BN101" s="64">
        <f>IFERROR(Y101*I101/H101,"0")</f>
        <v>93.800000000000011</v>
      </c>
      <c r="BO101" s="64">
        <f>IFERROR(1/J101*(X101/H101),"0")</f>
        <v>0.15151515151515152</v>
      </c>
      <c r="BP101" s="64">
        <f>IFERROR(1/J101*(Y101/H101),"0")</f>
        <v>0.15151515151515152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20</v>
      </c>
      <c r="Y103" s="541">
        <f>IFERROR(Y99/H99,"0")+IFERROR(Y100/H100,"0")+IFERROR(Y101/H101,"0")+IFERROR(Y102/H102,"0")</f>
        <v>20</v>
      </c>
      <c r="Z103" s="541">
        <f>IFERROR(IF(Z99="",0,Z99),"0")+IFERROR(IF(Z100="",0,Z100),"0")+IFERROR(IF(Z101="",0,Z101),"0")+IFERROR(IF(Z102="",0,Z102),"0")</f>
        <v>0.1804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90</v>
      </c>
      <c r="Y104" s="541">
        <f>IFERROR(SUM(Y99:Y102),"0")</f>
        <v>90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41</v>
      </c>
      <c r="Y106" s="540">
        <f>IFERROR(IF(X106="",0,CEILING((X106/$H106),1)*$H106),"")</f>
        <v>43.2</v>
      </c>
      <c r="Z106" s="36">
        <f>IFERROR(IF(Y106=0,"",ROUNDUP(Y106/H106,0)*0.01898),"")</f>
        <v>7.5920000000000001E-2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42.556481481481477</v>
      </c>
      <c r="BN106" s="64">
        <f>IFERROR(Y106*I106/H106,"0")</f>
        <v>44.84</v>
      </c>
      <c r="BO106" s="64">
        <f>IFERROR(1/J106*(X106/H106),"0")</f>
        <v>5.9317129629629622E-2</v>
      </c>
      <c r="BP106" s="64">
        <f>IFERROR(1/J106*(Y106/H106),"0")</f>
        <v>6.25E-2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7</v>
      </c>
      <c r="Y108" s="540">
        <f>IFERROR(IF(X108="",0,CEILING((X108/$H108),1)*$H108),"")</f>
        <v>7.1999999999999993</v>
      </c>
      <c r="Z108" s="36">
        <f>IFERROR(IF(Y108=0,"",ROUNDUP(Y108/H108,0)*0.00651),"")</f>
        <v>1.9529999999999999E-2</v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7.5250000000000012</v>
      </c>
      <c r="BN108" s="64">
        <f>IFERROR(Y108*I108/H108,"0")</f>
        <v>7.7399999999999993</v>
      </c>
      <c r="BO108" s="64">
        <f>IFERROR(1/J108*(X108/H108),"0")</f>
        <v>1.6025641025641028E-2</v>
      </c>
      <c r="BP108" s="64">
        <f>IFERROR(1/J108*(Y108/H108),"0")</f>
        <v>1.6483516483516484E-2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6.7129629629629628</v>
      </c>
      <c r="Y109" s="541">
        <f>IFERROR(Y106/H106,"0")+IFERROR(Y107/H107,"0")+IFERROR(Y108/H108,"0")</f>
        <v>7</v>
      </c>
      <c r="Z109" s="541">
        <f>IFERROR(IF(Z106="",0,Z106),"0")+IFERROR(IF(Z107="",0,Z107),"0")+IFERROR(IF(Z108="",0,Z108),"0")</f>
        <v>9.5450000000000007E-2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48</v>
      </c>
      <c r="Y110" s="541">
        <f>IFERROR(SUM(Y106:Y108),"0")</f>
        <v>50.400000000000006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311</v>
      </c>
      <c r="Y114" s="540">
        <f>IFERROR(IF(X114="",0,CEILING((X114/$H114),1)*$H114),"")</f>
        <v>313.20000000000005</v>
      </c>
      <c r="Z114" s="36">
        <f>IFERROR(IF(Y114=0,"",ROUNDUP(Y114/H114,0)*0.00651),"")</f>
        <v>0.75516000000000005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340.02666666666664</v>
      </c>
      <c r="BN114" s="64">
        <f>IFERROR(Y114*I114/H114,"0")</f>
        <v>342.43200000000002</v>
      </c>
      <c r="BO114" s="64">
        <f>IFERROR(1/J114*(X114/H114),"0")</f>
        <v>0.63288563288563293</v>
      </c>
      <c r="BP114" s="64">
        <f>IFERROR(1/J114*(Y114/H114),"0")</f>
        <v>0.63736263736263754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115.18518518518518</v>
      </c>
      <c r="Y116" s="541">
        <f>IFERROR(Y112/H112,"0")+IFERROR(Y113/H113,"0")+IFERROR(Y114/H114,"0")+IFERROR(Y115/H115,"0")</f>
        <v>116.00000000000001</v>
      </c>
      <c r="Z116" s="541">
        <f>IFERROR(IF(Z112="",0,Z112),"0")+IFERROR(IF(Z113="",0,Z113),"0")+IFERROR(IF(Z114="",0,Z114),"0")+IFERROR(IF(Z115="",0,Z115),"0")</f>
        <v>0.75516000000000005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311</v>
      </c>
      <c r="Y117" s="541">
        <f>IFERROR(SUM(Y112:Y115),"0")</f>
        <v>313.20000000000005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/>
      <c r="AK162" s="68">
        <v>0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83</v>
      </c>
      <c r="Y164" s="540">
        <f t="shared" si="5"/>
        <v>84</v>
      </c>
      <c r="Z164" s="36">
        <f>IFERROR(IF(Y164=0,"",ROUNDUP(Y164/H164,0)*0.00902),"")</f>
        <v>0.1804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86.754761904761892</v>
      </c>
      <c r="BN164" s="64">
        <f t="shared" si="7"/>
        <v>87.8</v>
      </c>
      <c r="BO164" s="64">
        <f t="shared" si="8"/>
        <v>0.14971139971139971</v>
      </c>
      <c r="BP164" s="64">
        <f t="shared" si="9"/>
        <v>0.15151515151515152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20</v>
      </c>
      <c r="Y165" s="540">
        <f t="shared" si="5"/>
        <v>21</v>
      </c>
      <c r="Z165" s="36">
        <f>IFERROR(IF(Y165=0,"",ROUNDUP(Y165/H165,0)*0.00502),"")</f>
        <v>5.0200000000000002E-2</v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21.238095238095237</v>
      </c>
      <c r="BN165" s="64">
        <f t="shared" si="7"/>
        <v>22.299999999999997</v>
      </c>
      <c r="BO165" s="64">
        <f t="shared" si="8"/>
        <v>4.0700040700040706E-2</v>
      </c>
      <c r="BP165" s="64">
        <f t="shared" si="9"/>
        <v>4.2735042735042736E-2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107</v>
      </c>
      <c r="Y168" s="540">
        <f t="shared" si="5"/>
        <v>107.10000000000001</v>
      </c>
      <c r="Z168" s="36">
        <f>IFERROR(IF(Y168=0,"",ROUNDUP(Y168/H168,0)*0.00502),"")</f>
        <v>0.25602000000000003</v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112.09523809523809</v>
      </c>
      <c r="BN168" s="64">
        <f t="shared" si="7"/>
        <v>112.20000000000002</v>
      </c>
      <c r="BO168" s="64">
        <f t="shared" si="8"/>
        <v>0.21774521774521774</v>
      </c>
      <c r="BP168" s="64">
        <f t="shared" si="9"/>
        <v>0.21794871794871798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80.238095238095241</v>
      </c>
      <c r="Y171" s="541">
        <f>IFERROR(Y162/H162,"0")+IFERROR(Y163/H163,"0")+IFERROR(Y164/H164,"0")+IFERROR(Y165/H165,"0")+IFERROR(Y166/H166,"0")+IFERROR(Y167/H167,"0")+IFERROR(Y168/H168,"0")+IFERROR(Y169/H169,"0")+IFERROR(Y170/H170,"0")</f>
        <v>81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0.48662000000000005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210</v>
      </c>
      <c r="Y172" s="541">
        <f>IFERROR(SUM(Y162:Y170),"0")</f>
        <v>212.10000000000002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2</v>
      </c>
      <c r="Y180" s="540">
        <f>IFERROR(IF(X180="",0,CEILING((X180/$H180),1)*$H180),"")</f>
        <v>2.52</v>
      </c>
      <c r="Z180" s="36">
        <f>IFERROR(IF(Y180=0,"",ROUNDUP(Y180/H180,0)*0.0059),"")</f>
        <v>1.18E-2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2.3015873015873014</v>
      </c>
      <c r="BN180" s="64">
        <f>IFERROR(Y180*I180/H180,"0")</f>
        <v>2.9</v>
      </c>
      <c r="BO180" s="64">
        <f>IFERROR(1/J180*(X180/H180),"0")</f>
        <v>7.3486184597295699E-3</v>
      </c>
      <c r="BP180" s="64">
        <f>IFERROR(1/J180*(Y180/H180),"0")</f>
        <v>9.2592592592592587E-3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1.5873015873015872</v>
      </c>
      <c r="Y181" s="541">
        <f>IFERROR(Y180/H180,"0")</f>
        <v>2</v>
      </c>
      <c r="Z181" s="541">
        <f>IFERROR(IF(Z180="",0,Z180),"0")</f>
        <v>1.18E-2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2</v>
      </c>
      <c r="Y182" s="541">
        <f>IFERROR(SUM(Y180:Y180),"0")</f>
        <v>2.52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473</v>
      </c>
      <c r="Y195" s="540">
        <f t="shared" ref="Y195:Y202" si="10">IFERROR(IF(X195="",0,CEILING((X195/$H195),1)*$H195),"")</f>
        <v>475.20000000000005</v>
      </c>
      <c r="Z195" s="36">
        <f>IFERROR(IF(Y195=0,"",ROUNDUP(Y195/H195,0)*0.00902),"")</f>
        <v>0.79376000000000002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489.64259259259251</v>
      </c>
      <c r="BN195" s="64">
        <f t="shared" ref="BN195:BN202" si="12">IFERROR(Y195*I195/H195,"0")</f>
        <v>491.92</v>
      </c>
      <c r="BO195" s="64">
        <f t="shared" ref="BO195:BO202" si="13">IFERROR(1/J195*(X195/H195),"0")</f>
        <v>0.6635802469135802</v>
      </c>
      <c r="BP195" s="64">
        <f t="shared" ref="BP195:BP202" si="14">IFERROR(1/J195*(Y195/H195),"0")</f>
        <v>0.66666666666666674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384</v>
      </c>
      <c r="Y196" s="540">
        <f t="shared" si="10"/>
        <v>388.8</v>
      </c>
      <c r="Z196" s="36">
        <f>IFERROR(IF(Y196=0,"",ROUNDUP(Y196/H196,0)*0.00902),"")</f>
        <v>0.64944000000000002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397.51111111111106</v>
      </c>
      <c r="BN196" s="64">
        <f t="shared" si="12"/>
        <v>402.47999999999996</v>
      </c>
      <c r="BO196" s="64">
        <f t="shared" si="13"/>
        <v>0.5387205387205386</v>
      </c>
      <c r="BP196" s="64">
        <f t="shared" si="14"/>
        <v>0.54545454545454541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480</v>
      </c>
      <c r="Y198" s="540">
        <f t="shared" si="10"/>
        <v>480.6</v>
      </c>
      <c r="Z198" s="36">
        <f>IFERROR(IF(Y198=0,"",ROUNDUP(Y198/H198,0)*0.00902),"")</f>
        <v>0.80278000000000005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496.8888888888888</v>
      </c>
      <c r="BN198" s="64">
        <f t="shared" si="12"/>
        <v>497.51</v>
      </c>
      <c r="BO198" s="64">
        <f t="shared" si="13"/>
        <v>0.67340067340067344</v>
      </c>
      <c r="BP198" s="64">
        <f t="shared" si="14"/>
        <v>0.67424242424242431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41</v>
      </c>
      <c r="Y199" s="540">
        <f t="shared" si="10"/>
        <v>41.4</v>
      </c>
      <c r="Z199" s="36">
        <f>IFERROR(IF(Y199=0,"",ROUNDUP(Y199/H199,0)*0.00502),"")</f>
        <v>0.11546000000000001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43.961111111111109</v>
      </c>
      <c r="BN199" s="64">
        <f t="shared" si="12"/>
        <v>44.39</v>
      </c>
      <c r="BO199" s="64">
        <f t="shared" si="13"/>
        <v>9.7340930674264026E-2</v>
      </c>
      <c r="BP199" s="64">
        <f t="shared" si="14"/>
        <v>9.8290598290598302E-2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17</v>
      </c>
      <c r="Y200" s="540">
        <f t="shared" si="10"/>
        <v>18</v>
      </c>
      <c r="Z200" s="36">
        <f>IFERROR(IF(Y200=0,"",ROUNDUP(Y200/H200,0)*0.00502),"")</f>
        <v>5.0200000000000002E-2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17.944444444444443</v>
      </c>
      <c r="BN200" s="64">
        <f t="shared" si="12"/>
        <v>18.999999999999996</v>
      </c>
      <c r="BO200" s="64">
        <f t="shared" si="13"/>
        <v>4.0360873694207031E-2</v>
      </c>
      <c r="BP200" s="64">
        <f t="shared" si="14"/>
        <v>4.2735042735042736E-2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18</v>
      </c>
      <c r="Y202" s="540">
        <f t="shared" si="10"/>
        <v>18</v>
      </c>
      <c r="Z202" s="36">
        <f>IFERROR(IF(Y202=0,"",ROUNDUP(Y202/H202,0)*0.00502),"")</f>
        <v>5.0200000000000002E-2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18.999999999999996</v>
      </c>
      <c r="BN202" s="64">
        <f t="shared" si="12"/>
        <v>18.999999999999996</v>
      </c>
      <c r="BO202" s="64">
        <f t="shared" si="13"/>
        <v>4.2735042735042736E-2</v>
      </c>
      <c r="BP202" s="64">
        <f t="shared" si="14"/>
        <v>4.2735042735042736E-2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289.81481481481484</v>
      </c>
      <c r="Y203" s="541">
        <f>IFERROR(Y195/H195,"0")+IFERROR(Y196/H196,"0")+IFERROR(Y197/H197,"0")+IFERROR(Y198/H198,"0")+IFERROR(Y199/H199,"0")+IFERROR(Y200/H200,"0")+IFERROR(Y201/H201,"0")+IFERROR(Y202/H202,"0")</f>
        <v>292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2.46184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1413</v>
      </c>
      <c r="Y204" s="541">
        <f>IFERROR(SUM(Y195:Y202),"0")</f>
        <v>1422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380</v>
      </c>
      <c r="Y208" s="540">
        <f t="shared" si="15"/>
        <v>382.79999999999995</v>
      </c>
      <c r="Z208" s="36">
        <f>IFERROR(IF(Y208=0,"",ROUNDUP(Y208/H208,0)*0.01898),"")</f>
        <v>0.83511999999999997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401.57701149425293</v>
      </c>
      <c r="BN208" s="64">
        <f t="shared" si="17"/>
        <v>404.536</v>
      </c>
      <c r="BO208" s="64">
        <f t="shared" si="18"/>
        <v>0.68247126436781613</v>
      </c>
      <c r="BP208" s="64">
        <f t="shared" si="19"/>
        <v>0.6875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165</v>
      </c>
      <c r="Y209" s="540">
        <f t="shared" si="15"/>
        <v>165.6</v>
      </c>
      <c r="Z209" s="36">
        <f t="shared" ref="Z209:Z214" si="20">IFERROR(IF(Y209=0,"",ROUNDUP(Y209/H209,0)*0.00651),"")</f>
        <v>0.44919000000000003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183.5625</v>
      </c>
      <c r="BN209" s="64">
        <f t="shared" si="17"/>
        <v>184.23</v>
      </c>
      <c r="BO209" s="64">
        <f t="shared" si="18"/>
        <v>0.37774725274725279</v>
      </c>
      <c r="BP209" s="64">
        <f t="shared" si="19"/>
        <v>0.37912087912087916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405</v>
      </c>
      <c r="Y211" s="540">
        <f t="shared" si="15"/>
        <v>405.59999999999997</v>
      </c>
      <c r="Z211" s="36">
        <f t="shared" si="20"/>
        <v>1.10019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447.52499999999998</v>
      </c>
      <c r="BN211" s="64">
        <f t="shared" si="17"/>
        <v>448.18800000000005</v>
      </c>
      <c r="BO211" s="64">
        <f t="shared" si="18"/>
        <v>0.92719780219780223</v>
      </c>
      <c r="BP211" s="64">
        <f t="shared" si="19"/>
        <v>0.9285714285714286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340</v>
      </c>
      <c r="Y212" s="540">
        <f t="shared" si="15"/>
        <v>340.8</v>
      </c>
      <c r="Z212" s="36">
        <f t="shared" si="20"/>
        <v>0.92442000000000002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375.70000000000005</v>
      </c>
      <c r="BN212" s="64">
        <f t="shared" si="17"/>
        <v>376.58400000000006</v>
      </c>
      <c r="BO212" s="64">
        <f t="shared" si="18"/>
        <v>0.77838827838827851</v>
      </c>
      <c r="BP212" s="64">
        <f t="shared" si="19"/>
        <v>0.78021978021978033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98</v>
      </c>
      <c r="Y213" s="540">
        <f t="shared" si="15"/>
        <v>98.399999999999991</v>
      </c>
      <c r="Z213" s="36">
        <f t="shared" si="20"/>
        <v>0.26690999999999998</v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108.29</v>
      </c>
      <c r="BN213" s="64">
        <f t="shared" si="17"/>
        <v>108.732</v>
      </c>
      <c r="BO213" s="64">
        <f t="shared" si="18"/>
        <v>0.22435897435897439</v>
      </c>
      <c r="BP213" s="64">
        <f t="shared" si="19"/>
        <v>0.22527472527472528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139</v>
      </c>
      <c r="Y214" s="540">
        <f t="shared" si="15"/>
        <v>139.19999999999999</v>
      </c>
      <c r="Z214" s="36">
        <f t="shared" si="20"/>
        <v>0.37758000000000003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153.9425</v>
      </c>
      <c r="BN214" s="64">
        <f t="shared" si="17"/>
        <v>154.16399999999999</v>
      </c>
      <c r="BO214" s="64">
        <f t="shared" si="18"/>
        <v>0.31822344322344326</v>
      </c>
      <c r="BP214" s="64">
        <f t="shared" si="19"/>
        <v>0.31868131868131871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521.59482758620686</v>
      </c>
      <c r="Y215" s="541">
        <f>IFERROR(Y206/H206,"0")+IFERROR(Y207/H207,"0")+IFERROR(Y208/H208,"0")+IFERROR(Y209/H209,"0")+IFERROR(Y210/H210,"0")+IFERROR(Y211/H211,"0")+IFERROR(Y212/H212,"0")+IFERROR(Y213/H213,"0")+IFERROR(Y214/H214,"0")</f>
        <v>523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3.9534099999999999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1527</v>
      </c>
      <c r="Y216" s="541">
        <f>IFERROR(SUM(Y206:Y214),"0")</f>
        <v>1532.4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65</v>
      </c>
      <c r="Y218" s="540">
        <f>IFERROR(IF(X218="",0,CEILING((X218/$H218),1)*$H218),"")</f>
        <v>67.2</v>
      </c>
      <c r="Z218" s="36">
        <f>IFERROR(IF(Y218=0,"",ROUNDUP(Y218/H218,0)*0.00651),"")</f>
        <v>0.18228</v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71.825000000000003</v>
      </c>
      <c r="BN218" s="64">
        <f>IFERROR(Y218*I218/H218,"0")</f>
        <v>74.256000000000014</v>
      </c>
      <c r="BO218" s="64">
        <f>IFERROR(1/J218*(X218/H218),"0")</f>
        <v>0.14880952380952384</v>
      </c>
      <c r="BP218" s="64">
        <f>IFERROR(1/J218*(Y218/H218),"0")</f>
        <v>0.15384615384615388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38</v>
      </c>
      <c r="Y219" s="540">
        <f>IFERROR(IF(X219="",0,CEILING((X219/$H219),1)*$H219),"")</f>
        <v>38.4</v>
      </c>
      <c r="Z219" s="36">
        <f>IFERROR(IF(Y219=0,"",ROUNDUP(Y219/H219,0)*0.00651),"")</f>
        <v>0.10416</v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41.990000000000009</v>
      </c>
      <c r="BN219" s="64">
        <f>IFERROR(Y219*I219/H219,"0")</f>
        <v>42.432000000000002</v>
      </c>
      <c r="BO219" s="64">
        <f>IFERROR(1/J219*(X219/H219),"0")</f>
        <v>8.6996336996337006E-2</v>
      </c>
      <c r="BP219" s="64">
        <f>IFERROR(1/J219*(Y219/H219),"0")</f>
        <v>8.7912087912087919E-2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42.916666666666671</v>
      </c>
      <c r="Y220" s="541">
        <f>IFERROR(Y218/H218,"0")+IFERROR(Y219/H219,"0")</f>
        <v>44</v>
      </c>
      <c r="Z220" s="541">
        <f>IFERROR(IF(Z218="",0,Z218),"0")+IFERROR(IF(Z219="",0,Z219),"0")</f>
        <v>0.28644000000000003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103</v>
      </c>
      <c r="Y221" s="541">
        <f>IFERROR(SUM(Y218:Y219),"0")</f>
        <v>105.6</v>
      </c>
      <c r="Z221" s="37"/>
      <c r="AA221" s="542"/>
      <c r="AB221" s="542"/>
      <c r="AC221" s="542"/>
    </row>
    <row r="222" spans="1:68" ht="16.5" customHeight="1" x14ac:dyDescent="0.25">
      <c r="A222" s="552" t="s">
        <v>357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383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1</v>
      </c>
      <c r="Y241" s="540">
        <f>IFERROR(IF(X241="",0,CEILING((X241/$H241),1)*$H241),"")</f>
        <v>1.8</v>
      </c>
      <c r="Z241" s="36">
        <f>IFERROR(IF(Y241=0,"",ROUNDUP(Y241/H241,0)*0.0059),"")</f>
        <v>5.8999999999999999E-3</v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1.0972222222222223</v>
      </c>
      <c r="BN241" s="64">
        <f>IFERROR(Y241*I241/H241,"0")</f>
        <v>1.9750000000000001</v>
      </c>
      <c r="BO241" s="64">
        <f>IFERROR(1/J241*(X241/H241),"0")</f>
        <v>2.5720164609053498E-3</v>
      </c>
      <c r="BP241" s="64">
        <f>IFERROR(1/J241*(Y241/H241),"0")</f>
        <v>4.6296296296296294E-3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0.55555555555555558</v>
      </c>
      <c r="Y242" s="541">
        <f>IFERROR(Y241/H241,"0")</f>
        <v>1</v>
      </c>
      <c r="Z242" s="541">
        <f>IFERROR(IF(Z241="",0,Z241),"0")</f>
        <v>5.8999999999999999E-3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1</v>
      </c>
      <c r="Y243" s="541">
        <f>IFERROR(SUM(Y241:Y241),"0")</f>
        <v>1.8</v>
      </c>
      <c r="Z243" s="37"/>
      <c r="AA243" s="542"/>
      <c r="AB243" s="542"/>
      <c r="AC243" s="542"/>
    </row>
    <row r="244" spans="1:68" ht="14.25" customHeight="1" x14ac:dyDescent="0.25">
      <c r="A244" s="554" t="s">
        <v>387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399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415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426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5</v>
      </c>
      <c r="Y272" s="540">
        <f>IFERROR(IF(X272="",0,CEILING((X272/$H272),1)*$H272),"")</f>
        <v>7.1999999999999993</v>
      </c>
      <c r="Z272" s="36">
        <f>IFERROR(IF(Y272=0,"",ROUNDUP(Y272/H272,0)*0.00651),"")</f>
        <v>1.9529999999999999E-2</v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5.5250000000000012</v>
      </c>
      <c r="BN272" s="64">
        <f>IFERROR(Y272*I272/H272,"0")</f>
        <v>7.9560000000000004</v>
      </c>
      <c r="BO272" s="64">
        <f>IFERROR(1/J272*(X272/H272),"0")</f>
        <v>1.1446886446886448E-2</v>
      </c>
      <c r="BP272" s="64">
        <f>IFERROR(1/J272*(Y272/H272),"0")</f>
        <v>1.6483516483516484E-2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32</v>
      </c>
      <c r="Y273" s="540">
        <f>IFERROR(IF(X273="",0,CEILING((X273/$H273),1)*$H273),"")</f>
        <v>33.6</v>
      </c>
      <c r="Z273" s="36">
        <f>IFERROR(IF(Y273=0,"",ROUNDUP(Y273/H273,0)*0.00651),"")</f>
        <v>9.1139999999999999E-2</v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34.400000000000006</v>
      </c>
      <c r="BN273" s="64">
        <f>IFERROR(Y273*I273/H273,"0")</f>
        <v>36.120000000000005</v>
      </c>
      <c r="BO273" s="64">
        <f>IFERROR(1/J273*(X273/H273),"0")</f>
        <v>7.3260073260073263E-2</v>
      </c>
      <c r="BP273" s="64">
        <f>IFERROR(1/J273*(Y273/H273),"0")</f>
        <v>7.6923076923076941E-2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15.416666666666668</v>
      </c>
      <c r="Y274" s="541">
        <f>IFERROR(Y271/H271,"0")+IFERROR(Y272/H272,"0")+IFERROR(Y273/H273,"0")</f>
        <v>17</v>
      </c>
      <c r="Z274" s="541">
        <f>IFERROR(IF(Z271="",0,Z271),"0")+IFERROR(IF(Z272="",0,Z272),"0")+IFERROR(IF(Z273="",0,Z273),"0")</f>
        <v>0.11066999999999999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37</v>
      </c>
      <c r="Y275" s="541">
        <f>IFERROR(SUM(Y271:Y273),"0")</f>
        <v>40.799999999999997</v>
      </c>
      <c r="Z275" s="37"/>
      <c r="AA275" s="542"/>
      <c r="AB275" s="542"/>
      <c r="AC275" s="542"/>
    </row>
    <row r="276" spans="1:68" ht="16.5" customHeight="1" x14ac:dyDescent="0.25">
      <c r="A276" s="552" t="s">
        <v>435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445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222</v>
      </c>
      <c r="Y315" s="540">
        <f>IFERROR(IF(X315="",0,CEILING((X315/$H315),1)*$H315),"")</f>
        <v>226.2</v>
      </c>
      <c r="Z315" s="36">
        <f>IFERROR(IF(Y315=0,"",ROUNDUP(Y315/H315,0)*0.01898),"")</f>
        <v>0.55042000000000002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236.06</v>
      </c>
      <c r="BN315" s="64">
        <f>IFERROR(Y315*I315/H315,"0")</f>
        <v>240.52600000000001</v>
      </c>
      <c r="BO315" s="64">
        <f>IFERROR(1/J315*(X315/H315),"0")</f>
        <v>0.44471153846153849</v>
      </c>
      <c r="BP315" s="64">
        <f>IFERROR(1/J315*(Y315/H315),"0")</f>
        <v>0.453125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28.461538461538463</v>
      </c>
      <c r="Y317" s="541">
        <f>IFERROR(Y314/H314,"0")+IFERROR(Y315/H315,"0")+IFERROR(Y316/H316,"0")</f>
        <v>29</v>
      </c>
      <c r="Z317" s="541">
        <f>IFERROR(IF(Z314="",0,Z314),"0")+IFERROR(IF(Z315="",0,Z315),"0")+IFERROR(IF(Z316="",0,Z316),"0")</f>
        <v>0.55042000000000002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222</v>
      </c>
      <c r="Y318" s="541">
        <f>IFERROR(SUM(Y314:Y316),"0")</f>
        <v>226.2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508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3</v>
      </c>
      <c r="Y322" s="540">
        <f>IFERROR(IF(X322="",0,CEILING((X322/$H322),1)*$H322),"")</f>
        <v>5.0999999999999996</v>
      </c>
      <c r="Z322" s="36">
        <f>IFERROR(IF(Y322=0,"",ROUNDUP(Y322/H322,0)*0.00651),"")</f>
        <v>1.302E-2</v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3.4764705882352946</v>
      </c>
      <c r="BN322" s="64">
        <f>IFERROR(Y322*I322/H322,"0")</f>
        <v>5.91</v>
      </c>
      <c r="BO322" s="64">
        <f>IFERROR(1/J322*(X322/H322),"0")</f>
        <v>6.4641241111829352E-3</v>
      </c>
      <c r="BP322" s="64">
        <f>IFERROR(1/J322*(Y322/H322),"0")</f>
        <v>1.098901098901099E-2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18</v>
      </c>
      <c r="Y323" s="540">
        <f>IFERROR(IF(X323="",0,CEILING((X323/$H323),1)*$H323),"")</f>
        <v>20.399999999999999</v>
      </c>
      <c r="Z323" s="36">
        <f>IFERROR(IF(Y323=0,"",ROUNDUP(Y323/H323,0)*0.00651),"")</f>
        <v>5.2080000000000001E-2</v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20.329411764705881</v>
      </c>
      <c r="BN323" s="64">
        <f>IFERROR(Y323*I323/H323,"0")</f>
        <v>23.04</v>
      </c>
      <c r="BO323" s="64">
        <f>IFERROR(1/J323*(X323/H323),"0")</f>
        <v>3.8784744667097616E-2</v>
      </c>
      <c r="BP323" s="64">
        <f>IFERROR(1/J323*(Y323/H323),"0")</f>
        <v>4.3956043956043959E-2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8.2352941176470598</v>
      </c>
      <c r="Y324" s="541">
        <f>IFERROR(Y320/H320,"0")+IFERROR(Y321/H321,"0")+IFERROR(Y322/H322,"0")+IFERROR(Y323/H323,"0")</f>
        <v>10</v>
      </c>
      <c r="Z324" s="541">
        <f>IFERROR(IF(Z320="",0,Z320),"0")+IFERROR(IF(Z321="",0,Z321),"0")+IFERROR(IF(Z322="",0,Z322),"0")+IFERROR(IF(Z323="",0,Z323),"0")</f>
        <v>6.5100000000000005E-2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21</v>
      </c>
      <c r="Y325" s="541">
        <f>IFERROR(SUM(Y320:Y323),"0")</f>
        <v>25.5</v>
      </c>
      <c r="Z325" s="37"/>
      <c r="AA325" s="542"/>
      <c r="AB325" s="542"/>
      <c r="AC325" s="542"/>
    </row>
    <row r="326" spans="1:68" ht="14.25" customHeight="1" x14ac:dyDescent="0.25">
      <c r="A326" s="554" t="s">
        <v>514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2</v>
      </c>
      <c r="Y327" s="540">
        <f>IFERROR(IF(X327="",0,CEILING((X327/$H327),1)*$H327),"")</f>
        <v>2</v>
      </c>
      <c r="Z327" s="36">
        <f>IFERROR(IF(Y327=0,"",ROUNDUP(Y327/H327,0)*0.00474),"")</f>
        <v>4.7400000000000003E-3</v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2.2400000000000002</v>
      </c>
      <c r="BN327" s="64">
        <f>IFERROR(Y327*I327/H327,"0")</f>
        <v>2.2400000000000002</v>
      </c>
      <c r="BO327" s="64">
        <f>IFERROR(1/J327*(X327/H327),"0")</f>
        <v>4.2016806722689074E-3</v>
      </c>
      <c r="BP327" s="64">
        <f>IFERROR(1/J327*(Y327/H327),"0")</f>
        <v>4.2016806722689074E-3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5</v>
      </c>
      <c r="Y328" s="540">
        <f>IFERROR(IF(X328="",0,CEILING((X328/$H328),1)*$H328),"")</f>
        <v>6</v>
      </c>
      <c r="Z328" s="36">
        <f>IFERROR(IF(Y328=0,"",ROUNDUP(Y328/H328,0)*0.00474),"")</f>
        <v>1.422E-2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5.6000000000000005</v>
      </c>
      <c r="BN328" s="64">
        <f>IFERROR(Y328*I328/H328,"0")</f>
        <v>6.7200000000000006</v>
      </c>
      <c r="BO328" s="64">
        <f>IFERROR(1/J328*(X328/H328),"0")</f>
        <v>1.0504201680672268E-2</v>
      </c>
      <c r="BP328" s="64">
        <f>IFERROR(1/J328*(Y328/H328),"0")</f>
        <v>1.2605042016806723E-2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3.5</v>
      </c>
      <c r="Y330" s="541">
        <f>IFERROR(Y327/H327,"0")+IFERROR(Y328/H328,"0")+IFERROR(Y329/H329,"0")</f>
        <v>4</v>
      </c>
      <c r="Z330" s="541">
        <f>IFERROR(IF(Z327="",0,Z327),"0")+IFERROR(IF(Z328="",0,Z328),"0")+IFERROR(IF(Z329="",0,Z329),"0")</f>
        <v>1.8960000000000001E-2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7</v>
      </c>
      <c r="Y331" s="541">
        <f>IFERROR(SUM(Y327:Y329),"0")</f>
        <v>8</v>
      </c>
      <c r="Z331" s="37"/>
      <c r="AA331" s="542"/>
      <c r="AB331" s="542"/>
      <c r="AC331" s="542"/>
    </row>
    <row r="332" spans="1:68" ht="16.5" customHeight="1" x14ac:dyDescent="0.25">
      <c r="A332" s="552" t="s">
        <v>523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533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534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494</v>
      </c>
      <c r="Y342" s="540">
        <f t="shared" ref="Y342:Y348" si="31">IFERROR(IF(X342="",0,CEILING((X342/$H342),1)*$H342),"")</f>
        <v>495</v>
      </c>
      <c r="Z342" s="36">
        <f>IFERROR(IF(Y342=0,"",ROUNDUP(Y342/H342,0)*0.02175),"")</f>
        <v>0.71775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509.4786666666667</v>
      </c>
      <c r="BN342" s="64">
        <f t="shared" ref="BN342:BN348" si="33">IFERROR(Y342*I342/H342,"0")</f>
        <v>510.51000000000005</v>
      </c>
      <c r="BO342" s="64">
        <f t="shared" ref="BO342:BO348" si="34">IFERROR(1/J342*(X342/H342),"0")</f>
        <v>0.68611111111111101</v>
      </c>
      <c r="BP342" s="64">
        <f t="shared" ref="BP342:BP348" si="35">IFERROR(1/J342*(Y342/H342),"0")</f>
        <v>0.6875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443</v>
      </c>
      <c r="Y343" s="540">
        <f t="shared" si="31"/>
        <v>450</v>
      </c>
      <c r="Z343" s="36">
        <f>IFERROR(IF(Y343=0,"",ROUNDUP(Y343/H343,0)*0.02175),"")</f>
        <v>0.65249999999999997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456.88066666666668</v>
      </c>
      <c r="BN343" s="64">
        <f t="shared" si="33"/>
        <v>464.1</v>
      </c>
      <c r="BO343" s="64">
        <f t="shared" si="34"/>
        <v>0.61527777777777781</v>
      </c>
      <c r="BP343" s="64">
        <f t="shared" si="35"/>
        <v>0.625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371</v>
      </c>
      <c r="Y344" s="540">
        <f t="shared" si="31"/>
        <v>375</v>
      </c>
      <c r="Z344" s="36">
        <f>IFERROR(IF(Y344=0,"",ROUNDUP(Y344/H344,0)*0.02175),"")</f>
        <v>0.54374999999999996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382.62466666666666</v>
      </c>
      <c r="BN344" s="64">
        <f t="shared" si="33"/>
        <v>386.75</v>
      </c>
      <c r="BO344" s="64">
        <f t="shared" si="34"/>
        <v>0.51527777777777772</v>
      </c>
      <c r="BP344" s="64">
        <f t="shared" si="35"/>
        <v>0.52083333333333326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546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40</v>
      </c>
      <c r="Y345" s="540">
        <f t="shared" si="31"/>
        <v>45</v>
      </c>
      <c r="Z345" s="36">
        <f>IFERROR(IF(Y345=0,"",ROUNDUP(Y345/H345,0)*0.02175),"")</f>
        <v>6.5250000000000002E-2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41.253333333333337</v>
      </c>
      <c r="BN345" s="64">
        <f t="shared" si="33"/>
        <v>46.41</v>
      </c>
      <c r="BO345" s="64">
        <f t="shared" si="34"/>
        <v>5.5555555555555552E-2</v>
      </c>
      <c r="BP345" s="64">
        <f t="shared" si="35"/>
        <v>6.25E-2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89.866666666666674</v>
      </c>
      <c r="Y349" s="541">
        <f>IFERROR(Y342/H342,"0")+IFERROR(Y343/H343,"0")+IFERROR(Y344/H344,"0")+IFERROR(Y345/H345,"0")+IFERROR(Y346/H346,"0")+IFERROR(Y347/H347,"0")+IFERROR(Y348/H348,"0")</f>
        <v>91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1.97925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1348</v>
      </c>
      <c r="Y350" s="541">
        <f>IFERROR(SUM(Y342:Y348),"0")</f>
        <v>1365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0</v>
      </c>
      <c r="Y352" s="540">
        <f>IFERROR(IF(X352="",0,CEILING((X352/$H352),1)*$H352),"")</f>
        <v>0</v>
      </c>
      <c r="Z352" s="36" t="str">
        <f>IFERROR(IF(Y352=0,"",ROUNDUP(Y352/H352,0)*0.02175),"")</f>
        <v/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0</v>
      </c>
      <c r="Y354" s="541">
        <f>IFERROR(Y352/H352,"0")+IFERROR(Y353/H353,"0")</f>
        <v>0</v>
      </c>
      <c r="Z354" s="541">
        <f>IFERROR(IF(Z352="",0,Z352),"0")+IFERROR(IF(Z353="",0,Z353),"0")</f>
        <v>0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0</v>
      </c>
      <c r="Y355" s="541">
        <f>IFERROR(SUM(Y352:Y353),"0")</f>
        <v>0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569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939</v>
      </c>
      <c r="Y377" s="540">
        <f>IFERROR(IF(X377="",0,CEILING((X377/$H377),1)*$H377),"")</f>
        <v>945</v>
      </c>
      <c r="Z377" s="36">
        <f>IFERROR(IF(Y377=0,"",ROUNDUP(Y377/H377,0)*0.01898),"")</f>
        <v>1.9929000000000001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990.54066666666665</v>
      </c>
      <c r="BN377" s="64">
        <f>IFERROR(Y377*I377/H377,"0")</f>
        <v>996.87</v>
      </c>
      <c r="BO377" s="64">
        <f>IFERROR(1/J377*(X377/H377),"0")</f>
        <v>1.6302083333333333</v>
      </c>
      <c r="BP377" s="64">
        <f>IFERROR(1/J377*(Y377/H377),"0")</f>
        <v>1.640625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104.33333333333333</v>
      </c>
      <c r="Y379" s="541">
        <f>IFERROR(Y377/H377,"0")+IFERROR(Y378/H378,"0")</f>
        <v>105</v>
      </c>
      <c r="Z379" s="541">
        <f>IFERROR(IF(Z377="",0,Z377),"0")+IFERROR(IF(Z378="",0,Z378),"0")</f>
        <v>1.9929000000000001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939</v>
      </c>
      <c r="Y380" s="541">
        <f>IFERROR(SUM(Y377:Y378),"0")</f>
        <v>945</v>
      </c>
      <c r="Z380" s="37"/>
      <c r="AA380" s="542"/>
      <c r="AB380" s="542"/>
      <c r="AC380" s="542"/>
    </row>
    <row r="381" spans="1:68" ht="27.75" customHeight="1" x14ac:dyDescent="0.2">
      <c r="A381" s="693" t="s">
        <v>585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586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617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632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636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636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63</v>
      </c>
      <c r="Y420" s="540">
        <f t="shared" ref="Y420:Y430" si="42">IFERROR(IF(X420="",0,CEILING((X420/$H420),1)*$H420),"")</f>
        <v>63.36</v>
      </c>
      <c r="Z420" s="36">
        <f t="shared" ref="Z420:Z425" si="43">IFERROR(IF(Y420=0,"",ROUNDUP(Y420/H420,0)*0.01196),"")</f>
        <v>0.14352000000000001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67.17613636363636</v>
      </c>
      <c r="BN420" s="64">
        <f t="shared" ref="BN420:BN430" si="45">IFERROR(Y420*I420/H420,"0")</f>
        <v>67.559999999999988</v>
      </c>
      <c r="BO420" s="64">
        <f t="shared" ref="BO420:BO430" si="46">IFERROR(1/J420*(X420/H420),"0")</f>
        <v>0.11472902097902099</v>
      </c>
      <c r="BP420" s="64">
        <f t="shared" ref="BP420:BP430" si="47">IFERROR(1/J420*(Y420/H420),"0")</f>
        <v>0.11538461538461539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307</v>
      </c>
      <c r="Y422" s="540">
        <f t="shared" si="42"/>
        <v>311.52000000000004</v>
      </c>
      <c r="Z422" s="36">
        <f t="shared" si="43"/>
        <v>0.70564000000000004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327.35037878787875</v>
      </c>
      <c r="BN422" s="64">
        <f t="shared" si="45"/>
        <v>332.17</v>
      </c>
      <c r="BO422" s="64">
        <f t="shared" si="46"/>
        <v>0.55907634032634035</v>
      </c>
      <c r="BP422" s="64">
        <f t="shared" si="47"/>
        <v>0.5673076923076924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371</v>
      </c>
      <c r="Y425" s="540">
        <f t="shared" si="42"/>
        <v>374.88</v>
      </c>
      <c r="Z425" s="36">
        <f t="shared" si="43"/>
        <v>0.84916000000000003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395.592803030303</v>
      </c>
      <c r="BN425" s="64">
        <f t="shared" si="45"/>
        <v>399.72999999999996</v>
      </c>
      <c r="BO425" s="64">
        <f t="shared" si="46"/>
        <v>0.67562645687645695</v>
      </c>
      <c r="BP425" s="64">
        <f t="shared" si="47"/>
        <v>0.68269230769230771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39</v>
      </c>
      <c r="Y427" s="540">
        <f t="shared" si="42"/>
        <v>43.199999999999996</v>
      </c>
      <c r="Z427" s="36">
        <f>IFERROR(IF(Y427=0,"",ROUNDUP(Y427/H427,0)*0.00902),"")</f>
        <v>8.1180000000000002E-2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56.143750000000004</v>
      </c>
      <c r="BN427" s="64">
        <f t="shared" si="45"/>
        <v>62.190000000000005</v>
      </c>
      <c r="BO427" s="64">
        <f t="shared" si="46"/>
        <v>6.1553030303030304E-2</v>
      </c>
      <c r="BP427" s="64">
        <f t="shared" si="47"/>
        <v>6.8181818181818177E-2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148.46590909090909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151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1.7795000000000001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780</v>
      </c>
      <c r="Y432" s="541">
        <f>IFERROR(SUM(Y420:Y430),"0")</f>
        <v>792.96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21</v>
      </c>
      <c r="Y436" s="540">
        <f>IFERROR(IF(X436="",0,CEILING((X436/$H436),1)*$H436),"")</f>
        <v>24</v>
      </c>
      <c r="Z436" s="36">
        <f>IFERROR(IF(Y436=0,"",ROUNDUP(Y436/H436,0)*0.00902),"")</f>
        <v>4.5100000000000001E-2</v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30.231250000000003</v>
      </c>
      <c r="BN436" s="64">
        <f>IFERROR(Y436*I436/H436,"0")</f>
        <v>34.550000000000004</v>
      </c>
      <c r="BO436" s="64">
        <f>IFERROR(1/J436*(X436/H436),"0")</f>
        <v>3.3143939393939392E-2</v>
      </c>
      <c r="BP436" s="64">
        <f>IFERROR(1/J436*(Y436/H436),"0")</f>
        <v>3.787878787878788E-2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4.375</v>
      </c>
      <c r="Y437" s="541">
        <f>IFERROR(Y434/H434,"0")+IFERROR(Y435/H435,"0")+IFERROR(Y436/H436,"0")</f>
        <v>5</v>
      </c>
      <c r="Z437" s="541">
        <f>IFERROR(IF(Z434="",0,Z434),"0")+IFERROR(IF(Z435="",0,Z435),"0")+IFERROR(IF(Z436="",0,Z436),"0")</f>
        <v>4.5100000000000001E-2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21</v>
      </c>
      <c r="Y438" s="541">
        <f>IFERROR(SUM(Y434:Y436),"0")</f>
        <v>24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94</v>
      </c>
      <c r="Y440" s="540">
        <f t="shared" ref="Y440:Y445" si="48">IFERROR(IF(X440="",0,CEILING((X440/$H440),1)*$H440),"")</f>
        <v>95.04</v>
      </c>
      <c r="Z440" s="36">
        <f>IFERROR(IF(Y440=0,"",ROUNDUP(Y440/H440,0)*0.01196),"")</f>
        <v>0.21528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100.23106060606061</v>
      </c>
      <c r="BN440" s="64">
        <f t="shared" ref="BN440:BN445" si="50">IFERROR(Y440*I440/H440,"0")</f>
        <v>101.33999999999999</v>
      </c>
      <c r="BO440" s="64">
        <f t="shared" ref="BO440:BO445" si="51">IFERROR(1/J440*(X440/H440),"0")</f>
        <v>0.17118298368298368</v>
      </c>
      <c r="BP440" s="64">
        <f t="shared" ref="BP440:BP445" si="52">IFERROR(1/J440*(Y440/H440),"0")</f>
        <v>0.17307692307692307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296</v>
      </c>
      <c r="Y441" s="540">
        <f t="shared" si="48"/>
        <v>300.96000000000004</v>
      </c>
      <c r="Z441" s="36">
        <f>IFERROR(IF(Y441=0,"",ROUNDUP(Y441/H441,0)*0.01196),"")</f>
        <v>0.68171999999999999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315.62121212121212</v>
      </c>
      <c r="BN441" s="64">
        <f t="shared" si="50"/>
        <v>320.91000000000003</v>
      </c>
      <c r="BO441" s="64">
        <f t="shared" si="51"/>
        <v>0.53904428904428903</v>
      </c>
      <c r="BP441" s="64">
        <f t="shared" si="52"/>
        <v>0.54807692307692313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73.86363636363636</v>
      </c>
      <c r="Y446" s="541">
        <f>IFERROR(Y440/H440,"0")+IFERROR(Y441/H441,"0")+IFERROR(Y442/H442,"0")+IFERROR(Y443/H443,"0")+IFERROR(Y444/H444,"0")+IFERROR(Y445/H445,"0")</f>
        <v>75</v>
      </c>
      <c r="Z446" s="541">
        <f>IFERROR(IF(Z440="",0,Z440),"0")+IFERROR(IF(Z441="",0,Z441),"0")+IFERROR(IF(Z442="",0,Z442),"0")+IFERROR(IF(Z443="",0,Z443),"0")+IFERROR(IF(Z444="",0,Z444),"0")+IFERROR(IF(Z445="",0,Z445),"0")</f>
        <v>0.89700000000000002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390</v>
      </c>
      <c r="Y447" s="541">
        <f>IFERROR(SUM(Y440:Y445),"0")</f>
        <v>396.00000000000006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696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696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732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736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8495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8621.2800000000007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737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9017.3311884599862</v>
      </c>
      <c r="Y489" s="541">
        <f>IFERROR(SUM(BN22:BN485),"0")</f>
        <v>9153.4169999999995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738</v>
      </c>
      <c r="Q490" s="629"/>
      <c r="R490" s="629"/>
      <c r="S490" s="629"/>
      <c r="T490" s="629"/>
      <c r="U490" s="629"/>
      <c r="V490" s="630"/>
      <c r="W490" s="37" t="s">
        <v>739</v>
      </c>
      <c r="X490" s="38">
        <f>ROUNDUP(SUM(BO22:BO485),0)</f>
        <v>15</v>
      </c>
      <c r="Y490" s="38">
        <f>ROUNDUP(SUM(BP22:BP485),0)</f>
        <v>16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740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9392.3311884599862</v>
      </c>
      <c r="Y491" s="541">
        <f>GrossWeightTotalR+PalletQtyTotalR*25</f>
        <v>9553.4169999999995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741</v>
      </c>
      <c r="Q492" s="629"/>
      <c r="R492" s="629"/>
      <c r="S492" s="629"/>
      <c r="T492" s="629"/>
      <c r="U492" s="629"/>
      <c r="V492" s="630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1734.758374932107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1758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742</v>
      </c>
      <c r="Q493" s="629"/>
      <c r="R493" s="629"/>
      <c r="S493" s="629"/>
      <c r="T493" s="629"/>
      <c r="U493" s="629"/>
      <c r="V493" s="630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17.775920000000003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255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533</v>
      </c>
      <c r="T495" s="594"/>
      <c r="U495" s="575" t="s">
        <v>585</v>
      </c>
      <c r="V495" s="593"/>
      <c r="W495" s="594"/>
      <c r="X495" s="536" t="s">
        <v>636</v>
      </c>
      <c r="Y495" s="575" t="s">
        <v>696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745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190</v>
      </c>
      <c r="G496" s="575" t="s">
        <v>220</v>
      </c>
      <c r="H496" s="575" t="s">
        <v>97</v>
      </c>
      <c r="I496" s="575" t="s">
        <v>256</v>
      </c>
      <c r="J496" s="575" t="s">
        <v>297</v>
      </c>
      <c r="K496" s="575" t="s">
        <v>357</v>
      </c>
      <c r="L496" s="575" t="s">
        <v>399</v>
      </c>
      <c r="M496" s="575" t="s">
        <v>415</v>
      </c>
      <c r="N496" s="537"/>
      <c r="O496" s="575" t="s">
        <v>426</v>
      </c>
      <c r="P496" s="575" t="s">
        <v>435</v>
      </c>
      <c r="Q496" s="575" t="s">
        <v>445</v>
      </c>
      <c r="R496" s="575" t="s">
        <v>523</v>
      </c>
      <c r="S496" s="575" t="s">
        <v>534</v>
      </c>
      <c r="T496" s="575" t="s">
        <v>569</v>
      </c>
      <c r="U496" s="575" t="s">
        <v>586</v>
      </c>
      <c r="V496" s="575" t="s">
        <v>617</v>
      </c>
      <c r="W496" s="575" t="s">
        <v>632</v>
      </c>
      <c r="X496" s="575" t="s">
        <v>636</v>
      </c>
      <c r="Y496" s="575" t="s">
        <v>696</v>
      </c>
      <c r="Z496" s="575" t="s">
        <v>732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291.60000000000002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266.8</v>
      </c>
      <c r="E498" s="46">
        <f>IFERROR(Y85*1,"0")+IFERROR(Y86*1,"0")+IFERROR(Y87*1,"0")+IFERROR(Y91*1,"0")+IFERROR(Y92*1,"0")+IFERROR(Y93*1,"0")+IFERROR(Y94*1,"0")</f>
        <v>509.40000000000003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453.6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214.62000000000003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3060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1.8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40.799999999999997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259.7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1365</v>
      </c>
      <c r="T498" s="46">
        <f>IFERROR(Y367*1,"0")+IFERROR(Y368*1,"0")+IFERROR(Y372*1,"0")+IFERROR(Y373*1,"0")+IFERROR(Y377*1,"0")+IFERROR(Y378*1,"0")</f>
        <v>945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1212.96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an1yzAv6DglFAHw6DEKZPcoL62UQDf/I6YfLiT9IdR5nv8S1jTYSCZ8ExCE7cFCvr6RrkuJjOc0dQ3VfcFtMGg==" saltValue="+7HMETAL/OAV7zsxKa74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4:X165 X168 X186 X195:X200 X202 X206:X209 X211:X214 X232 X254 X256 X272:X273 X297 X306 X315 X322:X323 X335:X336 X342:X344 X352 X367 X372 X377:X378 X386 X420:X422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tijkfmOu+7lmyM//yLYNauYR0z8tEO8Lfbr++L/sEpRvFRnYWvTzzDHZujnJ0z1Wd7hltJUGr1Pp7r34vYIOEA==" saltValue="roumy47e3I7yz0DKy25i0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2025-11-07T07:08:23Z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