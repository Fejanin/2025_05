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B4F7F2F-DB9B-4FD3-9D2F-FD7B146532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Y473" i="1" s="1"/>
  <c r="P470" i="1"/>
  <c r="X468" i="1"/>
  <c r="X467" i="1"/>
  <c r="BO466" i="1"/>
  <c r="BM466" i="1"/>
  <c r="Y466" i="1"/>
  <c r="BP466" i="1" s="1"/>
  <c r="P466" i="1"/>
  <c r="BP465" i="1"/>
  <c r="BO465" i="1"/>
  <c r="BN465" i="1"/>
  <c r="BM465" i="1"/>
  <c r="Z465" i="1"/>
  <c r="Y465" i="1"/>
  <c r="P465" i="1"/>
  <c r="BO464" i="1"/>
  <c r="BM464" i="1"/>
  <c r="Y464" i="1"/>
  <c r="Y467" i="1" s="1"/>
  <c r="P464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Y446" i="1" s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Y432" i="1" s="1"/>
  <c r="P420" i="1"/>
  <c r="X416" i="1"/>
  <c r="Y415" i="1"/>
  <c r="X415" i="1"/>
  <c r="BP414" i="1"/>
  <c r="BO414" i="1"/>
  <c r="BN414" i="1"/>
  <c r="BM414" i="1"/>
  <c r="Z414" i="1"/>
  <c r="Z415" i="1" s="1"/>
  <c r="Y414" i="1"/>
  <c r="W498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Y411" i="1" s="1"/>
  <c r="P406" i="1"/>
  <c r="X404" i="1"/>
  <c r="X403" i="1"/>
  <c r="BO402" i="1"/>
  <c r="BM402" i="1"/>
  <c r="Y402" i="1"/>
  <c r="V498" i="1" s="1"/>
  <c r="P402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Y393" i="1" s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T498" i="1" s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Y350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Y293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59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4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I498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X492" i="1" s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2" i="1" s="1"/>
  <c r="Y43" i="1"/>
  <c r="Y58" i="1"/>
  <c r="Y64" i="1"/>
  <c r="Y70" i="1"/>
  <c r="Y76" i="1"/>
  <c r="Y82" i="1"/>
  <c r="Y89" i="1"/>
  <c r="Y95" i="1"/>
  <c r="Y104" i="1"/>
  <c r="Z107" i="1"/>
  <c r="BN107" i="1"/>
  <c r="Y110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8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BP186" i="1"/>
  <c r="BN186" i="1"/>
  <c r="Z186" i="1"/>
  <c r="Z187" i="1" s="1"/>
  <c r="Y188" i="1"/>
  <c r="Y192" i="1"/>
  <c r="Y193" i="1"/>
  <c r="BP190" i="1"/>
  <c r="BN190" i="1"/>
  <c r="Z190" i="1"/>
  <c r="Z192" i="1" s="1"/>
  <c r="H9" i="1"/>
  <c r="B498" i="1"/>
  <c r="X489" i="1"/>
  <c r="X490" i="1"/>
  <c r="Y24" i="1"/>
  <c r="Z27" i="1"/>
  <c r="Z31" i="1" s="1"/>
  <c r="BN27" i="1"/>
  <c r="Y489" i="1" s="1"/>
  <c r="Y491" i="1" s="1"/>
  <c r="Z29" i="1"/>
  <c r="BN29" i="1"/>
  <c r="C498" i="1"/>
  <c r="Z41" i="1"/>
  <c r="Z43" i="1" s="1"/>
  <c r="BN41" i="1"/>
  <c r="Y44" i="1"/>
  <c r="D498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8" i="1"/>
  <c r="Z100" i="1"/>
  <c r="Z103" i="1" s="1"/>
  <c r="BN100" i="1"/>
  <c r="Z102" i="1"/>
  <c r="BN102" i="1"/>
  <c r="Y103" i="1"/>
  <c r="Z106" i="1"/>
  <c r="Z109" i="1" s="1"/>
  <c r="BN106" i="1"/>
  <c r="BP106" i="1"/>
  <c r="Y126" i="1"/>
  <c r="Y160" i="1"/>
  <c r="J498" i="1"/>
  <c r="Y187" i="1"/>
  <c r="Z196" i="1"/>
  <c r="Z203" i="1" s="1"/>
  <c r="BN196" i="1"/>
  <c r="Z198" i="1"/>
  <c r="BN198" i="1"/>
  <c r="Z200" i="1"/>
  <c r="BN200" i="1"/>
  <c r="Z202" i="1"/>
  <c r="BN202" i="1"/>
  <c r="Y203" i="1"/>
  <c r="Z206" i="1"/>
  <c r="BN206" i="1"/>
  <c r="BP206" i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BP246" i="1"/>
  <c r="BN246" i="1"/>
  <c r="Z246" i="1"/>
  <c r="Z267" i="1"/>
  <c r="Z349" i="1"/>
  <c r="Y235" i="1"/>
  <c r="BP248" i="1"/>
  <c r="BN248" i="1"/>
  <c r="Z248" i="1"/>
  <c r="Z250" i="1" s="1"/>
  <c r="Z398" i="1"/>
  <c r="Y250" i="1"/>
  <c r="Y268" i="1"/>
  <c r="Y275" i="1"/>
  <c r="Y280" i="1"/>
  <c r="Y303" i="1"/>
  <c r="Y311" i="1"/>
  <c r="Y317" i="1"/>
  <c r="Y324" i="1"/>
  <c r="Y330" i="1"/>
  <c r="Y337" i="1"/>
  <c r="Y354" i="1"/>
  <c r="Y360" i="1"/>
  <c r="Y364" i="1"/>
  <c r="Y369" i="1"/>
  <c r="Y375" i="1"/>
  <c r="Y379" i="1"/>
  <c r="Y399" i="1"/>
  <c r="Y404" i="1"/>
  <c r="Y410" i="1"/>
  <c r="BP426" i="1"/>
  <c r="BN426" i="1"/>
  <c r="Z426" i="1"/>
  <c r="Z431" i="1" s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L498" i="1"/>
  <c r="Z255" i="1"/>
  <c r="Z259" i="1" s="1"/>
  <c r="BN255" i="1"/>
  <c r="Z257" i="1"/>
  <c r="BN257" i="1"/>
  <c r="Y260" i="1"/>
  <c r="M498" i="1"/>
  <c r="Z264" i="1"/>
  <c r="BN264" i="1"/>
  <c r="Z266" i="1"/>
  <c r="BN266" i="1"/>
  <c r="Y267" i="1"/>
  <c r="Z271" i="1"/>
  <c r="Z274" i="1" s="1"/>
  <c r="BN271" i="1"/>
  <c r="BP271" i="1"/>
  <c r="Z273" i="1"/>
  <c r="BN273" i="1"/>
  <c r="Y274" i="1"/>
  <c r="Z278" i="1"/>
  <c r="Z280" i="1" s="1"/>
  <c r="BN278" i="1"/>
  <c r="BP278" i="1"/>
  <c r="Y281" i="1"/>
  <c r="Q498" i="1"/>
  <c r="Z289" i="1"/>
  <c r="Z293" i="1" s="1"/>
  <c r="BN289" i="1"/>
  <c r="Z291" i="1"/>
  <c r="BN291" i="1"/>
  <c r="Y294" i="1"/>
  <c r="Z297" i="1"/>
  <c r="Z303" i="1" s="1"/>
  <c r="BN297" i="1"/>
  <c r="Z299" i="1"/>
  <c r="BN299" i="1"/>
  <c r="Z301" i="1"/>
  <c r="BN301" i="1"/>
  <c r="Z307" i="1"/>
  <c r="Z311" i="1" s="1"/>
  <c r="BN307" i="1"/>
  <c r="Z309" i="1"/>
  <c r="BN309" i="1"/>
  <c r="Z315" i="1"/>
  <c r="Z317" i="1" s="1"/>
  <c r="BN315" i="1"/>
  <c r="Z322" i="1"/>
  <c r="Z324" i="1" s="1"/>
  <c r="BN322" i="1"/>
  <c r="Z328" i="1"/>
  <c r="Z330" i="1" s="1"/>
  <c r="BN328" i="1"/>
  <c r="R498" i="1"/>
  <c r="Z335" i="1"/>
  <c r="Z337" i="1" s="1"/>
  <c r="BN335" i="1"/>
  <c r="Y338" i="1"/>
  <c r="S498" i="1"/>
  <c r="Z343" i="1"/>
  <c r="BN343" i="1"/>
  <c r="Z346" i="1"/>
  <c r="BN346" i="1"/>
  <c r="Z348" i="1"/>
  <c r="BN348" i="1"/>
  <c r="Y349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79" i="1" s="1"/>
  <c r="BN377" i="1"/>
  <c r="BP377" i="1"/>
  <c r="U498" i="1"/>
  <c r="Z385" i="1"/>
  <c r="Z393" i="1" s="1"/>
  <c r="BN385" i="1"/>
  <c r="Z387" i="1"/>
  <c r="BN387" i="1"/>
  <c r="Z389" i="1"/>
  <c r="BN389" i="1"/>
  <c r="Z391" i="1"/>
  <c r="BN391" i="1"/>
  <c r="Y394" i="1"/>
  <c r="Z397" i="1"/>
  <c r="BN397" i="1"/>
  <c r="Z402" i="1"/>
  <c r="Z403" i="1" s="1"/>
  <c r="BN402" i="1"/>
  <c r="BP402" i="1"/>
  <c r="Y403" i="1"/>
  <c r="Z406" i="1"/>
  <c r="BN406" i="1"/>
  <c r="BP406" i="1"/>
  <c r="Z408" i="1"/>
  <c r="BN408" i="1"/>
  <c r="Y416" i="1"/>
  <c r="X498" i="1"/>
  <c r="Y431" i="1"/>
  <c r="Z421" i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BP444" i="1"/>
  <c r="BN444" i="1"/>
  <c r="Z444" i="1"/>
  <c r="Z461" i="1"/>
  <c r="BP458" i="1"/>
  <c r="BN458" i="1"/>
  <c r="Z458" i="1"/>
  <c r="Y462" i="1"/>
  <c r="Y468" i="1"/>
  <c r="Y472" i="1"/>
  <c r="Y482" i="1"/>
  <c r="Y487" i="1"/>
  <c r="Y498" i="1"/>
  <c r="Z460" i="1"/>
  <c r="BN460" i="1"/>
  <c r="Z464" i="1"/>
  <c r="BN464" i="1"/>
  <c r="BP464" i="1"/>
  <c r="Z466" i="1"/>
  <c r="BN466" i="1"/>
  <c r="Z470" i="1"/>
  <c r="Z472" i="1" s="1"/>
  <c r="BN470" i="1"/>
  <c r="BP470" i="1"/>
  <c r="Z480" i="1"/>
  <c r="Z481" i="1" s="1"/>
  <c r="BN480" i="1"/>
  <c r="Z485" i="1"/>
  <c r="Z486" i="1" s="1"/>
  <c r="BN485" i="1"/>
  <c r="BP485" i="1"/>
  <c r="Y486" i="1"/>
  <c r="Z467" i="1" l="1"/>
  <c r="Z410" i="1"/>
  <c r="Z437" i="1"/>
  <c r="Z215" i="1"/>
  <c r="Z95" i="1"/>
  <c r="Z88" i="1"/>
  <c r="Z69" i="1"/>
  <c r="Z493" i="1" s="1"/>
  <c r="Y488" i="1"/>
  <c r="X491" i="1"/>
  <c r="Z177" i="1"/>
  <c r="Z171" i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<sst xmlns="http://schemas.openxmlformats.org/spreadsheetml/2006/main" count="2311" uniqueCount="762">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</sst>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1" zoomScaleNormal="100" zoomScaleSheetLayoutView="100" workbookViewId="0">
      <selection activeCell="Z494" sqref="Z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38</v>
      </c>
      <c r="Y40" s="540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39.44259259259259</v>
      </c>
      <c r="BN40" s="64">
        <f>IFERROR(Y40*I40/H40,"0")</f>
        <v>44.84</v>
      </c>
      <c r="BO40" s="64">
        <f>IFERROR(1/J40*(X40/H40),"0")</f>
        <v>5.4976851851851846E-2</v>
      </c>
      <c r="BP40" s="64">
        <f>IFERROR(1/J40*(Y40/H40),"0")</f>
        <v>6.25E-2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3.5185185185185182</v>
      </c>
      <c r="Y43" s="541">
        <f>IFERROR(Y40/H40,"0")+IFERROR(Y41/H41,"0")+IFERROR(Y42/H42,"0")</f>
        <v>4</v>
      </c>
      <c r="Z43" s="541">
        <f>IFERROR(IF(Z40="",0,Z40),"0")+IFERROR(IF(Z41="",0,Z41),"0")+IFERROR(IF(Z42="",0,Z42),"0")</f>
        <v>7.5920000000000001E-2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38</v>
      </c>
      <c r="Y44" s="541">
        <f>IFERROR(SUM(Y40:Y42),"0")</f>
        <v>43.2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28</v>
      </c>
      <c r="Y60" s="540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29.06296296296296</v>
      </c>
      <c r="BN60" s="64">
        <f>IFERROR(Y60*I60/H60,"0")</f>
        <v>33.630000000000003</v>
      </c>
      <c r="BO60" s="64">
        <f>IFERROR(1/J60*(X60/H60),"0")</f>
        <v>4.0509259259259259E-2</v>
      </c>
      <c r="BP60" s="64">
        <f>IFERROR(1/J60*(Y60/H60),"0")</f>
        <v>4.6875000000000007E-2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2.5925925925925926</v>
      </c>
      <c r="Y63" s="541">
        <f>IFERROR(Y60/H60,"0")+IFERROR(Y61/H61,"0")+IFERROR(Y62/H62,"0")</f>
        <v>3.0000000000000004</v>
      </c>
      <c r="Z63" s="541">
        <f>IFERROR(IF(Z60="",0,Z60),"0")+IFERROR(IF(Z61="",0,Z61),"0")+IFERROR(IF(Z62="",0,Z62),"0")</f>
        <v>5.6940000000000004E-2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28</v>
      </c>
      <c r="Y64" s="541">
        <f>IFERROR(SUM(Y60:Y62),"0")</f>
        <v>32.400000000000006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28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29.471794871794877</v>
      </c>
      <c r="BN79" s="64">
        <f>IFERROR(Y79*I79/H79,"0")</f>
        <v>32.840000000000003</v>
      </c>
      <c r="BO79" s="64">
        <f>IFERROR(1/J79*(X79/H79),"0")</f>
        <v>5.6089743589743592E-2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3.5897435897435899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28</v>
      </c>
      <c r="Y82" s="541">
        <f>IFERROR(SUM(Y79:Y80),"0")</f>
        <v>31.2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16</v>
      </c>
      <c r="Y85" s="540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16.607407407407408</v>
      </c>
      <c r="BN85" s="64">
        <f>IFERROR(Y85*I85/H85,"0")</f>
        <v>22.42</v>
      </c>
      <c r="BO85" s="64">
        <f>IFERROR(1/J85*(X85/H85),"0")</f>
        <v>2.3148148148148147E-2</v>
      </c>
      <c r="BP85" s="64">
        <f>IFERROR(1/J85*(Y85/H85),"0")</f>
        <v>3.125E-2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1.4814814814814814</v>
      </c>
      <c r="Y88" s="541">
        <f>IFERROR(Y85/H85,"0")+IFERROR(Y86/H86,"0")+IFERROR(Y87/H87,"0")</f>
        <v>2</v>
      </c>
      <c r="Z88" s="541">
        <f>IFERROR(IF(Z85="",0,Z85),"0")+IFERROR(IF(Z86="",0,Z86),"0")+IFERROR(IF(Z87="",0,Z87),"0")</f>
        <v>3.7960000000000001E-2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16</v>
      </c>
      <c r="Y89" s="541">
        <f>IFERROR(SUM(Y85:Y87),"0")</f>
        <v>21.6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55</v>
      </c>
      <c r="Y99" s="54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57.087962962962969</v>
      </c>
      <c r="BN99" s="64">
        <f>IFERROR(Y99*I99/H99,"0")</f>
        <v>67.260000000000005</v>
      </c>
      <c r="BO99" s="64">
        <f>IFERROR(1/J99*(X99/H99),"0")</f>
        <v>7.9571759259259259E-2</v>
      </c>
      <c r="BP99" s="64">
        <f>IFERROR(1/J99*(Y99/H99),"0")</f>
        <v>9.3750000000000014E-2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5.0925925925925926</v>
      </c>
      <c r="Y103" s="541">
        <f>IFERROR(Y99/H99,"0")+IFERROR(Y100/H100,"0")+IFERROR(Y101/H101,"0")+IFERROR(Y102/H102,"0")</f>
        <v>6.0000000000000009</v>
      </c>
      <c r="Z103" s="541">
        <f>IFERROR(IF(Z99="",0,Z99),"0")+IFERROR(IF(Z100="",0,Z100),"0")+IFERROR(IF(Z101="",0,Z101),"0")+IFERROR(IF(Z102="",0,Z102),"0")</f>
        <v>0.11388000000000001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55</v>
      </c>
      <c r="Y104" s="541">
        <f>IFERROR(SUM(Y99:Y102),"0")</f>
        <v>64.800000000000011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18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18.683333333333334</v>
      </c>
      <c r="BN106" s="64">
        <f>IFERROR(Y106*I106/H106,"0")</f>
        <v>22.42</v>
      </c>
      <c r="BO106" s="64">
        <f>IFERROR(1/J106*(X106/H106),"0")</f>
        <v>2.6041666666666664E-2</v>
      </c>
      <c r="BP106" s="64">
        <f>IFERROR(1/J106*(Y106/H106),"0")</f>
        <v>3.125E-2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1.6666666666666665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3.7960000000000001E-2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18</v>
      </c>
      <c r="Y110" s="541">
        <f>IFERROR(SUM(Y106:Y108),"0")</f>
        <v>21.6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47</v>
      </c>
      <c r="Y112" s="540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49.831604938271603</v>
      </c>
      <c r="BN112" s="64">
        <f>IFERROR(Y112*I112/H112,"0")</f>
        <v>51.527999999999992</v>
      </c>
      <c r="BO112" s="64">
        <f>IFERROR(1/J112*(X112/H112),"0")</f>
        <v>9.066358024691358E-2</v>
      </c>
      <c r="BP112" s="64">
        <f>IFERROR(1/J112*(Y112/H112),"0")</f>
        <v>9.375E-2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5.8024691358024691</v>
      </c>
      <c r="Y116" s="541">
        <f>IFERROR(Y112/H112,"0")+IFERROR(Y113/H113,"0")+IFERROR(Y114/H114,"0")+IFERROR(Y115/H115,"0")</f>
        <v>6</v>
      </c>
      <c r="Z116" s="541">
        <f>IFERROR(IF(Z112="",0,Z112),"0")+IFERROR(IF(Z113="",0,Z113),"0")+IFERROR(IF(Z114="",0,Z114),"0")+IFERROR(IF(Z115="",0,Z115),"0")</f>
        <v>0.11388000000000001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47</v>
      </c>
      <c r="Y117" s="541">
        <f>IFERROR(SUM(Y112:Y115),"0")</f>
        <v>48.599999999999994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37</v>
      </c>
      <c r="Y164" s="540">
        <f t="shared" si="5"/>
        <v>37.800000000000004</v>
      </c>
      <c r="Z164" s="36">
        <f>IFERROR(IF(Y164=0,"",ROUNDUP(Y164/H164,0)*0.00902),"")</f>
        <v>8.1180000000000002E-2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38.673809523809517</v>
      </c>
      <c r="BN164" s="64">
        <f t="shared" si="7"/>
        <v>39.51</v>
      </c>
      <c r="BO164" s="64">
        <f t="shared" si="8"/>
        <v>6.6738816738816736E-2</v>
      </c>
      <c r="BP164" s="64">
        <f t="shared" si="9"/>
        <v>6.8181818181818177E-2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6</v>
      </c>
      <c r="Y167" s="540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6.4333333333333336</v>
      </c>
      <c r="BN167" s="64">
        <f t="shared" si="7"/>
        <v>7.7199999999999989</v>
      </c>
      <c r="BO167" s="64">
        <f t="shared" si="8"/>
        <v>1.4245014245014245E-2</v>
      </c>
      <c r="BP167" s="64">
        <f t="shared" si="9"/>
        <v>1.7094017094017096E-2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38</v>
      </c>
      <c r="Y168" s="540">
        <f t="shared" si="5"/>
        <v>39.9</v>
      </c>
      <c r="Z168" s="36">
        <f>IFERROR(IF(Y168=0,"",ROUNDUP(Y168/H168,0)*0.00502),"")</f>
        <v>9.5380000000000006E-2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39.80952380952381</v>
      </c>
      <c r="BN168" s="64">
        <f t="shared" si="7"/>
        <v>41.8</v>
      </c>
      <c r="BO168" s="64">
        <f t="shared" si="8"/>
        <v>7.7330077330077338E-2</v>
      </c>
      <c r="BP168" s="64">
        <f t="shared" si="9"/>
        <v>8.11965811965812E-2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30.238095238095237</v>
      </c>
      <c r="Y171" s="541">
        <f>IFERROR(Y162/H162,"0")+IFERROR(Y163/H163,"0")+IFERROR(Y164/H164,"0")+IFERROR(Y165/H165,"0")+IFERROR(Y166/H166,"0")+IFERROR(Y167/H167,"0")+IFERROR(Y168/H168,"0")+IFERROR(Y169/H169,"0")+IFERROR(Y170/H170,"0")</f>
        <v>32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0.19664000000000001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81</v>
      </c>
      <c r="Y172" s="541">
        <f>IFERROR(SUM(Y162:Y170),"0")</f>
        <v>84.9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2</v>
      </c>
      <c r="Y175" s="540">
        <f>IFERROR(IF(X175="",0,CEILING((X175/$H175),1)*$H175),"")</f>
        <v>2.52</v>
      </c>
      <c r="Z175" s="36">
        <f>IFERROR(IF(Y175=0,"",ROUNDUP(Y175/H175,0)*0.0059),"")</f>
        <v>1.18E-2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2.3015873015873014</v>
      </c>
      <c r="BN175" s="64">
        <f>IFERROR(Y175*I175/H175,"0")</f>
        <v>2.9</v>
      </c>
      <c r="BO175" s="64">
        <f>IFERROR(1/J175*(X175/H175),"0")</f>
        <v>7.3486184597295699E-3</v>
      </c>
      <c r="BP175" s="64">
        <f>IFERROR(1/J175*(Y175/H175),"0")</f>
        <v>9.2592592592592587E-3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3.1746031746031744</v>
      </c>
      <c r="Y177" s="541">
        <f>IFERROR(Y174/H174,"0")+IFERROR(Y175/H175,"0")+IFERROR(Y176/H176,"0")</f>
        <v>4</v>
      </c>
      <c r="Z177" s="541">
        <f>IFERROR(IF(Z174="",0,Z174),"0")+IFERROR(IF(Z175="",0,Z175),"0")+IFERROR(IF(Z176="",0,Z176),"0")</f>
        <v>2.3599999999999999E-2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4</v>
      </c>
      <c r="Y178" s="541">
        <f>IFERROR(SUM(Y174:Y176),"0")</f>
        <v>5.04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137</v>
      </c>
      <c r="Y196" s="540">
        <f t="shared" si="10"/>
        <v>140.4</v>
      </c>
      <c r="Z196" s="36">
        <f>IFERROR(IF(Y196=0,"",ROUNDUP(Y196/H196,0)*0.00902),"")</f>
        <v>0.23452000000000001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141.82037037037034</v>
      </c>
      <c r="BN196" s="64">
        <f t="shared" si="12"/>
        <v>145.34</v>
      </c>
      <c r="BO196" s="64">
        <f t="shared" si="13"/>
        <v>0.19219977553310888</v>
      </c>
      <c r="BP196" s="64">
        <f t="shared" si="14"/>
        <v>0.19696969696969696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17</v>
      </c>
      <c r="Y198" s="540">
        <f t="shared" si="10"/>
        <v>21.6</v>
      </c>
      <c r="Z198" s="36">
        <f>IFERROR(IF(Y198=0,"",ROUNDUP(Y198/H198,0)*0.00902),"")</f>
        <v>3.6080000000000001E-2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17.598148148148148</v>
      </c>
      <c r="BN198" s="64">
        <f t="shared" si="12"/>
        <v>22.36</v>
      </c>
      <c r="BO198" s="64">
        <f t="shared" si="13"/>
        <v>2.3849607182940515E-2</v>
      </c>
      <c r="BP198" s="64">
        <f t="shared" si="14"/>
        <v>3.0303030303030304E-2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2</v>
      </c>
      <c r="Y200" s="540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2.1111111111111112</v>
      </c>
      <c r="BN200" s="64">
        <f t="shared" si="12"/>
        <v>3.8</v>
      </c>
      <c r="BO200" s="64">
        <f t="shared" si="13"/>
        <v>4.7483380816714157E-3</v>
      </c>
      <c r="BP200" s="64">
        <f t="shared" si="14"/>
        <v>8.5470085470085479E-3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2</v>
      </c>
      <c r="Y202" s="540">
        <f t="shared" si="10"/>
        <v>3.6</v>
      </c>
      <c r="Z202" s="36">
        <f>IFERROR(IF(Y202=0,"",ROUNDUP(Y202/H202,0)*0.00502),"")</f>
        <v>1.004E-2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2.1111111111111112</v>
      </c>
      <c r="BN202" s="64">
        <f t="shared" si="12"/>
        <v>3.8</v>
      </c>
      <c r="BO202" s="64">
        <f t="shared" si="13"/>
        <v>4.7483380816714157E-3</v>
      </c>
      <c r="BP202" s="64">
        <f t="shared" si="14"/>
        <v>8.5470085470085479E-3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30.74074074074074</v>
      </c>
      <c r="Y203" s="541">
        <f>IFERROR(Y195/H195,"0")+IFERROR(Y196/H196,"0")+IFERROR(Y197/H197,"0")+IFERROR(Y198/H198,"0")+IFERROR(Y199/H199,"0")+IFERROR(Y200/H200,"0")+IFERROR(Y201/H201,"0")+IFERROR(Y202/H202,"0")</f>
        <v>34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0.29067999999999999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158</v>
      </c>
      <c r="Y204" s="541">
        <f>IFERROR(SUM(Y195:Y202),"0")</f>
        <v>169.2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57</v>
      </c>
      <c r="Y212" s="540">
        <f t="shared" si="15"/>
        <v>57.599999999999994</v>
      </c>
      <c r="Z212" s="36">
        <f t="shared" si="20"/>
        <v>0.15623999999999999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62.985000000000007</v>
      </c>
      <c r="BN212" s="64">
        <f t="shared" si="17"/>
        <v>63.648000000000003</v>
      </c>
      <c r="BO212" s="64">
        <f t="shared" si="18"/>
        <v>0.1304945054945055</v>
      </c>
      <c r="BP212" s="64">
        <f t="shared" si="19"/>
        <v>0.13186813186813187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22</v>
      </c>
      <c r="Y214" s="540">
        <f t="shared" si="15"/>
        <v>24</v>
      </c>
      <c r="Z214" s="36">
        <f t="shared" si="20"/>
        <v>6.5100000000000005E-2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24.365000000000002</v>
      </c>
      <c r="BN214" s="64">
        <f t="shared" si="17"/>
        <v>26.580000000000002</v>
      </c>
      <c r="BO214" s="64">
        <f t="shared" si="18"/>
        <v>5.0366300366300375E-2</v>
      </c>
      <c r="BP214" s="64">
        <f t="shared" si="19"/>
        <v>5.4945054945054951E-2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32.916666666666671</v>
      </c>
      <c r="Y215" s="541">
        <f>IFERROR(Y206/H206,"0")+IFERROR(Y207/H207,"0")+IFERROR(Y208/H208,"0")+IFERROR(Y209/H209,"0")+IFERROR(Y210/H210,"0")+IFERROR(Y211/H211,"0")+IFERROR(Y212/H212,"0")+IFERROR(Y213/H213,"0")+IFERROR(Y214/H214,"0")</f>
        <v>34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0.22133999999999998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79</v>
      </c>
      <c r="Y216" s="541">
        <f>IFERROR(SUM(Y206:Y214),"0")</f>
        <v>81.599999999999994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31</v>
      </c>
      <c r="Y218" s="540">
        <f>IFERROR(IF(X218="",0,CEILING((X218/$H218),1)*$H218),"")</f>
        <v>31.2</v>
      </c>
      <c r="Z218" s="36">
        <f>IFERROR(IF(Y218=0,"",ROUNDUP(Y218/H218,0)*0.00651),"")</f>
        <v>8.4629999999999997E-2</v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34.255000000000003</v>
      </c>
      <c r="BN218" s="64">
        <f>IFERROR(Y218*I218/H218,"0")</f>
        <v>34.476000000000006</v>
      </c>
      <c r="BO218" s="64">
        <f>IFERROR(1/J218*(X218/H218),"0")</f>
        <v>7.0970695970695982E-2</v>
      </c>
      <c r="BP218" s="64">
        <f>IFERROR(1/J218*(Y218/H218),"0")</f>
        <v>7.1428571428571438E-2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12.916666666666668</v>
      </c>
      <c r="Y220" s="541">
        <f>IFERROR(Y218/H218,"0")+IFERROR(Y219/H219,"0")</f>
        <v>13</v>
      </c>
      <c r="Z220" s="541">
        <f>IFERROR(IF(Z218="",0,Z218),"0")+IFERROR(IF(Z219="",0,Z219),"0")</f>
        <v>8.4629999999999997E-2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31</v>
      </c>
      <c r="Y221" s="541">
        <f>IFERROR(SUM(Y218:Y219),"0")</f>
        <v>31.2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3</v>
      </c>
      <c r="Y248" s="540">
        <f>IFERROR(IF(X248="",0,CEILING((X248/$H248),1)*$H248),"")</f>
        <v>3.96</v>
      </c>
      <c r="Z248" s="36">
        <f>IFERROR(IF(Y248=0,"",ROUNDUP(Y248/H248,0)*0.0059),"")</f>
        <v>2.3599999999999999E-2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3.5757575757575757</v>
      </c>
      <c r="BN248" s="64">
        <f>IFERROR(Y248*I248/H248,"0")</f>
        <v>4.72</v>
      </c>
      <c r="BO248" s="64">
        <f>IFERROR(1/J248*(X248/H248),"0")</f>
        <v>1.4029180695847361E-2</v>
      </c>
      <c r="BP248" s="64">
        <f>IFERROR(1/J248*(Y248/H248),"0")</f>
        <v>1.8518518518518517E-2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2</v>
      </c>
      <c r="Y249" s="540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6.1616161616161627</v>
      </c>
      <c r="Y250" s="541">
        <f>IFERROR(Y245/H245,"0")+IFERROR(Y246/H246,"0")+IFERROR(Y247/H247,"0")+IFERROR(Y248/H248,"0")+IFERROR(Y249/H249,"0")</f>
        <v>9</v>
      </c>
      <c r="Z250" s="541">
        <f>IFERROR(IF(Z245="",0,Z245),"0")+IFERROR(IF(Z246="",0,Z246),"0")+IFERROR(IF(Z247="",0,Z247),"0")+IFERROR(IF(Z248="",0,Z248),"0")+IFERROR(IF(Z249="",0,Z249),"0")</f>
        <v>5.3100000000000001E-2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6</v>
      </c>
      <c r="Y251" s="541">
        <f>IFERROR(SUM(Y245:Y249),"0")</f>
        <v>8.73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7</v>
      </c>
      <c r="Y302" s="540">
        <f t="shared" si="26"/>
        <v>7.2</v>
      </c>
      <c r="Z302" s="36">
        <f>IFERROR(IF(Y302=0,"",ROUNDUP(Y302/H302,0)*0.00651),"")</f>
        <v>2.6040000000000001E-2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7.8866666666666667</v>
      </c>
      <c r="BN302" s="64">
        <f t="shared" si="28"/>
        <v>8.1120000000000001</v>
      </c>
      <c r="BO302" s="64">
        <f t="shared" si="29"/>
        <v>2.1367521367521368E-2</v>
      </c>
      <c r="BP302" s="64">
        <f t="shared" si="30"/>
        <v>2.197802197802198E-2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3.8888888888888888</v>
      </c>
      <c r="Y303" s="541">
        <f>IFERROR(Y296/H296,"0")+IFERROR(Y297/H297,"0")+IFERROR(Y298/H298,"0")+IFERROR(Y299/H299,"0")+IFERROR(Y300/H300,"0")+IFERROR(Y301/H301,"0")+IFERROR(Y302/H302,"0")</f>
        <v>4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2.6040000000000001E-2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7</v>
      </c>
      <c r="Y304" s="541">
        <f>IFERROR(SUM(Y296:Y302),"0")</f>
        <v>7.2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4</v>
      </c>
      <c r="Y314" s="540">
        <f>IFERROR(IF(X314="",0,CEILING((X314/$H314),1)*$H314),"")</f>
        <v>8.4</v>
      </c>
      <c r="Z314" s="36">
        <f>IFERROR(IF(Y314=0,"",ROUNDUP(Y314/H314,0)*0.01898),"")</f>
        <v>1.898E-2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4.2352380952380955</v>
      </c>
      <c r="BN314" s="64">
        <f>IFERROR(Y314*I314/H314,"0")</f>
        <v>8.8940000000000001</v>
      </c>
      <c r="BO314" s="64">
        <f>IFERROR(1/J314*(X314/H314),"0")</f>
        <v>7.4404761904761901E-3</v>
      </c>
      <c r="BP314" s="64">
        <f>IFERROR(1/J314*(Y314/H314),"0")</f>
        <v>1.5625E-2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74</v>
      </c>
      <c r="Y315" s="540">
        <f>IFERROR(IF(X315="",0,CEILING((X315/$H315),1)*$H315),"")</f>
        <v>78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78.686666666666682</v>
      </c>
      <c r="BN315" s="64">
        <f>IFERROR(Y315*I315/H315,"0")</f>
        <v>82.94</v>
      </c>
      <c r="BO315" s="64">
        <f>IFERROR(1/J315*(X315/H315),"0")</f>
        <v>0.14823717948717949</v>
      </c>
      <c r="BP315" s="64">
        <f>IFERROR(1/J315*(Y315/H315),"0")</f>
        <v>0.15625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9.9633699633699635</v>
      </c>
      <c r="Y317" s="541">
        <f>IFERROR(Y314/H314,"0")+IFERROR(Y315/H315,"0")+IFERROR(Y316/H316,"0")</f>
        <v>11</v>
      </c>
      <c r="Z317" s="541">
        <f>IFERROR(IF(Z314="",0,Z314),"0")+IFERROR(IF(Z315="",0,Z315),"0")+IFERROR(IF(Z316="",0,Z316),"0")</f>
        <v>0.20877999999999999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78</v>
      </c>
      <c r="Y318" s="541">
        <f>IFERROR(SUM(Y314:Y316),"0")</f>
        <v>86.4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11</v>
      </c>
      <c r="Y327" s="540">
        <f>IFERROR(IF(X327="",0,CEILING((X327/$H327),1)*$H327),"")</f>
        <v>12</v>
      </c>
      <c r="Z327" s="36">
        <f>IFERROR(IF(Y327=0,"",ROUNDUP(Y327/H327,0)*0.00474),"")</f>
        <v>2.844E-2</v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12.32</v>
      </c>
      <c r="BN327" s="64">
        <f>IFERROR(Y327*I327/H327,"0")</f>
        <v>13.440000000000001</v>
      </c>
      <c r="BO327" s="64">
        <f>IFERROR(1/J327*(X327/H327),"0")</f>
        <v>2.3109243697478989E-2</v>
      </c>
      <c r="BP327" s="64">
        <f>IFERROR(1/J327*(Y327/H327),"0")</f>
        <v>2.5210084033613446E-2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12</v>
      </c>
      <c r="Y328" s="540">
        <f>IFERROR(IF(X328="",0,CEILING((X328/$H328),1)*$H328),"")</f>
        <v>12</v>
      </c>
      <c r="Z328" s="36">
        <f>IFERROR(IF(Y328=0,"",ROUNDUP(Y328/H328,0)*0.00474),"")</f>
        <v>2.844E-2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13.440000000000001</v>
      </c>
      <c r="BN328" s="64">
        <f>IFERROR(Y328*I328/H328,"0")</f>
        <v>13.440000000000001</v>
      </c>
      <c r="BO328" s="64">
        <f>IFERROR(1/J328*(X328/H328),"0")</f>
        <v>2.5210084033613446E-2</v>
      </c>
      <c r="BP328" s="64">
        <f>IFERROR(1/J328*(Y328/H328),"0")</f>
        <v>2.5210084033613446E-2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13</v>
      </c>
      <c r="Y329" s="540">
        <f>IFERROR(IF(X329="",0,CEILING((X329/$H329),1)*$H329),"")</f>
        <v>14</v>
      </c>
      <c r="Z329" s="36">
        <f>IFERROR(IF(Y329=0,"",ROUNDUP(Y329/H329,0)*0.00474),"")</f>
        <v>3.3180000000000001E-2</v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14.560000000000002</v>
      </c>
      <c r="BN329" s="64">
        <f>IFERROR(Y329*I329/H329,"0")</f>
        <v>15.680000000000001</v>
      </c>
      <c r="BO329" s="64">
        <f>IFERROR(1/J329*(X329/H329),"0")</f>
        <v>2.7310924369747899E-2</v>
      </c>
      <c r="BP329" s="64">
        <f>IFERROR(1/J329*(Y329/H329),"0")</f>
        <v>2.9411764705882353E-2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18</v>
      </c>
      <c r="Y330" s="541">
        <f>IFERROR(Y327/H327,"0")+IFERROR(Y328/H328,"0")+IFERROR(Y329/H329,"0")</f>
        <v>19</v>
      </c>
      <c r="Z330" s="541">
        <f>IFERROR(IF(Z327="",0,Z327),"0")+IFERROR(IF(Z328="",0,Z328),"0")+IFERROR(IF(Z329="",0,Z329),"0")</f>
        <v>9.0060000000000001E-2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36</v>
      </c>
      <c r="Y331" s="541">
        <f>IFERROR(SUM(Y327:Y329),"0")</f>
        <v>38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821</v>
      </c>
      <c r="Y342" s="540">
        <f t="shared" ref="Y342:Y348" si="31">IFERROR(IF(X342="",0,CEILING((X342/$H342),1)*$H342),"")</f>
        <v>825</v>
      </c>
      <c r="Z342" s="36">
        <f>IFERROR(IF(Y342=0,"",ROUNDUP(Y342/H342,0)*0.02175),"")</f>
        <v>1.1962499999999998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846.72466666666674</v>
      </c>
      <c r="BN342" s="64">
        <f t="shared" ref="BN342:BN348" si="33">IFERROR(Y342*I342/H342,"0")</f>
        <v>850.85</v>
      </c>
      <c r="BO342" s="64">
        <f t="shared" ref="BO342:BO348" si="34">IFERROR(1/J342*(X342/H342),"0")</f>
        <v>1.1402777777777777</v>
      </c>
      <c r="BP342" s="64">
        <f t="shared" ref="BP342:BP348" si="35">IFERROR(1/J342*(Y342/H342),"0")</f>
        <v>1.1458333333333333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392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404.28266666666673</v>
      </c>
      <c r="BN343" s="64">
        <f t="shared" si="33"/>
        <v>417.69</v>
      </c>
      <c r="BO343" s="64">
        <f t="shared" si="34"/>
        <v>0.5444444444444444</v>
      </c>
      <c r="BP343" s="64">
        <f t="shared" si="35"/>
        <v>0.5625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324</v>
      </c>
      <c r="Y344" s="540">
        <f t="shared" si="31"/>
        <v>330</v>
      </c>
      <c r="Z344" s="36">
        <f>IFERROR(IF(Y344=0,"",ROUNDUP(Y344/H344,0)*0.02175),"")</f>
        <v>0.47849999999999998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334.15200000000004</v>
      </c>
      <c r="BN344" s="64">
        <f t="shared" si="33"/>
        <v>340.34000000000003</v>
      </c>
      <c r="BO344" s="64">
        <f t="shared" si="34"/>
        <v>0.45</v>
      </c>
      <c r="BP344" s="64">
        <f t="shared" si="35"/>
        <v>0.45833333333333331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548</v>
      </c>
      <c r="Y345" s="540">
        <f t="shared" si="31"/>
        <v>555</v>
      </c>
      <c r="Z345" s="36">
        <f>IFERROR(IF(Y345=0,"",ROUNDUP(Y345/H345,0)*0.02175),"")</f>
        <v>0.80474999999999997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565.17066666666665</v>
      </c>
      <c r="BN345" s="64">
        <f t="shared" si="33"/>
        <v>572.39</v>
      </c>
      <c r="BO345" s="64">
        <f t="shared" si="34"/>
        <v>0.76111111111111107</v>
      </c>
      <c r="BP345" s="64">
        <f t="shared" si="35"/>
        <v>0.77083333333333326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139</v>
      </c>
      <c r="Y349" s="541">
        <f>IFERROR(Y342/H342,"0")+IFERROR(Y343/H343,"0")+IFERROR(Y344/H344,"0")+IFERROR(Y345/H345,"0")+IFERROR(Y346/H346,"0")+IFERROR(Y347/H347,"0")+IFERROR(Y348/H348,"0")</f>
        <v>141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3.0667499999999994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2085</v>
      </c>
      <c r="Y350" s="541">
        <f>IFERROR(SUM(Y342:Y348),"0")</f>
        <v>2115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867</v>
      </c>
      <c r="Y352" s="540">
        <f>IFERROR(IF(X352="",0,CEILING((X352/$H352),1)*$H352),"")</f>
        <v>870</v>
      </c>
      <c r="Z352" s="36">
        <f>IFERROR(IF(Y352=0,"",ROUNDUP(Y352/H352,0)*0.02175),"")</f>
        <v>1.2614999999999998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894.16599999999994</v>
      </c>
      <c r="BN352" s="64">
        <f>IFERROR(Y352*I352/H352,"0")</f>
        <v>897.2600000000001</v>
      </c>
      <c r="BO352" s="64">
        <f>IFERROR(1/J352*(X352/H352),"0")</f>
        <v>1.2041666666666666</v>
      </c>
      <c r="BP352" s="64">
        <f>IFERROR(1/J352*(Y352/H352),"0")</f>
        <v>1.2083333333333333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57.8</v>
      </c>
      <c r="Y354" s="541">
        <f>IFERROR(Y352/H352,"0")+IFERROR(Y353/H353,"0")</f>
        <v>58</v>
      </c>
      <c r="Z354" s="541">
        <f>IFERROR(IF(Z352="",0,Z352),"0")+IFERROR(IF(Z353="",0,Z353),"0")</f>
        <v>1.2614999999999998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867</v>
      </c>
      <c r="Y355" s="541">
        <f>IFERROR(SUM(Y352:Y353),"0")</f>
        <v>870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8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8.4391111111111101</v>
      </c>
      <c r="BN358" s="64">
        <f>IFERROR(Y358*I358/H358,"0")</f>
        <v>9.4939999999999998</v>
      </c>
      <c r="BO358" s="64">
        <f>IFERROR(1/J358*(X358/H358),"0")</f>
        <v>1.3888888888888888E-2</v>
      </c>
      <c r="BP358" s="64">
        <f>IFERROR(1/J358*(Y358/H358),"0")</f>
        <v>1.5625E-2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0.88888888888888884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8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457</v>
      </c>
      <c r="Y377" s="540">
        <f>IFERROR(IF(X377="",0,CEILING((X377/$H377),1)*$H377),"")</f>
        <v>459</v>
      </c>
      <c r="Z377" s="36">
        <f>IFERROR(IF(Y377=0,"",ROUNDUP(Y377/H377,0)*0.01898),"")</f>
        <v>0.96798000000000006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482.08422222222219</v>
      </c>
      <c r="BN377" s="64">
        <f>IFERROR(Y377*I377/H377,"0")</f>
        <v>484.19400000000002</v>
      </c>
      <c r="BO377" s="64">
        <f>IFERROR(1/J377*(X377/H377),"0")</f>
        <v>0.79340277777777779</v>
      </c>
      <c r="BP377" s="64">
        <f>IFERROR(1/J377*(Y377/H377),"0")</f>
        <v>0.796875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50.777777777777779</v>
      </c>
      <c r="Y379" s="541">
        <f>IFERROR(Y377/H377,"0")+IFERROR(Y378/H378,"0")</f>
        <v>51</v>
      </c>
      <c r="Z379" s="541">
        <f>IFERROR(IF(Z377="",0,Z377),"0")+IFERROR(IF(Z378="",0,Z378),"0")</f>
        <v>0.96798000000000006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457</v>
      </c>
      <c r="Y380" s="541">
        <f>IFERROR(SUM(Y377:Y378),"0")</f>
        <v>459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15</v>
      </c>
      <c r="Y422" s="540">
        <f t="shared" si="42"/>
        <v>15.84</v>
      </c>
      <c r="Z422" s="36">
        <f t="shared" si="43"/>
        <v>3.5880000000000002E-2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15.994318181818182</v>
      </c>
      <c r="BN422" s="64">
        <f t="shared" si="45"/>
        <v>16.889999999999997</v>
      </c>
      <c r="BO422" s="64">
        <f t="shared" si="46"/>
        <v>2.7316433566433568E-2</v>
      </c>
      <c r="BP422" s="64">
        <f t="shared" si="47"/>
        <v>2.8846153846153848E-2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199</v>
      </c>
      <c r="Y425" s="540">
        <f t="shared" si="42"/>
        <v>200.64000000000001</v>
      </c>
      <c r="Z425" s="36">
        <f t="shared" si="43"/>
        <v>0.45448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212.19128787878785</v>
      </c>
      <c r="BN425" s="64">
        <f t="shared" si="45"/>
        <v>213.94</v>
      </c>
      <c r="BO425" s="64">
        <f t="shared" si="46"/>
        <v>0.36239801864801863</v>
      </c>
      <c r="BP425" s="64">
        <f t="shared" si="47"/>
        <v>0.36538461538461542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40.530303030303031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0.49036000000000002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214</v>
      </c>
      <c r="Y432" s="541">
        <f>IFERROR(SUM(Y420:Y430),"0")</f>
        <v>216.48000000000002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54</v>
      </c>
      <c r="Y440" s="540">
        <f t="shared" ref="Y440:Y445" si="48">IFERROR(IF(X440="",0,CEILING((X440/$H440),1)*$H440),"")</f>
        <v>58.080000000000005</v>
      </c>
      <c r="Z440" s="36">
        <f>IFERROR(IF(Y440=0,"",ROUNDUP(Y440/H440,0)*0.01196),"")</f>
        <v>0.13156000000000001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57.579545454545446</v>
      </c>
      <c r="BN440" s="64">
        <f t="shared" ref="BN440:BN445" si="50">IFERROR(Y440*I440/H440,"0")</f>
        <v>61.93</v>
      </c>
      <c r="BO440" s="64">
        <f t="shared" ref="BO440:BO445" si="51">IFERROR(1/J440*(X440/H440),"0")</f>
        <v>9.8339160839160833E-2</v>
      </c>
      <c r="BP440" s="64">
        <f t="shared" ref="BP440:BP445" si="52">IFERROR(1/J440*(Y440/H440),"0")</f>
        <v>0.10576923076923078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66</v>
      </c>
      <c r="Y441" s="540">
        <f t="shared" si="48"/>
        <v>68.64</v>
      </c>
      <c r="Z441" s="36">
        <f>IFERROR(IF(Y441=0,"",ROUNDUP(Y441/H441,0)*0.01196),"")</f>
        <v>0.15548000000000001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70.375</v>
      </c>
      <c r="BN441" s="64">
        <f t="shared" si="50"/>
        <v>73.19</v>
      </c>
      <c r="BO441" s="64">
        <f t="shared" si="51"/>
        <v>0.1201923076923077</v>
      </c>
      <c r="BP441" s="64">
        <f t="shared" si="52"/>
        <v>0.125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20</v>
      </c>
      <c r="Y442" s="540">
        <f t="shared" si="48"/>
        <v>21.12</v>
      </c>
      <c r="Z442" s="36">
        <f>IFERROR(IF(Y442=0,"",ROUNDUP(Y442/H442,0)*0.01196),"")</f>
        <v>4.7840000000000001E-2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21.325757575757574</v>
      </c>
      <c r="BN442" s="64">
        <f t="shared" si="50"/>
        <v>22.52</v>
      </c>
      <c r="BO442" s="64">
        <f t="shared" si="51"/>
        <v>3.6421911421911424E-2</v>
      </c>
      <c r="BP442" s="64">
        <f t="shared" si="52"/>
        <v>3.8461538461538464E-2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26.515151515151516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0.33488000000000001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140</v>
      </c>
      <c r="Y447" s="541">
        <f>IFERROR(SUM(Y440:Y445),"0")</f>
        <v>147.84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4486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4599.6499999999996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4671.2774445431114</v>
      </c>
      <c r="Y489" s="541">
        <f>IFERROR(SUM(BN22:BN485),"0")</f>
        <v>4790.7810000000009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7</v>
      </c>
      <c r="Y490" s="38">
        <f>ROUNDUP(SUM(BP22:BP485),0)</f>
        <v>8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4846.2774445431114</v>
      </c>
      <c r="Y491" s="541">
        <f>GrossWeightTotalR+PalletQtyTotalR*25</f>
        <v>4990.7810000000009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490.27270630603959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511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7.8713799999999994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43.2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63.600000000000009</v>
      </c>
      <c r="E498" s="46">
        <f>IFERROR(Y85*1,"0")+IFERROR(Y86*1,"0")+IFERROR(Y87*1,"0")+IFERROR(Y91*1,"0")+IFERROR(Y92*1,"0")+IFERROR(Y93*1,"0")+IFERROR(Y94*1,"0")</f>
        <v>21.6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91.2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282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14.129999999999999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131.6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2994</v>
      </c>
      <c r="T498" s="46">
        <f>IFERROR(Y367*1,"0")+IFERROR(Y368*1,"0")+IFERROR(Y372*1,"0")+IFERROR(Y373*1,"0")+IFERROR(Y377*1,"0")+IFERROR(Y378*1,"0")</f>
        <v>459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364.32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