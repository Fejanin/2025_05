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EC1DDB86-C68F-4240-89F9-D1FA6E32A2C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Y220" i="1"/>
  <c r="X220" i="1"/>
  <c r="BP219" i="1"/>
  <c r="BO219" i="1"/>
  <c r="BN219" i="1"/>
  <c r="BM219" i="1"/>
  <c r="Z219" i="1"/>
  <c r="Y219" i="1"/>
  <c r="P219" i="1"/>
  <c r="BO218" i="1"/>
  <c r="BN218" i="1"/>
  <c r="BM218" i="1"/>
  <c r="Z218" i="1"/>
  <c r="Z220" i="1" s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92" i="1" s="1"/>
  <c r="Y43" i="1"/>
  <c r="Y58" i="1"/>
  <c r="Y64" i="1"/>
  <c r="Y70" i="1"/>
  <c r="Y77" i="1"/>
  <c r="BP72" i="1"/>
  <c r="BN72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Z148" i="1"/>
  <c r="BP146" i="1"/>
  <c r="BN146" i="1"/>
  <c r="Z146" i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D498" i="1"/>
  <c r="H9" i="1"/>
  <c r="B498" i="1"/>
  <c r="X489" i="1"/>
  <c r="X491" i="1" s="1"/>
  <c r="X490" i="1"/>
  <c r="X492" i="1"/>
  <c r="Y24" i="1"/>
  <c r="Z27" i="1"/>
  <c r="Z31" i="1" s="1"/>
  <c r="BN27" i="1"/>
  <c r="Y489" i="1" s="1"/>
  <c r="Y491" i="1" s="1"/>
  <c r="Z29" i="1"/>
  <c r="BN29" i="1"/>
  <c r="C498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0" i="1" s="1"/>
  <c r="Z62" i="1"/>
  <c r="BN62" i="1"/>
  <c r="Z66" i="1"/>
  <c r="BN66" i="1"/>
  <c r="BP66" i="1"/>
  <c r="Z68" i="1"/>
  <c r="BN68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Z142" i="1" s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Z177" i="1" s="1"/>
  <c r="Y187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Z215" i="1" s="1"/>
  <c r="Y215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BP272" i="1"/>
  <c r="BN272" i="1"/>
  <c r="Z272" i="1"/>
  <c r="Z274" i="1" s="1"/>
  <c r="Y274" i="1"/>
  <c r="BP321" i="1"/>
  <c r="BN321" i="1"/>
  <c r="Z321" i="1"/>
  <c r="Z324" i="1" s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Z330" i="1" s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Z379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Z410" i="1" s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Z461" i="1" s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393" i="1" l="1"/>
  <c r="Z337" i="1"/>
  <c r="Z304" i="1"/>
  <c r="Z294" i="1"/>
  <c r="Z116" i="1"/>
  <c r="Z95" i="1"/>
  <c r="Z437" i="1"/>
  <c r="Z446" i="1"/>
  <c r="Z431" i="1"/>
  <c r="Z349" i="1"/>
  <c r="Z267" i="1"/>
  <c r="Z259" i="1"/>
  <c r="Z250" i="1"/>
  <c r="Z203" i="1"/>
  <c r="Z171" i="1"/>
  <c r="Z69" i="1"/>
  <c r="Z493" i="1" s="1"/>
  <c r="Y488" i="1"/>
</calcChain>
</file>

<file path=xl/sharedStrings.xml><?xml version="1.0" encoding="utf-8"?>
<sst xmlns="http://schemas.openxmlformats.org/spreadsheetml/2006/main" count="2270" uniqueCount="759">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</sst>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5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7</v>
      </c>
      <c r="B5" s="628"/>
      <c r="C5" s="629"/>
      <c r="D5" s="617"/>
      <c r="E5" s="618"/>
      <c r="F5" s="822" t="s">
        <v>8</v>
      </c>
      <c r="G5" s="629"/>
      <c r="H5" s="617"/>
      <c r="I5" s="761"/>
      <c r="J5" s="761"/>
      <c r="K5" s="761"/>
      <c r="L5" s="761"/>
      <c r="M5" s="618"/>
      <c r="N5" s="58"/>
      <c r="P5" s="24" t="s">
        <v>9</v>
      </c>
      <c r="Q5" s="836">
        <v>45985</v>
      </c>
      <c r="R5" s="651"/>
      <c r="T5" s="699" t="s">
        <v>10</v>
      </c>
      <c r="U5" s="700"/>
      <c r="V5" s="701" t="s">
        <v>11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12</v>
      </c>
      <c r="B6" s="628"/>
      <c r="C6" s="629"/>
      <c r="D6" s="764" t="s">
        <v>13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14</v>
      </c>
      <c r="Q6" s="844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15</v>
      </c>
      <c r="U6" s="700"/>
      <c r="V6" s="747" t="s">
        <v>16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17</v>
      </c>
      <c r="B8" s="558"/>
      <c r="C8" s="559"/>
      <c r="D8" s="609" t="s">
        <v>18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19</v>
      </c>
      <c r="Q8" s="658">
        <v>0.41666666666666669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20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21</v>
      </c>
      <c r="Q10" s="705"/>
      <c r="R10" s="706"/>
      <c r="U10" s="24" t="s">
        <v>22</v>
      </c>
      <c r="V10" s="584" t="s">
        <v>23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0"/>
      <c r="R11" s="651"/>
      <c r="U11" s="24" t="s">
        <v>26</v>
      </c>
      <c r="V11" s="787" t="s">
        <v>27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28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29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30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31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32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33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34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35</v>
      </c>
      <c r="B17" s="581" t="s">
        <v>36</v>
      </c>
      <c r="C17" s="666" t="s">
        <v>37</v>
      </c>
      <c r="D17" s="581" t="s">
        <v>38</v>
      </c>
      <c r="E17" s="636"/>
      <c r="F17" s="581" t="s">
        <v>39</v>
      </c>
      <c r="G17" s="581" t="s">
        <v>40</v>
      </c>
      <c r="H17" s="581" t="s">
        <v>41</v>
      </c>
      <c r="I17" s="581" t="s">
        <v>42</v>
      </c>
      <c r="J17" s="581" t="s">
        <v>43</v>
      </c>
      <c r="K17" s="581" t="s">
        <v>44</v>
      </c>
      <c r="L17" s="581" t="s">
        <v>45</v>
      </c>
      <c r="M17" s="581" t="s">
        <v>46</v>
      </c>
      <c r="N17" s="581" t="s">
        <v>47</v>
      </c>
      <c r="O17" s="581" t="s">
        <v>48</v>
      </c>
      <c r="P17" s="581" t="s">
        <v>49</v>
      </c>
      <c r="Q17" s="635"/>
      <c r="R17" s="635"/>
      <c r="S17" s="635"/>
      <c r="T17" s="636"/>
      <c r="U17" s="853" t="s">
        <v>50</v>
      </c>
      <c r="V17" s="629"/>
      <c r="W17" s="581" t="s">
        <v>51</v>
      </c>
      <c r="X17" s="581" t="s">
        <v>52</v>
      </c>
      <c r="Y17" s="854" t="s">
        <v>53</v>
      </c>
      <c r="Z17" s="759" t="s">
        <v>54</v>
      </c>
      <c r="AA17" s="738" t="s">
        <v>55</v>
      </c>
      <c r="AB17" s="738" t="s">
        <v>56</v>
      </c>
      <c r="AC17" s="738" t="s">
        <v>57</v>
      </c>
      <c r="AD17" s="738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62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62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63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64</v>
      </c>
      <c r="B22" s="54" t="s">
        <v>65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70</v>
      </c>
      <c r="Q23" s="558"/>
      <c r="R23" s="558"/>
      <c r="S23" s="558"/>
      <c r="T23" s="558"/>
      <c r="U23" s="558"/>
      <c r="V23" s="559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70</v>
      </c>
      <c r="Q24" s="558"/>
      <c r="R24" s="558"/>
      <c r="S24" s="558"/>
      <c r="T24" s="558"/>
      <c r="U24" s="558"/>
      <c r="V24" s="559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72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73</v>
      </c>
      <c r="B26" s="54" t="s">
        <v>74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78</v>
      </c>
      <c r="B27" s="54" t="s">
        <v>79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81</v>
      </c>
      <c r="B28" s="54" t="s">
        <v>82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70</v>
      </c>
      <c r="Q31" s="558"/>
      <c r="R31" s="558"/>
      <c r="S31" s="558"/>
      <c r="T31" s="558"/>
      <c r="U31" s="558"/>
      <c r="V31" s="559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70</v>
      </c>
      <c r="Q32" s="558"/>
      <c r="R32" s="558"/>
      <c r="S32" s="558"/>
      <c r="T32" s="558"/>
      <c r="U32" s="558"/>
      <c r="V32" s="559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90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91</v>
      </c>
      <c r="B34" s="54" t="s">
        <v>92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70</v>
      </c>
      <c r="Q35" s="558"/>
      <c r="R35" s="558"/>
      <c r="S35" s="558"/>
      <c r="T35" s="558"/>
      <c r="U35" s="558"/>
      <c r="V35" s="559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70</v>
      </c>
      <c r="Q36" s="558"/>
      <c r="R36" s="558"/>
      <c r="S36" s="558"/>
      <c r="T36" s="558"/>
      <c r="U36" s="558"/>
      <c r="V36" s="559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96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97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98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68</v>
      </c>
      <c r="X40" s="539">
        <v>11</v>
      </c>
      <c r="Y40" s="540">
        <f>IFERROR(IF(X40="",0,CEILING((X40/$H40),1)*$H40),"")</f>
        <v>21.6</v>
      </c>
      <c r="Z40" s="36">
        <f>IFERROR(IF(Y40=0,"",ROUNDUP(Y40/H40,0)*0.01898),"")</f>
        <v>3.7960000000000001E-2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11.417592592592593</v>
      </c>
      <c r="BN40" s="64">
        <f>IFERROR(Y40*I40/H40,"0")</f>
        <v>22.42</v>
      </c>
      <c r="BO40" s="64">
        <f>IFERROR(1/J40*(X40/H40),"0")</f>
        <v>1.591435185185185E-2</v>
      </c>
      <c r="BP40" s="64">
        <f>IFERROR(1/J40*(Y40/H40),"0")</f>
        <v>3.125E-2</v>
      </c>
    </row>
    <row r="41" spans="1:68" ht="27" customHeight="1" x14ac:dyDescent="0.25">
      <c r="A41" s="54" t="s">
        <v>106</v>
      </c>
      <c r="B41" s="54" t="s">
        <v>107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 t="s">
        <v>109</v>
      </c>
      <c r="M41" s="33" t="s">
        <v>76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 t="s">
        <v>105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/>
      <c r="M42" s="33" t="s">
        <v>76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70</v>
      </c>
      <c r="Q43" s="558"/>
      <c r="R43" s="558"/>
      <c r="S43" s="558"/>
      <c r="T43" s="558"/>
      <c r="U43" s="558"/>
      <c r="V43" s="559"/>
      <c r="W43" s="37" t="s">
        <v>71</v>
      </c>
      <c r="X43" s="541">
        <f>IFERROR(X40/H40,"0")+IFERROR(X41/H41,"0")+IFERROR(X42/H42,"0")</f>
        <v>1.0185185185185184</v>
      </c>
      <c r="Y43" s="541">
        <f>IFERROR(Y40/H40,"0")+IFERROR(Y41/H41,"0")+IFERROR(Y42/H42,"0")</f>
        <v>2</v>
      </c>
      <c r="Z43" s="541">
        <f>IFERROR(IF(Z40="",0,Z40),"0")+IFERROR(IF(Z41="",0,Z41),"0")+IFERROR(IF(Z42="",0,Z42),"0")</f>
        <v>3.7960000000000001E-2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70</v>
      </c>
      <c r="Q44" s="558"/>
      <c r="R44" s="558"/>
      <c r="S44" s="558"/>
      <c r="T44" s="558"/>
      <c r="U44" s="558"/>
      <c r="V44" s="559"/>
      <c r="W44" s="37" t="s">
        <v>68</v>
      </c>
      <c r="X44" s="541">
        <f>IFERROR(SUM(X40:X42),"0")</f>
        <v>11</v>
      </c>
      <c r="Y44" s="541">
        <f>IFERROR(SUM(Y40:Y42),"0")</f>
        <v>21.6</v>
      </c>
      <c r="Z44" s="37"/>
      <c r="AA44" s="542"/>
      <c r="AB44" s="542"/>
      <c r="AC44" s="542"/>
    </row>
    <row r="45" spans="1:68" ht="14.25" customHeight="1" x14ac:dyDescent="0.25">
      <c r="A45" s="554" t="s">
        <v>72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70</v>
      </c>
      <c r="Q47" s="558"/>
      <c r="R47" s="558"/>
      <c r="S47" s="558"/>
      <c r="T47" s="558"/>
      <c r="U47" s="558"/>
      <c r="V47" s="559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70</v>
      </c>
      <c r="Q48" s="558"/>
      <c r="R48" s="558"/>
      <c r="S48" s="558"/>
      <c r="T48" s="558"/>
      <c r="U48" s="558"/>
      <c r="V48" s="559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115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98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/>
      <c r="M51" s="33" t="s">
        <v>76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68</v>
      </c>
      <c r="X51" s="539">
        <v>48</v>
      </c>
      <c r="Y51" s="540">
        <f t="shared" ref="Y51:Y56" si="0">IFERROR(IF(X51="",0,CEILING((X51/$H51),1)*$H51),"")</f>
        <v>56</v>
      </c>
      <c r="Z51" s="36">
        <f>IFERROR(IF(Y51=0,"",ROUNDUP(Y51/H51,0)*0.01898),"")</f>
        <v>9.4899999999999998E-2</v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49.75714285714286</v>
      </c>
      <c r="BN51" s="64">
        <f t="shared" ref="BN51:BN56" si="2">IFERROR(Y51*I51/H51,"0")</f>
        <v>58.050000000000004</v>
      </c>
      <c r="BO51" s="64">
        <f t="shared" ref="BO51:BO56" si="3">IFERROR(1/J51*(X51/H51),"0")</f>
        <v>6.6964285714285712E-2</v>
      </c>
      <c r="BP51" s="64">
        <f t="shared" ref="BP51:BP56" si="4">IFERROR(1/J51*(Y51/H51),"0")</f>
        <v>7.8125E-2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68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109</v>
      </c>
      <c r="M54" s="33" t="s">
        <v>103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68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 t="s">
        <v>109</v>
      </c>
      <c r="M56" s="33" t="s">
        <v>103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 t="s">
        <v>105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70</v>
      </c>
      <c r="Q57" s="558"/>
      <c r="R57" s="558"/>
      <c r="S57" s="558"/>
      <c r="T57" s="558"/>
      <c r="U57" s="558"/>
      <c r="V57" s="559"/>
      <c r="W57" s="37" t="s">
        <v>71</v>
      </c>
      <c r="X57" s="541">
        <f>IFERROR(X51/H51,"0")+IFERROR(X52/H52,"0")+IFERROR(X53/H53,"0")+IFERROR(X54/H54,"0")+IFERROR(X55/H55,"0")+IFERROR(X56/H56,"0")</f>
        <v>4.2857142857142856</v>
      </c>
      <c r="Y57" s="541">
        <f>IFERROR(Y51/H51,"0")+IFERROR(Y52/H52,"0")+IFERROR(Y53/H53,"0")+IFERROR(Y54/H54,"0")+IFERROR(Y55/H55,"0")+IFERROR(Y56/H56,"0")</f>
        <v>5</v>
      </c>
      <c r="Z57" s="541">
        <f>IFERROR(IF(Z51="",0,Z51),"0")+IFERROR(IF(Z52="",0,Z52),"0")+IFERROR(IF(Z53="",0,Z53),"0")+IFERROR(IF(Z54="",0,Z54),"0")+IFERROR(IF(Z55="",0,Z55),"0")+IFERROR(IF(Z56="",0,Z56),"0")</f>
        <v>9.4899999999999998E-2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70</v>
      </c>
      <c r="Q58" s="558"/>
      <c r="R58" s="558"/>
      <c r="S58" s="558"/>
      <c r="T58" s="558"/>
      <c r="U58" s="558"/>
      <c r="V58" s="559"/>
      <c r="W58" s="37" t="s">
        <v>68</v>
      </c>
      <c r="X58" s="541">
        <f>IFERROR(SUM(X51:X56),"0")</f>
        <v>48</v>
      </c>
      <c r="Y58" s="541">
        <f>IFERROR(SUM(Y51:Y56),"0")</f>
        <v>56</v>
      </c>
      <c r="Z58" s="37"/>
      <c r="AA58" s="542"/>
      <c r="AB58" s="542"/>
      <c r="AC58" s="542"/>
    </row>
    <row r="59" spans="1:68" ht="14.25" customHeight="1" x14ac:dyDescent="0.25">
      <c r="A59" s="554" t="s">
        <v>134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68</v>
      </c>
      <c r="X60" s="539">
        <v>66</v>
      </c>
      <c r="Y60" s="540">
        <f>IFERROR(IF(X60="",0,CEILING((X60/$H60),1)*$H60),"")</f>
        <v>75.600000000000009</v>
      </c>
      <c r="Z60" s="36">
        <f>IFERROR(IF(Y60=0,"",ROUNDUP(Y60/H60,0)*0.01898),"")</f>
        <v>0.13286000000000001</v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68.505555555555546</v>
      </c>
      <c r="BN60" s="64">
        <f>IFERROR(Y60*I60/H60,"0")</f>
        <v>78.47</v>
      </c>
      <c r="BO60" s="64">
        <f>IFERROR(1/J60*(X60/H60),"0")</f>
        <v>9.5486111111111105E-2</v>
      </c>
      <c r="BP60" s="64">
        <f>IFERROR(1/J60*(Y60/H60),"0")</f>
        <v>0.109375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70</v>
      </c>
      <c r="Q63" s="558"/>
      <c r="R63" s="558"/>
      <c r="S63" s="558"/>
      <c r="T63" s="558"/>
      <c r="U63" s="558"/>
      <c r="V63" s="559"/>
      <c r="W63" s="37" t="s">
        <v>71</v>
      </c>
      <c r="X63" s="541">
        <f>IFERROR(X60/H60,"0")+IFERROR(X61/H61,"0")+IFERROR(X62/H62,"0")</f>
        <v>6.1111111111111107</v>
      </c>
      <c r="Y63" s="541">
        <f>IFERROR(Y60/H60,"0")+IFERROR(Y61/H61,"0")+IFERROR(Y62/H62,"0")</f>
        <v>7</v>
      </c>
      <c r="Z63" s="541">
        <f>IFERROR(IF(Z60="",0,Z60),"0")+IFERROR(IF(Z61="",0,Z61),"0")+IFERROR(IF(Z62="",0,Z62),"0")</f>
        <v>0.13286000000000001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70</v>
      </c>
      <c r="Q64" s="558"/>
      <c r="R64" s="558"/>
      <c r="S64" s="558"/>
      <c r="T64" s="558"/>
      <c r="U64" s="558"/>
      <c r="V64" s="559"/>
      <c r="W64" s="37" t="s">
        <v>68</v>
      </c>
      <c r="X64" s="541">
        <f>IFERROR(SUM(X60:X62),"0")</f>
        <v>66</v>
      </c>
      <c r="Y64" s="541">
        <f>IFERROR(SUM(Y60:Y62),"0")</f>
        <v>75.600000000000009</v>
      </c>
      <c r="Z64" s="37"/>
      <c r="AA64" s="542"/>
      <c r="AB64" s="542"/>
      <c r="AC64" s="542"/>
    </row>
    <row r="65" spans="1:68" ht="14.25" customHeight="1" x14ac:dyDescent="0.25">
      <c r="A65" s="554" t="s">
        <v>63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70</v>
      </c>
      <c r="Q69" s="558"/>
      <c r="R69" s="558"/>
      <c r="S69" s="558"/>
      <c r="T69" s="558"/>
      <c r="U69" s="558"/>
      <c r="V69" s="559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70</v>
      </c>
      <c r="Q70" s="558"/>
      <c r="R70" s="558"/>
      <c r="S70" s="558"/>
      <c r="T70" s="558"/>
      <c r="U70" s="558"/>
      <c r="V70" s="559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72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/>
      <c r="M72" s="33" t="s">
        <v>76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70</v>
      </c>
      <c r="Q76" s="558"/>
      <c r="R76" s="558"/>
      <c r="S76" s="558"/>
      <c r="T76" s="558"/>
      <c r="U76" s="558"/>
      <c r="V76" s="559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70</v>
      </c>
      <c r="Q77" s="558"/>
      <c r="R77" s="558"/>
      <c r="S77" s="558"/>
      <c r="T77" s="558"/>
      <c r="U77" s="558"/>
      <c r="V77" s="559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162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68</v>
      </c>
      <c r="X79" s="539">
        <v>33</v>
      </c>
      <c r="Y79" s="540">
        <f>IFERROR(IF(X79="",0,CEILING((X79/$H79),1)*$H79),"")</f>
        <v>39</v>
      </c>
      <c r="Z79" s="36">
        <f>IFERROR(IF(Y79=0,"",ROUNDUP(Y79/H79,0)*0.01898),"")</f>
        <v>9.4899999999999998E-2</v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34.734615384615388</v>
      </c>
      <c r="BN79" s="64">
        <f>IFERROR(Y79*I79/H79,"0")</f>
        <v>41.050000000000011</v>
      </c>
      <c r="BO79" s="64">
        <f>IFERROR(1/J79*(X79/H79),"0")</f>
        <v>6.6105769230769232E-2</v>
      </c>
      <c r="BP79" s="64">
        <f>IFERROR(1/J79*(Y79/H79),"0")</f>
        <v>7.8125E-2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70</v>
      </c>
      <c r="Q81" s="558"/>
      <c r="R81" s="558"/>
      <c r="S81" s="558"/>
      <c r="T81" s="558"/>
      <c r="U81" s="558"/>
      <c r="V81" s="559"/>
      <c r="W81" s="37" t="s">
        <v>71</v>
      </c>
      <c r="X81" s="541">
        <f>IFERROR(X79/H79,"0")+IFERROR(X80/H80,"0")</f>
        <v>4.2307692307692308</v>
      </c>
      <c r="Y81" s="541">
        <f>IFERROR(Y79/H79,"0")+IFERROR(Y80/H80,"0")</f>
        <v>5</v>
      </c>
      <c r="Z81" s="541">
        <f>IFERROR(IF(Z79="",0,Z79),"0")+IFERROR(IF(Z80="",0,Z80),"0")</f>
        <v>9.4899999999999998E-2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70</v>
      </c>
      <c r="Q82" s="558"/>
      <c r="R82" s="558"/>
      <c r="S82" s="558"/>
      <c r="T82" s="558"/>
      <c r="U82" s="558"/>
      <c r="V82" s="559"/>
      <c r="W82" s="37" t="s">
        <v>68</v>
      </c>
      <c r="X82" s="541">
        <f>IFERROR(SUM(X79:X80),"0")</f>
        <v>33</v>
      </c>
      <c r="Y82" s="541">
        <f>IFERROR(SUM(Y79:Y80),"0")</f>
        <v>39</v>
      </c>
      <c r="Z82" s="37"/>
      <c r="AA82" s="542"/>
      <c r="AB82" s="542"/>
      <c r="AC82" s="542"/>
    </row>
    <row r="83" spans="1:68" ht="16.5" customHeight="1" x14ac:dyDescent="0.25">
      <c r="A83" s="552" t="s">
        <v>169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98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68</v>
      </c>
      <c r="X85" s="539">
        <v>616</v>
      </c>
      <c r="Y85" s="540">
        <f>IFERROR(IF(X85="",0,CEILING((X85/$H85),1)*$H85),"")</f>
        <v>626.40000000000009</v>
      </c>
      <c r="Z85" s="36">
        <f>IFERROR(IF(Y85=0,"",ROUNDUP(Y85/H85,0)*0.01898),"")</f>
        <v>1.10084</v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639.38518518518515</v>
      </c>
      <c r="BN85" s="64">
        <f>IFERROR(Y85*I85/H85,"0")</f>
        <v>650.18000000000006</v>
      </c>
      <c r="BO85" s="64">
        <f>IFERROR(1/J85*(X85/H85),"0")</f>
        <v>0.89120370370370361</v>
      </c>
      <c r="BP85" s="64">
        <f>IFERROR(1/J85*(Y85/H85),"0")</f>
        <v>0.90625000000000011</v>
      </c>
    </row>
    <row r="86" spans="1:68" ht="27" customHeight="1" x14ac:dyDescent="0.25">
      <c r="A86" s="54" t="s">
        <v>173</v>
      </c>
      <c r="B86" s="54" t="s">
        <v>174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 t="s">
        <v>109</v>
      </c>
      <c r="M86" s="33" t="s">
        <v>76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 t="s">
        <v>105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109</v>
      </c>
      <c r="M87" s="33" t="s">
        <v>83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68</v>
      </c>
      <c r="X87" s="539">
        <v>65</v>
      </c>
      <c r="Y87" s="540">
        <f>IFERROR(IF(X87="",0,CEILING((X87/$H87),1)*$H87),"")</f>
        <v>67.5</v>
      </c>
      <c r="Z87" s="36">
        <f>IFERROR(IF(Y87=0,"",ROUNDUP(Y87/H87,0)*0.00902),"")</f>
        <v>0.1353</v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67.744444444444454</v>
      </c>
      <c r="BN87" s="64">
        <f>IFERROR(Y87*I87/H87,"0")</f>
        <v>70.350000000000009</v>
      </c>
      <c r="BO87" s="64">
        <f>IFERROR(1/J87*(X87/H87),"0")</f>
        <v>0.10942760942760943</v>
      </c>
      <c r="BP87" s="64">
        <f>IFERROR(1/J87*(Y87/H87),"0")</f>
        <v>0.11363636363636365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70</v>
      </c>
      <c r="Q88" s="558"/>
      <c r="R88" s="558"/>
      <c r="S88" s="558"/>
      <c r="T88" s="558"/>
      <c r="U88" s="558"/>
      <c r="V88" s="559"/>
      <c r="W88" s="37" t="s">
        <v>71</v>
      </c>
      <c r="X88" s="541">
        <f>IFERROR(X85/H85,"0")+IFERROR(X86/H86,"0")+IFERROR(X87/H87,"0")</f>
        <v>71.481481481481481</v>
      </c>
      <c r="Y88" s="541">
        <f>IFERROR(Y85/H85,"0")+IFERROR(Y86/H86,"0")+IFERROR(Y87/H87,"0")</f>
        <v>73</v>
      </c>
      <c r="Z88" s="541">
        <f>IFERROR(IF(Z85="",0,Z85),"0")+IFERROR(IF(Z86="",0,Z86),"0")+IFERROR(IF(Z87="",0,Z87),"0")</f>
        <v>1.23614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70</v>
      </c>
      <c r="Q89" s="558"/>
      <c r="R89" s="558"/>
      <c r="S89" s="558"/>
      <c r="T89" s="558"/>
      <c r="U89" s="558"/>
      <c r="V89" s="559"/>
      <c r="W89" s="37" t="s">
        <v>68</v>
      </c>
      <c r="X89" s="541">
        <f>IFERROR(SUM(X85:X87),"0")</f>
        <v>681</v>
      </c>
      <c r="Y89" s="541">
        <f>IFERROR(SUM(Y85:Y87),"0")</f>
        <v>693.90000000000009</v>
      </c>
      <c r="Z89" s="37"/>
      <c r="AA89" s="542"/>
      <c r="AB89" s="542"/>
      <c r="AC89" s="542"/>
    </row>
    <row r="90" spans="1:68" ht="14.25" customHeight="1" x14ac:dyDescent="0.25">
      <c r="A90" s="554" t="s">
        <v>72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68</v>
      </c>
      <c r="X91" s="539">
        <v>70</v>
      </c>
      <c r="Y91" s="540">
        <f>IFERROR(IF(X91="",0,CEILING((X91/$H91),1)*$H91),"")</f>
        <v>72.899999999999991</v>
      </c>
      <c r="Z91" s="36">
        <f>IFERROR(IF(Y91=0,"",ROUNDUP(Y91/H91,0)*0.01898),"")</f>
        <v>0.17082</v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74.269135802469137</v>
      </c>
      <c r="BN91" s="64">
        <f>IFERROR(Y91*I91/H91,"0")</f>
        <v>77.345999999999989</v>
      </c>
      <c r="BO91" s="64">
        <f>IFERROR(1/J91*(X91/H91),"0")</f>
        <v>0.13503086419753088</v>
      </c>
      <c r="BP91" s="64">
        <f>IFERROR(1/J91*(Y91/H91),"0")</f>
        <v>0.140625</v>
      </c>
    </row>
    <row r="92" spans="1:68" ht="27" customHeight="1" x14ac:dyDescent="0.25">
      <c r="A92" s="54" t="s">
        <v>180</v>
      </c>
      <c r="B92" s="54" t="s">
        <v>181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 t="s">
        <v>185</v>
      </c>
      <c r="M93" s="33" t="s">
        <v>83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68</v>
      </c>
      <c r="X93" s="539">
        <v>196</v>
      </c>
      <c r="Y93" s="540">
        <f>IFERROR(IF(X93="",0,CEILING((X93/$H93),1)*$H93),"")</f>
        <v>197.10000000000002</v>
      </c>
      <c r="Z93" s="36">
        <f>IFERROR(IF(Y93=0,"",ROUNDUP(Y93/H93,0)*0.00651),"")</f>
        <v>0.47522999999999999</v>
      </c>
      <c r="AA93" s="56"/>
      <c r="AB93" s="57"/>
      <c r="AC93" s="137" t="s">
        <v>179</v>
      </c>
      <c r="AG93" s="64"/>
      <c r="AJ93" s="68" t="s">
        <v>105</v>
      </c>
      <c r="AK93" s="68">
        <v>37.799999999999997</v>
      </c>
      <c r="BB93" s="138" t="s">
        <v>1</v>
      </c>
      <c r="BM93" s="64">
        <f>IFERROR(X93*I93/H93,"0")</f>
        <v>214.29333333333332</v>
      </c>
      <c r="BN93" s="64">
        <f>IFERROR(Y93*I93/H93,"0")</f>
        <v>215.49599999999998</v>
      </c>
      <c r="BO93" s="64">
        <f>IFERROR(1/J93*(X93/H93),"0")</f>
        <v>0.39886039886039881</v>
      </c>
      <c r="BP93" s="64">
        <f>IFERROR(1/J93*(Y93/H93),"0")</f>
        <v>0.40109890109890112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 t="s">
        <v>185</v>
      </c>
      <c r="M94" s="33" t="s">
        <v>76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 t="s">
        <v>105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70</v>
      </c>
      <c r="Q95" s="558"/>
      <c r="R95" s="558"/>
      <c r="S95" s="558"/>
      <c r="T95" s="558"/>
      <c r="U95" s="558"/>
      <c r="V95" s="559"/>
      <c r="W95" s="37" t="s">
        <v>71</v>
      </c>
      <c r="X95" s="541">
        <f>IFERROR(X91/H91,"0")+IFERROR(X92/H92,"0")+IFERROR(X93/H93,"0")+IFERROR(X94/H94,"0")</f>
        <v>81.234567901234556</v>
      </c>
      <c r="Y95" s="541">
        <f>IFERROR(Y91/H91,"0")+IFERROR(Y92/H92,"0")+IFERROR(Y93/H93,"0")+IFERROR(Y94/H94,"0")</f>
        <v>82</v>
      </c>
      <c r="Z95" s="541">
        <f>IFERROR(IF(Z91="",0,Z91),"0")+IFERROR(IF(Z92="",0,Z92),"0")+IFERROR(IF(Z93="",0,Z93),"0")+IFERROR(IF(Z94="",0,Z94),"0")</f>
        <v>0.64605000000000001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70</v>
      </c>
      <c r="Q96" s="558"/>
      <c r="R96" s="558"/>
      <c r="S96" s="558"/>
      <c r="T96" s="558"/>
      <c r="U96" s="558"/>
      <c r="V96" s="559"/>
      <c r="W96" s="37" t="s">
        <v>68</v>
      </c>
      <c r="X96" s="541">
        <f>IFERROR(SUM(X91:X94),"0")</f>
        <v>266</v>
      </c>
      <c r="Y96" s="541">
        <f>IFERROR(SUM(Y91:Y94),"0")</f>
        <v>270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98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68</v>
      </c>
      <c r="X99" s="539">
        <v>217</v>
      </c>
      <c r="Y99" s="540">
        <f>IFERROR(IF(X99="",0,CEILING((X99/$H99),1)*$H99),"")</f>
        <v>226.8</v>
      </c>
      <c r="Z99" s="36">
        <f>IFERROR(IF(Y99=0,"",ROUNDUP(Y99/H99,0)*0.01898),"")</f>
        <v>0.39857999999999999</v>
      </c>
      <c r="AA99" s="56"/>
      <c r="AB99" s="57"/>
      <c r="AC99" s="141" t="s">
        <v>192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225.23796296296297</v>
      </c>
      <c r="BN99" s="64">
        <f>IFERROR(Y99*I99/H99,"0")</f>
        <v>235.41000000000003</v>
      </c>
      <c r="BO99" s="64">
        <f>IFERROR(1/J99*(X99/H99),"0")</f>
        <v>0.31394675925925924</v>
      </c>
      <c r="BP99" s="64">
        <f>IFERROR(1/J99*(Y99/H99),"0")</f>
        <v>0.328125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 t="s">
        <v>109</v>
      </c>
      <c r="M100" s="33" t="s">
        <v>76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 t="s">
        <v>105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109</v>
      </c>
      <c r="M101" s="33" t="s">
        <v>76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68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70</v>
      </c>
      <c r="Q103" s="558"/>
      <c r="R103" s="558"/>
      <c r="S103" s="558"/>
      <c r="T103" s="558"/>
      <c r="U103" s="558"/>
      <c r="V103" s="559"/>
      <c r="W103" s="37" t="s">
        <v>71</v>
      </c>
      <c r="X103" s="541">
        <f>IFERROR(X99/H99,"0")+IFERROR(X100/H100,"0")+IFERROR(X101/H101,"0")+IFERROR(X102/H102,"0")</f>
        <v>20.092592592592592</v>
      </c>
      <c r="Y103" s="541">
        <f>IFERROR(Y99/H99,"0")+IFERROR(Y100/H100,"0")+IFERROR(Y101/H101,"0")+IFERROR(Y102/H102,"0")</f>
        <v>21</v>
      </c>
      <c r="Z103" s="541">
        <f>IFERROR(IF(Z99="",0,Z99),"0")+IFERROR(IF(Z100="",0,Z100),"0")+IFERROR(IF(Z101="",0,Z101),"0")+IFERROR(IF(Z102="",0,Z102),"0")</f>
        <v>0.39857999999999999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70</v>
      </c>
      <c r="Q104" s="558"/>
      <c r="R104" s="558"/>
      <c r="S104" s="558"/>
      <c r="T104" s="558"/>
      <c r="U104" s="558"/>
      <c r="V104" s="559"/>
      <c r="W104" s="37" t="s">
        <v>68</v>
      </c>
      <c r="X104" s="541">
        <f>IFERROR(SUM(X99:X102),"0")</f>
        <v>217</v>
      </c>
      <c r="Y104" s="541">
        <f>IFERROR(SUM(Y99:Y102),"0")</f>
        <v>226.8</v>
      </c>
      <c r="Z104" s="37"/>
      <c r="AA104" s="542"/>
      <c r="AB104" s="542"/>
      <c r="AC104" s="542"/>
    </row>
    <row r="105" spans="1:68" ht="14.25" customHeight="1" x14ac:dyDescent="0.25">
      <c r="A105" s="554" t="s">
        <v>134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68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/>
      <c r="M108" s="33" t="s">
        <v>103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68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70</v>
      </c>
      <c r="Q109" s="558"/>
      <c r="R109" s="558"/>
      <c r="S109" s="558"/>
      <c r="T109" s="558"/>
      <c r="U109" s="558"/>
      <c r="V109" s="559"/>
      <c r="W109" s="37" t="s">
        <v>71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70</v>
      </c>
      <c r="Q110" s="558"/>
      <c r="R110" s="558"/>
      <c r="S110" s="558"/>
      <c r="T110" s="558"/>
      <c r="U110" s="558"/>
      <c r="V110" s="559"/>
      <c r="W110" s="37" t="s">
        <v>68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72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68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185</v>
      </c>
      <c r="M114" s="33" t="s">
        <v>83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68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213</v>
      </c>
      <c r="B115" s="54" t="s">
        <v>214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70</v>
      </c>
      <c r="Q116" s="558"/>
      <c r="R116" s="558"/>
      <c r="S116" s="558"/>
      <c r="T116" s="558"/>
      <c r="U116" s="558"/>
      <c r="V116" s="559"/>
      <c r="W116" s="37" t="s">
        <v>71</v>
      </c>
      <c r="X116" s="541">
        <f>IFERROR(X112/H112,"0")+IFERROR(X113/H113,"0")+IFERROR(X114/H114,"0")+IFERROR(X115/H115,"0")</f>
        <v>0</v>
      </c>
      <c r="Y116" s="541">
        <f>IFERROR(Y112/H112,"0")+IFERROR(Y113/H113,"0")+IFERROR(Y114/H114,"0")+IFERROR(Y115/H115,"0")</f>
        <v>0</v>
      </c>
      <c r="Z116" s="541">
        <f>IFERROR(IF(Z112="",0,Z112),"0")+IFERROR(IF(Z113="",0,Z113),"0")+IFERROR(IF(Z114="",0,Z114),"0")+IFERROR(IF(Z115="",0,Z115),"0")</f>
        <v>0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70</v>
      </c>
      <c r="Q117" s="558"/>
      <c r="R117" s="558"/>
      <c r="S117" s="558"/>
      <c r="T117" s="558"/>
      <c r="U117" s="558"/>
      <c r="V117" s="559"/>
      <c r="W117" s="37" t="s">
        <v>68</v>
      </c>
      <c r="X117" s="541">
        <f>IFERROR(SUM(X112:X115),"0")</f>
        <v>0</v>
      </c>
      <c r="Y117" s="541">
        <f>IFERROR(SUM(Y112:Y115),"0")</f>
        <v>0</v>
      </c>
      <c r="Z117" s="37"/>
      <c r="AA117" s="542"/>
      <c r="AB117" s="542"/>
      <c r="AC117" s="542"/>
    </row>
    <row r="118" spans="1:68" ht="14.25" customHeight="1" x14ac:dyDescent="0.25">
      <c r="A118" s="554" t="s">
        <v>162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216</v>
      </c>
      <c r="B119" s="54" t="s">
        <v>217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70</v>
      </c>
      <c r="Q120" s="558"/>
      <c r="R120" s="558"/>
      <c r="S120" s="558"/>
      <c r="T120" s="558"/>
      <c r="U120" s="558"/>
      <c r="V120" s="559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70</v>
      </c>
      <c r="Q121" s="558"/>
      <c r="R121" s="558"/>
      <c r="S121" s="558"/>
      <c r="T121" s="558"/>
      <c r="U121" s="558"/>
      <c r="V121" s="559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219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98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220</v>
      </c>
      <c r="B124" s="54" t="s">
        <v>221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 t="s">
        <v>185</v>
      </c>
      <c r="M124" s="33" t="s">
        <v>93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 t="s">
        <v>105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220</v>
      </c>
      <c r="B125" s="54" t="s">
        <v>223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 t="s">
        <v>185</v>
      </c>
      <c r="M125" s="33" t="s">
        <v>93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 t="s">
        <v>105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70</v>
      </c>
      <c r="Q126" s="558"/>
      <c r="R126" s="558"/>
      <c r="S126" s="558"/>
      <c r="T126" s="558"/>
      <c r="U126" s="558"/>
      <c r="V126" s="559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70</v>
      </c>
      <c r="Q127" s="558"/>
      <c r="R127" s="558"/>
      <c r="S127" s="558"/>
      <c r="T127" s="558"/>
      <c r="U127" s="558"/>
      <c r="V127" s="559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63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224</v>
      </c>
      <c r="B129" s="54" t="s">
        <v>225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224</v>
      </c>
      <c r="B130" s="54" t="s">
        <v>227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 t="s">
        <v>185</v>
      </c>
      <c r="M130" s="33" t="s">
        <v>93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 t="s">
        <v>105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70</v>
      </c>
      <c r="Q131" s="558"/>
      <c r="R131" s="558"/>
      <c r="S131" s="558"/>
      <c r="T131" s="558"/>
      <c r="U131" s="558"/>
      <c r="V131" s="559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70</v>
      </c>
      <c r="Q132" s="558"/>
      <c r="R132" s="558"/>
      <c r="S132" s="558"/>
      <c r="T132" s="558"/>
      <c r="U132" s="558"/>
      <c r="V132" s="559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72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228</v>
      </c>
      <c r="B134" s="54" t="s">
        <v>229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228</v>
      </c>
      <c r="B135" s="54" t="s">
        <v>230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70</v>
      </c>
      <c r="Q136" s="558"/>
      <c r="R136" s="558"/>
      <c r="S136" s="558"/>
      <c r="T136" s="558"/>
      <c r="U136" s="558"/>
      <c r="V136" s="559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70</v>
      </c>
      <c r="Q137" s="558"/>
      <c r="R137" s="558"/>
      <c r="S137" s="558"/>
      <c r="T137" s="558"/>
      <c r="U137" s="558"/>
      <c r="V137" s="559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96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98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231</v>
      </c>
      <c r="B140" s="54" t="s">
        <v>232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234</v>
      </c>
      <c r="B141" s="54" t="s">
        <v>235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70</v>
      </c>
      <c r="Q142" s="558"/>
      <c r="R142" s="558"/>
      <c r="S142" s="558"/>
      <c r="T142" s="558"/>
      <c r="U142" s="558"/>
      <c r="V142" s="559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70</v>
      </c>
      <c r="Q143" s="558"/>
      <c r="R143" s="558"/>
      <c r="S143" s="558"/>
      <c r="T143" s="558"/>
      <c r="U143" s="558"/>
      <c r="V143" s="559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63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237</v>
      </c>
      <c r="B145" s="54" t="s">
        <v>238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240</v>
      </c>
      <c r="B146" s="54" t="s">
        <v>241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243</v>
      </c>
      <c r="B147" s="54" t="s">
        <v>244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70</v>
      </c>
      <c r="Q148" s="558"/>
      <c r="R148" s="558"/>
      <c r="S148" s="558"/>
      <c r="T148" s="558"/>
      <c r="U148" s="558"/>
      <c r="V148" s="559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70</v>
      </c>
      <c r="Q149" s="558"/>
      <c r="R149" s="558"/>
      <c r="S149" s="558"/>
      <c r="T149" s="558"/>
      <c r="U149" s="558"/>
      <c r="V149" s="559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72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246</v>
      </c>
      <c r="B151" s="54" t="s">
        <v>247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59" t="s">
        <v>248</v>
      </c>
      <c r="Q151" s="544"/>
      <c r="R151" s="544"/>
      <c r="S151" s="544"/>
      <c r="T151" s="545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70</v>
      </c>
      <c r="Q152" s="558"/>
      <c r="R152" s="558"/>
      <c r="S152" s="558"/>
      <c r="T152" s="558"/>
      <c r="U152" s="558"/>
      <c r="V152" s="559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70</v>
      </c>
      <c r="Q153" s="558"/>
      <c r="R153" s="558"/>
      <c r="S153" s="558"/>
      <c r="T153" s="558"/>
      <c r="U153" s="558"/>
      <c r="V153" s="559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250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251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134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70</v>
      </c>
      <c r="Q158" s="558"/>
      <c r="R158" s="558"/>
      <c r="S158" s="558"/>
      <c r="T158" s="558"/>
      <c r="U158" s="558"/>
      <c r="V158" s="559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70</v>
      </c>
      <c r="Q159" s="558"/>
      <c r="R159" s="558"/>
      <c r="S159" s="558"/>
      <c r="T159" s="558"/>
      <c r="U159" s="558"/>
      <c r="V159" s="559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63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/>
      <c r="M161" s="33" t="s">
        <v>67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68</v>
      </c>
      <c r="X161" s="539">
        <v>13</v>
      </c>
      <c r="Y161" s="540">
        <f t="shared" ref="Y161:Y170" si="5">IFERROR(IF(X161="",0,CEILING((X161/$H161),1)*$H161),"")</f>
        <v>16.8</v>
      </c>
      <c r="Z161" s="36">
        <f>IFERROR(IF(Y161=0,"",ROUNDUP(Y161/H161,0)*0.00902),"")</f>
        <v>3.6080000000000001E-2</v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13.773809523809524</v>
      </c>
      <c r="BN161" s="64">
        <f t="shared" ref="BN161:BN170" si="7">IFERROR(Y161*I161/H161,"0")</f>
        <v>17.8</v>
      </c>
      <c r="BO161" s="64">
        <f t="shared" ref="BO161:BO170" si="8">IFERROR(1/J161*(X161/H161),"0")</f>
        <v>2.3448773448773448E-2</v>
      </c>
      <c r="BP161" s="64">
        <f t="shared" ref="BP161:BP170" si="9">IFERROR(1/J161*(Y161/H161),"0")</f>
        <v>3.0303030303030304E-2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109</v>
      </c>
      <c r="M163" s="33" t="s">
        <v>67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68</v>
      </c>
      <c r="X163" s="539">
        <v>29</v>
      </c>
      <c r="Y163" s="540">
        <f t="shared" si="5"/>
        <v>29.400000000000002</v>
      </c>
      <c r="Z163" s="36">
        <f>IFERROR(IF(Y163=0,"",ROUNDUP(Y163/H163,0)*0.00902),"")</f>
        <v>6.3140000000000002E-2</v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30.311904761904756</v>
      </c>
      <c r="BN163" s="64">
        <f t="shared" si="7"/>
        <v>30.73</v>
      </c>
      <c r="BO163" s="64">
        <f t="shared" si="8"/>
        <v>5.2308802308802305E-2</v>
      </c>
      <c r="BP163" s="64">
        <f t="shared" si="9"/>
        <v>5.3030303030303032E-2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68</v>
      </c>
      <c r="X164" s="539">
        <v>35</v>
      </c>
      <c r="Y164" s="540">
        <f t="shared" si="5"/>
        <v>35.700000000000003</v>
      </c>
      <c r="Z164" s="36">
        <f>IFERROR(IF(Y164=0,"",ROUNDUP(Y164/H164,0)*0.00502),"")</f>
        <v>8.5339999999999999E-2</v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37.166666666666664</v>
      </c>
      <c r="BN164" s="64">
        <f t="shared" si="7"/>
        <v>37.910000000000004</v>
      </c>
      <c r="BO164" s="64">
        <f t="shared" si="8"/>
        <v>7.1225071225071226E-2</v>
      </c>
      <c r="BP164" s="64">
        <f t="shared" si="9"/>
        <v>7.2649572649572655E-2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8" t="s">
        <v>269</v>
      </c>
      <c r="Q165" s="544"/>
      <c r="R165" s="544"/>
      <c r="S165" s="544"/>
      <c r="T165" s="545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/>
      <c r="M167" s="33" t="s">
        <v>67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68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68</v>
      </c>
      <c r="X168" s="539">
        <v>141</v>
      </c>
      <c r="Y168" s="540">
        <f t="shared" si="5"/>
        <v>142.80000000000001</v>
      </c>
      <c r="Z168" s="36">
        <f>IFERROR(IF(Y168=0,"",ROUNDUP(Y168/H168,0)*0.00502),"")</f>
        <v>0.34136</v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147.71428571428572</v>
      </c>
      <c r="BN168" s="64">
        <f t="shared" si="7"/>
        <v>149.6</v>
      </c>
      <c r="BO168" s="64">
        <f t="shared" si="8"/>
        <v>0.28693528693528697</v>
      </c>
      <c r="BP168" s="64">
        <f t="shared" si="9"/>
        <v>0.29059829059829062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70</v>
      </c>
      <c r="Q171" s="558"/>
      <c r="R171" s="558"/>
      <c r="S171" s="558"/>
      <c r="T171" s="558"/>
      <c r="U171" s="558"/>
      <c r="V171" s="559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93.809523809523796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96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0.52591999999999994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70</v>
      </c>
      <c r="Q172" s="558"/>
      <c r="R172" s="558"/>
      <c r="S172" s="558"/>
      <c r="T172" s="558"/>
      <c r="U172" s="558"/>
      <c r="V172" s="559"/>
      <c r="W172" s="37" t="s">
        <v>68</v>
      </c>
      <c r="X172" s="541">
        <f>IFERROR(SUM(X161:X170),"0")</f>
        <v>218</v>
      </c>
      <c r="Y172" s="541">
        <f>IFERROR(SUM(Y161:Y170),"0")</f>
        <v>224.70000000000002</v>
      </c>
      <c r="Z172" s="37"/>
      <c r="AA172" s="542"/>
      <c r="AB172" s="542"/>
      <c r="AC172" s="542"/>
    </row>
    <row r="173" spans="1:68" ht="14.25" customHeight="1" x14ac:dyDescent="0.25">
      <c r="A173" s="554" t="s">
        <v>90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68</v>
      </c>
      <c r="X175" s="539">
        <v>1</v>
      </c>
      <c r="Y175" s="540">
        <f>IFERROR(IF(X175="",0,CEILING((X175/$H175),1)*$H175),"")</f>
        <v>1.26</v>
      </c>
      <c r="Z175" s="36">
        <f>IFERROR(IF(Y175=0,"",ROUNDUP(Y175/H175,0)*0.0059),"")</f>
        <v>5.8999999999999999E-3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1.1507936507936507</v>
      </c>
      <c r="BN175" s="64">
        <f>IFERROR(Y175*I175/H175,"0")</f>
        <v>1.45</v>
      </c>
      <c r="BO175" s="64">
        <f>IFERROR(1/J175*(X175/H175),"0")</f>
        <v>3.6743092298647849E-3</v>
      </c>
      <c r="BP175" s="64">
        <f>IFERROR(1/J175*(Y175/H175),"0")</f>
        <v>4.6296296296296294E-3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68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70</v>
      </c>
      <c r="Q177" s="558"/>
      <c r="R177" s="558"/>
      <c r="S177" s="558"/>
      <c r="T177" s="558"/>
      <c r="U177" s="558"/>
      <c r="V177" s="559"/>
      <c r="W177" s="37" t="s">
        <v>71</v>
      </c>
      <c r="X177" s="541">
        <f>IFERROR(X174/H174,"0")+IFERROR(X175/H175,"0")+IFERROR(X176/H176,"0")</f>
        <v>0.79365079365079361</v>
      </c>
      <c r="Y177" s="541">
        <f>IFERROR(Y174/H174,"0")+IFERROR(Y175/H175,"0")+IFERROR(Y176/H176,"0")</f>
        <v>1</v>
      </c>
      <c r="Z177" s="541">
        <f>IFERROR(IF(Z174="",0,Z174),"0")+IFERROR(IF(Z175="",0,Z175),"0")+IFERROR(IF(Z176="",0,Z176),"0")</f>
        <v>5.8999999999999999E-3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70</v>
      </c>
      <c r="Q178" s="558"/>
      <c r="R178" s="558"/>
      <c r="S178" s="558"/>
      <c r="T178" s="558"/>
      <c r="U178" s="558"/>
      <c r="V178" s="559"/>
      <c r="W178" s="37" t="s">
        <v>68</v>
      </c>
      <c r="X178" s="541">
        <f>IFERROR(SUM(X174:X176),"0")</f>
        <v>1</v>
      </c>
      <c r="Y178" s="541">
        <f>IFERROR(SUM(Y174:Y176),"0")</f>
        <v>1.26</v>
      </c>
      <c r="Z178" s="37"/>
      <c r="AA178" s="542"/>
      <c r="AB178" s="542"/>
      <c r="AC178" s="542"/>
    </row>
    <row r="179" spans="1:68" ht="14.25" customHeight="1" x14ac:dyDescent="0.25">
      <c r="A179" s="554" t="s">
        <v>293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68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70</v>
      </c>
      <c r="Q181" s="558"/>
      <c r="R181" s="558"/>
      <c r="S181" s="558"/>
      <c r="T181" s="558"/>
      <c r="U181" s="558"/>
      <c r="V181" s="559"/>
      <c r="W181" s="37" t="s">
        <v>71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70</v>
      </c>
      <c r="Q182" s="558"/>
      <c r="R182" s="558"/>
      <c r="S182" s="558"/>
      <c r="T182" s="558"/>
      <c r="U182" s="558"/>
      <c r="V182" s="559"/>
      <c r="W182" s="37" t="s">
        <v>68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296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98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297</v>
      </c>
      <c r="B185" s="54" t="s">
        <v>298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 t="s">
        <v>185</v>
      </c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105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70</v>
      </c>
      <c r="Q187" s="558"/>
      <c r="R187" s="558"/>
      <c r="S187" s="558"/>
      <c r="T187" s="558"/>
      <c r="U187" s="558"/>
      <c r="V187" s="559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70</v>
      </c>
      <c r="Q188" s="558"/>
      <c r="R188" s="558"/>
      <c r="S188" s="558"/>
      <c r="T188" s="558"/>
      <c r="U188" s="558"/>
      <c r="V188" s="559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134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/>
      <c r="M191" s="33" t="s">
        <v>103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70</v>
      </c>
      <c r="Q192" s="558"/>
      <c r="R192" s="558"/>
      <c r="S192" s="558"/>
      <c r="T192" s="558"/>
      <c r="U192" s="558"/>
      <c r="V192" s="559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70</v>
      </c>
      <c r="Q193" s="558"/>
      <c r="R193" s="558"/>
      <c r="S193" s="558"/>
      <c r="T193" s="558"/>
      <c r="U193" s="558"/>
      <c r="V193" s="559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63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109</v>
      </c>
      <c r="M195" s="33" t="s">
        <v>67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68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109</v>
      </c>
      <c r="M196" s="33" t="s">
        <v>67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68</v>
      </c>
      <c r="X196" s="539">
        <v>98</v>
      </c>
      <c r="Y196" s="540">
        <f t="shared" si="10"/>
        <v>102.60000000000001</v>
      </c>
      <c r="Z196" s="36">
        <f>IFERROR(IF(Y196=0,"",ROUNDUP(Y196/H196,0)*0.00902),"")</f>
        <v>0.17138</v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101.44814814814814</v>
      </c>
      <c r="BN196" s="64">
        <f t="shared" si="12"/>
        <v>106.21</v>
      </c>
      <c r="BO196" s="64">
        <f t="shared" si="13"/>
        <v>0.13748597081930414</v>
      </c>
      <c r="BP196" s="64">
        <f t="shared" si="14"/>
        <v>0.14393939393939395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 t="s">
        <v>109</v>
      </c>
      <c r="M197" s="33" t="s">
        <v>67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105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109</v>
      </c>
      <c r="M198" s="33" t="s">
        <v>67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68</v>
      </c>
      <c r="X198" s="539">
        <v>39</v>
      </c>
      <c r="Y198" s="540">
        <f t="shared" si="10"/>
        <v>43.2</v>
      </c>
      <c r="Z198" s="36">
        <f>IFERROR(IF(Y198=0,"",ROUNDUP(Y198/H198,0)*0.00902),"")</f>
        <v>7.2160000000000002E-2</v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40.37222222222222</v>
      </c>
      <c r="BN198" s="64">
        <f t="shared" si="12"/>
        <v>44.72</v>
      </c>
      <c r="BO198" s="64">
        <f t="shared" si="13"/>
        <v>5.4713804713804708E-2</v>
      </c>
      <c r="BP198" s="64">
        <f t="shared" si="14"/>
        <v>6.0606060606060608E-2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68</v>
      </c>
      <c r="X199" s="539">
        <v>29</v>
      </c>
      <c r="Y199" s="540">
        <f t="shared" si="10"/>
        <v>30.6</v>
      </c>
      <c r="Z199" s="36">
        <f>IFERROR(IF(Y199=0,"",ROUNDUP(Y199/H199,0)*0.00502),"")</f>
        <v>8.5339999999999999E-2</v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31.094444444444441</v>
      </c>
      <c r="BN199" s="64">
        <f t="shared" si="12"/>
        <v>32.81</v>
      </c>
      <c r="BO199" s="64">
        <f t="shared" si="13"/>
        <v>6.8850902184235521E-2</v>
      </c>
      <c r="BP199" s="64">
        <f t="shared" si="14"/>
        <v>7.2649572649572655E-2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68</v>
      </c>
      <c r="X202" s="539">
        <v>3</v>
      </c>
      <c r="Y202" s="540">
        <f t="shared" si="10"/>
        <v>3.6</v>
      </c>
      <c r="Z202" s="36">
        <f>IFERROR(IF(Y202=0,"",ROUNDUP(Y202/H202,0)*0.00502),"")</f>
        <v>1.004E-2</v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3.1666666666666661</v>
      </c>
      <c r="BN202" s="64">
        <f t="shared" si="12"/>
        <v>3.8</v>
      </c>
      <c r="BO202" s="64">
        <f t="shared" si="13"/>
        <v>7.1225071225071226E-3</v>
      </c>
      <c r="BP202" s="64">
        <f t="shared" si="14"/>
        <v>8.5470085470085479E-3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70</v>
      </c>
      <c r="Q203" s="558"/>
      <c r="R203" s="558"/>
      <c r="S203" s="558"/>
      <c r="T203" s="558"/>
      <c r="U203" s="558"/>
      <c r="V203" s="559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43.148148148148145</v>
      </c>
      <c r="Y203" s="541">
        <f>IFERROR(Y195/H195,"0")+IFERROR(Y196/H196,"0")+IFERROR(Y197/H197,"0")+IFERROR(Y198/H198,"0")+IFERROR(Y199/H199,"0")+IFERROR(Y200/H200,"0")+IFERROR(Y201/H201,"0")+IFERROR(Y202/H202,"0")</f>
        <v>46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0.33892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70</v>
      </c>
      <c r="Q204" s="558"/>
      <c r="R204" s="558"/>
      <c r="S204" s="558"/>
      <c r="T204" s="558"/>
      <c r="U204" s="558"/>
      <c r="V204" s="559"/>
      <c r="W204" s="37" t="s">
        <v>68</v>
      </c>
      <c r="X204" s="541">
        <f>IFERROR(SUM(X195:X202),"0")</f>
        <v>169</v>
      </c>
      <c r="Y204" s="541">
        <f>IFERROR(SUM(Y195:Y202),"0")</f>
        <v>180</v>
      </c>
      <c r="Z204" s="37"/>
      <c r="AA204" s="542"/>
      <c r="AB204" s="542"/>
      <c r="AC204" s="542"/>
    </row>
    <row r="205" spans="1:68" ht="14.25" customHeight="1" x14ac:dyDescent="0.25">
      <c r="A205" s="554" t="s">
        <v>72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 t="s">
        <v>102</v>
      </c>
      <c r="M206" s="33" t="s">
        <v>76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68</v>
      </c>
      <c r="X206" s="539">
        <v>64</v>
      </c>
      <c r="Y206" s="540">
        <f t="shared" ref="Y206:Y214" si="15">IFERROR(IF(X206="",0,CEILING((X206/$H206),1)*$H206),"")</f>
        <v>64.8</v>
      </c>
      <c r="Z206" s="36">
        <f>IFERROR(IF(Y206=0,"",ROUNDUP(Y206/H206,0)*0.01898),"")</f>
        <v>0.15184</v>
      </c>
      <c r="AA206" s="56"/>
      <c r="AB206" s="57"/>
      <c r="AC206" s="243" t="s">
        <v>329</v>
      </c>
      <c r="AG206" s="64"/>
      <c r="AJ206" s="68" t="s">
        <v>105</v>
      </c>
      <c r="AK206" s="68">
        <v>64.8</v>
      </c>
      <c r="BB206" s="244" t="s">
        <v>1</v>
      </c>
      <c r="BM206" s="64">
        <f t="shared" ref="BM206:BM214" si="16">IFERROR(X206*I206/H206,"0")</f>
        <v>67.903209876543215</v>
      </c>
      <c r="BN206" s="64">
        <f t="shared" ref="BN206:BN214" si="17">IFERROR(Y206*I206/H206,"0")</f>
        <v>68.751999999999995</v>
      </c>
      <c r="BO206" s="64">
        <f t="shared" ref="BO206:BO214" si="18">IFERROR(1/J206*(X206/H206),"0")</f>
        <v>0.1234567901234568</v>
      </c>
      <c r="BP206" s="64">
        <f t="shared" ref="BP206:BP214" si="19">IFERROR(1/J206*(Y206/H206),"0")</f>
        <v>0.125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 t="s">
        <v>102</v>
      </c>
      <c r="M207" s="33" t="s">
        <v>76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105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185</v>
      </c>
      <c r="M209" s="33" t="s">
        <v>76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68</v>
      </c>
      <c r="X209" s="539">
        <v>246</v>
      </c>
      <c r="Y209" s="540">
        <f t="shared" si="15"/>
        <v>247.2</v>
      </c>
      <c r="Z209" s="36">
        <f t="shared" ref="Z209:Z214" si="20">IFERROR(IF(Y209=0,"",ROUNDUP(Y209/H209,0)*0.00651),"")</f>
        <v>0.67053000000000007</v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273.67500000000001</v>
      </c>
      <c r="BN209" s="64">
        <f t="shared" si="17"/>
        <v>275.01</v>
      </c>
      <c r="BO209" s="64">
        <f t="shared" si="18"/>
        <v>0.56318681318681318</v>
      </c>
      <c r="BP209" s="64">
        <f t="shared" si="19"/>
        <v>0.56593406593406603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185</v>
      </c>
      <c r="M211" s="33" t="s">
        <v>76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68</v>
      </c>
      <c r="X211" s="539">
        <v>186</v>
      </c>
      <c r="Y211" s="540">
        <f t="shared" si="15"/>
        <v>187.2</v>
      </c>
      <c r="Z211" s="36">
        <f t="shared" si="20"/>
        <v>0.50778000000000001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205.53000000000003</v>
      </c>
      <c r="BN211" s="64">
        <f t="shared" si="17"/>
        <v>206.85600000000002</v>
      </c>
      <c r="BO211" s="64">
        <f t="shared" si="18"/>
        <v>0.42582417582417587</v>
      </c>
      <c r="BP211" s="64">
        <f t="shared" si="19"/>
        <v>0.4285714285714286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185</v>
      </c>
      <c r="M212" s="33" t="s">
        <v>76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68</v>
      </c>
      <c r="X212" s="539">
        <v>341</v>
      </c>
      <c r="Y212" s="540">
        <f t="shared" si="15"/>
        <v>343.2</v>
      </c>
      <c r="Z212" s="36">
        <f t="shared" si="20"/>
        <v>0.93093000000000004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376.80500000000001</v>
      </c>
      <c r="BN212" s="64">
        <f t="shared" si="17"/>
        <v>379.23600000000005</v>
      </c>
      <c r="BO212" s="64">
        <f t="shared" si="18"/>
        <v>0.78067765567765579</v>
      </c>
      <c r="BP212" s="64">
        <f t="shared" si="19"/>
        <v>0.78571428571428581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185</v>
      </c>
      <c r="M213" s="33" t="s">
        <v>83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68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185</v>
      </c>
      <c r="M214" s="33" t="s">
        <v>76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68</v>
      </c>
      <c r="X214" s="539">
        <v>133</v>
      </c>
      <c r="Y214" s="540">
        <f t="shared" si="15"/>
        <v>134.4</v>
      </c>
      <c r="Z214" s="36">
        <f t="shared" si="20"/>
        <v>0.36456</v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147.29750000000001</v>
      </c>
      <c r="BN214" s="64">
        <f t="shared" si="17"/>
        <v>148.84800000000001</v>
      </c>
      <c r="BO214" s="64">
        <f t="shared" si="18"/>
        <v>0.30448717948717952</v>
      </c>
      <c r="BP214" s="64">
        <f t="shared" si="19"/>
        <v>0.30769230769230776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70</v>
      </c>
      <c r="Q215" s="558"/>
      <c r="R215" s="558"/>
      <c r="S215" s="558"/>
      <c r="T215" s="558"/>
      <c r="U215" s="558"/>
      <c r="V215" s="559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385.40123456790127</v>
      </c>
      <c r="Y215" s="541">
        <f>IFERROR(Y206/H206,"0")+IFERROR(Y207/H207,"0")+IFERROR(Y208/H208,"0")+IFERROR(Y209/H209,"0")+IFERROR(Y210/H210,"0")+IFERROR(Y211/H211,"0")+IFERROR(Y212/H212,"0")+IFERROR(Y213/H213,"0")+IFERROR(Y214/H214,"0")</f>
        <v>388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2.6256400000000002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70</v>
      </c>
      <c r="Q216" s="558"/>
      <c r="R216" s="558"/>
      <c r="S216" s="558"/>
      <c r="T216" s="558"/>
      <c r="U216" s="558"/>
      <c r="V216" s="559"/>
      <c r="W216" s="37" t="s">
        <v>68</v>
      </c>
      <c r="X216" s="541">
        <f>IFERROR(SUM(X206:X214),"0")</f>
        <v>970</v>
      </c>
      <c r="Y216" s="541">
        <f>IFERROR(SUM(Y206:Y214),"0")</f>
        <v>976.8</v>
      </c>
      <c r="Z216" s="37"/>
      <c r="AA216" s="542"/>
      <c r="AB216" s="542"/>
      <c r="AC216" s="542"/>
    </row>
    <row r="217" spans="1:68" ht="14.25" customHeight="1" x14ac:dyDescent="0.25">
      <c r="A217" s="554" t="s">
        <v>162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/>
      <c r="M219" s="33" t="s">
        <v>76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68</v>
      </c>
      <c r="X219" s="539">
        <v>19</v>
      </c>
      <c r="Y219" s="540">
        <f>IFERROR(IF(X219="",0,CEILING((X219/$H219),1)*$H219),"")</f>
        <v>19.2</v>
      </c>
      <c r="Z219" s="36">
        <f>IFERROR(IF(Y219=0,"",ROUNDUP(Y219/H219,0)*0.00651),"")</f>
        <v>5.2080000000000001E-2</v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20.995000000000005</v>
      </c>
      <c r="BN219" s="64">
        <f>IFERROR(Y219*I219/H219,"0")</f>
        <v>21.216000000000001</v>
      </c>
      <c r="BO219" s="64">
        <f>IFERROR(1/J219*(X219/H219),"0")</f>
        <v>4.3498168498168503E-2</v>
      </c>
      <c r="BP219" s="64">
        <f>IFERROR(1/J219*(Y219/H219),"0")</f>
        <v>4.3956043956043959E-2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70</v>
      </c>
      <c r="Q220" s="558"/>
      <c r="R220" s="558"/>
      <c r="S220" s="558"/>
      <c r="T220" s="558"/>
      <c r="U220" s="558"/>
      <c r="V220" s="559"/>
      <c r="W220" s="37" t="s">
        <v>71</v>
      </c>
      <c r="X220" s="541">
        <f>IFERROR(X218/H218,"0")+IFERROR(X219/H219,"0")</f>
        <v>7.916666666666667</v>
      </c>
      <c r="Y220" s="541">
        <f>IFERROR(Y218/H218,"0")+IFERROR(Y219/H219,"0")</f>
        <v>8</v>
      </c>
      <c r="Z220" s="541">
        <f>IFERROR(IF(Z218="",0,Z218),"0")+IFERROR(IF(Z219="",0,Z219),"0")</f>
        <v>5.2080000000000001E-2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70</v>
      </c>
      <c r="Q221" s="558"/>
      <c r="R221" s="558"/>
      <c r="S221" s="558"/>
      <c r="T221" s="558"/>
      <c r="U221" s="558"/>
      <c r="V221" s="559"/>
      <c r="W221" s="37" t="s">
        <v>68</v>
      </c>
      <c r="X221" s="541">
        <f>IFERROR(SUM(X218:X219),"0")</f>
        <v>19</v>
      </c>
      <c r="Y221" s="541">
        <f>IFERROR(SUM(Y218:Y219),"0")</f>
        <v>19.2</v>
      </c>
      <c r="Z221" s="37"/>
      <c r="AA221" s="542"/>
      <c r="AB221" s="542"/>
      <c r="AC221" s="542"/>
    </row>
    <row r="222" spans="1:68" ht="16.5" customHeight="1" x14ac:dyDescent="0.25">
      <c r="A222" s="552" t="s">
        <v>355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98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/>
      <c r="M224" s="33" t="s">
        <v>103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 t="s">
        <v>109</v>
      </c>
      <c r="M232" s="33" t="s">
        <v>103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105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70</v>
      </c>
      <c r="Q234" s="558"/>
      <c r="R234" s="558"/>
      <c r="S234" s="558"/>
      <c r="T234" s="558"/>
      <c r="U234" s="558"/>
      <c r="V234" s="559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70</v>
      </c>
      <c r="Q235" s="558"/>
      <c r="R235" s="558"/>
      <c r="S235" s="558"/>
      <c r="T235" s="558"/>
      <c r="U235" s="558"/>
      <c r="V235" s="559"/>
      <c r="W235" s="37" t="s">
        <v>68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134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70</v>
      </c>
      <c r="Q238" s="558"/>
      <c r="R238" s="558"/>
      <c r="S238" s="558"/>
      <c r="T238" s="558"/>
      <c r="U238" s="558"/>
      <c r="V238" s="559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70</v>
      </c>
      <c r="Q239" s="558"/>
      <c r="R239" s="558"/>
      <c r="S239" s="558"/>
      <c r="T239" s="558"/>
      <c r="U239" s="558"/>
      <c r="V239" s="559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381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70</v>
      </c>
      <c r="Q242" s="558"/>
      <c r="R242" s="558"/>
      <c r="S242" s="558"/>
      <c r="T242" s="558"/>
      <c r="U242" s="558"/>
      <c r="V242" s="559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70</v>
      </c>
      <c r="Q243" s="558"/>
      <c r="R243" s="558"/>
      <c r="S243" s="558"/>
      <c r="T243" s="558"/>
      <c r="U243" s="558"/>
      <c r="V243" s="559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385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68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70</v>
      </c>
      <c r="Q250" s="558"/>
      <c r="R250" s="558"/>
      <c r="S250" s="558"/>
      <c r="T250" s="558"/>
      <c r="U250" s="558"/>
      <c r="V250" s="559"/>
      <c r="W250" s="37" t="s">
        <v>71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70</v>
      </c>
      <c r="Q251" s="558"/>
      <c r="R251" s="558"/>
      <c r="S251" s="558"/>
      <c r="T251" s="558"/>
      <c r="U251" s="558"/>
      <c r="V251" s="559"/>
      <c r="W251" s="37" t="s">
        <v>68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397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98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 t="s">
        <v>102</v>
      </c>
      <c r="M254" s="33" t="s">
        <v>103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105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 t="s">
        <v>102</v>
      </c>
      <c r="M256" s="33" t="s">
        <v>103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105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70</v>
      </c>
      <c r="Q259" s="558"/>
      <c r="R259" s="558"/>
      <c r="S259" s="558"/>
      <c r="T259" s="558"/>
      <c r="U259" s="558"/>
      <c r="V259" s="559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70</v>
      </c>
      <c r="Q260" s="558"/>
      <c r="R260" s="558"/>
      <c r="S260" s="558"/>
      <c r="T260" s="558"/>
      <c r="U260" s="558"/>
      <c r="V260" s="559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413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98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70</v>
      </c>
      <c r="Q267" s="558"/>
      <c r="R267" s="558"/>
      <c r="S267" s="558"/>
      <c r="T267" s="558"/>
      <c r="U267" s="558"/>
      <c r="V267" s="559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70</v>
      </c>
      <c r="Q268" s="558"/>
      <c r="R268" s="558"/>
      <c r="S268" s="558"/>
      <c r="T268" s="558"/>
      <c r="U268" s="558"/>
      <c r="V268" s="559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424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72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185</v>
      </c>
      <c r="M272" s="33" t="s">
        <v>83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68</v>
      </c>
      <c r="X272" s="539">
        <v>56</v>
      </c>
      <c r="Y272" s="540">
        <f>IFERROR(IF(X272="",0,CEILING((X272/$H272),1)*$H272),"")</f>
        <v>57.599999999999994</v>
      </c>
      <c r="Z272" s="36">
        <f>IFERROR(IF(Y272=0,"",ROUNDUP(Y272/H272,0)*0.00651),"")</f>
        <v>0.15623999999999999</v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61.88</v>
      </c>
      <c r="BN272" s="64">
        <f>IFERROR(Y272*I272/H272,"0")</f>
        <v>63.648000000000003</v>
      </c>
      <c r="BO272" s="64">
        <f>IFERROR(1/J272*(X272/H272),"0")</f>
        <v>0.12820512820512822</v>
      </c>
      <c r="BP272" s="64">
        <f>IFERROR(1/J272*(Y272/H272),"0")</f>
        <v>0.13186813186813187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185</v>
      </c>
      <c r="M273" s="33" t="s">
        <v>76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68</v>
      </c>
      <c r="X273" s="539">
        <v>196</v>
      </c>
      <c r="Y273" s="540">
        <f>IFERROR(IF(X273="",0,CEILING((X273/$H273),1)*$H273),"")</f>
        <v>196.79999999999998</v>
      </c>
      <c r="Z273" s="36">
        <f>IFERROR(IF(Y273=0,"",ROUNDUP(Y273/H273,0)*0.00651),"")</f>
        <v>0.53381999999999996</v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210.70000000000002</v>
      </c>
      <c r="BN273" s="64">
        <f>IFERROR(Y273*I273/H273,"0")</f>
        <v>211.56</v>
      </c>
      <c r="BO273" s="64">
        <f>IFERROR(1/J273*(X273/H273),"0")</f>
        <v>0.44871794871794879</v>
      </c>
      <c r="BP273" s="64">
        <f>IFERROR(1/J273*(Y273/H273),"0")</f>
        <v>0.45054945054945056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70</v>
      </c>
      <c r="Q274" s="558"/>
      <c r="R274" s="558"/>
      <c r="S274" s="558"/>
      <c r="T274" s="558"/>
      <c r="U274" s="558"/>
      <c r="V274" s="559"/>
      <c r="W274" s="37" t="s">
        <v>71</v>
      </c>
      <c r="X274" s="541">
        <f>IFERROR(X271/H271,"0")+IFERROR(X272/H272,"0")+IFERROR(X273/H273,"0")</f>
        <v>105</v>
      </c>
      <c r="Y274" s="541">
        <f>IFERROR(Y271/H271,"0")+IFERROR(Y272/H272,"0")+IFERROR(Y273/H273,"0")</f>
        <v>106</v>
      </c>
      <c r="Z274" s="541">
        <f>IFERROR(IF(Z271="",0,Z271),"0")+IFERROR(IF(Z272="",0,Z272),"0")+IFERROR(IF(Z273="",0,Z273),"0")</f>
        <v>0.6900599999999999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70</v>
      </c>
      <c r="Q275" s="558"/>
      <c r="R275" s="558"/>
      <c r="S275" s="558"/>
      <c r="T275" s="558"/>
      <c r="U275" s="558"/>
      <c r="V275" s="559"/>
      <c r="W275" s="37" t="s">
        <v>68</v>
      </c>
      <c r="X275" s="541">
        <f>IFERROR(SUM(X271:X273),"0")</f>
        <v>252</v>
      </c>
      <c r="Y275" s="541">
        <f>IFERROR(SUM(Y271:Y273),"0")</f>
        <v>254.39999999999998</v>
      </c>
      <c r="Z275" s="37"/>
      <c r="AA275" s="542"/>
      <c r="AB275" s="542"/>
      <c r="AC275" s="542"/>
    </row>
    <row r="276" spans="1:68" ht="16.5" customHeight="1" x14ac:dyDescent="0.25">
      <c r="A276" s="552" t="s">
        <v>433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63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70</v>
      </c>
      <c r="Q280" s="558"/>
      <c r="R280" s="558"/>
      <c r="S280" s="558"/>
      <c r="T280" s="558"/>
      <c r="U280" s="558"/>
      <c r="V280" s="559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70</v>
      </c>
      <c r="Q281" s="558"/>
      <c r="R281" s="558"/>
      <c r="S281" s="558"/>
      <c r="T281" s="558"/>
      <c r="U281" s="558"/>
      <c r="V281" s="559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72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33" t="s">
        <v>445</v>
      </c>
      <c r="Q284" s="544"/>
      <c r="R284" s="544"/>
      <c r="S284" s="544"/>
      <c r="T284" s="545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70</v>
      </c>
      <c r="Q285" s="558"/>
      <c r="R285" s="558"/>
      <c r="S285" s="558"/>
      <c r="T285" s="558"/>
      <c r="U285" s="558"/>
      <c r="V285" s="559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70</v>
      </c>
      <c r="Q286" s="558"/>
      <c r="R286" s="558"/>
      <c r="S286" s="558"/>
      <c r="T286" s="558"/>
      <c r="U286" s="558"/>
      <c r="V286" s="559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447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98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70</v>
      </c>
      <c r="Q294" s="558"/>
      <c r="R294" s="558"/>
      <c r="S294" s="558"/>
      <c r="T294" s="558"/>
      <c r="U294" s="558"/>
      <c r="V294" s="559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70</v>
      </c>
      <c r="Q295" s="558"/>
      <c r="R295" s="558"/>
      <c r="S295" s="558"/>
      <c r="T295" s="558"/>
      <c r="U295" s="558"/>
      <c r="V295" s="559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63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 t="s">
        <v>109</v>
      </c>
      <c r="M298" s="33" t="s">
        <v>67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105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70</v>
      </c>
      <c r="Q304" s="558"/>
      <c r="R304" s="558"/>
      <c r="S304" s="558"/>
      <c r="T304" s="558"/>
      <c r="U304" s="558"/>
      <c r="V304" s="559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70</v>
      </c>
      <c r="Q305" s="558"/>
      <c r="R305" s="558"/>
      <c r="S305" s="558"/>
      <c r="T305" s="558"/>
      <c r="U305" s="558"/>
      <c r="V305" s="559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customHeight="1" x14ac:dyDescent="0.25">
      <c r="A306" s="554" t="s">
        <v>72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 t="s">
        <v>102</v>
      </c>
      <c r="M307" s="33" t="s">
        <v>76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105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70</v>
      </c>
      <c r="Q311" s="558"/>
      <c r="R311" s="558"/>
      <c r="S311" s="558"/>
      <c r="T311" s="558"/>
      <c r="U311" s="558"/>
      <c r="V311" s="559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70</v>
      </c>
      <c r="Q312" s="558"/>
      <c r="R312" s="558"/>
      <c r="S312" s="558"/>
      <c r="T312" s="558"/>
      <c r="U312" s="558"/>
      <c r="V312" s="559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162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/>
      <c r="M314" s="33" t="s">
        <v>76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68</v>
      </c>
      <c r="X315" s="539">
        <v>561</v>
      </c>
      <c r="Y315" s="540">
        <f>IFERROR(IF(X315="",0,CEILING((X315/$H315),1)*$H315),"")</f>
        <v>561.6</v>
      </c>
      <c r="Z315" s="36">
        <f>IFERROR(IF(Y315=0,"",ROUNDUP(Y315/H315,0)*0.01898),"")</f>
        <v>1.36656</v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596.53000000000009</v>
      </c>
      <c r="BN315" s="64">
        <f>IFERROR(Y315*I315/H315,"0")</f>
        <v>597.16800000000012</v>
      </c>
      <c r="BO315" s="64">
        <f>IFERROR(1/J315*(X315/H315),"0")</f>
        <v>1.1237980769230769</v>
      </c>
      <c r="BP315" s="64">
        <f>IFERROR(1/J315*(Y315/H315),"0")</f>
        <v>1.125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/>
      <c r="M316" s="33" t="s">
        <v>83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70</v>
      </c>
      <c r="Q317" s="558"/>
      <c r="R317" s="558"/>
      <c r="S317" s="558"/>
      <c r="T317" s="558"/>
      <c r="U317" s="558"/>
      <c r="V317" s="559"/>
      <c r="W317" s="37" t="s">
        <v>71</v>
      </c>
      <c r="X317" s="541">
        <f>IFERROR(X314/H314,"0")+IFERROR(X315/H315,"0")+IFERROR(X316/H316,"0")</f>
        <v>71.92307692307692</v>
      </c>
      <c r="Y317" s="541">
        <f>IFERROR(Y314/H314,"0")+IFERROR(Y315/H315,"0")+IFERROR(Y316/H316,"0")</f>
        <v>72</v>
      </c>
      <c r="Z317" s="541">
        <f>IFERROR(IF(Z314="",0,Z314),"0")+IFERROR(IF(Z315="",0,Z315),"0")+IFERROR(IF(Z316="",0,Z316),"0")</f>
        <v>1.36656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70</v>
      </c>
      <c r="Q318" s="558"/>
      <c r="R318" s="558"/>
      <c r="S318" s="558"/>
      <c r="T318" s="558"/>
      <c r="U318" s="558"/>
      <c r="V318" s="559"/>
      <c r="W318" s="37" t="s">
        <v>68</v>
      </c>
      <c r="X318" s="541">
        <f>IFERROR(SUM(X314:X316),"0")</f>
        <v>561</v>
      </c>
      <c r="Y318" s="541">
        <f>IFERROR(SUM(Y314:Y316),"0")</f>
        <v>561.6</v>
      </c>
      <c r="Z318" s="37"/>
      <c r="AA318" s="542"/>
      <c r="AB318" s="542"/>
      <c r="AC318" s="542"/>
    </row>
    <row r="319" spans="1:68" ht="14.25" customHeight="1" x14ac:dyDescent="0.25">
      <c r="A319" s="554" t="s">
        <v>90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 t="s">
        <v>185</v>
      </c>
      <c r="M322" s="33" t="s">
        <v>93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68</v>
      </c>
      <c r="X322" s="539">
        <v>7</v>
      </c>
      <c r="Y322" s="540">
        <f>IFERROR(IF(X322="",0,CEILING((X322/$H322),1)*$H322),"")</f>
        <v>7.6499999999999995</v>
      </c>
      <c r="Z322" s="36">
        <f>IFERROR(IF(Y322=0,"",ROUNDUP(Y322/H322,0)*0.00651),"")</f>
        <v>1.9529999999999999E-2</v>
      </c>
      <c r="AA322" s="56"/>
      <c r="AB322" s="57"/>
      <c r="AC322" s="373" t="s">
        <v>509</v>
      </c>
      <c r="AG322" s="64"/>
      <c r="AJ322" s="68" t="s">
        <v>105</v>
      </c>
      <c r="AK322" s="68">
        <v>35.700000000000003</v>
      </c>
      <c r="BB322" s="374" t="s">
        <v>1</v>
      </c>
      <c r="BM322" s="64">
        <f>IFERROR(X322*I322/H322,"0")</f>
        <v>8.1117647058823543</v>
      </c>
      <c r="BN322" s="64">
        <f>IFERROR(Y322*I322/H322,"0")</f>
        <v>8.8650000000000002</v>
      </c>
      <c r="BO322" s="64">
        <f>IFERROR(1/J322*(X322/H322),"0")</f>
        <v>1.508295625942685E-2</v>
      </c>
      <c r="BP322" s="64">
        <f>IFERROR(1/J322*(Y322/H322),"0")</f>
        <v>1.6483516483516484E-2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185</v>
      </c>
      <c r="M323" s="33" t="s">
        <v>93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68</v>
      </c>
      <c r="X323" s="539">
        <v>18</v>
      </c>
      <c r="Y323" s="540">
        <f>IFERROR(IF(X323="",0,CEILING((X323/$H323),1)*$H323),"")</f>
        <v>20.399999999999999</v>
      </c>
      <c r="Z323" s="36">
        <f>IFERROR(IF(Y323=0,"",ROUNDUP(Y323/H323,0)*0.00651),"")</f>
        <v>5.2080000000000001E-2</v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20.329411764705881</v>
      </c>
      <c r="BN323" s="64">
        <f>IFERROR(Y323*I323/H323,"0")</f>
        <v>23.04</v>
      </c>
      <c r="BO323" s="64">
        <f>IFERROR(1/J323*(X323/H323),"0")</f>
        <v>3.8784744667097616E-2</v>
      </c>
      <c r="BP323" s="64">
        <f>IFERROR(1/J323*(Y323/H323),"0")</f>
        <v>4.3956043956043959E-2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70</v>
      </c>
      <c r="Q324" s="558"/>
      <c r="R324" s="558"/>
      <c r="S324" s="558"/>
      <c r="T324" s="558"/>
      <c r="U324" s="558"/>
      <c r="V324" s="559"/>
      <c r="W324" s="37" t="s">
        <v>71</v>
      </c>
      <c r="X324" s="541">
        <f>IFERROR(X320/H320,"0")+IFERROR(X321/H321,"0")+IFERROR(X322/H322,"0")+IFERROR(X323/H323,"0")</f>
        <v>9.8039215686274517</v>
      </c>
      <c r="Y324" s="541">
        <f>IFERROR(Y320/H320,"0")+IFERROR(Y321/H321,"0")+IFERROR(Y322/H322,"0")+IFERROR(Y323/H323,"0")</f>
        <v>11</v>
      </c>
      <c r="Z324" s="541">
        <f>IFERROR(IF(Z320="",0,Z320),"0")+IFERROR(IF(Z321="",0,Z321),"0")+IFERROR(IF(Z322="",0,Z322),"0")+IFERROR(IF(Z323="",0,Z323),"0")</f>
        <v>7.1610000000000007E-2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70</v>
      </c>
      <c r="Q325" s="558"/>
      <c r="R325" s="558"/>
      <c r="S325" s="558"/>
      <c r="T325" s="558"/>
      <c r="U325" s="558"/>
      <c r="V325" s="559"/>
      <c r="W325" s="37" t="s">
        <v>68</v>
      </c>
      <c r="X325" s="541">
        <f>IFERROR(SUM(X320:X323),"0")</f>
        <v>25</v>
      </c>
      <c r="Y325" s="541">
        <f>IFERROR(SUM(Y320:Y323),"0")</f>
        <v>28.049999999999997</v>
      </c>
      <c r="Z325" s="37"/>
      <c r="AA325" s="542"/>
      <c r="AB325" s="542"/>
      <c r="AC325" s="542"/>
    </row>
    <row r="326" spans="1:68" ht="14.25" customHeight="1" x14ac:dyDescent="0.25">
      <c r="A326" s="554" t="s">
        <v>512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68</v>
      </c>
      <c r="X328" s="539">
        <v>2</v>
      </c>
      <c r="Y328" s="540">
        <f>IFERROR(IF(X328="",0,CEILING((X328/$H328),1)*$H328),"")</f>
        <v>2</v>
      </c>
      <c r="Z328" s="36">
        <f>IFERROR(IF(Y328=0,"",ROUNDUP(Y328/H328,0)*0.00474),"")</f>
        <v>4.7400000000000003E-3</v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2.2400000000000002</v>
      </c>
      <c r="BN328" s="64">
        <f>IFERROR(Y328*I328/H328,"0")</f>
        <v>2.2400000000000002</v>
      </c>
      <c r="BO328" s="64">
        <f>IFERROR(1/J328*(X328/H328),"0")</f>
        <v>4.2016806722689074E-3</v>
      </c>
      <c r="BP328" s="64">
        <f>IFERROR(1/J328*(Y328/H328),"0")</f>
        <v>4.2016806722689074E-3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68</v>
      </c>
      <c r="X329" s="539">
        <v>2</v>
      </c>
      <c r="Y329" s="540">
        <f>IFERROR(IF(X329="",0,CEILING((X329/$H329),1)*$H329),"")</f>
        <v>2</v>
      </c>
      <c r="Z329" s="36">
        <f>IFERROR(IF(Y329=0,"",ROUNDUP(Y329/H329,0)*0.00474),"")</f>
        <v>4.7400000000000003E-3</v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2.2400000000000002</v>
      </c>
      <c r="BN329" s="64">
        <f>IFERROR(Y329*I329/H329,"0")</f>
        <v>2.2400000000000002</v>
      </c>
      <c r="BO329" s="64">
        <f>IFERROR(1/J329*(X329/H329),"0")</f>
        <v>4.2016806722689074E-3</v>
      </c>
      <c r="BP329" s="64">
        <f>IFERROR(1/J329*(Y329/H329),"0")</f>
        <v>4.2016806722689074E-3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70</v>
      </c>
      <c r="Q330" s="558"/>
      <c r="R330" s="558"/>
      <c r="S330" s="558"/>
      <c r="T330" s="558"/>
      <c r="U330" s="558"/>
      <c r="V330" s="559"/>
      <c r="W330" s="37" t="s">
        <v>71</v>
      </c>
      <c r="X330" s="541">
        <f>IFERROR(X327/H327,"0")+IFERROR(X328/H328,"0")+IFERROR(X329/H329,"0")</f>
        <v>2</v>
      </c>
      <c r="Y330" s="541">
        <f>IFERROR(Y327/H327,"0")+IFERROR(Y328/H328,"0")+IFERROR(Y329/H329,"0")</f>
        <v>2</v>
      </c>
      <c r="Z330" s="541">
        <f>IFERROR(IF(Z327="",0,Z327),"0")+IFERROR(IF(Z328="",0,Z328),"0")+IFERROR(IF(Z329="",0,Z329),"0")</f>
        <v>9.4800000000000006E-3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70</v>
      </c>
      <c r="Q331" s="558"/>
      <c r="R331" s="558"/>
      <c r="S331" s="558"/>
      <c r="T331" s="558"/>
      <c r="U331" s="558"/>
      <c r="V331" s="559"/>
      <c r="W331" s="37" t="s">
        <v>68</v>
      </c>
      <c r="X331" s="541">
        <f>IFERROR(SUM(X327:X329),"0")</f>
        <v>4</v>
      </c>
      <c r="Y331" s="541">
        <f>IFERROR(SUM(Y327:Y329),"0")</f>
        <v>4</v>
      </c>
      <c r="Z331" s="37"/>
      <c r="AA331" s="542"/>
      <c r="AB331" s="542"/>
      <c r="AC331" s="542"/>
    </row>
    <row r="332" spans="1:68" ht="16.5" customHeight="1" x14ac:dyDescent="0.25">
      <c r="A332" s="552" t="s">
        <v>521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72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/>
      <c r="M334" s="33" t="s">
        <v>83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 t="s">
        <v>185</v>
      </c>
      <c r="M335" s="33" t="s">
        <v>76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105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 t="s">
        <v>185</v>
      </c>
      <c r="M336" s="33" t="s">
        <v>83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105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70</v>
      </c>
      <c r="Q337" s="558"/>
      <c r="R337" s="558"/>
      <c r="S337" s="558"/>
      <c r="T337" s="558"/>
      <c r="U337" s="558"/>
      <c r="V337" s="559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70</v>
      </c>
      <c r="Q338" s="558"/>
      <c r="R338" s="558"/>
      <c r="S338" s="558"/>
      <c r="T338" s="558"/>
      <c r="U338" s="558"/>
      <c r="V338" s="559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531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532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98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68</v>
      </c>
      <c r="X342" s="539">
        <v>560</v>
      </c>
      <c r="Y342" s="540">
        <f t="shared" ref="Y342:Y348" si="31">IFERROR(IF(X342="",0,CEILING((X342/$H342),1)*$H342),"")</f>
        <v>570</v>
      </c>
      <c r="Z342" s="36">
        <f>IFERROR(IF(Y342=0,"",ROUNDUP(Y342/H342,0)*0.02175),"")</f>
        <v>0.8264999999999999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577.54666666666674</v>
      </c>
      <c r="BN342" s="64">
        <f t="shared" ref="BN342:BN348" si="33">IFERROR(Y342*I342/H342,"0")</f>
        <v>587.86</v>
      </c>
      <c r="BO342" s="64">
        <f t="shared" ref="BO342:BO348" si="34">IFERROR(1/J342*(X342/H342),"0")</f>
        <v>0.77777777777777779</v>
      </c>
      <c r="BP342" s="64">
        <f t="shared" ref="BP342:BP348" si="35">IFERROR(1/J342*(Y342/H342),"0")</f>
        <v>0.79166666666666663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68</v>
      </c>
      <c r="X343" s="539">
        <v>0</v>
      </c>
      <c r="Y343" s="540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68</v>
      </c>
      <c r="X344" s="539">
        <v>424</v>
      </c>
      <c r="Y344" s="540">
        <f t="shared" si="31"/>
        <v>435</v>
      </c>
      <c r="Z344" s="36">
        <f>IFERROR(IF(Y344=0,"",ROUNDUP(Y344/H344,0)*0.02175),"")</f>
        <v>0.63074999999999992</v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437.28533333333337</v>
      </c>
      <c r="BN344" s="64">
        <f t="shared" si="33"/>
        <v>448.63000000000005</v>
      </c>
      <c r="BO344" s="64">
        <f t="shared" si="34"/>
        <v>0.5888888888888888</v>
      </c>
      <c r="BP344" s="64">
        <f t="shared" si="35"/>
        <v>0.60416666666666663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4"/>
      <c r="R345" s="544"/>
      <c r="S345" s="544"/>
      <c r="T345" s="545"/>
      <c r="U345" s="34"/>
      <c r="V345" s="34"/>
      <c r="W345" s="35" t="s">
        <v>68</v>
      </c>
      <c r="X345" s="539">
        <v>805</v>
      </c>
      <c r="Y345" s="540">
        <f t="shared" si="31"/>
        <v>810</v>
      </c>
      <c r="Z345" s="36">
        <f>IFERROR(IF(Y345=0,"",ROUNDUP(Y345/H345,0)*0.02175),"")</f>
        <v>1.1744999999999999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830.22333333333336</v>
      </c>
      <c r="BN345" s="64">
        <f t="shared" si="33"/>
        <v>835.38</v>
      </c>
      <c r="BO345" s="64">
        <f t="shared" si="34"/>
        <v>1.1180555555555554</v>
      </c>
      <c r="BP345" s="64">
        <f t="shared" si="35"/>
        <v>1.125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70</v>
      </c>
      <c r="Q349" s="558"/>
      <c r="R349" s="558"/>
      <c r="S349" s="558"/>
      <c r="T349" s="558"/>
      <c r="U349" s="558"/>
      <c r="V349" s="559"/>
      <c r="W349" s="37" t="s">
        <v>71</v>
      </c>
      <c r="X349" s="541">
        <f>IFERROR(X342/H342,"0")+IFERROR(X343/H343,"0")+IFERROR(X344/H344,"0")+IFERROR(X345/H345,"0")+IFERROR(X346/H346,"0")+IFERROR(X347/H347,"0")+IFERROR(X348/H348,"0")</f>
        <v>119.26666666666665</v>
      </c>
      <c r="Y349" s="541">
        <f>IFERROR(Y342/H342,"0")+IFERROR(Y343/H343,"0")+IFERROR(Y344/H344,"0")+IFERROR(Y345/H345,"0")+IFERROR(Y346/H346,"0")+IFERROR(Y347/H347,"0")+IFERROR(Y348/H348,"0")</f>
        <v>121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2.6317499999999994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70</v>
      </c>
      <c r="Q350" s="558"/>
      <c r="R350" s="558"/>
      <c r="S350" s="558"/>
      <c r="T350" s="558"/>
      <c r="U350" s="558"/>
      <c r="V350" s="559"/>
      <c r="W350" s="37" t="s">
        <v>68</v>
      </c>
      <c r="X350" s="541">
        <f>IFERROR(SUM(X342:X348),"0")</f>
        <v>1789</v>
      </c>
      <c r="Y350" s="541">
        <f>IFERROR(SUM(Y342:Y348),"0")</f>
        <v>1815</v>
      </c>
      <c r="Z350" s="37"/>
      <c r="AA350" s="542"/>
      <c r="AB350" s="542"/>
      <c r="AC350" s="542"/>
    </row>
    <row r="351" spans="1:68" ht="14.25" customHeight="1" x14ac:dyDescent="0.25">
      <c r="A351" s="554" t="s">
        <v>134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68</v>
      </c>
      <c r="X352" s="539">
        <v>1433</v>
      </c>
      <c r="Y352" s="540">
        <f>IFERROR(IF(X352="",0,CEILING((X352/$H352),1)*$H352),"")</f>
        <v>1440</v>
      </c>
      <c r="Z352" s="36">
        <f>IFERROR(IF(Y352=0,"",ROUNDUP(Y352/H352,0)*0.02175),"")</f>
        <v>2.0880000000000001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1477.9006666666669</v>
      </c>
      <c r="BN352" s="64">
        <f>IFERROR(Y352*I352/H352,"0")</f>
        <v>1485.12</v>
      </c>
      <c r="BO352" s="64">
        <f>IFERROR(1/J352*(X352/H352),"0")</f>
        <v>1.9902777777777776</v>
      </c>
      <c r="BP352" s="64">
        <f>IFERROR(1/J352*(Y352/H352),"0")</f>
        <v>2</v>
      </c>
    </row>
    <row r="353" spans="1:68" ht="16.5" customHeight="1" x14ac:dyDescent="0.25">
      <c r="A353" s="54" t="s">
        <v>555</v>
      </c>
      <c r="B353" s="54" t="s">
        <v>556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70</v>
      </c>
      <c r="Q354" s="558"/>
      <c r="R354" s="558"/>
      <c r="S354" s="558"/>
      <c r="T354" s="558"/>
      <c r="U354" s="558"/>
      <c r="V354" s="559"/>
      <c r="W354" s="37" t="s">
        <v>71</v>
      </c>
      <c r="X354" s="541">
        <f>IFERROR(X352/H352,"0")+IFERROR(X353/H353,"0")</f>
        <v>95.533333333333331</v>
      </c>
      <c r="Y354" s="541">
        <f>IFERROR(Y352/H352,"0")+IFERROR(Y353/H353,"0")</f>
        <v>96</v>
      </c>
      <c r="Z354" s="541">
        <f>IFERROR(IF(Z352="",0,Z352),"0")+IFERROR(IF(Z353="",0,Z353),"0")</f>
        <v>2.0880000000000001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70</v>
      </c>
      <c r="Q355" s="558"/>
      <c r="R355" s="558"/>
      <c r="S355" s="558"/>
      <c r="T355" s="558"/>
      <c r="U355" s="558"/>
      <c r="V355" s="559"/>
      <c r="W355" s="37" t="s">
        <v>68</v>
      </c>
      <c r="X355" s="541">
        <f>IFERROR(SUM(X352:X353),"0")</f>
        <v>1433</v>
      </c>
      <c r="Y355" s="541">
        <f>IFERROR(SUM(Y352:Y353),"0")</f>
        <v>1440</v>
      </c>
      <c r="Z355" s="37"/>
      <c r="AA355" s="542"/>
      <c r="AB355" s="542"/>
      <c r="AC355" s="542"/>
    </row>
    <row r="356" spans="1:68" ht="14.25" customHeight="1" x14ac:dyDescent="0.25">
      <c r="A356" s="554" t="s">
        <v>72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70</v>
      </c>
      <c r="Q359" s="558"/>
      <c r="R359" s="558"/>
      <c r="S359" s="558"/>
      <c r="T359" s="558"/>
      <c r="U359" s="558"/>
      <c r="V359" s="559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70</v>
      </c>
      <c r="Q360" s="558"/>
      <c r="R360" s="558"/>
      <c r="S360" s="558"/>
      <c r="T360" s="558"/>
      <c r="U360" s="558"/>
      <c r="V360" s="559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162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68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70</v>
      </c>
      <c r="Q363" s="558"/>
      <c r="R363" s="558"/>
      <c r="S363" s="558"/>
      <c r="T363" s="558"/>
      <c r="U363" s="558"/>
      <c r="V363" s="559"/>
      <c r="W363" s="37" t="s">
        <v>71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70</v>
      </c>
      <c r="Q364" s="558"/>
      <c r="R364" s="558"/>
      <c r="S364" s="558"/>
      <c r="T364" s="558"/>
      <c r="U364" s="558"/>
      <c r="V364" s="559"/>
      <c r="W364" s="37" t="s">
        <v>68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customHeight="1" x14ac:dyDescent="0.25">
      <c r="A365" s="552" t="s">
        <v>566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98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 t="s">
        <v>102</v>
      </c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105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70</v>
      </c>
      <c r="Q369" s="558"/>
      <c r="R369" s="558"/>
      <c r="S369" s="558"/>
      <c r="T369" s="558"/>
      <c r="U369" s="558"/>
      <c r="V369" s="559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70</v>
      </c>
      <c r="Q370" s="558"/>
      <c r="R370" s="558"/>
      <c r="S370" s="558"/>
      <c r="T370" s="558"/>
      <c r="U370" s="558"/>
      <c r="V370" s="559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63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 t="s">
        <v>109</v>
      </c>
      <c r="M372" s="33" t="s">
        <v>67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105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70</v>
      </c>
      <c r="Q374" s="558"/>
      <c r="R374" s="558"/>
      <c r="S374" s="558"/>
      <c r="T374" s="558"/>
      <c r="U374" s="558"/>
      <c r="V374" s="559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70</v>
      </c>
      <c r="Q375" s="558"/>
      <c r="R375" s="558"/>
      <c r="S375" s="558"/>
      <c r="T375" s="558"/>
      <c r="U375" s="558"/>
      <c r="V375" s="559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72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68</v>
      </c>
      <c r="X377" s="539">
        <v>296</v>
      </c>
      <c r="Y377" s="540">
        <f>IFERROR(IF(X377="",0,CEILING((X377/$H377),1)*$H377),"")</f>
        <v>297</v>
      </c>
      <c r="Z377" s="36">
        <f>IFERROR(IF(Y377=0,"",ROUNDUP(Y377/H377,0)*0.01898),"")</f>
        <v>0.62634000000000001</v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312.24711111111111</v>
      </c>
      <c r="BN377" s="64">
        <f>IFERROR(Y377*I377/H377,"0")</f>
        <v>313.30199999999996</v>
      </c>
      <c r="BO377" s="64">
        <f>IFERROR(1/J377*(X377/H377),"0")</f>
        <v>0.51388888888888884</v>
      </c>
      <c r="BP377" s="64">
        <f>IFERROR(1/J377*(Y377/H377),"0")</f>
        <v>0.515625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185</v>
      </c>
      <c r="M378" s="33" t="s">
        <v>76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70</v>
      </c>
      <c r="Q379" s="558"/>
      <c r="R379" s="558"/>
      <c r="S379" s="558"/>
      <c r="T379" s="558"/>
      <c r="U379" s="558"/>
      <c r="V379" s="559"/>
      <c r="W379" s="37" t="s">
        <v>71</v>
      </c>
      <c r="X379" s="541">
        <f>IFERROR(X377/H377,"0")+IFERROR(X378/H378,"0")</f>
        <v>32.888888888888886</v>
      </c>
      <c r="Y379" s="541">
        <f>IFERROR(Y377/H377,"0")+IFERROR(Y378/H378,"0")</f>
        <v>33</v>
      </c>
      <c r="Z379" s="541">
        <f>IFERROR(IF(Z377="",0,Z377),"0")+IFERROR(IF(Z378="",0,Z378),"0")</f>
        <v>0.62634000000000001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70</v>
      </c>
      <c r="Q380" s="558"/>
      <c r="R380" s="558"/>
      <c r="S380" s="558"/>
      <c r="T380" s="558"/>
      <c r="U380" s="558"/>
      <c r="V380" s="559"/>
      <c r="W380" s="37" t="s">
        <v>68</v>
      </c>
      <c r="X380" s="541">
        <f>IFERROR(SUM(X377:X378),"0")</f>
        <v>296</v>
      </c>
      <c r="Y380" s="541">
        <f>IFERROR(SUM(Y377:Y378),"0")</f>
        <v>297</v>
      </c>
      <c r="Z380" s="37"/>
      <c r="AA380" s="542"/>
      <c r="AB380" s="542"/>
      <c r="AC380" s="542"/>
    </row>
    <row r="381" spans="1:68" ht="27.75" customHeight="1" x14ac:dyDescent="0.2">
      <c r="A381" s="693" t="s">
        <v>582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583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63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584</v>
      </c>
      <c r="B384" s="54" t="s">
        <v>585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/>
      <c r="M384" s="33" t="s">
        <v>67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68</v>
      </c>
      <c r="X384" s="539">
        <v>6</v>
      </c>
      <c r="Y384" s="540">
        <f t="shared" ref="Y384:Y392" si="36">IFERROR(IF(X384="",0,CEILING((X384/$H384),1)*$H384),"")</f>
        <v>10.8</v>
      </c>
      <c r="Z384" s="36">
        <f>IFERROR(IF(Y384=0,"",ROUNDUP(Y384/H384,0)*0.00902),"")</f>
        <v>1.804E-2</v>
      </c>
      <c r="AA384" s="56"/>
      <c r="AB384" s="57"/>
      <c r="AC384" s="425" t="s">
        <v>586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6.2111111111111104</v>
      </c>
      <c r="BN384" s="64">
        <f t="shared" ref="BN384:BN392" si="38">IFERROR(Y384*I384/H384,"0")</f>
        <v>11.18</v>
      </c>
      <c r="BO384" s="64">
        <f t="shared" ref="BO384:BO392" si="39">IFERROR(1/J384*(X384/H384),"0")</f>
        <v>8.4175084175084156E-3</v>
      </c>
      <c r="BP384" s="64">
        <f t="shared" ref="BP384:BP392" si="40">IFERROR(1/J384*(Y384/H384),"0")</f>
        <v>1.5151515151515152E-2</v>
      </c>
    </row>
    <row r="385" spans="1:68" ht="27" customHeight="1" x14ac:dyDescent="0.25">
      <c r="A385" s="54" t="s">
        <v>587</v>
      </c>
      <c r="B385" s="54" t="s">
        <v>588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 t="s">
        <v>109</v>
      </c>
      <c r="M386" s="33" t="s">
        <v>67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105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595</v>
      </c>
      <c r="B388" s="54" t="s">
        <v>596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597</v>
      </c>
      <c r="B389" s="54" t="s">
        <v>598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600</v>
      </c>
      <c r="B390" s="54" t="s">
        <v>601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606</v>
      </c>
      <c r="B392" s="54" t="s">
        <v>607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70</v>
      </c>
      <c r="Q393" s="558"/>
      <c r="R393" s="558"/>
      <c r="S393" s="558"/>
      <c r="T393" s="558"/>
      <c r="U393" s="558"/>
      <c r="V393" s="559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1.1111111111111109</v>
      </c>
      <c r="Y393" s="541">
        <f>IFERROR(Y384/H384,"0")+IFERROR(Y385/H385,"0")+IFERROR(Y386/H386,"0")+IFERROR(Y387/H387,"0")+IFERROR(Y388/H388,"0")+IFERROR(Y389/H389,"0")+IFERROR(Y390/H390,"0")+IFERROR(Y391/H391,"0")+IFERROR(Y392/H392,"0")</f>
        <v>2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1.804E-2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70</v>
      </c>
      <c r="Q394" s="558"/>
      <c r="R394" s="558"/>
      <c r="S394" s="558"/>
      <c r="T394" s="558"/>
      <c r="U394" s="558"/>
      <c r="V394" s="559"/>
      <c r="W394" s="37" t="s">
        <v>68</v>
      </c>
      <c r="X394" s="541">
        <f>IFERROR(SUM(X384:X392),"0")</f>
        <v>6</v>
      </c>
      <c r="Y394" s="541">
        <f>IFERROR(SUM(Y384:Y392),"0")</f>
        <v>10.8</v>
      </c>
      <c r="Z394" s="37"/>
      <c r="AA394" s="542"/>
      <c r="AB394" s="542"/>
      <c r="AC394" s="542"/>
    </row>
    <row r="395" spans="1:68" ht="14.25" customHeight="1" x14ac:dyDescent="0.25">
      <c r="A395" s="554" t="s">
        <v>72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608</v>
      </c>
      <c r="B396" s="54" t="s">
        <v>609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611</v>
      </c>
      <c r="B397" s="54" t="s">
        <v>612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70</v>
      </c>
      <c r="Q398" s="558"/>
      <c r="R398" s="558"/>
      <c r="S398" s="558"/>
      <c r="T398" s="558"/>
      <c r="U398" s="558"/>
      <c r="V398" s="559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70</v>
      </c>
      <c r="Q399" s="558"/>
      <c r="R399" s="558"/>
      <c r="S399" s="558"/>
      <c r="T399" s="558"/>
      <c r="U399" s="558"/>
      <c r="V399" s="559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614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134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615</v>
      </c>
      <c r="B402" s="54" t="s">
        <v>616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70</v>
      </c>
      <c r="Q403" s="558"/>
      <c r="R403" s="558"/>
      <c r="S403" s="558"/>
      <c r="T403" s="558"/>
      <c r="U403" s="558"/>
      <c r="V403" s="559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70</v>
      </c>
      <c r="Q404" s="558"/>
      <c r="R404" s="558"/>
      <c r="S404" s="558"/>
      <c r="T404" s="558"/>
      <c r="U404" s="558"/>
      <c r="V404" s="559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63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618</v>
      </c>
      <c r="B406" s="54" t="s">
        <v>619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/>
      <c r="M406" s="33" t="s">
        <v>103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621</v>
      </c>
      <c r="B407" s="54" t="s">
        <v>622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70</v>
      </c>
      <c r="Q410" s="558"/>
      <c r="R410" s="558"/>
      <c r="S410" s="558"/>
      <c r="T410" s="558"/>
      <c r="U410" s="558"/>
      <c r="V410" s="559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70</v>
      </c>
      <c r="Q411" s="558"/>
      <c r="R411" s="558"/>
      <c r="S411" s="558"/>
      <c r="T411" s="558"/>
      <c r="U411" s="558"/>
      <c r="V411" s="559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629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63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630</v>
      </c>
      <c r="B414" s="54" t="s">
        <v>631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70</v>
      </c>
      <c r="Q415" s="558"/>
      <c r="R415" s="558"/>
      <c r="S415" s="558"/>
      <c r="T415" s="558"/>
      <c r="U415" s="558"/>
      <c r="V415" s="559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70</v>
      </c>
      <c r="Q416" s="558"/>
      <c r="R416" s="558"/>
      <c r="S416" s="558"/>
      <c r="T416" s="558"/>
      <c r="U416" s="558"/>
      <c r="V416" s="559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633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633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98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68</v>
      </c>
      <c r="X420" s="539">
        <v>224</v>
      </c>
      <c r="Y420" s="540">
        <f t="shared" ref="Y420:Y430" si="42">IFERROR(IF(X420="",0,CEILING((X420/$H420),1)*$H420),"")</f>
        <v>227.04000000000002</v>
      </c>
      <c r="Z420" s="36">
        <f t="shared" ref="Z420:Z425" si="43">IFERROR(IF(Y420=0,"",ROUNDUP(Y420/H420,0)*0.01196),"")</f>
        <v>0.51427999999999996</v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238.84848484848482</v>
      </c>
      <c r="BN420" s="64">
        <f t="shared" ref="BN420:BN430" si="45">IFERROR(Y420*I420/H420,"0")</f>
        <v>242.09</v>
      </c>
      <c r="BO420" s="64">
        <f t="shared" ref="BO420:BO430" si="46">IFERROR(1/J420*(X420/H420),"0")</f>
        <v>0.40792540792540793</v>
      </c>
      <c r="BP420" s="64">
        <f t="shared" ref="BP420:BP430" si="47">IFERROR(1/J420*(Y420/H420),"0")</f>
        <v>0.41346153846153849</v>
      </c>
    </row>
    <row r="421" spans="1:68" ht="27" customHeight="1" x14ac:dyDescent="0.25">
      <c r="A421" s="54" t="s">
        <v>636</v>
      </c>
      <c r="B421" s="54" t="s">
        <v>637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68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645</v>
      </c>
      <c r="B424" s="54" t="s">
        <v>646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68</v>
      </c>
      <c r="X425" s="539">
        <v>2060</v>
      </c>
      <c r="Y425" s="540">
        <f t="shared" si="42"/>
        <v>2064.48</v>
      </c>
      <c r="Z425" s="36">
        <f t="shared" si="43"/>
        <v>4.6763599999999999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2196.55303030303</v>
      </c>
      <c r="BN425" s="64">
        <f t="shared" si="45"/>
        <v>2201.33</v>
      </c>
      <c r="BO425" s="64">
        <f t="shared" si="46"/>
        <v>3.7514568764568765</v>
      </c>
      <c r="BP425" s="64">
        <f t="shared" si="47"/>
        <v>3.759615384615385</v>
      </c>
    </row>
    <row r="426" spans="1:68" ht="27" customHeight="1" x14ac:dyDescent="0.25">
      <c r="A426" s="54" t="s">
        <v>651</v>
      </c>
      <c r="B426" s="54" t="s">
        <v>652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68</v>
      </c>
      <c r="X427" s="539">
        <v>13</v>
      </c>
      <c r="Y427" s="540">
        <f t="shared" si="42"/>
        <v>14.399999999999999</v>
      </c>
      <c r="Z427" s="36">
        <f>IFERROR(IF(Y427=0,"",ROUNDUP(Y427/H427,0)*0.00902),"")</f>
        <v>2.7060000000000001E-2</v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18.714583333333334</v>
      </c>
      <c r="BN427" s="64">
        <f t="shared" si="45"/>
        <v>20.73</v>
      </c>
      <c r="BO427" s="64">
        <f t="shared" si="46"/>
        <v>2.0517676767676768E-2</v>
      </c>
      <c r="BP427" s="64">
        <f t="shared" si="47"/>
        <v>2.2727272727272728E-2</v>
      </c>
    </row>
    <row r="428" spans="1:68" ht="27" customHeight="1" x14ac:dyDescent="0.25">
      <c r="A428" s="54" t="s">
        <v>655</v>
      </c>
      <c r="B428" s="54" t="s">
        <v>656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657</v>
      </c>
      <c r="B429" s="54" t="s">
        <v>658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70</v>
      </c>
      <c r="Q431" s="558"/>
      <c r="R431" s="558"/>
      <c r="S431" s="558"/>
      <c r="T431" s="558"/>
      <c r="U431" s="558"/>
      <c r="V431" s="559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435.28409090909088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437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5.2176999999999998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70</v>
      </c>
      <c r="Q432" s="558"/>
      <c r="R432" s="558"/>
      <c r="S432" s="558"/>
      <c r="T432" s="558"/>
      <c r="U432" s="558"/>
      <c r="V432" s="559"/>
      <c r="W432" s="37" t="s">
        <v>68</v>
      </c>
      <c r="X432" s="541">
        <f>IFERROR(SUM(X420:X430),"0")</f>
        <v>2297</v>
      </c>
      <c r="Y432" s="541">
        <f>IFERROR(SUM(Y420:Y430),"0")</f>
        <v>2305.92</v>
      </c>
      <c r="Z432" s="37"/>
      <c r="AA432" s="542"/>
      <c r="AB432" s="542"/>
      <c r="AC432" s="542"/>
    </row>
    <row r="433" spans="1:68" ht="14.25" customHeight="1" x14ac:dyDescent="0.25">
      <c r="A433" s="554" t="s">
        <v>134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68</v>
      </c>
      <c r="X434" s="539">
        <v>1745</v>
      </c>
      <c r="Y434" s="540">
        <f>IFERROR(IF(X434="",0,CEILING((X434/$H434),1)*$H434),"")</f>
        <v>1747.68</v>
      </c>
      <c r="Z434" s="36">
        <f>IFERROR(IF(Y434=0,"",ROUNDUP(Y434/H434,0)*0.01196),"")</f>
        <v>3.9587599999999998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1860.6723484848485</v>
      </c>
      <c r="BN434" s="64">
        <f>IFERROR(Y434*I434/H434,"0")</f>
        <v>1863.53</v>
      </c>
      <c r="BO434" s="64">
        <f>IFERROR(1/J434*(X434/H434),"0")</f>
        <v>3.177811771561772</v>
      </c>
      <c r="BP434" s="64">
        <f>IFERROR(1/J434*(Y434/H434),"0")</f>
        <v>3.1826923076923079</v>
      </c>
    </row>
    <row r="435" spans="1:68" ht="16.5" customHeight="1" x14ac:dyDescent="0.25">
      <c r="A435" s="54" t="s">
        <v>665</v>
      </c>
      <c r="B435" s="54" t="s">
        <v>666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667</v>
      </c>
      <c r="B436" s="54" t="s">
        <v>668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109</v>
      </c>
      <c r="M436" s="33" t="s">
        <v>103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68</v>
      </c>
      <c r="X436" s="539">
        <v>14</v>
      </c>
      <c r="Y436" s="540">
        <f>IFERROR(IF(X436="",0,CEILING((X436/$H436),1)*$H436),"")</f>
        <v>14.399999999999999</v>
      </c>
      <c r="Z436" s="36">
        <f>IFERROR(IF(Y436=0,"",ROUNDUP(Y436/H436,0)*0.00902),"")</f>
        <v>2.7060000000000001E-2</v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20.154166666666669</v>
      </c>
      <c r="BN436" s="64">
        <f>IFERROR(Y436*I436/H436,"0")</f>
        <v>20.73</v>
      </c>
      <c r="BO436" s="64">
        <f>IFERROR(1/J436*(X436/H436),"0")</f>
        <v>2.2095959595959599E-2</v>
      </c>
      <c r="BP436" s="64">
        <f>IFERROR(1/J436*(Y436/H436),"0")</f>
        <v>2.2727272727272728E-2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70</v>
      </c>
      <c r="Q437" s="558"/>
      <c r="R437" s="558"/>
      <c r="S437" s="558"/>
      <c r="T437" s="558"/>
      <c r="U437" s="558"/>
      <c r="V437" s="559"/>
      <c r="W437" s="37" t="s">
        <v>71</v>
      </c>
      <c r="X437" s="541">
        <f>IFERROR(X434/H434,"0")+IFERROR(X435/H435,"0")+IFERROR(X436/H436,"0")</f>
        <v>333.40909090909093</v>
      </c>
      <c r="Y437" s="541">
        <f>IFERROR(Y434/H434,"0")+IFERROR(Y435/H435,"0")+IFERROR(Y436/H436,"0")</f>
        <v>334</v>
      </c>
      <c r="Z437" s="541">
        <f>IFERROR(IF(Z434="",0,Z434),"0")+IFERROR(IF(Z435="",0,Z435),"0")+IFERROR(IF(Z436="",0,Z436),"0")</f>
        <v>3.9858199999999999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70</v>
      </c>
      <c r="Q438" s="558"/>
      <c r="R438" s="558"/>
      <c r="S438" s="558"/>
      <c r="T438" s="558"/>
      <c r="U438" s="558"/>
      <c r="V438" s="559"/>
      <c r="W438" s="37" t="s">
        <v>68</v>
      </c>
      <c r="X438" s="541">
        <f>IFERROR(SUM(X434:X436),"0")</f>
        <v>1759</v>
      </c>
      <c r="Y438" s="541">
        <f>IFERROR(SUM(Y434:Y436),"0")</f>
        <v>1762.0800000000002</v>
      </c>
      <c r="Z438" s="37"/>
      <c r="AA438" s="542"/>
      <c r="AB438" s="542"/>
      <c r="AC438" s="542"/>
    </row>
    <row r="439" spans="1:68" ht="14.25" customHeight="1" x14ac:dyDescent="0.25">
      <c r="A439" s="554" t="s">
        <v>63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68</v>
      </c>
      <c r="X440" s="539">
        <v>753</v>
      </c>
      <c r="Y440" s="540">
        <f t="shared" ref="Y440:Y445" si="48">IFERROR(IF(X440="",0,CEILING((X440/$H440),1)*$H440),"")</f>
        <v>755.04000000000008</v>
      </c>
      <c r="Z440" s="36">
        <f>IFERROR(IF(Y440=0,"",ROUNDUP(Y440/H440,0)*0.01196),"")</f>
        <v>1.71028</v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802.91477272727275</v>
      </c>
      <c r="BN440" s="64">
        <f t="shared" ref="BN440:BN445" si="50">IFERROR(Y440*I440/H440,"0")</f>
        <v>805.09</v>
      </c>
      <c r="BO440" s="64">
        <f t="shared" ref="BO440:BO445" si="51">IFERROR(1/J440*(X440/H440),"0")</f>
        <v>1.371284965034965</v>
      </c>
      <c r="BP440" s="64">
        <f t="shared" ref="BP440:BP445" si="52">IFERROR(1/J440*(Y440/H440),"0")</f>
        <v>1.375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68</v>
      </c>
      <c r="X441" s="539">
        <v>728</v>
      </c>
      <c r="Y441" s="540">
        <f t="shared" si="48"/>
        <v>728.64</v>
      </c>
      <c r="Z441" s="36">
        <f>IFERROR(IF(Y441=0,"",ROUNDUP(Y441/H441,0)*0.01196),"")</f>
        <v>1.6504799999999999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776.25757575757575</v>
      </c>
      <c r="BN441" s="64">
        <f t="shared" si="50"/>
        <v>776.93999999999994</v>
      </c>
      <c r="BO441" s="64">
        <f t="shared" si="51"/>
        <v>1.3257575757575757</v>
      </c>
      <c r="BP441" s="64">
        <f t="shared" si="52"/>
        <v>1.3269230769230771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68</v>
      </c>
      <c r="X442" s="539">
        <v>1288</v>
      </c>
      <c r="Y442" s="540">
        <f t="shared" si="48"/>
        <v>1288.3200000000002</v>
      </c>
      <c r="Z442" s="36">
        <f>IFERROR(IF(Y442=0,"",ROUNDUP(Y442/H442,0)*0.01196),"")</f>
        <v>2.9182399999999999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1373.3787878787878</v>
      </c>
      <c r="BN442" s="64">
        <f t="shared" si="50"/>
        <v>1373.7200000000003</v>
      </c>
      <c r="BO442" s="64">
        <f t="shared" si="51"/>
        <v>2.3455710955710956</v>
      </c>
      <c r="BP442" s="64">
        <f t="shared" si="52"/>
        <v>2.3461538461538467</v>
      </c>
    </row>
    <row r="443" spans="1:68" ht="27" customHeight="1" x14ac:dyDescent="0.25">
      <c r="A443" s="54" t="s">
        <v>678</v>
      </c>
      <c r="B443" s="54" t="s">
        <v>679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682</v>
      </c>
      <c r="B445" s="54" t="s">
        <v>683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70</v>
      </c>
      <c r="Q446" s="558"/>
      <c r="R446" s="558"/>
      <c r="S446" s="558"/>
      <c r="T446" s="558"/>
      <c r="U446" s="558"/>
      <c r="V446" s="559"/>
      <c r="W446" s="37" t="s">
        <v>71</v>
      </c>
      <c r="X446" s="541">
        <f>IFERROR(X440/H440,"0")+IFERROR(X441/H441,"0")+IFERROR(X442/H442,"0")+IFERROR(X443/H443,"0")+IFERROR(X444/H444,"0")+IFERROR(X445/H445,"0")</f>
        <v>524.43181818181824</v>
      </c>
      <c r="Y446" s="541">
        <f>IFERROR(Y440/H440,"0")+IFERROR(Y441/H441,"0")+IFERROR(Y442/H442,"0")+IFERROR(Y443/H443,"0")+IFERROR(Y444/H444,"0")+IFERROR(Y445/H445,"0")</f>
        <v>525</v>
      </c>
      <c r="Z446" s="541">
        <f>IFERROR(IF(Z440="",0,Z440),"0")+IFERROR(IF(Z441="",0,Z441),"0")+IFERROR(IF(Z442="",0,Z442),"0")+IFERROR(IF(Z443="",0,Z443),"0")+IFERROR(IF(Z444="",0,Z444),"0")+IFERROR(IF(Z445="",0,Z445),"0")</f>
        <v>6.2789999999999999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70</v>
      </c>
      <c r="Q447" s="558"/>
      <c r="R447" s="558"/>
      <c r="S447" s="558"/>
      <c r="T447" s="558"/>
      <c r="U447" s="558"/>
      <c r="V447" s="559"/>
      <c r="W447" s="37" t="s">
        <v>68</v>
      </c>
      <c r="X447" s="541">
        <f>IFERROR(SUM(X440:X445),"0")</f>
        <v>2769</v>
      </c>
      <c r="Y447" s="541">
        <f>IFERROR(SUM(Y440:Y445),"0")</f>
        <v>2772</v>
      </c>
      <c r="Z447" s="37"/>
      <c r="AA447" s="542"/>
      <c r="AB447" s="542"/>
      <c r="AC447" s="542"/>
    </row>
    <row r="448" spans="1:68" ht="14.25" customHeight="1" x14ac:dyDescent="0.25">
      <c r="A448" s="554" t="s">
        <v>72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684</v>
      </c>
      <c r="B449" s="54" t="s">
        <v>685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687</v>
      </c>
      <c r="B450" s="54" t="s">
        <v>688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690</v>
      </c>
      <c r="B451" s="54" t="s">
        <v>691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70</v>
      </c>
      <c r="Q452" s="558"/>
      <c r="R452" s="558"/>
      <c r="S452" s="558"/>
      <c r="T452" s="558"/>
      <c r="U452" s="558"/>
      <c r="V452" s="559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70</v>
      </c>
      <c r="Q453" s="558"/>
      <c r="R453" s="558"/>
      <c r="S453" s="558"/>
      <c r="T453" s="558"/>
      <c r="U453" s="558"/>
      <c r="V453" s="559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693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693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98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694</v>
      </c>
      <c r="B457" s="54" t="s">
        <v>695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697</v>
      </c>
      <c r="B458" s="54" t="s">
        <v>698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 t="s">
        <v>102</v>
      </c>
      <c r="M459" s="33" t="s">
        <v>103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 t="s">
        <v>105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70</v>
      </c>
      <c r="Q461" s="558"/>
      <c r="R461" s="558"/>
      <c r="S461" s="558"/>
      <c r="T461" s="558"/>
      <c r="U461" s="558"/>
      <c r="V461" s="559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70</v>
      </c>
      <c r="Q462" s="558"/>
      <c r="R462" s="558"/>
      <c r="S462" s="558"/>
      <c r="T462" s="558"/>
      <c r="U462" s="558"/>
      <c r="V462" s="559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134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705</v>
      </c>
      <c r="B464" s="54" t="s">
        <v>706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708</v>
      </c>
      <c r="B465" s="54" t="s">
        <v>709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70</v>
      </c>
      <c r="Q467" s="558"/>
      <c r="R467" s="558"/>
      <c r="S467" s="558"/>
      <c r="T467" s="558"/>
      <c r="U467" s="558"/>
      <c r="V467" s="559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70</v>
      </c>
      <c r="Q468" s="558"/>
      <c r="R468" s="558"/>
      <c r="S468" s="558"/>
      <c r="T468" s="558"/>
      <c r="U468" s="558"/>
      <c r="V468" s="559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63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714</v>
      </c>
      <c r="B470" s="54" t="s">
        <v>715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/>
      <c r="M470" s="33" t="s">
        <v>67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717</v>
      </c>
      <c r="B471" s="54" t="s">
        <v>718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/>
      <c r="M471" s="33" t="s">
        <v>67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70</v>
      </c>
      <c r="Q472" s="558"/>
      <c r="R472" s="558"/>
      <c r="S472" s="558"/>
      <c r="T472" s="558"/>
      <c r="U472" s="558"/>
      <c r="V472" s="559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70</v>
      </c>
      <c r="Q473" s="558"/>
      <c r="R473" s="558"/>
      <c r="S473" s="558"/>
      <c r="T473" s="558"/>
      <c r="U473" s="558"/>
      <c r="V473" s="559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72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720</v>
      </c>
      <c r="B475" s="54" t="s">
        <v>721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70</v>
      </c>
      <c r="Q476" s="558"/>
      <c r="R476" s="558"/>
      <c r="S476" s="558"/>
      <c r="T476" s="558"/>
      <c r="U476" s="558"/>
      <c r="V476" s="559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70</v>
      </c>
      <c r="Q477" s="558"/>
      <c r="R477" s="558"/>
      <c r="S477" s="558"/>
      <c r="T477" s="558"/>
      <c r="U477" s="558"/>
      <c r="V477" s="559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162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723</v>
      </c>
      <c r="B479" s="54" t="s">
        <v>724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726</v>
      </c>
      <c r="B480" s="54" t="s">
        <v>727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70</v>
      </c>
      <c r="Q481" s="558"/>
      <c r="R481" s="558"/>
      <c r="S481" s="558"/>
      <c r="T481" s="558"/>
      <c r="U481" s="558"/>
      <c r="V481" s="559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70</v>
      </c>
      <c r="Q482" s="558"/>
      <c r="R482" s="558"/>
      <c r="S482" s="558"/>
      <c r="T482" s="558"/>
      <c r="U482" s="558"/>
      <c r="V482" s="559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729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134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730</v>
      </c>
      <c r="B485" s="54" t="s">
        <v>731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70</v>
      </c>
      <c r="Q486" s="558"/>
      <c r="R486" s="558"/>
      <c r="S486" s="558"/>
      <c r="T486" s="558"/>
      <c r="U486" s="558"/>
      <c r="V486" s="559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70</v>
      </c>
      <c r="Q487" s="558"/>
      <c r="R487" s="558"/>
      <c r="S487" s="558"/>
      <c r="T487" s="558"/>
      <c r="U487" s="558"/>
      <c r="V487" s="559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733</v>
      </c>
      <c r="Q488" s="628"/>
      <c r="R488" s="628"/>
      <c r="S488" s="628"/>
      <c r="T488" s="628"/>
      <c r="U488" s="628"/>
      <c r="V488" s="629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13890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14035.710000000001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734</v>
      </c>
      <c r="Q489" s="628"/>
      <c r="R489" s="628"/>
      <c r="S489" s="628"/>
      <c r="T489" s="628"/>
      <c r="U489" s="628"/>
      <c r="V489" s="629"/>
      <c r="W489" s="37" t="s">
        <v>68</v>
      </c>
      <c r="X489" s="541">
        <f>IFERROR(SUM(BM22:BM485),"0")</f>
        <v>14714.688768486596</v>
      </c>
      <c r="Y489" s="541">
        <f>IFERROR(SUM(BN22:BN485),"0")</f>
        <v>14868.113000000001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735</v>
      </c>
      <c r="Q490" s="628"/>
      <c r="R490" s="628"/>
      <c r="S490" s="628"/>
      <c r="T490" s="628"/>
      <c r="U490" s="628"/>
      <c r="V490" s="629"/>
      <c r="W490" s="37" t="s">
        <v>736</v>
      </c>
      <c r="X490" s="38">
        <f>ROUNDUP(SUM(BO22:BO485),0)</f>
        <v>25</v>
      </c>
      <c r="Y490" s="38">
        <f>ROUNDUP(SUM(BP22:BP485),0)</f>
        <v>25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737</v>
      </c>
      <c r="Q491" s="628"/>
      <c r="R491" s="628"/>
      <c r="S491" s="628"/>
      <c r="T491" s="628"/>
      <c r="U491" s="628"/>
      <c r="V491" s="629"/>
      <c r="W491" s="37" t="s">
        <v>68</v>
      </c>
      <c r="X491" s="541">
        <f>GrossWeightTotal+PalletQtyTotal*25</f>
        <v>15339.688768486596</v>
      </c>
      <c r="Y491" s="541">
        <f>GrossWeightTotalR+PalletQtyTotalR*25</f>
        <v>15493.113000000001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738</v>
      </c>
      <c r="Q492" s="628"/>
      <c r="R492" s="628"/>
      <c r="S492" s="628"/>
      <c r="T492" s="628"/>
      <c r="U492" s="628"/>
      <c r="V492" s="629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2450.1759775990167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2473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739</v>
      </c>
      <c r="Q493" s="628"/>
      <c r="R493" s="628"/>
      <c r="S493" s="628"/>
      <c r="T493" s="628"/>
      <c r="U493" s="628"/>
      <c r="V493" s="629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29.174209999999999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6" t="s">
        <v>96</v>
      </c>
      <c r="D495" s="594"/>
      <c r="E495" s="594"/>
      <c r="F495" s="594"/>
      <c r="G495" s="594"/>
      <c r="H495" s="595"/>
      <c r="I495" s="576" t="s">
        <v>250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531</v>
      </c>
      <c r="T495" s="595"/>
      <c r="U495" s="576" t="s">
        <v>582</v>
      </c>
      <c r="V495" s="594"/>
      <c r="W495" s="595"/>
      <c r="X495" s="536" t="s">
        <v>633</v>
      </c>
      <c r="Y495" s="576" t="s">
        <v>693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742</v>
      </c>
      <c r="B496" s="576" t="s">
        <v>62</v>
      </c>
      <c r="C496" s="576" t="s">
        <v>97</v>
      </c>
      <c r="D496" s="576" t="s">
        <v>115</v>
      </c>
      <c r="E496" s="576" t="s">
        <v>169</v>
      </c>
      <c r="F496" s="576" t="s">
        <v>189</v>
      </c>
      <c r="G496" s="576" t="s">
        <v>219</v>
      </c>
      <c r="H496" s="576" t="s">
        <v>96</v>
      </c>
      <c r="I496" s="576" t="s">
        <v>251</v>
      </c>
      <c r="J496" s="576" t="s">
        <v>296</v>
      </c>
      <c r="K496" s="576" t="s">
        <v>355</v>
      </c>
      <c r="L496" s="576" t="s">
        <v>397</v>
      </c>
      <c r="M496" s="576" t="s">
        <v>413</v>
      </c>
      <c r="N496" s="537"/>
      <c r="O496" s="576" t="s">
        <v>424</v>
      </c>
      <c r="P496" s="576" t="s">
        <v>433</v>
      </c>
      <c r="Q496" s="576" t="s">
        <v>447</v>
      </c>
      <c r="R496" s="576" t="s">
        <v>521</v>
      </c>
      <c r="S496" s="576" t="s">
        <v>532</v>
      </c>
      <c r="T496" s="576" t="s">
        <v>566</v>
      </c>
      <c r="U496" s="576" t="s">
        <v>583</v>
      </c>
      <c r="V496" s="576" t="s">
        <v>614</v>
      </c>
      <c r="W496" s="576" t="s">
        <v>629</v>
      </c>
      <c r="X496" s="576" t="s">
        <v>633</v>
      </c>
      <c r="Y496" s="576" t="s">
        <v>693</v>
      </c>
      <c r="Z496" s="576" t="s">
        <v>729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21.6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170.60000000000002</v>
      </c>
      <c r="E498" s="46">
        <f>IFERROR(Y85*1,"0")+IFERROR(Y86*1,"0")+IFERROR(Y87*1,"0")+IFERROR(Y91*1,"0")+IFERROR(Y92*1,"0")+IFERROR(Y93*1,"0")+IFERROR(Y94*1,"0")</f>
        <v>963.90000000000009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226.8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225.96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1176.0000000000002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254.39999999999998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593.65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3255</v>
      </c>
      <c r="T498" s="46">
        <f>IFERROR(Y367*1,"0")+IFERROR(Y368*1,"0")+IFERROR(Y372*1,"0")+IFERROR(Y373*1,"0")+IFERROR(Y377*1,"0")+IFERROR(Y378*1,"0")</f>
        <v>297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10.8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6840.0000000000018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5TfaQXW9POJ/dLhH2uYRNI9tEeNJo/7lnAeAmNgyuqlL/5sRGALZ+f9Eni6dyjBx0lUkIzHW8bfRJI4tyCtx6g==" saltValue="/Ul3XHiNzeHh/ZK4wubsX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6 X420 X422:X423 X425 X434 X436 X440:X442 X459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pErioa5apzSVtTnzB4koQTETRGTNvTlmQI51qz9R13gRFWJQ4jjDEZWq9T5vWiroLSc1kQlPDpiQTM5KhA6+dA==" saltValue="NmZhLgqhMlSD2H1MUr+i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2025-11-26T07:16:05Z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