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E951C7B7-3F50-4AC2-88C2-57CFAD78A26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Y324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Y274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Y215" i="1" s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BP162" i="1" s="1"/>
  <c r="P162" i="1"/>
  <c r="BP161" i="1"/>
  <c r="BO161" i="1"/>
  <c r="BN161" i="1"/>
  <c r="BM161" i="1"/>
  <c r="Z161" i="1"/>
  <c r="Y161" i="1"/>
  <c r="Y172" i="1" s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X149" i="1"/>
  <c r="X148" i="1"/>
  <c r="BO147" i="1"/>
  <c r="BM147" i="1"/>
  <c r="Y147" i="1"/>
  <c r="BP147" i="1" s="1"/>
  <c r="P147" i="1"/>
  <c r="BP146" i="1"/>
  <c r="BO146" i="1"/>
  <c r="BN146" i="1"/>
  <c r="BM146" i="1"/>
  <c r="Z146" i="1"/>
  <c r="Y146" i="1"/>
  <c r="P146" i="1"/>
  <c r="BO145" i="1"/>
  <c r="BM145" i="1"/>
  <c r="Y145" i="1"/>
  <c r="Y148" i="1" s="1"/>
  <c r="P145" i="1"/>
  <c r="X143" i="1"/>
  <c r="X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498" i="1" s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8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8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8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2" i="1" s="1"/>
  <c r="BO22" i="1"/>
  <c r="X490" i="1" s="1"/>
  <c r="BM22" i="1"/>
  <c r="X489" i="1" s="1"/>
  <c r="X491" i="1" s="1"/>
  <c r="Y22" i="1"/>
  <c r="B498" i="1" s="1"/>
  <c r="P22" i="1"/>
  <c r="H10" i="1"/>
  <c r="A9" i="1"/>
  <c r="F10" i="1" s="1"/>
  <c r="D7" i="1"/>
  <c r="Q6" i="1"/>
  <c r="P2" i="1"/>
  <c r="A10" i="1" l="1"/>
  <c r="Y24" i="1"/>
  <c r="Y36" i="1"/>
  <c r="Y48" i="1"/>
  <c r="Y69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71" i="1"/>
  <c r="Y177" i="1"/>
  <c r="Y188" i="1"/>
  <c r="Y192" i="1"/>
  <c r="Y204" i="1"/>
  <c r="Y216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Y311" i="1"/>
  <c r="BP315" i="1"/>
  <c r="BN315" i="1"/>
  <c r="Z315" i="1"/>
  <c r="Z317" i="1" s="1"/>
  <c r="BP323" i="1"/>
  <c r="BN323" i="1"/>
  <c r="Z323" i="1"/>
  <c r="Y325" i="1"/>
  <c r="Y330" i="1"/>
  <c r="BP327" i="1"/>
  <c r="BN327" i="1"/>
  <c r="Z327" i="1"/>
  <c r="BP336" i="1"/>
  <c r="BN336" i="1"/>
  <c r="Z336" i="1"/>
  <c r="Y338" i="1"/>
  <c r="S498" i="1"/>
  <c r="Y349" i="1"/>
  <c r="BP342" i="1"/>
  <c r="BN342" i="1"/>
  <c r="Z342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L498" i="1"/>
  <c r="H9" i="1"/>
  <c r="Y32" i="1"/>
  <c r="Y44" i="1"/>
  <c r="Y57" i="1"/>
  <c r="Y63" i="1"/>
  <c r="Y77" i="1"/>
  <c r="F9" i="1"/>
  <c r="J9" i="1"/>
  <c r="Z22" i="1"/>
  <c r="Z23" i="1" s="1"/>
  <c r="BN22" i="1"/>
  <c r="BP22" i="1"/>
  <c r="Y23" i="1"/>
  <c r="X488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Z67" i="1"/>
  <c r="Z69" i="1" s="1"/>
  <c r="BN67" i="1"/>
  <c r="Z73" i="1"/>
  <c r="Z76" i="1" s="1"/>
  <c r="BN73" i="1"/>
  <c r="Z75" i="1"/>
  <c r="BN75" i="1"/>
  <c r="Z79" i="1"/>
  <c r="Z81" i="1" s="1"/>
  <c r="BN79" i="1"/>
  <c r="BP79" i="1"/>
  <c r="E498" i="1"/>
  <c r="Z86" i="1"/>
  <c r="Z88" i="1" s="1"/>
  <c r="BN86" i="1"/>
  <c r="Y89" i="1"/>
  <c r="Z92" i="1"/>
  <c r="Z95" i="1" s="1"/>
  <c r="BN92" i="1"/>
  <c r="Z94" i="1"/>
  <c r="BN94" i="1"/>
  <c r="Z99" i="1"/>
  <c r="BN99" i="1"/>
  <c r="BP99" i="1"/>
  <c r="Z101" i="1"/>
  <c r="BN101" i="1"/>
  <c r="Y104" i="1"/>
  <c r="Z107" i="1"/>
  <c r="Z109" i="1" s="1"/>
  <c r="BN107" i="1"/>
  <c r="Z113" i="1"/>
  <c r="Z116" i="1" s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Z131" i="1" s="1"/>
  <c r="BN130" i="1"/>
  <c r="Z134" i="1"/>
  <c r="Z136" i="1" s="1"/>
  <c r="BN134" i="1"/>
  <c r="BP134" i="1"/>
  <c r="H498" i="1"/>
  <c r="Z141" i="1"/>
  <c r="Z142" i="1" s="1"/>
  <c r="BN141" i="1"/>
  <c r="Y142" i="1"/>
  <c r="Z145" i="1"/>
  <c r="BN145" i="1"/>
  <c r="BP145" i="1"/>
  <c r="Z147" i="1"/>
  <c r="BN147" i="1"/>
  <c r="I498" i="1"/>
  <c r="Y159" i="1"/>
  <c r="Z162" i="1"/>
  <c r="Z171" i="1" s="1"/>
  <c r="BN162" i="1"/>
  <c r="Z164" i="1"/>
  <c r="BN164" i="1"/>
  <c r="Z165" i="1"/>
  <c r="BN165" i="1"/>
  <c r="Z167" i="1"/>
  <c r="BN167" i="1"/>
  <c r="Z169" i="1"/>
  <c r="BN169" i="1"/>
  <c r="Z175" i="1"/>
  <c r="Z177" i="1" s="1"/>
  <c r="BN175" i="1"/>
  <c r="J498" i="1"/>
  <c r="Z186" i="1"/>
  <c r="Z187" i="1" s="1"/>
  <c r="BN186" i="1"/>
  <c r="Y187" i="1"/>
  <c r="Z190" i="1"/>
  <c r="Z192" i="1" s="1"/>
  <c r="BN190" i="1"/>
  <c r="BP190" i="1"/>
  <c r="Z196" i="1"/>
  <c r="Z203" i="1" s="1"/>
  <c r="BN196" i="1"/>
  <c r="Z198" i="1"/>
  <c r="BN198" i="1"/>
  <c r="Z200" i="1"/>
  <c r="BN200" i="1"/>
  <c r="Z202" i="1"/>
  <c r="BN202" i="1"/>
  <c r="Z206" i="1"/>
  <c r="BN206" i="1"/>
  <c r="BP206" i="1"/>
  <c r="Z208" i="1"/>
  <c r="BN208" i="1"/>
  <c r="Z210" i="1"/>
  <c r="BN210" i="1"/>
  <c r="Z212" i="1"/>
  <c r="BN212" i="1"/>
  <c r="Z214" i="1"/>
  <c r="BN214" i="1"/>
  <c r="Z218" i="1"/>
  <c r="Z220" i="1" s="1"/>
  <c r="BN218" i="1"/>
  <c r="Y220" i="1"/>
  <c r="BP225" i="1"/>
  <c r="BN225" i="1"/>
  <c r="Z225" i="1"/>
  <c r="Z234" i="1" s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Z250" i="1" s="1"/>
  <c r="BP249" i="1"/>
  <c r="BN249" i="1"/>
  <c r="Z249" i="1"/>
  <c r="Y251" i="1"/>
  <c r="Y259" i="1"/>
  <c r="BP254" i="1"/>
  <c r="BN254" i="1"/>
  <c r="Z254" i="1"/>
  <c r="Z259" i="1" s="1"/>
  <c r="BP258" i="1"/>
  <c r="BN258" i="1"/>
  <c r="Z258" i="1"/>
  <c r="Y260" i="1"/>
  <c r="M498" i="1"/>
  <c r="Y268" i="1"/>
  <c r="BP263" i="1"/>
  <c r="BN263" i="1"/>
  <c r="Z263" i="1"/>
  <c r="Z267" i="1" s="1"/>
  <c r="Y267" i="1"/>
  <c r="BP272" i="1"/>
  <c r="BN272" i="1"/>
  <c r="Z272" i="1"/>
  <c r="Z274" i="1" s="1"/>
  <c r="BP284" i="1"/>
  <c r="BN284" i="1"/>
  <c r="Z284" i="1"/>
  <c r="Y286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Y318" i="1"/>
  <c r="Y317" i="1"/>
  <c r="BP321" i="1"/>
  <c r="BN321" i="1"/>
  <c r="Z321" i="1"/>
  <c r="Z324" i="1" s="1"/>
  <c r="BP329" i="1"/>
  <c r="BN329" i="1"/>
  <c r="Z329" i="1"/>
  <c r="Y331" i="1"/>
  <c r="R498" i="1"/>
  <c r="Y337" i="1"/>
  <c r="BP334" i="1"/>
  <c r="BN334" i="1"/>
  <c r="Z334" i="1"/>
  <c r="Z337" i="1" s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Z410" i="1" s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Z452" i="1" s="1"/>
  <c r="Y461" i="1"/>
  <c r="BP460" i="1"/>
  <c r="BN460" i="1"/>
  <c r="Z460" i="1"/>
  <c r="Z461" i="1" s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437" i="1" l="1"/>
  <c r="Z446" i="1"/>
  <c r="Z431" i="1"/>
  <c r="Z304" i="1"/>
  <c r="Z294" i="1"/>
  <c r="Z215" i="1"/>
  <c r="Z148" i="1"/>
  <c r="Z103" i="1"/>
  <c r="Z43" i="1"/>
  <c r="Z31" i="1"/>
  <c r="Y492" i="1"/>
  <c r="Y489" i="1"/>
  <c r="Z349" i="1"/>
  <c r="Z311" i="1"/>
  <c r="Z493" i="1" s="1"/>
  <c r="Z285" i="1"/>
  <c r="Y488" i="1"/>
  <c r="Z393" i="1"/>
  <c r="Y490" i="1"/>
  <c r="Z330" i="1"/>
  <c r="Y491" i="1" l="1"/>
</calcChain>
</file>

<file path=xl/sharedStrings.xml><?xml version="1.0" encoding="utf-8"?>
<sst xmlns="http://schemas.openxmlformats.org/spreadsheetml/2006/main" count="2310" uniqueCount="759">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</sst>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5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1"/>
      <c r="F1" s="571"/>
      <c r="G1" s="12" t="s">
        <v>1</v>
      </c>
      <c r="H1" s="61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70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7</v>
      </c>
      <c r="B5" s="628"/>
      <c r="C5" s="629"/>
      <c r="D5" s="617"/>
      <c r="E5" s="618"/>
      <c r="F5" s="822" t="s">
        <v>8</v>
      </c>
      <c r="G5" s="629"/>
      <c r="H5" s="617"/>
      <c r="I5" s="761"/>
      <c r="J5" s="761"/>
      <c r="K5" s="761"/>
      <c r="L5" s="761"/>
      <c r="M5" s="618"/>
      <c r="N5" s="58"/>
      <c r="P5" s="24" t="s">
        <v>9</v>
      </c>
      <c r="Q5" s="836">
        <v>45985</v>
      </c>
      <c r="R5" s="651"/>
      <c r="T5" s="699" t="s">
        <v>10</v>
      </c>
      <c r="U5" s="700"/>
      <c r="V5" s="701" t="s">
        <v>11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12</v>
      </c>
      <c r="B6" s="628"/>
      <c r="C6" s="629"/>
      <c r="D6" s="764" t="s">
        <v>13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14</v>
      </c>
      <c r="Q6" s="844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15</v>
      </c>
      <c r="U6" s="700"/>
      <c r="V6" s="747" t="s">
        <v>16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3"/>
      <c r="U7" s="700"/>
      <c r="V7" s="748"/>
      <c r="W7" s="749"/>
      <c r="AB7" s="51"/>
      <c r="AC7" s="51"/>
      <c r="AD7" s="51"/>
      <c r="AE7" s="51"/>
    </row>
    <row r="8" spans="1:32" s="533" customFormat="1" ht="25.5" customHeight="1" x14ac:dyDescent="0.2">
      <c r="A8" s="857" t="s">
        <v>17</v>
      </c>
      <c r="B8" s="558"/>
      <c r="C8" s="559"/>
      <c r="D8" s="609" t="s">
        <v>18</v>
      </c>
      <c r="E8" s="610"/>
      <c r="F8" s="610"/>
      <c r="G8" s="610"/>
      <c r="H8" s="610"/>
      <c r="I8" s="610"/>
      <c r="J8" s="610"/>
      <c r="K8" s="610"/>
      <c r="L8" s="610"/>
      <c r="M8" s="611"/>
      <c r="N8" s="61"/>
      <c r="P8" s="24" t="s">
        <v>19</v>
      </c>
      <c r="Q8" s="658">
        <v>0.41666666666666669</v>
      </c>
      <c r="R8" s="598"/>
      <c r="T8" s="553"/>
      <c r="U8" s="700"/>
      <c r="V8" s="748"/>
      <c r="W8" s="749"/>
      <c r="AB8" s="51"/>
      <c r="AC8" s="51"/>
      <c r="AD8" s="51"/>
      <c r="AE8" s="51"/>
    </row>
    <row r="9" spans="1:32" s="533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69"/>
      <c r="E9" s="556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20</v>
      </c>
      <c r="Q9" s="648"/>
      <c r="R9" s="649"/>
      <c r="T9" s="553"/>
      <c r="U9" s="700"/>
      <c r="V9" s="750"/>
      <c r="W9" s="751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69"/>
      <c r="E10" s="556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1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21</v>
      </c>
      <c r="Q10" s="705"/>
      <c r="R10" s="706"/>
      <c r="U10" s="24" t="s">
        <v>22</v>
      </c>
      <c r="V10" s="584" t="s">
        <v>23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0"/>
      <c r="R11" s="651"/>
      <c r="U11" s="24" t="s">
        <v>26</v>
      </c>
      <c r="V11" s="787" t="s">
        <v>27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28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29</v>
      </c>
      <c r="Q12" s="658"/>
      <c r="R12" s="598"/>
      <c r="S12" s="23"/>
      <c r="U12" s="24"/>
      <c r="V12" s="571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30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31</v>
      </c>
      <c r="Q13" s="787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32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8" t="s">
        <v>33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1" t="s">
        <v>34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35</v>
      </c>
      <c r="B17" s="581" t="s">
        <v>36</v>
      </c>
      <c r="C17" s="666" t="s">
        <v>37</v>
      </c>
      <c r="D17" s="581" t="s">
        <v>38</v>
      </c>
      <c r="E17" s="636"/>
      <c r="F17" s="581" t="s">
        <v>39</v>
      </c>
      <c r="G17" s="581" t="s">
        <v>40</v>
      </c>
      <c r="H17" s="581" t="s">
        <v>41</v>
      </c>
      <c r="I17" s="581" t="s">
        <v>42</v>
      </c>
      <c r="J17" s="581" t="s">
        <v>43</v>
      </c>
      <c r="K17" s="581" t="s">
        <v>44</v>
      </c>
      <c r="L17" s="581" t="s">
        <v>45</v>
      </c>
      <c r="M17" s="581" t="s">
        <v>46</v>
      </c>
      <c r="N17" s="581" t="s">
        <v>47</v>
      </c>
      <c r="O17" s="581" t="s">
        <v>48</v>
      </c>
      <c r="P17" s="581" t="s">
        <v>49</v>
      </c>
      <c r="Q17" s="635"/>
      <c r="R17" s="635"/>
      <c r="S17" s="635"/>
      <c r="T17" s="636"/>
      <c r="U17" s="853" t="s">
        <v>50</v>
      </c>
      <c r="V17" s="629"/>
      <c r="W17" s="581" t="s">
        <v>51</v>
      </c>
      <c r="X17" s="581" t="s">
        <v>52</v>
      </c>
      <c r="Y17" s="854" t="s">
        <v>53</v>
      </c>
      <c r="Z17" s="759" t="s">
        <v>54</v>
      </c>
      <c r="AA17" s="738" t="s">
        <v>55</v>
      </c>
      <c r="AB17" s="738" t="s">
        <v>56</v>
      </c>
      <c r="AC17" s="738" t="s">
        <v>57</v>
      </c>
      <c r="AD17" s="738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82"/>
      <c r="X18" s="582"/>
      <c r="Y18" s="855"/>
      <c r="Z18" s="760"/>
      <c r="AA18" s="739"/>
      <c r="AB18" s="739"/>
      <c r="AC18" s="739"/>
      <c r="AD18" s="818"/>
      <c r="AE18" s="819"/>
      <c r="AF18" s="820"/>
      <c r="AG18" s="66"/>
      <c r="BD18" s="65"/>
    </row>
    <row r="19" spans="1:68" ht="27.75" customHeight="1" x14ac:dyDescent="0.2">
      <c r="A19" s="693" t="s">
        <v>62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62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63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64</v>
      </c>
      <c r="B22" s="54" t="s">
        <v>65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7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8"/>
      <c r="P23" s="557" t="s">
        <v>70</v>
      </c>
      <c r="Q23" s="558"/>
      <c r="R23" s="558"/>
      <c r="S23" s="558"/>
      <c r="T23" s="558"/>
      <c r="U23" s="558"/>
      <c r="V23" s="559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8"/>
      <c r="P24" s="557" t="s">
        <v>70</v>
      </c>
      <c r="Q24" s="558"/>
      <c r="R24" s="558"/>
      <c r="S24" s="558"/>
      <c r="T24" s="558"/>
      <c r="U24" s="558"/>
      <c r="V24" s="559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72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73</v>
      </c>
      <c r="B26" s="54" t="s">
        <v>74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78</v>
      </c>
      <c r="B27" s="54" t="s">
        <v>79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81</v>
      </c>
      <c r="B28" s="54" t="s">
        <v>82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7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8"/>
      <c r="P31" s="557" t="s">
        <v>70</v>
      </c>
      <c r="Q31" s="558"/>
      <c r="R31" s="558"/>
      <c r="S31" s="558"/>
      <c r="T31" s="558"/>
      <c r="U31" s="558"/>
      <c r="V31" s="559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8"/>
      <c r="P32" s="557" t="s">
        <v>70</v>
      </c>
      <c r="Q32" s="558"/>
      <c r="R32" s="558"/>
      <c r="S32" s="558"/>
      <c r="T32" s="558"/>
      <c r="U32" s="558"/>
      <c r="V32" s="559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90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91</v>
      </c>
      <c r="B34" s="54" t="s">
        <v>92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7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8"/>
      <c r="P35" s="557" t="s">
        <v>70</v>
      </c>
      <c r="Q35" s="558"/>
      <c r="R35" s="558"/>
      <c r="S35" s="558"/>
      <c r="T35" s="558"/>
      <c r="U35" s="558"/>
      <c r="V35" s="559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8"/>
      <c r="P36" s="557" t="s">
        <v>70</v>
      </c>
      <c r="Q36" s="558"/>
      <c r="R36" s="558"/>
      <c r="S36" s="558"/>
      <c r="T36" s="558"/>
      <c r="U36" s="558"/>
      <c r="V36" s="559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96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97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98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68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 t="s">
        <v>109</v>
      </c>
      <c r="M41" s="33" t="s">
        <v>76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 t="s">
        <v>105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 t="s">
        <v>109</v>
      </c>
      <c r="M42" s="33" t="s">
        <v>76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68</v>
      </c>
      <c r="X42" s="539">
        <v>22</v>
      </c>
      <c r="Y42" s="540">
        <f>IFERROR(IF(X42="",0,CEILING((X42/$H42),1)*$H42),"")</f>
        <v>22.200000000000003</v>
      </c>
      <c r="Z42" s="36">
        <f>IFERROR(IF(Y42=0,"",ROUNDUP(Y42/H42,0)*0.00902),"")</f>
        <v>5.4120000000000001E-2</v>
      </c>
      <c r="AA42" s="56"/>
      <c r="AB42" s="57"/>
      <c r="AC42" s="87" t="s">
        <v>104</v>
      </c>
      <c r="AG42" s="64"/>
      <c r="AJ42" s="68" t="s">
        <v>105</v>
      </c>
      <c r="AK42" s="68">
        <v>44.4</v>
      </c>
      <c r="BB42" s="88" t="s">
        <v>1</v>
      </c>
      <c r="BM42" s="64">
        <f>IFERROR(X42*I42/H42,"0")</f>
        <v>23.129729729729728</v>
      </c>
      <c r="BN42" s="64">
        <f>IFERROR(Y42*I42/H42,"0")</f>
        <v>23.340000000000003</v>
      </c>
      <c r="BO42" s="64">
        <f>IFERROR(1/J42*(X42/H42),"0")</f>
        <v>4.5045045045045043E-2</v>
      </c>
      <c r="BP42" s="64">
        <f>IFERROR(1/J42*(Y42/H42),"0")</f>
        <v>4.5454545454545463E-2</v>
      </c>
    </row>
    <row r="43" spans="1:68" x14ac:dyDescent="0.2">
      <c r="A43" s="567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8"/>
      <c r="P43" s="557" t="s">
        <v>70</v>
      </c>
      <c r="Q43" s="558"/>
      <c r="R43" s="558"/>
      <c r="S43" s="558"/>
      <c r="T43" s="558"/>
      <c r="U43" s="558"/>
      <c r="V43" s="559"/>
      <c r="W43" s="37" t="s">
        <v>71</v>
      </c>
      <c r="X43" s="541">
        <f>IFERROR(X40/H40,"0")+IFERROR(X41/H41,"0")+IFERROR(X42/H42,"0")</f>
        <v>5.9459459459459456</v>
      </c>
      <c r="Y43" s="541">
        <f>IFERROR(Y40/H40,"0")+IFERROR(Y41/H41,"0")+IFERROR(Y42/H42,"0")</f>
        <v>6.0000000000000009</v>
      </c>
      <c r="Z43" s="541">
        <f>IFERROR(IF(Z40="",0,Z40),"0")+IFERROR(IF(Z41="",0,Z41),"0")+IFERROR(IF(Z42="",0,Z42),"0")</f>
        <v>5.4120000000000001E-2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8"/>
      <c r="P44" s="557" t="s">
        <v>70</v>
      </c>
      <c r="Q44" s="558"/>
      <c r="R44" s="558"/>
      <c r="S44" s="558"/>
      <c r="T44" s="558"/>
      <c r="U44" s="558"/>
      <c r="V44" s="559"/>
      <c r="W44" s="37" t="s">
        <v>68</v>
      </c>
      <c r="X44" s="541">
        <f>IFERROR(SUM(X40:X42),"0")</f>
        <v>22</v>
      </c>
      <c r="Y44" s="541">
        <f>IFERROR(SUM(Y40:Y42),"0")</f>
        <v>22.200000000000003</v>
      </c>
      <c r="Z44" s="37"/>
      <c r="AA44" s="542"/>
      <c r="AB44" s="542"/>
      <c r="AC44" s="542"/>
    </row>
    <row r="45" spans="1:68" ht="14.25" customHeight="1" x14ac:dyDescent="0.25">
      <c r="A45" s="554" t="s">
        <v>72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112</v>
      </c>
      <c r="B46" s="54" t="s">
        <v>113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7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7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8"/>
      <c r="P47" s="557" t="s">
        <v>70</v>
      </c>
      <c r="Q47" s="558"/>
      <c r="R47" s="558"/>
      <c r="S47" s="558"/>
      <c r="T47" s="558"/>
      <c r="U47" s="558"/>
      <c r="V47" s="559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8"/>
      <c r="P48" s="557" t="s">
        <v>70</v>
      </c>
      <c r="Q48" s="558"/>
      <c r="R48" s="558"/>
      <c r="S48" s="558"/>
      <c r="T48" s="558"/>
      <c r="U48" s="558"/>
      <c r="V48" s="559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115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98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 t="s">
        <v>102</v>
      </c>
      <c r="M51" s="33" t="s">
        <v>76</v>
      </c>
      <c r="N51" s="33"/>
      <c r="O51" s="32">
        <v>50</v>
      </c>
      <c r="P51" s="7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68</v>
      </c>
      <c r="X51" s="539">
        <v>4</v>
      </c>
      <c r="Y51" s="540">
        <f t="shared" ref="Y51:Y56" si="0">IFERROR(IF(X51="",0,CEILING((X51/$H51),1)*$H51),"")</f>
        <v>11.2</v>
      </c>
      <c r="Z51" s="36">
        <f>IFERROR(IF(Y51=0,"",ROUNDUP(Y51/H51,0)*0.01898),"")</f>
        <v>1.898E-2</v>
      </c>
      <c r="AA51" s="56"/>
      <c r="AB51" s="57"/>
      <c r="AC51" s="91" t="s">
        <v>118</v>
      </c>
      <c r="AG51" s="64"/>
      <c r="AJ51" s="68" t="s">
        <v>105</v>
      </c>
      <c r="AK51" s="68">
        <v>89.6</v>
      </c>
      <c r="BB51" s="92" t="s">
        <v>1</v>
      </c>
      <c r="BM51" s="64">
        <f t="shared" ref="BM51:BM56" si="1">IFERROR(X51*I51/H51,"0")</f>
        <v>4.1464285714285714</v>
      </c>
      <c r="BN51" s="64">
        <f t="shared" ref="BN51:BN56" si="2">IFERROR(Y51*I51/H51,"0")</f>
        <v>11.61</v>
      </c>
      <c r="BO51" s="64">
        <f t="shared" ref="BO51:BO56" si="3">IFERROR(1/J51*(X51/H51),"0")</f>
        <v>5.580357142857143E-3</v>
      </c>
      <c r="BP51" s="64">
        <f t="shared" ref="BP51:BP56" si="4">IFERROR(1/J51*(Y51/H51),"0")</f>
        <v>1.5625E-2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 t="s">
        <v>102</v>
      </c>
      <c r="M52" s="33" t="s">
        <v>103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68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105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 t="s">
        <v>109</v>
      </c>
      <c r="M54" s="33" t="s">
        <v>103</v>
      </c>
      <c r="N54" s="33"/>
      <c r="O54" s="32">
        <v>50</v>
      </c>
      <c r="P54" s="8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68</v>
      </c>
      <c r="X54" s="539">
        <v>53</v>
      </c>
      <c r="Y54" s="540">
        <f t="shared" si="0"/>
        <v>56</v>
      </c>
      <c r="Z54" s="36">
        <f>IFERROR(IF(Y54=0,"",ROUNDUP(Y54/H54,0)*0.00902),"")</f>
        <v>0.12628</v>
      </c>
      <c r="AA54" s="56"/>
      <c r="AB54" s="57"/>
      <c r="AC54" s="97" t="s">
        <v>127</v>
      </c>
      <c r="AG54" s="64"/>
      <c r="AJ54" s="68" t="s">
        <v>105</v>
      </c>
      <c r="AK54" s="68">
        <v>48</v>
      </c>
      <c r="BB54" s="98" t="s">
        <v>1</v>
      </c>
      <c r="BM54" s="64">
        <f t="shared" si="1"/>
        <v>55.517500000000005</v>
      </c>
      <c r="BN54" s="64">
        <f t="shared" si="2"/>
        <v>58.660000000000004</v>
      </c>
      <c r="BO54" s="64">
        <f t="shared" si="3"/>
        <v>0.10037878787878789</v>
      </c>
      <c r="BP54" s="64">
        <f t="shared" si="4"/>
        <v>0.10606060606060606</v>
      </c>
    </row>
    <row r="55" spans="1:68" ht="27" customHeight="1" x14ac:dyDescent="0.25">
      <c r="A55" s="54" t="s">
        <v>128</v>
      </c>
      <c r="B55" s="54" t="s">
        <v>129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5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 t="s">
        <v>109</v>
      </c>
      <c r="M56" s="33" t="s">
        <v>103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68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 t="s">
        <v>105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7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8"/>
      <c r="P57" s="557" t="s">
        <v>70</v>
      </c>
      <c r="Q57" s="558"/>
      <c r="R57" s="558"/>
      <c r="S57" s="558"/>
      <c r="T57" s="558"/>
      <c r="U57" s="558"/>
      <c r="V57" s="559"/>
      <c r="W57" s="37" t="s">
        <v>71</v>
      </c>
      <c r="X57" s="541">
        <f>IFERROR(X51/H51,"0")+IFERROR(X52/H52,"0")+IFERROR(X53/H53,"0")+IFERROR(X54/H54,"0")+IFERROR(X55/H55,"0")+IFERROR(X56/H56,"0")</f>
        <v>13.607142857142858</v>
      </c>
      <c r="Y57" s="541">
        <f>IFERROR(Y51/H51,"0")+IFERROR(Y52/H52,"0")+IFERROR(Y53/H53,"0")+IFERROR(Y54/H54,"0")+IFERROR(Y55/H55,"0")+IFERROR(Y56/H56,"0")</f>
        <v>15</v>
      </c>
      <c r="Z57" s="541">
        <f>IFERROR(IF(Z51="",0,Z51),"0")+IFERROR(IF(Z52="",0,Z52),"0")+IFERROR(IF(Z53="",0,Z53),"0")+IFERROR(IF(Z54="",0,Z54),"0")+IFERROR(IF(Z55="",0,Z55),"0")+IFERROR(IF(Z56="",0,Z56),"0")</f>
        <v>0.14526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8"/>
      <c r="P58" s="557" t="s">
        <v>70</v>
      </c>
      <c r="Q58" s="558"/>
      <c r="R58" s="558"/>
      <c r="S58" s="558"/>
      <c r="T58" s="558"/>
      <c r="U58" s="558"/>
      <c r="V58" s="559"/>
      <c r="W58" s="37" t="s">
        <v>68</v>
      </c>
      <c r="X58" s="541">
        <f>IFERROR(SUM(X51:X56),"0")</f>
        <v>57</v>
      </c>
      <c r="Y58" s="541">
        <f>IFERROR(SUM(Y51:Y56),"0")</f>
        <v>67.2</v>
      </c>
      <c r="Z58" s="37"/>
      <c r="AA58" s="542"/>
      <c r="AB58" s="542"/>
      <c r="AC58" s="542"/>
    </row>
    <row r="59" spans="1:68" ht="14.25" customHeight="1" x14ac:dyDescent="0.25">
      <c r="A59" s="554" t="s">
        <v>134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 t="s">
        <v>102</v>
      </c>
      <c r="M60" s="33" t="s">
        <v>103</v>
      </c>
      <c r="N60" s="33"/>
      <c r="O60" s="32">
        <v>50</v>
      </c>
      <c r="P60" s="8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68</v>
      </c>
      <c r="X60" s="539">
        <v>14</v>
      </c>
      <c r="Y60" s="540">
        <f>IFERROR(IF(X60="",0,CEILING((X60/$H60),1)*$H60),"")</f>
        <v>21.6</v>
      </c>
      <c r="Z60" s="36">
        <f>IFERROR(IF(Y60=0,"",ROUNDUP(Y60/H60,0)*0.01898),"")</f>
        <v>3.7960000000000001E-2</v>
      </c>
      <c r="AA60" s="56"/>
      <c r="AB60" s="57"/>
      <c r="AC60" s="103" t="s">
        <v>137</v>
      </c>
      <c r="AG60" s="64"/>
      <c r="AJ60" s="68" t="s">
        <v>105</v>
      </c>
      <c r="AK60" s="68">
        <v>86.4</v>
      </c>
      <c r="BB60" s="104" t="s">
        <v>1</v>
      </c>
      <c r="BM60" s="64">
        <f>IFERROR(X60*I60/H60,"0")</f>
        <v>14.53148148148148</v>
      </c>
      <c r="BN60" s="64">
        <f>IFERROR(Y60*I60/H60,"0")</f>
        <v>22.42</v>
      </c>
      <c r="BO60" s="64">
        <f>IFERROR(1/J60*(X60/H60),"0")</f>
        <v>2.0254629629629629E-2</v>
      </c>
      <c r="BP60" s="64">
        <f>IFERROR(1/J60*(Y60/H60),"0")</f>
        <v>3.125E-2</v>
      </c>
    </row>
    <row r="61" spans="1:68" ht="16.5" customHeight="1" x14ac:dyDescent="0.25">
      <c r="A61" s="54" t="s">
        <v>138</v>
      </c>
      <c r="B61" s="54" t="s">
        <v>139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8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140</v>
      </c>
      <c r="B62" s="54" t="s">
        <v>141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7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8"/>
      <c r="P63" s="557" t="s">
        <v>70</v>
      </c>
      <c r="Q63" s="558"/>
      <c r="R63" s="558"/>
      <c r="S63" s="558"/>
      <c r="T63" s="558"/>
      <c r="U63" s="558"/>
      <c r="V63" s="559"/>
      <c r="W63" s="37" t="s">
        <v>71</v>
      </c>
      <c r="X63" s="541">
        <f>IFERROR(X60/H60,"0")+IFERROR(X61/H61,"0")+IFERROR(X62/H62,"0")</f>
        <v>1.2962962962962963</v>
      </c>
      <c r="Y63" s="541">
        <f>IFERROR(Y60/H60,"0")+IFERROR(Y61/H61,"0")+IFERROR(Y62/H62,"0")</f>
        <v>2</v>
      </c>
      <c r="Z63" s="541">
        <f>IFERROR(IF(Z60="",0,Z60),"0")+IFERROR(IF(Z61="",0,Z61),"0")+IFERROR(IF(Z62="",0,Z62),"0")</f>
        <v>3.7960000000000001E-2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8"/>
      <c r="P64" s="557" t="s">
        <v>70</v>
      </c>
      <c r="Q64" s="558"/>
      <c r="R64" s="558"/>
      <c r="S64" s="558"/>
      <c r="T64" s="558"/>
      <c r="U64" s="558"/>
      <c r="V64" s="559"/>
      <c r="W64" s="37" t="s">
        <v>68</v>
      </c>
      <c r="X64" s="541">
        <f>IFERROR(SUM(X60:X62),"0")</f>
        <v>14</v>
      </c>
      <c r="Y64" s="541">
        <f>IFERROR(SUM(Y60:Y62),"0")</f>
        <v>21.6</v>
      </c>
      <c r="Z64" s="37"/>
      <c r="AA64" s="542"/>
      <c r="AB64" s="542"/>
      <c r="AC64" s="542"/>
    </row>
    <row r="65" spans="1:68" ht="14.25" customHeight="1" x14ac:dyDescent="0.25">
      <c r="A65" s="554" t="s">
        <v>63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142</v>
      </c>
      <c r="B66" s="54" t="s">
        <v>143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6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145</v>
      </c>
      <c r="B67" s="54" t="s">
        <v>146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7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8"/>
      <c r="P69" s="557" t="s">
        <v>70</v>
      </c>
      <c r="Q69" s="558"/>
      <c r="R69" s="558"/>
      <c r="S69" s="558"/>
      <c r="T69" s="558"/>
      <c r="U69" s="558"/>
      <c r="V69" s="559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8"/>
      <c r="P70" s="557" t="s">
        <v>70</v>
      </c>
      <c r="Q70" s="558"/>
      <c r="R70" s="558"/>
      <c r="S70" s="558"/>
      <c r="T70" s="558"/>
      <c r="U70" s="558"/>
      <c r="V70" s="559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72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 t="s">
        <v>102</v>
      </c>
      <c r="M72" s="33" t="s">
        <v>76</v>
      </c>
      <c r="N72" s="33"/>
      <c r="O72" s="32">
        <v>45</v>
      </c>
      <c r="P72" s="83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105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7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8"/>
      <c r="P76" s="557" t="s">
        <v>70</v>
      </c>
      <c r="Q76" s="558"/>
      <c r="R76" s="558"/>
      <c r="S76" s="558"/>
      <c r="T76" s="558"/>
      <c r="U76" s="558"/>
      <c r="V76" s="559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8"/>
      <c r="P77" s="557" t="s">
        <v>70</v>
      </c>
      <c r="Q77" s="558"/>
      <c r="R77" s="558"/>
      <c r="S77" s="558"/>
      <c r="T77" s="558"/>
      <c r="U77" s="558"/>
      <c r="V77" s="559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162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 t="s">
        <v>102</v>
      </c>
      <c r="M79" s="33" t="s">
        <v>83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68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105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7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8"/>
      <c r="P81" s="557" t="s">
        <v>70</v>
      </c>
      <c r="Q81" s="558"/>
      <c r="R81" s="558"/>
      <c r="S81" s="558"/>
      <c r="T81" s="558"/>
      <c r="U81" s="558"/>
      <c r="V81" s="559"/>
      <c r="W81" s="37" t="s">
        <v>71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8"/>
      <c r="P82" s="557" t="s">
        <v>70</v>
      </c>
      <c r="Q82" s="558"/>
      <c r="R82" s="558"/>
      <c r="S82" s="558"/>
      <c r="T82" s="558"/>
      <c r="U82" s="558"/>
      <c r="V82" s="559"/>
      <c r="W82" s="37" t="s">
        <v>68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52" t="s">
        <v>169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98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68</v>
      </c>
      <c r="X85" s="539">
        <v>20</v>
      </c>
      <c r="Y85" s="540">
        <f>IFERROR(IF(X85="",0,CEILING((X85/$H85),1)*$H85),"")</f>
        <v>21.6</v>
      </c>
      <c r="Z85" s="36">
        <f>IFERROR(IF(Y85=0,"",ROUNDUP(Y85/H85,0)*0.01898),"")</f>
        <v>3.7960000000000001E-2</v>
      </c>
      <c r="AA85" s="56"/>
      <c r="AB85" s="57"/>
      <c r="AC85" s="127" t="s">
        <v>172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20.75925925925926</v>
      </c>
      <c r="BN85" s="64">
        <f>IFERROR(Y85*I85/H85,"0")</f>
        <v>22.42</v>
      </c>
      <c r="BO85" s="64">
        <f>IFERROR(1/J85*(X85/H85),"0")</f>
        <v>2.8935185185185182E-2</v>
      </c>
      <c r="BP85" s="64">
        <f>IFERROR(1/J85*(Y85/H85),"0")</f>
        <v>3.125E-2</v>
      </c>
    </row>
    <row r="86" spans="1:68" ht="27" customHeight="1" x14ac:dyDescent="0.25">
      <c r="A86" s="54" t="s">
        <v>173</v>
      </c>
      <c r="B86" s="54" t="s">
        <v>174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/>
      <c r="M86" s="33" t="s">
        <v>76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 t="s">
        <v>109</v>
      </c>
      <c r="M87" s="33" t="s">
        <v>83</v>
      </c>
      <c r="N87" s="33"/>
      <c r="O87" s="32">
        <v>50</v>
      </c>
      <c r="P87" s="7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68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105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7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8"/>
      <c r="P88" s="557" t="s">
        <v>70</v>
      </c>
      <c r="Q88" s="558"/>
      <c r="R88" s="558"/>
      <c r="S88" s="558"/>
      <c r="T88" s="558"/>
      <c r="U88" s="558"/>
      <c r="V88" s="559"/>
      <c r="W88" s="37" t="s">
        <v>71</v>
      </c>
      <c r="X88" s="541">
        <f>IFERROR(X85/H85,"0")+IFERROR(X86/H86,"0")+IFERROR(X87/H87,"0")</f>
        <v>1.8518518518518516</v>
      </c>
      <c r="Y88" s="541">
        <f>IFERROR(Y85/H85,"0")+IFERROR(Y86/H86,"0")+IFERROR(Y87/H87,"0")</f>
        <v>2</v>
      </c>
      <c r="Z88" s="541">
        <f>IFERROR(IF(Z85="",0,Z85),"0")+IFERROR(IF(Z86="",0,Z86),"0")+IFERROR(IF(Z87="",0,Z87),"0")</f>
        <v>3.7960000000000001E-2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8"/>
      <c r="P89" s="557" t="s">
        <v>70</v>
      </c>
      <c r="Q89" s="558"/>
      <c r="R89" s="558"/>
      <c r="S89" s="558"/>
      <c r="T89" s="558"/>
      <c r="U89" s="558"/>
      <c r="V89" s="559"/>
      <c r="W89" s="37" t="s">
        <v>68</v>
      </c>
      <c r="X89" s="541">
        <f>IFERROR(SUM(X85:X87),"0")</f>
        <v>20</v>
      </c>
      <c r="Y89" s="541">
        <f>IFERROR(SUM(Y85:Y87),"0")</f>
        <v>21.6</v>
      </c>
      <c r="Z89" s="37"/>
      <c r="AA89" s="542"/>
      <c r="AB89" s="542"/>
      <c r="AC89" s="542"/>
    </row>
    <row r="90" spans="1:68" ht="14.25" customHeight="1" x14ac:dyDescent="0.25">
      <c r="A90" s="554" t="s">
        <v>72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27" customHeight="1" x14ac:dyDescent="0.25">
      <c r="A91" s="54" t="s">
        <v>177</v>
      </c>
      <c r="B91" s="54" t="s">
        <v>178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68</v>
      </c>
      <c r="X91" s="539">
        <v>0</v>
      </c>
      <c r="Y91" s="54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179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180</v>
      </c>
      <c r="B92" s="54" t="s">
        <v>181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 t="s">
        <v>185</v>
      </c>
      <c r="M93" s="33" t="s">
        <v>83</v>
      </c>
      <c r="N93" s="33"/>
      <c r="O93" s="32">
        <v>45</v>
      </c>
      <c r="P93" s="7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68</v>
      </c>
      <c r="X93" s="539">
        <v>82</v>
      </c>
      <c r="Y93" s="540">
        <f>IFERROR(IF(X93="",0,CEILING((X93/$H93),1)*$H93),"")</f>
        <v>83.7</v>
      </c>
      <c r="Z93" s="36">
        <f>IFERROR(IF(Y93=0,"",ROUNDUP(Y93/H93,0)*0.00651),"")</f>
        <v>0.20181000000000002</v>
      </c>
      <c r="AA93" s="56"/>
      <c r="AB93" s="57"/>
      <c r="AC93" s="137" t="s">
        <v>179</v>
      </c>
      <c r="AG93" s="64"/>
      <c r="AJ93" s="68" t="s">
        <v>105</v>
      </c>
      <c r="AK93" s="68">
        <v>37.799999999999997</v>
      </c>
      <c r="BB93" s="138" t="s">
        <v>1</v>
      </c>
      <c r="BM93" s="64">
        <f>IFERROR(X93*I93/H93,"0")</f>
        <v>89.653333333333322</v>
      </c>
      <c r="BN93" s="64">
        <f>IFERROR(Y93*I93/H93,"0")</f>
        <v>91.512</v>
      </c>
      <c r="BO93" s="64">
        <f>IFERROR(1/J93*(X93/H93),"0")</f>
        <v>0.16687016687016687</v>
      </c>
      <c r="BP93" s="64">
        <f>IFERROR(1/J93*(Y93/H93),"0")</f>
        <v>0.17032967032967034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 t="s">
        <v>185</v>
      </c>
      <c r="M94" s="33" t="s">
        <v>76</v>
      </c>
      <c r="N94" s="33"/>
      <c r="O94" s="32">
        <v>45</v>
      </c>
      <c r="P94" s="60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 t="s">
        <v>105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7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8"/>
      <c r="P95" s="557" t="s">
        <v>70</v>
      </c>
      <c r="Q95" s="558"/>
      <c r="R95" s="558"/>
      <c r="S95" s="558"/>
      <c r="T95" s="558"/>
      <c r="U95" s="558"/>
      <c r="V95" s="559"/>
      <c r="W95" s="37" t="s">
        <v>71</v>
      </c>
      <c r="X95" s="541">
        <f>IFERROR(X91/H91,"0")+IFERROR(X92/H92,"0")+IFERROR(X93/H93,"0")+IFERROR(X94/H94,"0")</f>
        <v>30.370370370370367</v>
      </c>
      <c r="Y95" s="541">
        <f>IFERROR(Y91/H91,"0")+IFERROR(Y92/H92,"0")+IFERROR(Y93/H93,"0")+IFERROR(Y94/H94,"0")</f>
        <v>31</v>
      </c>
      <c r="Z95" s="541">
        <f>IFERROR(IF(Z91="",0,Z91),"0")+IFERROR(IF(Z92="",0,Z92),"0")+IFERROR(IF(Z93="",0,Z93),"0")+IFERROR(IF(Z94="",0,Z94),"0")</f>
        <v>0.20181000000000002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8"/>
      <c r="P96" s="557" t="s">
        <v>70</v>
      </c>
      <c r="Q96" s="558"/>
      <c r="R96" s="558"/>
      <c r="S96" s="558"/>
      <c r="T96" s="558"/>
      <c r="U96" s="558"/>
      <c r="V96" s="559"/>
      <c r="W96" s="37" t="s">
        <v>68</v>
      </c>
      <c r="X96" s="541">
        <f>IFERROR(SUM(X91:X94),"0")</f>
        <v>82</v>
      </c>
      <c r="Y96" s="541">
        <f>IFERROR(SUM(Y91:Y94),"0")</f>
        <v>83.7</v>
      </c>
      <c r="Z96" s="37"/>
      <c r="AA96" s="542"/>
      <c r="AB96" s="542"/>
      <c r="AC96" s="542"/>
    </row>
    <row r="97" spans="1:68" ht="16.5" customHeight="1" x14ac:dyDescent="0.25">
      <c r="A97" s="552" t="s">
        <v>189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98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68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 t="s">
        <v>109</v>
      </c>
      <c r="M100" s="33" t="s">
        <v>76</v>
      </c>
      <c r="N100" s="33"/>
      <c r="O100" s="32">
        <v>50</v>
      </c>
      <c r="P100" s="6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 t="s">
        <v>105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109</v>
      </c>
      <c r="M101" s="33" t="s">
        <v>76</v>
      </c>
      <c r="N101" s="33"/>
      <c r="O101" s="32">
        <v>50</v>
      </c>
      <c r="P101" s="80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68</v>
      </c>
      <c r="X101" s="539">
        <v>20</v>
      </c>
      <c r="Y101" s="540">
        <f>IFERROR(IF(X101="",0,CEILING((X101/$H101),1)*$H101),"")</f>
        <v>22.5</v>
      </c>
      <c r="Z101" s="36">
        <f>IFERROR(IF(Y101=0,"",ROUNDUP(Y101/H101,0)*0.00902),"")</f>
        <v>4.5100000000000001E-2</v>
      </c>
      <c r="AA101" s="56"/>
      <c r="AB101" s="57"/>
      <c r="AC101" s="145" t="s">
        <v>192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20.844444444444449</v>
      </c>
      <c r="BN101" s="64">
        <f>IFERROR(Y101*I101/H101,"0")</f>
        <v>23.450000000000003</v>
      </c>
      <c r="BO101" s="64">
        <f>IFERROR(1/J101*(X101/H101),"0")</f>
        <v>3.3670033670033669E-2</v>
      </c>
      <c r="BP101" s="64">
        <f>IFERROR(1/J101*(Y101/H101),"0")</f>
        <v>3.787878787878788E-2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7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8"/>
      <c r="P103" s="557" t="s">
        <v>70</v>
      </c>
      <c r="Q103" s="558"/>
      <c r="R103" s="558"/>
      <c r="S103" s="558"/>
      <c r="T103" s="558"/>
      <c r="U103" s="558"/>
      <c r="V103" s="559"/>
      <c r="W103" s="37" t="s">
        <v>71</v>
      </c>
      <c r="X103" s="541">
        <f>IFERROR(X99/H99,"0")+IFERROR(X100/H100,"0")+IFERROR(X101/H101,"0")+IFERROR(X102/H102,"0")</f>
        <v>4.4444444444444446</v>
      </c>
      <c r="Y103" s="541">
        <f>IFERROR(Y99/H99,"0")+IFERROR(Y100/H100,"0")+IFERROR(Y101/H101,"0")+IFERROR(Y102/H102,"0")</f>
        <v>5</v>
      </c>
      <c r="Z103" s="541">
        <f>IFERROR(IF(Z99="",0,Z99),"0")+IFERROR(IF(Z100="",0,Z100),"0")+IFERROR(IF(Z101="",0,Z101),"0")+IFERROR(IF(Z102="",0,Z102),"0")</f>
        <v>4.5100000000000001E-2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8"/>
      <c r="P104" s="557" t="s">
        <v>70</v>
      </c>
      <c r="Q104" s="558"/>
      <c r="R104" s="558"/>
      <c r="S104" s="558"/>
      <c r="T104" s="558"/>
      <c r="U104" s="558"/>
      <c r="V104" s="559"/>
      <c r="W104" s="37" t="s">
        <v>68</v>
      </c>
      <c r="X104" s="541">
        <f>IFERROR(SUM(X99:X102),"0")</f>
        <v>20</v>
      </c>
      <c r="Y104" s="541">
        <f>IFERROR(SUM(Y99:Y102),"0")</f>
        <v>22.5</v>
      </c>
      <c r="Z104" s="37"/>
      <c r="AA104" s="542"/>
      <c r="AB104" s="542"/>
      <c r="AC104" s="542"/>
    </row>
    <row r="105" spans="1:68" ht="14.25" customHeight="1" x14ac:dyDescent="0.25">
      <c r="A105" s="554" t="s">
        <v>134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 t="s">
        <v>102</v>
      </c>
      <c r="M106" s="33" t="s">
        <v>103</v>
      </c>
      <c r="N106" s="33"/>
      <c r="O106" s="32">
        <v>55</v>
      </c>
      <c r="P106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68</v>
      </c>
      <c r="X106" s="539">
        <v>4</v>
      </c>
      <c r="Y106" s="540">
        <f>IFERROR(IF(X106="",0,CEILING((X106/$H106),1)*$H106),"")</f>
        <v>10.8</v>
      </c>
      <c r="Z106" s="36">
        <f>IFERROR(IF(Y106=0,"",ROUNDUP(Y106/H106,0)*0.01898),"")</f>
        <v>1.898E-2</v>
      </c>
      <c r="AA106" s="56"/>
      <c r="AB106" s="57"/>
      <c r="AC106" s="149" t="s">
        <v>201</v>
      </c>
      <c r="AG106" s="64"/>
      <c r="AJ106" s="68" t="s">
        <v>105</v>
      </c>
      <c r="AK106" s="68">
        <v>86.4</v>
      </c>
      <c r="BB106" s="150" t="s">
        <v>1</v>
      </c>
      <c r="BM106" s="64">
        <f>IFERROR(X106*I106/H106,"0")</f>
        <v>4.1518518518518519</v>
      </c>
      <c r="BN106" s="64">
        <f>IFERROR(Y106*I106/H106,"0")</f>
        <v>11.21</v>
      </c>
      <c r="BO106" s="64">
        <f>IFERROR(1/J106*(X106/H106),"0")</f>
        <v>5.7870370370370367E-3</v>
      </c>
      <c r="BP106" s="64">
        <f>IFERROR(1/J106*(Y106/H106),"0")</f>
        <v>1.5625E-2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 t="s">
        <v>185</v>
      </c>
      <c r="M108" s="33" t="s">
        <v>103</v>
      </c>
      <c r="N108" s="33"/>
      <c r="O108" s="32">
        <v>55</v>
      </c>
      <c r="P108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68</v>
      </c>
      <c r="X108" s="539">
        <v>48</v>
      </c>
      <c r="Y108" s="540">
        <f>IFERROR(IF(X108="",0,CEILING((X108/$H108),1)*$H108),"")</f>
        <v>48</v>
      </c>
      <c r="Z108" s="36">
        <f>IFERROR(IF(Y108=0,"",ROUNDUP(Y108/H108,0)*0.00651),"")</f>
        <v>0.13020000000000001</v>
      </c>
      <c r="AA108" s="56"/>
      <c r="AB108" s="57"/>
      <c r="AC108" s="153" t="s">
        <v>201</v>
      </c>
      <c r="AG108" s="64"/>
      <c r="AJ108" s="68" t="s">
        <v>105</v>
      </c>
      <c r="AK108" s="68">
        <v>33.6</v>
      </c>
      <c r="BB108" s="154" t="s">
        <v>1</v>
      </c>
      <c r="BM108" s="64">
        <f>IFERROR(X108*I108/H108,"0")</f>
        <v>51.6</v>
      </c>
      <c r="BN108" s="64">
        <f>IFERROR(Y108*I108/H108,"0")</f>
        <v>51.6</v>
      </c>
      <c r="BO108" s="64">
        <f>IFERROR(1/J108*(X108/H108),"0")</f>
        <v>0.1098901098901099</v>
      </c>
      <c r="BP108" s="64">
        <f>IFERROR(1/J108*(Y108/H108),"0")</f>
        <v>0.1098901098901099</v>
      </c>
    </row>
    <row r="109" spans="1:68" x14ac:dyDescent="0.2">
      <c r="A109" s="567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8"/>
      <c r="P109" s="557" t="s">
        <v>70</v>
      </c>
      <c r="Q109" s="558"/>
      <c r="R109" s="558"/>
      <c r="S109" s="558"/>
      <c r="T109" s="558"/>
      <c r="U109" s="558"/>
      <c r="V109" s="559"/>
      <c r="W109" s="37" t="s">
        <v>71</v>
      </c>
      <c r="X109" s="541">
        <f>IFERROR(X106/H106,"0")+IFERROR(X107/H107,"0")+IFERROR(X108/H108,"0")</f>
        <v>20.37037037037037</v>
      </c>
      <c r="Y109" s="541">
        <f>IFERROR(Y106/H106,"0")+IFERROR(Y107/H107,"0")+IFERROR(Y108/H108,"0")</f>
        <v>21</v>
      </c>
      <c r="Z109" s="541">
        <f>IFERROR(IF(Z106="",0,Z106),"0")+IFERROR(IF(Z107="",0,Z107),"0")+IFERROR(IF(Z108="",0,Z108),"0")</f>
        <v>0.14918000000000001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8"/>
      <c r="P110" s="557" t="s">
        <v>70</v>
      </c>
      <c r="Q110" s="558"/>
      <c r="R110" s="558"/>
      <c r="S110" s="558"/>
      <c r="T110" s="558"/>
      <c r="U110" s="558"/>
      <c r="V110" s="559"/>
      <c r="W110" s="37" t="s">
        <v>68</v>
      </c>
      <c r="X110" s="541">
        <f>IFERROR(SUM(X106:X108),"0")</f>
        <v>52</v>
      </c>
      <c r="Y110" s="541">
        <f>IFERROR(SUM(Y106:Y108),"0")</f>
        <v>58.8</v>
      </c>
      <c r="Z110" s="37"/>
      <c r="AA110" s="542"/>
      <c r="AB110" s="542"/>
      <c r="AC110" s="542"/>
    </row>
    <row r="111" spans="1:68" ht="14.25" customHeight="1" x14ac:dyDescent="0.25">
      <c r="A111" s="554" t="s">
        <v>72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68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208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185</v>
      </c>
      <c r="M114" s="33" t="s">
        <v>83</v>
      </c>
      <c r="N114" s="33"/>
      <c r="O114" s="32">
        <v>45</v>
      </c>
      <c r="P114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68</v>
      </c>
      <c r="X114" s="539">
        <v>121</v>
      </c>
      <c r="Y114" s="540">
        <f>IFERROR(IF(X114="",0,CEILING((X114/$H114),1)*$H114),"")</f>
        <v>121.50000000000001</v>
      </c>
      <c r="Z114" s="36">
        <f>IFERROR(IF(Y114=0,"",ROUNDUP(Y114/H114,0)*0.00651),"")</f>
        <v>0.29294999999999999</v>
      </c>
      <c r="AA114" s="56"/>
      <c r="AB114" s="57"/>
      <c r="AC114" s="159" t="s">
        <v>208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132.29333333333332</v>
      </c>
      <c r="BN114" s="64">
        <f>IFERROR(Y114*I114/H114,"0")</f>
        <v>132.84</v>
      </c>
      <c r="BO114" s="64">
        <f>IFERROR(1/J114*(X114/H114),"0")</f>
        <v>0.24623524623524623</v>
      </c>
      <c r="BP114" s="64">
        <f>IFERROR(1/J114*(Y114/H114),"0")</f>
        <v>0.24725274725274726</v>
      </c>
    </row>
    <row r="115" spans="1:68" ht="16.5" customHeight="1" x14ac:dyDescent="0.25">
      <c r="A115" s="54" t="s">
        <v>213</v>
      </c>
      <c r="B115" s="54" t="s">
        <v>214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7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8"/>
      <c r="P116" s="557" t="s">
        <v>70</v>
      </c>
      <c r="Q116" s="558"/>
      <c r="R116" s="558"/>
      <c r="S116" s="558"/>
      <c r="T116" s="558"/>
      <c r="U116" s="558"/>
      <c r="V116" s="559"/>
      <c r="W116" s="37" t="s">
        <v>71</v>
      </c>
      <c r="X116" s="541">
        <f>IFERROR(X112/H112,"0")+IFERROR(X113/H113,"0")+IFERROR(X114/H114,"0")+IFERROR(X115/H115,"0")</f>
        <v>44.81481481481481</v>
      </c>
      <c r="Y116" s="541">
        <f>IFERROR(Y112/H112,"0")+IFERROR(Y113/H113,"0")+IFERROR(Y114/H114,"0")+IFERROR(Y115/H115,"0")</f>
        <v>45</v>
      </c>
      <c r="Z116" s="541">
        <f>IFERROR(IF(Z112="",0,Z112),"0")+IFERROR(IF(Z113="",0,Z113),"0")+IFERROR(IF(Z114="",0,Z114),"0")+IFERROR(IF(Z115="",0,Z115),"0")</f>
        <v>0.29294999999999999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8"/>
      <c r="P117" s="557" t="s">
        <v>70</v>
      </c>
      <c r="Q117" s="558"/>
      <c r="R117" s="558"/>
      <c r="S117" s="558"/>
      <c r="T117" s="558"/>
      <c r="U117" s="558"/>
      <c r="V117" s="559"/>
      <c r="W117" s="37" t="s">
        <v>68</v>
      </c>
      <c r="X117" s="541">
        <f>IFERROR(SUM(X112:X115),"0")</f>
        <v>121</v>
      </c>
      <c r="Y117" s="541">
        <f>IFERROR(SUM(Y112:Y115),"0")</f>
        <v>121.50000000000001</v>
      </c>
      <c r="Z117" s="37"/>
      <c r="AA117" s="542"/>
      <c r="AB117" s="542"/>
      <c r="AC117" s="542"/>
    </row>
    <row r="118" spans="1:68" ht="14.25" customHeight="1" x14ac:dyDescent="0.25">
      <c r="A118" s="554" t="s">
        <v>162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216</v>
      </c>
      <c r="B119" s="54" t="s">
        <v>217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8"/>
      <c r="P120" s="557" t="s">
        <v>70</v>
      </c>
      <c r="Q120" s="558"/>
      <c r="R120" s="558"/>
      <c r="S120" s="558"/>
      <c r="T120" s="558"/>
      <c r="U120" s="558"/>
      <c r="V120" s="559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8"/>
      <c r="P121" s="557" t="s">
        <v>70</v>
      </c>
      <c r="Q121" s="558"/>
      <c r="R121" s="558"/>
      <c r="S121" s="558"/>
      <c r="T121" s="558"/>
      <c r="U121" s="558"/>
      <c r="V121" s="559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219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98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220</v>
      </c>
      <c r="B124" s="54" t="s">
        <v>221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 t="s">
        <v>185</v>
      </c>
      <c r="M124" s="33" t="s">
        <v>93</v>
      </c>
      <c r="N124" s="33"/>
      <c r="O124" s="32">
        <v>90</v>
      </c>
      <c r="P124" s="85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 t="s">
        <v>105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220</v>
      </c>
      <c r="B125" s="54" t="s">
        <v>223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 t="s">
        <v>185</v>
      </c>
      <c r="M125" s="33" t="s">
        <v>93</v>
      </c>
      <c r="N125" s="33"/>
      <c r="O125" s="32">
        <v>90</v>
      </c>
      <c r="P125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 t="s">
        <v>105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7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8"/>
      <c r="P126" s="557" t="s">
        <v>70</v>
      </c>
      <c r="Q126" s="558"/>
      <c r="R126" s="558"/>
      <c r="S126" s="558"/>
      <c r="T126" s="558"/>
      <c r="U126" s="558"/>
      <c r="V126" s="559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8"/>
      <c r="P127" s="557" t="s">
        <v>70</v>
      </c>
      <c r="Q127" s="558"/>
      <c r="R127" s="558"/>
      <c r="S127" s="558"/>
      <c r="T127" s="558"/>
      <c r="U127" s="558"/>
      <c r="V127" s="559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63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224</v>
      </c>
      <c r="B129" s="54" t="s">
        <v>225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224</v>
      </c>
      <c r="B130" s="54" t="s">
        <v>227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 t="s">
        <v>185</v>
      </c>
      <c r="M130" s="33" t="s">
        <v>93</v>
      </c>
      <c r="N130" s="33"/>
      <c r="O130" s="32">
        <v>90</v>
      </c>
      <c r="P130" s="7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 t="s">
        <v>105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7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8"/>
      <c r="P131" s="557" t="s">
        <v>70</v>
      </c>
      <c r="Q131" s="558"/>
      <c r="R131" s="558"/>
      <c r="S131" s="558"/>
      <c r="T131" s="558"/>
      <c r="U131" s="558"/>
      <c r="V131" s="559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8"/>
      <c r="P132" s="557" t="s">
        <v>70</v>
      </c>
      <c r="Q132" s="558"/>
      <c r="R132" s="558"/>
      <c r="S132" s="558"/>
      <c r="T132" s="558"/>
      <c r="U132" s="558"/>
      <c r="V132" s="559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72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228</v>
      </c>
      <c r="B134" s="54" t="s">
        <v>229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228</v>
      </c>
      <c r="B135" s="54" t="s">
        <v>230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7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8"/>
      <c r="P136" s="557" t="s">
        <v>70</v>
      </c>
      <c r="Q136" s="558"/>
      <c r="R136" s="558"/>
      <c r="S136" s="558"/>
      <c r="T136" s="558"/>
      <c r="U136" s="558"/>
      <c r="V136" s="559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8"/>
      <c r="P137" s="557" t="s">
        <v>70</v>
      </c>
      <c r="Q137" s="558"/>
      <c r="R137" s="558"/>
      <c r="S137" s="558"/>
      <c r="T137" s="558"/>
      <c r="U137" s="558"/>
      <c r="V137" s="559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96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98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231</v>
      </c>
      <c r="B140" s="54" t="s">
        <v>232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234</v>
      </c>
      <c r="B141" s="54" t="s">
        <v>235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2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7"/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68"/>
      <c r="P142" s="557" t="s">
        <v>70</v>
      </c>
      <c r="Q142" s="558"/>
      <c r="R142" s="558"/>
      <c r="S142" s="558"/>
      <c r="T142" s="558"/>
      <c r="U142" s="558"/>
      <c r="V142" s="559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x14ac:dyDescent="0.2">
      <c r="A143" s="553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8"/>
      <c r="P143" s="557" t="s">
        <v>70</v>
      </c>
      <c r="Q143" s="558"/>
      <c r="R143" s="558"/>
      <c r="S143" s="558"/>
      <c r="T143" s="558"/>
      <c r="U143" s="558"/>
      <c r="V143" s="559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customHeight="1" x14ac:dyDescent="0.25">
      <c r="A144" s="554" t="s">
        <v>63</v>
      </c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53"/>
      <c r="P144" s="553"/>
      <c r="Q144" s="553"/>
      <c r="R144" s="553"/>
      <c r="S144" s="553"/>
      <c r="T144" s="553"/>
      <c r="U144" s="553"/>
      <c r="V144" s="553"/>
      <c r="W144" s="553"/>
      <c r="X144" s="553"/>
      <c r="Y144" s="553"/>
      <c r="Z144" s="553"/>
      <c r="AA144" s="535"/>
      <c r="AB144" s="535"/>
      <c r="AC144" s="535"/>
    </row>
    <row r="145" spans="1:68" ht="16.5" customHeight="1" x14ac:dyDescent="0.25">
      <c r="A145" s="54" t="s">
        <v>237</v>
      </c>
      <c r="B145" s="54" t="s">
        <v>238</v>
      </c>
      <c r="C145" s="31">
        <v>4301030895</v>
      </c>
      <c r="D145" s="546">
        <v>4607091387667</v>
      </c>
      <c r="E145" s="547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4"/>
      <c r="R145" s="544"/>
      <c r="S145" s="544"/>
      <c r="T145" s="545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240</v>
      </c>
      <c r="B146" s="54" t="s">
        <v>241</v>
      </c>
      <c r="C146" s="31">
        <v>4301030961</v>
      </c>
      <c r="D146" s="546">
        <v>4607091387636</v>
      </c>
      <c r="E146" s="547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2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243</v>
      </c>
      <c r="B147" s="54" t="s">
        <v>244</v>
      </c>
      <c r="C147" s="31">
        <v>4301030963</v>
      </c>
      <c r="D147" s="546">
        <v>4607091382426</v>
      </c>
      <c r="E147" s="547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7"/>
      <c r="B148" s="553"/>
      <c r="C148" s="553"/>
      <c r="D148" s="553"/>
      <c r="E148" s="553"/>
      <c r="F148" s="553"/>
      <c r="G148" s="553"/>
      <c r="H148" s="553"/>
      <c r="I148" s="553"/>
      <c r="J148" s="553"/>
      <c r="K148" s="553"/>
      <c r="L148" s="553"/>
      <c r="M148" s="553"/>
      <c r="N148" s="553"/>
      <c r="O148" s="568"/>
      <c r="P148" s="557" t="s">
        <v>70</v>
      </c>
      <c r="Q148" s="558"/>
      <c r="R148" s="558"/>
      <c r="S148" s="558"/>
      <c r="T148" s="558"/>
      <c r="U148" s="558"/>
      <c r="V148" s="559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x14ac:dyDescent="0.2">
      <c r="A149" s="553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8"/>
      <c r="P149" s="557" t="s">
        <v>70</v>
      </c>
      <c r="Q149" s="558"/>
      <c r="R149" s="558"/>
      <c r="S149" s="558"/>
      <c r="T149" s="558"/>
      <c r="U149" s="558"/>
      <c r="V149" s="559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customHeight="1" x14ac:dyDescent="0.25">
      <c r="A150" s="554" t="s">
        <v>72</v>
      </c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53"/>
      <c r="P150" s="553"/>
      <c r="Q150" s="553"/>
      <c r="R150" s="553"/>
      <c r="S150" s="553"/>
      <c r="T150" s="553"/>
      <c r="U150" s="553"/>
      <c r="V150" s="553"/>
      <c r="W150" s="553"/>
      <c r="X150" s="553"/>
      <c r="Y150" s="553"/>
      <c r="Z150" s="553"/>
      <c r="AA150" s="535"/>
      <c r="AB150" s="535"/>
      <c r="AC150" s="535"/>
    </row>
    <row r="151" spans="1:68" ht="27" customHeight="1" x14ac:dyDescent="0.25">
      <c r="A151" s="54" t="s">
        <v>246</v>
      </c>
      <c r="B151" s="54" t="s">
        <v>247</v>
      </c>
      <c r="C151" s="31">
        <v>4301052064</v>
      </c>
      <c r="D151" s="546">
        <v>4680115887459</v>
      </c>
      <c r="E151" s="547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59" t="s">
        <v>248</v>
      </c>
      <c r="Q151" s="544"/>
      <c r="R151" s="544"/>
      <c r="S151" s="544"/>
      <c r="T151" s="545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53"/>
      <c r="C152" s="553"/>
      <c r="D152" s="553"/>
      <c r="E152" s="553"/>
      <c r="F152" s="553"/>
      <c r="G152" s="553"/>
      <c r="H152" s="553"/>
      <c r="I152" s="553"/>
      <c r="J152" s="553"/>
      <c r="K152" s="553"/>
      <c r="L152" s="553"/>
      <c r="M152" s="553"/>
      <c r="N152" s="553"/>
      <c r="O152" s="568"/>
      <c r="P152" s="557" t="s">
        <v>70</v>
      </c>
      <c r="Q152" s="558"/>
      <c r="R152" s="558"/>
      <c r="S152" s="558"/>
      <c r="T152" s="558"/>
      <c r="U152" s="558"/>
      <c r="V152" s="559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x14ac:dyDescent="0.2">
      <c r="A153" s="553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8"/>
      <c r="P153" s="557" t="s">
        <v>70</v>
      </c>
      <c r="Q153" s="558"/>
      <c r="R153" s="558"/>
      <c r="S153" s="558"/>
      <c r="T153" s="558"/>
      <c r="U153" s="558"/>
      <c r="V153" s="559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customHeight="1" x14ac:dyDescent="0.2">
      <c r="A154" s="693" t="s">
        <v>250</v>
      </c>
      <c r="B154" s="694"/>
      <c r="C154" s="694"/>
      <c r="D154" s="694"/>
      <c r="E154" s="694"/>
      <c r="F154" s="694"/>
      <c r="G154" s="694"/>
      <c r="H154" s="694"/>
      <c r="I154" s="694"/>
      <c r="J154" s="694"/>
      <c r="K154" s="694"/>
      <c r="L154" s="694"/>
      <c r="M154" s="694"/>
      <c r="N154" s="694"/>
      <c r="O154" s="694"/>
      <c r="P154" s="694"/>
      <c r="Q154" s="694"/>
      <c r="R154" s="694"/>
      <c r="S154" s="694"/>
      <c r="T154" s="694"/>
      <c r="U154" s="694"/>
      <c r="V154" s="694"/>
      <c r="W154" s="694"/>
      <c r="X154" s="694"/>
      <c r="Y154" s="694"/>
      <c r="Z154" s="694"/>
      <c r="AA154" s="48"/>
      <c r="AB154" s="48"/>
      <c r="AC154" s="48"/>
    </row>
    <row r="155" spans="1:68" ht="16.5" customHeight="1" x14ac:dyDescent="0.25">
      <c r="A155" s="552" t="s">
        <v>251</v>
      </c>
      <c r="B155" s="553"/>
      <c r="C155" s="553"/>
      <c r="D155" s="553"/>
      <c r="E155" s="553"/>
      <c r="F155" s="553"/>
      <c r="G155" s="553"/>
      <c r="H155" s="553"/>
      <c r="I155" s="553"/>
      <c r="J155" s="553"/>
      <c r="K155" s="553"/>
      <c r="L155" s="553"/>
      <c r="M155" s="553"/>
      <c r="N155" s="553"/>
      <c r="O155" s="553"/>
      <c r="P155" s="553"/>
      <c r="Q155" s="553"/>
      <c r="R155" s="553"/>
      <c r="S155" s="553"/>
      <c r="T155" s="553"/>
      <c r="U155" s="553"/>
      <c r="V155" s="553"/>
      <c r="W155" s="553"/>
      <c r="X155" s="553"/>
      <c r="Y155" s="553"/>
      <c r="Z155" s="553"/>
      <c r="AA155" s="534"/>
      <c r="AB155" s="534"/>
      <c r="AC155" s="534"/>
    </row>
    <row r="156" spans="1:68" ht="14.25" customHeight="1" x14ac:dyDescent="0.25">
      <c r="A156" s="554" t="s">
        <v>134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5"/>
      <c r="AB156" s="535"/>
      <c r="AC156" s="535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6">
        <v>4680115886223</v>
      </c>
      <c r="E157" s="547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4"/>
      <c r="R157" s="544"/>
      <c r="S157" s="544"/>
      <c r="T157" s="545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7"/>
      <c r="B158" s="553"/>
      <c r="C158" s="553"/>
      <c r="D158" s="553"/>
      <c r="E158" s="553"/>
      <c r="F158" s="553"/>
      <c r="G158" s="553"/>
      <c r="H158" s="553"/>
      <c r="I158" s="553"/>
      <c r="J158" s="553"/>
      <c r="K158" s="553"/>
      <c r="L158" s="553"/>
      <c r="M158" s="553"/>
      <c r="N158" s="553"/>
      <c r="O158" s="568"/>
      <c r="P158" s="557" t="s">
        <v>70</v>
      </c>
      <c r="Q158" s="558"/>
      <c r="R158" s="558"/>
      <c r="S158" s="558"/>
      <c r="T158" s="558"/>
      <c r="U158" s="558"/>
      <c r="V158" s="559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x14ac:dyDescent="0.2">
      <c r="A159" s="553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8"/>
      <c r="P159" s="557" t="s">
        <v>70</v>
      </c>
      <c r="Q159" s="558"/>
      <c r="R159" s="558"/>
      <c r="S159" s="558"/>
      <c r="T159" s="558"/>
      <c r="U159" s="558"/>
      <c r="V159" s="559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customHeight="1" x14ac:dyDescent="0.25">
      <c r="A160" s="554" t="s">
        <v>63</v>
      </c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53"/>
      <c r="P160" s="553"/>
      <c r="Q160" s="553"/>
      <c r="R160" s="553"/>
      <c r="S160" s="553"/>
      <c r="T160" s="553"/>
      <c r="U160" s="553"/>
      <c r="V160" s="553"/>
      <c r="W160" s="553"/>
      <c r="X160" s="553"/>
      <c r="Y160" s="553"/>
      <c r="Z160" s="553"/>
      <c r="AA160" s="535"/>
      <c r="AB160" s="535"/>
      <c r="AC160" s="535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6">
        <v>4680115880993</v>
      </c>
      <c r="E161" s="547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 t="s">
        <v>109</v>
      </c>
      <c r="M161" s="33" t="s">
        <v>67</v>
      </c>
      <c r="N161" s="33"/>
      <c r="O161" s="32">
        <v>40</v>
      </c>
      <c r="P161" s="7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4"/>
      <c r="R161" s="544"/>
      <c r="S161" s="544"/>
      <c r="T161" s="545"/>
      <c r="U161" s="34"/>
      <c r="V161" s="34"/>
      <c r="W161" s="35" t="s">
        <v>68</v>
      </c>
      <c r="X161" s="539">
        <v>46</v>
      </c>
      <c r="Y161" s="540">
        <f t="shared" ref="Y161:Y170" si="5">IFERROR(IF(X161="",0,CEILING((X161/$H161),1)*$H161),"")</f>
        <v>46.2</v>
      </c>
      <c r="Z161" s="36">
        <f>IFERROR(IF(Y161=0,"",ROUNDUP(Y161/H161,0)*0.00902),"")</f>
        <v>9.9220000000000003E-2</v>
      </c>
      <c r="AA161" s="56"/>
      <c r="AB161" s="57"/>
      <c r="AC161" s="191" t="s">
        <v>257</v>
      </c>
      <c r="AG161" s="64"/>
      <c r="AJ161" s="68" t="s">
        <v>105</v>
      </c>
      <c r="AK161" s="68">
        <v>50.4</v>
      </c>
      <c r="BB161" s="192" t="s">
        <v>1</v>
      </c>
      <c r="BM161" s="64">
        <f t="shared" ref="BM161:BM170" si="6">IFERROR(X161*I161/H161,"0")</f>
        <v>48.738095238095241</v>
      </c>
      <c r="BN161" s="64">
        <f t="shared" ref="BN161:BN170" si="7">IFERROR(Y161*I161/H161,"0")</f>
        <v>48.95</v>
      </c>
      <c r="BO161" s="64">
        <f t="shared" ref="BO161:BO170" si="8">IFERROR(1/J161*(X161/H161),"0")</f>
        <v>8.2972582972582976E-2</v>
      </c>
      <c r="BP161" s="64">
        <f t="shared" ref="BP161:BP170" si="9">IFERROR(1/J161*(Y161/H161),"0")</f>
        <v>8.3333333333333343E-2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6">
        <v>4680115881761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4"/>
      <c r="R162" s="544"/>
      <c r="S162" s="544"/>
      <c r="T162" s="545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6">
        <v>4680115881563</v>
      </c>
      <c r="E163" s="547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109</v>
      </c>
      <c r="M163" s="33" t="s">
        <v>67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68</v>
      </c>
      <c r="X163" s="539">
        <v>56</v>
      </c>
      <c r="Y163" s="540">
        <f t="shared" si="5"/>
        <v>58.800000000000004</v>
      </c>
      <c r="Z163" s="36">
        <f>IFERROR(IF(Y163=0,"",ROUNDUP(Y163/H163,0)*0.00902),"")</f>
        <v>0.12628</v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58.533333333333324</v>
      </c>
      <c r="BN163" s="64">
        <f t="shared" si="7"/>
        <v>61.46</v>
      </c>
      <c r="BO163" s="64">
        <f t="shared" si="8"/>
        <v>0.10101010101010101</v>
      </c>
      <c r="BP163" s="64">
        <f t="shared" si="9"/>
        <v>0.10606060606060606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6">
        <v>4680115880986</v>
      </c>
      <c r="E164" s="547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4"/>
      <c r="R164" s="544"/>
      <c r="S164" s="544"/>
      <c r="T164" s="545"/>
      <c r="U164" s="34"/>
      <c r="V164" s="34"/>
      <c r="W164" s="35" t="s">
        <v>68</v>
      </c>
      <c r="X164" s="539">
        <v>27</v>
      </c>
      <c r="Y164" s="540">
        <f t="shared" si="5"/>
        <v>27.3</v>
      </c>
      <c r="Z164" s="36">
        <f>IFERROR(IF(Y164=0,"",ROUNDUP(Y164/H164,0)*0.00502),"")</f>
        <v>6.5259999999999999E-2</v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28.671428571428571</v>
      </c>
      <c r="BN164" s="64">
        <f t="shared" si="7"/>
        <v>28.99</v>
      </c>
      <c r="BO164" s="64">
        <f t="shared" si="8"/>
        <v>5.4945054945054944E-2</v>
      </c>
      <c r="BP164" s="64">
        <f t="shared" si="9"/>
        <v>5.5555555555555559E-2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6">
        <v>4680115887213</v>
      </c>
      <c r="E165" s="547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8" t="s">
        <v>269</v>
      </c>
      <c r="Q165" s="544"/>
      <c r="R165" s="544"/>
      <c r="S165" s="544"/>
      <c r="T165" s="545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 t="s">
        <v>266</v>
      </c>
      <c r="M167" s="33" t="s">
        <v>67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68</v>
      </c>
      <c r="X167" s="539">
        <v>9</v>
      </c>
      <c r="Y167" s="540">
        <f t="shared" si="5"/>
        <v>9</v>
      </c>
      <c r="Z167" s="36">
        <f>IFERROR(IF(Y167=0,"",ROUNDUP(Y167/H167,0)*0.00502),"")</f>
        <v>2.5100000000000001E-2</v>
      </c>
      <c r="AA167" s="56"/>
      <c r="AB167" s="57"/>
      <c r="AC167" s="203" t="s">
        <v>275</v>
      </c>
      <c r="AG167" s="64"/>
      <c r="AJ167" s="68" t="s">
        <v>105</v>
      </c>
      <c r="AK167" s="68">
        <v>32.4</v>
      </c>
      <c r="BB167" s="204" t="s">
        <v>1</v>
      </c>
      <c r="BM167" s="64">
        <f t="shared" si="6"/>
        <v>9.65</v>
      </c>
      <c r="BN167" s="64">
        <f t="shared" si="7"/>
        <v>9.65</v>
      </c>
      <c r="BO167" s="64">
        <f t="shared" si="8"/>
        <v>2.1367521367521368E-2</v>
      </c>
      <c r="BP167" s="64">
        <f t="shared" si="9"/>
        <v>2.1367521367521368E-2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 t="s">
        <v>266</v>
      </c>
      <c r="M168" s="33" t="s">
        <v>67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68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105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7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8"/>
      <c r="P171" s="557" t="s">
        <v>70</v>
      </c>
      <c r="Q171" s="558"/>
      <c r="R171" s="558"/>
      <c r="S171" s="558"/>
      <c r="T171" s="558"/>
      <c r="U171" s="558"/>
      <c r="V171" s="559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42.142857142857139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43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0.31586000000000003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8"/>
      <c r="P172" s="557" t="s">
        <v>70</v>
      </c>
      <c r="Q172" s="558"/>
      <c r="R172" s="558"/>
      <c r="S172" s="558"/>
      <c r="T172" s="558"/>
      <c r="U172" s="558"/>
      <c r="V172" s="559"/>
      <c r="W172" s="37" t="s">
        <v>68</v>
      </c>
      <c r="X172" s="541">
        <f>IFERROR(SUM(X161:X170),"0")</f>
        <v>138</v>
      </c>
      <c r="Y172" s="541">
        <f>IFERROR(SUM(Y161:Y170),"0")</f>
        <v>141.30000000000001</v>
      </c>
      <c r="Z172" s="37"/>
      <c r="AA172" s="542"/>
      <c r="AB172" s="542"/>
      <c r="AC172" s="542"/>
    </row>
    <row r="173" spans="1:68" ht="14.25" customHeight="1" x14ac:dyDescent="0.25">
      <c r="A173" s="554" t="s">
        <v>90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68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68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7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8"/>
      <c r="P177" s="557" t="s">
        <v>70</v>
      </c>
      <c r="Q177" s="558"/>
      <c r="R177" s="558"/>
      <c r="S177" s="558"/>
      <c r="T177" s="558"/>
      <c r="U177" s="558"/>
      <c r="V177" s="559"/>
      <c r="W177" s="37" t="s">
        <v>71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8"/>
      <c r="P178" s="557" t="s">
        <v>70</v>
      </c>
      <c r="Q178" s="558"/>
      <c r="R178" s="558"/>
      <c r="S178" s="558"/>
      <c r="T178" s="558"/>
      <c r="U178" s="558"/>
      <c r="V178" s="559"/>
      <c r="W178" s="37" t="s">
        <v>68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customHeight="1" x14ac:dyDescent="0.25">
      <c r="A179" s="554" t="s">
        <v>293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68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7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8"/>
      <c r="P181" s="557" t="s">
        <v>70</v>
      </c>
      <c r="Q181" s="558"/>
      <c r="R181" s="558"/>
      <c r="S181" s="558"/>
      <c r="T181" s="558"/>
      <c r="U181" s="558"/>
      <c r="V181" s="559"/>
      <c r="W181" s="37" t="s">
        <v>71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8"/>
      <c r="P182" s="557" t="s">
        <v>70</v>
      </c>
      <c r="Q182" s="558"/>
      <c r="R182" s="558"/>
      <c r="S182" s="558"/>
      <c r="T182" s="558"/>
      <c r="U182" s="558"/>
      <c r="V182" s="559"/>
      <c r="W182" s="37" t="s">
        <v>68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customHeight="1" x14ac:dyDescent="0.25">
      <c r="A183" s="552" t="s">
        <v>296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98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297</v>
      </c>
      <c r="B185" s="54" t="s">
        <v>298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/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8"/>
      <c r="P187" s="557" t="s">
        <v>70</v>
      </c>
      <c r="Q187" s="558"/>
      <c r="R187" s="558"/>
      <c r="S187" s="558"/>
      <c r="T187" s="558"/>
      <c r="U187" s="558"/>
      <c r="V187" s="559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8"/>
      <c r="P188" s="557" t="s">
        <v>70</v>
      </c>
      <c r="Q188" s="558"/>
      <c r="R188" s="558"/>
      <c r="S188" s="558"/>
      <c r="T188" s="558"/>
      <c r="U188" s="558"/>
      <c r="V188" s="559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134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 t="s">
        <v>185</v>
      </c>
      <c r="M191" s="33" t="s">
        <v>103</v>
      </c>
      <c r="N191" s="33"/>
      <c r="O191" s="32">
        <v>50</v>
      </c>
      <c r="P19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105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7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8"/>
      <c r="P192" s="557" t="s">
        <v>70</v>
      </c>
      <c r="Q192" s="558"/>
      <c r="R192" s="558"/>
      <c r="S192" s="558"/>
      <c r="T192" s="558"/>
      <c r="U192" s="558"/>
      <c r="V192" s="559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8"/>
      <c r="P193" s="557" t="s">
        <v>70</v>
      </c>
      <c r="Q193" s="558"/>
      <c r="R193" s="558"/>
      <c r="S193" s="558"/>
      <c r="T193" s="558"/>
      <c r="U193" s="558"/>
      <c r="V193" s="559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63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109</v>
      </c>
      <c r="M195" s="33" t="s">
        <v>67</v>
      </c>
      <c r="N195" s="33"/>
      <c r="O195" s="32">
        <v>40</v>
      </c>
      <c r="P195" s="66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68</v>
      </c>
      <c r="X195" s="539">
        <v>26</v>
      </c>
      <c r="Y195" s="540">
        <f t="shared" ref="Y195:Y202" si="10">IFERROR(IF(X195="",0,CEILING((X195/$H195),1)*$H195),"")</f>
        <v>27</v>
      </c>
      <c r="Z195" s="36">
        <f>IFERROR(IF(Y195=0,"",ROUNDUP(Y195/H195,0)*0.00902),"")</f>
        <v>4.5100000000000001E-2</v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26.914814814814815</v>
      </c>
      <c r="BN195" s="64">
        <f t="shared" ref="BN195:BN202" si="12">IFERROR(Y195*I195/H195,"0")</f>
        <v>27.95</v>
      </c>
      <c r="BO195" s="64">
        <f t="shared" ref="BO195:BO202" si="13">IFERROR(1/J195*(X195/H195),"0")</f>
        <v>3.6475869809203143E-2</v>
      </c>
      <c r="BP195" s="64">
        <f t="shared" ref="BP195:BP202" si="14">IFERROR(1/J195*(Y195/H195),"0")</f>
        <v>3.787878787878788E-2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109</v>
      </c>
      <c r="M196" s="33" t="s">
        <v>67</v>
      </c>
      <c r="N196" s="33"/>
      <c r="O196" s="32">
        <v>40</v>
      </c>
      <c r="P196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68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 t="s">
        <v>109</v>
      </c>
      <c r="M197" s="33" t="s">
        <v>67</v>
      </c>
      <c r="N197" s="33"/>
      <c r="O197" s="32">
        <v>40</v>
      </c>
      <c r="P197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105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109</v>
      </c>
      <c r="M198" s="33" t="s">
        <v>67</v>
      </c>
      <c r="N198" s="33"/>
      <c r="O198" s="32">
        <v>40</v>
      </c>
      <c r="P198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68</v>
      </c>
      <c r="X198" s="539">
        <v>70</v>
      </c>
      <c r="Y198" s="540">
        <f t="shared" si="10"/>
        <v>70.2</v>
      </c>
      <c r="Z198" s="36">
        <f>IFERROR(IF(Y198=0,"",ROUNDUP(Y198/H198,0)*0.00902),"")</f>
        <v>0.11726</v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72.462962962962962</v>
      </c>
      <c r="BN198" s="64">
        <f t="shared" si="12"/>
        <v>72.67</v>
      </c>
      <c r="BO198" s="64">
        <f t="shared" si="13"/>
        <v>9.8204264870931535E-2</v>
      </c>
      <c r="BP198" s="64">
        <f t="shared" si="14"/>
        <v>9.8484848484848481E-2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 t="s">
        <v>266</v>
      </c>
      <c r="M199" s="33" t="s">
        <v>67</v>
      </c>
      <c r="N199" s="33"/>
      <c r="O199" s="32">
        <v>40</v>
      </c>
      <c r="P199" s="8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68</v>
      </c>
      <c r="X199" s="539">
        <v>42</v>
      </c>
      <c r="Y199" s="540">
        <f t="shared" si="10"/>
        <v>43.2</v>
      </c>
      <c r="Z199" s="36">
        <f>IFERROR(IF(Y199=0,"",ROUNDUP(Y199/H199,0)*0.00502),"")</f>
        <v>0.12048</v>
      </c>
      <c r="AA199" s="56"/>
      <c r="AB199" s="57"/>
      <c r="AC199" s="235" t="s">
        <v>309</v>
      </c>
      <c r="AG199" s="64"/>
      <c r="AJ199" s="68" t="s">
        <v>105</v>
      </c>
      <c r="AK199" s="68">
        <v>32.4</v>
      </c>
      <c r="BB199" s="236" t="s">
        <v>1</v>
      </c>
      <c r="BM199" s="64">
        <f t="shared" si="11"/>
        <v>45.033333333333331</v>
      </c>
      <c r="BN199" s="64">
        <f t="shared" si="12"/>
        <v>46.32</v>
      </c>
      <c r="BO199" s="64">
        <f t="shared" si="13"/>
        <v>9.9715099715099717E-2</v>
      </c>
      <c r="BP199" s="64">
        <f t="shared" si="14"/>
        <v>0.10256410256410257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 t="s">
        <v>266</v>
      </c>
      <c r="M200" s="33" t="s">
        <v>67</v>
      </c>
      <c r="N200" s="33"/>
      <c r="O200" s="32">
        <v>40</v>
      </c>
      <c r="P200" s="8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68</v>
      </c>
      <c r="X200" s="539">
        <v>6</v>
      </c>
      <c r="Y200" s="540">
        <f t="shared" si="10"/>
        <v>7.2</v>
      </c>
      <c r="Z200" s="36">
        <f>IFERROR(IF(Y200=0,"",ROUNDUP(Y200/H200,0)*0.00502),"")</f>
        <v>2.0080000000000001E-2</v>
      </c>
      <c r="AA200" s="56"/>
      <c r="AB200" s="57"/>
      <c r="AC200" s="237" t="s">
        <v>312</v>
      </c>
      <c r="AG200" s="64"/>
      <c r="AJ200" s="68" t="s">
        <v>105</v>
      </c>
      <c r="AK200" s="68">
        <v>32.4</v>
      </c>
      <c r="BB200" s="238" t="s">
        <v>1</v>
      </c>
      <c r="BM200" s="64">
        <f t="shared" si="11"/>
        <v>6.3333333333333321</v>
      </c>
      <c r="BN200" s="64">
        <f t="shared" si="12"/>
        <v>7.6</v>
      </c>
      <c r="BO200" s="64">
        <f t="shared" si="13"/>
        <v>1.4245014245014245E-2</v>
      </c>
      <c r="BP200" s="64">
        <f t="shared" si="14"/>
        <v>1.7094017094017096E-2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 t="s">
        <v>266</v>
      </c>
      <c r="M202" s="33" t="s">
        <v>67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68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105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7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8"/>
      <c r="P203" s="557" t="s">
        <v>70</v>
      </c>
      <c r="Q203" s="558"/>
      <c r="R203" s="558"/>
      <c r="S203" s="558"/>
      <c r="T203" s="558"/>
      <c r="U203" s="558"/>
      <c r="V203" s="559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44.44444444444445</v>
      </c>
      <c r="Y203" s="541">
        <f>IFERROR(Y195/H195,"0")+IFERROR(Y196/H196,"0")+IFERROR(Y197/H197,"0")+IFERROR(Y198/H198,"0")+IFERROR(Y199/H199,"0")+IFERROR(Y200/H200,"0")+IFERROR(Y201/H201,"0")+IFERROR(Y202/H202,"0")</f>
        <v>46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0.30291999999999997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8"/>
      <c r="P204" s="557" t="s">
        <v>70</v>
      </c>
      <c r="Q204" s="558"/>
      <c r="R204" s="558"/>
      <c r="S204" s="558"/>
      <c r="T204" s="558"/>
      <c r="U204" s="558"/>
      <c r="V204" s="559"/>
      <c r="W204" s="37" t="s">
        <v>68</v>
      </c>
      <c r="X204" s="541">
        <f>IFERROR(SUM(X195:X202),"0")</f>
        <v>144</v>
      </c>
      <c r="Y204" s="541">
        <f>IFERROR(SUM(Y195:Y202),"0")</f>
        <v>147.6</v>
      </c>
      <c r="Z204" s="37"/>
      <c r="AA204" s="542"/>
      <c r="AB204" s="542"/>
      <c r="AC204" s="542"/>
    </row>
    <row r="205" spans="1:68" ht="14.25" customHeight="1" x14ac:dyDescent="0.25">
      <c r="A205" s="554" t="s">
        <v>72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 t="s">
        <v>102</v>
      </c>
      <c r="M206" s="33" t="s">
        <v>76</v>
      </c>
      <c r="N206" s="33"/>
      <c r="O206" s="32">
        <v>40</v>
      </c>
      <c r="P206" s="72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68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105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 t="s">
        <v>102</v>
      </c>
      <c r="M207" s="33" t="s">
        <v>76</v>
      </c>
      <c r="N207" s="33"/>
      <c r="O207" s="32">
        <v>40</v>
      </c>
      <c r="P207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68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105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 t="s">
        <v>102</v>
      </c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68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105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185</v>
      </c>
      <c r="M209" s="33" t="s">
        <v>76</v>
      </c>
      <c r="N209" s="33"/>
      <c r="O209" s="32">
        <v>40</v>
      </c>
      <c r="P209" s="5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68</v>
      </c>
      <c r="X209" s="539">
        <v>135</v>
      </c>
      <c r="Y209" s="540">
        <f t="shared" si="15"/>
        <v>136.79999999999998</v>
      </c>
      <c r="Z209" s="36">
        <f t="shared" ref="Z209:Z214" si="20">IFERROR(IF(Y209=0,"",ROUNDUP(Y209/H209,0)*0.00651),"")</f>
        <v>0.37107000000000001</v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150.1875</v>
      </c>
      <c r="BN209" s="64">
        <f t="shared" si="17"/>
        <v>152.19</v>
      </c>
      <c r="BO209" s="64">
        <f t="shared" si="18"/>
        <v>0.30906593406593408</v>
      </c>
      <c r="BP209" s="64">
        <f t="shared" si="19"/>
        <v>0.31318681318681318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185</v>
      </c>
      <c r="M211" s="33" t="s">
        <v>76</v>
      </c>
      <c r="N211" s="33"/>
      <c r="O211" s="32">
        <v>45</v>
      </c>
      <c r="P211" s="71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68</v>
      </c>
      <c r="X211" s="539">
        <v>149</v>
      </c>
      <c r="Y211" s="540">
        <f t="shared" si="15"/>
        <v>151.19999999999999</v>
      </c>
      <c r="Z211" s="36">
        <f t="shared" si="20"/>
        <v>0.41012999999999999</v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164.64500000000001</v>
      </c>
      <c r="BN211" s="64">
        <f t="shared" si="17"/>
        <v>167.07599999999999</v>
      </c>
      <c r="BO211" s="64">
        <f t="shared" si="18"/>
        <v>0.34111721611721618</v>
      </c>
      <c r="BP211" s="64">
        <f t="shared" si="19"/>
        <v>0.3461538461538462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185</v>
      </c>
      <c r="M212" s="33" t="s">
        <v>76</v>
      </c>
      <c r="N212" s="33"/>
      <c r="O212" s="32">
        <v>45</v>
      </c>
      <c r="P212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68</v>
      </c>
      <c r="X212" s="539">
        <v>149</v>
      </c>
      <c r="Y212" s="540">
        <f t="shared" si="15"/>
        <v>151.19999999999999</v>
      </c>
      <c r="Z212" s="36">
        <f t="shared" si="20"/>
        <v>0.41012999999999999</v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164.64500000000001</v>
      </c>
      <c r="BN212" s="64">
        <f t="shared" si="17"/>
        <v>167.07599999999999</v>
      </c>
      <c r="BO212" s="64">
        <f t="shared" si="18"/>
        <v>0.34111721611721618</v>
      </c>
      <c r="BP212" s="64">
        <f t="shared" si="19"/>
        <v>0.3461538461538462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185</v>
      </c>
      <c r="M213" s="33" t="s">
        <v>83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68</v>
      </c>
      <c r="X213" s="539">
        <v>49</v>
      </c>
      <c r="Y213" s="540">
        <f t="shared" si="15"/>
        <v>50.4</v>
      </c>
      <c r="Z213" s="36">
        <f t="shared" si="20"/>
        <v>0.13671</v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54.145000000000003</v>
      </c>
      <c r="BN213" s="64">
        <f t="shared" si="17"/>
        <v>55.692</v>
      </c>
      <c r="BO213" s="64">
        <f t="shared" si="18"/>
        <v>0.1121794871794872</v>
      </c>
      <c r="BP213" s="64">
        <f t="shared" si="19"/>
        <v>0.11538461538461539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185</v>
      </c>
      <c r="M214" s="33" t="s">
        <v>76</v>
      </c>
      <c r="N214" s="33"/>
      <c r="O214" s="32">
        <v>40</v>
      </c>
      <c r="P214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68</v>
      </c>
      <c r="X214" s="539">
        <v>68</v>
      </c>
      <c r="Y214" s="540">
        <f t="shared" si="15"/>
        <v>69.599999999999994</v>
      </c>
      <c r="Z214" s="36">
        <f t="shared" si="20"/>
        <v>0.18879000000000001</v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75.31</v>
      </c>
      <c r="BN214" s="64">
        <f t="shared" si="17"/>
        <v>77.081999999999994</v>
      </c>
      <c r="BO214" s="64">
        <f t="shared" si="18"/>
        <v>0.15567765567765571</v>
      </c>
      <c r="BP214" s="64">
        <f t="shared" si="19"/>
        <v>0.15934065934065936</v>
      </c>
    </row>
    <row r="215" spans="1:68" x14ac:dyDescent="0.2">
      <c r="A215" s="567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8"/>
      <c r="P215" s="557" t="s">
        <v>70</v>
      </c>
      <c r="Q215" s="558"/>
      <c r="R215" s="558"/>
      <c r="S215" s="558"/>
      <c r="T215" s="558"/>
      <c r="U215" s="558"/>
      <c r="V215" s="559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229.16666666666669</v>
      </c>
      <c r="Y215" s="541">
        <f>IFERROR(Y206/H206,"0")+IFERROR(Y207/H207,"0")+IFERROR(Y208/H208,"0")+IFERROR(Y209/H209,"0")+IFERROR(Y210/H210,"0")+IFERROR(Y211/H211,"0")+IFERROR(Y212/H212,"0")+IFERROR(Y213/H213,"0")+IFERROR(Y214/H214,"0")</f>
        <v>233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1.5168300000000001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8"/>
      <c r="P216" s="557" t="s">
        <v>70</v>
      </c>
      <c r="Q216" s="558"/>
      <c r="R216" s="558"/>
      <c r="S216" s="558"/>
      <c r="T216" s="558"/>
      <c r="U216" s="558"/>
      <c r="V216" s="559"/>
      <c r="W216" s="37" t="s">
        <v>68</v>
      </c>
      <c r="X216" s="541">
        <f>IFERROR(SUM(X206:X214),"0")</f>
        <v>550</v>
      </c>
      <c r="Y216" s="541">
        <f>IFERROR(SUM(Y206:Y214),"0")</f>
        <v>559.19999999999993</v>
      </c>
      <c r="Z216" s="37"/>
      <c r="AA216" s="542"/>
      <c r="AB216" s="542"/>
      <c r="AC216" s="542"/>
    </row>
    <row r="217" spans="1:68" ht="14.25" customHeight="1" x14ac:dyDescent="0.25">
      <c r="A217" s="554" t="s">
        <v>162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 t="s">
        <v>185</v>
      </c>
      <c r="M218" s="33" t="s">
        <v>83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68</v>
      </c>
      <c r="X218" s="539">
        <v>81</v>
      </c>
      <c r="Y218" s="540">
        <f>IFERROR(IF(X218="",0,CEILING((X218/$H218),1)*$H218),"")</f>
        <v>81.599999999999994</v>
      </c>
      <c r="Z218" s="36">
        <f>IFERROR(IF(Y218=0,"",ROUNDUP(Y218/H218,0)*0.00651),"")</f>
        <v>0.22134000000000001</v>
      </c>
      <c r="AA218" s="56"/>
      <c r="AB218" s="57"/>
      <c r="AC218" s="261" t="s">
        <v>351</v>
      </c>
      <c r="AG218" s="64"/>
      <c r="AJ218" s="68" t="s">
        <v>105</v>
      </c>
      <c r="AK218" s="68">
        <v>33.6</v>
      </c>
      <c r="BB218" s="262" t="s">
        <v>1</v>
      </c>
      <c r="BM218" s="64">
        <f>IFERROR(X218*I218/H218,"0")</f>
        <v>89.50500000000001</v>
      </c>
      <c r="BN218" s="64">
        <f>IFERROR(Y218*I218/H218,"0")</f>
        <v>90.168000000000006</v>
      </c>
      <c r="BO218" s="64">
        <f>IFERROR(1/J218*(X218/H218),"0")</f>
        <v>0.18543956043956045</v>
      </c>
      <c r="BP218" s="64">
        <f>IFERROR(1/J218*(Y218/H218),"0")</f>
        <v>0.18681318681318682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 t="s">
        <v>185</v>
      </c>
      <c r="M219" s="33" t="s">
        <v>76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68</v>
      </c>
      <c r="X219" s="539">
        <v>19</v>
      </c>
      <c r="Y219" s="540">
        <f>IFERROR(IF(X219="",0,CEILING((X219/$H219),1)*$H219),"")</f>
        <v>19.2</v>
      </c>
      <c r="Z219" s="36">
        <f>IFERROR(IF(Y219=0,"",ROUNDUP(Y219/H219,0)*0.00651),"")</f>
        <v>5.2080000000000001E-2</v>
      </c>
      <c r="AA219" s="56"/>
      <c r="AB219" s="57"/>
      <c r="AC219" s="263" t="s">
        <v>354</v>
      </c>
      <c r="AG219" s="64"/>
      <c r="AJ219" s="68" t="s">
        <v>105</v>
      </c>
      <c r="AK219" s="68">
        <v>33.6</v>
      </c>
      <c r="BB219" s="264" t="s">
        <v>1</v>
      </c>
      <c r="BM219" s="64">
        <f>IFERROR(X219*I219/H219,"0")</f>
        <v>20.995000000000005</v>
      </c>
      <c r="BN219" s="64">
        <f>IFERROR(Y219*I219/H219,"0")</f>
        <v>21.216000000000001</v>
      </c>
      <c r="BO219" s="64">
        <f>IFERROR(1/J219*(X219/H219),"0")</f>
        <v>4.3498168498168503E-2</v>
      </c>
      <c r="BP219" s="64">
        <f>IFERROR(1/J219*(Y219/H219),"0")</f>
        <v>4.3956043956043959E-2</v>
      </c>
    </row>
    <row r="220" spans="1:68" x14ac:dyDescent="0.2">
      <c r="A220" s="567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8"/>
      <c r="P220" s="557" t="s">
        <v>70</v>
      </c>
      <c r="Q220" s="558"/>
      <c r="R220" s="558"/>
      <c r="S220" s="558"/>
      <c r="T220" s="558"/>
      <c r="U220" s="558"/>
      <c r="V220" s="559"/>
      <c r="W220" s="37" t="s">
        <v>71</v>
      </c>
      <c r="X220" s="541">
        <f>IFERROR(X218/H218,"0")+IFERROR(X219/H219,"0")</f>
        <v>41.666666666666664</v>
      </c>
      <c r="Y220" s="541">
        <f>IFERROR(Y218/H218,"0")+IFERROR(Y219/H219,"0")</f>
        <v>42</v>
      </c>
      <c r="Z220" s="541">
        <f>IFERROR(IF(Z218="",0,Z218),"0")+IFERROR(IF(Z219="",0,Z219),"0")</f>
        <v>0.27342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8"/>
      <c r="P221" s="557" t="s">
        <v>70</v>
      </c>
      <c r="Q221" s="558"/>
      <c r="R221" s="558"/>
      <c r="S221" s="558"/>
      <c r="T221" s="558"/>
      <c r="U221" s="558"/>
      <c r="V221" s="559"/>
      <c r="W221" s="37" t="s">
        <v>68</v>
      </c>
      <c r="X221" s="541">
        <f>IFERROR(SUM(X218:X219),"0")</f>
        <v>100</v>
      </c>
      <c r="Y221" s="541">
        <f>IFERROR(SUM(Y218:Y219),"0")</f>
        <v>100.8</v>
      </c>
      <c r="Z221" s="37"/>
      <c r="AA221" s="542"/>
      <c r="AB221" s="542"/>
      <c r="AC221" s="542"/>
    </row>
    <row r="222" spans="1:68" ht="16.5" customHeight="1" x14ac:dyDescent="0.25">
      <c r="A222" s="552" t="s">
        <v>355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98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 t="s">
        <v>102</v>
      </c>
      <c r="M224" s="33" t="s">
        <v>103</v>
      </c>
      <c r="N224" s="33"/>
      <c r="O224" s="32">
        <v>55</v>
      </c>
      <c r="P224" s="71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68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105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68</v>
      </c>
      <c r="X227" s="539">
        <v>27</v>
      </c>
      <c r="Y227" s="540">
        <f t="shared" si="21"/>
        <v>28</v>
      </c>
      <c r="Z227" s="36">
        <f>IFERROR(IF(Y227=0,"",ROUNDUP(Y227/H227,0)*0.00902),"")</f>
        <v>6.3140000000000002E-2</v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28.282500000000002</v>
      </c>
      <c r="BN227" s="64">
        <f t="shared" si="23"/>
        <v>29.330000000000002</v>
      </c>
      <c r="BO227" s="64">
        <f t="shared" si="24"/>
        <v>5.113636363636364E-2</v>
      </c>
      <c r="BP227" s="64">
        <f t="shared" si="25"/>
        <v>5.3030303030303032E-2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4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/>
      <c r="M232" s="33" t="s">
        <v>103</v>
      </c>
      <c r="N232" s="33"/>
      <c r="O232" s="32">
        <v>55</v>
      </c>
      <c r="P232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7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8"/>
      <c r="P234" s="557" t="s">
        <v>70</v>
      </c>
      <c r="Q234" s="558"/>
      <c r="R234" s="558"/>
      <c r="S234" s="558"/>
      <c r="T234" s="558"/>
      <c r="U234" s="558"/>
      <c r="V234" s="559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6.75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7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6.3140000000000002E-2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8"/>
      <c r="P235" s="557" t="s">
        <v>70</v>
      </c>
      <c r="Q235" s="558"/>
      <c r="R235" s="558"/>
      <c r="S235" s="558"/>
      <c r="T235" s="558"/>
      <c r="U235" s="558"/>
      <c r="V235" s="559"/>
      <c r="W235" s="37" t="s">
        <v>68</v>
      </c>
      <c r="X235" s="541">
        <f>IFERROR(SUM(X224:X233),"0")</f>
        <v>27</v>
      </c>
      <c r="Y235" s="541">
        <f>IFERROR(SUM(Y224:Y233),"0")</f>
        <v>28</v>
      </c>
      <c r="Z235" s="37"/>
      <c r="AA235" s="542"/>
      <c r="AB235" s="542"/>
      <c r="AC235" s="542"/>
    </row>
    <row r="236" spans="1:68" ht="14.25" customHeight="1" x14ac:dyDescent="0.25">
      <c r="A236" s="554" t="s">
        <v>134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7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8"/>
      <c r="P238" s="557" t="s">
        <v>70</v>
      </c>
      <c r="Q238" s="558"/>
      <c r="R238" s="558"/>
      <c r="S238" s="558"/>
      <c r="T238" s="558"/>
      <c r="U238" s="558"/>
      <c r="V238" s="559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8"/>
      <c r="P239" s="557" t="s">
        <v>70</v>
      </c>
      <c r="Q239" s="558"/>
      <c r="R239" s="558"/>
      <c r="S239" s="558"/>
      <c r="T239" s="558"/>
      <c r="U239" s="558"/>
      <c r="V239" s="559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381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68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7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8"/>
      <c r="P242" s="557" t="s">
        <v>70</v>
      </c>
      <c r="Q242" s="558"/>
      <c r="R242" s="558"/>
      <c r="S242" s="558"/>
      <c r="T242" s="558"/>
      <c r="U242" s="558"/>
      <c r="V242" s="559"/>
      <c r="W242" s="37" t="s">
        <v>71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8"/>
      <c r="P243" s="557" t="s">
        <v>70</v>
      </c>
      <c r="Q243" s="558"/>
      <c r="R243" s="558"/>
      <c r="S243" s="558"/>
      <c r="T243" s="558"/>
      <c r="U243" s="558"/>
      <c r="V243" s="559"/>
      <c r="W243" s="37" t="s">
        <v>68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385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68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68</v>
      </c>
      <c r="X248" s="539">
        <v>1</v>
      </c>
      <c r="Y248" s="540">
        <f>IFERROR(IF(X248="",0,CEILING((X248/$H248),1)*$H248),"")</f>
        <v>1.98</v>
      </c>
      <c r="Z248" s="36">
        <f>IFERROR(IF(Y248=0,"",ROUNDUP(Y248/H248,0)*0.0059),"")</f>
        <v>1.18E-2</v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1.1919191919191918</v>
      </c>
      <c r="BN248" s="64">
        <f>IFERROR(Y248*I248/H248,"0")</f>
        <v>2.36</v>
      </c>
      <c r="BO248" s="64">
        <f>IFERROR(1/J248*(X248/H248),"0")</f>
        <v>4.6763935652824546E-3</v>
      </c>
      <c r="BP248" s="64">
        <f>IFERROR(1/J248*(Y248/H248),"0")</f>
        <v>9.2592592592592587E-3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7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8"/>
      <c r="P250" s="557" t="s">
        <v>70</v>
      </c>
      <c r="Q250" s="558"/>
      <c r="R250" s="558"/>
      <c r="S250" s="558"/>
      <c r="T250" s="558"/>
      <c r="U250" s="558"/>
      <c r="V250" s="559"/>
      <c r="W250" s="37" t="s">
        <v>71</v>
      </c>
      <c r="X250" s="541">
        <f>IFERROR(X245/H245,"0")+IFERROR(X246/H246,"0")+IFERROR(X247/H247,"0")+IFERROR(X248/H248,"0")+IFERROR(X249/H249,"0")</f>
        <v>1.0101010101010102</v>
      </c>
      <c r="Y250" s="541">
        <f>IFERROR(Y245/H245,"0")+IFERROR(Y246/H246,"0")+IFERROR(Y247/H247,"0")+IFERROR(Y248/H248,"0")+IFERROR(Y249/H249,"0")</f>
        <v>2</v>
      </c>
      <c r="Z250" s="541">
        <f>IFERROR(IF(Z245="",0,Z245),"0")+IFERROR(IF(Z246="",0,Z246),"0")+IFERROR(IF(Z247="",0,Z247),"0")+IFERROR(IF(Z248="",0,Z248),"0")+IFERROR(IF(Z249="",0,Z249),"0")</f>
        <v>1.18E-2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8"/>
      <c r="P251" s="557" t="s">
        <v>70</v>
      </c>
      <c r="Q251" s="558"/>
      <c r="R251" s="558"/>
      <c r="S251" s="558"/>
      <c r="T251" s="558"/>
      <c r="U251" s="558"/>
      <c r="V251" s="559"/>
      <c r="W251" s="37" t="s">
        <v>68</v>
      </c>
      <c r="X251" s="541">
        <f>IFERROR(SUM(X245:X249),"0")</f>
        <v>1</v>
      </c>
      <c r="Y251" s="541">
        <f>IFERROR(SUM(Y245:Y249),"0")</f>
        <v>1.98</v>
      </c>
      <c r="Z251" s="37"/>
      <c r="AA251" s="542"/>
      <c r="AB251" s="542"/>
      <c r="AC251" s="542"/>
    </row>
    <row r="252" spans="1:68" ht="16.5" customHeight="1" x14ac:dyDescent="0.25">
      <c r="A252" s="552" t="s">
        <v>397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98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 t="s">
        <v>102</v>
      </c>
      <c r="M254" s="33" t="s">
        <v>103</v>
      </c>
      <c r="N254" s="33"/>
      <c r="O254" s="32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105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/>
      <c r="M256" s="33" t="s">
        <v>103</v>
      </c>
      <c r="N256" s="33"/>
      <c r="O256" s="32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7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8"/>
      <c r="P259" s="557" t="s">
        <v>70</v>
      </c>
      <c r="Q259" s="558"/>
      <c r="R259" s="558"/>
      <c r="S259" s="558"/>
      <c r="T259" s="558"/>
      <c r="U259" s="558"/>
      <c r="V259" s="559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8"/>
      <c r="P260" s="557" t="s">
        <v>70</v>
      </c>
      <c r="Q260" s="558"/>
      <c r="R260" s="558"/>
      <c r="S260" s="558"/>
      <c r="T260" s="558"/>
      <c r="U260" s="558"/>
      <c r="V260" s="559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413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98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4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7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8"/>
      <c r="P267" s="557" t="s">
        <v>70</v>
      </c>
      <c r="Q267" s="558"/>
      <c r="R267" s="558"/>
      <c r="S267" s="558"/>
      <c r="T267" s="558"/>
      <c r="U267" s="558"/>
      <c r="V267" s="559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8"/>
      <c r="P268" s="557" t="s">
        <v>70</v>
      </c>
      <c r="Q268" s="558"/>
      <c r="R268" s="558"/>
      <c r="S268" s="558"/>
      <c r="T268" s="558"/>
      <c r="U268" s="558"/>
      <c r="V268" s="559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424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72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185</v>
      </c>
      <c r="M272" s="33" t="s">
        <v>83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68</v>
      </c>
      <c r="X272" s="539">
        <v>2</v>
      </c>
      <c r="Y272" s="540">
        <f>IFERROR(IF(X272="",0,CEILING((X272/$H272),1)*$H272),"")</f>
        <v>2.4</v>
      </c>
      <c r="Z272" s="36">
        <f>IFERROR(IF(Y272=0,"",ROUNDUP(Y272/H272,0)*0.00651),"")</f>
        <v>6.5100000000000002E-3</v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2.2100000000000004</v>
      </c>
      <c r="BN272" s="64">
        <f>IFERROR(Y272*I272/H272,"0")</f>
        <v>2.6520000000000001</v>
      </c>
      <c r="BO272" s="64">
        <f>IFERROR(1/J272*(X272/H272),"0")</f>
        <v>4.578754578754579E-3</v>
      </c>
      <c r="BP272" s="64">
        <f>IFERROR(1/J272*(Y272/H272),"0")</f>
        <v>5.4945054945054949E-3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185</v>
      </c>
      <c r="M273" s="33" t="s">
        <v>76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68</v>
      </c>
      <c r="X273" s="539">
        <v>70</v>
      </c>
      <c r="Y273" s="540">
        <f>IFERROR(IF(X273="",0,CEILING((X273/$H273),1)*$H273),"")</f>
        <v>72</v>
      </c>
      <c r="Z273" s="36">
        <f>IFERROR(IF(Y273=0,"",ROUNDUP(Y273/H273,0)*0.00651),"")</f>
        <v>0.1953</v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75.25</v>
      </c>
      <c r="BN273" s="64">
        <f>IFERROR(Y273*I273/H273,"0")</f>
        <v>77.400000000000006</v>
      </c>
      <c r="BO273" s="64">
        <f>IFERROR(1/J273*(X273/H273),"0")</f>
        <v>0.16025641025641027</v>
      </c>
      <c r="BP273" s="64">
        <f>IFERROR(1/J273*(Y273/H273),"0")</f>
        <v>0.16483516483516486</v>
      </c>
    </row>
    <row r="274" spans="1:68" x14ac:dyDescent="0.2">
      <c r="A274" s="567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8"/>
      <c r="P274" s="557" t="s">
        <v>70</v>
      </c>
      <c r="Q274" s="558"/>
      <c r="R274" s="558"/>
      <c r="S274" s="558"/>
      <c r="T274" s="558"/>
      <c r="U274" s="558"/>
      <c r="V274" s="559"/>
      <c r="W274" s="37" t="s">
        <v>71</v>
      </c>
      <c r="X274" s="541">
        <f>IFERROR(X271/H271,"0")+IFERROR(X272/H272,"0")+IFERROR(X273/H273,"0")</f>
        <v>30</v>
      </c>
      <c r="Y274" s="541">
        <f>IFERROR(Y271/H271,"0")+IFERROR(Y272/H272,"0")+IFERROR(Y273/H273,"0")</f>
        <v>31</v>
      </c>
      <c r="Z274" s="541">
        <f>IFERROR(IF(Z271="",0,Z271),"0")+IFERROR(IF(Z272="",0,Z272),"0")+IFERROR(IF(Z273="",0,Z273),"0")</f>
        <v>0.20180999999999999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8"/>
      <c r="P275" s="557" t="s">
        <v>70</v>
      </c>
      <c r="Q275" s="558"/>
      <c r="R275" s="558"/>
      <c r="S275" s="558"/>
      <c r="T275" s="558"/>
      <c r="U275" s="558"/>
      <c r="V275" s="559"/>
      <c r="W275" s="37" t="s">
        <v>68</v>
      </c>
      <c r="X275" s="541">
        <f>IFERROR(SUM(X271:X273),"0")</f>
        <v>72</v>
      </c>
      <c r="Y275" s="541">
        <f>IFERROR(SUM(Y271:Y273),"0")</f>
        <v>74.400000000000006</v>
      </c>
      <c r="Z275" s="37"/>
      <c r="AA275" s="542"/>
      <c r="AB275" s="542"/>
      <c r="AC275" s="542"/>
    </row>
    <row r="276" spans="1:68" ht="16.5" customHeight="1" x14ac:dyDescent="0.25">
      <c r="A276" s="552" t="s">
        <v>433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63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4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7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8"/>
      <c r="P280" s="557" t="s">
        <v>70</v>
      </c>
      <c r="Q280" s="558"/>
      <c r="R280" s="558"/>
      <c r="S280" s="558"/>
      <c r="T280" s="558"/>
      <c r="U280" s="558"/>
      <c r="V280" s="559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8"/>
      <c r="P281" s="557" t="s">
        <v>70</v>
      </c>
      <c r="Q281" s="558"/>
      <c r="R281" s="558"/>
      <c r="S281" s="558"/>
      <c r="T281" s="558"/>
      <c r="U281" s="558"/>
      <c r="V281" s="559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72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6">
        <v>4680115887114</v>
      </c>
      <c r="E284" s="547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33" t="s">
        <v>445</v>
      </c>
      <c r="Q284" s="544"/>
      <c r="R284" s="544"/>
      <c r="S284" s="544"/>
      <c r="T284" s="545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8"/>
      <c r="P285" s="557" t="s">
        <v>70</v>
      </c>
      <c r="Q285" s="558"/>
      <c r="R285" s="558"/>
      <c r="S285" s="558"/>
      <c r="T285" s="558"/>
      <c r="U285" s="558"/>
      <c r="V285" s="559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x14ac:dyDescent="0.2">
      <c r="A286" s="553"/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68"/>
      <c r="P286" s="557" t="s">
        <v>70</v>
      </c>
      <c r="Q286" s="558"/>
      <c r="R286" s="558"/>
      <c r="S286" s="558"/>
      <c r="T286" s="558"/>
      <c r="U286" s="558"/>
      <c r="V286" s="559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customHeight="1" x14ac:dyDescent="0.25">
      <c r="A287" s="552" t="s">
        <v>447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4"/>
      <c r="AB287" s="534"/>
      <c r="AC287" s="534"/>
    </row>
    <row r="288" spans="1:68" ht="14.25" customHeight="1" x14ac:dyDescent="0.25">
      <c r="A288" s="554" t="s">
        <v>98</v>
      </c>
      <c r="B288" s="553"/>
      <c r="C288" s="553"/>
      <c r="D288" s="553"/>
      <c r="E288" s="553"/>
      <c r="F288" s="553"/>
      <c r="G288" s="553"/>
      <c r="H288" s="553"/>
      <c r="I288" s="553"/>
      <c r="J288" s="553"/>
      <c r="K288" s="553"/>
      <c r="L288" s="553"/>
      <c r="M288" s="553"/>
      <c r="N288" s="553"/>
      <c r="O288" s="553"/>
      <c r="P288" s="553"/>
      <c r="Q288" s="553"/>
      <c r="R288" s="553"/>
      <c r="S288" s="553"/>
      <c r="T288" s="553"/>
      <c r="U288" s="553"/>
      <c r="V288" s="553"/>
      <c r="W288" s="553"/>
      <c r="X288" s="553"/>
      <c r="Y288" s="553"/>
      <c r="Z288" s="553"/>
      <c r="AA288" s="535"/>
      <c r="AB288" s="535"/>
      <c r="AC288" s="535"/>
    </row>
    <row r="289" spans="1:68" ht="27" customHeight="1" x14ac:dyDescent="0.25">
      <c r="A289" s="54" t="s">
        <v>448</v>
      </c>
      <c r="B289" s="54" t="s">
        <v>449</v>
      </c>
      <c r="C289" s="31">
        <v>4301012024</v>
      </c>
      <c r="D289" s="546">
        <v>4680115885615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451</v>
      </c>
      <c r="B290" s="54" t="s">
        <v>452</v>
      </c>
      <c r="C290" s="31">
        <v>4301011858</v>
      </c>
      <c r="D290" s="546">
        <v>4680115885646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454</v>
      </c>
      <c r="B291" s="54" t="s">
        <v>455</v>
      </c>
      <c r="C291" s="31">
        <v>4301012016</v>
      </c>
      <c r="D291" s="546">
        <v>4680115885554</v>
      </c>
      <c r="E291" s="547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4"/>
      <c r="R291" s="544"/>
      <c r="S291" s="544"/>
      <c r="T291" s="545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4301011857</v>
      </c>
      <c r="D292" s="546">
        <v>4680115885622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4301011859</v>
      </c>
      <c r="D293" s="546">
        <v>4680115885608</v>
      </c>
      <c r="E293" s="547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4"/>
      <c r="R293" s="544"/>
      <c r="S293" s="544"/>
      <c r="T293" s="545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7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8"/>
      <c r="P294" s="557" t="s">
        <v>70</v>
      </c>
      <c r="Q294" s="558"/>
      <c r="R294" s="558"/>
      <c r="S294" s="558"/>
      <c r="T294" s="558"/>
      <c r="U294" s="558"/>
      <c r="V294" s="559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x14ac:dyDescent="0.2">
      <c r="A295" s="553"/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68"/>
      <c r="P295" s="557" t="s">
        <v>70</v>
      </c>
      <c r="Q295" s="558"/>
      <c r="R295" s="558"/>
      <c r="S295" s="558"/>
      <c r="T295" s="558"/>
      <c r="U295" s="558"/>
      <c r="V295" s="559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customHeight="1" x14ac:dyDescent="0.25">
      <c r="A296" s="554" t="s">
        <v>63</v>
      </c>
      <c r="B296" s="553"/>
      <c r="C296" s="553"/>
      <c r="D296" s="553"/>
      <c r="E296" s="553"/>
      <c r="F296" s="553"/>
      <c r="G296" s="553"/>
      <c r="H296" s="553"/>
      <c r="I296" s="553"/>
      <c r="J296" s="553"/>
      <c r="K296" s="553"/>
      <c r="L296" s="553"/>
      <c r="M296" s="553"/>
      <c r="N296" s="553"/>
      <c r="O296" s="553"/>
      <c r="P296" s="553"/>
      <c r="Q296" s="553"/>
      <c r="R296" s="553"/>
      <c r="S296" s="553"/>
      <c r="T296" s="553"/>
      <c r="U296" s="553"/>
      <c r="V296" s="553"/>
      <c r="W296" s="553"/>
      <c r="X296" s="553"/>
      <c r="Y296" s="553"/>
      <c r="Z296" s="553"/>
      <c r="AA296" s="535"/>
      <c r="AB296" s="535"/>
      <c r="AC296" s="535"/>
    </row>
    <row r="297" spans="1:68" ht="27" customHeight="1" x14ac:dyDescent="0.25">
      <c r="A297" s="54" t="s">
        <v>462</v>
      </c>
      <c r="B297" s="54" t="s">
        <v>463</v>
      </c>
      <c r="C297" s="31">
        <v>4301030878</v>
      </c>
      <c r="D297" s="546">
        <v>4607091387193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465</v>
      </c>
      <c r="B298" s="54" t="s">
        <v>466</v>
      </c>
      <c r="C298" s="31">
        <v>4301031153</v>
      </c>
      <c r="D298" s="546">
        <v>4607091387230</v>
      </c>
      <c r="E298" s="547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 t="s">
        <v>109</v>
      </c>
      <c r="M298" s="33" t="s">
        <v>67</v>
      </c>
      <c r="N298" s="33"/>
      <c r="O298" s="32">
        <v>40</v>
      </c>
      <c r="P298" s="8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105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4301031154</v>
      </c>
      <c r="D299" s="546">
        <v>4607091387292</v>
      </c>
      <c r="E299" s="547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4"/>
      <c r="R299" s="544"/>
      <c r="S299" s="544"/>
      <c r="T299" s="545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4301031152</v>
      </c>
      <c r="D300" s="546">
        <v>4607091387285</v>
      </c>
      <c r="E300" s="547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4301031305</v>
      </c>
      <c r="D301" s="546">
        <v>4607091389845</v>
      </c>
      <c r="E301" s="547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 t="s">
        <v>266</v>
      </c>
      <c r="M301" s="33" t="s">
        <v>67</v>
      </c>
      <c r="N301" s="33"/>
      <c r="O301" s="32">
        <v>40</v>
      </c>
      <c r="P301" s="7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4"/>
      <c r="R301" s="544"/>
      <c r="S301" s="544"/>
      <c r="T301" s="545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 t="s">
        <v>105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4301031306</v>
      </c>
      <c r="D302" s="546">
        <v>4680115882881</v>
      </c>
      <c r="E302" s="547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55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4"/>
      <c r="R302" s="544"/>
      <c r="S302" s="544"/>
      <c r="T302" s="545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6">
        <v>4607091383836</v>
      </c>
      <c r="E303" s="547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4"/>
      <c r="R303" s="544"/>
      <c r="S303" s="544"/>
      <c r="T303" s="545"/>
      <c r="U303" s="34"/>
      <c r="V303" s="34"/>
      <c r="W303" s="35" t="s">
        <v>68</v>
      </c>
      <c r="X303" s="539">
        <v>1</v>
      </c>
      <c r="Y303" s="540">
        <f t="shared" si="26"/>
        <v>1.8</v>
      </c>
      <c r="Z303" s="36">
        <f>IFERROR(IF(Y303=0,"",ROUNDUP(Y303/H303,0)*0.00651),"")</f>
        <v>6.5100000000000002E-3</v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1.1266666666666667</v>
      </c>
      <c r="BN303" s="64">
        <f t="shared" si="28"/>
        <v>2.028</v>
      </c>
      <c r="BO303" s="64">
        <f t="shared" si="29"/>
        <v>3.0525030525030529E-3</v>
      </c>
      <c r="BP303" s="64">
        <f t="shared" si="30"/>
        <v>5.4945054945054949E-3</v>
      </c>
    </row>
    <row r="304" spans="1:68" x14ac:dyDescent="0.2">
      <c r="A304" s="567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8"/>
      <c r="P304" s="557" t="s">
        <v>70</v>
      </c>
      <c r="Q304" s="558"/>
      <c r="R304" s="558"/>
      <c r="S304" s="558"/>
      <c r="T304" s="558"/>
      <c r="U304" s="558"/>
      <c r="V304" s="559"/>
      <c r="W304" s="37" t="s">
        <v>71</v>
      </c>
      <c r="X304" s="541">
        <f>IFERROR(X297/H297,"0")+IFERROR(X298/H298,"0")+IFERROR(X299/H299,"0")+IFERROR(X300/H300,"0")+IFERROR(X301/H301,"0")+IFERROR(X302/H302,"0")+IFERROR(X303/H303,"0")</f>
        <v>0.55555555555555558</v>
      </c>
      <c r="Y304" s="541">
        <f>IFERROR(Y297/H297,"0")+IFERROR(Y298/H298,"0")+IFERROR(Y299/H299,"0")+IFERROR(Y300/H300,"0")+IFERROR(Y301/H301,"0")+IFERROR(Y302/H302,"0")+IFERROR(Y303/H303,"0")</f>
        <v>1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6.5100000000000002E-3</v>
      </c>
      <c r="AA304" s="542"/>
      <c r="AB304" s="542"/>
      <c r="AC304" s="542"/>
    </row>
    <row r="305" spans="1:68" x14ac:dyDescent="0.2">
      <c r="A305" s="553"/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68"/>
      <c r="P305" s="557" t="s">
        <v>70</v>
      </c>
      <c r="Q305" s="558"/>
      <c r="R305" s="558"/>
      <c r="S305" s="558"/>
      <c r="T305" s="558"/>
      <c r="U305" s="558"/>
      <c r="V305" s="559"/>
      <c r="W305" s="37" t="s">
        <v>68</v>
      </c>
      <c r="X305" s="541">
        <f>IFERROR(SUM(X297:X303),"0")</f>
        <v>1</v>
      </c>
      <c r="Y305" s="541">
        <f>IFERROR(SUM(Y297:Y303),"0")</f>
        <v>1.8</v>
      </c>
      <c r="Z305" s="37"/>
      <c r="AA305" s="542"/>
      <c r="AB305" s="542"/>
      <c r="AC305" s="542"/>
    </row>
    <row r="306" spans="1:68" ht="14.25" customHeight="1" x14ac:dyDescent="0.25">
      <c r="A306" s="554" t="s">
        <v>72</v>
      </c>
      <c r="B306" s="553"/>
      <c r="C306" s="553"/>
      <c r="D306" s="553"/>
      <c r="E306" s="553"/>
      <c r="F306" s="553"/>
      <c r="G306" s="553"/>
      <c r="H306" s="553"/>
      <c r="I306" s="553"/>
      <c r="J306" s="553"/>
      <c r="K306" s="553"/>
      <c r="L306" s="553"/>
      <c r="M306" s="553"/>
      <c r="N306" s="553"/>
      <c r="O306" s="553"/>
      <c r="P306" s="553"/>
      <c r="Q306" s="553"/>
      <c r="R306" s="553"/>
      <c r="S306" s="553"/>
      <c r="T306" s="553"/>
      <c r="U306" s="553"/>
      <c r="V306" s="553"/>
      <c r="W306" s="553"/>
      <c r="X306" s="553"/>
      <c r="Y306" s="553"/>
      <c r="Z306" s="553"/>
      <c r="AA306" s="535"/>
      <c r="AB306" s="535"/>
      <c r="AC306" s="535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6">
        <v>4607091387766</v>
      </c>
      <c r="E307" s="547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 t="s">
        <v>102</v>
      </c>
      <c r="M307" s="33" t="s">
        <v>76</v>
      </c>
      <c r="N307" s="33"/>
      <c r="O307" s="32">
        <v>40</v>
      </c>
      <c r="P307" s="8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4"/>
      <c r="R307" s="544"/>
      <c r="S307" s="544"/>
      <c r="T307" s="545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105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6">
        <v>4607091387957</v>
      </c>
      <c r="E308" s="547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6">
        <v>4607091387964</v>
      </c>
      <c r="E309" s="547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1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4"/>
      <c r="R309" s="544"/>
      <c r="S309" s="544"/>
      <c r="T309" s="545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6">
        <v>4680115884588</v>
      </c>
      <c r="E310" s="547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4"/>
      <c r="R310" s="544"/>
      <c r="S310" s="544"/>
      <c r="T310" s="545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8"/>
      <c r="P311" s="557" t="s">
        <v>70</v>
      </c>
      <c r="Q311" s="558"/>
      <c r="R311" s="558"/>
      <c r="S311" s="558"/>
      <c r="T311" s="558"/>
      <c r="U311" s="558"/>
      <c r="V311" s="559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8"/>
      <c r="P312" s="557" t="s">
        <v>70</v>
      </c>
      <c r="Q312" s="558"/>
      <c r="R312" s="558"/>
      <c r="S312" s="558"/>
      <c r="T312" s="558"/>
      <c r="U312" s="558"/>
      <c r="V312" s="559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162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 t="s">
        <v>102</v>
      </c>
      <c r="M314" s="33" t="s">
        <v>76</v>
      </c>
      <c r="N314" s="33"/>
      <c r="O314" s="32">
        <v>30</v>
      </c>
      <c r="P314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68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 t="s">
        <v>105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68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 t="s">
        <v>102</v>
      </c>
      <c r="M316" s="33" t="s">
        <v>83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68</v>
      </c>
      <c r="X316" s="539">
        <v>8</v>
      </c>
      <c r="Y316" s="540">
        <f>IFERROR(IF(X316="",0,CEILING((X316/$H316),1)*$H316),"")</f>
        <v>8.4</v>
      </c>
      <c r="Z316" s="36">
        <f>IFERROR(IF(Y316=0,"",ROUNDUP(Y316/H316,0)*0.01898),"")</f>
        <v>1.898E-2</v>
      </c>
      <c r="AA316" s="56"/>
      <c r="AB316" s="57"/>
      <c r="AC316" s="367" t="s">
        <v>501</v>
      </c>
      <c r="AG316" s="64"/>
      <c r="AJ316" s="68" t="s">
        <v>105</v>
      </c>
      <c r="AK316" s="68">
        <v>67.2</v>
      </c>
      <c r="BB316" s="368" t="s">
        <v>1</v>
      </c>
      <c r="BM316" s="64">
        <f>IFERROR(X316*I316/H316,"0")</f>
        <v>8.4704761904761909</v>
      </c>
      <c r="BN316" s="64">
        <f>IFERROR(Y316*I316/H316,"0")</f>
        <v>8.8940000000000001</v>
      </c>
      <c r="BO316" s="64">
        <f>IFERROR(1/J316*(X316/H316),"0")</f>
        <v>1.488095238095238E-2</v>
      </c>
      <c r="BP316" s="64">
        <f>IFERROR(1/J316*(Y316/H316),"0")</f>
        <v>1.5625E-2</v>
      </c>
    </row>
    <row r="317" spans="1:68" x14ac:dyDescent="0.2">
      <c r="A317" s="567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8"/>
      <c r="P317" s="557" t="s">
        <v>70</v>
      </c>
      <c r="Q317" s="558"/>
      <c r="R317" s="558"/>
      <c r="S317" s="558"/>
      <c r="T317" s="558"/>
      <c r="U317" s="558"/>
      <c r="V317" s="559"/>
      <c r="W317" s="37" t="s">
        <v>71</v>
      </c>
      <c r="X317" s="541">
        <f>IFERROR(X314/H314,"0")+IFERROR(X315/H315,"0")+IFERROR(X316/H316,"0")</f>
        <v>0.95238095238095233</v>
      </c>
      <c r="Y317" s="541">
        <f>IFERROR(Y314/H314,"0")+IFERROR(Y315/H315,"0")+IFERROR(Y316/H316,"0")</f>
        <v>1</v>
      </c>
      <c r="Z317" s="541">
        <f>IFERROR(IF(Z314="",0,Z314),"0")+IFERROR(IF(Z315="",0,Z315),"0")+IFERROR(IF(Z316="",0,Z316),"0")</f>
        <v>1.898E-2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8"/>
      <c r="P318" s="557" t="s">
        <v>70</v>
      </c>
      <c r="Q318" s="558"/>
      <c r="R318" s="558"/>
      <c r="S318" s="558"/>
      <c r="T318" s="558"/>
      <c r="U318" s="558"/>
      <c r="V318" s="559"/>
      <c r="W318" s="37" t="s">
        <v>68</v>
      </c>
      <c r="X318" s="541">
        <f>IFERROR(SUM(X314:X316),"0")</f>
        <v>8</v>
      </c>
      <c r="Y318" s="541">
        <f>IFERROR(SUM(Y314:Y316),"0")</f>
        <v>8.4</v>
      </c>
      <c r="Z318" s="37"/>
      <c r="AA318" s="542"/>
      <c r="AB318" s="542"/>
      <c r="AC318" s="542"/>
    </row>
    <row r="319" spans="1:68" ht="14.25" customHeight="1" x14ac:dyDescent="0.25">
      <c r="A319" s="554" t="s">
        <v>90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68</v>
      </c>
      <c r="X320" s="539">
        <v>5</v>
      </c>
      <c r="Y320" s="540">
        <f>IFERROR(IF(X320="",0,CEILING((X320/$H320),1)*$H320),"")</f>
        <v>6.08</v>
      </c>
      <c r="Z320" s="36">
        <f>IFERROR(IF(Y320=0,"",ROUNDUP(Y320/H320,0)*0.00902),"")</f>
        <v>1.804E-2</v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5.4440789473684212</v>
      </c>
      <c r="BN320" s="64">
        <f>IFERROR(Y320*I320/H320,"0")</f>
        <v>6.62</v>
      </c>
      <c r="BO320" s="64">
        <f>IFERROR(1/J320*(X320/H320),"0")</f>
        <v>1.2460127591706539E-2</v>
      </c>
      <c r="BP320" s="64">
        <f>IFERROR(1/J320*(Y320/H320),"0")</f>
        <v>1.5151515151515152E-2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4"/>
      <c r="R321" s="544"/>
      <c r="S321" s="544"/>
      <c r="T321" s="545"/>
      <c r="U321" s="34"/>
      <c r="V321" s="34"/>
      <c r="W321" s="35" t="s">
        <v>68</v>
      </c>
      <c r="X321" s="539">
        <v>8</v>
      </c>
      <c r="Y321" s="540">
        <f>IFERROR(IF(X321="",0,CEILING((X321/$H321),1)*$H321),"")</f>
        <v>9.120000000000001</v>
      </c>
      <c r="Z321" s="36">
        <f>IFERROR(IF(Y321=0,"",ROUNDUP(Y321/H321,0)*0.00902),"")</f>
        <v>2.7060000000000001E-2</v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8.6052631578947363</v>
      </c>
      <c r="BN321" s="64">
        <f>IFERROR(Y321*I321/H321,"0")</f>
        <v>9.81</v>
      </c>
      <c r="BO321" s="64">
        <f>IFERROR(1/J321*(X321/H321),"0")</f>
        <v>1.9936204146730464E-2</v>
      </c>
      <c r="BP321" s="64">
        <f>IFERROR(1/J321*(Y321/H321),"0")</f>
        <v>2.2727272727272731E-2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 t="s">
        <v>185</v>
      </c>
      <c r="M322" s="33" t="s">
        <v>93</v>
      </c>
      <c r="N322" s="33"/>
      <c r="O322" s="32">
        <v>180</v>
      </c>
      <c r="P322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68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 t="s">
        <v>105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 t="s">
        <v>185</v>
      </c>
      <c r="M323" s="33" t="s">
        <v>93</v>
      </c>
      <c r="N323" s="33"/>
      <c r="O323" s="32">
        <v>180</v>
      </c>
      <c r="P323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68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 t="s">
        <v>105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7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8"/>
      <c r="P324" s="557" t="s">
        <v>70</v>
      </c>
      <c r="Q324" s="558"/>
      <c r="R324" s="558"/>
      <c r="S324" s="558"/>
      <c r="T324" s="558"/>
      <c r="U324" s="558"/>
      <c r="V324" s="559"/>
      <c r="W324" s="37" t="s">
        <v>71</v>
      </c>
      <c r="X324" s="541">
        <f>IFERROR(X320/H320,"0")+IFERROR(X321/H321,"0")+IFERROR(X322/H322,"0")+IFERROR(X323/H323,"0")</f>
        <v>4.2763157894736841</v>
      </c>
      <c r="Y324" s="541">
        <f>IFERROR(Y320/H320,"0")+IFERROR(Y321/H321,"0")+IFERROR(Y322/H322,"0")+IFERROR(Y323/H323,"0")</f>
        <v>5</v>
      </c>
      <c r="Z324" s="541">
        <f>IFERROR(IF(Z320="",0,Z320),"0")+IFERROR(IF(Z321="",0,Z321),"0")+IFERROR(IF(Z322="",0,Z322),"0")+IFERROR(IF(Z323="",0,Z323),"0")</f>
        <v>4.5100000000000001E-2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8"/>
      <c r="P325" s="557" t="s">
        <v>70</v>
      </c>
      <c r="Q325" s="558"/>
      <c r="R325" s="558"/>
      <c r="S325" s="558"/>
      <c r="T325" s="558"/>
      <c r="U325" s="558"/>
      <c r="V325" s="559"/>
      <c r="W325" s="37" t="s">
        <v>68</v>
      </c>
      <c r="X325" s="541">
        <f>IFERROR(SUM(X320:X323),"0")</f>
        <v>13</v>
      </c>
      <c r="Y325" s="541">
        <f>IFERROR(SUM(Y320:Y323),"0")</f>
        <v>15.200000000000001</v>
      </c>
      <c r="Z325" s="37"/>
      <c r="AA325" s="542"/>
      <c r="AB325" s="542"/>
      <c r="AC325" s="542"/>
    </row>
    <row r="326" spans="1:68" ht="14.25" customHeight="1" x14ac:dyDescent="0.25">
      <c r="A326" s="554" t="s">
        <v>512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 t="s">
        <v>185</v>
      </c>
      <c r="M327" s="33" t="s">
        <v>515</v>
      </c>
      <c r="N327" s="33"/>
      <c r="O327" s="32">
        <v>730</v>
      </c>
      <c r="P327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68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 t="s">
        <v>105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 t="s">
        <v>185</v>
      </c>
      <c r="M328" s="33" t="s">
        <v>515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68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 t="s">
        <v>105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 t="s">
        <v>185</v>
      </c>
      <c r="M329" s="33" t="s">
        <v>515</v>
      </c>
      <c r="N329" s="33"/>
      <c r="O329" s="32">
        <v>730</v>
      </c>
      <c r="P329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68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 t="s">
        <v>105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7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8"/>
      <c r="P330" s="557" t="s">
        <v>70</v>
      </c>
      <c r="Q330" s="558"/>
      <c r="R330" s="558"/>
      <c r="S330" s="558"/>
      <c r="T330" s="558"/>
      <c r="U330" s="558"/>
      <c r="V330" s="559"/>
      <c r="W330" s="37" t="s">
        <v>71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8"/>
      <c r="P331" s="557" t="s">
        <v>70</v>
      </c>
      <c r="Q331" s="558"/>
      <c r="R331" s="558"/>
      <c r="S331" s="558"/>
      <c r="T331" s="558"/>
      <c r="U331" s="558"/>
      <c r="V331" s="559"/>
      <c r="W331" s="37" t="s">
        <v>68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52" t="s">
        <v>521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72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 t="s">
        <v>102</v>
      </c>
      <c r="M334" s="33" t="s">
        <v>83</v>
      </c>
      <c r="N334" s="33"/>
      <c r="O334" s="32">
        <v>45</v>
      </c>
      <c r="P334" s="6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68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 t="s">
        <v>105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 t="s">
        <v>185</v>
      </c>
      <c r="M335" s="33" t="s">
        <v>76</v>
      </c>
      <c r="N335" s="33"/>
      <c r="O335" s="32">
        <v>45</v>
      </c>
      <c r="P335" s="7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105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 t="s">
        <v>185</v>
      </c>
      <c r="M336" s="33" t="s">
        <v>83</v>
      </c>
      <c r="N336" s="33"/>
      <c r="O336" s="32">
        <v>40</v>
      </c>
      <c r="P336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105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7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8"/>
      <c r="P337" s="557" t="s">
        <v>70</v>
      </c>
      <c r="Q337" s="558"/>
      <c r="R337" s="558"/>
      <c r="S337" s="558"/>
      <c r="T337" s="558"/>
      <c r="U337" s="558"/>
      <c r="V337" s="559"/>
      <c r="W337" s="37" t="s">
        <v>71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8"/>
      <c r="P338" s="557" t="s">
        <v>70</v>
      </c>
      <c r="Q338" s="558"/>
      <c r="R338" s="558"/>
      <c r="S338" s="558"/>
      <c r="T338" s="558"/>
      <c r="U338" s="558"/>
      <c r="V338" s="559"/>
      <c r="W338" s="37" t="s">
        <v>68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customHeight="1" x14ac:dyDescent="0.2">
      <c r="A339" s="693" t="s">
        <v>531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532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98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68</v>
      </c>
      <c r="X342" s="539">
        <v>0</v>
      </c>
      <c r="Y342" s="540">
        <f t="shared" ref="Y342:Y348" si="31">IFERROR(IF(X342="",0,CEILING((X342/$H342),1)*$H342),"")</f>
        <v>0</v>
      </c>
      <c r="Z342" s="36" t="str">
        <f>IFERROR(IF(Y342=0,"",ROUNDUP(Y342/H342,0)*0.02175),"")</f>
        <v/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0</v>
      </c>
      <c r="BN342" s="64">
        <f t="shared" ref="BN342:BN348" si="33">IFERROR(Y342*I342/H342,"0")</f>
        <v>0</v>
      </c>
      <c r="BO342" s="64">
        <f t="shared" ref="BO342:BO348" si="34">IFERROR(1/J342*(X342/H342),"0")</f>
        <v>0</v>
      </c>
      <c r="BP342" s="64">
        <f t="shared" ref="BP342:BP348" si="35">IFERROR(1/J342*(Y342/H342),"0")</f>
        <v>0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68</v>
      </c>
      <c r="X343" s="539">
        <v>0</v>
      </c>
      <c r="Y343" s="540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 t="s">
        <v>102</v>
      </c>
      <c r="M344" s="33" t="s">
        <v>67</v>
      </c>
      <c r="N344" s="33"/>
      <c r="O344" s="32">
        <v>60</v>
      </c>
      <c r="P344" s="8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68</v>
      </c>
      <c r="X344" s="539">
        <v>0</v>
      </c>
      <c r="Y344" s="540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 t="s">
        <v>105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/>
      <c r="M345" s="33" t="s">
        <v>83</v>
      </c>
      <c r="N345" s="33"/>
      <c r="O345" s="32">
        <v>60</v>
      </c>
      <c r="P345" s="75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4"/>
      <c r="R345" s="544"/>
      <c r="S345" s="544"/>
      <c r="T345" s="545"/>
      <c r="U345" s="34"/>
      <c r="V345" s="34"/>
      <c r="W345" s="35" t="s">
        <v>68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550</v>
      </c>
      <c r="B348" s="54" t="s">
        <v>551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7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8"/>
      <c r="P349" s="557" t="s">
        <v>70</v>
      </c>
      <c r="Q349" s="558"/>
      <c r="R349" s="558"/>
      <c r="S349" s="558"/>
      <c r="T349" s="558"/>
      <c r="U349" s="558"/>
      <c r="V349" s="559"/>
      <c r="W349" s="37" t="s">
        <v>71</v>
      </c>
      <c r="X349" s="541">
        <f>IFERROR(X342/H342,"0")+IFERROR(X343/H343,"0")+IFERROR(X344/H344,"0")+IFERROR(X345/H345,"0")+IFERROR(X346/H346,"0")+IFERROR(X347/H347,"0")+IFERROR(X348/H348,"0")</f>
        <v>0</v>
      </c>
      <c r="Y349" s="541">
        <f>IFERROR(Y342/H342,"0")+IFERROR(Y343/H343,"0")+IFERROR(Y344/H344,"0")+IFERROR(Y345/H345,"0")+IFERROR(Y346/H346,"0")+IFERROR(Y347/H347,"0")+IFERROR(Y348/H348,"0")</f>
        <v>0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8"/>
      <c r="P350" s="557" t="s">
        <v>70</v>
      </c>
      <c r="Q350" s="558"/>
      <c r="R350" s="558"/>
      <c r="S350" s="558"/>
      <c r="T350" s="558"/>
      <c r="U350" s="558"/>
      <c r="V350" s="559"/>
      <c r="W350" s="37" t="s">
        <v>68</v>
      </c>
      <c r="X350" s="541">
        <f>IFERROR(SUM(X342:X348),"0")</f>
        <v>0</v>
      </c>
      <c r="Y350" s="541">
        <f>IFERROR(SUM(Y342:Y348),"0")</f>
        <v>0</v>
      </c>
      <c r="Z350" s="37"/>
      <c r="AA350" s="542"/>
      <c r="AB350" s="542"/>
      <c r="AC350" s="542"/>
    </row>
    <row r="351" spans="1:68" ht="14.25" customHeight="1" x14ac:dyDescent="0.25">
      <c r="A351" s="554" t="s">
        <v>134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68</v>
      </c>
      <c r="X352" s="539">
        <v>226</v>
      </c>
      <c r="Y352" s="540">
        <f>IFERROR(IF(X352="",0,CEILING((X352/$H352),1)*$H352),"")</f>
        <v>240</v>
      </c>
      <c r="Z352" s="36">
        <f>IFERROR(IF(Y352=0,"",ROUNDUP(Y352/H352,0)*0.02175),"")</f>
        <v>0.34799999999999998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233.08133333333336</v>
      </c>
      <c r="BN352" s="64">
        <f>IFERROR(Y352*I352/H352,"0")</f>
        <v>247.52</v>
      </c>
      <c r="BO352" s="64">
        <f>IFERROR(1/J352*(X352/H352),"0")</f>
        <v>0.31388888888888888</v>
      </c>
      <c r="BP352" s="64">
        <f>IFERROR(1/J352*(Y352/H352),"0")</f>
        <v>0.33333333333333331</v>
      </c>
    </row>
    <row r="353" spans="1:68" ht="16.5" customHeight="1" x14ac:dyDescent="0.25">
      <c r="A353" s="54" t="s">
        <v>555</v>
      </c>
      <c r="B353" s="54" t="s">
        <v>556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7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8"/>
      <c r="P354" s="557" t="s">
        <v>70</v>
      </c>
      <c r="Q354" s="558"/>
      <c r="R354" s="558"/>
      <c r="S354" s="558"/>
      <c r="T354" s="558"/>
      <c r="U354" s="558"/>
      <c r="V354" s="559"/>
      <c r="W354" s="37" t="s">
        <v>71</v>
      </c>
      <c r="X354" s="541">
        <f>IFERROR(X352/H352,"0")+IFERROR(X353/H353,"0")</f>
        <v>15.066666666666666</v>
      </c>
      <c r="Y354" s="541">
        <f>IFERROR(Y352/H352,"0")+IFERROR(Y353/H353,"0")</f>
        <v>16</v>
      </c>
      <c r="Z354" s="541">
        <f>IFERROR(IF(Z352="",0,Z352),"0")+IFERROR(IF(Z353="",0,Z353),"0")</f>
        <v>0.34799999999999998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8"/>
      <c r="P355" s="557" t="s">
        <v>70</v>
      </c>
      <c r="Q355" s="558"/>
      <c r="R355" s="558"/>
      <c r="S355" s="558"/>
      <c r="T355" s="558"/>
      <c r="U355" s="558"/>
      <c r="V355" s="559"/>
      <c r="W355" s="37" t="s">
        <v>68</v>
      </c>
      <c r="X355" s="541">
        <f>IFERROR(SUM(X352:X353),"0")</f>
        <v>226</v>
      </c>
      <c r="Y355" s="541">
        <f>IFERROR(SUM(Y352:Y353),"0")</f>
        <v>240</v>
      </c>
      <c r="Z355" s="37"/>
      <c r="AA355" s="542"/>
      <c r="AB355" s="542"/>
      <c r="AC355" s="542"/>
    </row>
    <row r="356" spans="1:68" ht="14.25" customHeight="1" x14ac:dyDescent="0.25">
      <c r="A356" s="554" t="s">
        <v>72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 t="s">
        <v>102</v>
      </c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68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105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8"/>
      <c r="P359" s="557" t="s">
        <v>70</v>
      </c>
      <c r="Q359" s="558"/>
      <c r="R359" s="558"/>
      <c r="S359" s="558"/>
      <c r="T359" s="558"/>
      <c r="U359" s="558"/>
      <c r="V359" s="559"/>
      <c r="W359" s="37" t="s">
        <v>71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8"/>
      <c r="P360" s="557" t="s">
        <v>70</v>
      </c>
      <c r="Q360" s="558"/>
      <c r="R360" s="558"/>
      <c r="S360" s="558"/>
      <c r="T360" s="558"/>
      <c r="U360" s="558"/>
      <c r="V360" s="559"/>
      <c r="W360" s="37" t="s">
        <v>68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4" t="s">
        <v>162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68</v>
      </c>
      <c r="X362" s="539">
        <v>85</v>
      </c>
      <c r="Y362" s="540">
        <f>IFERROR(IF(X362="",0,CEILING((X362/$H362),1)*$H362),"")</f>
        <v>90</v>
      </c>
      <c r="Z362" s="36">
        <f>IFERROR(IF(Y362=0,"",ROUNDUP(Y362/H362,0)*0.01898),"")</f>
        <v>0.1898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89.665555555555557</v>
      </c>
      <c r="BN362" s="64">
        <f>IFERROR(Y362*I362/H362,"0")</f>
        <v>94.94</v>
      </c>
      <c r="BO362" s="64">
        <f>IFERROR(1/J362*(X362/H362),"0")</f>
        <v>0.14756944444444445</v>
      </c>
      <c r="BP362" s="64">
        <f>IFERROR(1/J362*(Y362/H362),"0")</f>
        <v>0.15625</v>
      </c>
    </row>
    <row r="363" spans="1:68" x14ac:dyDescent="0.2">
      <c r="A363" s="567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8"/>
      <c r="P363" s="557" t="s">
        <v>70</v>
      </c>
      <c r="Q363" s="558"/>
      <c r="R363" s="558"/>
      <c r="S363" s="558"/>
      <c r="T363" s="558"/>
      <c r="U363" s="558"/>
      <c r="V363" s="559"/>
      <c r="W363" s="37" t="s">
        <v>71</v>
      </c>
      <c r="X363" s="541">
        <f>IFERROR(X362/H362,"0")</f>
        <v>9.4444444444444446</v>
      </c>
      <c r="Y363" s="541">
        <f>IFERROR(Y362/H362,"0")</f>
        <v>10</v>
      </c>
      <c r="Z363" s="541">
        <f>IFERROR(IF(Z362="",0,Z362),"0")</f>
        <v>0.1898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8"/>
      <c r="P364" s="557" t="s">
        <v>70</v>
      </c>
      <c r="Q364" s="558"/>
      <c r="R364" s="558"/>
      <c r="S364" s="558"/>
      <c r="T364" s="558"/>
      <c r="U364" s="558"/>
      <c r="V364" s="559"/>
      <c r="W364" s="37" t="s">
        <v>68</v>
      </c>
      <c r="X364" s="541">
        <f>IFERROR(SUM(X362:X362),"0")</f>
        <v>85</v>
      </c>
      <c r="Y364" s="541">
        <f>IFERROR(SUM(Y362:Y362),"0")</f>
        <v>90</v>
      </c>
      <c r="Z364" s="37"/>
      <c r="AA364" s="542"/>
      <c r="AB364" s="542"/>
      <c r="AC364" s="542"/>
    </row>
    <row r="365" spans="1:68" ht="16.5" customHeight="1" x14ac:dyDescent="0.25">
      <c r="A365" s="552" t="s">
        <v>566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98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 t="s">
        <v>102</v>
      </c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68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105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8"/>
      <c r="P369" s="557" t="s">
        <v>70</v>
      </c>
      <c r="Q369" s="558"/>
      <c r="R369" s="558"/>
      <c r="S369" s="558"/>
      <c r="T369" s="558"/>
      <c r="U369" s="558"/>
      <c r="V369" s="559"/>
      <c r="W369" s="37" t="s">
        <v>71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8"/>
      <c r="P370" s="557" t="s">
        <v>70</v>
      </c>
      <c r="Q370" s="558"/>
      <c r="R370" s="558"/>
      <c r="S370" s="558"/>
      <c r="T370" s="558"/>
      <c r="U370" s="558"/>
      <c r="V370" s="559"/>
      <c r="W370" s="37" t="s">
        <v>68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63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108</v>
      </c>
      <c r="L372" s="32" t="s">
        <v>109</v>
      </c>
      <c r="M372" s="33" t="s">
        <v>67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105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8"/>
      <c r="P374" s="557" t="s">
        <v>70</v>
      </c>
      <c r="Q374" s="558"/>
      <c r="R374" s="558"/>
      <c r="S374" s="558"/>
      <c r="T374" s="558"/>
      <c r="U374" s="558"/>
      <c r="V374" s="559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8"/>
      <c r="P375" s="557" t="s">
        <v>70</v>
      </c>
      <c r="Q375" s="558"/>
      <c r="R375" s="558"/>
      <c r="S375" s="558"/>
      <c r="T375" s="558"/>
      <c r="U375" s="558"/>
      <c r="V375" s="559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72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68</v>
      </c>
      <c r="X377" s="539">
        <v>84</v>
      </c>
      <c r="Y377" s="540">
        <f>IFERROR(IF(X377="",0,CEILING((X377/$H377),1)*$H377),"")</f>
        <v>90</v>
      </c>
      <c r="Z377" s="36">
        <f>IFERROR(IF(Y377=0,"",ROUNDUP(Y377/H377,0)*0.01898),"")</f>
        <v>0.1898</v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88.61066666666666</v>
      </c>
      <c r="BN377" s="64">
        <f>IFERROR(Y377*I377/H377,"0")</f>
        <v>94.94</v>
      </c>
      <c r="BO377" s="64">
        <f>IFERROR(1/J377*(X377/H377),"0")</f>
        <v>0.14583333333333334</v>
      </c>
      <c r="BP377" s="64">
        <f>IFERROR(1/J377*(Y377/H377),"0")</f>
        <v>0.15625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 t="s">
        <v>185</v>
      </c>
      <c r="M378" s="33" t="s">
        <v>76</v>
      </c>
      <c r="N378" s="33"/>
      <c r="O378" s="32">
        <v>40</v>
      </c>
      <c r="P378" s="65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68</v>
      </c>
      <c r="X378" s="539">
        <v>2</v>
      </c>
      <c r="Y378" s="540">
        <f>IFERROR(IF(X378="",0,CEILING((X378/$H378),1)*$H378),"")</f>
        <v>2.4</v>
      </c>
      <c r="Z378" s="36">
        <f>IFERROR(IF(Y378=0,"",ROUNDUP(Y378/H378,0)*0.00651),"")</f>
        <v>6.5100000000000002E-3</v>
      </c>
      <c r="AA378" s="56"/>
      <c r="AB378" s="57"/>
      <c r="AC378" s="423" t="s">
        <v>579</v>
      </c>
      <c r="AG378" s="64"/>
      <c r="AJ378" s="68" t="s">
        <v>105</v>
      </c>
      <c r="AK378" s="68">
        <v>33.6</v>
      </c>
      <c r="BB378" s="424" t="s">
        <v>1</v>
      </c>
      <c r="BM378" s="64">
        <f>IFERROR(X378*I378/H378,"0")</f>
        <v>2.2200000000000002</v>
      </c>
      <c r="BN378" s="64">
        <f>IFERROR(Y378*I378/H378,"0")</f>
        <v>2.6640000000000001</v>
      </c>
      <c r="BO378" s="64">
        <f>IFERROR(1/J378*(X378/H378),"0")</f>
        <v>4.578754578754579E-3</v>
      </c>
      <c r="BP378" s="64">
        <f>IFERROR(1/J378*(Y378/H378),"0")</f>
        <v>5.4945054945054949E-3</v>
      </c>
    </row>
    <row r="379" spans="1:68" x14ac:dyDescent="0.2">
      <c r="A379" s="567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8"/>
      <c r="P379" s="557" t="s">
        <v>70</v>
      </c>
      <c r="Q379" s="558"/>
      <c r="R379" s="558"/>
      <c r="S379" s="558"/>
      <c r="T379" s="558"/>
      <c r="U379" s="558"/>
      <c r="V379" s="559"/>
      <c r="W379" s="37" t="s">
        <v>71</v>
      </c>
      <c r="X379" s="541">
        <f>IFERROR(X377/H377,"0")+IFERROR(X378/H378,"0")</f>
        <v>10.166666666666668</v>
      </c>
      <c r="Y379" s="541">
        <f>IFERROR(Y377/H377,"0")+IFERROR(Y378/H378,"0")</f>
        <v>11</v>
      </c>
      <c r="Z379" s="541">
        <f>IFERROR(IF(Z377="",0,Z377),"0")+IFERROR(IF(Z378="",0,Z378),"0")</f>
        <v>0.19630999999999998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8"/>
      <c r="P380" s="557" t="s">
        <v>70</v>
      </c>
      <c r="Q380" s="558"/>
      <c r="R380" s="558"/>
      <c r="S380" s="558"/>
      <c r="T380" s="558"/>
      <c r="U380" s="558"/>
      <c r="V380" s="559"/>
      <c r="W380" s="37" t="s">
        <v>68</v>
      </c>
      <c r="X380" s="541">
        <f>IFERROR(SUM(X377:X378),"0")</f>
        <v>86</v>
      </c>
      <c r="Y380" s="541">
        <f>IFERROR(SUM(Y377:Y378),"0")</f>
        <v>92.4</v>
      </c>
      <c r="Z380" s="37"/>
      <c r="AA380" s="542"/>
      <c r="AB380" s="542"/>
      <c r="AC380" s="542"/>
    </row>
    <row r="381" spans="1:68" ht="27.75" customHeight="1" x14ac:dyDescent="0.2">
      <c r="A381" s="693" t="s">
        <v>582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583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63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584</v>
      </c>
      <c r="B384" s="54" t="s">
        <v>585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 t="s">
        <v>109</v>
      </c>
      <c r="M384" s="33" t="s">
        <v>67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68</v>
      </c>
      <c r="X384" s="539">
        <v>18</v>
      </c>
      <c r="Y384" s="540">
        <f t="shared" ref="Y384:Y392" si="36">IFERROR(IF(X384="",0,CEILING((X384/$H384),1)*$H384),"")</f>
        <v>21.6</v>
      </c>
      <c r="Z384" s="36">
        <f>IFERROR(IF(Y384=0,"",ROUNDUP(Y384/H384,0)*0.00902),"")</f>
        <v>3.6080000000000001E-2</v>
      </c>
      <c r="AA384" s="56"/>
      <c r="AB384" s="57"/>
      <c r="AC384" s="425" t="s">
        <v>586</v>
      </c>
      <c r="AG384" s="64"/>
      <c r="AJ384" s="68" t="s">
        <v>105</v>
      </c>
      <c r="AK384" s="68">
        <v>64.8</v>
      </c>
      <c r="BB384" s="426" t="s">
        <v>1</v>
      </c>
      <c r="BM384" s="64">
        <f t="shared" ref="BM384:BM392" si="37">IFERROR(X384*I384/H384,"0")</f>
        <v>18.633333333333333</v>
      </c>
      <c r="BN384" s="64">
        <f t="shared" ref="BN384:BN392" si="38">IFERROR(Y384*I384/H384,"0")</f>
        <v>22.36</v>
      </c>
      <c r="BO384" s="64">
        <f t="shared" ref="BO384:BO392" si="39">IFERROR(1/J384*(X384/H384),"0")</f>
        <v>2.5252525252525252E-2</v>
      </c>
      <c r="BP384" s="64">
        <f t="shared" ref="BP384:BP392" si="40">IFERROR(1/J384*(Y384/H384),"0")</f>
        <v>3.0303030303030304E-2</v>
      </c>
    </row>
    <row r="385" spans="1:68" ht="27" customHeight="1" x14ac:dyDescent="0.25">
      <c r="A385" s="54" t="s">
        <v>587</v>
      </c>
      <c r="B385" s="54" t="s">
        <v>588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5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 t="s">
        <v>109</v>
      </c>
      <c r="M386" s="33" t="s">
        <v>67</v>
      </c>
      <c r="N386" s="33"/>
      <c r="O386" s="32">
        <v>50</v>
      </c>
      <c r="P386" s="57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105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70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595</v>
      </c>
      <c r="B388" s="54" t="s">
        <v>596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597</v>
      </c>
      <c r="B389" s="54" t="s">
        <v>598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600</v>
      </c>
      <c r="B390" s="54" t="s">
        <v>601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 t="s">
        <v>266</v>
      </c>
      <c r="M391" s="33" t="s">
        <v>67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 t="s">
        <v>105</v>
      </c>
      <c r="AK391" s="68">
        <v>37.799999999999997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606</v>
      </c>
      <c r="B392" s="54" t="s">
        <v>607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7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8"/>
      <c r="P393" s="557" t="s">
        <v>70</v>
      </c>
      <c r="Q393" s="558"/>
      <c r="R393" s="558"/>
      <c r="S393" s="558"/>
      <c r="T393" s="558"/>
      <c r="U393" s="558"/>
      <c r="V393" s="559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3.333333333333333</v>
      </c>
      <c r="Y393" s="541">
        <f>IFERROR(Y384/H384,"0")+IFERROR(Y385/H385,"0")+IFERROR(Y386/H386,"0")+IFERROR(Y387/H387,"0")+IFERROR(Y388/H388,"0")+IFERROR(Y389/H389,"0")+IFERROR(Y390/H390,"0")+IFERROR(Y391/H391,"0")+IFERROR(Y392/H392,"0")</f>
        <v>4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3.6080000000000001E-2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8"/>
      <c r="P394" s="557" t="s">
        <v>70</v>
      </c>
      <c r="Q394" s="558"/>
      <c r="R394" s="558"/>
      <c r="S394" s="558"/>
      <c r="T394" s="558"/>
      <c r="U394" s="558"/>
      <c r="V394" s="559"/>
      <c r="W394" s="37" t="s">
        <v>68</v>
      </c>
      <c r="X394" s="541">
        <f>IFERROR(SUM(X384:X392),"0")</f>
        <v>18</v>
      </c>
      <c r="Y394" s="541">
        <f>IFERROR(SUM(Y384:Y392),"0")</f>
        <v>21.6</v>
      </c>
      <c r="Z394" s="37"/>
      <c r="AA394" s="542"/>
      <c r="AB394" s="542"/>
      <c r="AC394" s="542"/>
    </row>
    <row r="395" spans="1:68" ht="14.25" customHeight="1" x14ac:dyDescent="0.25">
      <c r="A395" s="554" t="s">
        <v>72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608</v>
      </c>
      <c r="B396" s="54" t="s">
        <v>609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611</v>
      </c>
      <c r="B397" s="54" t="s">
        <v>612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7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8"/>
      <c r="P398" s="557" t="s">
        <v>70</v>
      </c>
      <c r="Q398" s="558"/>
      <c r="R398" s="558"/>
      <c r="S398" s="558"/>
      <c r="T398" s="558"/>
      <c r="U398" s="558"/>
      <c r="V398" s="559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8"/>
      <c r="P399" s="557" t="s">
        <v>70</v>
      </c>
      <c r="Q399" s="558"/>
      <c r="R399" s="558"/>
      <c r="S399" s="558"/>
      <c r="T399" s="558"/>
      <c r="U399" s="558"/>
      <c r="V399" s="559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614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134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615</v>
      </c>
      <c r="B402" s="54" t="s">
        <v>616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6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7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8"/>
      <c r="P403" s="557" t="s">
        <v>70</v>
      </c>
      <c r="Q403" s="558"/>
      <c r="R403" s="558"/>
      <c r="S403" s="558"/>
      <c r="T403" s="558"/>
      <c r="U403" s="558"/>
      <c r="V403" s="559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8"/>
      <c r="P404" s="557" t="s">
        <v>70</v>
      </c>
      <c r="Q404" s="558"/>
      <c r="R404" s="558"/>
      <c r="S404" s="558"/>
      <c r="T404" s="558"/>
      <c r="U404" s="558"/>
      <c r="V404" s="559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63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618</v>
      </c>
      <c r="B406" s="54" t="s">
        <v>619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 t="s">
        <v>109</v>
      </c>
      <c r="M406" s="33" t="s">
        <v>103</v>
      </c>
      <c r="N406" s="33"/>
      <c r="O406" s="32">
        <v>50</v>
      </c>
      <c r="P406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68</v>
      </c>
      <c r="X406" s="539">
        <v>69</v>
      </c>
      <c r="Y406" s="540">
        <f>IFERROR(IF(X406="",0,CEILING((X406/$H406),1)*$H406),"")</f>
        <v>70.2</v>
      </c>
      <c r="Z406" s="36">
        <f>IFERROR(IF(Y406=0,"",ROUNDUP(Y406/H406,0)*0.00902),"")</f>
        <v>0.11726</v>
      </c>
      <c r="AA406" s="56"/>
      <c r="AB406" s="57"/>
      <c r="AC406" s="449" t="s">
        <v>620</v>
      </c>
      <c r="AG406" s="64"/>
      <c r="AJ406" s="68" t="s">
        <v>105</v>
      </c>
      <c r="AK406" s="68">
        <v>64.8</v>
      </c>
      <c r="BB406" s="450" t="s">
        <v>1</v>
      </c>
      <c r="BM406" s="64">
        <f>IFERROR(X406*I406/H406,"0")</f>
        <v>71.427777777777763</v>
      </c>
      <c r="BN406" s="64">
        <f>IFERROR(Y406*I406/H406,"0")</f>
        <v>72.67</v>
      </c>
      <c r="BO406" s="64">
        <f>IFERROR(1/J406*(X406/H406),"0")</f>
        <v>9.6801346801346791E-2</v>
      </c>
      <c r="BP406" s="64">
        <f>IFERROR(1/J406*(Y406/H406),"0")</f>
        <v>9.8484848484848481E-2</v>
      </c>
    </row>
    <row r="407" spans="1:68" ht="27" customHeight="1" x14ac:dyDescent="0.25">
      <c r="A407" s="54" t="s">
        <v>621</v>
      </c>
      <c r="B407" s="54" t="s">
        <v>622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7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8"/>
      <c r="P410" s="557" t="s">
        <v>70</v>
      </c>
      <c r="Q410" s="558"/>
      <c r="R410" s="558"/>
      <c r="S410" s="558"/>
      <c r="T410" s="558"/>
      <c r="U410" s="558"/>
      <c r="V410" s="559"/>
      <c r="W410" s="37" t="s">
        <v>71</v>
      </c>
      <c r="X410" s="541">
        <f>IFERROR(X406/H406,"0")+IFERROR(X407/H407,"0")+IFERROR(X408/H408,"0")+IFERROR(X409/H409,"0")</f>
        <v>12.777777777777777</v>
      </c>
      <c r="Y410" s="541">
        <f>IFERROR(Y406/H406,"0")+IFERROR(Y407/H407,"0")+IFERROR(Y408/H408,"0")+IFERROR(Y409/H409,"0")</f>
        <v>13</v>
      </c>
      <c r="Z410" s="541">
        <f>IFERROR(IF(Z406="",0,Z406),"0")+IFERROR(IF(Z407="",0,Z407),"0")+IFERROR(IF(Z408="",0,Z408),"0")+IFERROR(IF(Z409="",0,Z409),"0")</f>
        <v>0.11726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8"/>
      <c r="P411" s="557" t="s">
        <v>70</v>
      </c>
      <c r="Q411" s="558"/>
      <c r="R411" s="558"/>
      <c r="S411" s="558"/>
      <c r="T411" s="558"/>
      <c r="U411" s="558"/>
      <c r="V411" s="559"/>
      <c r="W411" s="37" t="s">
        <v>68</v>
      </c>
      <c r="X411" s="541">
        <f>IFERROR(SUM(X406:X409),"0")</f>
        <v>69</v>
      </c>
      <c r="Y411" s="541">
        <f>IFERROR(SUM(Y406:Y409),"0")</f>
        <v>70.2</v>
      </c>
      <c r="Z411" s="37"/>
      <c r="AA411" s="542"/>
      <c r="AB411" s="542"/>
      <c r="AC411" s="542"/>
    </row>
    <row r="412" spans="1:68" ht="16.5" customHeight="1" x14ac:dyDescent="0.25">
      <c r="A412" s="552" t="s">
        <v>629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63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630</v>
      </c>
      <c r="B414" s="54" t="s">
        <v>631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7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8"/>
      <c r="P415" s="557" t="s">
        <v>70</v>
      </c>
      <c r="Q415" s="558"/>
      <c r="R415" s="558"/>
      <c r="S415" s="558"/>
      <c r="T415" s="558"/>
      <c r="U415" s="558"/>
      <c r="V415" s="559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8"/>
      <c r="P416" s="557" t="s">
        <v>70</v>
      </c>
      <c r="Q416" s="558"/>
      <c r="R416" s="558"/>
      <c r="S416" s="558"/>
      <c r="T416" s="558"/>
      <c r="U416" s="558"/>
      <c r="V416" s="559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633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633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98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634</v>
      </c>
      <c r="B420" s="54" t="s">
        <v>635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 t="s">
        <v>102</v>
      </c>
      <c r="M420" s="33" t="s">
        <v>103</v>
      </c>
      <c r="N420" s="33"/>
      <c r="O420" s="32">
        <v>60</v>
      </c>
      <c r="P420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68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104</v>
      </c>
      <c r="AG420" s="64"/>
      <c r="AJ420" s="68" t="s">
        <v>105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636</v>
      </c>
      <c r="B421" s="54" t="s">
        <v>637</v>
      </c>
      <c r="C421" s="31">
        <v>4301012145</v>
      </c>
      <c r="D421" s="546">
        <v>4607091383522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4"/>
      <c r="R421" s="544"/>
      <c r="S421" s="544"/>
      <c r="T421" s="545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4301011961</v>
      </c>
      <c r="D422" s="546">
        <v>4680115885271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 t="s">
        <v>102</v>
      </c>
      <c r="M422" s="33" t="s">
        <v>103</v>
      </c>
      <c r="N422" s="33"/>
      <c r="O422" s="32">
        <v>60</v>
      </c>
      <c r="P422" s="6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4"/>
      <c r="R422" s="544"/>
      <c r="S422" s="544"/>
      <c r="T422" s="545"/>
      <c r="U422" s="34"/>
      <c r="V422" s="34"/>
      <c r="W422" s="35" t="s">
        <v>68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 t="s">
        <v>105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6">
        <v>4680115885226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4"/>
      <c r="R423" s="544"/>
      <c r="S423" s="544"/>
      <c r="T423" s="545"/>
      <c r="U423" s="34"/>
      <c r="V423" s="34"/>
      <c r="W423" s="35" t="s">
        <v>68</v>
      </c>
      <c r="X423" s="539">
        <v>127</v>
      </c>
      <c r="Y423" s="540">
        <f t="shared" si="42"/>
        <v>132</v>
      </c>
      <c r="Z423" s="36">
        <f t="shared" si="43"/>
        <v>0.29899999999999999</v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135.41856060606059</v>
      </c>
      <c r="BN423" s="64">
        <f t="shared" si="45"/>
        <v>140.75</v>
      </c>
      <c r="BO423" s="64">
        <f t="shared" si="46"/>
        <v>0.23127913752913754</v>
      </c>
      <c r="BP423" s="64">
        <f t="shared" si="47"/>
        <v>0.24038461538461539</v>
      </c>
    </row>
    <row r="424" spans="1:68" ht="16.5" customHeight="1" x14ac:dyDescent="0.25">
      <c r="A424" s="54" t="s">
        <v>645</v>
      </c>
      <c r="B424" s="54" t="s">
        <v>646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68</v>
      </c>
      <c r="X425" s="539">
        <v>192</v>
      </c>
      <c r="Y425" s="540">
        <f t="shared" si="42"/>
        <v>195.36</v>
      </c>
      <c r="Z425" s="36">
        <f t="shared" si="43"/>
        <v>0.44252000000000002</v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204.72727272727272</v>
      </c>
      <c r="BN425" s="64">
        <f t="shared" si="45"/>
        <v>208.31</v>
      </c>
      <c r="BO425" s="64">
        <f t="shared" si="46"/>
        <v>0.34965034965034963</v>
      </c>
      <c r="BP425" s="64">
        <f t="shared" si="47"/>
        <v>0.35576923076923078</v>
      </c>
    </row>
    <row r="426" spans="1:68" ht="27" customHeight="1" x14ac:dyDescent="0.25">
      <c r="A426" s="54" t="s">
        <v>651</v>
      </c>
      <c r="B426" s="54" t="s">
        <v>652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68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655</v>
      </c>
      <c r="B428" s="54" t="s">
        <v>656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3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657</v>
      </c>
      <c r="B429" s="54" t="s">
        <v>658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 t="s">
        <v>109</v>
      </c>
      <c r="M430" s="33" t="s">
        <v>103</v>
      </c>
      <c r="N430" s="33"/>
      <c r="O430" s="32">
        <v>60</v>
      </c>
      <c r="P430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 t="s">
        <v>105</v>
      </c>
      <c r="AK430" s="68">
        <v>57.6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7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8"/>
      <c r="P431" s="557" t="s">
        <v>70</v>
      </c>
      <c r="Q431" s="558"/>
      <c r="R431" s="558"/>
      <c r="S431" s="558"/>
      <c r="T431" s="558"/>
      <c r="U431" s="558"/>
      <c r="V431" s="559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60.416666666666657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62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0.74151999999999996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8"/>
      <c r="P432" s="557" t="s">
        <v>70</v>
      </c>
      <c r="Q432" s="558"/>
      <c r="R432" s="558"/>
      <c r="S432" s="558"/>
      <c r="T432" s="558"/>
      <c r="U432" s="558"/>
      <c r="V432" s="559"/>
      <c r="W432" s="37" t="s">
        <v>68</v>
      </c>
      <c r="X432" s="541">
        <f>IFERROR(SUM(X420:X430),"0")</f>
        <v>319</v>
      </c>
      <c r="Y432" s="541">
        <f>IFERROR(SUM(Y420:Y430),"0")</f>
        <v>327.36</v>
      </c>
      <c r="Z432" s="37"/>
      <c r="AA432" s="542"/>
      <c r="AB432" s="542"/>
      <c r="AC432" s="542"/>
    </row>
    <row r="433" spans="1:68" ht="14.25" customHeight="1" x14ac:dyDescent="0.25">
      <c r="A433" s="554" t="s">
        <v>134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68</v>
      </c>
      <c r="X434" s="539">
        <v>154</v>
      </c>
      <c r="Y434" s="540">
        <f>IFERROR(IF(X434="",0,CEILING((X434/$H434),1)*$H434),"")</f>
        <v>158.4</v>
      </c>
      <c r="Z434" s="36">
        <f>IFERROR(IF(Y434=0,"",ROUNDUP(Y434/H434,0)*0.01196),"")</f>
        <v>0.35880000000000001</v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164.20833333333331</v>
      </c>
      <c r="BN434" s="64">
        <f>IFERROR(Y434*I434/H434,"0")</f>
        <v>168.9</v>
      </c>
      <c r="BO434" s="64">
        <f>IFERROR(1/J434*(X434/H434),"0")</f>
        <v>0.28044871794871795</v>
      </c>
      <c r="BP434" s="64">
        <f>IFERROR(1/J434*(Y434/H434),"0")</f>
        <v>0.28846153846153849</v>
      </c>
    </row>
    <row r="435" spans="1:68" ht="16.5" customHeight="1" x14ac:dyDescent="0.25">
      <c r="A435" s="54" t="s">
        <v>665</v>
      </c>
      <c r="B435" s="54" t="s">
        <v>666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667</v>
      </c>
      <c r="B436" s="54" t="s">
        <v>668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 t="s">
        <v>109</v>
      </c>
      <c r="M436" s="33" t="s">
        <v>103</v>
      </c>
      <c r="N436" s="33"/>
      <c r="O436" s="32">
        <v>70</v>
      </c>
      <c r="P436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68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664</v>
      </c>
      <c r="AG436" s="64"/>
      <c r="AJ436" s="68" t="s">
        <v>105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7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8"/>
      <c r="P437" s="557" t="s">
        <v>70</v>
      </c>
      <c r="Q437" s="558"/>
      <c r="R437" s="558"/>
      <c r="S437" s="558"/>
      <c r="T437" s="558"/>
      <c r="U437" s="558"/>
      <c r="V437" s="559"/>
      <c r="W437" s="37" t="s">
        <v>71</v>
      </c>
      <c r="X437" s="541">
        <f>IFERROR(X434/H434,"0")+IFERROR(X435/H435,"0")+IFERROR(X436/H436,"0")</f>
        <v>29.166666666666664</v>
      </c>
      <c r="Y437" s="541">
        <f>IFERROR(Y434/H434,"0")+IFERROR(Y435/H435,"0")+IFERROR(Y436/H436,"0")</f>
        <v>30</v>
      </c>
      <c r="Z437" s="541">
        <f>IFERROR(IF(Z434="",0,Z434),"0")+IFERROR(IF(Z435="",0,Z435),"0")+IFERROR(IF(Z436="",0,Z436),"0")</f>
        <v>0.35880000000000001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8"/>
      <c r="P438" s="557" t="s">
        <v>70</v>
      </c>
      <c r="Q438" s="558"/>
      <c r="R438" s="558"/>
      <c r="S438" s="558"/>
      <c r="T438" s="558"/>
      <c r="U438" s="558"/>
      <c r="V438" s="559"/>
      <c r="W438" s="37" t="s">
        <v>68</v>
      </c>
      <c r="X438" s="541">
        <f>IFERROR(SUM(X434:X436),"0")</f>
        <v>154</v>
      </c>
      <c r="Y438" s="541">
        <f>IFERROR(SUM(Y434:Y436),"0")</f>
        <v>158.4</v>
      </c>
      <c r="Z438" s="37"/>
      <c r="AA438" s="542"/>
      <c r="AB438" s="542"/>
      <c r="AC438" s="542"/>
    </row>
    <row r="439" spans="1:68" ht="14.25" customHeight="1" x14ac:dyDescent="0.25">
      <c r="A439" s="554" t="s">
        <v>63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669</v>
      </c>
      <c r="B440" s="54" t="s">
        <v>670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68</v>
      </c>
      <c r="X440" s="539">
        <v>106</v>
      </c>
      <c r="Y440" s="540">
        <f t="shared" ref="Y440:Y445" si="48">IFERROR(IF(X440="",0,CEILING((X440/$H440),1)*$H440),"")</f>
        <v>110.88000000000001</v>
      </c>
      <c r="Z440" s="36">
        <f>IFERROR(IF(Y440=0,"",ROUNDUP(Y440/H440,0)*0.01196),"")</f>
        <v>0.25115999999999999</v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113.02651515151514</v>
      </c>
      <c r="BN440" s="64">
        <f t="shared" ref="BN440:BN445" si="50">IFERROR(Y440*I440/H440,"0")</f>
        <v>118.23</v>
      </c>
      <c r="BO440" s="64">
        <f t="shared" ref="BO440:BO445" si="51">IFERROR(1/J440*(X440/H440),"0")</f>
        <v>0.19303613053613053</v>
      </c>
      <c r="BP440" s="64">
        <f t="shared" ref="BP440:BP445" si="52">IFERROR(1/J440*(Y440/H440),"0")</f>
        <v>0.20192307692307693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68</v>
      </c>
      <c r="X441" s="539">
        <v>86</v>
      </c>
      <c r="Y441" s="540">
        <f t="shared" si="48"/>
        <v>89.76</v>
      </c>
      <c r="Z441" s="36">
        <f>IFERROR(IF(Y441=0,"",ROUNDUP(Y441/H441,0)*0.01196),"")</f>
        <v>0.20332</v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91.700757575757578</v>
      </c>
      <c r="BN441" s="64">
        <f t="shared" si="50"/>
        <v>95.710000000000008</v>
      </c>
      <c r="BO441" s="64">
        <f t="shared" si="51"/>
        <v>0.15661421911421911</v>
      </c>
      <c r="BP441" s="64">
        <f t="shared" si="52"/>
        <v>0.16346153846153846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6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68</v>
      </c>
      <c r="X442" s="539">
        <v>133</v>
      </c>
      <c r="Y442" s="540">
        <f t="shared" si="48"/>
        <v>137.28</v>
      </c>
      <c r="Z442" s="36">
        <f>IFERROR(IF(Y442=0,"",ROUNDUP(Y442/H442,0)*0.01196),"")</f>
        <v>0.31096000000000001</v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141.81628787878788</v>
      </c>
      <c r="BN442" s="64">
        <f t="shared" si="50"/>
        <v>146.38</v>
      </c>
      <c r="BO442" s="64">
        <f t="shared" si="51"/>
        <v>0.24220571095571095</v>
      </c>
      <c r="BP442" s="64">
        <f t="shared" si="52"/>
        <v>0.25</v>
      </c>
    </row>
    <row r="443" spans="1:68" ht="27" customHeight="1" x14ac:dyDescent="0.25">
      <c r="A443" s="54" t="s">
        <v>678</v>
      </c>
      <c r="B443" s="54" t="s">
        <v>679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682</v>
      </c>
      <c r="B445" s="54" t="s">
        <v>683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7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8"/>
      <c r="P446" s="557" t="s">
        <v>70</v>
      </c>
      <c r="Q446" s="558"/>
      <c r="R446" s="558"/>
      <c r="S446" s="558"/>
      <c r="T446" s="558"/>
      <c r="U446" s="558"/>
      <c r="V446" s="559"/>
      <c r="W446" s="37" t="s">
        <v>71</v>
      </c>
      <c r="X446" s="541">
        <f>IFERROR(X440/H440,"0")+IFERROR(X441/H441,"0")+IFERROR(X442/H442,"0")+IFERROR(X443/H443,"0")+IFERROR(X444/H444,"0")+IFERROR(X445/H445,"0")</f>
        <v>61.553030303030297</v>
      </c>
      <c r="Y446" s="541">
        <f>IFERROR(Y440/H440,"0")+IFERROR(Y441/H441,"0")+IFERROR(Y442/H442,"0")+IFERROR(Y443/H443,"0")+IFERROR(Y444/H444,"0")+IFERROR(Y445/H445,"0")</f>
        <v>64</v>
      </c>
      <c r="Z446" s="541">
        <f>IFERROR(IF(Z440="",0,Z440),"0")+IFERROR(IF(Z441="",0,Z441),"0")+IFERROR(IF(Z442="",0,Z442),"0")+IFERROR(IF(Z443="",0,Z443),"0")+IFERROR(IF(Z444="",0,Z444),"0")+IFERROR(IF(Z445="",0,Z445),"0")</f>
        <v>0.76544000000000001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8"/>
      <c r="P447" s="557" t="s">
        <v>70</v>
      </c>
      <c r="Q447" s="558"/>
      <c r="R447" s="558"/>
      <c r="S447" s="558"/>
      <c r="T447" s="558"/>
      <c r="U447" s="558"/>
      <c r="V447" s="559"/>
      <c r="W447" s="37" t="s">
        <v>68</v>
      </c>
      <c r="X447" s="541">
        <f>IFERROR(SUM(X440:X445),"0")</f>
        <v>325</v>
      </c>
      <c r="Y447" s="541">
        <f>IFERROR(SUM(Y440:Y445),"0")</f>
        <v>337.92</v>
      </c>
      <c r="Z447" s="37"/>
      <c r="AA447" s="542"/>
      <c r="AB447" s="542"/>
      <c r="AC447" s="542"/>
    </row>
    <row r="448" spans="1:68" ht="14.25" customHeight="1" x14ac:dyDescent="0.25">
      <c r="A448" s="554" t="s">
        <v>72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684</v>
      </c>
      <c r="B449" s="54" t="s">
        <v>685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687</v>
      </c>
      <c r="B450" s="54" t="s">
        <v>688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690</v>
      </c>
      <c r="B451" s="54" t="s">
        <v>691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70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7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8"/>
      <c r="P452" s="557" t="s">
        <v>70</v>
      </c>
      <c r="Q452" s="558"/>
      <c r="R452" s="558"/>
      <c r="S452" s="558"/>
      <c r="T452" s="558"/>
      <c r="U452" s="558"/>
      <c r="V452" s="559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8"/>
      <c r="P453" s="557" t="s">
        <v>70</v>
      </c>
      <c r="Q453" s="558"/>
      <c r="R453" s="558"/>
      <c r="S453" s="558"/>
      <c r="T453" s="558"/>
      <c r="U453" s="558"/>
      <c r="V453" s="559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693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693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98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694</v>
      </c>
      <c r="B457" s="54" t="s">
        <v>695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697</v>
      </c>
      <c r="B458" s="54" t="s">
        <v>698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 t="s">
        <v>102</v>
      </c>
      <c r="M459" s="33" t="s">
        <v>103</v>
      </c>
      <c r="N459" s="33"/>
      <c r="O459" s="32">
        <v>50</v>
      </c>
      <c r="P459" s="73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 t="s">
        <v>105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7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8"/>
      <c r="P461" s="557" t="s">
        <v>70</v>
      </c>
      <c r="Q461" s="558"/>
      <c r="R461" s="558"/>
      <c r="S461" s="558"/>
      <c r="T461" s="558"/>
      <c r="U461" s="558"/>
      <c r="V461" s="559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8"/>
      <c r="P462" s="557" t="s">
        <v>70</v>
      </c>
      <c r="Q462" s="558"/>
      <c r="R462" s="558"/>
      <c r="S462" s="558"/>
      <c r="T462" s="558"/>
      <c r="U462" s="558"/>
      <c r="V462" s="559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134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705</v>
      </c>
      <c r="B464" s="54" t="s">
        <v>706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708</v>
      </c>
      <c r="B465" s="54" t="s">
        <v>709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7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8"/>
      <c r="P467" s="557" t="s">
        <v>70</v>
      </c>
      <c r="Q467" s="558"/>
      <c r="R467" s="558"/>
      <c r="S467" s="558"/>
      <c r="T467" s="558"/>
      <c r="U467" s="558"/>
      <c r="V467" s="559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8"/>
      <c r="P468" s="557" t="s">
        <v>70</v>
      </c>
      <c r="Q468" s="558"/>
      <c r="R468" s="558"/>
      <c r="S468" s="558"/>
      <c r="T468" s="558"/>
      <c r="U468" s="558"/>
      <c r="V468" s="559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63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714</v>
      </c>
      <c r="B470" s="54" t="s">
        <v>715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 t="s">
        <v>109</v>
      </c>
      <c r="M470" s="33" t="s">
        <v>67</v>
      </c>
      <c r="N470" s="33"/>
      <c r="O470" s="32">
        <v>40</v>
      </c>
      <c r="P470" s="79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 t="s">
        <v>105</v>
      </c>
      <c r="AK470" s="68">
        <v>50.4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717</v>
      </c>
      <c r="B471" s="54" t="s">
        <v>718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 t="s">
        <v>109</v>
      </c>
      <c r="M471" s="33" t="s">
        <v>67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105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7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8"/>
      <c r="P472" s="557" t="s">
        <v>70</v>
      </c>
      <c r="Q472" s="558"/>
      <c r="R472" s="558"/>
      <c r="S472" s="558"/>
      <c r="T472" s="558"/>
      <c r="U472" s="558"/>
      <c r="V472" s="559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8"/>
      <c r="P473" s="557" t="s">
        <v>70</v>
      </c>
      <c r="Q473" s="558"/>
      <c r="R473" s="558"/>
      <c r="S473" s="558"/>
      <c r="T473" s="558"/>
      <c r="U473" s="558"/>
      <c r="V473" s="559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72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720</v>
      </c>
      <c r="B475" s="54" t="s">
        <v>721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 t="s">
        <v>102</v>
      </c>
      <c r="M475" s="33" t="s">
        <v>83</v>
      </c>
      <c r="N475" s="33"/>
      <c r="O475" s="32">
        <v>45</v>
      </c>
      <c r="P475" s="7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68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 t="s">
        <v>105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7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8"/>
      <c r="P476" s="557" t="s">
        <v>70</v>
      </c>
      <c r="Q476" s="558"/>
      <c r="R476" s="558"/>
      <c r="S476" s="558"/>
      <c r="T476" s="558"/>
      <c r="U476" s="558"/>
      <c r="V476" s="559"/>
      <c r="W476" s="37" t="s">
        <v>71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8"/>
      <c r="P477" s="557" t="s">
        <v>70</v>
      </c>
      <c r="Q477" s="558"/>
      <c r="R477" s="558"/>
      <c r="S477" s="558"/>
      <c r="T477" s="558"/>
      <c r="U477" s="558"/>
      <c r="V477" s="559"/>
      <c r="W477" s="37" t="s">
        <v>68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54" t="s">
        <v>162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723</v>
      </c>
      <c r="B479" s="54" t="s">
        <v>724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726</v>
      </c>
      <c r="B480" s="54" t="s">
        <v>727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7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8"/>
      <c r="P481" s="557" t="s">
        <v>70</v>
      </c>
      <c r="Q481" s="558"/>
      <c r="R481" s="558"/>
      <c r="S481" s="558"/>
      <c r="T481" s="558"/>
      <c r="U481" s="558"/>
      <c r="V481" s="559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8"/>
      <c r="P482" s="557" t="s">
        <v>70</v>
      </c>
      <c r="Q482" s="558"/>
      <c r="R482" s="558"/>
      <c r="S482" s="558"/>
      <c r="T482" s="558"/>
      <c r="U482" s="558"/>
      <c r="V482" s="559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729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134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730</v>
      </c>
      <c r="B485" s="54" t="s">
        <v>731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7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8"/>
      <c r="P486" s="557" t="s">
        <v>70</v>
      </c>
      <c r="Q486" s="558"/>
      <c r="R486" s="558"/>
      <c r="S486" s="558"/>
      <c r="T486" s="558"/>
      <c r="U486" s="558"/>
      <c r="V486" s="559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8"/>
      <c r="P487" s="557" t="s">
        <v>70</v>
      </c>
      <c r="Q487" s="558"/>
      <c r="R487" s="558"/>
      <c r="S487" s="558"/>
      <c r="T487" s="558"/>
      <c r="U487" s="558"/>
      <c r="V487" s="559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6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7" t="s">
        <v>733</v>
      </c>
      <c r="Q488" s="628"/>
      <c r="R488" s="628"/>
      <c r="S488" s="628"/>
      <c r="T488" s="628"/>
      <c r="U488" s="628"/>
      <c r="V488" s="629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2724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2835.6600000000003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7" t="s">
        <v>734</v>
      </c>
      <c r="Q489" s="628"/>
      <c r="R489" s="628"/>
      <c r="S489" s="628"/>
      <c r="T489" s="628"/>
      <c r="U489" s="628"/>
      <c r="V489" s="629"/>
      <c r="W489" s="37" t="s">
        <v>68</v>
      </c>
      <c r="X489" s="541">
        <f>IFERROR(SUM(BM22:BM485),"0")</f>
        <v>2917.5144616858825</v>
      </c>
      <c r="Y489" s="541">
        <f>IFERROR(SUM(BN22:BN485),"0")</f>
        <v>3035.6200000000003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7" t="s">
        <v>735</v>
      </c>
      <c r="Q490" s="628"/>
      <c r="R490" s="628"/>
      <c r="S490" s="628"/>
      <c r="T490" s="628"/>
      <c r="U490" s="628"/>
      <c r="V490" s="629"/>
      <c r="W490" s="37" t="s">
        <v>736</v>
      </c>
      <c r="X490" s="38">
        <f>ROUNDUP(SUM(BO22:BO485),0)</f>
        <v>6</v>
      </c>
      <c r="Y490" s="38">
        <f>ROUNDUP(SUM(BP22:BP485),0)</f>
        <v>6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7" t="s">
        <v>737</v>
      </c>
      <c r="Q491" s="628"/>
      <c r="R491" s="628"/>
      <c r="S491" s="628"/>
      <c r="T491" s="628"/>
      <c r="U491" s="628"/>
      <c r="V491" s="629"/>
      <c r="W491" s="37" t="s">
        <v>68</v>
      </c>
      <c r="X491" s="541">
        <f>GrossWeightTotal+PalletQtyTotal*25</f>
        <v>3067.5144616858825</v>
      </c>
      <c r="Y491" s="541">
        <f>GrossWeightTotalR+PalletQtyTotalR*25</f>
        <v>3185.6200000000003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7" t="s">
        <v>738</v>
      </c>
      <c r="Q492" s="628"/>
      <c r="R492" s="628"/>
      <c r="S492" s="628"/>
      <c r="T492" s="628"/>
      <c r="U492" s="628"/>
      <c r="V492" s="629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725.59147770463551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748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7" t="s">
        <v>739</v>
      </c>
      <c r="Q493" s="628"/>
      <c r="R493" s="628"/>
      <c r="S493" s="628"/>
      <c r="T493" s="628"/>
      <c r="U493" s="628"/>
      <c r="V493" s="629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6.4739200000000015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6" t="s">
        <v>96</v>
      </c>
      <c r="D495" s="594"/>
      <c r="E495" s="594"/>
      <c r="F495" s="594"/>
      <c r="G495" s="594"/>
      <c r="H495" s="595"/>
      <c r="I495" s="576" t="s">
        <v>250</v>
      </c>
      <c r="J495" s="594"/>
      <c r="K495" s="594"/>
      <c r="L495" s="594"/>
      <c r="M495" s="594"/>
      <c r="N495" s="594"/>
      <c r="O495" s="594"/>
      <c r="P495" s="594"/>
      <c r="Q495" s="594"/>
      <c r="R495" s="595"/>
      <c r="S495" s="576" t="s">
        <v>531</v>
      </c>
      <c r="T495" s="595"/>
      <c r="U495" s="576" t="s">
        <v>582</v>
      </c>
      <c r="V495" s="594"/>
      <c r="W495" s="595"/>
      <c r="X495" s="536" t="s">
        <v>633</v>
      </c>
      <c r="Y495" s="576" t="s">
        <v>693</v>
      </c>
      <c r="Z495" s="595"/>
      <c r="AB495" s="52"/>
      <c r="AC495" s="52"/>
      <c r="AF495" s="537"/>
    </row>
    <row r="496" spans="1:68" ht="14.25" customHeight="1" thickTop="1" x14ac:dyDescent="0.2">
      <c r="A496" s="599" t="s">
        <v>742</v>
      </c>
      <c r="B496" s="576" t="s">
        <v>62</v>
      </c>
      <c r="C496" s="576" t="s">
        <v>97</v>
      </c>
      <c r="D496" s="576" t="s">
        <v>115</v>
      </c>
      <c r="E496" s="576" t="s">
        <v>169</v>
      </c>
      <c r="F496" s="576" t="s">
        <v>189</v>
      </c>
      <c r="G496" s="576" t="s">
        <v>219</v>
      </c>
      <c r="H496" s="576" t="s">
        <v>96</v>
      </c>
      <c r="I496" s="576" t="s">
        <v>251</v>
      </c>
      <c r="J496" s="576" t="s">
        <v>296</v>
      </c>
      <c r="K496" s="576" t="s">
        <v>355</v>
      </c>
      <c r="L496" s="576" t="s">
        <v>397</v>
      </c>
      <c r="M496" s="576" t="s">
        <v>413</v>
      </c>
      <c r="N496" s="537"/>
      <c r="O496" s="576" t="s">
        <v>424</v>
      </c>
      <c r="P496" s="576" t="s">
        <v>433</v>
      </c>
      <c r="Q496" s="576" t="s">
        <v>447</v>
      </c>
      <c r="R496" s="576" t="s">
        <v>521</v>
      </c>
      <c r="S496" s="576" t="s">
        <v>532</v>
      </c>
      <c r="T496" s="576" t="s">
        <v>566</v>
      </c>
      <c r="U496" s="576" t="s">
        <v>583</v>
      </c>
      <c r="V496" s="576" t="s">
        <v>614</v>
      </c>
      <c r="W496" s="576" t="s">
        <v>629</v>
      </c>
      <c r="X496" s="576" t="s">
        <v>633</v>
      </c>
      <c r="Y496" s="576" t="s">
        <v>693</v>
      </c>
      <c r="Z496" s="576" t="s">
        <v>729</v>
      </c>
      <c r="AB496" s="52"/>
      <c r="AC496" s="52"/>
      <c r="AF496" s="537"/>
    </row>
    <row r="497" spans="1:32" ht="13.5" customHeight="1" thickBot="1" x14ac:dyDescent="0.25">
      <c r="A497" s="600"/>
      <c r="B497" s="577"/>
      <c r="C497" s="577"/>
      <c r="D497" s="577"/>
      <c r="E497" s="577"/>
      <c r="F497" s="577"/>
      <c r="G497" s="577"/>
      <c r="H497" s="577"/>
      <c r="I497" s="577"/>
      <c r="J497" s="577"/>
      <c r="K497" s="577"/>
      <c r="L497" s="577"/>
      <c r="M497" s="577"/>
      <c r="N497" s="537"/>
      <c r="O497" s="577"/>
      <c r="P497" s="577"/>
      <c r="Q497" s="577"/>
      <c r="R497" s="577"/>
      <c r="S497" s="577"/>
      <c r="T497" s="577"/>
      <c r="U497" s="577"/>
      <c r="V497" s="577"/>
      <c r="W497" s="577"/>
      <c r="X497" s="577"/>
      <c r="Y497" s="577"/>
      <c r="Z497" s="577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22.200000000000003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88.800000000000011</v>
      </c>
      <c r="E498" s="46">
        <f>IFERROR(Y85*1,"0")+IFERROR(Y86*1,"0")+IFERROR(Y87*1,"0")+IFERROR(Y91*1,"0")+IFERROR(Y92*1,"0")+IFERROR(Y93*1,"0")+IFERROR(Y94*1,"0")</f>
        <v>105.30000000000001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202.8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141.30000000000001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807.6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29.98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74.400000000000006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25.400000000000002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330</v>
      </c>
      <c r="T498" s="46">
        <f>IFERROR(Y367*1,"0")+IFERROR(Y368*1,"0")+IFERROR(Y372*1,"0")+IFERROR(Y373*1,"0")+IFERROR(Y377*1,"0")+IFERROR(Y378*1,"0")</f>
        <v>92.4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21.6</v>
      </c>
      <c r="V498" s="46">
        <f>IFERROR(Y402*1,"0")+IFERROR(Y406*1,"0")+IFERROR(Y407*1,"0")+IFERROR(Y408*1,"0")+IFERROR(Y409*1,"0")</f>
        <v>70.2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823.68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7ies3SNWDxRWmBdMOtbbwb1JgHHlIgx/IEy5ejHslQIwcLVCVGJIYTz0tGfKIA34Wwg8+fHYYTlAq2xQGNWOIA==" saltValue="Y/RqrpMjNdrJlzCcSZ1QP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X17:X18"/>
    <mergeCell ref="D408:E408"/>
    <mergeCell ref="P216:V216"/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307:T307"/>
    <mergeCell ref="P444:T444"/>
    <mergeCell ref="D421:E421"/>
    <mergeCell ref="P23:V23"/>
    <mergeCell ref="A262:Z262"/>
    <mergeCell ref="A333:Z333"/>
    <mergeCell ref="D54:E54"/>
    <mergeCell ref="D271:E271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132:V132"/>
    <mergeCell ref="P72:T72"/>
    <mergeCell ref="A31:O32"/>
    <mergeCell ref="A478:Z478"/>
    <mergeCell ref="P436:T436"/>
    <mergeCell ref="P379:V379"/>
    <mergeCell ref="A33:Z33"/>
    <mergeCell ref="D196:E196"/>
    <mergeCell ref="A269:Z269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102:T102"/>
    <mergeCell ref="P196:T196"/>
    <mergeCell ref="P281:V281"/>
    <mergeCell ref="D226:E226"/>
    <mergeCell ref="D164:E164"/>
    <mergeCell ref="P62:T62"/>
    <mergeCell ref="P420:T420"/>
    <mergeCell ref="P146:T146"/>
    <mergeCell ref="D323:E323"/>
    <mergeCell ref="A136:O137"/>
    <mergeCell ref="A192:O193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384:E384"/>
    <mergeCell ref="D213:E213"/>
    <mergeCell ref="P192:V192"/>
    <mergeCell ref="D151:E151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A155:Z155"/>
    <mergeCell ref="P268:V268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Z496:Z497"/>
    <mergeCell ref="A454:Z454"/>
    <mergeCell ref="D389:E389"/>
    <mergeCell ref="S495:T495"/>
    <mergeCell ref="D299:E299"/>
    <mergeCell ref="D85:E85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A17:AA18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H17:H18"/>
    <mergeCell ref="A220:O221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P327:T327"/>
    <mergeCell ref="A160:Z160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51:T51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P126:V126"/>
    <mergeCell ref="D424:E424"/>
    <mergeCell ref="P224:T224"/>
    <mergeCell ref="P322:T322"/>
    <mergeCell ref="A285:O286"/>
    <mergeCell ref="P211:T211"/>
    <mergeCell ref="P309:T309"/>
    <mergeCell ref="T496:T497"/>
    <mergeCell ref="Q496:Q497"/>
    <mergeCell ref="S496:S497"/>
    <mergeCell ref="A418:Z418"/>
    <mergeCell ref="D283:E283"/>
    <mergeCell ref="A356:Z356"/>
    <mergeCell ref="D112:E112"/>
    <mergeCell ref="P441:T441"/>
    <mergeCell ref="A431:O432"/>
    <mergeCell ref="P152:V152"/>
    <mergeCell ref="D140:E140"/>
    <mergeCell ref="A340:Z340"/>
    <mergeCell ref="D425:E425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283:T283"/>
    <mergeCell ref="D264:E264"/>
    <mergeCell ref="D93:E93"/>
    <mergeCell ref="D391:E391"/>
    <mergeCell ref="P370:V370"/>
    <mergeCell ref="A369:O370"/>
    <mergeCell ref="D328:E328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82:V82"/>
    <mergeCell ref="P303:T303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A376:Z376"/>
    <mergeCell ref="A105:Z105"/>
    <mergeCell ref="D224:E224"/>
    <mergeCell ref="A398:O399"/>
    <mergeCell ref="P230:T230"/>
    <mergeCell ref="D211:E211"/>
    <mergeCell ref="P168:T16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Y495:Z49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P329:T329"/>
    <mergeCell ref="A148:O149"/>
    <mergeCell ref="W17:W18"/>
    <mergeCell ref="P96:V96"/>
    <mergeCell ref="P325:V325"/>
    <mergeCell ref="A150:Z150"/>
    <mergeCell ref="I495:R495"/>
    <mergeCell ref="A144:Z144"/>
    <mergeCell ref="A120:O121"/>
    <mergeCell ref="D378:E378"/>
    <mergeCell ref="D129:E129"/>
    <mergeCell ref="D406:E406"/>
    <mergeCell ref="P251:V251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P157:T157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D134:E134"/>
    <mergeCell ref="A379:O380"/>
    <mergeCell ref="A330:O331"/>
    <mergeCell ref="P249:T249"/>
    <mergeCell ref="A365:Z365"/>
    <mergeCell ref="D357:E357"/>
    <mergeCell ref="D258:E258"/>
    <mergeCell ref="P235:V235"/>
    <mergeCell ref="P402:T402"/>
    <mergeCell ref="D301:E301"/>
    <mergeCell ref="D245:E245"/>
    <mergeCell ref="P188:V188"/>
    <mergeCell ref="D147:E14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1 X163:X164 X167:X168 X191 X195:X200 X202 X206:X209 X211:X214 X218:X219 X224 X254 X272:X273 X298 X301 X307 X314:X316 X322:X323 X327:X329 X334:X336 X342:X344 X352 X358 X367 X372 X377:X378 X384 X386 X391 X406 X420 X422:X423 X425 X430 X434 X436 X440:X442 X459 X470:X47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6p3wTVgvZrSk1EP3e6nhnDbbdvfAJndKamLj2Gzn/uWxsBuMpZxGNKzo/eD6rJKB42GdX2eBFtmi9zWcz8pgxA==" saltValue="ocXP5w6orvhbaYnhsqec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2025-11-26T07:12:42Z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