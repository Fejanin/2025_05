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E251B8B0-22C2-47AD-9CBD-4496D82591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BO191" i="1"/>
  <c r="BM191" i="1"/>
  <c r="Z191" i="1"/>
  <c r="Y191" i="1"/>
  <c r="P191" i="1"/>
  <c r="Y188" i="1"/>
  <c r="X188" i="1"/>
  <c r="Z187" i="1"/>
  <c r="X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Y184" i="1"/>
  <c r="BO183" i="1"/>
  <c r="BM183" i="1"/>
  <c r="Z183" i="1"/>
  <c r="Y183" i="1"/>
  <c r="P183" i="1"/>
  <c r="X181" i="1"/>
  <c r="Z180" i="1"/>
  <c r="X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P154" i="1"/>
  <c r="Y151" i="1"/>
  <c r="X151" i="1"/>
  <c r="X150" i="1"/>
  <c r="BP149" i="1"/>
  <c r="BO149" i="1"/>
  <c r="BN149" i="1"/>
  <c r="BM149" i="1"/>
  <c r="Z149" i="1"/>
  <c r="Z150" i="1" s="1"/>
  <c r="Y149" i="1"/>
  <c r="Y150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6" i="1" s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7" i="1"/>
  <c r="BP183" i="1"/>
  <c r="BN183" i="1"/>
  <c r="BP184" i="1"/>
  <c r="BN184" i="1"/>
  <c r="BP186" i="1"/>
  <c r="BN18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7" i="1" l="1"/>
  <c r="B287" i="1" s="1"/>
  <c r="A287" i="1"/>
  <c r="C287" i="1" l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<sst xmlns="http://schemas.openxmlformats.org/spreadsheetml/2006/main" count="1229" uniqueCount="395">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</sst>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7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98</v>
      </c>
      <c r="Y28" s="269">
        <f>IFERROR(IF(X28="","",X28),"")</f>
        <v>98</v>
      </c>
      <c r="Z28" s="36">
        <f>IFERROR(IF(X28="","",X28*0.00941),"")</f>
        <v>0.92218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188.3364</v>
      </c>
      <c r="BN28" s="67">
        <f>IFERROR(Y28*I28,"0")</f>
        <v>188.3364</v>
      </c>
      <c r="BO28" s="67">
        <f>IFERROR(X28/J28,"0")</f>
        <v>0.7</v>
      </c>
      <c r="BP28" s="67">
        <f>IFERROR(Y28/J28,"0")</f>
        <v>0.7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12</v>
      </c>
      <c r="Y34" s="269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48</v>
      </c>
      <c r="Y42" s="269">
        <f>IFERROR(IF(X42="","",X42),"")</f>
        <v>48</v>
      </c>
      <c r="Z42" s="36">
        <f>IFERROR(IF(X42="","",X42*0.0155),"")</f>
        <v>0.74399999999999999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349.72799999999995</v>
      </c>
      <c r="BN42" s="67">
        <f>IFERROR(Y42*I42,"0")</f>
        <v>349.72799999999995</v>
      </c>
      <c r="BO42" s="67">
        <f>IFERROR(X42/J42,"0")</f>
        <v>0.5714285714285714</v>
      </c>
      <c r="BP42" s="67">
        <f>IFERROR(Y42/J42,"0")</f>
        <v>0.5714285714285714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72</v>
      </c>
      <c r="Y45" s="270">
        <f>IFERROR(SUM(Y41:Y44),"0")</f>
        <v>72</v>
      </c>
      <c r="Z45" s="270">
        <f>IFERROR(IF(Z41="",0,Z41),"0")+IFERROR(IF(Z42="",0,Z42),"0")+IFERROR(IF(Z43="",0,Z43),"0")+IFERROR(IF(Z44="",0,Z44),"0")</f>
        <v>1.1159999999999999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504</v>
      </c>
      <c r="Y46" s="270">
        <f>IFERROR(SUMPRODUCT(Y41:Y44*H41:H44),"0")</f>
        <v>504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36</v>
      </c>
      <c r="Y70" s="269">
        <f>IFERROR(IF(X70="","",X70),"")</f>
        <v>36</v>
      </c>
      <c r="Z70" s="36">
        <f>IFERROR(IF(X70="","",X70*0.00866),"")</f>
        <v>0.31175999999999998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187.67519999999999</v>
      </c>
      <c r="BN70" s="67">
        <f>IFERROR(Y70*I70,"0")</f>
        <v>187.67519999999999</v>
      </c>
      <c r="BO70" s="67">
        <f>IFERROR(X70/J70,"0")</f>
        <v>0.25</v>
      </c>
      <c r="BP70" s="67">
        <f>IFERROR(Y70/J70,"0")</f>
        <v>0.25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36</v>
      </c>
      <c r="Y71" s="270">
        <f>IFERROR(SUM(Y69:Y70),"0")</f>
        <v>36</v>
      </c>
      <c r="Z71" s="270">
        <f>IFERROR(IF(Z69="",0,Z69),"0")+IFERROR(IF(Z70="",0,Z70),"0")</f>
        <v>0.31175999999999998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180</v>
      </c>
      <c r="Y72" s="270">
        <f>IFERROR(SUMPRODUCT(Y69:Y70*H69:H70),"0")</f>
        <v>180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70</v>
      </c>
      <c r="Y81" s="269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126</v>
      </c>
      <c r="Y82" s="270">
        <f>IFERROR(SUM(Y80:Y81),"0")</f>
        <v>126</v>
      </c>
      <c r="Z82" s="270">
        <f>IFERROR(IF(Z80="",0,Z80),"0")+IFERROR(IF(Z81="",0,Z81),"0")</f>
        <v>2.2528800000000002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453.6</v>
      </c>
      <c r="Y83" s="270">
        <f>IFERROR(SUMPRODUCT(Y80:Y81*H80:H81),"0")</f>
        <v>453.6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42</v>
      </c>
      <c r="Y88" s="269">
        <f t="shared" si="0"/>
        <v>42</v>
      </c>
      <c r="Z88" s="36">
        <f t="shared" si="1"/>
        <v>0.75095999999999996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150.5112</v>
      </c>
      <c r="BN88" s="67">
        <f t="shared" si="3"/>
        <v>150.5112</v>
      </c>
      <c r="BO88" s="67">
        <f t="shared" si="4"/>
        <v>0.6</v>
      </c>
      <c r="BP88" s="67">
        <f t="shared" si="5"/>
        <v>0.6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14</v>
      </c>
      <c r="Y89" s="269">
        <f t="shared" si="0"/>
        <v>14</v>
      </c>
      <c r="Z89" s="36">
        <f t="shared" si="1"/>
        <v>0.25031999999999999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50.170400000000001</v>
      </c>
      <c r="BN89" s="67">
        <f t="shared" si="3"/>
        <v>50.170400000000001</v>
      </c>
      <c r="BO89" s="67">
        <f t="shared" si="4"/>
        <v>0.2</v>
      </c>
      <c r="BP89" s="67">
        <f t="shared" si="5"/>
        <v>0.2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112</v>
      </c>
      <c r="Y92" s="270">
        <f>IFERROR(SUM(Y86:Y91),"0")</f>
        <v>112</v>
      </c>
      <c r="Z92" s="270">
        <f>IFERROR(IF(Z86="",0,Z86),"0")+IFERROR(IF(Z87="",0,Z87),"0")+IFERROR(IF(Z88="",0,Z88),"0")+IFERROR(IF(Z89="",0,Z89),"0")+IFERROR(IF(Z90="",0,Z90),"0")+IFERROR(IF(Z91="",0,Z91),"0")</f>
        <v>2.0025599999999999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336</v>
      </c>
      <c r="Y93" s="270">
        <f>IFERROR(SUMPRODUCT(Y86:Y91*H86:H91),"0")</f>
        <v>336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144</v>
      </c>
      <c r="Y107" s="269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240</v>
      </c>
      <c r="Y109" s="270">
        <f>IFERROR(SUM(Y102:Y108),"0")</f>
        <v>240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3.72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1658.4</v>
      </c>
      <c r="Y110" s="270">
        <f>IFERROR(SUMPRODUCT(Y102:Y108*H102:H108),"0")</f>
        <v>1658.4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14</v>
      </c>
      <c r="Y112" s="269">
        <f>IFERROR(IF(X112="","",X112),"")</f>
        <v>14</v>
      </c>
      <c r="Z112" s="36">
        <f>IFERROR(IF(X112="","",X112*0.01788),"")</f>
        <v>0.25031999999999999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46.810400000000001</v>
      </c>
      <c r="BN112" s="67">
        <f>IFERROR(Y112*I112,"0")</f>
        <v>46.810400000000001</v>
      </c>
      <c r="BO112" s="67">
        <f>IFERROR(X112/J112,"0")</f>
        <v>0.2</v>
      </c>
      <c r="BP112" s="67">
        <f>IFERROR(Y112/J112,"0")</f>
        <v>0.2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14</v>
      </c>
      <c r="Y113" s="270">
        <f>IFERROR(SUM(Y112:Y112),"0")</f>
        <v>14</v>
      </c>
      <c r="Z113" s="270">
        <f>IFERROR(IF(Z112="",0,Z112),"0")</f>
        <v>0.25031999999999999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36.96</v>
      </c>
      <c r="Y114" s="270">
        <f>IFERROR(SUMPRODUCT(Y112:Y112*H112:H112),"0")</f>
        <v>36.96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154</v>
      </c>
      <c r="Y123" s="270">
        <f>IFERROR(SUM(Y121:Y122),"0")</f>
        <v>154</v>
      </c>
      <c r="Z123" s="270">
        <f>IFERROR(IF(Z121="",0,Z121),"0")+IFERROR(IF(Z122="",0,Z122),"0")</f>
        <v>2.75352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462</v>
      </c>
      <c r="Y124" s="270">
        <f>IFERROR(SUMPRODUCT(Y121:Y122*H121:H122),"0")</f>
        <v>462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28</v>
      </c>
      <c r="Y127" s="269">
        <f>IFERROR(IF(X127="","",X127),"")</f>
        <v>28</v>
      </c>
      <c r="Z127" s="36">
        <f>IFERROR(IF(X127="","",X127*0.01788),"")</f>
        <v>0.50063999999999997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104.944</v>
      </c>
      <c r="BN127" s="67">
        <f>IFERROR(Y127*I127,"0")</f>
        <v>104.944</v>
      </c>
      <c r="BO127" s="67">
        <f>IFERROR(X127/J127,"0")</f>
        <v>0.4</v>
      </c>
      <c r="BP127" s="67">
        <f>IFERROR(Y127/J127,"0")</f>
        <v>0.4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103.70079999999999</v>
      </c>
      <c r="BN128" s="67">
        <f>IFERROR(Y128*I128,"0")</f>
        <v>103.70079999999999</v>
      </c>
      <c r="BO128" s="67">
        <f>IFERROR(X128/J128,"0")</f>
        <v>0.4</v>
      </c>
      <c r="BP128" s="67">
        <f>IFERROR(Y128/J128,"0")</f>
        <v>0.4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56</v>
      </c>
      <c r="Y129" s="270">
        <f>IFERROR(SUM(Y127:Y128),"0")</f>
        <v>56</v>
      </c>
      <c r="Z129" s="270">
        <f>IFERROR(IF(Z127="",0,Z127),"0")+IFERROR(IF(Z128="",0,Z128),"0")</f>
        <v>1.0012799999999999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168</v>
      </c>
      <c r="Y130" s="270">
        <f>IFERROR(SUMPRODUCT(Y127:Y128*H127:H128),"0")</f>
        <v>168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33.6</v>
      </c>
      <c r="Y136" s="270">
        <f>IFERROR(SUMPRODUCT(Y133:Y134*H133:H134),"0")</f>
        <v>33.6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67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71</v>
      </c>
      <c r="AK144" s="71">
        <v>1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84</v>
      </c>
      <c r="Y154" s="269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84</v>
      </c>
      <c r="Y155" s="270">
        <f>IFERROR(SUM(Y154:Y154),"0")</f>
        <v>84</v>
      </c>
      <c r="Z155" s="270">
        <f>IFERROR(IF(Z154="",0,Z154),"0")</f>
        <v>0.79044000000000003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141.12</v>
      </c>
      <c r="Y156" s="270">
        <f>IFERROR(SUMPRODUCT(Y154:Y154*H154:H154),"0")</f>
        <v>141.12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14</v>
      </c>
      <c r="Y167" s="269">
        <f>IFERROR(IF(X167="","",X167),"")</f>
        <v>14</v>
      </c>
      <c r="Z167" s="36">
        <f>IFERROR(IF(X167="","",X167*0.01788),"")</f>
        <v>0.25031999999999999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47.432000000000002</v>
      </c>
      <c r="BN167" s="67">
        <f>IFERROR(Y167*I167,"0")</f>
        <v>47.432000000000002</v>
      </c>
      <c r="BO167" s="67">
        <f>IFERROR(X167/J167,"0")</f>
        <v>0.2</v>
      </c>
      <c r="BP167" s="67">
        <f>IFERROR(Y167/J167,"0")</f>
        <v>0.2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56</v>
      </c>
      <c r="Y170" s="270">
        <f>IFERROR(SUM(Y167:Y169),"0")</f>
        <v>56</v>
      </c>
      <c r="Z170" s="270">
        <f>IFERROR(IF(Z167="",0,Z167),"0")+IFERROR(IF(Z168="",0,Z168),"0")+IFERROR(IF(Z169="",0,Z169),"0")</f>
        <v>1.0012799999999999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168</v>
      </c>
      <c r="Y171" s="270">
        <f>IFERROR(SUMPRODUCT(Y167:Y169*H167:H169),"0")</f>
        <v>168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67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71</v>
      </c>
      <c r="AK183" s="71">
        <v>1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24</v>
      </c>
      <c r="Y195" s="269">
        <f>IFERROR(IF(X195="","",X195),"")</f>
        <v>24</v>
      </c>
      <c r="Z195" s="36">
        <f>IFERROR(IF(X195="","",X195*0.0155),"")</f>
        <v>0.372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179.28</v>
      </c>
      <c r="BN195" s="67">
        <f>IFERROR(Y195*I195,"0")</f>
        <v>179.28</v>
      </c>
      <c r="BO195" s="67">
        <f>IFERROR(X195/J195,"0")</f>
        <v>0.2857142857142857</v>
      </c>
      <c r="BP195" s="67">
        <f>IFERROR(Y195/J195,"0")</f>
        <v>0.2857142857142857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36</v>
      </c>
      <c r="Y196" s="270">
        <f>IFERROR(SUM(Y191:Y195),"0")</f>
        <v>36</v>
      </c>
      <c r="Z196" s="270">
        <f>IFERROR(IF(Z191="",0,Z191),"0")+IFERROR(IF(Z192="",0,Z192),"0")+IFERROR(IF(Z193="",0,Z193),"0")+IFERROR(IF(Z194="",0,Z194),"0")+IFERROR(IF(Z195="",0,Z195),"0")</f>
        <v>0.55800000000000005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259.20000000000005</v>
      </c>
      <c r="Y197" s="270">
        <f>IFERROR(SUMPRODUCT(Y191:Y195*H191:H195),"0")</f>
        <v>259.20000000000005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48</v>
      </c>
      <c r="Y246" s="269">
        <f>IFERROR(IF(X246="","",X246),"")</f>
        <v>48</v>
      </c>
      <c r="Z246" s="36">
        <f>IFERROR(IF(X246="","",X246*0.0155),"")</f>
        <v>0.74399999999999999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349.44</v>
      </c>
      <c r="BN246" s="67">
        <f>IFERROR(Y246*I246,"0")</f>
        <v>349.44</v>
      </c>
      <c r="BO246" s="67">
        <f>IFERROR(X246/J246,"0")</f>
        <v>0.5714285714285714</v>
      </c>
      <c r="BP246" s="67">
        <f>IFERROR(Y246/J246,"0")</f>
        <v>0.5714285714285714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28" t="s">
        <v>331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74.760000000000005</v>
      </c>
      <c r="BN247" s="67">
        <f>IFERROR(Y247*I247,"0")</f>
        <v>74.760000000000005</v>
      </c>
      <c r="BO247" s="67">
        <f>IFERROR(X247/J247,"0")</f>
        <v>0.14285714285714285</v>
      </c>
      <c r="BP247" s="67">
        <f>IFERROR(Y247/J247,"0")</f>
        <v>0.14285714285714285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60</v>
      </c>
      <c r="Y248" s="270">
        <f>IFERROR(SUM(Y245:Y247),"0")</f>
        <v>60</v>
      </c>
      <c r="Z248" s="270">
        <f>IFERROR(IF(Z245="",0,Z245),"0")+IFERROR(IF(Z246="",0,Z246),"0")+IFERROR(IF(Z247="",0,Z247),"0")</f>
        <v>0.92999999999999994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408</v>
      </c>
      <c r="Y249" s="270">
        <f>IFERROR(SUMPRODUCT(Y245:Y247*H245:H247),"0")</f>
        <v>408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36</v>
      </c>
      <c r="Y251" s="269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225.35999999999999</v>
      </c>
      <c r="BN251" s="67">
        <f>IFERROR(Y251*I251,"0")</f>
        <v>225.35999999999999</v>
      </c>
      <c r="BO251" s="67">
        <f>IFERROR(X251/J251,"0")</f>
        <v>0.42857142857142855</v>
      </c>
      <c r="BP251" s="67">
        <f>IFERROR(Y251/J251,"0")</f>
        <v>0.42857142857142855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36</v>
      </c>
      <c r="Y253" s="270">
        <f>IFERROR(SUM(Y251:Y252),"0")</f>
        <v>36</v>
      </c>
      <c r="Z253" s="270">
        <f>IFERROR(IF(Z251="",0,Z251),"0")+IFERROR(IF(Z252="",0,Z252),"0")</f>
        <v>0.55800000000000005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216</v>
      </c>
      <c r="Y254" s="270">
        <f>IFERROR(SUMPRODUCT(Y251:Y252*H251:H252),"0")</f>
        <v>216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84</v>
      </c>
      <c r="Y257" s="269">
        <f>IFERROR(IF(X257="","",X257),"")</f>
        <v>84</v>
      </c>
      <c r="Z257" s="36">
        <f>IFERROR(IF(X257="","",X257*0.0155),"")</f>
        <v>1.302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439.74</v>
      </c>
      <c r="BN257" s="67">
        <f>IFERROR(Y257*I257,"0")</f>
        <v>439.74</v>
      </c>
      <c r="BO257" s="67">
        <f>IFERROR(X257/J257,"0")</f>
        <v>1</v>
      </c>
      <c r="BP257" s="67">
        <f>IFERROR(Y257/J257,"0")</f>
        <v>1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98</v>
      </c>
      <c r="Y259" s="270">
        <f>IFERROR(SUM(Y256:Y258),"0")</f>
        <v>98</v>
      </c>
      <c r="Z259" s="270">
        <f>IFERROR(IF(Z256="",0,Z256),"0")+IFERROR(IF(Z257="",0,Z257),"0")+IFERROR(IF(Z258="",0,Z258),"0")</f>
        <v>1.4330400000000001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457.8</v>
      </c>
      <c r="Y260" s="270">
        <f>IFERROR(SUMPRODUCT(Y256:Y258*H256:H258),"0")</f>
        <v>457.8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84</v>
      </c>
      <c r="Y263" s="269">
        <f t="shared" si="12"/>
        <v>84</v>
      </c>
      <c r="Z263" s="36">
        <f>IFERROR(IF(X263="","",X263*0.00936),"")</f>
        <v>0.78624000000000005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326.928</v>
      </c>
      <c r="BN263" s="67">
        <f t="shared" si="14"/>
        <v>326.928</v>
      </c>
      <c r="BO263" s="67">
        <f t="shared" si="15"/>
        <v>0.66666666666666663</v>
      </c>
      <c r="BP263" s="67">
        <f t="shared" si="16"/>
        <v>0.66666666666666663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349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98</v>
      </c>
      <c r="Y272" s="270">
        <f>IFERROR(SUM(Y262:Y271),"0")</f>
        <v>98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0.9172800000000001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352.8</v>
      </c>
      <c r="Y273" s="270">
        <f>IFERROR(SUMPRODUCT(Y262:Y271*H262:H271),"0")</f>
        <v>352.8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6660.7200000000012</v>
      </c>
      <c r="Y274" s="270">
        <f>IFERROR(Y24+Y31+Y38+Y46+Y51+Y55+Y60+Y66+Y72+Y77+Y83+Y93+Y99+Y110+Y114+Y118+Y124+Y130+Y136+Y141+Y146+Y151+Y156+Y163+Y171+Y175+Y181+Y188+Y197+Y202+Y207+Y213+Y219+Y225+Y231+Y237+Y241+Y249+Y254+Y260+Y273,"0")</f>
        <v>6660.7200000000012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7319.0079999999998</v>
      </c>
      <c r="Y275" s="270">
        <f>IFERROR(SUM(BN22:BN271),"0")</f>
        <v>7319.0079999999998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7769.0079999999998</v>
      </c>
      <c r="Y277" s="270">
        <f>GrossWeightTotalR+PalletQtyTotalR*25</f>
        <v>7769.0079999999998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1554</v>
      </c>
      <c r="Y278" s="270">
        <f>IFERROR(Y23+Y30+Y37+Y45+Y50+Y54+Y59+Y65+Y71+Y76+Y82+Y92+Y98+Y109+Y113+Y117+Y123+Y129+Y135+Y140+Y145+Y150+Y155+Y162+Y170+Y174+Y180+Y187+Y196+Y201+Y206+Y212+Y218+Y224+Y230+Y236+Y240+Y248+Y253+Y259+Y272,"0")</f>
        <v>1554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22.550340000000002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504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180</v>
      </c>
      <c r="H284" s="46">
        <f>IFERROR(X75*H75,"0")</f>
        <v>50.4</v>
      </c>
      <c r="I284" s="46">
        <f>IFERROR(X80*H80,"0")+IFERROR(X81*H81,"0")</f>
        <v>453.6</v>
      </c>
      <c r="J284" s="46">
        <f>IFERROR(X86*H86,"0")+IFERROR(X87*H87,"0")+IFERROR(X88*H88,"0")+IFERROR(X89*H89,"0")+IFERROR(X90*H90,"0")+IFERROR(X91*H91,"0")</f>
        <v>336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1695.3600000000001</v>
      </c>
      <c r="M284" s="46">
        <f>IFERROR(X121*H121,"0")+IFERROR(X122*H122,"0")</f>
        <v>462</v>
      </c>
      <c r="N284" s="266"/>
      <c r="O284" s="46">
        <f>IFERROR(X127*H127,"0")+IFERROR(X128*H128,"0")</f>
        <v>168</v>
      </c>
      <c r="P284" s="46">
        <f>IFERROR(X133*H133,"0")+IFERROR(X134*H134,"0")</f>
        <v>33.6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141.12</v>
      </c>
      <c r="U284" s="46">
        <f>IFERROR(X160*H160,"0")+IFERROR(X161*H161,"0")</f>
        <v>480</v>
      </c>
      <c r="V284" s="46">
        <f>IFERROR(X167*H167,"0")+IFERROR(X168*H168,"0")+IFERROR(X169*H169,"0")+IFERROR(X173*H173,"0")</f>
        <v>168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259.20000000000005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1434.6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3556.8000000000006</v>
      </c>
      <c r="B287" s="60">
        <f>SUMPRODUCT(--(BB:BB="ПГП"),--(W:W="кор"),H:H,Y:Y)+SUMPRODUCT(--(BB:BB="ПГП"),--(W:W="кг"),Y:Y)</f>
        <v>3103.9200000000005</v>
      </c>
      <c r="C287" s="60">
        <f>SUMPRODUCT(--(BB:BB="КИЗ"),--(W:W="кор"),H:H,Y:Y)+SUMPRODUCT(--(BB:BB="КИЗ"),--(W:W="кг"),Y:Y)</f>
        <v>0</v>
      </c>
    </row>
  </sheetData>
  <sheetProtection algorithmName="SHA-512" hashValue="qWFuezelGeZIQgTRGf9isKJDmDqcRPFS5JZg1eNSFrIepSjB90c5gv6tnPvngp8WbhUAXblZa5Qn2eNDNLpimg==" saltValue="A48FEfJeLCFumKFT96iAp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2 X116 X127 X133:X134 X144 X149 X160 X173 X183:X186 X191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21 X128 X139 X154 X161 X167:X169 X179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3cOhdIg9Q8iUda4unEhXG0z2x+iWOaUzzcUKSWFsHNSFmI9gdqp0XN/JGmjAsjjqIshppVpS3C+jN5HrHzKuZg==" saltValue="H/G+OW/g1hnYofOTNlhE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