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13340E48-1226-459C-80B4-D4A5E237B24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Z499" i="1" s="1"/>
  <c r="P486" i="1"/>
  <c r="X483" i="1"/>
  <c r="X482" i="1"/>
  <c r="BO481" i="1"/>
  <c r="BM481" i="1"/>
  <c r="Y481" i="1"/>
  <c r="BP481" i="1" s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Y474" i="1" s="1"/>
  <c r="P471" i="1"/>
  <c r="X469" i="1"/>
  <c r="X468" i="1"/>
  <c r="BO467" i="1"/>
  <c r="BM467" i="1"/>
  <c r="Y467" i="1"/>
  <c r="BP467" i="1" s="1"/>
  <c r="P467" i="1"/>
  <c r="BP466" i="1"/>
  <c r="BO466" i="1"/>
  <c r="BN466" i="1"/>
  <c r="BM466" i="1"/>
  <c r="Z466" i="1"/>
  <c r="Y466" i="1"/>
  <c r="P466" i="1"/>
  <c r="BO465" i="1"/>
  <c r="BM465" i="1"/>
  <c r="Y465" i="1"/>
  <c r="Y468" i="1" s="1"/>
  <c r="P465" i="1"/>
  <c r="X463" i="1"/>
  <c r="X462" i="1"/>
  <c r="BO461" i="1"/>
  <c r="BM461" i="1"/>
  <c r="Y461" i="1"/>
  <c r="BP461" i="1" s="1"/>
  <c r="P461" i="1"/>
  <c r="BP460" i="1"/>
  <c r="BO460" i="1"/>
  <c r="BN460" i="1"/>
  <c r="BM460" i="1"/>
  <c r="Z460" i="1"/>
  <c r="Y460" i="1"/>
  <c r="P460" i="1"/>
  <c r="BO459" i="1"/>
  <c r="BM459" i="1"/>
  <c r="Y459" i="1"/>
  <c r="BP459" i="1" s="1"/>
  <c r="P459" i="1"/>
  <c r="BP458" i="1"/>
  <c r="BO458" i="1"/>
  <c r="BN458" i="1"/>
  <c r="BM458" i="1"/>
  <c r="Z458" i="1"/>
  <c r="Y458" i="1"/>
  <c r="Y462" i="1" s="1"/>
  <c r="P458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BP451" i="1" s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BP445" i="1" s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Z423" i="1"/>
  <c r="Y423" i="1"/>
  <c r="P423" i="1"/>
  <c r="BO422" i="1"/>
  <c r="BM422" i="1"/>
  <c r="Y422" i="1"/>
  <c r="BP422" i="1" s="1"/>
  <c r="P422" i="1"/>
  <c r="BP421" i="1"/>
  <c r="BO421" i="1"/>
  <c r="BN421" i="1"/>
  <c r="BM421" i="1"/>
  <c r="Z421" i="1"/>
  <c r="Y421" i="1"/>
  <c r="Y433" i="1" s="1"/>
  <c r="P421" i="1"/>
  <c r="X417" i="1"/>
  <c r="Y416" i="1"/>
  <c r="X416" i="1"/>
  <c r="BP415" i="1"/>
  <c r="BO415" i="1"/>
  <c r="BN415" i="1"/>
  <c r="BM415" i="1"/>
  <c r="Z415" i="1"/>
  <c r="Z416" i="1" s="1"/>
  <c r="Y415" i="1"/>
  <c r="W499" i="1" s="1"/>
  <c r="P415" i="1"/>
  <c r="X412" i="1"/>
  <c r="X411" i="1"/>
  <c r="BP410" i="1"/>
  <c r="BO410" i="1"/>
  <c r="BN410" i="1"/>
  <c r="BM410" i="1"/>
  <c r="Z410" i="1"/>
  <c r="Y410" i="1"/>
  <c r="P410" i="1"/>
  <c r="BO409" i="1"/>
  <c r="BM409" i="1"/>
  <c r="Y409" i="1"/>
  <c r="BP409" i="1" s="1"/>
  <c r="P409" i="1"/>
  <c r="BP408" i="1"/>
  <c r="BO408" i="1"/>
  <c r="BN408" i="1"/>
  <c r="BM408" i="1"/>
  <c r="Z408" i="1"/>
  <c r="Y408" i="1"/>
  <c r="P408" i="1"/>
  <c r="BO407" i="1"/>
  <c r="BM407" i="1"/>
  <c r="Y407" i="1"/>
  <c r="Y412" i="1" s="1"/>
  <c r="P407" i="1"/>
  <c r="X405" i="1"/>
  <c r="X404" i="1"/>
  <c r="BO403" i="1"/>
  <c r="BM403" i="1"/>
  <c r="Y403" i="1"/>
  <c r="V499" i="1" s="1"/>
  <c r="P403" i="1"/>
  <c r="X400" i="1"/>
  <c r="X399" i="1"/>
  <c r="BO398" i="1"/>
  <c r="BM398" i="1"/>
  <c r="Y398" i="1"/>
  <c r="BP398" i="1" s="1"/>
  <c r="P398" i="1"/>
  <c r="BP397" i="1"/>
  <c r="BO397" i="1"/>
  <c r="BN397" i="1"/>
  <c r="BM397" i="1"/>
  <c r="Z397" i="1"/>
  <c r="Y397" i="1"/>
  <c r="Y399" i="1" s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BP392" i="1" s="1"/>
  <c r="P392" i="1"/>
  <c r="BP391" i="1"/>
  <c r="BO391" i="1"/>
  <c r="BN391" i="1"/>
  <c r="BM391" i="1"/>
  <c r="Z391" i="1"/>
  <c r="Y391" i="1"/>
  <c r="P391" i="1"/>
  <c r="BO390" i="1"/>
  <c r="BM390" i="1"/>
  <c r="Y390" i="1"/>
  <c r="BP390" i="1" s="1"/>
  <c r="P390" i="1"/>
  <c r="BP389" i="1"/>
  <c r="BO389" i="1"/>
  <c r="BN389" i="1"/>
  <c r="BM389" i="1"/>
  <c r="Z389" i="1"/>
  <c r="Y389" i="1"/>
  <c r="P389" i="1"/>
  <c r="BO388" i="1"/>
  <c r="BM388" i="1"/>
  <c r="Y388" i="1"/>
  <c r="BP388" i="1" s="1"/>
  <c r="P388" i="1"/>
  <c r="BP387" i="1"/>
  <c r="BO387" i="1"/>
  <c r="BN387" i="1"/>
  <c r="BM387" i="1"/>
  <c r="Z387" i="1"/>
  <c r="Y387" i="1"/>
  <c r="P387" i="1"/>
  <c r="BO386" i="1"/>
  <c r="BM386" i="1"/>
  <c r="Y386" i="1"/>
  <c r="BP386" i="1" s="1"/>
  <c r="P386" i="1"/>
  <c r="BP385" i="1"/>
  <c r="BO385" i="1"/>
  <c r="BN385" i="1"/>
  <c r="BM385" i="1"/>
  <c r="Z385" i="1"/>
  <c r="Y385" i="1"/>
  <c r="Y394" i="1" s="1"/>
  <c r="P385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Y381" i="1" s="1"/>
  <c r="P378" i="1"/>
  <c r="X376" i="1"/>
  <c r="X375" i="1"/>
  <c r="BO374" i="1"/>
  <c r="BM374" i="1"/>
  <c r="Y374" i="1"/>
  <c r="BP374" i="1" s="1"/>
  <c r="P374" i="1"/>
  <c r="BP373" i="1"/>
  <c r="BO373" i="1"/>
  <c r="BN373" i="1"/>
  <c r="BM373" i="1"/>
  <c r="Z373" i="1"/>
  <c r="Y373" i="1"/>
  <c r="Y375" i="1" s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T499" i="1" s="1"/>
  <c r="P368" i="1"/>
  <c r="X365" i="1"/>
  <c r="X364" i="1"/>
  <c r="BO363" i="1"/>
  <c r="BM363" i="1"/>
  <c r="Y363" i="1"/>
  <c r="Y364" i="1" s="1"/>
  <c r="P363" i="1"/>
  <c r="X361" i="1"/>
  <c r="X360" i="1"/>
  <c r="BO359" i="1"/>
  <c r="BM359" i="1"/>
  <c r="Y359" i="1"/>
  <c r="BP359" i="1" s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Y356" i="1" s="1"/>
  <c r="P353" i="1"/>
  <c r="X351" i="1"/>
  <c r="X350" i="1"/>
  <c r="BO349" i="1"/>
  <c r="BM349" i="1"/>
  <c r="Y349" i="1"/>
  <c r="BP349" i="1" s="1"/>
  <c r="P349" i="1"/>
  <c r="BP348" i="1"/>
  <c r="BO348" i="1"/>
  <c r="BN348" i="1"/>
  <c r="BM348" i="1"/>
  <c r="Z348" i="1"/>
  <c r="Y348" i="1"/>
  <c r="P348" i="1"/>
  <c r="BO347" i="1"/>
  <c r="BM347" i="1"/>
  <c r="Y347" i="1"/>
  <c r="BP347" i="1" s="1"/>
  <c r="P347" i="1"/>
  <c r="BP346" i="1"/>
  <c r="BO346" i="1"/>
  <c r="BN346" i="1"/>
  <c r="BM346" i="1"/>
  <c r="Z346" i="1"/>
  <c r="Y346" i="1"/>
  <c r="BP345" i="1"/>
  <c r="BO345" i="1"/>
  <c r="BN345" i="1"/>
  <c r="BM345" i="1"/>
  <c r="Z345" i="1"/>
  <c r="Y345" i="1"/>
  <c r="P345" i="1"/>
  <c r="BO344" i="1"/>
  <c r="BM344" i="1"/>
  <c r="Y344" i="1"/>
  <c r="BP344" i="1" s="1"/>
  <c r="P344" i="1"/>
  <c r="BP343" i="1"/>
  <c r="BO343" i="1"/>
  <c r="BN343" i="1"/>
  <c r="BM343" i="1"/>
  <c r="Z343" i="1"/>
  <c r="Y343" i="1"/>
  <c r="Y351" i="1" s="1"/>
  <c r="P343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BP336" i="1" s="1"/>
  <c r="P336" i="1"/>
  <c r="BP335" i="1"/>
  <c r="BO335" i="1"/>
  <c r="BN335" i="1"/>
  <c r="BM335" i="1"/>
  <c r="Z335" i="1"/>
  <c r="Y335" i="1"/>
  <c r="Y338" i="1" s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BP329" i="1" s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BP323" i="1" s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Y326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BP316" i="1" s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O308" i="1"/>
  <c r="BM308" i="1"/>
  <c r="Y308" i="1"/>
  <c r="Y313" i="1" s="1"/>
  <c r="P308" i="1"/>
  <c r="X306" i="1"/>
  <c r="X305" i="1"/>
  <c r="BO304" i="1"/>
  <c r="BM304" i="1"/>
  <c r="Y304" i="1"/>
  <c r="BP304" i="1" s="1"/>
  <c r="P304" i="1"/>
  <c r="BP303" i="1"/>
  <c r="BO303" i="1"/>
  <c r="BN303" i="1"/>
  <c r="BM303" i="1"/>
  <c r="Z303" i="1"/>
  <c r="Y303" i="1"/>
  <c r="P303" i="1"/>
  <c r="BO302" i="1"/>
  <c r="BM302" i="1"/>
  <c r="Y302" i="1"/>
  <c r="BP302" i="1" s="1"/>
  <c r="P302" i="1"/>
  <c r="BP301" i="1"/>
  <c r="BO301" i="1"/>
  <c r="BN301" i="1"/>
  <c r="BM301" i="1"/>
  <c r="Z301" i="1"/>
  <c r="Y301" i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BO298" i="1"/>
  <c r="BM298" i="1"/>
  <c r="Y298" i="1"/>
  <c r="Y305" i="1" s="1"/>
  <c r="P298" i="1"/>
  <c r="X296" i="1"/>
  <c r="X295" i="1"/>
  <c r="BO294" i="1"/>
  <c r="BM294" i="1"/>
  <c r="Y294" i="1"/>
  <c r="BP294" i="1" s="1"/>
  <c r="P294" i="1"/>
  <c r="BP293" i="1"/>
  <c r="BO293" i="1"/>
  <c r="BN293" i="1"/>
  <c r="BM293" i="1"/>
  <c r="Z293" i="1"/>
  <c r="Y293" i="1"/>
  <c r="P293" i="1"/>
  <c r="BO292" i="1"/>
  <c r="BM292" i="1"/>
  <c r="Y292" i="1"/>
  <c r="BP292" i="1" s="1"/>
  <c r="P292" i="1"/>
  <c r="BP291" i="1"/>
  <c r="BO291" i="1"/>
  <c r="BN291" i="1"/>
  <c r="BM291" i="1"/>
  <c r="Z291" i="1"/>
  <c r="Y291" i="1"/>
  <c r="P291" i="1"/>
  <c r="BO290" i="1"/>
  <c r="BM290" i="1"/>
  <c r="Y290" i="1"/>
  <c r="Q499" i="1" s="1"/>
  <c r="P290" i="1"/>
  <c r="X287" i="1"/>
  <c r="X286" i="1"/>
  <c r="BO285" i="1"/>
  <c r="BM285" i="1"/>
  <c r="Y285" i="1"/>
  <c r="BP285" i="1" s="1"/>
  <c r="P285" i="1"/>
  <c r="BP284" i="1"/>
  <c r="BO284" i="1"/>
  <c r="BN284" i="1"/>
  <c r="BM284" i="1"/>
  <c r="Z284" i="1"/>
  <c r="Y284" i="1"/>
  <c r="Y286" i="1" s="1"/>
  <c r="X282" i="1"/>
  <c r="X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K499" i="1" s="1"/>
  <c r="P225" i="1"/>
  <c r="X222" i="1"/>
  <c r="X221" i="1"/>
  <c r="BO220" i="1"/>
  <c r="BM220" i="1"/>
  <c r="Y220" i="1"/>
  <c r="Y222" i="1" s="1"/>
  <c r="P220" i="1"/>
  <c r="BP219" i="1"/>
  <c r="BO219" i="1"/>
  <c r="BN219" i="1"/>
  <c r="BM219" i="1"/>
  <c r="Z219" i="1"/>
  <c r="Y219" i="1"/>
  <c r="Y221" i="1" s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Y216" i="1" s="1"/>
  <c r="P208" i="1"/>
  <c r="BP207" i="1"/>
  <c r="BO207" i="1"/>
  <c r="BN207" i="1"/>
  <c r="BM207" i="1"/>
  <c r="Z207" i="1"/>
  <c r="Y207" i="1"/>
  <c r="Y217" i="1" s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Y193" i="1" s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Y172" i="1" s="1"/>
  <c r="X160" i="1"/>
  <c r="X159" i="1"/>
  <c r="BO158" i="1"/>
  <c r="BM158" i="1"/>
  <c r="Y158" i="1"/>
  <c r="I499" i="1" s="1"/>
  <c r="P158" i="1"/>
  <c r="X154" i="1"/>
  <c r="X153" i="1"/>
  <c r="BO152" i="1"/>
  <c r="BM152" i="1"/>
  <c r="Y152" i="1"/>
  <c r="Y153" i="1" s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BP147" i="1" s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BP141" i="1" s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G499" i="1" s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499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9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9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489" i="1" s="1"/>
  <c r="X23" i="1"/>
  <c r="X493" i="1" s="1"/>
  <c r="BO22" i="1"/>
  <c r="X491" i="1" s="1"/>
  <c r="BM22" i="1"/>
  <c r="X490" i="1" s="1"/>
  <c r="X492" i="1" s="1"/>
  <c r="Y22" i="1"/>
  <c r="B499" i="1" s="1"/>
  <c r="P22" i="1"/>
  <c r="H10" i="1"/>
  <c r="A9" i="1"/>
  <c r="F10" i="1" s="1"/>
  <c r="D7" i="1"/>
  <c r="Q6" i="1"/>
  <c r="P2" i="1"/>
  <c r="H9" i="1" l="1"/>
  <c r="A10" i="1"/>
  <c r="Y24" i="1"/>
  <c r="Y32" i="1"/>
  <c r="Y36" i="1"/>
  <c r="Y44" i="1"/>
  <c r="Y48" i="1"/>
  <c r="Y57" i="1"/>
  <c r="Y63" i="1"/>
  <c r="Y69" i="1"/>
  <c r="Y77" i="1"/>
  <c r="Y81" i="1"/>
  <c r="Y88" i="1"/>
  <c r="Y96" i="1"/>
  <c r="Y103" i="1"/>
  <c r="Y109" i="1"/>
  <c r="Y117" i="1"/>
  <c r="Y121" i="1"/>
  <c r="Y126" i="1"/>
  <c r="Y132" i="1"/>
  <c r="Y136" i="1"/>
  <c r="Y143" i="1"/>
  <c r="Y149" i="1"/>
  <c r="Y154" i="1"/>
  <c r="Y160" i="1"/>
  <c r="Y173" i="1"/>
  <c r="Y178" i="1"/>
  <c r="BP175" i="1"/>
  <c r="BN175" i="1"/>
  <c r="BP177" i="1"/>
  <c r="BN177" i="1"/>
  <c r="Z177" i="1"/>
  <c r="Y179" i="1"/>
  <c r="Y182" i="1"/>
  <c r="BP181" i="1"/>
  <c r="BN181" i="1"/>
  <c r="Z181" i="1"/>
  <c r="Z182" i="1" s="1"/>
  <c r="Y183" i="1"/>
  <c r="J499" i="1"/>
  <c r="Y189" i="1"/>
  <c r="BP186" i="1"/>
  <c r="BN186" i="1"/>
  <c r="Z186" i="1"/>
  <c r="Z188" i="1" s="1"/>
  <c r="BP198" i="1"/>
  <c r="BN198" i="1"/>
  <c r="Z198" i="1"/>
  <c r="F9" i="1"/>
  <c r="J9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58" i="1"/>
  <c r="Z61" i="1"/>
  <c r="Z63" i="1" s="1"/>
  <c r="BN61" i="1"/>
  <c r="Z67" i="1"/>
  <c r="Z69" i="1" s="1"/>
  <c r="BN67" i="1"/>
  <c r="Z73" i="1"/>
  <c r="Z76" i="1" s="1"/>
  <c r="BN73" i="1"/>
  <c r="Z75" i="1"/>
  <c r="BN75" i="1"/>
  <c r="Z79" i="1"/>
  <c r="Z81" i="1" s="1"/>
  <c r="BN79" i="1"/>
  <c r="BP79" i="1"/>
  <c r="E499" i="1"/>
  <c r="Z86" i="1"/>
  <c r="Z88" i="1" s="1"/>
  <c r="BN86" i="1"/>
  <c r="Y89" i="1"/>
  <c r="Z92" i="1"/>
  <c r="Z95" i="1" s="1"/>
  <c r="BN92" i="1"/>
  <c r="Z94" i="1"/>
  <c r="BN94" i="1"/>
  <c r="Z99" i="1"/>
  <c r="BN99" i="1"/>
  <c r="BP99" i="1"/>
  <c r="Z101" i="1"/>
  <c r="BN101" i="1"/>
  <c r="Y104" i="1"/>
  <c r="Z107" i="1"/>
  <c r="Z109" i="1" s="1"/>
  <c r="BN107" i="1"/>
  <c r="Z113" i="1"/>
  <c r="Z116" i="1" s="1"/>
  <c r="BN113" i="1"/>
  <c r="Z115" i="1"/>
  <c r="BN115" i="1"/>
  <c r="Z119" i="1"/>
  <c r="Z120" i="1" s="1"/>
  <c r="BN119" i="1"/>
  <c r="BP119" i="1"/>
  <c r="Z124" i="1"/>
  <c r="Z126" i="1" s="1"/>
  <c r="BN124" i="1"/>
  <c r="BP124" i="1"/>
  <c r="Y127" i="1"/>
  <c r="Z130" i="1"/>
  <c r="Z131" i="1" s="1"/>
  <c r="BN130" i="1"/>
  <c r="Z134" i="1"/>
  <c r="Z136" i="1" s="1"/>
  <c r="BN134" i="1"/>
  <c r="BP134" i="1"/>
  <c r="H499" i="1"/>
  <c r="Z141" i="1"/>
  <c r="Z143" i="1" s="1"/>
  <c r="BN141" i="1"/>
  <c r="Y144" i="1"/>
  <c r="Z147" i="1"/>
  <c r="Z149" i="1" s="1"/>
  <c r="BN147" i="1"/>
  <c r="Z152" i="1"/>
  <c r="Z153" i="1" s="1"/>
  <c r="BN152" i="1"/>
  <c r="BP152" i="1"/>
  <c r="Z158" i="1"/>
  <c r="Z159" i="1" s="1"/>
  <c r="BN158" i="1"/>
  <c r="BP158" i="1"/>
  <c r="Y159" i="1"/>
  <c r="Z163" i="1"/>
  <c r="Z172" i="1" s="1"/>
  <c r="BN163" i="1"/>
  <c r="Z165" i="1"/>
  <c r="BN165" i="1"/>
  <c r="Z167" i="1"/>
  <c r="BN167" i="1"/>
  <c r="Z169" i="1"/>
  <c r="BN169" i="1"/>
  <c r="Z171" i="1"/>
  <c r="BN171" i="1"/>
  <c r="Z175" i="1"/>
  <c r="Z178" i="1" s="1"/>
  <c r="Y188" i="1"/>
  <c r="BP192" i="1"/>
  <c r="BN192" i="1"/>
  <c r="Z192" i="1"/>
  <c r="Z193" i="1" s="1"/>
  <c r="Y194" i="1"/>
  <c r="Y204" i="1"/>
  <c r="Y205" i="1"/>
  <c r="BP196" i="1"/>
  <c r="BN196" i="1"/>
  <c r="Z196" i="1"/>
  <c r="BP200" i="1"/>
  <c r="BN200" i="1"/>
  <c r="Z200" i="1"/>
  <c r="Z221" i="1"/>
  <c r="Z202" i="1"/>
  <c r="BN202" i="1"/>
  <c r="Z208" i="1"/>
  <c r="Z216" i="1" s="1"/>
  <c r="BN208" i="1"/>
  <c r="BP208" i="1"/>
  <c r="Z210" i="1"/>
  <c r="BN210" i="1"/>
  <c r="Z212" i="1"/>
  <c r="BN212" i="1"/>
  <c r="Z214" i="1"/>
  <c r="BN214" i="1"/>
  <c r="Z220" i="1"/>
  <c r="BN220" i="1"/>
  <c r="BP220" i="1"/>
  <c r="Z225" i="1"/>
  <c r="Z235" i="1" s="1"/>
  <c r="BN225" i="1"/>
  <c r="BP225" i="1"/>
  <c r="Z227" i="1"/>
  <c r="BN227" i="1"/>
  <c r="Z229" i="1"/>
  <c r="BN229" i="1"/>
  <c r="Z231" i="1"/>
  <c r="BN231" i="1"/>
  <c r="Z233" i="1"/>
  <c r="BN233" i="1"/>
  <c r="Y236" i="1"/>
  <c r="Y251" i="1"/>
  <c r="Z247" i="1"/>
  <c r="Z251" i="1" s="1"/>
  <c r="BN247" i="1"/>
  <c r="Z249" i="1"/>
  <c r="BN249" i="1"/>
  <c r="BP250" i="1"/>
  <c r="BN250" i="1"/>
  <c r="Z250" i="1"/>
  <c r="Y252" i="1"/>
  <c r="L499" i="1"/>
  <c r="Y260" i="1"/>
  <c r="BP255" i="1"/>
  <c r="BN255" i="1"/>
  <c r="Z255" i="1"/>
  <c r="BP259" i="1"/>
  <c r="BN259" i="1"/>
  <c r="Z259" i="1"/>
  <c r="Y261" i="1"/>
  <c r="M499" i="1"/>
  <c r="Y269" i="1"/>
  <c r="BP264" i="1"/>
  <c r="BN264" i="1"/>
  <c r="Z264" i="1"/>
  <c r="Y268" i="1"/>
  <c r="Y235" i="1"/>
  <c r="BP257" i="1"/>
  <c r="BN257" i="1"/>
  <c r="Z257" i="1"/>
  <c r="Z281" i="1"/>
  <c r="Y275" i="1"/>
  <c r="Y282" i="1"/>
  <c r="Y287" i="1"/>
  <c r="Y296" i="1"/>
  <c r="Y306" i="1"/>
  <c r="Y312" i="1"/>
  <c r="Y318" i="1"/>
  <c r="Y325" i="1"/>
  <c r="Y331" i="1"/>
  <c r="Y355" i="1"/>
  <c r="Y361" i="1"/>
  <c r="Y365" i="1"/>
  <c r="Y370" i="1"/>
  <c r="Y376" i="1"/>
  <c r="Y380" i="1"/>
  <c r="Y400" i="1"/>
  <c r="Y405" i="1"/>
  <c r="Y411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Z266" i="1"/>
  <c r="BN266" i="1"/>
  <c r="O499" i="1"/>
  <c r="Z273" i="1"/>
  <c r="Z275" i="1" s="1"/>
  <c r="BN273" i="1"/>
  <c r="Y276" i="1"/>
  <c r="P499" i="1"/>
  <c r="Z280" i="1"/>
  <c r="BN280" i="1"/>
  <c r="Y281" i="1"/>
  <c r="Z285" i="1"/>
  <c r="Z286" i="1" s="1"/>
  <c r="BN285" i="1"/>
  <c r="Z290" i="1"/>
  <c r="Z295" i="1" s="1"/>
  <c r="BN290" i="1"/>
  <c r="BP290" i="1"/>
  <c r="Z292" i="1"/>
  <c r="BN292" i="1"/>
  <c r="Z294" i="1"/>
  <c r="BN294" i="1"/>
  <c r="Y295" i="1"/>
  <c r="Z298" i="1"/>
  <c r="Z305" i="1" s="1"/>
  <c r="BN298" i="1"/>
  <c r="BP298" i="1"/>
  <c r="Z300" i="1"/>
  <c r="BN300" i="1"/>
  <c r="Z302" i="1"/>
  <c r="BN302" i="1"/>
  <c r="Z304" i="1"/>
  <c r="BN304" i="1"/>
  <c r="Z308" i="1"/>
  <c r="BN308" i="1"/>
  <c r="BP308" i="1"/>
  <c r="Z310" i="1"/>
  <c r="BN310" i="1"/>
  <c r="Z316" i="1"/>
  <c r="Z318" i="1" s="1"/>
  <c r="BN316" i="1"/>
  <c r="Z323" i="1"/>
  <c r="Z325" i="1" s="1"/>
  <c r="BN323" i="1"/>
  <c r="Z329" i="1"/>
  <c r="Z331" i="1" s="1"/>
  <c r="BN329" i="1"/>
  <c r="R499" i="1"/>
  <c r="Z336" i="1"/>
  <c r="Z338" i="1" s="1"/>
  <c r="BN336" i="1"/>
  <c r="Y339" i="1"/>
  <c r="S499" i="1"/>
  <c r="Z344" i="1"/>
  <c r="Z350" i="1" s="1"/>
  <c r="BN344" i="1"/>
  <c r="Z347" i="1"/>
  <c r="BN347" i="1"/>
  <c r="Z349" i="1"/>
  <c r="BN349" i="1"/>
  <c r="Y350" i="1"/>
  <c r="Z353" i="1"/>
  <c r="Z355" i="1" s="1"/>
  <c r="BN353" i="1"/>
  <c r="BP353" i="1"/>
  <c r="Z359" i="1"/>
  <c r="Z360" i="1" s="1"/>
  <c r="BN359" i="1"/>
  <c r="Z363" i="1"/>
  <c r="Z364" i="1" s="1"/>
  <c r="BN363" i="1"/>
  <c r="BP363" i="1"/>
  <c r="Z368" i="1"/>
  <c r="Z370" i="1" s="1"/>
  <c r="BN368" i="1"/>
  <c r="BP368" i="1"/>
  <c r="Y371" i="1"/>
  <c r="Z374" i="1"/>
  <c r="Z375" i="1" s="1"/>
  <c r="BN374" i="1"/>
  <c r="Z378" i="1"/>
  <c r="Z380" i="1" s="1"/>
  <c r="BN378" i="1"/>
  <c r="BP378" i="1"/>
  <c r="U499" i="1"/>
  <c r="Z386" i="1"/>
  <c r="Z394" i="1" s="1"/>
  <c r="BN386" i="1"/>
  <c r="Z388" i="1"/>
  <c r="BN388" i="1"/>
  <c r="Z390" i="1"/>
  <c r="BN390" i="1"/>
  <c r="Z392" i="1"/>
  <c r="BN392" i="1"/>
  <c r="Y395" i="1"/>
  <c r="Z398" i="1"/>
  <c r="Z399" i="1" s="1"/>
  <c r="BN398" i="1"/>
  <c r="Z403" i="1"/>
  <c r="Z404" i="1" s="1"/>
  <c r="BN403" i="1"/>
  <c r="BP403" i="1"/>
  <c r="Y404" i="1"/>
  <c r="Z407" i="1"/>
  <c r="BN407" i="1"/>
  <c r="BP407" i="1"/>
  <c r="Z409" i="1"/>
  <c r="BN409" i="1"/>
  <c r="Y417" i="1"/>
  <c r="X499" i="1"/>
  <c r="Y432" i="1"/>
  <c r="Z422" i="1"/>
  <c r="Z432" i="1" s="1"/>
  <c r="BN422" i="1"/>
  <c r="BP423" i="1"/>
  <c r="BN423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Y453" i="1"/>
  <c r="Y463" i="1"/>
  <c r="Y469" i="1"/>
  <c r="Y473" i="1"/>
  <c r="Y483" i="1"/>
  <c r="Y488" i="1"/>
  <c r="Y499" i="1"/>
  <c r="Z445" i="1"/>
  <c r="BN445" i="1"/>
  <c r="Z451" i="1"/>
  <c r="Z453" i="1" s="1"/>
  <c r="BN451" i="1"/>
  <c r="Z459" i="1"/>
  <c r="Z462" i="1" s="1"/>
  <c r="BN459" i="1"/>
  <c r="Z461" i="1"/>
  <c r="BN461" i="1"/>
  <c r="Z465" i="1"/>
  <c r="Z468" i="1" s="1"/>
  <c r="BN465" i="1"/>
  <c r="BP465" i="1"/>
  <c r="Z467" i="1"/>
  <c r="BN467" i="1"/>
  <c r="Z471" i="1"/>
  <c r="Z473" i="1" s="1"/>
  <c r="BN471" i="1"/>
  <c r="BP471" i="1"/>
  <c r="Z481" i="1"/>
  <c r="Z482" i="1" s="1"/>
  <c r="BN481" i="1"/>
  <c r="Z486" i="1"/>
  <c r="Z487" i="1" s="1"/>
  <c r="BN486" i="1"/>
  <c r="BP486" i="1"/>
  <c r="Y487" i="1"/>
  <c r="Z411" i="1" l="1"/>
  <c r="Z312" i="1"/>
  <c r="Z260" i="1"/>
  <c r="Z103" i="1"/>
  <c r="Z43" i="1"/>
  <c r="Z31" i="1"/>
  <c r="Y491" i="1"/>
  <c r="Z447" i="1"/>
  <c r="Z438" i="1"/>
  <c r="Z268" i="1"/>
  <c r="Z204" i="1"/>
  <c r="Z494" i="1" s="1"/>
  <c r="Y493" i="1"/>
  <c r="Y490" i="1"/>
  <c r="Y492" i="1" s="1"/>
  <c r="Y489" i="1"/>
</calcChain>
</file>

<file path=xl/sharedStrings.xml><?xml version="1.0" encoding="utf-8"?>
<sst xmlns="http://schemas.openxmlformats.org/spreadsheetml/2006/main" count="2282" uniqueCount="767">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</sst>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7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0" t="s">
        <v>8</v>
      </c>
      <c r="B5" s="633"/>
      <c r="C5" s="634"/>
      <c r="D5" s="619"/>
      <c r="E5" s="620"/>
      <c r="F5" s="828" t="s">
        <v>9</v>
      </c>
      <c r="G5" s="634"/>
      <c r="H5" s="619"/>
      <c r="I5" s="768"/>
      <c r="J5" s="768"/>
      <c r="K5" s="768"/>
      <c r="L5" s="768"/>
      <c r="M5" s="620"/>
      <c r="N5" s="58"/>
      <c r="P5" s="24" t="s">
        <v>10</v>
      </c>
      <c r="Q5" s="843">
        <v>45978</v>
      </c>
      <c r="R5" s="659"/>
      <c r="T5" s="705" t="s">
        <v>11</v>
      </c>
      <c r="U5" s="706"/>
      <c r="V5" s="707" t="s">
        <v>12</v>
      </c>
      <c r="W5" s="659"/>
      <c r="AB5" s="51"/>
      <c r="AC5" s="51"/>
      <c r="AD5" s="51"/>
      <c r="AE5" s="51"/>
    </row>
    <row r="6" spans="1:32" s="535" customFormat="1" ht="24" customHeight="1" x14ac:dyDescent="0.2">
      <c r="A6" s="660" t="s">
        <v>13</v>
      </c>
      <c r="B6" s="633"/>
      <c r="C6" s="634"/>
      <c r="D6" s="771" t="s">
        <v>14</v>
      </c>
      <c r="E6" s="772"/>
      <c r="F6" s="772"/>
      <c r="G6" s="772"/>
      <c r="H6" s="772"/>
      <c r="I6" s="772"/>
      <c r="J6" s="772"/>
      <c r="K6" s="772"/>
      <c r="L6" s="772"/>
      <c r="M6" s="659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14" t="s">
        <v>16</v>
      </c>
      <c r="U6" s="706"/>
      <c r="V6" s="755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9" t="str">
        <f>IFERROR(VLOOKUP(DeliveryAddress,Table,3,0),1)</f>
        <v>1</v>
      </c>
      <c r="E7" s="600"/>
      <c r="F7" s="600"/>
      <c r="G7" s="600"/>
      <c r="H7" s="600"/>
      <c r="I7" s="600"/>
      <c r="J7" s="600"/>
      <c r="K7" s="600"/>
      <c r="L7" s="600"/>
      <c r="M7" s="601"/>
      <c r="N7" s="60"/>
      <c r="P7" s="24"/>
      <c r="Q7" s="42"/>
      <c r="R7" s="42"/>
      <c r="T7" s="555"/>
      <c r="U7" s="706"/>
      <c r="V7" s="756"/>
      <c r="W7" s="757"/>
      <c r="AB7" s="51"/>
      <c r="AC7" s="51"/>
      <c r="AD7" s="51"/>
      <c r="AE7" s="51"/>
    </row>
    <row r="8" spans="1:32" s="535" customFormat="1" ht="25.5" customHeight="1" x14ac:dyDescent="0.2">
      <c r="A8" s="863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9">
        <v>0.41666666666666669</v>
      </c>
      <c r="R8" s="601"/>
      <c r="T8" s="555"/>
      <c r="U8" s="706"/>
      <c r="V8" s="756"/>
      <c r="W8" s="757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0"/>
      <c r="E9" s="561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56"/>
      <c r="R9" s="657"/>
      <c r="T9" s="555"/>
      <c r="U9" s="706"/>
      <c r="V9" s="758"/>
      <c r="W9" s="759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0"/>
      <c r="E10" s="561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9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5"/>
      <c r="R10" s="716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795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3"/>
      <c r="C12" s="633"/>
      <c r="D12" s="633"/>
      <c r="E12" s="633"/>
      <c r="F12" s="633"/>
      <c r="G12" s="633"/>
      <c r="H12" s="633"/>
      <c r="I12" s="633"/>
      <c r="J12" s="633"/>
      <c r="K12" s="633"/>
      <c r="L12" s="633"/>
      <c r="M12" s="634"/>
      <c r="N12" s="62"/>
      <c r="P12" s="24" t="s">
        <v>30</v>
      </c>
      <c r="Q12" s="669"/>
      <c r="R12" s="601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3"/>
      <c r="C13" s="633"/>
      <c r="D13" s="633"/>
      <c r="E13" s="633"/>
      <c r="F13" s="633"/>
      <c r="G13" s="633"/>
      <c r="H13" s="633"/>
      <c r="I13" s="633"/>
      <c r="J13" s="633"/>
      <c r="K13" s="633"/>
      <c r="L13" s="633"/>
      <c r="M13" s="634"/>
      <c r="N13" s="62"/>
      <c r="O13" s="26"/>
      <c r="P13" s="26" t="s">
        <v>32</v>
      </c>
      <c r="Q13" s="795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3"/>
      <c r="C14" s="633"/>
      <c r="D14" s="633"/>
      <c r="E14" s="633"/>
      <c r="F14" s="633"/>
      <c r="G14" s="633"/>
      <c r="H14" s="633"/>
      <c r="I14" s="633"/>
      <c r="J14" s="633"/>
      <c r="K14" s="633"/>
      <c r="L14" s="633"/>
      <c r="M14" s="63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7" t="s">
        <v>34</v>
      </c>
      <c r="B15" s="633"/>
      <c r="C15" s="633"/>
      <c r="D15" s="633"/>
      <c r="E15" s="633"/>
      <c r="F15" s="633"/>
      <c r="G15" s="633"/>
      <c r="H15" s="633"/>
      <c r="I15" s="633"/>
      <c r="J15" s="633"/>
      <c r="K15" s="633"/>
      <c r="L15" s="633"/>
      <c r="M15" s="634"/>
      <c r="N15" s="63"/>
      <c r="P15" s="690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676" t="s">
        <v>38</v>
      </c>
      <c r="D17" s="583" t="s">
        <v>39</v>
      </c>
      <c r="E17" s="644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3"/>
      <c r="R17" s="643"/>
      <c r="S17" s="643"/>
      <c r="T17" s="644"/>
      <c r="U17" s="858" t="s">
        <v>51</v>
      </c>
      <c r="V17" s="634"/>
      <c r="W17" s="583" t="s">
        <v>52</v>
      </c>
      <c r="X17" s="583" t="s">
        <v>53</v>
      </c>
      <c r="Y17" s="861" t="s">
        <v>54</v>
      </c>
      <c r="Z17" s="766" t="s">
        <v>55</v>
      </c>
      <c r="AA17" s="747" t="s">
        <v>56</v>
      </c>
      <c r="AB17" s="747" t="s">
        <v>57</v>
      </c>
      <c r="AC17" s="747" t="s">
        <v>58</v>
      </c>
      <c r="AD17" s="747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5"/>
      <c r="E18" s="647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5"/>
      <c r="Q18" s="646"/>
      <c r="R18" s="646"/>
      <c r="S18" s="646"/>
      <c r="T18" s="647"/>
      <c r="U18" s="67" t="s">
        <v>61</v>
      </c>
      <c r="V18" s="67" t="s">
        <v>62</v>
      </c>
      <c r="W18" s="584"/>
      <c r="X18" s="584"/>
      <c r="Y18" s="862"/>
      <c r="Z18" s="767"/>
      <c r="AA18" s="748"/>
      <c r="AB18" s="748"/>
      <c r="AC18" s="748"/>
      <c r="AD18" s="825"/>
      <c r="AE18" s="826"/>
      <c r="AF18" s="827"/>
      <c r="AG18" s="66"/>
      <c r="BD18" s="65"/>
    </row>
    <row r="19" spans="1:68" ht="27.75" customHeight="1" x14ac:dyDescent="0.2">
      <c r="A19" s="638" t="s">
        <v>63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39"/>
      <c r="Q19" s="639"/>
      <c r="R19" s="639"/>
      <c r="S19" s="639"/>
      <c r="T19" s="639"/>
      <c r="U19" s="639"/>
      <c r="V19" s="639"/>
      <c r="W19" s="639"/>
      <c r="X19" s="639"/>
      <c r="Y19" s="639"/>
      <c r="Z19" s="639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8" t="s">
        <v>97</v>
      </c>
      <c r="B37" s="639"/>
      <c r="C37" s="639"/>
      <c r="D37" s="639"/>
      <c r="E37" s="639"/>
      <c r="F37" s="639"/>
      <c r="G37" s="639"/>
      <c r="H37" s="639"/>
      <c r="I37" s="639"/>
      <c r="J37" s="639"/>
      <c r="K37" s="639"/>
      <c r="L37" s="639"/>
      <c r="M37" s="639"/>
      <c r="N37" s="639"/>
      <c r="O37" s="639"/>
      <c r="P37" s="639"/>
      <c r="Q37" s="639"/>
      <c r="R37" s="639"/>
      <c r="S37" s="639"/>
      <c r="T37" s="639"/>
      <c r="U37" s="639"/>
      <c r="V37" s="639"/>
      <c r="W37" s="639"/>
      <c r="X37" s="639"/>
      <c r="Y37" s="639"/>
      <c r="Z37" s="639"/>
      <c r="AA37" s="48"/>
      <c r="AB37" s="48"/>
      <c r="AC37" s="48"/>
    </row>
    <row r="38" spans="1:68" ht="16.5" customHeight="1" x14ac:dyDescent="0.25">
      <c r="A38" s="559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35</v>
      </c>
      <c r="Y40" s="542">
        <f>IFERROR(IF(X40="",0,CEILING((X40/$H40),1)*$H40),"")</f>
        <v>43.2</v>
      </c>
      <c r="Z40" s="36">
        <f>IFERROR(IF(Y40=0,"",ROUNDUP(Y40/H40,0)*0.01898),"")</f>
        <v>7.5920000000000001E-2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36.328703703703702</v>
      </c>
      <c r="BN40" s="64">
        <f>IFERROR(Y40*I40/H40,"0")</f>
        <v>44.84</v>
      </c>
      <c r="BO40" s="64">
        <f>IFERROR(1/J40*(X40/H40),"0")</f>
        <v>5.063657407407407E-2</v>
      </c>
      <c r="BP40" s="64">
        <f>IFERROR(1/J40*(Y40/H40),"0")</f>
        <v>6.25E-2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3.2407407407407405</v>
      </c>
      <c r="Y43" s="543">
        <f>IFERROR(Y40/H40,"0")+IFERROR(Y41/H41,"0")+IFERROR(Y42/H42,"0")</f>
        <v>4</v>
      </c>
      <c r="Z43" s="543">
        <f>IFERROR(IF(Z40="",0,Z40),"0")+IFERROR(IF(Z41="",0,Z41),"0")+IFERROR(IF(Z42="",0,Z42),"0")</f>
        <v>7.5920000000000001E-2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35</v>
      </c>
      <c r="Y44" s="543">
        <f>IFERROR(SUM(Y40:Y42),"0")</f>
        <v>43.2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254</v>
      </c>
      <c r="Y52" s="542">
        <f t="shared" si="0"/>
        <v>259.20000000000005</v>
      </c>
      <c r="Z52" s="36">
        <f>IFERROR(IF(Y52=0,"",ROUNDUP(Y52/H52,0)*0.01898),"")</f>
        <v>0.45552000000000004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263.64259259259256</v>
      </c>
      <c r="BN52" s="64">
        <f t="shared" si="2"/>
        <v>269.04000000000002</v>
      </c>
      <c r="BO52" s="64">
        <f t="shared" si="3"/>
        <v>0.3674768518518518</v>
      </c>
      <c r="BP52" s="64">
        <f t="shared" si="4"/>
        <v>0.37500000000000006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60</v>
      </c>
      <c r="Y54" s="542">
        <f t="shared" si="0"/>
        <v>60</v>
      </c>
      <c r="Z54" s="36">
        <f>IFERROR(IF(Y54=0,"",ROUNDUP(Y54/H54,0)*0.00902),"")</f>
        <v>0.1353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62.850000000000009</v>
      </c>
      <c r="BN54" s="64">
        <f t="shared" si="2"/>
        <v>62.850000000000009</v>
      </c>
      <c r="BO54" s="64">
        <f t="shared" si="3"/>
        <v>0.11363636363636365</v>
      </c>
      <c r="BP54" s="64">
        <f t="shared" si="4"/>
        <v>0.11363636363636365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38.518518518518519</v>
      </c>
      <c r="Y57" s="543">
        <f>IFERROR(Y51/H51,"0")+IFERROR(Y52/H52,"0")+IFERROR(Y53/H53,"0")+IFERROR(Y54/H54,"0")+IFERROR(Y55/H55,"0")+IFERROR(Y56/H56,"0")</f>
        <v>39</v>
      </c>
      <c r="Z57" s="543">
        <f>IFERROR(IF(Z51="",0,Z51),"0")+IFERROR(IF(Z52="",0,Z52),"0")+IFERROR(IF(Z53="",0,Z53),"0")+IFERROR(IF(Z54="",0,Z54),"0")+IFERROR(IF(Z55="",0,Z55),"0")+IFERROR(IF(Z56="",0,Z56),"0")</f>
        <v>0.59082000000000001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314</v>
      </c>
      <c r="Y58" s="543">
        <f>IFERROR(SUM(Y51:Y56),"0")</f>
        <v>319.20000000000005</v>
      </c>
      <c r="Z58" s="37"/>
      <c r="AA58" s="544"/>
      <c r="AB58" s="544"/>
      <c r="AC58" s="544"/>
    </row>
    <row r="59" spans="1:68" ht="14.25" customHeight="1" x14ac:dyDescent="0.25">
      <c r="A59" s="558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58</v>
      </c>
      <c r="Y60" s="542">
        <f>IFERROR(IF(X60="",0,CEILING((X60/$H60),1)*$H60),"")</f>
        <v>64.800000000000011</v>
      </c>
      <c r="Z60" s="36">
        <f>IFERROR(IF(Y60=0,"",ROUNDUP(Y60/H60,0)*0.01898),"")</f>
        <v>0.11388000000000001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60.201851851851856</v>
      </c>
      <c r="BN60" s="64">
        <f>IFERROR(Y60*I60/H60,"0")</f>
        <v>67.260000000000005</v>
      </c>
      <c r="BO60" s="64">
        <f>IFERROR(1/J60*(X60/H60),"0")</f>
        <v>8.3912037037037035E-2</v>
      </c>
      <c r="BP60" s="64">
        <f>IFERROR(1/J60*(Y60/H60),"0")</f>
        <v>9.3750000000000014E-2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5.3703703703703702</v>
      </c>
      <c r="Y63" s="543">
        <f>IFERROR(Y60/H60,"0")+IFERROR(Y61/H61,"0")+IFERROR(Y62/H62,"0")</f>
        <v>6.0000000000000009</v>
      </c>
      <c r="Z63" s="543">
        <f>IFERROR(IF(Z60="",0,Z60),"0")+IFERROR(IF(Z61="",0,Z61),"0")+IFERROR(IF(Z62="",0,Z62),"0")</f>
        <v>0.11388000000000001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58</v>
      </c>
      <c r="Y64" s="543">
        <f>IFERROR(SUM(Y60:Y62),"0")</f>
        <v>64.800000000000011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4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86</v>
      </c>
      <c r="Y85" s="542">
        <f>IFERROR(IF(X85="",0,CEILING((X85/$H85),1)*$H85),"")</f>
        <v>86.4</v>
      </c>
      <c r="Z85" s="36">
        <f>IFERROR(IF(Y85=0,"",ROUNDUP(Y85/H85,0)*0.01898),"")</f>
        <v>0.15184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89.264814814814812</v>
      </c>
      <c r="BN85" s="64">
        <f>IFERROR(Y85*I85/H85,"0")</f>
        <v>89.68</v>
      </c>
      <c r="BO85" s="64">
        <f>IFERROR(1/J85*(X85/H85),"0")</f>
        <v>0.12442129629629629</v>
      </c>
      <c r="BP85" s="64">
        <f>IFERROR(1/J85*(Y85/H85),"0")</f>
        <v>0.125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5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1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12</v>
      </c>
      <c r="Y87" s="542">
        <f>IFERROR(IF(X87="",0,CEILING((X87/$H87),1)*$H87),"")</f>
        <v>13.5</v>
      </c>
      <c r="Z87" s="36">
        <f>IFERROR(IF(Y87=0,"",ROUNDUP(Y87/H87,0)*0.00902),"")</f>
        <v>2.7060000000000001E-2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12.506666666666668</v>
      </c>
      <c r="BN87" s="64">
        <f>IFERROR(Y87*I87/H87,"0")</f>
        <v>14.07</v>
      </c>
      <c r="BO87" s="64">
        <f>IFERROR(1/J87*(X87/H87),"0")</f>
        <v>2.02020202020202E-2</v>
      </c>
      <c r="BP87" s="64">
        <f>IFERROR(1/J87*(Y87/H87),"0")</f>
        <v>2.2727272727272728E-2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10.62962962962963</v>
      </c>
      <c r="Y88" s="543">
        <f>IFERROR(Y85/H85,"0")+IFERROR(Y86/H86,"0")+IFERROR(Y87/H87,"0")</f>
        <v>11</v>
      </c>
      <c r="Z88" s="543">
        <f>IFERROR(IF(Z85="",0,Z85),"0")+IFERROR(IF(Z86="",0,Z86),"0")+IFERROR(IF(Z87="",0,Z87),"0")</f>
        <v>0.1789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98</v>
      </c>
      <c r="Y89" s="543">
        <f>IFERROR(SUM(Y85:Y87),"0")</f>
        <v>99.9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4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54</v>
      </c>
      <c r="Y93" s="542">
        <f>IFERROR(IF(X93="",0,CEILING((X93/$H93),1)*$H93),"")</f>
        <v>54</v>
      </c>
      <c r="Z93" s="36">
        <f>IFERROR(IF(Y93=0,"",ROUNDUP(Y93/H93,0)*0.00651),"")</f>
        <v>0.13020000000000001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59.039999999999992</v>
      </c>
      <c r="BN93" s="64">
        <f>IFERROR(Y93*I93/H93,"0")</f>
        <v>59.039999999999992</v>
      </c>
      <c r="BO93" s="64">
        <f>IFERROR(1/J93*(X93/H93),"0")</f>
        <v>0.1098901098901099</v>
      </c>
      <c r="BP93" s="64">
        <f>IFERROR(1/J93*(Y93/H93),"0")</f>
        <v>0.1098901098901099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20</v>
      </c>
      <c r="Y95" s="543">
        <f>IFERROR(Y91/H91,"0")+IFERROR(Y92/H92,"0")+IFERROR(Y93/H93,"0")+IFERROR(Y94/H94,"0")</f>
        <v>20</v>
      </c>
      <c r="Z95" s="543">
        <f>IFERROR(IF(Z91="",0,Z91),"0")+IFERROR(IF(Z92="",0,Z92),"0")+IFERROR(IF(Z93="",0,Z93),"0")+IFERROR(IF(Z94="",0,Z94),"0")</f>
        <v>0.13020000000000001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54</v>
      </c>
      <c r="Y96" s="543">
        <f>IFERROR(SUM(Y91:Y94),"0")</f>
        <v>54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341</v>
      </c>
      <c r="Y99" s="542">
        <f>IFERROR(IF(X99="",0,CEILING((X99/$H99),1)*$H99),"")</f>
        <v>345.6</v>
      </c>
      <c r="Z99" s="36">
        <f>IFERROR(IF(Y99=0,"",ROUNDUP(Y99/H99,0)*0.01898),"")</f>
        <v>0.60736000000000001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353.94537037037037</v>
      </c>
      <c r="BN99" s="64">
        <f>IFERROR(Y99*I99/H99,"0")</f>
        <v>358.72</v>
      </c>
      <c r="BO99" s="64">
        <f>IFERROR(1/J99*(X99/H99),"0")</f>
        <v>0.49334490740740738</v>
      </c>
      <c r="BP99" s="64">
        <f>IFERROR(1/J99*(Y99/H99),"0")</f>
        <v>0.5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324</v>
      </c>
      <c r="Y101" s="542">
        <f>IFERROR(IF(X101="",0,CEILING((X101/$H101),1)*$H101),"")</f>
        <v>324</v>
      </c>
      <c r="Z101" s="36">
        <f>IFERROR(IF(Y101=0,"",ROUNDUP(Y101/H101,0)*0.00902),"")</f>
        <v>0.64944000000000002</v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337.68000000000006</v>
      </c>
      <c r="BN101" s="64">
        <f>IFERROR(Y101*I101/H101,"0")</f>
        <v>337.68000000000006</v>
      </c>
      <c r="BO101" s="64">
        <f>IFERROR(1/J101*(X101/H101),"0")</f>
        <v>0.54545454545454541</v>
      </c>
      <c r="BP101" s="64">
        <f>IFERROR(1/J101*(Y101/H101),"0")</f>
        <v>0.54545454545454541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103.57407407407408</v>
      </c>
      <c r="Y103" s="543">
        <f>IFERROR(Y99/H99,"0")+IFERROR(Y100/H100,"0")+IFERROR(Y101/H101,"0")+IFERROR(Y102/H102,"0")</f>
        <v>104</v>
      </c>
      <c r="Z103" s="543">
        <f>IFERROR(IF(Z99="",0,Z99),"0")+IFERROR(IF(Z100="",0,Z100),"0")+IFERROR(IF(Z101="",0,Z101),"0")+IFERROR(IF(Z102="",0,Z102),"0")</f>
        <v>1.2568000000000001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665</v>
      </c>
      <c r="Y104" s="543">
        <f>IFERROR(SUM(Y99:Y102),"0")</f>
        <v>669.6</v>
      </c>
      <c r="Z104" s="37"/>
      <c r="AA104" s="544"/>
      <c r="AB104" s="544"/>
      <c r="AC104" s="544"/>
    </row>
    <row r="105" spans="1:68" ht="14.25" customHeight="1" x14ac:dyDescent="0.25">
      <c r="A105" s="558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36</v>
      </c>
      <c r="Y106" s="542">
        <f>IFERROR(IF(X106="",0,CEILING((X106/$H106),1)*$H106),"")</f>
        <v>43.2</v>
      </c>
      <c r="Z106" s="36">
        <f>IFERROR(IF(Y106=0,"",ROUNDUP(Y106/H106,0)*0.01898),"")</f>
        <v>7.5920000000000001E-2</v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37.366666666666667</v>
      </c>
      <c r="BN106" s="64">
        <f>IFERROR(Y106*I106/H106,"0")</f>
        <v>44.84</v>
      </c>
      <c r="BO106" s="64">
        <f>IFERROR(1/J106*(X106/H106),"0")</f>
        <v>5.2083333333333329E-2</v>
      </c>
      <c r="BP106" s="64">
        <f>IFERROR(1/J106*(Y106/H106),"0")</f>
        <v>6.25E-2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16</v>
      </c>
      <c r="Y108" s="542">
        <f>IFERROR(IF(X108="",0,CEILING((X108/$H108),1)*$H108),"")</f>
        <v>16.8</v>
      </c>
      <c r="Z108" s="36">
        <f>IFERROR(IF(Y108=0,"",ROUNDUP(Y108/H108,0)*0.00651),"")</f>
        <v>4.5569999999999999E-2</v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17.200000000000003</v>
      </c>
      <c r="BN108" s="64">
        <f>IFERROR(Y108*I108/H108,"0")</f>
        <v>18.060000000000002</v>
      </c>
      <c r="BO108" s="64">
        <f>IFERROR(1/J108*(X108/H108),"0")</f>
        <v>3.6630036630036632E-2</v>
      </c>
      <c r="BP108" s="64">
        <f>IFERROR(1/J108*(Y108/H108),"0")</f>
        <v>3.8461538461538471E-2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10</v>
      </c>
      <c r="Y109" s="543">
        <f>IFERROR(Y106/H106,"0")+IFERROR(Y107/H107,"0")+IFERROR(Y108/H108,"0")</f>
        <v>11</v>
      </c>
      <c r="Z109" s="543">
        <f>IFERROR(IF(Z106="",0,Z106),"0")+IFERROR(IF(Z107="",0,Z107),"0")+IFERROR(IF(Z108="",0,Z108),"0")</f>
        <v>0.12149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52</v>
      </c>
      <c r="Y110" s="543">
        <f>IFERROR(SUM(Y106:Y108),"0")</f>
        <v>60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498</v>
      </c>
      <c r="Y112" s="542">
        <f>IFERROR(IF(X112="",0,CEILING((X112/$H112),1)*$H112),"")</f>
        <v>502.2</v>
      </c>
      <c r="Z112" s="36">
        <f>IFERROR(IF(Y112=0,"",ROUNDUP(Y112/H112,0)*0.01898),"")</f>
        <v>1.17676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528.0029629629629</v>
      </c>
      <c r="BN112" s="64">
        <f>IFERROR(Y112*I112/H112,"0")</f>
        <v>532.4559999999999</v>
      </c>
      <c r="BO112" s="64">
        <f>IFERROR(1/J112*(X112/H112),"0")</f>
        <v>0.96064814814814814</v>
      </c>
      <c r="BP112" s="64">
        <f>IFERROR(1/J112*(Y112/H112),"0")</f>
        <v>0.96875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449</v>
      </c>
      <c r="Y114" s="542">
        <f>IFERROR(IF(X114="",0,CEILING((X114/$H114),1)*$H114),"")</f>
        <v>450.90000000000003</v>
      </c>
      <c r="Z114" s="36">
        <f>IFERROR(IF(Y114=0,"",ROUNDUP(Y114/H114,0)*0.00651),"")</f>
        <v>1.08717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490.90666666666669</v>
      </c>
      <c r="BN114" s="64">
        <f>IFERROR(Y114*I114/H114,"0")</f>
        <v>492.98399999999998</v>
      </c>
      <c r="BO114" s="64">
        <f>IFERROR(1/J114*(X114/H114),"0")</f>
        <v>0.91371591371591365</v>
      </c>
      <c r="BP114" s="64">
        <f>IFERROR(1/J114*(Y114/H114),"0")</f>
        <v>0.91758241758241765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227.77777777777777</v>
      </c>
      <c r="Y116" s="543">
        <f>IFERROR(Y112/H112,"0")+IFERROR(Y113/H113,"0")+IFERROR(Y114/H114,"0")+IFERROR(Y115/H115,"0")</f>
        <v>229</v>
      </c>
      <c r="Z116" s="543">
        <f>IFERROR(IF(Z112="",0,Z112),"0")+IFERROR(IF(Z113="",0,Z113),"0")+IFERROR(IF(Z114="",0,Z114),"0")+IFERROR(IF(Z115="",0,Z115),"0")</f>
        <v>2.2639300000000002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947</v>
      </c>
      <c r="Y117" s="543">
        <f>IFERROR(SUM(Y112:Y115),"0")</f>
        <v>953.1</v>
      </c>
      <c r="Z117" s="37"/>
      <c r="AA117" s="544"/>
      <c r="AB117" s="544"/>
      <c r="AC117" s="544"/>
    </row>
    <row r="118" spans="1:68" ht="14.25" customHeight="1" x14ac:dyDescent="0.25">
      <c r="A118" s="558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9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6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9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8" t="s">
        <v>255</v>
      </c>
      <c r="B155" s="639"/>
      <c r="C155" s="639"/>
      <c r="D155" s="639"/>
      <c r="E155" s="639"/>
      <c r="F155" s="639"/>
      <c r="G155" s="639"/>
      <c r="H155" s="639"/>
      <c r="I155" s="639"/>
      <c r="J155" s="639"/>
      <c r="K155" s="639"/>
      <c r="L155" s="639"/>
      <c r="M155" s="639"/>
      <c r="N155" s="639"/>
      <c r="O155" s="639"/>
      <c r="P155" s="639"/>
      <c r="Q155" s="639"/>
      <c r="R155" s="639"/>
      <c r="S155" s="639"/>
      <c r="T155" s="639"/>
      <c r="U155" s="639"/>
      <c r="V155" s="639"/>
      <c r="W155" s="639"/>
      <c r="X155" s="639"/>
      <c r="Y155" s="639"/>
      <c r="Z155" s="639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customHeight="1" x14ac:dyDescent="0.25">
      <c r="A157" s="558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74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14</v>
      </c>
      <c r="Y163" s="542">
        <f t="shared" si="5"/>
        <v>16.8</v>
      </c>
      <c r="Z163" s="36">
        <f>IFERROR(IF(Y163=0,"",ROUNDUP(Y163/H163,0)*0.00902),"")</f>
        <v>3.6080000000000001E-2</v>
      </c>
      <c r="AA163" s="56"/>
      <c r="AB163" s="57"/>
      <c r="AC163" s="195" t="s">
        <v>266</v>
      </c>
      <c r="AG163" s="64"/>
      <c r="AJ163" s="68"/>
      <c r="AK163" s="68">
        <v>0</v>
      </c>
      <c r="BB163" s="196" t="s">
        <v>1</v>
      </c>
      <c r="BM163" s="64">
        <f t="shared" si="6"/>
        <v>14.833333333333334</v>
      </c>
      <c r="BN163" s="64">
        <f t="shared" si="7"/>
        <v>17.8</v>
      </c>
      <c r="BO163" s="64">
        <f t="shared" si="8"/>
        <v>2.5252525252525252E-2</v>
      </c>
      <c r="BP163" s="64">
        <f t="shared" si="9"/>
        <v>3.0303030303030304E-2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7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27</v>
      </c>
      <c r="Y165" s="542">
        <f t="shared" si="5"/>
        <v>29.400000000000002</v>
      </c>
      <c r="Z165" s="36">
        <f>IFERROR(IF(Y165=0,"",ROUNDUP(Y165/H165,0)*0.00902),"")</f>
        <v>6.3140000000000002E-2</v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28.221428571428568</v>
      </c>
      <c r="BN165" s="64">
        <f t="shared" si="7"/>
        <v>30.73</v>
      </c>
      <c r="BO165" s="64">
        <f t="shared" si="8"/>
        <v>4.8701298701298697E-2</v>
      </c>
      <c r="BP165" s="64">
        <f t="shared" si="9"/>
        <v>5.3030303030303032E-2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43</v>
      </c>
      <c r="Y166" s="542">
        <f t="shared" si="5"/>
        <v>44.1</v>
      </c>
      <c r="Z166" s="36">
        <f>IFERROR(IF(Y166=0,"",ROUNDUP(Y166/H166,0)*0.00502),"")</f>
        <v>0.10542</v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45.661904761904758</v>
      </c>
      <c r="BN166" s="64">
        <f t="shared" si="7"/>
        <v>46.83</v>
      </c>
      <c r="BO166" s="64">
        <f t="shared" si="8"/>
        <v>8.7505087505087509E-2</v>
      </c>
      <c r="BP166" s="64">
        <f t="shared" si="9"/>
        <v>8.9743589743589758E-2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5</v>
      </c>
      <c r="Y168" s="542">
        <f t="shared" si="5"/>
        <v>5.4</v>
      </c>
      <c r="Z168" s="36">
        <f>IFERROR(IF(Y168=0,"",ROUNDUP(Y168/H168,0)*0.00502),"")</f>
        <v>1.506E-2</v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5.3611111111111116</v>
      </c>
      <c r="BN168" s="64">
        <f t="shared" si="7"/>
        <v>5.79</v>
      </c>
      <c r="BO168" s="64">
        <f t="shared" si="8"/>
        <v>1.1870845204178538E-2</v>
      </c>
      <c r="BP168" s="64">
        <f t="shared" si="9"/>
        <v>1.2820512820512822E-2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7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121</v>
      </c>
      <c r="Y169" s="542">
        <f t="shared" si="5"/>
        <v>121.80000000000001</v>
      </c>
      <c r="Z169" s="36">
        <f>IFERROR(IF(Y169=0,"",ROUNDUP(Y169/H169,0)*0.00502),"")</f>
        <v>0.29116000000000003</v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126.76190476190477</v>
      </c>
      <c r="BN169" s="64">
        <f t="shared" si="7"/>
        <v>127.60000000000001</v>
      </c>
      <c r="BO169" s="64">
        <f t="shared" si="8"/>
        <v>0.24623524623524623</v>
      </c>
      <c r="BP169" s="64">
        <f t="shared" si="9"/>
        <v>0.2478632478632479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90.634920634920633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93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0.51085999999999998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3">
        <f>IFERROR(SUM(X162:X171),"0")</f>
        <v>210</v>
      </c>
      <c r="Y173" s="543">
        <f>IFERROR(SUM(Y162:Y171),"0")</f>
        <v>217.50000000000003</v>
      </c>
      <c r="Z173" s="37"/>
      <c r="AA173" s="544"/>
      <c r="AB173" s="544"/>
      <c r="AC173" s="544"/>
    </row>
    <row r="174" spans="1:68" ht="14.25" customHeight="1" x14ac:dyDescent="0.25">
      <c r="A174" s="558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3</v>
      </c>
      <c r="Y176" s="542">
        <f>IFERROR(IF(X176="",0,CEILING((X176/$H176),1)*$H176),"")</f>
        <v>3.7800000000000002</v>
      </c>
      <c r="Z176" s="36">
        <f>IFERROR(IF(Y176=0,"",ROUNDUP(Y176/H176,0)*0.0059),"")</f>
        <v>1.77E-2</v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3.4523809523809521</v>
      </c>
      <c r="BN176" s="64">
        <f>IFERROR(Y176*I176/H176,"0")</f>
        <v>4.3499999999999996</v>
      </c>
      <c r="BO176" s="64">
        <f>IFERROR(1/J176*(X176/H176),"0")</f>
        <v>1.1022927689594356E-2</v>
      </c>
      <c r="BP176" s="64">
        <f>IFERROR(1/J176*(Y176/H176),"0")</f>
        <v>1.3888888888888888E-2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7</v>
      </c>
      <c r="Y177" s="542">
        <f>IFERROR(IF(X177="",0,CEILING((X177/$H177),1)*$H177),"")</f>
        <v>7.5600000000000005</v>
      </c>
      <c r="Z177" s="36">
        <f>IFERROR(IF(Y177=0,"",ROUNDUP(Y177/H177,0)*0.0059),"")</f>
        <v>3.5400000000000001E-2</v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8.0555555555555554</v>
      </c>
      <c r="BN177" s="64">
        <f>IFERROR(Y177*I177/H177,"0")</f>
        <v>8.6999999999999993</v>
      </c>
      <c r="BO177" s="64">
        <f>IFERROR(1/J177*(X177/H177),"0")</f>
        <v>2.5720164609053495E-2</v>
      </c>
      <c r="BP177" s="64">
        <f>IFERROR(1/J177*(Y177/H177),"0")</f>
        <v>2.7777777777777776E-2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3">
        <f>IFERROR(X175/H175,"0")+IFERROR(X176/H176,"0")+IFERROR(X177/H177,"0")</f>
        <v>7.9365079365079367</v>
      </c>
      <c r="Y178" s="543">
        <f>IFERROR(Y175/H175,"0")+IFERROR(Y176/H176,"0")+IFERROR(Y177/H177,"0")</f>
        <v>9</v>
      </c>
      <c r="Z178" s="543">
        <f>IFERROR(IF(Z175="",0,Z175),"0")+IFERROR(IF(Z176="",0,Z176),"0")+IFERROR(IF(Z177="",0,Z177),"0")</f>
        <v>5.3100000000000001E-2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3">
        <f>IFERROR(SUM(X175:X177),"0")</f>
        <v>10</v>
      </c>
      <c r="Y179" s="543">
        <f>IFERROR(SUM(Y175:Y177),"0")</f>
        <v>11.34</v>
      </c>
      <c r="Z179" s="37"/>
      <c r="AA179" s="544"/>
      <c r="AB179" s="544"/>
      <c r="AC179" s="544"/>
    </row>
    <row r="180" spans="1:68" ht="14.25" customHeight="1" x14ac:dyDescent="0.25">
      <c r="A180" s="558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3</v>
      </c>
      <c r="Y181" s="542">
        <f>IFERROR(IF(X181="",0,CEILING((X181/$H181),1)*$H181),"")</f>
        <v>3.7800000000000002</v>
      </c>
      <c r="Z181" s="36">
        <f>IFERROR(IF(Y181=0,"",ROUNDUP(Y181/H181,0)*0.0059),"")</f>
        <v>1.77E-2</v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3.4523809523809521</v>
      </c>
      <c r="BN181" s="64">
        <f>IFERROR(Y181*I181/H181,"0")</f>
        <v>4.3499999999999996</v>
      </c>
      <c r="BO181" s="64">
        <f>IFERROR(1/J181*(X181/H181),"0")</f>
        <v>1.1022927689594356E-2</v>
      </c>
      <c r="BP181" s="64">
        <f>IFERROR(1/J181*(Y181/H181),"0")</f>
        <v>1.3888888888888888E-2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3">
        <f>IFERROR(X181/H181,"0")</f>
        <v>2.3809523809523809</v>
      </c>
      <c r="Y182" s="543">
        <f>IFERROR(Y181/H181,"0")</f>
        <v>3</v>
      </c>
      <c r="Z182" s="543">
        <f>IFERROR(IF(Z181="",0,Z181),"0")</f>
        <v>1.77E-2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3">
        <f>IFERROR(SUM(X181:X181),"0")</f>
        <v>3</v>
      </c>
      <c r="Y183" s="543">
        <f>IFERROR(SUM(Y181:Y181),"0")</f>
        <v>3.7800000000000002</v>
      </c>
      <c r="Z183" s="37"/>
      <c r="AA183" s="544"/>
      <c r="AB183" s="544"/>
      <c r="AC183" s="544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customHeight="1" x14ac:dyDescent="0.25">
      <c r="A185" s="558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 t="s">
        <v>186</v>
      </c>
      <c r="M187" s="33" t="s">
        <v>104</v>
      </c>
      <c r="N187" s="33"/>
      <c r="O187" s="32">
        <v>55</v>
      </c>
      <c r="P187" s="6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106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8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3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8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262</v>
      </c>
      <c r="Y196" s="542">
        <f t="shared" ref="Y196:Y203" si="10">IFERROR(IF(X196="",0,CEILING((X196/$H196),1)*$H196),"")</f>
        <v>264.60000000000002</v>
      </c>
      <c r="Z196" s="36">
        <f>IFERROR(IF(Y196=0,"",ROUNDUP(Y196/H196,0)*0.00902),"")</f>
        <v>0.44198000000000004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271.21851851851847</v>
      </c>
      <c r="BN196" s="64">
        <f t="shared" ref="BN196:BN203" si="12">IFERROR(Y196*I196/H196,"0")</f>
        <v>273.90999999999997</v>
      </c>
      <c r="BO196" s="64">
        <f t="shared" ref="BO196:BO203" si="13">IFERROR(1/J196*(X196/H196),"0")</f>
        <v>0.36756453423120083</v>
      </c>
      <c r="BP196" s="64">
        <f t="shared" ref="BP196:BP203" si="14">IFERROR(1/J196*(Y196/H196),"0")</f>
        <v>0.37121212121212122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137</v>
      </c>
      <c r="Y197" s="542">
        <f t="shared" si="10"/>
        <v>140.4</v>
      </c>
      <c r="Z197" s="36">
        <f>IFERROR(IF(Y197=0,"",ROUNDUP(Y197/H197,0)*0.00902),"")</f>
        <v>0.23452000000000001</v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141.82037037037034</v>
      </c>
      <c r="BN197" s="64">
        <f t="shared" si="12"/>
        <v>145.34</v>
      </c>
      <c r="BO197" s="64">
        <f t="shared" si="13"/>
        <v>0.19219977553310888</v>
      </c>
      <c r="BP197" s="64">
        <f t="shared" si="14"/>
        <v>0.19696969696969696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110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101</v>
      </c>
      <c r="Y199" s="542">
        <f t="shared" si="10"/>
        <v>102.60000000000001</v>
      </c>
      <c r="Z199" s="36">
        <f>IFERROR(IF(Y199=0,"",ROUNDUP(Y199/H199,0)*0.00902),"")</f>
        <v>0.17138</v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104.5537037037037</v>
      </c>
      <c r="BN199" s="64">
        <f t="shared" si="12"/>
        <v>106.21</v>
      </c>
      <c r="BO199" s="64">
        <f t="shared" si="13"/>
        <v>0.14169472502805835</v>
      </c>
      <c r="BP199" s="64">
        <f t="shared" si="14"/>
        <v>0.14393939393939395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24</v>
      </c>
      <c r="Y200" s="542">
        <f t="shared" si="10"/>
        <v>25.2</v>
      </c>
      <c r="Z200" s="36">
        <f>IFERROR(IF(Y200=0,"",ROUNDUP(Y200/H200,0)*0.00502),"")</f>
        <v>7.0280000000000009E-2</v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25.733333333333334</v>
      </c>
      <c r="BN200" s="64">
        <f t="shared" si="12"/>
        <v>27.019999999999996</v>
      </c>
      <c r="BO200" s="64">
        <f t="shared" si="13"/>
        <v>5.6980056980056981E-2</v>
      </c>
      <c r="BP200" s="64">
        <f t="shared" si="14"/>
        <v>5.9829059829059839E-2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18</v>
      </c>
      <c r="Y201" s="542">
        <f t="shared" si="10"/>
        <v>18</v>
      </c>
      <c r="Z201" s="36">
        <f>IFERROR(IF(Y201=0,"",ROUNDUP(Y201/H201,0)*0.00502),"")</f>
        <v>5.0200000000000002E-2</v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18.999999999999996</v>
      </c>
      <c r="BN201" s="64">
        <f t="shared" si="12"/>
        <v>18.999999999999996</v>
      </c>
      <c r="BO201" s="64">
        <f t="shared" si="13"/>
        <v>4.2735042735042736E-2</v>
      </c>
      <c r="BP201" s="64">
        <f t="shared" si="14"/>
        <v>4.2735042735042736E-2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19</v>
      </c>
      <c r="Y203" s="542">
        <f t="shared" si="10"/>
        <v>19.8</v>
      </c>
      <c r="Z203" s="36">
        <f>IFERROR(IF(Y203=0,"",ROUNDUP(Y203/H203,0)*0.00502),"")</f>
        <v>5.5220000000000005E-2</v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20.055555555555557</v>
      </c>
      <c r="BN203" s="64">
        <f t="shared" si="12"/>
        <v>20.9</v>
      </c>
      <c r="BO203" s="64">
        <f t="shared" si="13"/>
        <v>4.5109211775878448E-2</v>
      </c>
      <c r="BP203" s="64">
        <f t="shared" si="14"/>
        <v>4.7008547008547015E-2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126.48148148148147</v>
      </c>
      <c r="Y204" s="543">
        <f>IFERROR(Y196/H196,"0")+IFERROR(Y197/H197,"0")+IFERROR(Y198/H198,"0")+IFERROR(Y199/H199,"0")+IFERROR(Y200/H200,"0")+IFERROR(Y201/H201,"0")+IFERROR(Y202/H202,"0")+IFERROR(Y203/H203,"0")</f>
        <v>129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1.0235800000000002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3">
        <f>IFERROR(SUM(X196:X203),"0")</f>
        <v>561</v>
      </c>
      <c r="Y205" s="543">
        <f>IFERROR(SUM(Y196:Y203),"0")</f>
        <v>570.6</v>
      </c>
      <c r="Z205" s="37"/>
      <c r="AA205" s="544"/>
      <c r="AB205" s="544"/>
      <c r="AC205" s="544"/>
    </row>
    <row r="206" spans="1:68" ht="14.25" customHeight="1" x14ac:dyDescent="0.25">
      <c r="A206" s="558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7</v>
      </c>
      <c r="Y207" s="542">
        <f t="shared" ref="Y207:Y215" si="15">IFERROR(IF(X207="",0,CEILING((X207/$H207),1)*$H207),"")</f>
        <v>8.1</v>
      </c>
      <c r="Z207" s="36">
        <f>IFERROR(IF(Y207=0,"",ROUNDUP(Y207/H207,0)*0.01898),"")</f>
        <v>1.898E-2</v>
      </c>
      <c r="AA207" s="56"/>
      <c r="AB207" s="57"/>
      <c r="AC207" s="245" t="s">
        <v>334</v>
      </c>
      <c r="AG207" s="64"/>
      <c r="AJ207" s="68" t="s">
        <v>106</v>
      </c>
      <c r="AK207" s="68">
        <v>64.8</v>
      </c>
      <c r="BB207" s="246" t="s">
        <v>1</v>
      </c>
      <c r="BM207" s="64">
        <f t="shared" ref="BM207:BM215" si="16">IFERROR(X207*I207/H207,"0")</f>
        <v>7.4269135802469135</v>
      </c>
      <c r="BN207" s="64">
        <f t="shared" ref="BN207:BN215" si="17">IFERROR(Y207*I207/H207,"0")</f>
        <v>8.5939999999999994</v>
      </c>
      <c r="BO207" s="64">
        <f t="shared" ref="BO207:BO215" si="18">IFERROR(1/J207*(X207/H207),"0")</f>
        <v>1.3503086419753087E-2</v>
      </c>
      <c r="BP207" s="64">
        <f t="shared" ref="BP207:BP215" si="19">IFERROR(1/J207*(Y207/H207),"0")</f>
        <v>1.5625E-2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40</v>
      </c>
      <c r="P208" s="6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 t="s">
        <v>106</v>
      </c>
      <c r="AK208" s="68">
        <v>64.8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471</v>
      </c>
      <c r="Y209" s="542">
        <f t="shared" si="15"/>
        <v>478.49999999999994</v>
      </c>
      <c r="Z209" s="36">
        <f>IFERROR(IF(Y209=0,"",ROUNDUP(Y209/H209,0)*0.01898),"")</f>
        <v>1.0439000000000001</v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497.74413793103463</v>
      </c>
      <c r="BN209" s="64">
        <f t="shared" si="17"/>
        <v>505.67</v>
      </c>
      <c r="BO209" s="64">
        <f t="shared" si="18"/>
        <v>0.84590517241379315</v>
      </c>
      <c r="BP209" s="64">
        <f t="shared" si="19"/>
        <v>0.859375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186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144</v>
      </c>
      <c r="Y210" s="542">
        <f t="shared" si="15"/>
        <v>144</v>
      </c>
      <c r="Z210" s="36">
        <f t="shared" ref="Z210:Z215" si="20">IFERROR(IF(Y210=0,"",ROUNDUP(Y210/H210,0)*0.00651),"")</f>
        <v>0.3906</v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160.20000000000002</v>
      </c>
      <c r="BN210" s="64">
        <f t="shared" si="17"/>
        <v>160.20000000000002</v>
      </c>
      <c r="BO210" s="64">
        <f t="shared" si="18"/>
        <v>0.32967032967032972</v>
      </c>
      <c r="BP210" s="64">
        <f t="shared" si="19"/>
        <v>0.32967032967032972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259</v>
      </c>
      <c r="Y212" s="542">
        <f t="shared" si="15"/>
        <v>259.2</v>
      </c>
      <c r="Z212" s="36">
        <f t="shared" si="20"/>
        <v>0.70308000000000004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286.19500000000005</v>
      </c>
      <c r="BN212" s="64">
        <f t="shared" si="17"/>
        <v>286.41600000000005</v>
      </c>
      <c r="BO212" s="64">
        <f t="shared" si="18"/>
        <v>0.59294871794871806</v>
      </c>
      <c r="BP212" s="64">
        <f t="shared" si="19"/>
        <v>0.59340659340659341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209</v>
      </c>
      <c r="Y213" s="542">
        <f t="shared" si="15"/>
        <v>211.2</v>
      </c>
      <c r="Z213" s="36">
        <f t="shared" si="20"/>
        <v>0.57288000000000006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230.94500000000002</v>
      </c>
      <c r="BN213" s="64">
        <f t="shared" si="17"/>
        <v>233.376</v>
      </c>
      <c r="BO213" s="64">
        <f t="shared" si="18"/>
        <v>0.47847985347985356</v>
      </c>
      <c r="BP213" s="64">
        <f t="shared" si="19"/>
        <v>0.48351648351648358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186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86</v>
      </c>
      <c r="Y214" s="542">
        <f t="shared" si="15"/>
        <v>86.399999999999991</v>
      </c>
      <c r="Z214" s="36">
        <f t="shared" si="20"/>
        <v>0.23436000000000001</v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95.03</v>
      </c>
      <c r="BN214" s="64">
        <f t="shared" si="17"/>
        <v>95.472000000000008</v>
      </c>
      <c r="BO214" s="64">
        <f t="shared" si="18"/>
        <v>0.19688644688644691</v>
      </c>
      <c r="BP214" s="64">
        <f t="shared" si="19"/>
        <v>0.19780219780219782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186</v>
      </c>
      <c r="M215" s="33" t="s">
        <v>77</v>
      </c>
      <c r="N215" s="33"/>
      <c r="O215" s="32">
        <v>40</v>
      </c>
      <c r="P215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118</v>
      </c>
      <c r="Y215" s="542">
        <f t="shared" si="15"/>
        <v>120</v>
      </c>
      <c r="Z215" s="36">
        <f t="shared" si="20"/>
        <v>0.32550000000000001</v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130.685</v>
      </c>
      <c r="BN215" s="64">
        <f t="shared" si="17"/>
        <v>132.9</v>
      </c>
      <c r="BO215" s="64">
        <f t="shared" si="18"/>
        <v>0.27014652014652019</v>
      </c>
      <c r="BP215" s="64">
        <f t="shared" si="19"/>
        <v>0.27472527472527475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395.00212856534699</v>
      </c>
      <c r="Y216" s="543">
        <f>IFERROR(Y207/H207,"0")+IFERROR(Y208/H208,"0")+IFERROR(Y209/H209,"0")+IFERROR(Y210/H210,"0")+IFERROR(Y211/H211,"0")+IFERROR(Y212/H212,"0")+IFERROR(Y213/H213,"0")+IFERROR(Y214/H214,"0")+IFERROR(Y215/H215,"0")</f>
        <v>398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3.2893000000000003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3">
        <f>IFERROR(SUM(X207:X215),"0")</f>
        <v>1294</v>
      </c>
      <c r="Y217" s="543">
        <f>IFERROR(SUM(Y207:Y215),"0")</f>
        <v>1307.4000000000001</v>
      </c>
      <c r="Z217" s="37"/>
      <c r="AA217" s="544"/>
      <c r="AB217" s="544"/>
      <c r="AC217" s="544"/>
    </row>
    <row r="218" spans="1:68" ht="14.25" customHeight="1" x14ac:dyDescent="0.25">
      <c r="A218" s="558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35</v>
      </c>
      <c r="Y219" s="542">
        <f>IFERROR(IF(X219="",0,CEILING((X219/$H219),1)*$H219),"")</f>
        <v>36</v>
      </c>
      <c r="Z219" s="36">
        <f>IFERROR(IF(Y219=0,"",ROUNDUP(Y219/H219,0)*0.00651),"")</f>
        <v>9.7650000000000001E-2</v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38.675000000000004</v>
      </c>
      <c r="BN219" s="64">
        <f>IFERROR(Y219*I219/H219,"0")</f>
        <v>39.780000000000008</v>
      </c>
      <c r="BO219" s="64">
        <f>IFERROR(1/J219*(X219/H219),"0")</f>
        <v>8.0128205128205135E-2</v>
      </c>
      <c r="BP219" s="64">
        <f>IFERROR(1/J219*(Y219/H219),"0")</f>
        <v>8.241758241758243E-2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3">
        <f>IFERROR(X219/H219,"0")+IFERROR(X220/H220,"0")</f>
        <v>14.583333333333334</v>
      </c>
      <c r="Y221" s="543">
        <f>IFERROR(Y219/H219,"0")+IFERROR(Y220/H220,"0")</f>
        <v>15</v>
      </c>
      <c r="Z221" s="543">
        <f>IFERROR(IF(Z219="",0,Z219),"0")+IFERROR(IF(Z220="",0,Z220),"0")</f>
        <v>9.7650000000000001E-2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3">
        <f>IFERROR(SUM(X219:X220),"0")</f>
        <v>35</v>
      </c>
      <c r="Y222" s="543">
        <f>IFERROR(SUM(Y219:Y220),"0")</f>
        <v>36</v>
      </c>
      <c r="Z222" s="37"/>
      <c r="AA222" s="544"/>
      <c r="AB222" s="544"/>
      <c r="AC222" s="544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customHeight="1" x14ac:dyDescent="0.25">
      <c r="A224" s="558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 t="s">
        <v>110</v>
      </c>
      <c r="M233" s="33" t="s">
        <v>104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106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customHeight="1" x14ac:dyDescent="0.25">
      <c r="A237" s="558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8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customHeight="1" x14ac:dyDescent="0.25">
      <c r="A245" s="558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1</v>
      </c>
      <c r="Y249" s="542">
        <f>IFERROR(IF(X249="",0,CEILING((X249/$H249),1)*$H249),"")</f>
        <v>1.98</v>
      </c>
      <c r="Z249" s="36">
        <f>IFERROR(IF(Y249=0,"",ROUNDUP(Y249/H249,0)*0.0059),"")</f>
        <v>1.18E-2</v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1.1919191919191918</v>
      </c>
      <c r="BN249" s="64">
        <f>IFERROR(Y249*I249/H249,"0")</f>
        <v>2.36</v>
      </c>
      <c r="BO249" s="64">
        <f>IFERROR(1/J249*(X249/H249),"0")</f>
        <v>4.6763935652824546E-3</v>
      </c>
      <c r="BP249" s="64">
        <f>IFERROR(1/J249*(Y249/H249),"0")</f>
        <v>9.2592592592592587E-3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3">
        <f>IFERROR(X246/H246,"0")+IFERROR(X247/H247,"0")+IFERROR(X248/H248,"0")+IFERROR(X249/H249,"0")+IFERROR(X250/H250,"0")</f>
        <v>1.0101010101010102</v>
      </c>
      <c r="Y251" s="543">
        <f>IFERROR(Y246/H246,"0")+IFERROR(Y247/H247,"0")+IFERROR(Y248/H248,"0")+IFERROR(Y249/H249,"0")+IFERROR(Y250/H250,"0")</f>
        <v>2</v>
      </c>
      <c r="Z251" s="543">
        <f>IFERROR(IF(Z246="",0,Z246),"0")+IFERROR(IF(Z247="",0,Z247),"0")+IFERROR(IF(Z248="",0,Z248),"0")+IFERROR(IF(Z249="",0,Z249),"0")+IFERROR(IF(Z250="",0,Z250),"0")</f>
        <v>1.18E-2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3">
        <f>IFERROR(SUM(X246:X250),"0")</f>
        <v>1</v>
      </c>
      <c r="Y252" s="543">
        <f>IFERROR(SUM(Y246:Y250),"0")</f>
        <v>1.98</v>
      </c>
      <c r="Z252" s="37"/>
      <c r="AA252" s="544"/>
      <c r="AB252" s="544"/>
      <c r="AC252" s="544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customHeight="1" x14ac:dyDescent="0.25">
      <c r="A254" s="558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 t="s">
        <v>103</v>
      </c>
      <c r="M255" s="33" t="s">
        <v>104</v>
      </c>
      <c r="N255" s="33"/>
      <c r="O255" s="32">
        <v>55</v>
      </c>
      <c r="P255" s="63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106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 t="s">
        <v>103</v>
      </c>
      <c r="M257" s="33" t="s">
        <v>104</v>
      </c>
      <c r="N257" s="33"/>
      <c r="O257" s="32">
        <v>55</v>
      </c>
      <c r="P257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 t="s">
        <v>106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customHeight="1" x14ac:dyDescent="0.25">
      <c r="A263" s="558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customHeight="1" x14ac:dyDescent="0.25">
      <c r="A271" s="558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186</v>
      </c>
      <c r="M273" s="33" t="s">
        <v>84</v>
      </c>
      <c r="N273" s="33"/>
      <c r="O273" s="32">
        <v>40</v>
      </c>
      <c r="P273" s="62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186</v>
      </c>
      <c r="M274" s="33" t="s">
        <v>77</v>
      </c>
      <c r="N274" s="33"/>
      <c r="O274" s="32">
        <v>45</v>
      </c>
      <c r="P274" s="7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customHeight="1" x14ac:dyDescent="0.25">
      <c r="A278" s="558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8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1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2" t="s">
        <v>71</v>
      </c>
      <c r="Q287" s="563"/>
      <c r="R287" s="563"/>
      <c r="S287" s="563"/>
      <c r="T287" s="563"/>
      <c r="U287" s="563"/>
      <c r="V287" s="564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customHeight="1" x14ac:dyDescent="0.25">
      <c r="A289" s="558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 t="s">
        <v>110</v>
      </c>
      <c r="M299" s="33" t="s">
        <v>68</v>
      </c>
      <c r="N299" s="33"/>
      <c r="O299" s="32">
        <v>40</v>
      </c>
      <c r="P299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 t="s">
        <v>106</v>
      </c>
      <c r="AK299" s="68">
        <v>50.4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6</v>
      </c>
      <c r="Y304" s="542">
        <f t="shared" si="26"/>
        <v>7.2</v>
      </c>
      <c r="Z304" s="36">
        <f>IFERROR(IF(Y304=0,"",ROUNDUP(Y304/H304,0)*0.00651),"")</f>
        <v>2.6040000000000001E-2</v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6.76</v>
      </c>
      <c r="BN304" s="64">
        <f t="shared" si="28"/>
        <v>8.1120000000000001</v>
      </c>
      <c r="BO304" s="64">
        <f t="shared" si="29"/>
        <v>1.8315018315018316E-2</v>
      </c>
      <c r="BP304" s="64">
        <f t="shared" si="30"/>
        <v>2.197802197802198E-2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3.333333333333333</v>
      </c>
      <c r="Y305" s="543">
        <f>IFERROR(Y298/H298,"0")+IFERROR(Y299/H299,"0")+IFERROR(Y300/H300,"0")+IFERROR(Y301/H301,"0")+IFERROR(Y302/H302,"0")+IFERROR(Y303/H303,"0")+IFERROR(Y304/H304,"0")</f>
        <v>4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2.6040000000000001E-2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6</v>
      </c>
      <c r="Y306" s="543">
        <f>IFERROR(SUM(Y298:Y304),"0")</f>
        <v>7.2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 t="s">
        <v>103</v>
      </c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 t="s">
        <v>106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501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4</v>
      </c>
      <c r="Y316" s="542">
        <f>IFERROR(IF(X316="",0,CEILING((X316/$H316),1)*$H316),"")</f>
        <v>7.8</v>
      </c>
      <c r="Z316" s="36">
        <f>IFERROR(IF(Y316=0,"",ROUNDUP(Y316/H316,0)*0.01898),"")</f>
        <v>1.898E-2</v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4.2533333333333339</v>
      </c>
      <c r="BN316" s="64">
        <f>IFERROR(Y316*I316/H316,"0")</f>
        <v>8.2940000000000005</v>
      </c>
      <c r="BO316" s="64">
        <f>IFERROR(1/J316*(X316/H316),"0")</f>
        <v>8.0128205128205138E-3</v>
      </c>
      <c r="BP316" s="64">
        <f>IFERROR(1/J316*(Y316/H316),"0")</f>
        <v>1.5625E-2</v>
      </c>
    </row>
    <row r="317" spans="1:68" ht="16.5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/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0.51282051282051289</v>
      </c>
      <c r="Y318" s="543">
        <f>IFERROR(Y315/H315,"0")+IFERROR(Y316/H316,"0")+IFERROR(Y317/H317,"0")</f>
        <v>1</v>
      </c>
      <c r="Z318" s="543">
        <f>IFERROR(IF(Z315="",0,Z315),"0")+IFERROR(IF(Z316="",0,Z316),"0")+IFERROR(IF(Z317="",0,Z317),"0")</f>
        <v>1.898E-2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4</v>
      </c>
      <c r="Y319" s="543">
        <f>IFERROR(SUM(Y315:Y317),"0")</f>
        <v>7.8</v>
      </c>
      <c r="Z319" s="37"/>
      <c r="AA319" s="544"/>
      <c r="AB319" s="544"/>
      <c r="AC319" s="544"/>
    </row>
    <row r="320" spans="1:68" ht="14.25" customHeight="1" x14ac:dyDescent="0.25">
      <c r="A320" s="558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19</v>
      </c>
      <c r="Y321" s="542">
        <f>IFERROR(IF(X321="",0,CEILING((X321/$H321),1)*$H321),"")</f>
        <v>21.28</v>
      </c>
      <c r="Z321" s="36">
        <f>IFERROR(IF(Y321=0,"",ROUNDUP(Y321/H321,0)*0.00902),"")</f>
        <v>6.3140000000000002E-2</v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20.6875</v>
      </c>
      <c r="BN321" s="64">
        <f>IFERROR(Y321*I321/H321,"0")</f>
        <v>23.17</v>
      </c>
      <c r="BO321" s="64">
        <f>IFERROR(1/J321*(X321/H321),"0")</f>
        <v>4.7348484848484848E-2</v>
      </c>
      <c r="BP321" s="64">
        <f>IFERROR(1/J321*(Y321/H321),"0")</f>
        <v>5.3030303030303032E-2</v>
      </c>
    </row>
    <row r="322" spans="1:68" ht="27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2</v>
      </c>
      <c r="Y323" s="542">
        <f>IFERROR(IF(X323="",0,CEILING((X323/$H323),1)*$H323),"")</f>
        <v>2.5499999999999998</v>
      </c>
      <c r="Z323" s="36">
        <f>IFERROR(IF(Y323=0,"",ROUNDUP(Y323/H323,0)*0.00651),"")</f>
        <v>6.5100000000000002E-3</v>
      </c>
      <c r="AA323" s="56"/>
      <c r="AB323" s="57"/>
      <c r="AC323" s="375" t="s">
        <v>516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2.3176470588235296</v>
      </c>
      <c r="BN323" s="64">
        <f>IFERROR(Y323*I323/H323,"0")</f>
        <v>2.9550000000000001</v>
      </c>
      <c r="BO323" s="64">
        <f>IFERROR(1/J323*(X323/H323),"0")</f>
        <v>4.3094160741219576E-3</v>
      </c>
      <c r="BP323" s="64">
        <f>IFERROR(1/J323*(Y323/H323),"0")</f>
        <v>5.4945054945054949E-3</v>
      </c>
    </row>
    <row r="324" spans="1:68" ht="27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186</v>
      </c>
      <c r="M324" s="33" t="s">
        <v>94</v>
      </c>
      <c r="N324" s="33"/>
      <c r="O324" s="32">
        <v>180</v>
      </c>
      <c r="P324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7</v>
      </c>
      <c r="Y324" s="542">
        <f>IFERROR(IF(X324="",0,CEILING((X324/$H324),1)*$H324),"")</f>
        <v>7.6499999999999995</v>
      </c>
      <c r="Z324" s="36">
        <f>IFERROR(IF(Y324=0,"",ROUNDUP(Y324/H324,0)*0.00651),"")</f>
        <v>1.9529999999999999E-2</v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7.9058823529411768</v>
      </c>
      <c r="BN324" s="64">
        <f>IFERROR(Y324*I324/H324,"0")</f>
        <v>8.6399999999999988</v>
      </c>
      <c r="BO324" s="64">
        <f>IFERROR(1/J324*(X324/H324),"0")</f>
        <v>1.508295625942685E-2</v>
      </c>
      <c r="BP324" s="64">
        <f>IFERROR(1/J324*(Y324/H324),"0")</f>
        <v>1.6483516483516484E-2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9.7794117647058822</v>
      </c>
      <c r="Y325" s="543">
        <f>IFERROR(Y321/H321,"0")+IFERROR(Y322/H322,"0")+IFERROR(Y323/H323,"0")+IFERROR(Y324/H324,"0")</f>
        <v>11</v>
      </c>
      <c r="Z325" s="543">
        <f>IFERROR(IF(Z321="",0,Z321),"0")+IFERROR(IF(Z322="",0,Z322),"0")+IFERROR(IF(Z323="",0,Z323),"0")+IFERROR(IF(Z324="",0,Z324),"0")</f>
        <v>8.9180000000000009E-2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28</v>
      </c>
      <c r="Y326" s="543">
        <f>IFERROR(SUM(Y321:Y324),"0")</f>
        <v>31.48</v>
      </c>
      <c r="Z326" s="37"/>
      <c r="AA326" s="544"/>
      <c r="AB326" s="544"/>
      <c r="AC326" s="544"/>
    </row>
    <row r="327" spans="1:68" ht="14.25" customHeight="1" x14ac:dyDescent="0.25">
      <c r="A327" s="558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8</v>
      </c>
      <c r="Y328" s="542">
        <f>IFERROR(IF(X328="",0,CEILING((X328/$H328),1)*$H328),"")</f>
        <v>8</v>
      </c>
      <c r="Z328" s="36">
        <f>IFERROR(IF(Y328=0,"",ROUNDUP(Y328/H328,0)*0.00474),"")</f>
        <v>1.8960000000000001E-2</v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8.9600000000000009</v>
      </c>
      <c r="BN328" s="64">
        <f>IFERROR(Y328*I328/H328,"0")</f>
        <v>8.9600000000000009</v>
      </c>
      <c r="BO328" s="64">
        <f>IFERROR(1/J328*(X328/H328),"0")</f>
        <v>1.680672268907563E-2</v>
      </c>
      <c r="BP328" s="64">
        <f>IFERROR(1/J328*(Y328/H328),"0")</f>
        <v>1.680672268907563E-2</v>
      </c>
    </row>
    <row r="329" spans="1:68" ht="27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11</v>
      </c>
      <c r="Y330" s="542">
        <f>IFERROR(IF(X330="",0,CEILING((X330/$H330),1)*$H330),"")</f>
        <v>12</v>
      </c>
      <c r="Z330" s="36">
        <f>IFERROR(IF(Y330=0,"",ROUNDUP(Y330/H330,0)*0.00474),"")</f>
        <v>2.844E-2</v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12.32</v>
      </c>
      <c r="BN330" s="64">
        <f>IFERROR(Y330*I330/H330,"0")</f>
        <v>13.440000000000001</v>
      </c>
      <c r="BO330" s="64">
        <f>IFERROR(1/J330*(X330/H330),"0")</f>
        <v>2.3109243697478989E-2</v>
      </c>
      <c r="BP330" s="64">
        <f>IFERROR(1/J330*(Y330/H330),"0")</f>
        <v>2.5210084033613446E-2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9.5</v>
      </c>
      <c r="Y331" s="543">
        <f>IFERROR(Y328/H328,"0")+IFERROR(Y329/H329,"0")+IFERROR(Y330/H330,"0")</f>
        <v>10</v>
      </c>
      <c r="Z331" s="543">
        <f>IFERROR(IF(Z328="",0,Z328),"0")+IFERROR(IF(Z329="",0,Z329),"0")+IFERROR(IF(Z330="",0,Z330),"0")</f>
        <v>4.7399999999999998E-2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19</v>
      </c>
      <c r="Y332" s="543">
        <f>IFERROR(SUM(Y328:Y330),"0")</f>
        <v>20</v>
      </c>
      <c r="Z332" s="37"/>
      <c r="AA332" s="544"/>
      <c r="AB332" s="544"/>
      <c r="AC332" s="544"/>
    </row>
    <row r="333" spans="1:68" ht="16.5" customHeight="1" x14ac:dyDescent="0.25">
      <c r="A333" s="559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186</v>
      </c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186</v>
      </c>
      <c r="M337" s="33" t="s">
        <v>84</v>
      </c>
      <c r="N337" s="33"/>
      <c r="O337" s="32">
        <v>40</v>
      </c>
      <c r="P337" s="6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customHeight="1" x14ac:dyDescent="0.2">
      <c r="A340" s="638" t="s">
        <v>538</v>
      </c>
      <c r="B340" s="639"/>
      <c r="C340" s="639"/>
      <c r="D340" s="639"/>
      <c r="E340" s="639"/>
      <c r="F340" s="639"/>
      <c r="G340" s="639"/>
      <c r="H340" s="639"/>
      <c r="I340" s="639"/>
      <c r="J340" s="639"/>
      <c r="K340" s="639"/>
      <c r="L340" s="639"/>
      <c r="M340" s="639"/>
      <c r="N340" s="639"/>
      <c r="O340" s="639"/>
      <c r="P340" s="639"/>
      <c r="Q340" s="639"/>
      <c r="R340" s="639"/>
      <c r="S340" s="639"/>
      <c r="T340" s="639"/>
      <c r="U340" s="639"/>
      <c r="V340" s="639"/>
      <c r="W340" s="639"/>
      <c r="X340" s="639"/>
      <c r="Y340" s="639"/>
      <c r="Z340" s="639"/>
      <c r="AA340" s="48"/>
      <c r="AB340" s="48"/>
      <c r="AC340" s="48"/>
    </row>
    <row r="341" spans="1:68" ht="16.5" customHeight="1" x14ac:dyDescent="0.25">
      <c r="A341" s="559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1494</v>
      </c>
      <c r="Y343" s="542">
        <f t="shared" ref="Y343:Y349" si="31">IFERROR(IF(X343="",0,CEILING((X343/$H343),1)*$H343),"")</f>
        <v>1500</v>
      </c>
      <c r="Z343" s="36">
        <f>IFERROR(IF(Y343=0,"",ROUNDUP(Y343/H343,0)*0.02175),"")</f>
        <v>2.1749999999999998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1540.8120000000001</v>
      </c>
      <c r="BN343" s="64">
        <f t="shared" ref="BN343:BN349" si="33">IFERROR(Y343*I343/H343,"0")</f>
        <v>1547</v>
      </c>
      <c r="BO343" s="64">
        <f t="shared" ref="BO343:BO349" si="34">IFERROR(1/J343*(X343/H343),"0")</f>
        <v>2.0749999999999997</v>
      </c>
      <c r="BP343" s="64">
        <f t="shared" ref="BP343:BP349" si="35">IFERROR(1/J343*(Y343/H343),"0")</f>
        <v>2.083333333333333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448</v>
      </c>
      <c r="Y344" s="542">
        <f t="shared" si="31"/>
        <v>450</v>
      </c>
      <c r="Z344" s="36">
        <f>IFERROR(IF(Y344=0,"",ROUNDUP(Y344/H344,0)*0.02175),"")</f>
        <v>0.65249999999999997</v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462.03733333333338</v>
      </c>
      <c r="BN344" s="64">
        <f t="shared" si="33"/>
        <v>464.1</v>
      </c>
      <c r="BO344" s="64">
        <f t="shared" si="34"/>
        <v>0.62222222222222223</v>
      </c>
      <c r="BP344" s="64">
        <f t="shared" si="35"/>
        <v>0.625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1452</v>
      </c>
      <c r="Y345" s="542">
        <f t="shared" si="31"/>
        <v>1455</v>
      </c>
      <c r="Z345" s="36">
        <f>IFERROR(IF(Y345=0,"",ROUNDUP(Y345/H345,0)*0.02175),"")</f>
        <v>2.10975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1497.4960000000001</v>
      </c>
      <c r="BN345" s="64">
        <f t="shared" si="33"/>
        <v>1500.5900000000001</v>
      </c>
      <c r="BO345" s="64">
        <f t="shared" si="34"/>
        <v>2.0166666666666666</v>
      </c>
      <c r="BP345" s="64">
        <f t="shared" si="35"/>
        <v>2.020833333333333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89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220</v>
      </c>
      <c r="Y346" s="542">
        <f t="shared" si="31"/>
        <v>225</v>
      </c>
      <c r="Z346" s="36">
        <f>IFERROR(IF(Y346=0,"",ROUNDUP(Y346/H346,0)*0.02175),"")</f>
        <v>0.32624999999999998</v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226.89333333333335</v>
      </c>
      <c r="BN346" s="64">
        <f t="shared" si="33"/>
        <v>232.05</v>
      </c>
      <c r="BO346" s="64">
        <f t="shared" si="34"/>
        <v>0.30555555555555552</v>
      </c>
      <c r="BP346" s="64">
        <f t="shared" si="35"/>
        <v>0.3125</v>
      </c>
    </row>
    <row r="347" spans="1:68" ht="27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240.93333333333331</v>
      </c>
      <c r="Y350" s="543">
        <f>IFERROR(Y343/H343,"0")+IFERROR(Y344/H344,"0")+IFERROR(Y345/H345,"0")+IFERROR(Y346/H346,"0")+IFERROR(Y347/H347,"0")+IFERROR(Y348/H348,"0")+IFERROR(Y349/H349,"0")</f>
        <v>242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5.2634999999999996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3614</v>
      </c>
      <c r="Y351" s="543">
        <f>IFERROR(SUM(Y343:Y349),"0")</f>
        <v>3630</v>
      </c>
      <c r="Z351" s="37"/>
      <c r="AA351" s="544"/>
      <c r="AB351" s="544"/>
      <c r="AC351" s="544"/>
    </row>
    <row r="352" spans="1:68" ht="14.25" customHeight="1" x14ac:dyDescent="0.25">
      <c r="A352" s="558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1118</v>
      </c>
      <c r="Y353" s="542">
        <f>IFERROR(IF(X353="",0,CEILING((X353/$H353),1)*$H353),"")</f>
        <v>1125</v>
      </c>
      <c r="Z353" s="36">
        <f>IFERROR(IF(Y353=0,"",ROUNDUP(Y353/H353,0)*0.02175),"")</f>
        <v>1.6312499999999999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1153.0306666666665</v>
      </c>
      <c r="BN353" s="64">
        <f>IFERROR(Y353*I353/H353,"0")</f>
        <v>1160.25</v>
      </c>
      <c r="BO353" s="64">
        <f>IFERROR(1/J353*(X353/H353),"0")</f>
        <v>1.5527777777777776</v>
      </c>
      <c r="BP353" s="64">
        <f>IFERROR(1/J353*(Y353/H353),"0")</f>
        <v>1.5625</v>
      </c>
    </row>
    <row r="354" spans="1:68" ht="16.5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74.533333333333331</v>
      </c>
      <c r="Y355" s="543">
        <f>IFERROR(Y353/H353,"0")+IFERROR(Y354/H354,"0")</f>
        <v>75</v>
      </c>
      <c r="Z355" s="543">
        <f>IFERROR(IF(Z353="",0,Z353),"0")+IFERROR(IF(Z354="",0,Z354),"0")</f>
        <v>1.6312499999999999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1118</v>
      </c>
      <c r="Y356" s="543">
        <f>IFERROR(SUM(Y353:Y354),"0")</f>
        <v>1125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8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 t="s">
        <v>110</v>
      </c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 t="s">
        <v>106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3330</v>
      </c>
      <c r="Y378" s="542">
        <f>IFERROR(IF(X378="",0,CEILING((X378/$H378),1)*$H378),"")</f>
        <v>3330</v>
      </c>
      <c r="Z378" s="36">
        <f>IFERROR(IF(Y378=0,"",ROUNDUP(Y378/H378,0)*0.01898),"")</f>
        <v>7.0225999999999997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3512.78</v>
      </c>
      <c r="BN378" s="64">
        <f>IFERROR(Y378*I378/H378,"0")</f>
        <v>3512.78</v>
      </c>
      <c r="BO378" s="64">
        <f>IFERROR(1/J378*(X378/H378),"0")</f>
        <v>5.78125</v>
      </c>
      <c r="BP378" s="64">
        <f>IFERROR(1/J378*(Y378/H378),"0")</f>
        <v>5.78125</v>
      </c>
    </row>
    <row r="379" spans="1:68" ht="27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186</v>
      </c>
      <c r="M379" s="33" t="s">
        <v>77</v>
      </c>
      <c r="N379" s="33"/>
      <c r="O379" s="32">
        <v>40</v>
      </c>
      <c r="P379" s="5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40</v>
      </c>
      <c r="Y379" s="542">
        <f>IFERROR(IF(X379="",0,CEILING((X379/$H379),1)*$H379),"")</f>
        <v>40.799999999999997</v>
      </c>
      <c r="Z379" s="36">
        <f>IFERROR(IF(Y379=0,"",ROUNDUP(Y379/H379,0)*0.00651),"")</f>
        <v>0.11067</v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44.400000000000006</v>
      </c>
      <c r="BN379" s="64">
        <f>IFERROR(Y379*I379/H379,"0")</f>
        <v>45.287999999999997</v>
      </c>
      <c r="BO379" s="64">
        <f>IFERROR(1/J379*(X379/H379),"0")</f>
        <v>9.1575091575091583E-2</v>
      </c>
      <c r="BP379" s="64">
        <f>IFERROR(1/J379*(Y379/H379),"0")</f>
        <v>9.3406593406593408E-2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386.66666666666669</v>
      </c>
      <c r="Y380" s="543">
        <f>IFERROR(Y378/H378,"0")+IFERROR(Y379/H379,"0")</f>
        <v>387</v>
      </c>
      <c r="Z380" s="543">
        <f>IFERROR(IF(Z378="",0,Z378),"0")+IFERROR(IF(Z379="",0,Z379),"0")</f>
        <v>7.1332699999999996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3370</v>
      </c>
      <c r="Y381" s="543">
        <f>IFERROR(SUM(Y378:Y379),"0")</f>
        <v>3370.8</v>
      </c>
      <c r="Z381" s="37"/>
      <c r="AA381" s="544"/>
      <c r="AB381" s="544"/>
      <c r="AC381" s="544"/>
    </row>
    <row r="382" spans="1:68" ht="27.75" customHeight="1" x14ac:dyDescent="0.2">
      <c r="A382" s="638" t="s">
        <v>590</v>
      </c>
      <c r="B382" s="639"/>
      <c r="C382" s="639"/>
      <c r="D382" s="639"/>
      <c r="E382" s="639"/>
      <c r="F382" s="639"/>
      <c r="G382" s="639"/>
      <c r="H382" s="639"/>
      <c r="I382" s="639"/>
      <c r="J382" s="639"/>
      <c r="K382" s="639"/>
      <c r="L382" s="639"/>
      <c r="M382" s="639"/>
      <c r="N382" s="639"/>
      <c r="O382" s="639"/>
      <c r="P382" s="639"/>
      <c r="Q382" s="639"/>
      <c r="R382" s="639"/>
      <c r="S382" s="639"/>
      <c r="T382" s="639"/>
      <c r="U382" s="639"/>
      <c r="V382" s="639"/>
      <c r="W382" s="639"/>
      <c r="X382" s="639"/>
      <c r="Y382" s="639"/>
      <c r="Z382" s="639"/>
      <c r="AA382" s="48"/>
      <c r="AB382" s="48"/>
      <c r="AC382" s="48"/>
    </row>
    <row r="383" spans="1:68" ht="16.5" customHeight="1" x14ac:dyDescent="0.25">
      <c r="A383" s="559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594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628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8" t="s">
        <v>641</v>
      </c>
      <c r="B418" s="639"/>
      <c r="C418" s="639"/>
      <c r="D418" s="639"/>
      <c r="E418" s="639"/>
      <c r="F418" s="639"/>
      <c r="G418" s="639"/>
      <c r="H418" s="639"/>
      <c r="I418" s="639"/>
      <c r="J418" s="639"/>
      <c r="K418" s="639"/>
      <c r="L418" s="639"/>
      <c r="M418" s="639"/>
      <c r="N418" s="639"/>
      <c r="O418" s="639"/>
      <c r="P418" s="639"/>
      <c r="Q418" s="639"/>
      <c r="R418" s="639"/>
      <c r="S418" s="639"/>
      <c r="T418" s="639"/>
      <c r="U418" s="639"/>
      <c r="V418" s="639"/>
      <c r="W418" s="639"/>
      <c r="X418" s="639"/>
      <c r="Y418" s="639"/>
      <c r="Z418" s="639"/>
      <c r="AA418" s="48"/>
      <c r="AB418" s="48"/>
      <c r="AC418" s="48"/>
    </row>
    <row r="419" spans="1:68" ht="16.5" customHeight="1" x14ac:dyDescent="0.25">
      <c r="A419" s="559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50</v>
      </c>
      <c r="Y421" s="542">
        <f t="shared" ref="Y421:Y431" si="42">IFERROR(IF(X421="",0,CEILING((X421/$H421),1)*$H421),"")</f>
        <v>52.800000000000004</v>
      </c>
      <c r="Z421" s="36">
        <f t="shared" ref="Z421:Z426" si="43">IFERROR(IF(Y421=0,"",ROUNDUP(Y421/H421,0)*0.01196),"")</f>
        <v>0.1196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53.314393939393938</v>
      </c>
      <c r="BN421" s="64">
        <f t="shared" ref="BN421:BN431" si="45">IFERROR(Y421*I421/H421,"0")</f>
        <v>56.3</v>
      </c>
      <c r="BO421" s="64">
        <f t="shared" ref="BO421:BO431" si="46">IFERROR(1/J421*(X421/H421),"0")</f>
        <v>9.1054778554778545E-2</v>
      </c>
      <c r="BP421" s="64">
        <f t="shared" ref="BP421:BP431" si="47">IFERROR(1/J421*(Y421/H421),"0")</f>
        <v>9.6153846153846159E-2</v>
      </c>
    </row>
    <row r="422" spans="1:68" ht="27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2398</v>
      </c>
      <c r="Y423" s="542">
        <f t="shared" si="42"/>
        <v>2402.4</v>
      </c>
      <c r="Z423" s="36">
        <f t="shared" si="43"/>
        <v>5.4417999999999997</v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2556.958333333333</v>
      </c>
      <c r="BN423" s="64">
        <f t="shared" si="45"/>
        <v>2561.65</v>
      </c>
      <c r="BO423" s="64">
        <f t="shared" si="46"/>
        <v>4.3669871794871797</v>
      </c>
      <c r="BP423" s="64">
        <f t="shared" si="47"/>
        <v>4.375</v>
      </c>
    </row>
    <row r="424" spans="1:68" ht="27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953</v>
      </c>
      <c r="Y426" s="542">
        <f t="shared" si="42"/>
        <v>955.68000000000006</v>
      </c>
      <c r="Z426" s="36">
        <f t="shared" si="43"/>
        <v>2.1647600000000002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1016.1723484848485</v>
      </c>
      <c r="BN426" s="64">
        <f t="shared" si="45"/>
        <v>1019.03</v>
      </c>
      <c r="BO426" s="64">
        <f t="shared" si="46"/>
        <v>1.7355040792540792</v>
      </c>
      <c r="BP426" s="64">
        <f t="shared" si="47"/>
        <v>1.7403846153846154</v>
      </c>
    </row>
    <row r="427" spans="1:68" ht="27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8</v>
      </c>
      <c r="Y428" s="542">
        <f t="shared" si="42"/>
        <v>9.6</v>
      </c>
      <c r="Z428" s="36">
        <f>IFERROR(IF(Y428=0,"",ROUNDUP(Y428/H428,0)*0.00902),"")</f>
        <v>1.804E-2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11.516666666666667</v>
      </c>
      <c r="BN428" s="64">
        <f t="shared" si="45"/>
        <v>13.82</v>
      </c>
      <c r="BO428" s="64">
        <f t="shared" si="46"/>
        <v>1.2626262626262628E-2</v>
      </c>
      <c r="BP428" s="64">
        <f t="shared" si="47"/>
        <v>1.5151515151515152E-2</v>
      </c>
    </row>
    <row r="429" spans="1:68" ht="27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645.7954545454545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648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7.7442000000000002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3409</v>
      </c>
      <c r="Y433" s="543">
        <f>IFERROR(SUM(Y421:Y431),"0")</f>
        <v>3420.48</v>
      </c>
      <c r="Z433" s="37"/>
      <c r="AA433" s="544"/>
      <c r="AB433" s="544"/>
      <c r="AC433" s="544"/>
    </row>
    <row r="434" spans="1:68" ht="14.25" customHeight="1" x14ac:dyDescent="0.25">
      <c r="A434" s="558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852</v>
      </c>
      <c r="Y435" s="542">
        <f>IFERROR(IF(X435="",0,CEILING((X435/$H435),1)*$H435),"")</f>
        <v>855.36</v>
      </c>
      <c r="Z435" s="36">
        <f>IFERROR(IF(Y435=0,"",ROUNDUP(Y435/H435,0)*0.01196),"")</f>
        <v>1.9375200000000001</v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908.47727272727275</v>
      </c>
      <c r="BN435" s="64">
        <f>IFERROR(Y435*I435/H435,"0")</f>
        <v>912.06</v>
      </c>
      <c r="BO435" s="64">
        <f>IFERROR(1/J435*(X435/H435),"0")</f>
        <v>1.5515734265734265</v>
      </c>
      <c r="BP435" s="64">
        <f>IFERROR(1/J435*(Y435/H435),"0")</f>
        <v>1.5576923076923077</v>
      </c>
    </row>
    <row r="436" spans="1:68" ht="16.5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18</v>
      </c>
      <c r="Y437" s="542">
        <f>IFERROR(IF(X437="",0,CEILING((X437/$H437),1)*$H437),"")</f>
        <v>19.2</v>
      </c>
      <c r="Z437" s="36">
        <f>IFERROR(IF(Y437=0,"",ROUNDUP(Y437/H437,0)*0.00902),"")</f>
        <v>3.6080000000000001E-2</v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25.912500000000001</v>
      </c>
      <c r="BN437" s="64">
        <f>IFERROR(Y437*I437/H437,"0")</f>
        <v>27.64</v>
      </c>
      <c r="BO437" s="64">
        <f>IFERROR(1/J437*(X437/H437),"0")</f>
        <v>2.8409090909090912E-2</v>
      </c>
      <c r="BP437" s="64">
        <f>IFERROR(1/J437*(Y437/H437),"0")</f>
        <v>3.0303030303030304E-2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165.11363636363635</v>
      </c>
      <c r="Y438" s="543">
        <f>IFERROR(Y435/H435,"0")+IFERROR(Y436/H436,"0")+IFERROR(Y437/H437,"0")</f>
        <v>166</v>
      </c>
      <c r="Z438" s="543">
        <f>IFERROR(IF(Z435="",0,Z435),"0")+IFERROR(IF(Z436="",0,Z436),"0")+IFERROR(IF(Z437="",0,Z437),"0")</f>
        <v>1.9736000000000002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870</v>
      </c>
      <c r="Y439" s="543">
        <f>IFERROR(SUM(Y435:Y437),"0")</f>
        <v>874.56000000000006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326</v>
      </c>
      <c r="Y442" s="542">
        <f t="shared" si="48"/>
        <v>327.36</v>
      </c>
      <c r="Z442" s="36">
        <f>IFERROR(IF(Y442=0,"",ROUNDUP(Y442/H442,0)*0.01196),"")</f>
        <v>0.74151999999999996</v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347.60984848484844</v>
      </c>
      <c r="BN442" s="64">
        <f t="shared" si="50"/>
        <v>349.06</v>
      </c>
      <c r="BO442" s="64">
        <f t="shared" si="51"/>
        <v>0.59367715617715622</v>
      </c>
      <c r="BP442" s="64">
        <f t="shared" si="52"/>
        <v>0.59615384615384615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275</v>
      </c>
      <c r="Y443" s="542">
        <f t="shared" si="48"/>
        <v>279.84000000000003</v>
      </c>
      <c r="Z443" s="36">
        <f>IFERROR(IF(Y443=0,"",ROUNDUP(Y443/H443,0)*0.01196),"")</f>
        <v>0.63388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293.22916666666663</v>
      </c>
      <c r="BN443" s="64">
        <f t="shared" si="50"/>
        <v>298.39000000000004</v>
      </c>
      <c r="BO443" s="64">
        <f t="shared" si="51"/>
        <v>0.50080128205128205</v>
      </c>
      <c r="BP443" s="64">
        <f t="shared" si="52"/>
        <v>0.50961538461538469</v>
      </c>
    </row>
    <row r="444" spans="1:68" ht="27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113.82575757575756</v>
      </c>
      <c r="Y447" s="543">
        <f>IFERROR(Y441/H441,"0")+IFERROR(Y442/H442,"0")+IFERROR(Y443/H443,"0")+IFERROR(Y444/H444,"0")+IFERROR(Y445/H445,"0")+IFERROR(Y446/H446,"0")</f>
        <v>115</v>
      </c>
      <c r="Z447" s="543">
        <f>IFERROR(IF(Z441="",0,Z441),"0")+IFERROR(IF(Z442="",0,Z442),"0")+IFERROR(IF(Z443="",0,Z443),"0")+IFERROR(IF(Z444="",0,Z444),"0")+IFERROR(IF(Z445="",0,Z445),"0")+IFERROR(IF(Z446="",0,Z446),"0")</f>
        <v>1.3754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601</v>
      </c>
      <c r="Y448" s="543">
        <f>IFERROR(SUM(Y441:Y446),"0")</f>
        <v>607.20000000000005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8" t="s">
        <v>701</v>
      </c>
      <c r="B455" s="639"/>
      <c r="C455" s="639"/>
      <c r="D455" s="639"/>
      <c r="E455" s="639"/>
      <c r="F455" s="639"/>
      <c r="G455" s="639"/>
      <c r="H455" s="639"/>
      <c r="I455" s="639"/>
      <c r="J455" s="639"/>
      <c r="K455" s="639"/>
      <c r="L455" s="639"/>
      <c r="M455" s="639"/>
      <c r="N455" s="639"/>
      <c r="O455" s="639"/>
      <c r="P455" s="639"/>
      <c r="Q455" s="639"/>
      <c r="R455" s="639"/>
      <c r="S455" s="639"/>
      <c r="T455" s="639"/>
      <c r="U455" s="639"/>
      <c r="V455" s="639"/>
      <c r="W455" s="639"/>
      <c r="X455" s="639"/>
      <c r="Y455" s="639"/>
      <c r="Z455" s="639"/>
      <c r="AA455" s="48"/>
      <c r="AB455" s="48"/>
      <c r="AC455" s="48"/>
    </row>
    <row r="456" spans="1:68" ht="16.5" customHeight="1" x14ac:dyDescent="0.25">
      <c r="A456" s="559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730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8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6"/>
      <c r="P489" s="632" t="s">
        <v>741</v>
      </c>
      <c r="Q489" s="633"/>
      <c r="R489" s="633"/>
      <c r="S489" s="633"/>
      <c r="T489" s="633"/>
      <c r="U489" s="633"/>
      <c r="V489" s="63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17376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17506.920000000002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6"/>
      <c r="P490" s="632" t="s">
        <v>742</v>
      </c>
      <c r="Q490" s="633"/>
      <c r="R490" s="633"/>
      <c r="S490" s="633"/>
      <c r="T490" s="633"/>
      <c r="U490" s="633"/>
      <c r="V490" s="634"/>
      <c r="W490" s="37" t="s">
        <v>69</v>
      </c>
      <c r="X490" s="543">
        <f>IFERROR(SUM(BM22:BM486),"0")</f>
        <v>18329.05497486244</v>
      </c>
      <c r="Y490" s="543">
        <f>IFERROR(SUM(BN22:BN486),"0")</f>
        <v>18468.396999999997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6"/>
      <c r="P491" s="632" t="s">
        <v>743</v>
      </c>
      <c r="Q491" s="633"/>
      <c r="R491" s="633"/>
      <c r="S491" s="633"/>
      <c r="T491" s="633"/>
      <c r="U491" s="633"/>
      <c r="V491" s="634"/>
      <c r="W491" s="37" t="s">
        <v>744</v>
      </c>
      <c r="X491" s="38">
        <f>ROUNDUP(SUM(BO22:BO486),0)</f>
        <v>30</v>
      </c>
      <c r="Y491" s="38">
        <f>ROUNDUP(SUM(BP22:BP486),0)</f>
        <v>30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6"/>
      <c r="P492" s="632" t="s">
        <v>745</v>
      </c>
      <c r="Q492" s="633"/>
      <c r="R492" s="633"/>
      <c r="S492" s="633"/>
      <c r="T492" s="633"/>
      <c r="U492" s="633"/>
      <c r="V492" s="634"/>
      <c r="W492" s="37" t="s">
        <v>69</v>
      </c>
      <c r="X492" s="543">
        <f>GrossWeightTotal+PalletQtyTotal*25</f>
        <v>19079.05497486244</v>
      </c>
      <c r="Y492" s="543">
        <f>GrossWeightTotalR+PalletQtyTotalR*25</f>
        <v>19218.396999999997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6"/>
      <c r="P493" s="632" t="s">
        <v>746</v>
      </c>
      <c r="Q493" s="633"/>
      <c r="R493" s="633"/>
      <c r="S493" s="633"/>
      <c r="T493" s="633"/>
      <c r="U493" s="633"/>
      <c r="V493" s="63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2707.1342838827964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2732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6"/>
      <c r="P494" s="632" t="s">
        <v>747</v>
      </c>
      <c r="Q494" s="633"/>
      <c r="R494" s="633"/>
      <c r="S494" s="633"/>
      <c r="T494" s="633"/>
      <c r="U494" s="633"/>
      <c r="V494" s="63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35.03875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593" t="s">
        <v>97</v>
      </c>
      <c r="D496" s="661"/>
      <c r="E496" s="661"/>
      <c r="F496" s="661"/>
      <c r="G496" s="661"/>
      <c r="H496" s="626"/>
      <c r="I496" s="593" t="s">
        <v>255</v>
      </c>
      <c r="J496" s="661"/>
      <c r="K496" s="661"/>
      <c r="L496" s="661"/>
      <c r="M496" s="661"/>
      <c r="N496" s="661"/>
      <c r="O496" s="661"/>
      <c r="P496" s="661"/>
      <c r="Q496" s="661"/>
      <c r="R496" s="626"/>
      <c r="S496" s="593" t="s">
        <v>538</v>
      </c>
      <c r="T496" s="626"/>
      <c r="U496" s="593" t="s">
        <v>590</v>
      </c>
      <c r="V496" s="661"/>
      <c r="W496" s="626"/>
      <c r="X496" s="538" t="s">
        <v>641</v>
      </c>
      <c r="Y496" s="593" t="s">
        <v>701</v>
      </c>
      <c r="Z496" s="626"/>
      <c r="AB496" s="52"/>
      <c r="AC496" s="52"/>
      <c r="AF496" s="539"/>
    </row>
    <row r="497" spans="1:32" ht="14.25" customHeight="1" thickTop="1" x14ac:dyDescent="0.2">
      <c r="A497" s="839" t="s">
        <v>750</v>
      </c>
      <c r="B497" s="593" t="s">
        <v>63</v>
      </c>
      <c r="C497" s="593" t="s">
        <v>98</v>
      </c>
      <c r="D497" s="593" t="s">
        <v>116</v>
      </c>
      <c r="E497" s="593" t="s">
        <v>170</v>
      </c>
      <c r="F497" s="593" t="s">
        <v>190</v>
      </c>
      <c r="G497" s="593" t="s">
        <v>220</v>
      </c>
      <c r="H497" s="593" t="s">
        <v>97</v>
      </c>
      <c r="I497" s="593" t="s">
        <v>256</v>
      </c>
      <c r="J497" s="593" t="s">
        <v>301</v>
      </c>
      <c r="K497" s="593" t="s">
        <v>361</v>
      </c>
      <c r="L497" s="593" t="s">
        <v>403</v>
      </c>
      <c r="M497" s="593" t="s">
        <v>419</v>
      </c>
      <c r="N497" s="539"/>
      <c r="O497" s="593" t="s">
        <v>430</v>
      </c>
      <c r="P497" s="593" t="s">
        <v>439</v>
      </c>
      <c r="Q497" s="593" t="s">
        <v>453</v>
      </c>
      <c r="R497" s="593" t="s">
        <v>528</v>
      </c>
      <c r="S497" s="593" t="s">
        <v>539</v>
      </c>
      <c r="T497" s="593" t="s">
        <v>574</v>
      </c>
      <c r="U497" s="593" t="s">
        <v>591</v>
      </c>
      <c r="V497" s="593" t="s">
        <v>622</v>
      </c>
      <c r="W497" s="593" t="s">
        <v>637</v>
      </c>
      <c r="X497" s="593" t="s">
        <v>641</v>
      </c>
      <c r="Y497" s="593" t="s">
        <v>701</v>
      </c>
      <c r="Z497" s="593" t="s">
        <v>737</v>
      </c>
      <c r="AB497" s="52"/>
      <c r="AC497" s="52"/>
      <c r="AF497" s="539"/>
    </row>
    <row r="498" spans="1:32" ht="13.5" customHeight="1" thickBot="1" x14ac:dyDescent="0.25">
      <c r="A498" s="840"/>
      <c r="B498" s="594"/>
      <c r="C498" s="594"/>
      <c r="D498" s="594"/>
      <c r="E498" s="594"/>
      <c r="F498" s="594"/>
      <c r="G498" s="594"/>
      <c r="H498" s="594"/>
      <c r="I498" s="594"/>
      <c r="J498" s="594"/>
      <c r="K498" s="594"/>
      <c r="L498" s="594"/>
      <c r="M498" s="594"/>
      <c r="N498" s="539"/>
      <c r="O498" s="594"/>
      <c r="P498" s="594"/>
      <c r="Q498" s="594"/>
      <c r="R498" s="594"/>
      <c r="S498" s="594"/>
      <c r="T498" s="594"/>
      <c r="U498" s="594"/>
      <c r="V498" s="594"/>
      <c r="W498" s="594"/>
      <c r="X498" s="594"/>
      <c r="Y498" s="594"/>
      <c r="Z498" s="594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43.2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384.00000000000006</v>
      </c>
      <c r="E499" s="46">
        <f>IFERROR(Y85*1,"0")+IFERROR(Y86*1,"0")+IFERROR(Y87*1,"0")+IFERROR(Y91*1,"0")+IFERROR(Y92*1,"0")+IFERROR(Y93*1,"0")+IFERROR(Y94*1,"0")</f>
        <v>153.9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1682.7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232.62000000000003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1914.0000000000002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1.98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66.47999999999999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4755</v>
      </c>
      <c r="T499" s="46">
        <f>IFERROR(Y368*1,"0")+IFERROR(Y369*1,"0")+IFERROR(Y373*1,"0")+IFERROR(Y374*1,"0")+IFERROR(Y378*1,"0")+IFERROR(Y379*1,"0")</f>
        <v>3370.8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4902.24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XgZqHEJ2MABgr0j5xXV1HE3GTJrbNbVAVAZ/MHFc7Jyd3qZn4AFf1oq9GWcdalQKUkhWgRyyNfkykayQA1c/qQ==" saltValue="PDVKBN9I2JRCwWHWzm/Vd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P124:T124"/>
    <mergeCell ref="D293:E293"/>
    <mergeCell ref="A477:O47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T497:T498"/>
    <mergeCell ref="D196:E196"/>
    <mergeCell ref="V497:V498"/>
    <mergeCell ref="A440:Z440"/>
    <mergeCell ref="A126:O127"/>
    <mergeCell ref="P294:T294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D458:E458"/>
    <mergeCell ref="P368:T368"/>
    <mergeCell ref="A362:Z362"/>
    <mergeCell ref="A245:Z245"/>
    <mergeCell ref="A489:O494"/>
    <mergeCell ref="P43:V43"/>
    <mergeCell ref="A39:Z39"/>
    <mergeCell ref="P85:T85"/>
    <mergeCell ref="P60:T60"/>
    <mergeCell ref="D291:E291"/>
    <mergeCell ref="A497:A498"/>
    <mergeCell ref="D170:E170"/>
    <mergeCell ref="P132:V132"/>
    <mergeCell ref="P72:T72"/>
    <mergeCell ref="A31:O32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A447:O448"/>
    <mergeCell ref="P200:T200"/>
    <mergeCell ref="P134:T134"/>
    <mergeCell ref="P493:V493"/>
    <mergeCell ref="D452:E452"/>
    <mergeCell ref="P371:V371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36:T436"/>
    <mergeCell ref="A251:O252"/>
    <mergeCell ref="P292:T292"/>
    <mergeCell ref="A360:O361"/>
    <mergeCell ref="A487:O488"/>
    <mergeCell ref="D266:E266"/>
    <mergeCell ref="P410:T410"/>
    <mergeCell ref="P385:T385"/>
    <mergeCell ref="A260:O261"/>
    <mergeCell ref="A484:Z484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U497:U498"/>
    <mergeCell ref="P312:V312"/>
    <mergeCell ref="I496:R496"/>
    <mergeCell ref="W497:W498"/>
    <mergeCell ref="A289:Z289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181:T181"/>
    <mergeCell ref="D29:E29"/>
    <mergeCell ref="P344:T344"/>
    <mergeCell ref="P354:T354"/>
    <mergeCell ref="D226:E226"/>
    <mergeCell ref="D164:E164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385:E385"/>
    <mergeCell ref="P301:T301"/>
    <mergeCell ref="D257:E257"/>
    <mergeCell ref="P214:T214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83:V483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A305:O306"/>
    <mergeCell ref="P346:T34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P446:T446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A19:Z19"/>
    <mergeCell ref="P310:T310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P303:T303"/>
    <mergeCell ref="A357:Z357"/>
    <mergeCell ref="D330:E330"/>
    <mergeCell ref="A98:Z98"/>
    <mergeCell ref="A396:Z396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246:T246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5:X166 X169 X187 X196:X201 X203 X207:X210 X212:X215 X233 X255 X257 X273:X274 X299 X308 X316 X323:X324 X336:X337 X343:X345 X353 X368 X373 X378:X379 X387 X421:X423 X426 X435 X437 X441:X443 X460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zvPMnSCa7+7cs6I5fpJmSo2+voyy1kRApVMm/FJwLrygu0bw1eoZQmTSPns4MS+tTArxtJqVjaLLvhNyf3a5ig==" saltValue="h1k8yPaE1NqAt89V0d1YS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2025-11-19T07:41:18Z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