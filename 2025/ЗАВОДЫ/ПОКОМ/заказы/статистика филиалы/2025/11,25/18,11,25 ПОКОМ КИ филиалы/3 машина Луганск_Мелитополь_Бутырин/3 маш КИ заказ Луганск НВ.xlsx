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0E6EE182-D99A-4517-B604-15B99B45653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3" i="1"/>
  <c r="Y493" i="1" s="1"/>
  <c r="Y58" i="1"/>
  <c r="Y64" i="1"/>
  <c r="Y69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Z172" i="1" s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Z275" i="1"/>
  <c r="BP273" i="1"/>
  <c r="BN273" i="1"/>
  <c r="Z273" i="1"/>
  <c r="Y275" i="1"/>
  <c r="BP329" i="1"/>
  <c r="BN329" i="1"/>
  <c r="Z329" i="1"/>
  <c r="Z331" i="1" s="1"/>
  <c r="Y331" i="1"/>
  <c r="D499" i="1"/>
  <c r="H9" i="1"/>
  <c r="B499" i="1"/>
  <c r="X490" i="1"/>
  <c r="X492" i="1" s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Z149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Z216" i="1" s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47" i="1" l="1"/>
  <c r="Z394" i="1"/>
  <c r="Z69" i="1"/>
  <c r="Z494" i="1" s="1"/>
  <c r="Y489" i="1"/>
  <c r="Z204" i="1"/>
  <c r="Z178" i="1"/>
  <c r="Z103" i="1"/>
  <c r="Z432" i="1"/>
  <c r="Z312" i="1"/>
  <c r="Z268" i="1"/>
  <c r="Z260" i="1"/>
  <c r="Z251" i="1"/>
</calcChain>
</file>

<file path=xl/sharedStrings.xml><?xml version="1.0" encoding="utf-8"?>
<sst xmlns="http://schemas.openxmlformats.org/spreadsheetml/2006/main" count="2258" uniqueCount="767">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</sst>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182</v>
      </c>
      <c r="Y40" s="542">
        <f>IFERROR(IF(X40="",0,CEILING((X40/$H40),1)*$H40),"")</f>
        <v>183.60000000000002</v>
      </c>
      <c r="Z40" s="36">
        <f>IFERROR(IF(Y40=0,"",ROUNDUP(Y40/H40,0)*0.01898),"")</f>
        <v>0.32266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188.90925925925927</v>
      </c>
      <c r="BN40" s="64">
        <f>IFERROR(Y40*I40/H40,"0")</f>
        <v>190.57000000000002</v>
      </c>
      <c r="BO40" s="64">
        <f>IFERROR(1/J40*(X40/H40),"0")</f>
        <v>0.26331018518518517</v>
      </c>
      <c r="BP40" s="64">
        <f>IFERROR(1/J40*(Y40/H40),"0")</f>
        <v>0.265625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112</v>
      </c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16.851851851851851</v>
      </c>
      <c r="Y43" s="543">
        <f>IFERROR(Y40/H40,"0")+IFERROR(Y41/H41,"0")+IFERROR(Y42/H42,"0")</f>
        <v>17</v>
      </c>
      <c r="Z43" s="543">
        <f>IFERROR(IF(Z40="",0,Z40),"0")+IFERROR(IF(Z41="",0,Z41),"0")+IFERROR(IF(Z42="",0,Z42),"0")</f>
        <v>0.32266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182</v>
      </c>
      <c r="Y44" s="543">
        <f>IFERROR(SUM(Y40:Y42),"0")</f>
        <v>183.60000000000002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259</v>
      </c>
      <c r="Y51" s="542">
        <f t="shared" ref="Y51:Y56" si="0">IFERROR(IF(X51="",0,CEILING((X51/$H51),1)*$H51),"")</f>
        <v>268.79999999999995</v>
      </c>
      <c r="Z51" s="36">
        <f>IFERROR(IF(Y51=0,"",ROUNDUP(Y51/H51,0)*0.01898),"")</f>
        <v>0.45552000000000004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268.48124999999999</v>
      </c>
      <c r="BN51" s="64">
        <f t="shared" ref="BN51:BN56" si="2">IFERROR(Y51*I51/H51,"0")</f>
        <v>278.63999999999993</v>
      </c>
      <c r="BO51" s="64">
        <f t="shared" ref="BO51:BO56" si="3">IFERROR(1/J51*(X51/H51),"0")</f>
        <v>0.361328125</v>
      </c>
      <c r="BP51" s="64">
        <f t="shared" ref="BP51:BP56" si="4">IFERROR(1/J51*(Y51/H51),"0")</f>
        <v>0.37499999999999994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71</v>
      </c>
      <c r="Y52" s="542">
        <f t="shared" si="0"/>
        <v>75.600000000000009</v>
      </c>
      <c r="Z52" s="36">
        <f>IFERROR(IF(Y52=0,"",ROUNDUP(Y52/H52,0)*0.01898),"")</f>
        <v>0.13286000000000001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73.69537037037037</v>
      </c>
      <c r="BN52" s="64">
        <f t="shared" si="2"/>
        <v>78.47</v>
      </c>
      <c r="BO52" s="64">
        <f t="shared" si="3"/>
        <v>0.1027199074074074</v>
      </c>
      <c r="BP52" s="64">
        <f t="shared" si="4"/>
        <v>0.109375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29.699074074074073</v>
      </c>
      <c r="Y57" s="543">
        <f>IFERROR(Y51/H51,"0")+IFERROR(Y52/H52,"0")+IFERROR(Y53/H53,"0")+IFERROR(Y54/H54,"0")+IFERROR(Y55/H55,"0")+IFERROR(Y56/H56,"0")</f>
        <v>30.999999999999996</v>
      </c>
      <c r="Z57" s="543">
        <f>IFERROR(IF(Z51="",0,Z51),"0")+IFERROR(IF(Z52="",0,Z52),"0")+IFERROR(IF(Z53="",0,Z53),"0")+IFERROR(IF(Z54="",0,Z54),"0")+IFERROR(IF(Z55="",0,Z55),"0")+IFERROR(IF(Z56="",0,Z56),"0")</f>
        <v>0.58838000000000001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330</v>
      </c>
      <c r="Y58" s="543">
        <f>IFERROR(SUM(Y51:Y56),"0")</f>
        <v>344.4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201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208.63055555555553</v>
      </c>
      <c r="BN60" s="64">
        <f>IFERROR(Y60*I60/H60,"0")</f>
        <v>212.99</v>
      </c>
      <c r="BO60" s="64">
        <f>IFERROR(1/J60*(X60/H60),"0")</f>
        <v>0.2907986111111111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18.611111111111111</v>
      </c>
      <c r="Y63" s="543">
        <f>IFERROR(Y60/H60,"0")+IFERROR(Y61/H61,"0")+IFERROR(Y62/H62,"0")</f>
        <v>19</v>
      </c>
      <c r="Z63" s="543">
        <f>IFERROR(IF(Z60="",0,Z60),"0")+IFERROR(IF(Z61="",0,Z61),"0")+IFERROR(IF(Z62="",0,Z62),"0")</f>
        <v>0.36062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201</v>
      </c>
      <c r="Y64" s="543">
        <f>IFERROR(SUM(Y60:Y62),"0")</f>
        <v>205.20000000000002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41</v>
      </c>
      <c r="Y79" s="542">
        <f>IFERROR(IF(X79="",0,CEILING((X79/$H79),1)*$H79),"")</f>
        <v>46.8</v>
      </c>
      <c r="Z79" s="36">
        <f>IFERROR(IF(Y79=0,"",ROUNDUP(Y79/H79,0)*0.01898),"")</f>
        <v>0.11388000000000001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43.155128205128207</v>
      </c>
      <c r="BN79" s="64">
        <f>IFERROR(Y79*I79/H79,"0")</f>
        <v>49.260000000000005</v>
      </c>
      <c r="BO79" s="64">
        <f>IFERROR(1/J79*(X79/H79),"0")</f>
        <v>8.2131410256410256E-2</v>
      </c>
      <c r="BP79" s="64">
        <f>IFERROR(1/J79*(Y79/H79),"0")</f>
        <v>9.375E-2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5.2564102564102564</v>
      </c>
      <c r="Y81" s="543">
        <f>IFERROR(Y79/H79,"0")+IFERROR(Y80/H80,"0")</f>
        <v>6</v>
      </c>
      <c r="Z81" s="543">
        <f>IFERROR(IF(Z79="",0,Z79),"0")+IFERROR(IF(Z80="",0,Z80),"0")</f>
        <v>0.11388000000000001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41</v>
      </c>
      <c r="Y82" s="543">
        <f>IFERROR(SUM(Y79:Y80),"0")</f>
        <v>46.8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169</v>
      </c>
      <c r="Y85" s="542">
        <f>IFERROR(IF(X85="",0,CEILING((X85/$H85),1)*$H85),"")</f>
        <v>172.8</v>
      </c>
      <c r="Z85" s="36">
        <f>IFERROR(IF(Y85=0,"",ROUNDUP(Y85/H85,0)*0.01898),"")</f>
        <v>0.30368000000000001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175.41574074074074</v>
      </c>
      <c r="BN85" s="64">
        <f>IFERROR(Y85*I85/H85,"0")</f>
        <v>179.36</v>
      </c>
      <c r="BO85" s="64">
        <f>IFERROR(1/J85*(X85/H85),"0")</f>
        <v>0.2445023148148148</v>
      </c>
      <c r="BP85" s="64">
        <f>IFERROR(1/J85*(Y85/H85),"0")</f>
        <v>0.25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112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15.648148148148147</v>
      </c>
      <c r="Y88" s="543">
        <f>IFERROR(Y85/H85,"0")+IFERROR(Y86/H86,"0")+IFERROR(Y87/H87,"0")</f>
        <v>16</v>
      </c>
      <c r="Z88" s="543">
        <f>IFERROR(IF(Z85="",0,Z85),"0")+IFERROR(IF(Z86="",0,Z86),"0")+IFERROR(IF(Z87="",0,Z87),"0")</f>
        <v>0.30368000000000001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169</v>
      </c>
      <c r="Y89" s="543">
        <f>IFERROR(SUM(Y85:Y87),"0")</f>
        <v>172.8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115</v>
      </c>
      <c r="Y91" s="542">
        <f>IFERROR(IF(X91="",0,CEILING((X91/$H91),1)*$H91),"")</f>
        <v>121.5</v>
      </c>
      <c r="Z91" s="36">
        <f>IFERROR(IF(Y91=0,"",ROUNDUP(Y91/H91,0)*0.01898),"")</f>
        <v>0.28470000000000001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122.01358024691358</v>
      </c>
      <c r="BN91" s="64">
        <f>IFERROR(Y91*I91/H91,"0")</f>
        <v>128.91</v>
      </c>
      <c r="BO91" s="64">
        <f>IFERROR(1/J91*(X91/H91),"0")</f>
        <v>0.22183641975308643</v>
      </c>
      <c r="BP91" s="64">
        <f>IFERROR(1/J91*(Y91/H91),"0")</f>
        <v>0.234375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101</v>
      </c>
      <c r="Y93" s="542">
        <f>IFERROR(IF(X93="",0,CEILING((X93/$H93),1)*$H93),"")</f>
        <v>102.60000000000001</v>
      </c>
      <c r="Z93" s="36">
        <f>IFERROR(IF(Y93=0,"",ROUNDUP(Y93/H93,0)*0.00651),"")</f>
        <v>0.24738000000000002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110.42666666666665</v>
      </c>
      <c r="BN93" s="64">
        <f>IFERROR(Y93*I93/H93,"0")</f>
        <v>112.176</v>
      </c>
      <c r="BO93" s="64">
        <f>IFERROR(1/J93*(X93/H93),"0")</f>
        <v>0.20553520553520555</v>
      </c>
      <c r="BP93" s="64">
        <f>IFERROR(1/J93*(Y93/H93),"0")</f>
        <v>0.2087912087912088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51.604938271604937</v>
      </c>
      <c r="Y95" s="543">
        <f>IFERROR(Y91/H91,"0")+IFERROR(Y92/H92,"0")+IFERROR(Y93/H93,"0")+IFERROR(Y94/H94,"0")</f>
        <v>53</v>
      </c>
      <c r="Z95" s="543">
        <f>IFERROR(IF(Z91="",0,Z91),"0")+IFERROR(IF(Z92="",0,Z92),"0")+IFERROR(IF(Z93="",0,Z93),"0")+IFERROR(IF(Z94="",0,Z94),"0")</f>
        <v>0.53208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216</v>
      </c>
      <c r="Y96" s="543">
        <f>IFERROR(SUM(Y91:Y94),"0")</f>
        <v>224.10000000000002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483</v>
      </c>
      <c r="Y99" s="542">
        <f>IFERROR(IF(X99="",0,CEILING((X99/$H99),1)*$H99),"")</f>
        <v>486.00000000000006</v>
      </c>
      <c r="Z99" s="36">
        <f>IFERROR(IF(Y99=0,"",ROUNDUP(Y99/H99,0)*0.01898),"")</f>
        <v>0.85409999999999997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501.33611111111111</v>
      </c>
      <c r="BN99" s="64">
        <f>IFERROR(Y99*I99/H99,"0")</f>
        <v>504.4500000000001</v>
      </c>
      <c r="BO99" s="64">
        <f>IFERROR(1/J99*(X99/H99),"0")</f>
        <v>0.69878472222222221</v>
      </c>
      <c r="BP99" s="64">
        <f>IFERROR(1/J99*(Y99/H99),"0")</f>
        <v>0.703125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112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118</v>
      </c>
      <c r="Y101" s="542">
        <f>IFERROR(IF(X101="",0,CEILING((X101/$H101),1)*$H101),"")</f>
        <v>121.5</v>
      </c>
      <c r="Z101" s="36">
        <f>IFERROR(IF(Y101=0,"",ROUNDUP(Y101/H101,0)*0.00902),"")</f>
        <v>0.24354000000000001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122.98222222222223</v>
      </c>
      <c r="BN101" s="64">
        <f>IFERROR(Y101*I101/H101,"0")</f>
        <v>126.63000000000001</v>
      </c>
      <c r="BO101" s="64">
        <f>IFERROR(1/J101*(X101/H101),"0")</f>
        <v>0.19865319865319866</v>
      </c>
      <c r="BP101" s="64">
        <f>IFERROR(1/J101*(Y101/H101),"0")</f>
        <v>0.20454545454545456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70.944444444444443</v>
      </c>
      <c r="Y103" s="543">
        <f>IFERROR(Y99/H99,"0")+IFERROR(Y100/H100,"0")+IFERROR(Y101/H101,"0")+IFERROR(Y102/H102,"0")</f>
        <v>72</v>
      </c>
      <c r="Z103" s="543">
        <f>IFERROR(IF(Z99="",0,Z99),"0")+IFERROR(IF(Z100="",0,Z100),"0")+IFERROR(IF(Z101="",0,Z101),"0")+IFERROR(IF(Z102="",0,Z102),"0")</f>
        <v>1.0976399999999999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601</v>
      </c>
      <c r="Y104" s="543">
        <f>IFERROR(SUM(Y99:Y102),"0")</f>
        <v>607.5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77</v>
      </c>
      <c r="Y106" s="542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79.923148148148144</v>
      </c>
      <c r="BN106" s="64">
        <f>IFERROR(Y106*I106/H106,"0")</f>
        <v>89.68</v>
      </c>
      <c r="BO106" s="64">
        <f>IFERROR(1/J106*(X106/H106),"0")</f>
        <v>0.11140046296296295</v>
      </c>
      <c r="BP106" s="64">
        <f>IFERROR(1/J106*(Y106/H106),"0")</f>
        <v>0.125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206</v>
      </c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7.1296296296296289</v>
      </c>
      <c r="Y109" s="543">
        <f>IFERROR(Y106/H106,"0")+IFERROR(Y107/H107,"0")+IFERROR(Y108/H108,"0")</f>
        <v>8</v>
      </c>
      <c r="Z109" s="543">
        <f>IFERROR(IF(Z106="",0,Z106),"0")+IFERROR(IF(Z107="",0,Z107),"0")+IFERROR(IF(Z108="",0,Z108),"0")</f>
        <v>0.15184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77</v>
      </c>
      <c r="Y110" s="543">
        <f>IFERROR(SUM(Y106:Y108),"0")</f>
        <v>86.4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206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73</v>
      </c>
      <c r="Y114" s="542">
        <f>IFERROR(IF(X114="",0,CEILING((X114/$H114),1)*$H114),"")</f>
        <v>75.600000000000009</v>
      </c>
      <c r="Z114" s="36">
        <f>IFERROR(IF(Y114=0,"",ROUNDUP(Y114/H114,0)*0.00651),"")</f>
        <v>0.18228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79.813333333333333</v>
      </c>
      <c r="BN114" s="64">
        <f>IFERROR(Y114*I114/H114,"0")</f>
        <v>82.656000000000006</v>
      </c>
      <c r="BO114" s="64">
        <f>IFERROR(1/J114*(X114/H114),"0")</f>
        <v>0.14855514855514856</v>
      </c>
      <c r="BP114" s="64">
        <f>IFERROR(1/J114*(Y114/H114),"0")</f>
        <v>0.15384615384615385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27.037037037037035</v>
      </c>
      <c r="Y116" s="543">
        <f>IFERROR(Y112/H112,"0")+IFERROR(Y113/H113,"0")+IFERROR(Y114/H114,"0")+IFERROR(Y115/H115,"0")</f>
        <v>28</v>
      </c>
      <c r="Z116" s="543">
        <f>IFERROR(IF(Z112="",0,Z112),"0")+IFERROR(IF(Z113="",0,Z113),"0")+IFERROR(IF(Z114="",0,Z114),"0")+IFERROR(IF(Z115="",0,Z115),"0")</f>
        <v>0.18228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73</v>
      </c>
      <c r="Y117" s="543">
        <f>IFERROR(SUM(Y112:Y115),"0")</f>
        <v>75.600000000000009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112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116</v>
      </c>
      <c r="Y163" s="542">
        <f t="shared" si="5"/>
        <v>117.60000000000001</v>
      </c>
      <c r="Z163" s="36">
        <f>IFERROR(IF(Y163=0,"",ROUNDUP(Y163/H163,0)*0.00902),"")</f>
        <v>0.25256000000000001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122.90476190476191</v>
      </c>
      <c r="BN163" s="64">
        <f t="shared" si="7"/>
        <v>124.60000000000001</v>
      </c>
      <c r="BO163" s="64">
        <f t="shared" si="8"/>
        <v>0.20923520923520922</v>
      </c>
      <c r="BP163" s="64">
        <f t="shared" si="9"/>
        <v>0.21212121212121213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194</v>
      </c>
      <c r="Y165" s="542">
        <f t="shared" si="5"/>
        <v>197.4</v>
      </c>
      <c r="Z165" s="36">
        <f>IFERROR(IF(Y165=0,"",ROUNDUP(Y165/H165,0)*0.00902),"")</f>
        <v>0.42393999999999998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202.77619047619046</v>
      </c>
      <c r="BN165" s="64">
        <f t="shared" si="7"/>
        <v>206.32999999999998</v>
      </c>
      <c r="BO165" s="64">
        <f t="shared" si="8"/>
        <v>0.34992784992784992</v>
      </c>
      <c r="BP165" s="64">
        <f t="shared" si="9"/>
        <v>0.35606060606060608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88</v>
      </c>
      <c r="Y166" s="542">
        <f t="shared" si="5"/>
        <v>88.2</v>
      </c>
      <c r="Z166" s="36">
        <f>IFERROR(IF(Y166=0,"",ROUNDUP(Y166/H166,0)*0.00502),"")</f>
        <v>0.21084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93.447619047619042</v>
      </c>
      <c r="BN166" s="64">
        <f t="shared" si="7"/>
        <v>93.66</v>
      </c>
      <c r="BO166" s="64">
        <f t="shared" si="8"/>
        <v>0.17908017908017909</v>
      </c>
      <c r="BP166" s="64">
        <f t="shared" si="9"/>
        <v>0.17948717948717952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275</v>
      </c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12</v>
      </c>
      <c r="Y168" s="542">
        <f t="shared" si="5"/>
        <v>12.6</v>
      </c>
      <c r="Z168" s="36">
        <f>IFERROR(IF(Y168=0,"",ROUNDUP(Y168/H168,0)*0.00502),"")</f>
        <v>3.5140000000000005E-2</v>
      </c>
      <c r="AA168" s="56"/>
      <c r="AB168" s="57"/>
      <c r="AC168" s="205" t="s">
        <v>280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12.866666666666667</v>
      </c>
      <c r="BN168" s="64">
        <f t="shared" si="7"/>
        <v>13.509999999999998</v>
      </c>
      <c r="BO168" s="64">
        <f t="shared" si="8"/>
        <v>2.8490028490028491E-2</v>
      </c>
      <c r="BP168" s="64">
        <f t="shared" si="9"/>
        <v>2.9914529914529919E-2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403</v>
      </c>
      <c r="Y169" s="542">
        <f t="shared" si="5"/>
        <v>403.20000000000005</v>
      </c>
      <c r="Z169" s="36">
        <f>IFERROR(IF(Y169=0,"",ROUNDUP(Y169/H169,0)*0.00502),"")</f>
        <v>0.96384000000000003</v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422.1904761904762</v>
      </c>
      <c r="BN169" s="64">
        <f t="shared" si="7"/>
        <v>422.40000000000009</v>
      </c>
      <c r="BO169" s="64">
        <f t="shared" si="8"/>
        <v>0.82010582010582012</v>
      </c>
      <c r="BP169" s="64">
        <f t="shared" si="9"/>
        <v>0.8205128205128206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314.28571428571428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316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1.88632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813</v>
      </c>
      <c r="Y173" s="543">
        <f>IFERROR(SUM(Y162:Y171),"0")</f>
        <v>819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5</v>
      </c>
      <c r="Y176" s="542">
        <f>IFERROR(IF(X176="",0,CEILING((X176/$H176),1)*$H176),"")</f>
        <v>5.04</v>
      </c>
      <c r="Z176" s="36">
        <f>IFERROR(IF(Y176=0,"",ROUNDUP(Y176/H176,0)*0.0059),"")</f>
        <v>2.3599999999999999E-2</v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5.753968253968254</v>
      </c>
      <c r="BN176" s="64">
        <f>IFERROR(Y176*I176/H176,"0")</f>
        <v>5.8</v>
      </c>
      <c r="BO176" s="64">
        <f>IFERROR(1/J176*(X176/H176),"0")</f>
        <v>1.8371546149323927E-2</v>
      </c>
      <c r="BP176" s="64">
        <f>IFERROR(1/J176*(Y176/H176),"0")</f>
        <v>1.8518518518518517E-2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2</v>
      </c>
      <c r="Y177" s="542">
        <f>IFERROR(IF(X177="",0,CEILING((X177/$H177),1)*$H177),"")</f>
        <v>2.52</v>
      </c>
      <c r="Z177" s="36">
        <f>IFERROR(IF(Y177=0,"",ROUNDUP(Y177/H177,0)*0.0059),"")</f>
        <v>1.18E-2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2.3015873015873014</v>
      </c>
      <c r="BN177" s="64">
        <f>IFERROR(Y177*I177/H177,"0")</f>
        <v>2.9</v>
      </c>
      <c r="BO177" s="64">
        <f>IFERROR(1/J177*(X177/H177),"0")</f>
        <v>7.3486184597295699E-3</v>
      </c>
      <c r="BP177" s="64">
        <f>IFERROR(1/J177*(Y177/H177),"0")</f>
        <v>9.2592592592592587E-3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5.5555555555555554</v>
      </c>
      <c r="Y178" s="543">
        <f>IFERROR(Y175/H175,"0")+IFERROR(Y176/H176,"0")+IFERROR(Y177/H177,"0")</f>
        <v>6</v>
      </c>
      <c r="Z178" s="543">
        <f>IFERROR(IF(Z175="",0,Z175),"0")+IFERROR(IF(Z176="",0,Z176),"0")+IFERROR(IF(Z177="",0,Z177),"0")</f>
        <v>3.5400000000000001E-2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7</v>
      </c>
      <c r="Y179" s="543">
        <f>IFERROR(SUM(Y175:Y177),"0")</f>
        <v>7.5600000000000005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3</v>
      </c>
      <c r="Y181" s="542">
        <f>IFERROR(IF(X181="",0,CEILING((X181/$H181),1)*$H181),"")</f>
        <v>3.7800000000000002</v>
      </c>
      <c r="Z181" s="36">
        <f>IFERROR(IF(Y181=0,"",ROUNDUP(Y181/H181,0)*0.0059),"")</f>
        <v>1.77E-2</v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3.4523809523809521</v>
      </c>
      <c r="BN181" s="64">
        <f>IFERROR(Y181*I181/H181,"0")</f>
        <v>4.3499999999999996</v>
      </c>
      <c r="BO181" s="64">
        <f>IFERROR(1/J181*(X181/H181),"0")</f>
        <v>1.1022927689594356E-2</v>
      </c>
      <c r="BP181" s="64">
        <f>IFERROR(1/J181*(Y181/H181),"0")</f>
        <v>1.3888888888888888E-2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2.3809523809523809</v>
      </c>
      <c r="Y182" s="543">
        <f>IFERROR(Y181/H181,"0")</f>
        <v>3</v>
      </c>
      <c r="Z182" s="543">
        <f>IFERROR(IF(Z181="",0,Z181),"0")</f>
        <v>1.77E-2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3</v>
      </c>
      <c r="Y183" s="543">
        <f>IFERROR(SUM(Y181:Y181),"0")</f>
        <v>3.7800000000000002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206</v>
      </c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112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209</v>
      </c>
      <c r="Y196" s="542">
        <f t="shared" ref="Y196:Y203" si="10">IFERROR(IF(X196="",0,CEILING((X196/$H196),1)*$H196),"")</f>
        <v>210.60000000000002</v>
      </c>
      <c r="Z196" s="36">
        <f>IFERROR(IF(Y196=0,"",ROUNDUP(Y196/H196,0)*0.00902),"")</f>
        <v>0.35177999999999998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216.35370370370367</v>
      </c>
      <c r="BN196" s="64">
        <f t="shared" ref="BN196:BN203" si="12">IFERROR(Y196*I196/H196,"0")</f>
        <v>218.01000000000002</v>
      </c>
      <c r="BO196" s="64">
        <f t="shared" ref="BO196:BO203" si="13">IFERROR(1/J196*(X196/H196),"0")</f>
        <v>0.2932098765432099</v>
      </c>
      <c r="BP196" s="64">
        <f t="shared" ref="BP196:BP203" si="14">IFERROR(1/J196*(Y196/H196),"0")</f>
        <v>0.29545454545454547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112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384</v>
      </c>
      <c r="Y197" s="542">
        <f t="shared" si="10"/>
        <v>388.8</v>
      </c>
      <c r="Z197" s="36">
        <f>IFERROR(IF(Y197=0,"",ROUNDUP(Y197/H197,0)*0.00902),"")</f>
        <v>0.64944000000000002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397.51111111111106</v>
      </c>
      <c r="BN197" s="64">
        <f t="shared" si="12"/>
        <v>402.47999999999996</v>
      </c>
      <c r="BO197" s="64">
        <f t="shared" si="13"/>
        <v>0.5387205387205386</v>
      </c>
      <c r="BP197" s="64">
        <f t="shared" si="14"/>
        <v>0.54545454545454541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112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456</v>
      </c>
      <c r="Y199" s="542">
        <f t="shared" si="10"/>
        <v>459.00000000000006</v>
      </c>
      <c r="Z199" s="36">
        <f>IFERROR(IF(Y199=0,"",ROUNDUP(Y199/H199,0)*0.00902),"")</f>
        <v>0.76670000000000005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472.04444444444442</v>
      </c>
      <c r="BN199" s="64">
        <f t="shared" si="12"/>
        <v>475.15000000000003</v>
      </c>
      <c r="BO199" s="64">
        <f t="shared" si="13"/>
        <v>0.63973063973063971</v>
      </c>
      <c r="BP199" s="64">
        <f t="shared" si="14"/>
        <v>0.64393939393939392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58</v>
      </c>
      <c r="Y200" s="542">
        <f t="shared" si="10"/>
        <v>59.4</v>
      </c>
      <c r="Z200" s="36">
        <f>IFERROR(IF(Y200=0,"",ROUNDUP(Y200/H200,0)*0.00502),"")</f>
        <v>0.16566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62.188888888888883</v>
      </c>
      <c r="BN200" s="64">
        <f t="shared" si="12"/>
        <v>63.69</v>
      </c>
      <c r="BO200" s="64">
        <f t="shared" si="13"/>
        <v>0.13770180436847104</v>
      </c>
      <c r="BP200" s="64">
        <f t="shared" si="14"/>
        <v>0.14102564102564105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33</v>
      </c>
      <c r="Y201" s="542">
        <f t="shared" si="10"/>
        <v>34.200000000000003</v>
      </c>
      <c r="Z201" s="36">
        <f>IFERROR(IF(Y201=0,"",ROUNDUP(Y201/H201,0)*0.00502),"")</f>
        <v>9.5380000000000006E-2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34.833333333333329</v>
      </c>
      <c r="BN201" s="64">
        <f t="shared" si="12"/>
        <v>36.1</v>
      </c>
      <c r="BO201" s="64">
        <f t="shared" si="13"/>
        <v>7.8347578347578356E-2</v>
      </c>
      <c r="BP201" s="64">
        <f t="shared" si="14"/>
        <v>8.11965811965812E-2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23</v>
      </c>
      <c r="Y203" s="542">
        <f t="shared" si="10"/>
        <v>23.400000000000002</v>
      </c>
      <c r="Z203" s="36">
        <f>IFERROR(IF(Y203=0,"",ROUNDUP(Y203/H203,0)*0.00502),"")</f>
        <v>6.5259999999999999E-2</v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24.277777777777775</v>
      </c>
      <c r="BN203" s="64">
        <f t="shared" si="12"/>
        <v>24.7</v>
      </c>
      <c r="BO203" s="64">
        <f t="shared" si="13"/>
        <v>5.4605887939221276E-2</v>
      </c>
      <c r="BP203" s="64">
        <f t="shared" si="14"/>
        <v>5.5555555555555559E-2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257.59259259259261</v>
      </c>
      <c r="Y204" s="543">
        <f>IFERROR(Y196/H196,"0")+IFERROR(Y197/H197,"0")+IFERROR(Y198/H198,"0")+IFERROR(Y199/H199,"0")+IFERROR(Y200/H200,"0")+IFERROR(Y201/H201,"0")+IFERROR(Y202/H202,"0")+IFERROR(Y203/H203,"0")</f>
        <v>261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2.09422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1163</v>
      </c>
      <c r="Y205" s="543">
        <f>IFERROR(SUM(Y196:Y203),"0")</f>
        <v>1175.4000000000003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21</v>
      </c>
      <c r="Y207" s="542">
        <f t="shared" ref="Y207:Y215" si="15">IFERROR(IF(X207="",0,CEILING((X207/$H207),1)*$H207),"")</f>
        <v>24.299999999999997</v>
      </c>
      <c r="Z207" s="36">
        <f>IFERROR(IF(Y207=0,"",ROUNDUP(Y207/H207,0)*0.01898),"")</f>
        <v>5.6940000000000004E-2</v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22.28074074074074</v>
      </c>
      <c r="BN207" s="64">
        <f t="shared" ref="BN207:BN215" si="17">IFERROR(Y207*I207/H207,"0")</f>
        <v>25.781999999999996</v>
      </c>
      <c r="BO207" s="64">
        <f t="shared" ref="BO207:BO215" si="18">IFERROR(1/J207*(X207/H207),"0")</f>
        <v>4.0509259259259259E-2</v>
      </c>
      <c r="BP207" s="64">
        <f t="shared" ref="BP207:BP215" si="19">IFERROR(1/J207*(Y207/H207),"0")</f>
        <v>4.6875E-2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27</v>
      </c>
      <c r="Y208" s="542">
        <f t="shared" si="15"/>
        <v>32.4</v>
      </c>
      <c r="Z208" s="36">
        <f>IFERROR(IF(Y208=0,"",ROUNDUP(Y208/H208,0)*0.01898),"")</f>
        <v>7.5920000000000001E-2</v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28.58666666666667</v>
      </c>
      <c r="BN208" s="64">
        <f t="shared" si="17"/>
        <v>34.304000000000002</v>
      </c>
      <c r="BO208" s="64">
        <f t="shared" si="18"/>
        <v>5.2083333333333336E-2</v>
      </c>
      <c r="BP208" s="64">
        <f t="shared" si="19"/>
        <v>6.25E-2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149</v>
      </c>
      <c r="Y209" s="542">
        <f t="shared" si="15"/>
        <v>156.6</v>
      </c>
      <c r="Z209" s="36">
        <f>IFERROR(IF(Y209=0,"",ROUNDUP(Y209/H209,0)*0.01898),"")</f>
        <v>0.34164</v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157.46045977011497</v>
      </c>
      <c r="BN209" s="64">
        <f t="shared" si="17"/>
        <v>165.49200000000002</v>
      </c>
      <c r="BO209" s="64">
        <f t="shared" si="18"/>
        <v>0.2676005747126437</v>
      </c>
      <c r="BP209" s="64">
        <f t="shared" si="19"/>
        <v>0.28125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206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232</v>
      </c>
      <c r="Y210" s="542">
        <f t="shared" si="15"/>
        <v>232.79999999999998</v>
      </c>
      <c r="Z210" s="36">
        <f t="shared" ref="Z210:Z215" si="20">IFERROR(IF(Y210=0,"",ROUNDUP(Y210/H210,0)*0.00651),"")</f>
        <v>0.63146999999999998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258.09999999999997</v>
      </c>
      <c r="BN210" s="64">
        <f t="shared" si="17"/>
        <v>258.98999999999995</v>
      </c>
      <c r="BO210" s="64">
        <f t="shared" si="18"/>
        <v>0.53113553113553125</v>
      </c>
      <c r="BP210" s="64">
        <f t="shared" si="19"/>
        <v>0.53296703296703296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206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206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118</v>
      </c>
      <c r="Y213" s="542">
        <f t="shared" si="15"/>
        <v>120</v>
      </c>
      <c r="Z213" s="36">
        <f t="shared" si="20"/>
        <v>0.32550000000000001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130.39000000000001</v>
      </c>
      <c r="BN213" s="64">
        <f t="shared" si="17"/>
        <v>132.60000000000002</v>
      </c>
      <c r="BO213" s="64">
        <f t="shared" si="18"/>
        <v>0.27014652014652019</v>
      </c>
      <c r="BP213" s="64">
        <f t="shared" si="19"/>
        <v>0.27472527472527475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206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82</v>
      </c>
      <c r="Y214" s="542">
        <f t="shared" si="15"/>
        <v>84</v>
      </c>
      <c r="Z214" s="36">
        <f t="shared" si="20"/>
        <v>0.22785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90.61</v>
      </c>
      <c r="BN214" s="64">
        <f t="shared" si="17"/>
        <v>92.820000000000007</v>
      </c>
      <c r="BO214" s="64">
        <f t="shared" si="18"/>
        <v>0.18772893772893776</v>
      </c>
      <c r="BP214" s="64">
        <f t="shared" si="19"/>
        <v>0.19230769230769232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206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131</v>
      </c>
      <c r="Y215" s="542">
        <f t="shared" si="15"/>
        <v>132</v>
      </c>
      <c r="Z215" s="36">
        <f t="shared" si="20"/>
        <v>0.35805000000000003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145.08250000000001</v>
      </c>
      <c r="BN215" s="64">
        <f t="shared" si="17"/>
        <v>146.19</v>
      </c>
      <c r="BO215" s="64">
        <f t="shared" si="18"/>
        <v>0.29990842490842495</v>
      </c>
      <c r="BP215" s="64">
        <f t="shared" si="19"/>
        <v>0.30219780219780223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257.63569604086848</v>
      </c>
      <c r="Y216" s="543">
        <f>IFERROR(Y207/H207,"0")+IFERROR(Y208/H208,"0")+IFERROR(Y209/H209,"0")+IFERROR(Y210/H210,"0")+IFERROR(Y211/H211,"0")+IFERROR(Y212/H212,"0")+IFERROR(Y213/H213,"0")+IFERROR(Y214/H214,"0")+IFERROR(Y215/H215,"0")</f>
        <v>262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2.0173700000000001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760</v>
      </c>
      <c r="Y217" s="543">
        <f>IFERROR(SUM(Y207:Y215),"0")</f>
        <v>782.09999999999991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114</v>
      </c>
      <c r="Y219" s="542">
        <f>IFERROR(IF(X219="",0,CEILING((X219/$H219),1)*$H219),"")</f>
        <v>115.19999999999999</v>
      </c>
      <c r="Z219" s="36">
        <f>IFERROR(IF(Y219=0,"",ROUNDUP(Y219/H219,0)*0.00651),"")</f>
        <v>0.31247999999999998</v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125.97000000000001</v>
      </c>
      <c r="BN219" s="64">
        <f>IFERROR(Y219*I219/H219,"0")</f>
        <v>127.29600000000001</v>
      </c>
      <c r="BO219" s="64">
        <f>IFERROR(1/J219*(X219/H219),"0")</f>
        <v>0.26098901098901101</v>
      </c>
      <c r="BP219" s="64">
        <f>IFERROR(1/J219*(Y219/H219),"0")</f>
        <v>0.26373626373626374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206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9</v>
      </c>
      <c r="Y220" s="542">
        <f>IFERROR(IF(X220="",0,CEILING((X220/$H220),1)*$H220),"")</f>
        <v>9.6</v>
      </c>
      <c r="Z220" s="36">
        <f>IFERROR(IF(Y220=0,"",ROUNDUP(Y220/H220,0)*0.00651),"")</f>
        <v>2.6040000000000001E-2</v>
      </c>
      <c r="AA220" s="56"/>
      <c r="AB220" s="57"/>
      <c r="AC220" s="265" t="s">
        <v>360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9.9450000000000021</v>
      </c>
      <c r="BN220" s="64">
        <f>IFERROR(Y220*I220/H220,"0")</f>
        <v>10.608000000000001</v>
      </c>
      <c r="BO220" s="64">
        <f>IFERROR(1/J220*(X220/H220),"0")</f>
        <v>2.0604395604395608E-2</v>
      </c>
      <c r="BP220" s="64">
        <f>IFERROR(1/J220*(Y220/H220),"0")</f>
        <v>2.197802197802198E-2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51.25</v>
      </c>
      <c r="Y221" s="543">
        <f>IFERROR(Y219/H219,"0")+IFERROR(Y220/H220,"0")</f>
        <v>52</v>
      </c>
      <c r="Z221" s="543">
        <f>IFERROR(IF(Z219="",0,Z219),"0")+IFERROR(IF(Z220="",0,Z220),"0")</f>
        <v>0.33851999999999999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123</v>
      </c>
      <c r="Y222" s="543">
        <f>IFERROR(SUM(Y219:Y220),"0")</f>
        <v>124.79999999999998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24</v>
      </c>
      <c r="Y228" s="542">
        <f t="shared" si="21"/>
        <v>24</v>
      </c>
      <c r="Z228" s="36">
        <f>IFERROR(IF(Y228=0,"",ROUNDUP(Y228/H228,0)*0.00902),"")</f>
        <v>5.4120000000000001E-2</v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25.14</v>
      </c>
      <c r="BN228" s="64">
        <f t="shared" si="23"/>
        <v>25.14</v>
      </c>
      <c r="BO228" s="64">
        <f t="shared" si="24"/>
        <v>4.5454545454545456E-2</v>
      </c>
      <c r="BP228" s="64">
        <f t="shared" si="25"/>
        <v>4.5454545454545456E-2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6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6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5.4120000000000001E-2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24</v>
      </c>
      <c r="Y236" s="543">
        <f>IFERROR(SUM(Y225:Y234),"0")</f>
        <v>24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12</v>
      </c>
      <c r="Y242" s="542">
        <f>IFERROR(IF(X242="",0,CEILING((X242/$H242),1)*$H242),"")</f>
        <v>12.6</v>
      </c>
      <c r="Z242" s="36">
        <f>IFERROR(IF(Y242=0,"",ROUNDUP(Y242/H242,0)*0.0059),"")</f>
        <v>4.1299999999999996E-2</v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13.166666666666668</v>
      </c>
      <c r="BN242" s="64">
        <f>IFERROR(Y242*I242/H242,"0")</f>
        <v>13.825000000000001</v>
      </c>
      <c r="BO242" s="64">
        <f>IFERROR(1/J242*(X242/H242),"0")</f>
        <v>3.0864197530864192E-2</v>
      </c>
      <c r="BP242" s="64">
        <f>IFERROR(1/J242*(Y242/H242),"0")</f>
        <v>3.2407407407407406E-2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6.6666666666666661</v>
      </c>
      <c r="Y243" s="543">
        <f>IFERROR(Y242/H242,"0")</f>
        <v>7</v>
      </c>
      <c r="Z243" s="543">
        <f>IFERROR(IF(Z242="",0,Z242),"0")</f>
        <v>4.1299999999999996E-2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12</v>
      </c>
      <c r="Y244" s="543">
        <f>IFERROR(SUM(Y242:Y242),"0")</f>
        <v>12.6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6</v>
      </c>
      <c r="Y248" s="542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7.2666666666666675</v>
      </c>
      <c r="BN248" s="64">
        <f>IFERROR(Y248*I248/H248,"0")</f>
        <v>7.63</v>
      </c>
      <c r="BO248" s="64">
        <f>IFERROR(1/J248*(X248/H248),"0")</f>
        <v>3.0864197530864192E-2</v>
      </c>
      <c r="BP248" s="64">
        <f>IFERROR(1/J248*(Y248/H248),"0")</f>
        <v>3.2407407407407406E-2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8</v>
      </c>
      <c r="Y249" s="542">
        <f>IFERROR(IF(X249="",0,CEILING((X249/$H249),1)*$H249),"")</f>
        <v>8.91</v>
      </c>
      <c r="Z249" s="36">
        <f>IFERROR(IF(Y249=0,"",ROUNDUP(Y249/H249,0)*0.0059),"")</f>
        <v>5.3100000000000001E-2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9.5353535353535346</v>
      </c>
      <c r="BN249" s="64">
        <f>IFERROR(Y249*I249/H249,"0")</f>
        <v>10.62</v>
      </c>
      <c r="BO249" s="64">
        <f>IFERROR(1/J249*(X249/H249),"0")</f>
        <v>3.7411148522259637E-2</v>
      </c>
      <c r="BP249" s="64">
        <f>IFERROR(1/J249*(Y249/H249),"0")</f>
        <v>4.1666666666666664E-2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8</v>
      </c>
      <c r="Y250" s="542">
        <f>IFERROR(IF(X250="",0,CEILING((X250/$H250),1)*$H250),"")</f>
        <v>8.91</v>
      </c>
      <c r="Z250" s="36">
        <f>IFERROR(IF(Y250=0,"",ROUNDUP(Y250/H250,0)*0.0059),"")</f>
        <v>5.3100000000000001E-2</v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9.5353535353535346</v>
      </c>
      <c r="BN250" s="64">
        <f>IFERROR(Y250*I250/H250,"0")</f>
        <v>10.62</v>
      </c>
      <c r="BO250" s="64">
        <f>IFERROR(1/J250*(X250/H250),"0")</f>
        <v>3.7411148522259637E-2</v>
      </c>
      <c r="BP250" s="64">
        <f>IFERROR(1/J250*(Y250/H250),"0")</f>
        <v>4.1666666666666664E-2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22.828282828282831</v>
      </c>
      <c r="Y251" s="543">
        <f>IFERROR(Y246/H246,"0")+IFERROR(Y247/H247,"0")+IFERROR(Y248/H248,"0")+IFERROR(Y249/H249,"0")+IFERROR(Y250/H250,"0")</f>
        <v>25</v>
      </c>
      <c r="Z251" s="543">
        <f>IFERROR(IF(Z246="",0,Z246),"0")+IFERROR(IF(Z247="",0,Z247),"0")+IFERROR(IF(Z248="",0,Z248),"0")+IFERROR(IF(Z249="",0,Z249),"0")+IFERROR(IF(Z250="",0,Z250),"0")</f>
        <v>0.14749999999999999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22</v>
      </c>
      <c r="Y252" s="543">
        <f>IFERROR(SUM(Y246:Y250),"0")</f>
        <v>24.12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206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17</v>
      </c>
      <c r="Y273" s="542">
        <f>IFERROR(IF(X273="",0,CEILING((X273/$H273),1)*$H273),"")</f>
        <v>19.2</v>
      </c>
      <c r="Z273" s="36">
        <f>IFERROR(IF(Y273=0,"",ROUNDUP(Y273/H273,0)*0.00651),"")</f>
        <v>5.2080000000000001E-2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18.785000000000004</v>
      </c>
      <c r="BN273" s="64">
        <f>IFERROR(Y273*I273/H273,"0")</f>
        <v>21.216000000000001</v>
      </c>
      <c r="BO273" s="64">
        <f>IFERROR(1/J273*(X273/H273),"0")</f>
        <v>3.8919413919413927E-2</v>
      </c>
      <c r="BP273" s="64">
        <f>IFERROR(1/J273*(Y273/H273),"0")</f>
        <v>4.3956043956043959E-2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206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7.0833333333333339</v>
      </c>
      <c r="Y275" s="543">
        <f>IFERROR(Y272/H272,"0")+IFERROR(Y273/H273,"0")+IFERROR(Y274/H274,"0")</f>
        <v>8</v>
      </c>
      <c r="Z275" s="543">
        <f>IFERROR(IF(Z272="",0,Z272),"0")+IFERROR(IF(Z273="",0,Z273),"0")+IFERROR(IF(Z274="",0,Z274),"0")</f>
        <v>5.2080000000000001E-2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17</v>
      </c>
      <c r="Y276" s="543">
        <f>IFERROR(SUM(Y272:Y274),"0")</f>
        <v>19.2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</v>
      </c>
      <c r="Y304" s="542">
        <f t="shared" si="26"/>
        <v>3.6</v>
      </c>
      <c r="Z304" s="36">
        <f>IFERROR(IF(Y304=0,"",ROUNDUP(Y304/H304,0)*0.00651),"")</f>
        <v>1.302E-2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2.2533333333333334</v>
      </c>
      <c r="BN304" s="64">
        <f t="shared" si="28"/>
        <v>4.056</v>
      </c>
      <c r="BO304" s="64">
        <f t="shared" si="29"/>
        <v>6.1050061050061059E-3</v>
      </c>
      <c r="BP304" s="64">
        <f t="shared" si="30"/>
        <v>1.098901098901099E-2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1.1111111111111112</v>
      </c>
      <c r="Y305" s="543">
        <f>IFERROR(Y298/H298,"0")+IFERROR(Y299/H299,"0")+IFERROR(Y300/H300,"0")+IFERROR(Y301/H301,"0")+IFERROR(Y302/H302,"0")+IFERROR(Y303/H303,"0")+IFERROR(Y304/H304,"0")</f>
        <v>2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1.302E-2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2</v>
      </c>
      <c r="Y306" s="543">
        <f>IFERROR(SUM(Y298:Y304),"0")</f>
        <v>3.6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141</v>
      </c>
      <c r="Y315" s="542">
        <f>IFERROR(IF(X315="",0,CEILING((X315/$H315),1)*$H315),"")</f>
        <v>142.80000000000001</v>
      </c>
      <c r="Z315" s="36">
        <f>IFERROR(IF(Y315=0,"",ROUNDUP(Y315/H315,0)*0.01898),"")</f>
        <v>0.32266</v>
      </c>
      <c r="AA315" s="56"/>
      <c r="AB315" s="57"/>
      <c r="AC315" s="365" t="s">
        <v>501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149.29214285714286</v>
      </c>
      <c r="BN315" s="64">
        <f>IFERROR(Y315*I315/H315,"0")</f>
        <v>151.19800000000001</v>
      </c>
      <c r="BO315" s="64">
        <f>IFERROR(1/J315*(X315/H315),"0")</f>
        <v>0.2622767857142857</v>
      </c>
      <c r="BP315" s="64">
        <f>IFERROR(1/J315*(Y315/H315),"0")</f>
        <v>0.265625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458</v>
      </c>
      <c r="Y316" s="542">
        <f>IFERROR(IF(X316="",0,CEILING((X316/$H316),1)*$H316),"")</f>
        <v>460.2</v>
      </c>
      <c r="Z316" s="36">
        <f>IFERROR(IF(Y316=0,"",ROUNDUP(Y316/H316,0)*0.01898),"")</f>
        <v>1.11982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487.00666666666666</v>
      </c>
      <c r="BN316" s="64">
        <f>IFERROR(Y316*I316/H316,"0")</f>
        <v>489.346</v>
      </c>
      <c r="BO316" s="64">
        <f>IFERROR(1/J316*(X316/H316),"0")</f>
        <v>0.91746794871794879</v>
      </c>
      <c r="BP316" s="64">
        <f>IFERROR(1/J316*(Y316/H316),"0")</f>
        <v>0.921875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175</v>
      </c>
      <c r="Y317" s="542">
        <f>IFERROR(IF(X317="",0,CEILING((X317/$H317),1)*$H317),"")</f>
        <v>176.4</v>
      </c>
      <c r="Z317" s="36">
        <f>IFERROR(IF(Y317=0,"",ROUNDUP(Y317/H317,0)*0.01898),"")</f>
        <v>0.39857999999999999</v>
      </c>
      <c r="AA317" s="56"/>
      <c r="AB317" s="57"/>
      <c r="AC317" s="369" t="s">
        <v>507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185.29166666666666</v>
      </c>
      <c r="BN317" s="64">
        <f>IFERROR(Y317*I317/H317,"0")</f>
        <v>186.774</v>
      </c>
      <c r="BO317" s="64">
        <f>IFERROR(1/J317*(X317/H317),"0")</f>
        <v>0.32552083333333331</v>
      </c>
      <c r="BP317" s="64">
        <f>IFERROR(1/J317*(Y317/H317),"0")</f>
        <v>0.328125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96.336996336996336</v>
      </c>
      <c r="Y318" s="543">
        <f>IFERROR(Y315/H315,"0")+IFERROR(Y316/H316,"0")+IFERROR(Y317/H317,"0")</f>
        <v>97</v>
      </c>
      <c r="Z318" s="543">
        <f>IFERROR(IF(Z315="",0,Z315),"0")+IFERROR(IF(Z316="",0,Z316),"0")+IFERROR(IF(Z317="",0,Z317),"0")</f>
        <v>1.8410599999999999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774</v>
      </c>
      <c r="Y319" s="543">
        <f>IFERROR(SUM(Y315:Y317),"0")</f>
        <v>779.4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4</v>
      </c>
      <c r="Y322" s="542">
        <f>IFERROR(IF(X322="",0,CEILING((X322/$H322),1)*$H322),"")</f>
        <v>6.08</v>
      </c>
      <c r="Z322" s="36">
        <f>IFERROR(IF(Y322=0,"",ROUNDUP(Y322/H322,0)*0.00902),"")</f>
        <v>1.804E-2</v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4.3026315789473681</v>
      </c>
      <c r="BN322" s="64">
        <f>IFERROR(Y322*I322/H322,"0")</f>
        <v>6.5399999999999991</v>
      </c>
      <c r="BO322" s="64">
        <f>IFERROR(1/J322*(X322/H322),"0")</f>
        <v>9.9681020733652318E-3</v>
      </c>
      <c r="BP322" s="64">
        <f>IFERROR(1/J322*(Y322/H322),"0")</f>
        <v>1.5151515151515152E-2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206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16</v>
      </c>
      <c r="Y324" s="542">
        <f>IFERROR(IF(X324="",0,CEILING((X324/$H324),1)*$H324),"")</f>
        <v>17.849999999999998</v>
      </c>
      <c r="Z324" s="36">
        <f>IFERROR(IF(Y324=0,"",ROUNDUP(Y324/H324,0)*0.00651),"")</f>
        <v>4.5569999999999999E-2</v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18.070588235294117</v>
      </c>
      <c r="BN324" s="64">
        <f>IFERROR(Y324*I324/H324,"0")</f>
        <v>20.16</v>
      </c>
      <c r="BO324" s="64">
        <f>IFERROR(1/J324*(X324/H324),"0")</f>
        <v>3.4475328592975661E-2</v>
      </c>
      <c r="BP324" s="64">
        <f>IFERROR(1/J324*(Y324/H324),"0")</f>
        <v>3.8461538461538464E-2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7.59029927760578</v>
      </c>
      <c r="Y325" s="543">
        <f>IFERROR(Y321/H321,"0")+IFERROR(Y322/H322,"0")+IFERROR(Y323/H323,"0")+IFERROR(Y324/H324,"0")</f>
        <v>9</v>
      </c>
      <c r="Z325" s="543">
        <f>IFERROR(IF(Z321="",0,Z321),"0")+IFERROR(IF(Z322="",0,Z322),"0")+IFERROR(IF(Z323="",0,Z323),"0")+IFERROR(IF(Z324="",0,Z324),"0")</f>
        <v>6.361E-2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20</v>
      </c>
      <c r="Y326" s="543">
        <f>IFERROR(SUM(Y321:Y324),"0")</f>
        <v>23.93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6</v>
      </c>
      <c r="Y328" s="542">
        <f>IFERROR(IF(X328="",0,CEILING((X328/$H328),1)*$H328),"")</f>
        <v>6</v>
      </c>
      <c r="Z328" s="36">
        <f>IFERROR(IF(Y328=0,"",ROUNDUP(Y328/H328,0)*0.00474),"")</f>
        <v>1.422E-2</v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6.7200000000000006</v>
      </c>
      <c r="BN328" s="64">
        <f>IFERROR(Y328*I328/H328,"0")</f>
        <v>6.7200000000000006</v>
      </c>
      <c r="BO328" s="64">
        <f>IFERROR(1/J328*(X328/H328),"0")</f>
        <v>1.2605042016806723E-2</v>
      </c>
      <c r="BP328" s="64">
        <f>IFERROR(1/J328*(Y328/H328),"0")</f>
        <v>1.2605042016806723E-2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6</v>
      </c>
      <c r="Y329" s="542">
        <f>IFERROR(IF(X329="",0,CEILING((X329/$H329),1)*$H329),"")</f>
        <v>6</v>
      </c>
      <c r="Z329" s="36">
        <f>IFERROR(IF(Y329=0,"",ROUNDUP(Y329/H329,0)*0.00474),"")</f>
        <v>1.422E-2</v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6.7200000000000006</v>
      </c>
      <c r="BN329" s="64">
        <f>IFERROR(Y329*I329/H329,"0")</f>
        <v>6.7200000000000006</v>
      </c>
      <c r="BO329" s="64">
        <f>IFERROR(1/J329*(X329/H329),"0")</f>
        <v>1.2605042016806723E-2</v>
      </c>
      <c r="BP329" s="64">
        <f>IFERROR(1/J329*(Y329/H329),"0")</f>
        <v>1.2605042016806723E-2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28</v>
      </c>
      <c r="Y330" s="542">
        <f>IFERROR(IF(X330="",0,CEILING((X330/$H330),1)*$H330),"")</f>
        <v>28</v>
      </c>
      <c r="Z330" s="36">
        <f>IFERROR(IF(Y330=0,"",ROUNDUP(Y330/H330,0)*0.00474),"")</f>
        <v>6.6360000000000002E-2</v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31.360000000000003</v>
      </c>
      <c r="BN330" s="64">
        <f>IFERROR(Y330*I330/H330,"0")</f>
        <v>31.360000000000003</v>
      </c>
      <c r="BO330" s="64">
        <f>IFERROR(1/J330*(X330/H330),"0")</f>
        <v>5.8823529411764705E-2</v>
      </c>
      <c r="BP330" s="64">
        <f>IFERROR(1/J330*(Y330/H330),"0")</f>
        <v>5.8823529411764705E-2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20</v>
      </c>
      <c r="Y331" s="543">
        <f>IFERROR(Y328/H328,"0")+IFERROR(Y329/H329,"0")+IFERROR(Y330/H330,"0")</f>
        <v>20</v>
      </c>
      <c r="Z331" s="543">
        <f>IFERROR(IF(Z328="",0,Z328),"0")+IFERROR(IF(Z329="",0,Z329),"0")+IFERROR(IF(Z330="",0,Z330),"0")</f>
        <v>9.4799999999999995E-2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40</v>
      </c>
      <c r="Y332" s="543">
        <f>IFERROR(SUM(Y328:Y330),"0")</f>
        <v>40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362</v>
      </c>
      <c r="Y343" s="542">
        <f t="shared" ref="Y343:Y349" si="31">IFERROR(IF(X343="",0,CEILING((X343/$H343),1)*$H343),"")</f>
        <v>375</v>
      </c>
      <c r="Z343" s="36">
        <f>IFERROR(IF(Y343=0,"",ROUNDUP(Y343/H343,0)*0.02175),"")</f>
        <v>0.54374999999999996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373.34266666666667</v>
      </c>
      <c r="BN343" s="64">
        <f t="shared" ref="BN343:BN349" si="33">IFERROR(Y343*I343/H343,"0")</f>
        <v>386.75</v>
      </c>
      <c r="BO343" s="64">
        <f t="shared" ref="BO343:BO349" si="34">IFERROR(1/J343*(X343/H343),"0")</f>
        <v>0.50277777777777777</v>
      </c>
      <c r="BP343" s="64">
        <f t="shared" ref="BP343:BP349" si="35">IFERROR(1/J343*(Y343/H343),"0")</f>
        <v>0.52083333333333326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402</v>
      </c>
      <c r="Y344" s="542">
        <f t="shared" si="31"/>
        <v>405</v>
      </c>
      <c r="Z344" s="36">
        <f>IFERROR(IF(Y344=0,"",ROUNDUP(Y344/H344,0)*0.02175),"")</f>
        <v>0.58724999999999994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414.59600000000006</v>
      </c>
      <c r="BN344" s="64">
        <f t="shared" si="33"/>
        <v>417.69</v>
      </c>
      <c r="BO344" s="64">
        <f t="shared" si="34"/>
        <v>0.55833333333333335</v>
      </c>
      <c r="BP344" s="64">
        <f t="shared" si="35"/>
        <v>0.5625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406</v>
      </c>
      <c r="Y345" s="542">
        <f t="shared" si="31"/>
        <v>420</v>
      </c>
      <c r="Z345" s="36">
        <f>IFERROR(IF(Y345=0,"",ROUNDUP(Y345/H345,0)*0.02175),"")</f>
        <v>0.60899999999999999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418.72133333333335</v>
      </c>
      <c r="BN345" s="64">
        <f t="shared" si="33"/>
        <v>433.16</v>
      </c>
      <c r="BO345" s="64">
        <f t="shared" si="34"/>
        <v>0.56388888888888888</v>
      </c>
      <c r="BP345" s="64">
        <f t="shared" si="35"/>
        <v>0.58333333333333326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431</v>
      </c>
      <c r="Y346" s="542">
        <f t="shared" si="31"/>
        <v>435</v>
      </c>
      <c r="Z346" s="36">
        <f>IFERROR(IF(Y346=0,"",ROUNDUP(Y346/H346,0)*0.02175),"")</f>
        <v>0.63074999999999992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444.50466666666671</v>
      </c>
      <c r="BN346" s="64">
        <f t="shared" si="33"/>
        <v>448.63000000000005</v>
      </c>
      <c r="BO346" s="64">
        <f t="shared" si="34"/>
        <v>0.59861111111111109</v>
      </c>
      <c r="BP346" s="64">
        <f t="shared" si="35"/>
        <v>0.60416666666666663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106.73333333333333</v>
      </c>
      <c r="Y350" s="543">
        <f>IFERROR(Y343/H343,"0")+IFERROR(Y344/H344,"0")+IFERROR(Y345/H345,"0")+IFERROR(Y346/H346,"0")+IFERROR(Y347/H347,"0")+IFERROR(Y348/H348,"0")+IFERROR(Y349/H349,"0")</f>
        <v>109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2.3707499999999997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1601</v>
      </c>
      <c r="Y351" s="543">
        <f>IFERROR(SUM(Y343:Y349),"0")</f>
        <v>1635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986</v>
      </c>
      <c r="Y353" s="542">
        <f>IFERROR(IF(X353="",0,CEILING((X353/$H353),1)*$H353),"")</f>
        <v>990</v>
      </c>
      <c r="Z353" s="36">
        <f>IFERROR(IF(Y353=0,"",ROUNDUP(Y353/H353,0)*0.02175),"")</f>
        <v>1.4355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1016.8946666666667</v>
      </c>
      <c r="BN353" s="64">
        <f>IFERROR(Y353*I353/H353,"0")</f>
        <v>1021.0200000000001</v>
      </c>
      <c r="BO353" s="64">
        <f>IFERROR(1/J353*(X353/H353),"0")</f>
        <v>1.3694444444444445</v>
      </c>
      <c r="BP353" s="64">
        <f>IFERROR(1/J353*(Y353/H353),"0")</f>
        <v>1.375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65.733333333333334</v>
      </c>
      <c r="Y355" s="543">
        <f>IFERROR(Y353/H353,"0")+IFERROR(Y354/H354,"0")</f>
        <v>66</v>
      </c>
      <c r="Z355" s="543">
        <f>IFERROR(IF(Z353="",0,Z353),"0")+IFERROR(IF(Z354="",0,Z354),"0")</f>
        <v>1.4355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986</v>
      </c>
      <c r="Y356" s="543">
        <f>IFERROR(SUM(Y353:Y354),"0")</f>
        <v>990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120</v>
      </c>
      <c r="Y363" s="542">
        <f>IFERROR(IF(X363="",0,CEILING((X363/$H363),1)*$H363),"")</f>
        <v>126</v>
      </c>
      <c r="Z363" s="36">
        <f>IFERROR(IF(Y363=0,"",ROUNDUP(Y363/H363,0)*0.01898),"")</f>
        <v>0.26572000000000001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126.58666666666666</v>
      </c>
      <c r="BN363" s="64">
        <f>IFERROR(Y363*I363/H363,"0")</f>
        <v>132.916</v>
      </c>
      <c r="BO363" s="64">
        <f>IFERROR(1/J363*(X363/H363),"0")</f>
        <v>0.20833333333333334</v>
      </c>
      <c r="BP363" s="64">
        <f>IFERROR(1/J363*(Y363/H363),"0")</f>
        <v>0.21875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13.333333333333334</v>
      </c>
      <c r="Y364" s="543">
        <f>IFERROR(Y363/H363,"0")</f>
        <v>14</v>
      </c>
      <c r="Z364" s="543">
        <f>IFERROR(IF(Z363="",0,Z363),"0")</f>
        <v>0.26572000000000001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120</v>
      </c>
      <c r="Y365" s="543">
        <f>IFERROR(SUM(Y363:Y363),"0")</f>
        <v>126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1293</v>
      </c>
      <c r="Y378" s="542">
        <f>IFERROR(IF(X378="",0,CEILING((X378/$H378),1)*$H378),"")</f>
        <v>1296</v>
      </c>
      <c r="Z378" s="36">
        <f>IFERROR(IF(Y378=0,"",ROUNDUP(Y378/H378,0)*0.01898),"")</f>
        <v>2.73312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1363.9713333333334</v>
      </c>
      <c r="BN378" s="64">
        <f>IFERROR(Y378*I378/H378,"0")</f>
        <v>1367.136</v>
      </c>
      <c r="BO378" s="64">
        <f>IFERROR(1/J378*(X378/H378),"0")</f>
        <v>2.2447916666666665</v>
      </c>
      <c r="BP378" s="64">
        <f>IFERROR(1/J378*(Y378/H378),"0")</f>
        <v>2.25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206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50</v>
      </c>
      <c r="Y379" s="542">
        <f>IFERROR(IF(X379="",0,CEILING((X379/$H379),1)*$H379),"")</f>
        <v>50.4</v>
      </c>
      <c r="Z379" s="36">
        <f>IFERROR(IF(Y379=0,"",ROUNDUP(Y379/H379,0)*0.00651),"")</f>
        <v>0.13671</v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55.500000000000007</v>
      </c>
      <c r="BN379" s="64">
        <f>IFERROR(Y379*I379/H379,"0")</f>
        <v>55.944000000000003</v>
      </c>
      <c r="BO379" s="64">
        <f>IFERROR(1/J379*(X379/H379),"0")</f>
        <v>0.11446886446886449</v>
      </c>
      <c r="BP379" s="64">
        <f>IFERROR(1/J379*(Y379/H379),"0")</f>
        <v>0.11538461538461539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164.5</v>
      </c>
      <c r="Y380" s="543">
        <f>IFERROR(Y378/H378,"0")+IFERROR(Y379/H379,"0")</f>
        <v>165</v>
      </c>
      <c r="Z380" s="543">
        <f>IFERROR(IF(Z378="",0,Z378),"0")+IFERROR(IF(Z379="",0,Z379),"0")</f>
        <v>2.8698299999999999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1343</v>
      </c>
      <c r="Y381" s="543">
        <f>IFERROR(SUM(Y378:Y379),"0")</f>
        <v>1346.4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117</v>
      </c>
      <c r="Y421" s="542">
        <f t="shared" ref="Y421:Y431" si="42">IFERROR(IF(X421="",0,CEILING((X421/$H421),1)*$H421),"")</f>
        <v>121.44000000000001</v>
      </c>
      <c r="Z421" s="36">
        <f t="shared" ref="Z421:Z426" si="43">IFERROR(IF(Y421=0,"",ROUNDUP(Y421/H421,0)*0.01196),"")</f>
        <v>0.27507999999999999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124.75568181818181</v>
      </c>
      <c r="BN421" s="64">
        <f t="shared" ref="BN421:BN431" si="45">IFERROR(Y421*I421/H421,"0")</f>
        <v>129.49</v>
      </c>
      <c r="BO421" s="64">
        <f t="shared" ref="BO421:BO431" si="46">IFERROR(1/J421*(X421/H421),"0")</f>
        <v>0.2130681818181818</v>
      </c>
      <c r="BP421" s="64">
        <f t="shared" ref="BP421:BP431" si="47">IFERROR(1/J421*(Y421/H421),"0")</f>
        <v>0.22115384615384617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41</v>
      </c>
      <c r="Y422" s="542">
        <f t="shared" si="42"/>
        <v>42.24</v>
      </c>
      <c r="Z422" s="36">
        <f t="shared" si="43"/>
        <v>9.5680000000000001E-2</v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43.717803030303024</v>
      </c>
      <c r="BN422" s="64">
        <f t="shared" si="45"/>
        <v>45.04</v>
      </c>
      <c r="BO422" s="64">
        <f t="shared" si="46"/>
        <v>7.4664918414918416E-2</v>
      </c>
      <c r="BP422" s="64">
        <f t="shared" si="47"/>
        <v>7.6923076923076927E-2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11</v>
      </c>
      <c r="Y428" s="542">
        <f t="shared" si="42"/>
        <v>14.399999999999999</v>
      </c>
      <c r="Z428" s="36">
        <f>IFERROR(IF(Y428=0,"",ROUNDUP(Y428/H428,0)*0.00902),"")</f>
        <v>2.7060000000000001E-2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15.835416666666669</v>
      </c>
      <c r="BN428" s="64">
        <f t="shared" si="45"/>
        <v>20.73</v>
      </c>
      <c r="BO428" s="64">
        <f t="shared" si="46"/>
        <v>1.7361111111111115E-2</v>
      </c>
      <c r="BP428" s="64">
        <f t="shared" si="47"/>
        <v>2.2727272727272728E-2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32.215909090909086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0.39781999999999995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169</v>
      </c>
      <c r="Y433" s="543">
        <f>IFERROR(SUM(Y421:Y431),"0")</f>
        <v>178.08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138</v>
      </c>
      <c r="Y435" s="542">
        <f>IFERROR(IF(X435="",0,CEILING((X435/$H435),1)*$H435),"")</f>
        <v>142.56</v>
      </c>
      <c r="Z435" s="36">
        <f>IFERROR(IF(Y435=0,"",ROUNDUP(Y435/H435,0)*0.01196),"")</f>
        <v>0.32291999999999998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147.14772727272725</v>
      </c>
      <c r="BN435" s="64">
        <f>IFERROR(Y435*I435/H435,"0")</f>
        <v>152.01</v>
      </c>
      <c r="BO435" s="64">
        <f>IFERROR(1/J435*(X435/H435),"0")</f>
        <v>0.2513111888111888</v>
      </c>
      <c r="BP435" s="64">
        <f>IFERROR(1/J435*(Y435/H435),"0")</f>
        <v>0.25961538461538464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112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26.136363636363637</v>
      </c>
      <c r="Y438" s="543">
        <f>IFERROR(Y435/H435,"0")+IFERROR(Y436/H436,"0")+IFERROR(Y437/H437,"0")</f>
        <v>27</v>
      </c>
      <c r="Z438" s="543">
        <f>IFERROR(IF(Z435="",0,Z435),"0")+IFERROR(IF(Z436="",0,Z436),"0")+IFERROR(IF(Z437="",0,Z437),"0")</f>
        <v>0.32291999999999998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138</v>
      </c>
      <c r="Y439" s="543">
        <f>IFERROR(SUM(Y435:Y437),"0")</f>
        <v>142.56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388</v>
      </c>
      <c r="Y441" s="542">
        <f t="shared" ref="Y441:Y446" si="48">IFERROR(IF(X441="",0,CEILING((X441/$H441),1)*$H441),"")</f>
        <v>390.72</v>
      </c>
      <c r="Z441" s="36">
        <f>IFERROR(IF(Y441=0,"",ROUNDUP(Y441/H441,0)*0.01196),"")</f>
        <v>0.88504000000000005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413.71969696969694</v>
      </c>
      <c r="BN441" s="64">
        <f t="shared" ref="BN441:BN446" si="50">IFERROR(Y441*I441/H441,"0")</f>
        <v>416.62</v>
      </c>
      <c r="BO441" s="64">
        <f t="shared" ref="BO441:BO446" si="51">IFERROR(1/J441*(X441/H441),"0")</f>
        <v>0.7065850815850816</v>
      </c>
      <c r="BP441" s="64">
        <f t="shared" ref="BP441:BP446" si="52">IFERROR(1/J441*(Y441/H441),"0")</f>
        <v>0.71153846153846156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131</v>
      </c>
      <c r="Y442" s="542">
        <f t="shared" si="48"/>
        <v>132</v>
      </c>
      <c r="Z442" s="36">
        <f>IFERROR(IF(Y442=0,"",ROUNDUP(Y442/H442,0)*0.01196),"")</f>
        <v>0.29899999999999999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139.6837121212121</v>
      </c>
      <c r="BN442" s="64">
        <f t="shared" si="50"/>
        <v>140.75</v>
      </c>
      <c r="BO442" s="64">
        <f t="shared" si="51"/>
        <v>0.23856351981351981</v>
      </c>
      <c r="BP442" s="64">
        <f t="shared" si="52"/>
        <v>0.24038461538461539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155</v>
      </c>
      <c r="Y443" s="542">
        <f t="shared" si="48"/>
        <v>158.4</v>
      </c>
      <c r="Z443" s="36">
        <f>IFERROR(IF(Y443=0,"",ROUNDUP(Y443/H443,0)*0.01196),"")</f>
        <v>0.35880000000000001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165.27462121212119</v>
      </c>
      <c r="BN443" s="64">
        <f t="shared" si="50"/>
        <v>168.9</v>
      </c>
      <c r="BO443" s="64">
        <f t="shared" si="51"/>
        <v>0.28226981351981351</v>
      </c>
      <c r="BP443" s="64">
        <f t="shared" si="52"/>
        <v>0.28846153846153849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127.65151515151516</v>
      </c>
      <c r="Y447" s="543">
        <f>IFERROR(Y441/H441,"0")+IFERROR(Y442/H442,"0")+IFERROR(Y443/H443,"0")+IFERROR(Y444/H444,"0")+IFERROR(Y445/H445,"0")+IFERROR(Y446/H446,"0")</f>
        <v>129</v>
      </c>
      <c r="Z447" s="543">
        <f>IFERROR(IF(Z441="",0,Z441),"0")+IFERROR(IF(Z442="",0,Z442),"0")+IFERROR(IF(Z443="",0,Z443),"0")+IFERROR(IF(Z444="",0,Z444),"0")+IFERROR(IF(Z445="",0,Z445),"0")+IFERROR(IF(Z446="",0,Z446),"0")</f>
        <v>1.54284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674</v>
      </c>
      <c r="Y448" s="543">
        <f>IFERROR(SUM(Y441:Y446),"0")</f>
        <v>681.12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112</v>
      </c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112</v>
      </c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10701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10885.05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11254.808705256217</v>
      </c>
      <c r="Y490" s="543">
        <f>IFERROR(SUM(BN22:BN486),"0")</f>
        <v>11450.265000000001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19</v>
      </c>
      <c r="Y491" s="38">
        <f>ROUNDUP(SUM(BP22:BP486),0)</f>
        <v>19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11729.808705256217</v>
      </c>
      <c r="Y492" s="543">
        <f>GrossWeightTotalR+PalletQtyTotalR*25</f>
        <v>11925.265000000001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1835.4036331127788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1868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21.555460000000004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183.60000000000002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596.4</v>
      </c>
      <c r="E499" s="46">
        <f>IFERROR(Y85*1,"0")+IFERROR(Y86*1,"0")+IFERROR(Y87*1,"0")+IFERROR(Y91*1,"0")+IFERROR(Y92*1,"0")+IFERROR(Y93*1,"0")+IFERROR(Y94*1,"0")</f>
        <v>396.90000000000003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769.5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830.33999999999992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2082.3000000000002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60.72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19.2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846.93000000000006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2751</v>
      </c>
      <c r="T499" s="46">
        <f>IFERROR(Y368*1,"0")+IFERROR(Y369*1,"0")+IFERROR(Y373*1,"0")+IFERROR(Y374*1,"0")+IFERROR(Y378*1,"0")+IFERROR(Y379*1,"0")</f>
        <v>1346.4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1001.76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zjfws8i37jJhOri058bri2fdJrzWiq0OryXeeQ08pzZNYJ02Ai8q/myCnv5+7YuNbWeng9utZ7FeEwfO/YxPKQ==" saltValue="FgOjPYQKR4Z9bug6e5cH4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2 X79 X85 X87 X91 X99 X101 X106 X108 X112 X114 X163 X165:X166 X168:X169 X192 X196:X197 X199:X201 X203 X209:X210 X212:X215 X220 X225 X273:X274 X315:X317 X324 X335 X343:X345 X353 X378:X379 X421:X423 X426 X435 X437 X441:X443 X471:X47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LszfUEZOPQXGFpOjHsWy3IrpAiQpseYlwRJk6n/0LasnuFQe0p6mjoK6XgLXTNGvuRnnznuv0L/aNZ4d1v4fRw==" saltValue="BtT87DwoAdkX4ZddZg3i1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2025-11-19T07:44:13Z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