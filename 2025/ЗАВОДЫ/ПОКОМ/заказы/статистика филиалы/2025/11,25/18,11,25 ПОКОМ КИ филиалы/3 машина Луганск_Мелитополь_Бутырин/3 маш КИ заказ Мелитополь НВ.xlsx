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4093D7EA-B4F7-4B83-8523-C1D9070DB30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Y463" i="1" s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Y447" i="1" s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Z423" i="1" s="1"/>
  <c r="P423" i="1"/>
  <c r="BP422" i="1"/>
  <c r="BO422" i="1"/>
  <c r="BN422" i="1"/>
  <c r="BM422" i="1"/>
  <c r="Z422" i="1"/>
  <c r="Y422" i="1"/>
  <c r="P422" i="1"/>
  <c r="BO421" i="1"/>
  <c r="BM421" i="1"/>
  <c r="Y421" i="1"/>
  <c r="Y433" i="1" s="1"/>
  <c r="P421" i="1"/>
  <c r="X417" i="1"/>
  <c r="X416" i="1"/>
  <c r="BO415" i="1"/>
  <c r="BM415" i="1"/>
  <c r="Y415" i="1"/>
  <c r="Y417" i="1" s="1"/>
  <c r="P415" i="1"/>
  <c r="X412" i="1"/>
  <c r="X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Y412" i="1" s="1"/>
  <c r="P408" i="1"/>
  <c r="BP407" i="1"/>
  <c r="BO407" i="1"/>
  <c r="BN407" i="1"/>
  <c r="BM407" i="1"/>
  <c r="Z407" i="1"/>
  <c r="Y407" i="1"/>
  <c r="Y411" i="1" s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Y375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S499" i="1" s="1"/>
  <c r="P343" i="1"/>
  <c r="X339" i="1"/>
  <c r="X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R499" i="1" s="1"/>
  <c r="P335" i="1"/>
  <c r="X332" i="1"/>
  <c r="X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2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BO321" i="1"/>
  <c r="BM321" i="1"/>
  <c r="Y321" i="1"/>
  <c r="Y326" i="1" s="1"/>
  <c r="P321" i="1"/>
  <c r="X319" i="1"/>
  <c r="X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Y319" i="1" s="1"/>
  <c r="P315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Y313" i="1" s="1"/>
  <c r="P309" i="1"/>
  <c r="BP308" i="1"/>
  <c r="BO308" i="1"/>
  <c r="BN308" i="1"/>
  <c r="BM308" i="1"/>
  <c r="Z308" i="1"/>
  <c r="Y308" i="1"/>
  <c r="Y312" i="1" s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Y305" i="1" s="1"/>
  <c r="P299" i="1"/>
  <c r="BP298" i="1"/>
  <c r="BO298" i="1"/>
  <c r="BN298" i="1"/>
  <c r="BM298" i="1"/>
  <c r="Z298" i="1"/>
  <c r="Y298" i="1"/>
  <c r="Y306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Y295" i="1" s="1"/>
  <c r="P291" i="1"/>
  <c r="BP290" i="1"/>
  <c r="BO290" i="1"/>
  <c r="BN290" i="1"/>
  <c r="BM290" i="1"/>
  <c r="Z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Y286" i="1" s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499" i="1" s="1"/>
  <c r="P279" i="1"/>
  <c r="X276" i="1"/>
  <c r="X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O499" i="1" s="1"/>
  <c r="P272" i="1"/>
  <c r="X269" i="1"/>
  <c r="X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Y269" i="1" s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Y260" i="1" s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Y251" i="1" s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K499" i="1" s="1"/>
  <c r="P225" i="1"/>
  <c r="X222" i="1"/>
  <c r="X221" i="1"/>
  <c r="BO220" i="1"/>
  <c r="BM220" i="1"/>
  <c r="Y220" i="1"/>
  <c r="Y222" i="1" s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Y217" i="1" s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5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J499" i="1" s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8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2" i="1" s="1"/>
  <c r="X160" i="1"/>
  <c r="X159" i="1"/>
  <c r="BO158" i="1"/>
  <c r="BM158" i="1"/>
  <c r="Y158" i="1"/>
  <c r="I499" i="1" s="1"/>
  <c r="P158" i="1"/>
  <c r="X154" i="1"/>
  <c r="X153" i="1"/>
  <c r="BO152" i="1"/>
  <c r="BM152" i="1"/>
  <c r="Y152" i="1"/>
  <c r="Y153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Z31" i="1" s="1"/>
  <c r="BN26" i="1"/>
  <c r="BP26" i="1"/>
  <c r="Z28" i="1"/>
  <c r="BN28" i="1"/>
  <c r="BP30" i="1"/>
  <c r="BN30" i="1"/>
  <c r="Z30" i="1"/>
  <c r="Y32" i="1"/>
  <c r="Y35" i="1"/>
  <c r="BP34" i="1"/>
  <c r="BN34" i="1"/>
  <c r="Z34" i="1"/>
  <c r="Z35" i="1" s="1"/>
  <c r="Y36" i="1"/>
  <c r="C499" i="1"/>
  <c r="Y43" i="1"/>
  <c r="BP40" i="1"/>
  <c r="BN40" i="1"/>
  <c r="Z40" i="1"/>
  <c r="H9" i="1"/>
  <c r="Y24" i="1"/>
  <c r="BP42" i="1"/>
  <c r="BN42" i="1"/>
  <c r="Z42" i="1"/>
  <c r="Y44" i="1"/>
  <c r="Y47" i="1"/>
  <c r="BP46" i="1"/>
  <c r="BN46" i="1"/>
  <c r="Z46" i="1"/>
  <c r="Z47" i="1" s="1"/>
  <c r="Y48" i="1"/>
  <c r="D499" i="1"/>
  <c r="Y58" i="1"/>
  <c r="BP51" i="1"/>
  <c r="BN51" i="1"/>
  <c r="Z51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Y173" i="1"/>
  <c r="Y179" i="1"/>
  <c r="Y183" i="1"/>
  <c r="Y188" i="1"/>
  <c r="Y194" i="1"/>
  <c r="BP202" i="1"/>
  <c r="BN202" i="1"/>
  <c r="Z202" i="1"/>
  <c r="Z53" i="1"/>
  <c r="BN53" i="1"/>
  <c r="Z55" i="1"/>
  <c r="BN55" i="1"/>
  <c r="Z61" i="1"/>
  <c r="Z63" i="1" s="1"/>
  <c r="BN61" i="1"/>
  <c r="Z67" i="1"/>
  <c r="Z69" i="1" s="1"/>
  <c r="BN67" i="1"/>
  <c r="Z73" i="1"/>
  <c r="Z76" i="1" s="1"/>
  <c r="BN73" i="1"/>
  <c r="Z75" i="1"/>
  <c r="BN75" i="1"/>
  <c r="Z79" i="1"/>
  <c r="Z81" i="1" s="1"/>
  <c r="BN79" i="1"/>
  <c r="BP79" i="1"/>
  <c r="E499" i="1"/>
  <c r="Z86" i="1"/>
  <c r="Z88" i="1" s="1"/>
  <c r="BN86" i="1"/>
  <c r="Y89" i="1"/>
  <c r="Z92" i="1"/>
  <c r="Z95" i="1" s="1"/>
  <c r="BN92" i="1"/>
  <c r="Z94" i="1"/>
  <c r="BN94" i="1"/>
  <c r="Z99" i="1"/>
  <c r="Z103" i="1" s="1"/>
  <c r="BN99" i="1"/>
  <c r="BP99" i="1"/>
  <c r="Z101" i="1"/>
  <c r="BN101" i="1"/>
  <c r="Y104" i="1"/>
  <c r="Z107" i="1"/>
  <c r="Z109" i="1" s="1"/>
  <c r="BN107" i="1"/>
  <c r="Z113" i="1"/>
  <c r="Z116" i="1" s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Z143" i="1" s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3" i="1"/>
  <c r="Z172" i="1" s="1"/>
  <c r="BN163" i="1"/>
  <c r="Z165" i="1"/>
  <c r="BN165" i="1"/>
  <c r="Z167" i="1"/>
  <c r="BN167" i="1"/>
  <c r="Z169" i="1"/>
  <c r="BN169" i="1"/>
  <c r="Z171" i="1"/>
  <c r="BN171" i="1"/>
  <c r="Z175" i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Y189" i="1"/>
  <c r="Z192" i="1"/>
  <c r="Z193" i="1" s="1"/>
  <c r="BN192" i="1"/>
  <c r="Z196" i="1"/>
  <c r="BN196" i="1"/>
  <c r="BP196" i="1"/>
  <c r="Z198" i="1"/>
  <c r="BN198" i="1"/>
  <c r="BP200" i="1"/>
  <c r="BN200" i="1"/>
  <c r="Z200" i="1"/>
  <c r="Y204" i="1"/>
  <c r="Y216" i="1"/>
  <c r="BP208" i="1"/>
  <c r="BN208" i="1"/>
  <c r="Z208" i="1"/>
  <c r="Z216" i="1" s="1"/>
  <c r="Z210" i="1"/>
  <c r="BN210" i="1"/>
  <c r="Z212" i="1"/>
  <c r="BN212" i="1"/>
  <c r="Z214" i="1"/>
  <c r="BN214" i="1"/>
  <c r="Z220" i="1"/>
  <c r="Z221" i="1" s="1"/>
  <c r="BN220" i="1"/>
  <c r="BP220" i="1"/>
  <c r="Z225" i="1"/>
  <c r="BN225" i="1"/>
  <c r="BP225" i="1"/>
  <c r="Z227" i="1"/>
  <c r="BN227" i="1"/>
  <c r="Z229" i="1"/>
  <c r="BN229" i="1"/>
  <c r="Z231" i="1"/>
  <c r="BN231" i="1"/>
  <c r="Z233" i="1"/>
  <c r="BN233" i="1"/>
  <c r="Y236" i="1"/>
  <c r="Z247" i="1"/>
  <c r="Z251" i="1" s="1"/>
  <c r="BN247" i="1"/>
  <c r="BP247" i="1"/>
  <c r="Z249" i="1"/>
  <c r="BN249" i="1"/>
  <c r="L499" i="1"/>
  <c r="Z256" i="1"/>
  <c r="Z260" i="1" s="1"/>
  <c r="BN256" i="1"/>
  <c r="BP256" i="1"/>
  <c r="Z258" i="1"/>
  <c r="BN258" i="1"/>
  <c r="Y261" i="1"/>
  <c r="M499" i="1"/>
  <c r="Z265" i="1"/>
  <c r="Z268" i="1" s="1"/>
  <c r="BN265" i="1"/>
  <c r="BP265" i="1"/>
  <c r="Z267" i="1"/>
  <c r="BN267" i="1"/>
  <c r="Y268" i="1"/>
  <c r="Z272" i="1"/>
  <c r="BN272" i="1"/>
  <c r="BP272" i="1"/>
  <c r="Z274" i="1"/>
  <c r="BN274" i="1"/>
  <c r="Y275" i="1"/>
  <c r="Z279" i="1"/>
  <c r="Z281" i="1" s="1"/>
  <c r="BN279" i="1"/>
  <c r="BP279" i="1"/>
  <c r="Y282" i="1"/>
  <c r="Z284" i="1"/>
  <c r="Z286" i="1" s="1"/>
  <c r="BN284" i="1"/>
  <c r="BP284" i="1"/>
  <c r="Y287" i="1"/>
  <c r="Q499" i="1"/>
  <c r="Z291" i="1"/>
  <c r="Z295" i="1" s="1"/>
  <c r="BN291" i="1"/>
  <c r="BP291" i="1"/>
  <c r="Z293" i="1"/>
  <c r="BN293" i="1"/>
  <c r="Y296" i="1"/>
  <c r="Z299" i="1"/>
  <c r="Z305" i="1" s="1"/>
  <c r="BN299" i="1"/>
  <c r="BP299" i="1"/>
  <c r="Z301" i="1"/>
  <c r="BN301" i="1"/>
  <c r="Z303" i="1"/>
  <c r="BN303" i="1"/>
  <c r="Z309" i="1"/>
  <c r="Z312" i="1" s="1"/>
  <c r="BN309" i="1"/>
  <c r="BP309" i="1"/>
  <c r="Z311" i="1"/>
  <c r="BN311" i="1"/>
  <c r="Z315" i="1"/>
  <c r="BN315" i="1"/>
  <c r="BP315" i="1"/>
  <c r="Z317" i="1"/>
  <c r="BN317" i="1"/>
  <c r="Y318" i="1"/>
  <c r="Z321" i="1"/>
  <c r="BN321" i="1"/>
  <c r="BP321" i="1"/>
  <c r="Z322" i="1"/>
  <c r="BN322" i="1"/>
  <c r="Z324" i="1"/>
  <c r="BN324" i="1"/>
  <c r="Y325" i="1"/>
  <c r="Z328" i="1"/>
  <c r="BN328" i="1"/>
  <c r="BP328" i="1"/>
  <c r="Z330" i="1"/>
  <c r="BN330" i="1"/>
  <c r="Y331" i="1"/>
  <c r="Z335" i="1"/>
  <c r="BN335" i="1"/>
  <c r="BP335" i="1"/>
  <c r="Z337" i="1"/>
  <c r="BN337" i="1"/>
  <c r="Y338" i="1"/>
  <c r="Z343" i="1"/>
  <c r="BN343" i="1"/>
  <c r="BP343" i="1"/>
  <c r="Z345" i="1"/>
  <c r="BN345" i="1"/>
  <c r="Z346" i="1"/>
  <c r="BN346" i="1"/>
  <c r="Z348" i="1"/>
  <c r="BN348" i="1"/>
  <c r="Y351" i="1"/>
  <c r="Y355" i="1"/>
  <c r="Z354" i="1"/>
  <c r="Z355" i="1" s="1"/>
  <c r="BN354" i="1"/>
  <c r="BP369" i="1"/>
  <c r="BN369" i="1"/>
  <c r="Z369" i="1"/>
  <c r="Z370" i="1" s="1"/>
  <c r="Y371" i="1"/>
  <c r="Y376" i="1"/>
  <c r="BP373" i="1"/>
  <c r="BN373" i="1"/>
  <c r="Z373" i="1"/>
  <c r="Z375" i="1" s="1"/>
  <c r="Y380" i="1"/>
  <c r="BP387" i="1"/>
  <c r="BN387" i="1"/>
  <c r="Z387" i="1"/>
  <c r="BP391" i="1"/>
  <c r="BN391" i="1"/>
  <c r="Z391" i="1"/>
  <c r="Y235" i="1"/>
  <c r="Y276" i="1"/>
  <c r="Y281" i="1"/>
  <c r="Y339" i="1"/>
  <c r="Y350" i="1"/>
  <c r="Y356" i="1"/>
  <c r="Y361" i="1"/>
  <c r="BP358" i="1"/>
  <c r="BN358" i="1"/>
  <c r="Z358" i="1"/>
  <c r="Z360" i="1" s="1"/>
  <c r="BP379" i="1"/>
  <c r="BN379" i="1"/>
  <c r="Z379" i="1"/>
  <c r="Z380" i="1" s="1"/>
  <c r="Y381" i="1"/>
  <c r="U499" i="1"/>
  <c r="Y394" i="1"/>
  <c r="BP385" i="1"/>
  <c r="BN385" i="1"/>
  <c r="Z385" i="1"/>
  <c r="BP389" i="1"/>
  <c r="BN389" i="1"/>
  <c r="Z389" i="1"/>
  <c r="BP393" i="1"/>
  <c r="BN393" i="1"/>
  <c r="Z393" i="1"/>
  <c r="Y395" i="1"/>
  <c r="Y399" i="1"/>
  <c r="Y400" i="1"/>
  <c r="BP397" i="1"/>
  <c r="BN397" i="1"/>
  <c r="Z397" i="1"/>
  <c r="Z399" i="1" s="1"/>
  <c r="T499" i="1"/>
  <c r="Y370" i="1"/>
  <c r="V499" i="1"/>
  <c r="Y405" i="1"/>
  <c r="Z408" i="1"/>
  <c r="Z411" i="1" s="1"/>
  <c r="BN408" i="1"/>
  <c r="BP408" i="1"/>
  <c r="Z410" i="1"/>
  <c r="BN410" i="1"/>
  <c r="Z415" i="1"/>
  <c r="Z416" i="1" s="1"/>
  <c r="BN415" i="1"/>
  <c r="BP415" i="1"/>
  <c r="Y416" i="1"/>
  <c r="Z421" i="1"/>
  <c r="BN421" i="1"/>
  <c r="BP421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W499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BP445" i="1"/>
  <c r="BN445" i="1"/>
  <c r="Z445" i="1"/>
  <c r="BP459" i="1"/>
  <c r="BN459" i="1"/>
  <c r="Z459" i="1"/>
  <c r="Z462" i="1" s="1"/>
  <c r="BP467" i="1"/>
  <c r="BN467" i="1"/>
  <c r="Z467" i="1"/>
  <c r="Y469" i="1"/>
  <c r="Y474" i="1"/>
  <c r="BP471" i="1"/>
  <c r="BN471" i="1"/>
  <c r="Z471" i="1"/>
  <c r="Z473" i="1" s="1"/>
  <c r="Y482" i="1"/>
  <c r="Y499" i="1"/>
  <c r="Z468" i="1" l="1"/>
  <c r="Z394" i="1"/>
  <c r="Z350" i="1"/>
  <c r="Z338" i="1"/>
  <c r="Z331" i="1"/>
  <c r="Z325" i="1"/>
  <c r="Z318" i="1"/>
  <c r="Z235" i="1"/>
  <c r="Z43" i="1"/>
  <c r="Y491" i="1"/>
  <c r="Z447" i="1"/>
  <c r="Z438" i="1"/>
  <c r="Z432" i="1"/>
  <c r="Z275" i="1"/>
  <c r="Z204" i="1"/>
  <c r="Z178" i="1"/>
  <c r="Z57" i="1"/>
  <c r="Z494" i="1" s="1"/>
  <c r="Y489" i="1"/>
  <c r="Y493" i="1"/>
  <c r="Y490" i="1"/>
  <c r="Y492" i="1" s="1"/>
</calcChain>
</file>

<file path=xl/sharedStrings.xml><?xml version="1.0" encoding="utf-8"?>
<sst xmlns="http://schemas.openxmlformats.org/spreadsheetml/2006/main" count="2322" uniqueCount="767">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</sst>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57</v>
      </c>
      <c r="Y40" s="542">
        <f>IFERROR(IF(X40="",0,CEILING((X40/$H40),1)*$H40),"")</f>
        <v>64.800000000000011</v>
      </c>
      <c r="Z40" s="36">
        <f>IFERROR(IF(Y40=0,"",ROUNDUP(Y40/H40,0)*0.01898),"")</f>
        <v>0.11388000000000001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59.163888888888884</v>
      </c>
      <c r="BN40" s="64">
        <f>IFERROR(Y40*I40/H40,"0")</f>
        <v>67.260000000000005</v>
      </c>
      <c r="BO40" s="64">
        <f>IFERROR(1/J40*(X40/H40),"0")</f>
        <v>8.2465277777777776E-2</v>
      </c>
      <c r="BP40" s="64">
        <f>IFERROR(1/J40*(Y40/H40),"0")</f>
        <v>9.3750000000000014E-2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5.2777777777777777</v>
      </c>
      <c r="Y43" s="543">
        <f>IFERROR(Y40/H40,"0")+IFERROR(Y41/H41,"0")+IFERROR(Y42/H42,"0")</f>
        <v>6.0000000000000009</v>
      </c>
      <c r="Z43" s="543">
        <f>IFERROR(IF(Z40="",0,Z40),"0")+IFERROR(IF(Z41="",0,Z41),"0")+IFERROR(IF(Z42="",0,Z42),"0")</f>
        <v>0.11388000000000001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57</v>
      </c>
      <c r="Y44" s="543">
        <f>IFERROR(SUM(Y40:Y42),"0")</f>
        <v>64.800000000000011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4</v>
      </c>
      <c r="Y60" s="542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4.1518518518518519</v>
      </c>
      <c r="BN60" s="64">
        <f>IFERROR(Y60*I60/H60,"0")</f>
        <v>11.21</v>
      </c>
      <c r="BO60" s="64">
        <f>IFERROR(1/J60*(X60/H60),"0")</f>
        <v>5.7870370370370367E-3</v>
      </c>
      <c r="BP60" s="64">
        <f>IFERROR(1/J60*(Y60/H60),"0")</f>
        <v>1.5625E-2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0.37037037037037035</v>
      </c>
      <c r="Y63" s="543">
        <f>IFERROR(Y60/H60,"0")+IFERROR(Y61/H61,"0")+IFERROR(Y62/H62,"0")</f>
        <v>1</v>
      </c>
      <c r="Z63" s="543">
        <f>IFERROR(IF(Z60="",0,Z60),"0")+IFERROR(IF(Z61="",0,Z61),"0")+IFERROR(IF(Z62="",0,Z62),"0")</f>
        <v>1.898E-2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4</v>
      </c>
      <c r="Y64" s="543">
        <f>IFERROR(SUM(Y60:Y62),"0")</f>
        <v>10.8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28</v>
      </c>
      <c r="Y79" s="542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29.471794871794877</v>
      </c>
      <c r="BN79" s="64">
        <f>IFERROR(Y79*I79/H79,"0")</f>
        <v>32.840000000000003</v>
      </c>
      <c r="BO79" s="64">
        <f>IFERROR(1/J79*(X79/H79),"0")</f>
        <v>5.6089743589743592E-2</v>
      </c>
      <c r="BP79" s="64">
        <f>IFERROR(1/J79*(Y79/H79),"0")</f>
        <v>6.25E-2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3.5897435897435899</v>
      </c>
      <c r="Y81" s="543">
        <f>IFERROR(Y79/H79,"0")+IFERROR(Y80/H80,"0")</f>
        <v>4</v>
      </c>
      <c r="Z81" s="543">
        <f>IFERROR(IF(Z79="",0,Z79),"0")+IFERROR(IF(Z80="",0,Z80),"0")</f>
        <v>7.5920000000000001E-2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28</v>
      </c>
      <c r="Y82" s="543">
        <f>IFERROR(SUM(Y79:Y80),"0")</f>
        <v>31.2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38</v>
      </c>
      <c r="Y85" s="542">
        <f>IFERROR(IF(X85="",0,CEILING((X85/$H85),1)*$H85),"")</f>
        <v>43.2</v>
      </c>
      <c r="Z85" s="36">
        <f>IFERROR(IF(Y85=0,"",ROUNDUP(Y85/H85,0)*0.01898),"")</f>
        <v>7.5920000000000001E-2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39.44259259259259</v>
      </c>
      <c r="BN85" s="64">
        <f>IFERROR(Y85*I85/H85,"0")</f>
        <v>44.84</v>
      </c>
      <c r="BO85" s="64">
        <f>IFERROR(1/J85*(X85/H85),"0")</f>
        <v>5.4976851851851846E-2</v>
      </c>
      <c r="BP85" s="64">
        <f>IFERROR(1/J85*(Y85/H85),"0")</f>
        <v>6.25E-2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29</v>
      </c>
      <c r="Y87" s="542">
        <f>IFERROR(IF(X87="",0,CEILING((X87/$H87),1)*$H87),"")</f>
        <v>31.5</v>
      </c>
      <c r="Z87" s="36">
        <f>IFERROR(IF(Y87=0,"",ROUNDUP(Y87/H87,0)*0.00902),"")</f>
        <v>6.3140000000000002E-2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30.224444444444448</v>
      </c>
      <c r="BN87" s="64">
        <f>IFERROR(Y87*I87/H87,"0")</f>
        <v>32.830000000000005</v>
      </c>
      <c r="BO87" s="64">
        <f>IFERROR(1/J87*(X87/H87),"0")</f>
        <v>4.8821548821548821E-2</v>
      </c>
      <c r="BP87" s="64">
        <f>IFERROR(1/J87*(Y87/H87),"0")</f>
        <v>5.3030303030303032E-2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9.9629629629629619</v>
      </c>
      <c r="Y88" s="543">
        <f>IFERROR(Y85/H85,"0")+IFERROR(Y86/H86,"0")+IFERROR(Y87/H87,"0")</f>
        <v>11</v>
      </c>
      <c r="Z88" s="543">
        <f>IFERROR(IF(Z85="",0,Z85),"0")+IFERROR(IF(Z86="",0,Z86),"0")+IFERROR(IF(Z87="",0,Z87),"0")</f>
        <v>0.13906000000000002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67</v>
      </c>
      <c r="Y89" s="543">
        <f>IFERROR(SUM(Y85:Y87),"0")</f>
        <v>74.7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139</v>
      </c>
      <c r="Y91" s="542">
        <f>IFERROR(IF(X91="",0,CEILING((X91/$H91),1)*$H91),"")</f>
        <v>145.79999999999998</v>
      </c>
      <c r="Z91" s="36">
        <f>IFERROR(IF(Y91=0,"",ROUNDUP(Y91/H91,0)*0.01898),"")</f>
        <v>0.34164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147.47728395061731</v>
      </c>
      <c r="BN91" s="64">
        <f>IFERROR(Y91*I91/H91,"0")</f>
        <v>154.69199999999998</v>
      </c>
      <c r="BO91" s="64">
        <f>IFERROR(1/J91*(X91/H91),"0")</f>
        <v>0.26813271604938271</v>
      </c>
      <c r="BP91" s="64">
        <f>IFERROR(1/J91*(Y91/H91),"0")</f>
        <v>0.28125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46</v>
      </c>
      <c r="Y93" s="542">
        <f>IFERROR(IF(X93="",0,CEILING((X93/$H93),1)*$H93),"")</f>
        <v>48.6</v>
      </c>
      <c r="Z93" s="36">
        <f>IFERROR(IF(Y93=0,"",ROUNDUP(Y93/H93,0)*0.00651),"")</f>
        <v>0.11718000000000001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50.293333333333329</v>
      </c>
      <c r="BN93" s="64">
        <f>IFERROR(Y93*I93/H93,"0")</f>
        <v>53.135999999999996</v>
      </c>
      <c r="BO93" s="64">
        <f>IFERROR(1/J93*(X93/H93),"0")</f>
        <v>9.3610093610093606E-2</v>
      </c>
      <c r="BP93" s="64">
        <f>IFERROR(1/J93*(Y93/H93),"0")</f>
        <v>9.8901098901098911E-2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34.197530864197532</v>
      </c>
      <c r="Y95" s="543">
        <f>IFERROR(Y91/H91,"0")+IFERROR(Y92/H92,"0")+IFERROR(Y93/H93,"0")+IFERROR(Y94/H94,"0")</f>
        <v>36</v>
      </c>
      <c r="Z95" s="543">
        <f>IFERROR(IF(Z91="",0,Z91),"0")+IFERROR(IF(Z92="",0,Z92),"0")+IFERROR(IF(Z93="",0,Z93),"0")+IFERROR(IF(Z94="",0,Z94),"0")</f>
        <v>0.45882000000000001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185</v>
      </c>
      <c r="Y96" s="543">
        <f>IFERROR(SUM(Y91:Y94),"0")</f>
        <v>194.39999999999998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96</v>
      </c>
      <c r="Y99" s="542">
        <f>IFERROR(IF(X99="",0,CEILING((X99/$H99),1)*$H99),"")</f>
        <v>97.2</v>
      </c>
      <c r="Z99" s="36">
        <f>IFERROR(IF(Y99=0,"",ROUNDUP(Y99/H99,0)*0.01898),"")</f>
        <v>0.17082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99.644444444444446</v>
      </c>
      <c r="BN99" s="64">
        <f>IFERROR(Y99*I99/H99,"0")</f>
        <v>100.89</v>
      </c>
      <c r="BO99" s="64">
        <f>IFERROR(1/J99*(X99/H99),"0")</f>
        <v>0.13888888888888887</v>
      </c>
      <c r="BP99" s="64">
        <f>IFERROR(1/J99*(Y99/H99),"0")</f>
        <v>0.140625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8.8888888888888875</v>
      </c>
      <c r="Y103" s="543">
        <f>IFERROR(Y99/H99,"0")+IFERROR(Y100/H100,"0")+IFERROR(Y101/H101,"0")+IFERROR(Y102/H102,"0")</f>
        <v>9</v>
      </c>
      <c r="Z103" s="543">
        <f>IFERROR(IF(Z99="",0,Z99),"0")+IFERROR(IF(Z100="",0,Z100),"0")+IFERROR(IF(Z101="",0,Z101),"0")+IFERROR(IF(Z102="",0,Z102),"0")</f>
        <v>0.17082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96</v>
      </c>
      <c r="Y104" s="543">
        <f>IFERROR(SUM(Y99:Y102),"0")</f>
        <v>97.2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23</v>
      </c>
      <c r="Y108" s="542">
        <f>IFERROR(IF(X108="",0,CEILING((X108/$H108),1)*$H108),"")</f>
        <v>24</v>
      </c>
      <c r="Z108" s="36">
        <f>IFERROR(IF(Y108=0,"",ROUNDUP(Y108/H108,0)*0.00651),"")</f>
        <v>6.5100000000000005E-2</v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24.725000000000001</v>
      </c>
      <c r="BN108" s="64">
        <f>IFERROR(Y108*I108/H108,"0")</f>
        <v>25.8</v>
      </c>
      <c r="BO108" s="64">
        <f>IFERROR(1/J108*(X108/H108),"0")</f>
        <v>5.2655677655677663E-2</v>
      </c>
      <c r="BP108" s="64">
        <f>IFERROR(1/J108*(Y108/H108),"0")</f>
        <v>5.4945054945054951E-2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9.5833333333333339</v>
      </c>
      <c r="Y109" s="543">
        <f>IFERROR(Y106/H106,"0")+IFERROR(Y107/H107,"0")+IFERROR(Y108/H108,"0")</f>
        <v>10</v>
      </c>
      <c r="Z109" s="543">
        <f>IFERROR(IF(Z106="",0,Z106),"0")+IFERROR(IF(Z107="",0,Z107),"0")+IFERROR(IF(Z108="",0,Z108),"0")</f>
        <v>6.5100000000000005E-2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23</v>
      </c>
      <c r="Y110" s="543">
        <f>IFERROR(SUM(Y106:Y108),"0")</f>
        <v>24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54</v>
      </c>
      <c r="Y112" s="542">
        <f>IFERROR(IF(X112="",0,CEILING((X112/$H112),1)*$H112),"")</f>
        <v>56.699999999999996</v>
      </c>
      <c r="Z112" s="36">
        <f>IFERROR(IF(Y112=0,"",ROUNDUP(Y112/H112,0)*0.01898),"")</f>
        <v>0.13286000000000001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57.25333333333333</v>
      </c>
      <c r="BN112" s="64">
        <f>IFERROR(Y112*I112/H112,"0")</f>
        <v>60.115999999999993</v>
      </c>
      <c r="BO112" s="64">
        <f>IFERROR(1/J112*(X112/H112),"0")</f>
        <v>0.10416666666666667</v>
      </c>
      <c r="BP112" s="64">
        <f>IFERROR(1/J112*(Y112/H112),"0")</f>
        <v>0.109375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63</v>
      </c>
      <c r="Y114" s="542">
        <f>IFERROR(IF(X114="",0,CEILING((X114/$H114),1)*$H114),"")</f>
        <v>64.800000000000011</v>
      </c>
      <c r="Z114" s="36">
        <f>IFERROR(IF(Y114=0,"",ROUNDUP(Y114/H114,0)*0.00651),"")</f>
        <v>0.15623999999999999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68.88</v>
      </c>
      <c r="BN114" s="64">
        <f>IFERROR(Y114*I114/H114,"0")</f>
        <v>70.848000000000013</v>
      </c>
      <c r="BO114" s="64">
        <f>IFERROR(1/J114*(X114/H114),"0")</f>
        <v>0.12820512820512822</v>
      </c>
      <c r="BP114" s="64">
        <f>IFERROR(1/J114*(Y114/H114),"0")</f>
        <v>0.1318681318681319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30</v>
      </c>
      <c r="Y116" s="543">
        <f>IFERROR(Y112/H112,"0")+IFERROR(Y113/H113,"0")+IFERROR(Y114/H114,"0")+IFERROR(Y115/H115,"0")</f>
        <v>31.000000000000004</v>
      </c>
      <c r="Z116" s="543">
        <f>IFERROR(IF(Z112="",0,Z112),"0")+IFERROR(IF(Z113="",0,Z113),"0")+IFERROR(IF(Z114="",0,Z114),"0")+IFERROR(IF(Z115="",0,Z115),"0")</f>
        <v>0.28910000000000002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117</v>
      </c>
      <c r="Y117" s="543">
        <f>IFERROR(SUM(Y112:Y115),"0")</f>
        <v>121.5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77</v>
      </c>
      <c r="Y163" s="542">
        <f t="shared" si="5"/>
        <v>79.8</v>
      </c>
      <c r="Z163" s="36">
        <f>IFERROR(IF(Y163=0,"",ROUNDUP(Y163/H163,0)*0.00902),"")</f>
        <v>0.17138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81.583333333333343</v>
      </c>
      <c r="BN163" s="64">
        <f t="shared" si="7"/>
        <v>84.55</v>
      </c>
      <c r="BO163" s="64">
        <f t="shared" si="8"/>
        <v>0.1388888888888889</v>
      </c>
      <c r="BP163" s="64">
        <f t="shared" si="9"/>
        <v>0.14393939393939395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21</v>
      </c>
      <c r="Y165" s="542">
        <f t="shared" si="5"/>
        <v>21</v>
      </c>
      <c r="Z165" s="36">
        <f>IFERROR(IF(Y165=0,"",ROUNDUP(Y165/H165,0)*0.00902),"")</f>
        <v>4.5100000000000001E-2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21.95</v>
      </c>
      <c r="BN165" s="64">
        <f t="shared" si="7"/>
        <v>21.95</v>
      </c>
      <c r="BO165" s="64">
        <f t="shared" si="8"/>
        <v>3.787878787878788E-2</v>
      </c>
      <c r="BP165" s="64">
        <f t="shared" si="9"/>
        <v>3.787878787878788E-2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48</v>
      </c>
      <c r="Y166" s="542">
        <f t="shared" si="5"/>
        <v>48.300000000000004</v>
      </c>
      <c r="Z166" s="36">
        <f>IFERROR(IF(Y166=0,"",ROUNDUP(Y166/H166,0)*0.00502),"")</f>
        <v>0.11546000000000001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50.971428571428568</v>
      </c>
      <c r="BN166" s="64">
        <f t="shared" si="7"/>
        <v>51.29</v>
      </c>
      <c r="BO166" s="64">
        <f t="shared" si="8"/>
        <v>9.7680097680097694E-2</v>
      </c>
      <c r="BP166" s="64">
        <f t="shared" si="9"/>
        <v>9.8290598290598302E-2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2</v>
      </c>
      <c r="Y168" s="542">
        <f t="shared" si="5"/>
        <v>3.6</v>
      </c>
      <c r="Z168" s="36">
        <f>IFERROR(IF(Y168=0,"",ROUNDUP(Y168/H168,0)*0.00502),"")</f>
        <v>1.004E-2</v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2.1444444444444444</v>
      </c>
      <c r="BN168" s="64">
        <f t="shared" si="7"/>
        <v>3.8599999999999994</v>
      </c>
      <c r="BO168" s="64">
        <f t="shared" si="8"/>
        <v>4.7483380816714157E-3</v>
      </c>
      <c r="BP168" s="64">
        <f t="shared" si="9"/>
        <v>8.5470085470085479E-3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29</v>
      </c>
      <c r="Y169" s="542">
        <f t="shared" si="5"/>
        <v>29.400000000000002</v>
      </c>
      <c r="Z169" s="36">
        <f>IFERROR(IF(Y169=0,"",ROUNDUP(Y169/H169,0)*0.00502),"")</f>
        <v>7.0280000000000009E-2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30.380952380952383</v>
      </c>
      <c r="BN169" s="64">
        <f t="shared" si="7"/>
        <v>30.8</v>
      </c>
      <c r="BO169" s="64">
        <f t="shared" si="8"/>
        <v>5.9015059015059018E-2</v>
      </c>
      <c r="BP169" s="64">
        <f t="shared" si="9"/>
        <v>5.9829059829059839E-2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61.111111111111114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63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0.41226000000000002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177</v>
      </c>
      <c r="Y173" s="543">
        <f>IFERROR(SUM(Y162:Y171),"0")</f>
        <v>182.1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186</v>
      </c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181</v>
      </c>
      <c r="Y196" s="542">
        <f t="shared" ref="Y196:Y203" si="10">IFERROR(IF(X196="",0,CEILING((X196/$H196),1)*$H196),"")</f>
        <v>183.60000000000002</v>
      </c>
      <c r="Z196" s="36">
        <f>IFERROR(IF(Y196=0,"",ROUNDUP(Y196/H196,0)*0.00902),"")</f>
        <v>0.30668000000000001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187.3685185185185</v>
      </c>
      <c r="BN196" s="64">
        <f t="shared" ref="BN196:BN203" si="12">IFERROR(Y196*I196/H196,"0")</f>
        <v>190.06</v>
      </c>
      <c r="BO196" s="64">
        <f t="shared" ref="BO196:BO203" si="13">IFERROR(1/J196*(X196/H196),"0")</f>
        <v>0.2539281705948373</v>
      </c>
      <c r="BP196" s="64">
        <f t="shared" ref="BP196:BP203" si="14">IFERROR(1/J196*(Y196/H196),"0")</f>
        <v>0.25757575757575757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92</v>
      </c>
      <c r="Y197" s="542">
        <f t="shared" si="10"/>
        <v>97.2</v>
      </c>
      <c r="Z197" s="36">
        <f>IFERROR(IF(Y197=0,"",ROUNDUP(Y197/H197,0)*0.00902),"")</f>
        <v>0.16236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95.237037037037027</v>
      </c>
      <c r="BN197" s="64">
        <f t="shared" si="12"/>
        <v>100.61999999999999</v>
      </c>
      <c r="BO197" s="64">
        <f t="shared" si="13"/>
        <v>0.12906846240179573</v>
      </c>
      <c r="BP197" s="64">
        <f t="shared" si="14"/>
        <v>0.13636363636363635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158</v>
      </c>
      <c r="Y199" s="542">
        <f t="shared" si="10"/>
        <v>162</v>
      </c>
      <c r="Z199" s="36">
        <f>IFERROR(IF(Y199=0,"",ROUNDUP(Y199/H199,0)*0.00902),"")</f>
        <v>0.27060000000000001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163.55925925925925</v>
      </c>
      <c r="BN199" s="64">
        <f t="shared" si="12"/>
        <v>167.7</v>
      </c>
      <c r="BO199" s="64">
        <f t="shared" si="13"/>
        <v>0.22166105499438832</v>
      </c>
      <c r="BP199" s="64">
        <f t="shared" si="14"/>
        <v>0.22727272727272727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17</v>
      </c>
      <c r="Y200" s="542">
        <f t="shared" si="10"/>
        <v>18</v>
      </c>
      <c r="Z200" s="36">
        <f>IFERROR(IF(Y200=0,"",ROUNDUP(Y200/H200,0)*0.00502),"")</f>
        <v>5.0200000000000002E-2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18.227777777777778</v>
      </c>
      <c r="BN200" s="64">
        <f t="shared" si="12"/>
        <v>19.3</v>
      </c>
      <c r="BO200" s="64">
        <f t="shared" si="13"/>
        <v>4.0360873694207031E-2</v>
      </c>
      <c r="BP200" s="64">
        <f t="shared" si="14"/>
        <v>4.2735042735042736E-2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7</v>
      </c>
      <c r="Y201" s="542">
        <f t="shared" si="10"/>
        <v>7.2</v>
      </c>
      <c r="Z201" s="36">
        <f>IFERROR(IF(Y201=0,"",ROUNDUP(Y201/H201,0)*0.00502),"")</f>
        <v>2.0080000000000001E-2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7.3888888888888884</v>
      </c>
      <c r="BN201" s="64">
        <f t="shared" si="12"/>
        <v>7.6</v>
      </c>
      <c r="BO201" s="64">
        <f t="shared" si="13"/>
        <v>1.6619183285849954E-2</v>
      </c>
      <c r="BP201" s="64">
        <f t="shared" si="14"/>
        <v>1.7094017094017096E-2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17</v>
      </c>
      <c r="Y203" s="542">
        <f t="shared" si="10"/>
        <v>18</v>
      </c>
      <c r="Z203" s="36">
        <f>IFERROR(IF(Y203=0,"",ROUNDUP(Y203/H203,0)*0.00502),"")</f>
        <v>5.0200000000000002E-2</v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17.944444444444443</v>
      </c>
      <c r="BN203" s="64">
        <f t="shared" si="12"/>
        <v>18.999999999999996</v>
      </c>
      <c r="BO203" s="64">
        <f t="shared" si="13"/>
        <v>4.0360873694207031E-2</v>
      </c>
      <c r="BP203" s="64">
        <f t="shared" si="14"/>
        <v>4.2735042735042736E-2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102.59259259259258</v>
      </c>
      <c r="Y204" s="543">
        <f>IFERROR(Y196/H196,"0")+IFERROR(Y197/H197,"0")+IFERROR(Y198/H198,"0")+IFERROR(Y199/H199,"0")+IFERROR(Y200/H200,"0")+IFERROR(Y201/H201,"0")+IFERROR(Y202/H202,"0")+IFERROR(Y203/H203,"0")</f>
        <v>106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0.86012000000000011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472</v>
      </c>
      <c r="Y205" s="543">
        <f>IFERROR(SUM(Y196:Y203),"0")</f>
        <v>486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30</v>
      </c>
      <c r="Y207" s="542">
        <f t="shared" ref="Y207:Y215" si="15">IFERROR(IF(X207="",0,CEILING((X207/$H207),1)*$H207),"")</f>
        <v>32.4</v>
      </c>
      <c r="Z207" s="36">
        <f>IFERROR(IF(Y207=0,"",ROUNDUP(Y207/H207,0)*0.01898),"")</f>
        <v>7.5920000000000001E-2</v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31.829629629629629</v>
      </c>
      <c r="BN207" s="64">
        <f t="shared" ref="BN207:BN215" si="17">IFERROR(Y207*I207/H207,"0")</f>
        <v>34.375999999999998</v>
      </c>
      <c r="BO207" s="64">
        <f t="shared" ref="BO207:BO215" si="18">IFERROR(1/J207*(X207/H207),"0")</f>
        <v>5.7870370370370371E-2</v>
      </c>
      <c r="BP207" s="64">
        <f t="shared" ref="BP207:BP215" si="19">IFERROR(1/J207*(Y207/H207),"0")</f>
        <v>6.25E-2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32</v>
      </c>
      <c r="Y208" s="542">
        <f t="shared" si="15"/>
        <v>32.4</v>
      </c>
      <c r="Z208" s="36">
        <f>IFERROR(IF(Y208=0,"",ROUNDUP(Y208/H208,0)*0.01898),"")</f>
        <v>7.5920000000000001E-2</v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33.8804938271605</v>
      </c>
      <c r="BN208" s="64">
        <f t="shared" si="17"/>
        <v>34.304000000000002</v>
      </c>
      <c r="BO208" s="64">
        <f t="shared" si="18"/>
        <v>6.1728395061728399E-2</v>
      </c>
      <c r="BP208" s="64">
        <f t="shared" si="19"/>
        <v>6.25E-2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51</v>
      </c>
      <c r="Y210" s="542">
        <f t="shared" si="15"/>
        <v>52.8</v>
      </c>
      <c r="Z210" s="36">
        <f t="shared" ref="Z210:Z215" si="20">IFERROR(IF(Y210=0,"",ROUNDUP(Y210/H210,0)*0.00651),"")</f>
        <v>0.14322000000000001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56.737499999999997</v>
      </c>
      <c r="BN210" s="64">
        <f t="shared" si="17"/>
        <v>58.74</v>
      </c>
      <c r="BO210" s="64">
        <f t="shared" si="18"/>
        <v>0.11675824175824177</v>
      </c>
      <c r="BP210" s="64">
        <f t="shared" si="19"/>
        <v>0.12087912087912089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152</v>
      </c>
      <c r="Y212" s="542">
        <f t="shared" si="15"/>
        <v>153.6</v>
      </c>
      <c r="Z212" s="36">
        <f t="shared" si="20"/>
        <v>0.41664000000000001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167.96000000000004</v>
      </c>
      <c r="BN212" s="64">
        <f t="shared" si="17"/>
        <v>169.72800000000001</v>
      </c>
      <c r="BO212" s="64">
        <f t="shared" si="18"/>
        <v>0.34798534798534803</v>
      </c>
      <c r="BP212" s="64">
        <f t="shared" si="19"/>
        <v>0.35164835164835168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33</v>
      </c>
      <c r="Y213" s="542">
        <f t="shared" si="15"/>
        <v>33.6</v>
      </c>
      <c r="Z213" s="36">
        <f t="shared" si="20"/>
        <v>9.1139999999999999E-2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36.465000000000003</v>
      </c>
      <c r="BN213" s="64">
        <f t="shared" si="17"/>
        <v>37.128000000000007</v>
      </c>
      <c r="BO213" s="64">
        <f t="shared" si="18"/>
        <v>7.5549450549450559E-2</v>
      </c>
      <c r="BP213" s="64">
        <f t="shared" si="19"/>
        <v>7.6923076923076941E-2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47</v>
      </c>
      <c r="Y214" s="542">
        <f t="shared" si="15"/>
        <v>48</v>
      </c>
      <c r="Z214" s="36">
        <f t="shared" si="20"/>
        <v>0.13020000000000001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51.935000000000002</v>
      </c>
      <c r="BN214" s="64">
        <f t="shared" si="17"/>
        <v>53.040000000000006</v>
      </c>
      <c r="BO214" s="64">
        <f t="shared" si="18"/>
        <v>0.10760073260073262</v>
      </c>
      <c r="BP214" s="64">
        <f t="shared" si="19"/>
        <v>0.1098901098901099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61</v>
      </c>
      <c r="Y215" s="542">
        <f t="shared" si="15"/>
        <v>62.4</v>
      </c>
      <c r="Z215" s="36">
        <f t="shared" si="20"/>
        <v>0.16925999999999999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67.557500000000005</v>
      </c>
      <c r="BN215" s="64">
        <f t="shared" si="17"/>
        <v>69.108000000000004</v>
      </c>
      <c r="BO215" s="64">
        <f t="shared" si="18"/>
        <v>0.13965201465201468</v>
      </c>
      <c r="BP215" s="64">
        <f t="shared" si="19"/>
        <v>0.14285714285714288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150.98765432098764</v>
      </c>
      <c r="Y216" s="543">
        <f>IFERROR(Y207/H207,"0")+IFERROR(Y208/H208,"0")+IFERROR(Y209/H209,"0")+IFERROR(Y210/H210,"0")+IFERROR(Y211/H211,"0")+IFERROR(Y212/H212,"0")+IFERROR(Y213/H213,"0")+IFERROR(Y214/H214,"0")+IFERROR(Y215/H215,"0")</f>
        <v>154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1.1023000000000001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406</v>
      </c>
      <c r="Y217" s="543">
        <f>IFERROR(SUM(Y207:Y215),"0")</f>
        <v>415.2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186</v>
      </c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53</v>
      </c>
      <c r="Y220" s="542">
        <f>IFERROR(IF(X220="",0,CEILING((X220/$H220),1)*$H220),"")</f>
        <v>55.199999999999996</v>
      </c>
      <c r="Z220" s="36">
        <f>IFERROR(IF(Y220=0,"",ROUNDUP(Y220/H220,0)*0.00651),"")</f>
        <v>0.14973</v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58.565000000000005</v>
      </c>
      <c r="BN220" s="64">
        <f>IFERROR(Y220*I220/H220,"0")</f>
        <v>60.996000000000002</v>
      </c>
      <c r="BO220" s="64">
        <f>IFERROR(1/J220*(X220/H220),"0")</f>
        <v>0.12133699633699636</v>
      </c>
      <c r="BP220" s="64">
        <f>IFERROR(1/J220*(Y220/H220),"0")</f>
        <v>0.1263736263736264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22.083333333333336</v>
      </c>
      <c r="Y221" s="543">
        <f>IFERROR(Y219/H219,"0")+IFERROR(Y220/H220,"0")</f>
        <v>23</v>
      </c>
      <c r="Z221" s="543">
        <f>IFERROR(IF(Z219="",0,Z219),"0")+IFERROR(IF(Z220="",0,Z220),"0")</f>
        <v>0.14973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53</v>
      </c>
      <c r="Y222" s="543">
        <f>IFERROR(SUM(Y219:Y220),"0")</f>
        <v>55.199999999999996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14</v>
      </c>
      <c r="Y225" s="542">
        <f t="shared" ref="Y225:Y234" si="21">IFERROR(IF(X225="",0,CEILING((X225/$H225),1)*$H225),"")</f>
        <v>23.2</v>
      </c>
      <c r="Z225" s="36">
        <f>IFERROR(IF(Y225=0,"",ROUNDUP(Y225/H225,0)*0.01898),"")</f>
        <v>3.7960000000000001E-2</v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14.494827586206895</v>
      </c>
      <c r="BN225" s="64">
        <f t="shared" ref="BN225:BN234" si="23">IFERROR(Y225*I225/H225,"0")</f>
        <v>24.02</v>
      </c>
      <c r="BO225" s="64">
        <f t="shared" ref="BO225:BO234" si="24">IFERROR(1/J225*(X225/H225),"0")</f>
        <v>1.8857758620689655E-2</v>
      </c>
      <c r="BP225" s="64">
        <f t="shared" ref="BP225:BP234" si="25">IFERROR(1/J225*(Y225/H225),"0")</f>
        <v>3.125E-2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1.2068965517241379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2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3.7960000000000001E-2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14</v>
      </c>
      <c r="Y236" s="543">
        <f>IFERROR(SUM(Y225:Y234),"0")</f>
        <v>23.2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1</v>
      </c>
      <c r="Y250" s="542">
        <f>IFERROR(IF(X250="",0,CEILING((X250/$H250),1)*$H250),"")</f>
        <v>1.98</v>
      </c>
      <c r="Z250" s="36">
        <f>IFERROR(IF(Y250=0,"",ROUNDUP(Y250/H250,0)*0.0059),"")</f>
        <v>1.18E-2</v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1.1919191919191918</v>
      </c>
      <c r="BN250" s="64">
        <f>IFERROR(Y250*I250/H250,"0")</f>
        <v>2.36</v>
      </c>
      <c r="BO250" s="64">
        <f>IFERROR(1/J250*(X250/H250),"0")</f>
        <v>4.6763935652824546E-3</v>
      </c>
      <c r="BP250" s="64">
        <f>IFERROR(1/J250*(Y250/H250),"0")</f>
        <v>9.2592592592592587E-3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1.0101010101010102</v>
      </c>
      <c r="Y251" s="543">
        <f>IFERROR(Y246/H246,"0")+IFERROR(Y247/H247,"0")+IFERROR(Y248/H248,"0")+IFERROR(Y249/H249,"0")+IFERROR(Y250/H250,"0")</f>
        <v>2</v>
      </c>
      <c r="Z251" s="543">
        <f>IFERROR(IF(Z246="",0,Z246),"0")+IFERROR(IF(Z247="",0,Z247),"0")+IFERROR(IF(Z248="",0,Z248),"0")+IFERROR(IF(Z249="",0,Z249),"0")+IFERROR(IF(Z250="",0,Z250),"0")</f>
        <v>1.18E-2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1</v>
      </c>
      <c r="Y252" s="543">
        <f>IFERROR(SUM(Y246:Y250),"0")</f>
        <v>1.98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39</v>
      </c>
      <c r="Y273" s="542">
        <f>IFERROR(IF(X273="",0,CEILING((X273/$H273),1)*$H273),"")</f>
        <v>40.799999999999997</v>
      </c>
      <c r="Z273" s="36">
        <f>IFERROR(IF(Y273=0,"",ROUNDUP(Y273/H273,0)*0.00651),"")</f>
        <v>0.11067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43.095000000000006</v>
      </c>
      <c r="BN273" s="64">
        <f>IFERROR(Y273*I273/H273,"0")</f>
        <v>45.084000000000003</v>
      </c>
      <c r="BO273" s="64">
        <f>IFERROR(1/J273*(X273/H273),"0")</f>
        <v>8.9285714285714288E-2</v>
      </c>
      <c r="BP273" s="64">
        <f>IFERROR(1/J273*(Y273/H273),"0")</f>
        <v>9.3406593406593408E-2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44</v>
      </c>
      <c r="Y274" s="542">
        <f>IFERROR(IF(X274="",0,CEILING((X274/$H274),1)*$H274),"")</f>
        <v>45.6</v>
      </c>
      <c r="Z274" s="36">
        <f>IFERROR(IF(Y274=0,"",ROUNDUP(Y274/H274,0)*0.00651),"")</f>
        <v>0.12369000000000001</v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47.300000000000004</v>
      </c>
      <c r="BN274" s="64">
        <f>IFERROR(Y274*I274/H274,"0")</f>
        <v>49.02</v>
      </c>
      <c r="BO274" s="64">
        <f>IFERROR(1/J274*(X274/H274),"0")</f>
        <v>0.10073260073260075</v>
      </c>
      <c r="BP274" s="64">
        <f>IFERROR(1/J274*(Y274/H274),"0")</f>
        <v>0.1043956043956044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34.583333333333336</v>
      </c>
      <c r="Y275" s="543">
        <f>IFERROR(Y272/H272,"0")+IFERROR(Y273/H273,"0")+IFERROR(Y274/H274,"0")</f>
        <v>36</v>
      </c>
      <c r="Z275" s="543">
        <f>IFERROR(IF(Z272="",0,Z272),"0")+IFERROR(IF(Z273="",0,Z273),"0")+IFERROR(IF(Z274="",0,Z274),"0")</f>
        <v>0.23436000000000001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83</v>
      </c>
      <c r="Y276" s="543">
        <f>IFERROR(SUM(Y272:Y274),"0")</f>
        <v>86.4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7</v>
      </c>
      <c r="Y315" s="542">
        <f>IFERROR(IF(X315="",0,CEILING((X315/$H315),1)*$H315),"")</f>
        <v>8.4</v>
      </c>
      <c r="Z315" s="36">
        <f>IFERROR(IF(Y315=0,"",ROUNDUP(Y315/H315,0)*0.01898),"")</f>
        <v>1.898E-2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7.4116666666666671</v>
      </c>
      <c r="BN315" s="64">
        <f>IFERROR(Y315*I315/H315,"0")</f>
        <v>8.8940000000000001</v>
      </c>
      <c r="BO315" s="64">
        <f>IFERROR(1/J315*(X315/H315),"0")</f>
        <v>1.3020833333333332E-2</v>
      </c>
      <c r="BP315" s="64">
        <f>IFERROR(1/J315*(Y315/H315),"0")</f>
        <v>1.5625E-2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23</v>
      </c>
      <c r="Y316" s="542">
        <f>IFERROR(IF(X316="",0,CEILING((X316/$H316),1)*$H316),"")</f>
        <v>23.4</v>
      </c>
      <c r="Z316" s="36">
        <f>IFERROR(IF(Y316=0,"",ROUNDUP(Y316/H316,0)*0.01898),"")</f>
        <v>5.6940000000000004E-2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24.456666666666667</v>
      </c>
      <c r="BN316" s="64">
        <f>IFERROR(Y316*I316/H316,"0")</f>
        <v>24.882000000000001</v>
      </c>
      <c r="BO316" s="64">
        <f>IFERROR(1/J316*(X316/H316),"0")</f>
        <v>4.6073717948717952E-2</v>
      </c>
      <c r="BP316" s="64">
        <f>IFERROR(1/J316*(Y316/H316),"0")</f>
        <v>4.6875E-2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14</v>
      </c>
      <c r="Y317" s="542">
        <f>IFERROR(IF(X317="",0,CEILING((X317/$H317),1)*$H317),"")</f>
        <v>16.8</v>
      </c>
      <c r="Z317" s="36">
        <f>IFERROR(IF(Y317=0,"",ROUNDUP(Y317/H317,0)*0.01898),"")</f>
        <v>3.7960000000000001E-2</v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14.823333333333334</v>
      </c>
      <c r="BN317" s="64">
        <f>IFERROR(Y317*I317/H317,"0")</f>
        <v>17.788</v>
      </c>
      <c r="BO317" s="64">
        <f>IFERROR(1/J317*(X317/H317),"0")</f>
        <v>2.6041666666666664E-2</v>
      </c>
      <c r="BP317" s="64">
        <f>IFERROR(1/J317*(Y317/H317),"0")</f>
        <v>3.125E-2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5.4487179487179489</v>
      </c>
      <c r="Y318" s="543">
        <f>IFERROR(Y315/H315,"0")+IFERROR(Y316/H316,"0")+IFERROR(Y317/H317,"0")</f>
        <v>6</v>
      </c>
      <c r="Z318" s="543">
        <f>IFERROR(IF(Z315="",0,Z315),"0")+IFERROR(IF(Z316="",0,Z316),"0")+IFERROR(IF(Z317="",0,Z317),"0")</f>
        <v>0.11388000000000001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44</v>
      </c>
      <c r="Y319" s="543">
        <f>IFERROR(SUM(Y315:Y317),"0")</f>
        <v>48.599999999999994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9</v>
      </c>
      <c r="Y324" s="542">
        <f>IFERROR(IF(X324="",0,CEILING((X324/$H324),1)*$H324),"")</f>
        <v>10.199999999999999</v>
      </c>
      <c r="Z324" s="36">
        <f>IFERROR(IF(Y324=0,"",ROUNDUP(Y324/H324,0)*0.00651),"")</f>
        <v>2.6040000000000001E-2</v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10.164705882352941</v>
      </c>
      <c r="BN324" s="64">
        <f>IFERROR(Y324*I324/H324,"0")</f>
        <v>11.52</v>
      </c>
      <c r="BO324" s="64">
        <f>IFERROR(1/J324*(X324/H324),"0")</f>
        <v>1.9392372333548808E-2</v>
      </c>
      <c r="BP324" s="64">
        <f>IFERROR(1/J324*(Y324/H324),"0")</f>
        <v>2.197802197802198E-2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3.5294117647058827</v>
      </c>
      <c r="Y325" s="543">
        <f>IFERROR(Y321/H321,"0")+IFERROR(Y322/H322,"0")+IFERROR(Y323/H323,"0")+IFERROR(Y324/H324,"0")</f>
        <v>4</v>
      </c>
      <c r="Z325" s="543">
        <f>IFERROR(IF(Z321="",0,Z321),"0")+IFERROR(IF(Z322="",0,Z322),"0")+IFERROR(IF(Z323="",0,Z323),"0")+IFERROR(IF(Z324="",0,Z324),"0")</f>
        <v>2.6040000000000001E-2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9</v>
      </c>
      <c r="Y326" s="543">
        <f>IFERROR(SUM(Y321:Y324),"0")</f>
        <v>10.199999999999999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186</v>
      </c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1018</v>
      </c>
      <c r="Y343" s="542">
        <f t="shared" ref="Y343:Y349" si="31">IFERROR(IF(X343="",0,CEILING((X343/$H343),1)*$H343),"")</f>
        <v>1020</v>
      </c>
      <c r="Z343" s="36">
        <f>IFERROR(IF(Y343=0,"",ROUNDUP(Y343/H343,0)*0.02175),"")</f>
        <v>1.4789999999999999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1049.8973333333333</v>
      </c>
      <c r="BN343" s="64">
        <f t="shared" ref="BN343:BN349" si="33">IFERROR(Y343*I343/H343,"0")</f>
        <v>1051.96</v>
      </c>
      <c r="BO343" s="64">
        <f t="shared" ref="BO343:BO349" si="34">IFERROR(1/J343*(X343/H343),"0")</f>
        <v>1.4138888888888888</v>
      </c>
      <c r="BP343" s="64">
        <f t="shared" ref="BP343:BP349" si="35">IFERROR(1/J343*(Y343/H343),"0")</f>
        <v>1.4166666666666665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343</v>
      </c>
      <c r="Y344" s="542">
        <f t="shared" si="31"/>
        <v>345</v>
      </c>
      <c r="Z344" s="36">
        <f>IFERROR(IF(Y344=0,"",ROUNDUP(Y344/H344,0)*0.02175),"")</f>
        <v>0.50024999999999997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353.74733333333336</v>
      </c>
      <c r="BN344" s="64">
        <f t="shared" si="33"/>
        <v>355.81000000000006</v>
      </c>
      <c r="BO344" s="64">
        <f t="shared" si="34"/>
        <v>0.47638888888888886</v>
      </c>
      <c r="BP344" s="64">
        <f t="shared" si="35"/>
        <v>0.47916666666666663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363</v>
      </c>
      <c r="Y345" s="542">
        <f t="shared" si="31"/>
        <v>375</v>
      </c>
      <c r="Z345" s="36">
        <f>IFERROR(IF(Y345=0,"",ROUNDUP(Y345/H345,0)*0.02175),"")</f>
        <v>0.54374999999999996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374.37400000000002</v>
      </c>
      <c r="BN345" s="64">
        <f t="shared" si="33"/>
        <v>386.75</v>
      </c>
      <c r="BO345" s="64">
        <f t="shared" si="34"/>
        <v>0.50416666666666665</v>
      </c>
      <c r="BP345" s="64">
        <f t="shared" si="35"/>
        <v>0.52083333333333326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289</v>
      </c>
      <c r="Y346" s="542">
        <f t="shared" si="31"/>
        <v>300</v>
      </c>
      <c r="Z346" s="36">
        <f>IFERROR(IF(Y346=0,"",ROUNDUP(Y346/H346,0)*0.02175),"")</f>
        <v>0.43499999999999994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298.05533333333335</v>
      </c>
      <c r="BN346" s="64">
        <f t="shared" si="33"/>
        <v>309.39999999999998</v>
      </c>
      <c r="BO346" s="64">
        <f t="shared" si="34"/>
        <v>0.40138888888888885</v>
      </c>
      <c r="BP346" s="64">
        <f t="shared" si="35"/>
        <v>0.41666666666666663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134.19999999999999</v>
      </c>
      <c r="Y350" s="543">
        <f>IFERROR(Y343/H343,"0")+IFERROR(Y344/H344,"0")+IFERROR(Y345/H345,"0")+IFERROR(Y346/H346,"0")+IFERROR(Y347/H347,"0")+IFERROR(Y348/H348,"0")+IFERROR(Y349/H349,"0")</f>
        <v>136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2.9579999999999997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2013</v>
      </c>
      <c r="Y351" s="543">
        <f>IFERROR(SUM(Y343:Y349),"0")</f>
        <v>2040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318</v>
      </c>
      <c r="Y353" s="542">
        <f>IFERROR(IF(X353="",0,CEILING((X353/$H353),1)*$H353),"")</f>
        <v>330</v>
      </c>
      <c r="Z353" s="36">
        <f>IFERROR(IF(Y353=0,"",ROUNDUP(Y353/H353,0)*0.02175),"")</f>
        <v>0.47849999999999998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327.964</v>
      </c>
      <c r="BN353" s="64">
        <f>IFERROR(Y353*I353/H353,"0")</f>
        <v>340.34000000000003</v>
      </c>
      <c r="BO353" s="64">
        <f>IFERROR(1/J353*(X353/H353),"0")</f>
        <v>0.44166666666666665</v>
      </c>
      <c r="BP353" s="64">
        <f>IFERROR(1/J353*(Y353/H353),"0")</f>
        <v>0.45833333333333331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21.2</v>
      </c>
      <c r="Y355" s="543">
        <f>IFERROR(Y353/H353,"0")+IFERROR(Y354/H354,"0")</f>
        <v>22</v>
      </c>
      <c r="Z355" s="543">
        <f>IFERROR(IF(Z353="",0,Z353),"0")+IFERROR(IF(Z354="",0,Z354),"0")</f>
        <v>0.47849999999999998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318</v>
      </c>
      <c r="Y356" s="543">
        <f>IFERROR(SUM(Y353:Y354),"0")</f>
        <v>330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72</v>
      </c>
      <c r="Y359" s="542">
        <f>IFERROR(IF(X359="",0,CEILING((X359/$H359),1)*$H359),"")</f>
        <v>72</v>
      </c>
      <c r="Z359" s="36">
        <f>IFERROR(IF(Y359=0,"",ROUNDUP(Y359/H359,0)*0.01898),"")</f>
        <v>0.15184</v>
      </c>
      <c r="AA359" s="56"/>
      <c r="AB359" s="57"/>
      <c r="AC359" s="411" t="s">
        <v>570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75.951999999999998</v>
      </c>
      <c r="BN359" s="64">
        <f>IFERROR(Y359*I359/H359,"0")</f>
        <v>75.951999999999998</v>
      </c>
      <c r="BO359" s="64">
        <f>IFERROR(1/J359*(X359/H359),"0")</f>
        <v>0.125</v>
      </c>
      <c r="BP359" s="64">
        <f>IFERROR(1/J359*(Y359/H359),"0")</f>
        <v>0.125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8</v>
      </c>
      <c r="Y360" s="543">
        <f>IFERROR(Y358/H358,"0")+IFERROR(Y359/H359,"0")</f>
        <v>8</v>
      </c>
      <c r="Z360" s="543">
        <f>IFERROR(IF(Z358="",0,Z358),"0")+IFERROR(IF(Z359="",0,Z359),"0")</f>
        <v>0.15184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72</v>
      </c>
      <c r="Y361" s="543">
        <f>IFERROR(SUM(Y358:Y359),"0")</f>
        <v>72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86</v>
      </c>
      <c r="Y363" s="542">
        <f>IFERROR(IF(X363="",0,CEILING((X363/$H363),1)*$H363),"")</f>
        <v>90</v>
      </c>
      <c r="Z363" s="36">
        <f>IFERROR(IF(Y363=0,"",ROUNDUP(Y363/H363,0)*0.01898),"")</f>
        <v>0.1898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90.720444444444439</v>
      </c>
      <c r="BN363" s="64">
        <f>IFERROR(Y363*I363/H363,"0")</f>
        <v>94.94</v>
      </c>
      <c r="BO363" s="64">
        <f>IFERROR(1/J363*(X363/H363),"0")</f>
        <v>0.14930555555555555</v>
      </c>
      <c r="BP363" s="64">
        <f>IFERROR(1/J363*(Y363/H363),"0")</f>
        <v>0.15625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9.5555555555555554</v>
      </c>
      <c r="Y364" s="543">
        <f>IFERROR(Y363/H363,"0")</f>
        <v>10</v>
      </c>
      <c r="Z364" s="543">
        <f>IFERROR(IF(Z363="",0,Z363),"0")</f>
        <v>0.1898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86</v>
      </c>
      <c r="Y365" s="543">
        <f>IFERROR(SUM(Y363:Y363),"0")</f>
        <v>90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235</v>
      </c>
      <c r="Y378" s="542">
        <f>IFERROR(IF(X378="",0,CEILING((X378/$H378),1)*$H378),"")</f>
        <v>243</v>
      </c>
      <c r="Z378" s="36">
        <f>IFERROR(IF(Y378=0,"",ROUNDUP(Y378/H378,0)*0.01898),"")</f>
        <v>0.51246000000000003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247.89888888888891</v>
      </c>
      <c r="BN378" s="64">
        <f>IFERROR(Y378*I378/H378,"0")</f>
        <v>256.33799999999997</v>
      </c>
      <c r="BO378" s="64">
        <f>IFERROR(1/J378*(X378/H378),"0")</f>
        <v>0.4079861111111111</v>
      </c>
      <c r="BP378" s="64">
        <f>IFERROR(1/J378*(Y378/H378),"0")</f>
        <v>0.421875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26.111111111111111</v>
      </c>
      <c r="Y380" s="543">
        <f>IFERROR(Y378/H378,"0")+IFERROR(Y379/H379,"0")</f>
        <v>27</v>
      </c>
      <c r="Z380" s="543">
        <f>IFERROR(IF(Z378="",0,Z378),"0")+IFERROR(IF(Z379="",0,Z379),"0")</f>
        <v>0.51246000000000003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235</v>
      </c>
      <c r="Y381" s="543">
        <f>IFERROR(SUM(Y378:Y379),"0")</f>
        <v>243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32</v>
      </c>
      <c r="Y385" s="542">
        <f t="shared" ref="Y385:Y393" si="36">IFERROR(IF(X385="",0,CEILING((X385/$H385),1)*$H385),"")</f>
        <v>32.400000000000006</v>
      </c>
      <c r="Z385" s="36">
        <f>IFERROR(IF(Y385=0,"",ROUNDUP(Y385/H385,0)*0.00902),"")</f>
        <v>5.4120000000000001E-2</v>
      </c>
      <c r="AA385" s="56"/>
      <c r="AB385" s="57"/>
      <c r="AC385" s="427" t="s">
        <v>594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33.12592592592592</v>
      </c>
      <c r="BN385" s="64">
        <f t="shared" ref="BN385:BN393" si="38">IFERROR(Y385*I385/H385,"0")</f>
        <v>33.54</v>
      </c>
      <c r="BO385" s="64">
        <f t="shared" ref="BO385:BO393" si="39">IFERROR(1/J385*(X385/H385),"0")</f>
        <v>4.4893378226711557E-2</v>
      </c>
      <c r="BP385" s="64">
        <f t="shared" ref="BP385:BP393" si="40">IFERROR(1/J385*(Y385/H385),"0")</f>
        <v>4.5454545454545463E-2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275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5.9259259259259256</v>
      </c>
      <c r="Y394" s="543">
        <f>IFERROR(Y385/H385,"0")+IFERROR(Y386/H386,"0")+IFERROR(Y387/H387,"0")+IFERROR(Y388/H388,"0")+IFERROR(Y389/H389,"0")+IFERROR(Y390/H390,"0")+IFERROR(Y391/H391,"0")+IFERROR(Y392/H392,"0")+IFERROR(Y393/H393,"0")</f>
        <v>6.0000000000000009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5.4120000000000001E-2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32</v>
      </c>
      <c r="Y395" s="543">
        <f>IFERROR(SUM(Y385:Y393),"0")</f>
        <v>32.400000000000006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74</v>
      </c>
      <c r="Y407" s="542">
        <f>IFERROR(IF(X407="",0,CEILING((X407/$H407),1)*$H407),"")</f>
        <v>75.600000000000009</v>
      </c>
      <c r="Z407" s="36">
        <f>IFERROR(IF(Y407=0,"",ROUNDUP(Y407/H407,0)*0.00902),"")</f>
        <v>0.12628</v>
      </c>
      <c r="AA407" s="56"/>
      <c r="AB407" s="57"/>
      <c r="AC407" s="451" t="s">
        <v>628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76.603703703703687</v>
      </c>
      <c r="BN407" s="64">
        <f>IFERROR(Y407*I407/H407,"0")</f>
        <v>78.260000000000005</v>
      </c>
      <c r="BO407" s="64">
        <f>IFERROR(1/J407*(X407/H407),"0")</f>
        <v>0.10381593714927048</v>
      </c>
      <c r="BP407" s="64">
        <f>IFERROR(1/J407*(Y407/H407),"0")</f>
        <v>0.10606060606060606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13.703703703703702</v>
      </c>
      <c r="Y411" s="543">
        <f>IFERROR(Y407/H407,"0")+IFERROR(Y408/H408,"0")+IFERROR(Y409/H409,"0")+IFERROR(Y410/H410,"0")</f>
        <v>14</v>
      </c>
      <c r="Z411" s="543">
        <f>IFERROR(IF(Z407="",0,Z407),"0")+IFERROR(IF(Z408="",0,Z408),"0")+IFERROR(IF(Z409="",0,Z409),"0")+IFERROR(IF(Z410="",0,Z410),"0")</f>
        <v>0.12628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74</v>
      </c>
      <c r="Y412" s="543">
        <f>IFERROR(SUM(Y407:Y410),"0")</f>
        <v>75.600000000000009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179</v>
      </c>
      <c r="Y421" s="542">
        <f t="shared" ref="Y421:Y431" si="42">IFERROR(IF(X421="",0,CEILING((X421/$H421),1)*$H421),"")</f>
        <v>179.52</v>
      </c>
      <c r="Z421" s="36">
        <f t="shared" ref="Z421:Z426" si="43">IFERROR(IF(Y421=0,"",ROUNDUP(Y421/H421,0)*0.01196),"")</f>
        <v>0.40664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190.86553030303028</v>
      </c>
      <c r="BN421" s="64">
        <f t="shared" ref="BN421:BN431" si="45">IFERROR(Y421*I421/H421,"0")</f>
        <v>191.42000000000002</v>
      </c>
      <c r="BO421" s="64">
        <f t="shared" ref="BO421:BO431" si="46">IFERROR(1/J421*(X421/H421),"0")</f>
        <v>0.3259761072261072</v>
      </c>
      <c r="BP421" s="64">
        <f t="shared" ref="BP421:BP431" si="47">IFERROR(1/J421*(Y421/H421),"0")</f>
        <v>0.32692307692307693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42</v>
      </c>
      <c r="Y423" s="542">
        <f t="shared" si="42"/>
        <v>42.24</v>
      </c>
      <c r="Z423" s="36">
        <f t="shared" si="43"/>
        <v>9.5680000000000001E-2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44.784090909090907</v>
      </c>
      <c r="BN423" s="64">
        <f t="shared" si="45"/>
        <v>45.04</v>
      </c>
      <c r="BO423" s="64">
        <f t="shared" si="46"/>
        <v>7.6486013986013984E-2</v>
      </c>
      <c r="BP423" s="64">
        <f t="shared" si="47"/>
        <v>7.6923076923076927E-2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197</v>
      </c>
      <c r="Y426" s="542">
        <f t="shared" si="42"/>
        <v>200.64000000000001</v>
      </c>
      <c r="Z426" s="36">
        <f t="shared" si="43"/>
        <v>0.45448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210.0587121212121</v>
      </c>
      <c r="BN426" s="64">
        <f t="shared" si="45"/>
        <v>213.94</v>
      </c>
      <c r="BO426" s="64">
        <f t="shared" si="46"/>
        <v>0.35875582750582752</v>
      </c>
      <c r="BP426" s="64">
        <f t="shared" si="47"/>
        <v>0.36538461538461542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79.166666666666657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80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0.95679999999999998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418</v>
      </c>
      <c r="Y433" s="543">
        <f>IFERROR(SUM(Y421:Y431),"0")</f>
        <v>422.40000000000003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73</v>
      </c>
      <c r="Y435" s="542">
        <f>IFERROR(IF(X435="",0,CEILING((X435/$H435),1)*$H435),"")</f>
        <v>73.92</v>
      </c>
      <c r="Z435" s="36">
        <f>IFERROR(IF(Y435=0,"",ROUNDUP(Y435/H435,0)*0.01196),"")</f>
        <v>0.16744000000000001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77.839015151515156</v>
      </c>
      <c r="BN435" s="64">
        <f>IFERROR(Y435*I435/H435,"0")</f>
        <v>78.819999999999993</v>
      </c>
      <c r="BO435" s="64">
        <f>IFERROR(1/J435*(X435/H435),"0")</f>
        <v>0.13293997668997667</v>
      </c>
      <c r="BP435" s="64">
        <f>IFERROR(1/J435*(Y435/H435),"0")</f>
        <v>0.13461538461538464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13.825757575757574</v>
      </c>
      <c r="Y438" s="543">
        <f>IFERROR(Y435/H435,"0")+IFERROR(Y436/H436,"0")+IFERROR(Y437/H437,"0")</f>
        <v>14</v>
      </c>
      <c r="Z438" s="543">
        <f>IFERROR(IF(Z435="",0,Z435),"0")+IFERROR(IF(Z436="",0,Z436),"0")+IFERROR(IF(Z437="",0,Z437),"0")</f>
        <v>0.16744000000000001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73</v>
      </c>
      <c r="Y439" s="543">
        <f>IFERROR(SUM(Y435:Y437),"0")</f>
        <v>73.92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162</v>
      </c>
      <c r="Y476" s="542">
        <f>IFERROR(IF(X476="",0,CEILING((X476/$H476),1)*$H476),"")</f>
        <v>162</v>
      </c>
      <c r="Z476" s="36">
        <f>IFERROR(IF(Y476=0,"",ROUNDUP(Y476/H476,0)*0.01898),"")</f>
        <v>0.34164</v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170.892</v>
      </c>
      <c r="BN476" s="64">
        <f>IFERROR(Y476*I476/H476,"0")</f>
        <v>170.892</v>
      </c>
      <c r="BO476" s="64">
        <f>IFERROR(1/J476*(X476/H476),"0")</f>
        <v>0.28125</v>
      </c>
      <c r="BP476" s="64">
        <f>IFERROR(1/J476*(Y476/H476),"0")</f>
        <v>0.28125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18</v>
      </c>
      <c r="Y477" s="543">
        <f>IFERROR(Y476/H476,"0")</f>
        <v>18</v>
      </c>
      <c r="Z477" s="543">
        <f>IFERROR(IF(Z476="",0,Z476),"0")</f>
        <v>0.34164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162</v>
      </c>
      <c r="Y478" s="543">
        <f>IFERROR(SUM(Y476:Y476),"0")</f>
        <v>162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5319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5468.7999999999993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5578.130606599133</v>
      </c>
      <c r="Y490" s="543">
        <f>IFERROR(SUM(BN22:BN486),"0")</f>
        <v>5735.5819999999985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9</v>
      </c>
      <c r="Y491" s="38">
        <f>ROUNDUP(SUM(BP22:BP486),0)</f>
        <v>9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5803.130606599133</v>
      </c>
      <c r="Y492" s="543">
        <f>GrossWeightTotalR+PalletQtyTotalR*25</f>
        <v>5960.5819999999985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814.11248029260196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839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10.217009999999998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190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64.800000000000011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42</v>
      </c>
      <c r="E499" s="46">
        <f>IFERROR(Y85*1,"0")+IFERROR(Y86*1,"0")+IFERROR(Y87*1,"0")+IFERROR(Y91*1,"0")+IFERROR(Y92*1,"0")+IFERROR(Y93*1,"0")+IFERROR(Y94*1,"0")</f>
        <v>269.10000000000002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242.70000000000002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182.1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956.4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25.18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86.4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58.8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2532</v>
      </c>
      <c r="T499" s="46">
        <f>IFERROR(Y368*1,"0")+IFERROR(Y369*1,"0")+IFERROR(Y373*1,"0")+IFERROR(Y374*1,"0")+IFERROR(Y378*1,"0")+IFERROR(Y379*1,"0")</f>
        <v>243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32.400000000000006</v>
      </c>
      <c r="V499" s="46">
        <f>IFERROR(Y403*1,"0")+IFERROR(Y407*1,"0")+IFERROR(Y408*1,"0")+IFERROR(Y409*1,"0")+IFERROR(Y410*1,"0")</f>
        <v>75.600000000000009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496.32000000000005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162</v>
      </c>
      <c r="Z499" s="46">
        <f>IFERROR(Y486*1,"0")</f>
        <v>0</v>
      </c>
      <c r="AB499" s="52"/>
      <c r="AC499" s="52"/>
      <c r="AF499" s="539"/>
    </row>
  </sheetData>
  <sheetProtection algorithmName="SHA-512" hashValue="XskFqzYDNU4qfJ1OE3az44MvOzLIBZoSCMOY78Nb/BwVnnRFZaqYedOUi+TA3oQDRtXY0OM7GPywfbOQGIUE8A==" saltValue="96BO2lME/ZGUElrMuxZzx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3 X165:X166 X168:X169 X192 X196:X201 X203 X207:X210 X212:X215 X219:X220 X225 X255 X273:X274 X299 X302 X308 X315:X317 X323:X324 X328:X330 X335:X337 X343:X345 X353 X359 X368 X373 X378:X379 X385 X387 X392 X407 X421:X423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PYeSkho6LtEgoVLWZD0t2bOngqaCN2K5/dOJTeVqw5FiKmOm1jaU9sUzXGlHDNDUfjz9zEcecHytPC4dAktKQA==" saltValue="OifT+9jMaNnzrhYNNasMZ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2025-11-19T07:46:12Z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