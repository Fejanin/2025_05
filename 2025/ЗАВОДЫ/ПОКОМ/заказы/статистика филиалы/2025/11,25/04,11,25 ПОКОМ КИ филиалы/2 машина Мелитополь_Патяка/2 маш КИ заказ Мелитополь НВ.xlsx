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50AF1845-D1E1-495B-A638-C38B993ACDB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Y83" i="1" s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N75" i="1"/>
  <c r="BM75" i="1"/>
  <c r="Z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3" i="1"/>
  <c r="Y493" i="1" s="1"/>
  <c r="Y64" i="1"/>
  <c r="Y70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Z137" i="1" s="1"/>
  <c r="Y138" i="1"/>
  <c r="H499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Y172" i="1"/>
  <c r="Z178" i="1"/>
  <c r="BP176" i="1"/>
  <c r="BN176" i="1"/>
  <c r="Z176" i="1"/>
  <c r="BP197" i="1"/>
  <c r="BN197" i="1"/>
  <c r="Z197" i="1"/>
  <c r="Z204" i="1" s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D499" i="1"/>
  <c r="Y58" i="1"/>
  <c r="Y77" i="1"/>
  <c r="BP81" i="1"/>
  <c r="BN81" i="1"/>
  <c r="Z81" i="1"/>
  <c r="Z82" i="1" s="1"/>
  <c r="E499" i="1"/>
  <c r="Y89" i="1"/>
  <c r="BP86" i="1"/>
  <c r="BN86" i="1"/>
  <c r="Z86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BN60" i="1"/>
  <c r="BP60" i="1"/>
  <c r="Y491" i="1" s="1"/>
  <c r="Z62" i="1"/>
  <c r="BN62" i="1"/>
  <c r="Z66" i="1"/>
  <c r="Z69" i="1" s="1"/>
  <c r="BN66" i="1"/>
  <c r="BP66" i="1"/>
  <c r="Z68" i="1"/>
  <c r="BN68" i="1"/>
  <c r="Z72" i="1"/>
  <c r="BN72" i="1"/>
  <c r="BP72" i="1"/>
  <c r="Z74" i="1"/>
  <c r="BN74" i="1"/>
  <c r="Y82" i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4" i="1" s="1"/>
  <c r="BP109" i="1"/>
  <c r="BN109" i="1"/>
  <c r="Z109" i="1"/>
  <c r="Y111" i="1"/>
  <c r="Y118" i="1"/>
  <c r="BP113" i="1"/>
  <c r="BN113" i="1"/>
  <c r="Z113" i="1"/>
  <c r="Z117" i="1" s="1"/>
  <c r="Y117" i="1"/>
  <c r="BP126" i="1"/>
  <c r="BN126" i="1"/>
  <c r="Z126" i="1"/>
  <c r="Z127" i="1" s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Z150" i="1" s="1"/>
  <c r="Y173" i="1"/>
  <c r="BP166" i="1"/>
  <c r="BN166" i="1"/>
  <c r="Z166" i="1"/>
  <c r="Z172" i="1" s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Y319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4" i="1"/>
  <c r="G499" i="1"/>
  <c r="Y127" i="1"/>
  <c r="I499" i="1"/>
  <c r="Y161" i="1"/>
  <c r="J499" i="1"/>
  <c r="Y188" i="1"/>
  <c r="K499" i="1"/>
  <c r="Y235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Z294" i="1" s="1"/>
  <c r="BP293" i="1"/>
  <c r="BN293" i="1"/>
  <c r="Z293" i="1"/>
  <c r="Y295" i="1"/>
  <c r="Y304" i="1"/>
  <c r="BP297" i="1"/>
  <c r="BN297" i="1"/>
  <c r="Z297" i="1"/>
  <c r="Z304" i="1" s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BP324" i="1"/>
  <c r="BN324" i="1"/>
  <c r="Z324" i="1"/>
  <c r="Y326" i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O499" i="1"/>
  <c r="Y276" i="1"/>
  <c r="P499" i="1"/>
  <c r="Y281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438" i="1"/>
  <c r="Z447" i="1"/>
  <c r="Z432" i="1"/>
  <c r="Z350" i="1"/>
  <c r="Z325" i="1"/>
  <c r="Z338" i="1"/>
  <c r="Z216" i="1"/>
  <c r="Z77" i="1"/>
  <c r="Z63" i="1"/>
  <c r="Z494" i="1" s="1"/>
  <c r="X492" i="1"/>
  <c r="Z268" i="1"/>
  <c r="Z260" i="1"/>
  <c r="Z251" i="1"/>
  <c r="Z144" i="1"/>
  <c r="Z110" i="1"/>
  <c r="Z394" i="1"/>
  <c r="Z318" i="1"/>
  <c r="Z312" i="1"/>
  <c r="Y489" i="1"/>
  <c r="Z89" i="1"/>
</calcChain>
</file>

<file path=xl/sharedStrings.xml><?xml version="1.0" encoding="utf-8"?>
<sst xmlns="http://schemas.openxmlformats.org/spreadsheetml/2006/main" count="2320" uniqueCount="763">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</sst>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80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2" t="s">
        <v>0</v>
      </c>
      <c r="E1" s="572"/>
      <c r="F1" s="572"/>
      <c r="G1" s="12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>
        <v>45964</v>
      </c>
      <c r="R5" s="660"/>
      <c r="T5" s="705" t="s">
        <v>11</v>
      </c>
      <c r="U5" s="706"/>
      <c r="V5" s="708" t="s">
        <v>12</v>
      </c>
      <c r="W5" s="660"/>
      <c r="AB5" s="51"/>
      <c r="AC5" s="51"/>
      <c r="AD5" s="51"/>
      <c r="AE5" s="51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14" t="s">
        <v>16</v>
      </c>
      <c r="U6" s="706"/>
      <c r="V6" s="757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4"/>
      <c r="U7" s="706"/>
      <c r="V7" s="758"/>
      <c r="W7" s="759"/>
      <c r="AB7" s="51"/>
      <c r="AC7" s="51"/>
      <c r="AD7" s="51"/>
      <c r="AE7" s="51"/>
    </row>
    <row r="8" spans="1:32" s="535" customFormat="1" ht="25.5" customHeight="1" x14ac:dyDescent="0.2">
      <c r="A8" s="862" t="s">
        <v>18</v>
      </c>
      <c r="B8" s="562"/>
      <c r="C8" s="563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0">
        <v>0.41666666666666669</v>
      </c>
      <c r="R8" s="599"/>
      <c r="T8" s="554"/>
      <c r="U8" s="706"/>
      <c r="V8" s="758"/>
      <c r="W8" s="759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0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3"/>
      <c r="P9" s="26" t="s">
        <v>21</v>
      </c>
      <c r="Q9" s="657"/>
      <c r="R9" s="658"/>
      <c r="T9" s="554"/>
      <c r="U9" s="706"/>
      <c r="V9" s="760"/>
      <c r="W9" s="76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0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1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5"/>
      <c r="R10" s="716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9"/>
      <c r="R11" s="660"/>
      <c r="U11" s="24" t="s">
        <v>27</v>
      </c>
      <c r="V11" s="795" t="s">
        <v>28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30</v>
      </c>
      <c r="Q12" s="670"/>
      <c r="R12" s="599"/>
      <c r="S12" s="23"/>
      <c r="U12" s="24"/>
      <c r="V12" s="572"/>
      <c r="W12" s="554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32</v>
      </c>
      <c r="Q13" s="795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9" t="s">
        <v>34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6" t="s">
        <v>38</v>
      </c>
      <c r="D17" s="581" t="s">
        <v>39</v>
      </c>
      <c r="E17" s="645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4"/>
      <c r="R17" s="644"/>
      <c r="S17" s="644"/>
      <c r="T17" s="645"/>
      <c r="U17" s="857" t="s">
        <v>51</v>
      </c>
      <c r="V17" s="635"/>
      <c r="W17" s="581" t="s">
        <v>52</v>
      </c>
      <c r="X17" s="581" t="s">
        <v>53</v>
      </c>
      <c r="Y17" s="860" t="s">
        <v>54</v>
      </c>
      <c r="Z17" s="769" t="s">
        <v>55</v>
      </c>
      <c r="AA17" s="749" t="s">
        <v>56</v>
      </c>
      <c r="AB17" s="749" t="s">
        <v>57</v>
      </c>
      <c r="AC17" s="749" t="s">
        <v>58</v>
      </c>
      <c r="AD17" s="749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61</v>
      </c>
      <c r="V18" s="67" t="s">
        <v>62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customHeight="1" x14ac:dyDescent="0.25">
      <c r="A21" s="557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7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7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58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customHeight="1" x14ac:dyDescent="0.25">
      <c r="A39" s="557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36</v>
      </c>
      <c r="Y42" s="542">
        <f>IFERROR(IF(X42="",0,CEILING((X42/$H42),1)*$H42),"")</f>
        <v>37</v>
      </c>
      <c r="Z42" s="36">
        <f>IFERROR(IF(Y42=0,"",ROUNDUP(Y42/H42,0)*0.00902),"")</f>
        <v>9.0200000000000002E-2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38.043243243243239</v>
      </c>
      <c r="BN42" s="64">
        <f>IFERROR(Y42*I42/H42,"0")</f>
        <v>39.1</v>
      </c>
      <c r="BO42" s="64">
        <f>IFERROR(1/J42*(X42/H42),"0")</f>
        <v>7.3710073710073709E-2</v>
      </c>
      <c r="BP42" s="64">
        <f>IFERROR(1/J42*(Y42/H42),"0")</f>
        <v>7.575757575757576E-2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3">
        <f>IFERROR(X40/H40,"0")+IFERROR(X41/H41,"0")+IFERROR(X42/H42,"0")</f>
        <v>9.7297297297297298</v>
      </c>
      <c r="Y43" s="543">
        <f>IFERROR(Y40/H40,"0")+IFERROR(Y41/H41,"0")+IFERROR(Y42/H42,"0")</f>
        <v>10</v>
      </c>
      <c r="Z43" s="543">
        <f>IFERROR(IF(Z40="",0,Z40),"0")+IFERROR(IF(Z41="",0,Z41),"0")+IFERROR(IF(Z42="",0,Z42),"0")</f>
        <v>9.0200000000000002E-2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3">
        <f>IFERROR(SUM(X40:X42),"0")</f>
        <v>36</v>
      </c>
      <c r="Y44" s="543">
        <f>IFERROR(SUM(Y40:Y42),"0")</f>
        <v>37</v>
      </c>
      <c r="Z44" s="37"/>
      <c r="AA44" s="544"/>
      <c r="AB44" s="544"/>
      <c r="AC44" s="544"/>
    </row>
    <row r="45" spans="1:68" ht="14.25" customHeight="1" x14ac:dyDescent="0.25">
      <c r="A45" s="557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customHeight="1" x14ac:dyDescent="0.25">
      <c r="A50" s="557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11</v>
      </c>
      <c r="Y54" s="542">
        <f t="shared" si="0"/>
        <v>12</v>
      </c>
      <c r="Z54" s="36">
        <f>IFERROR(IF(Y54=0,"",ROUNDUP(Y54/H54,0)*0.00902),"")</f>
        <v>2.7060000000000001E-2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11.577500000000001</v>
      </c>
      <c r="BN54" s="64">
        <f t="shared" si="2"/>
        <v>12.629999999999999</v>
      </c>
      <c r="BO54" s="64">
        <f t="shared" si="3"/>
        <v>2.0833333333333336E-2</v>
      </c>
      <c r="BP54" s="64">
        <f t="shared" si="4"/>
        <v>2.2727272727272728E-2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3">
        <f>IFERROR(X51/H51,"0")+IFERROR(X52/H52,"0")+IFERROR(X53/H53,"0")+IFERROR(X54/H54,"0")+IFERROR(X55/H55,"0")+IFERROR(X56/H56,"0")</f>
        <v>2.75</v>
      </c>
      <c r="Y57" s="543">
        <f>IFERROR(Y51/H51,"0")+IFERROR(Y52/H52,"0")+IFERROR(Y53/H53,"0")+IFERROR(Y54/H54,"0")+IFERROR(Y55/H55,"0")+IFERROR(Y56/H56,"0")</f>
        <v>3</v>
      </c>
      <c r="Z57" s="543">
        <f>IFERROR(IF(Z51="",0,Z51),"0")+IFERROR(IF(Z52="",0,Z52),"0")+IFERROR(IF(Z53="",0,Z53),"0")+IFERROR(IF(Z54="",0,Z54),"0")+IFERROR(IF(Z55="",0,Z55),"0")+IFERROR(IF(Z56="",0,Z56),"0")</f>
        <v>2.7060000000000001E-2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3">
        <f>IFERROR(SUM(X51:X56),"0")</f>
        <v>11</v>
      </c>
      <c r="Y58" s="543">
        <f>IFERROR(SUM(Y51:Y56),"0")</f>
        <v>12</v>
      </c>
      <c r="Z58" s="37"/>
      <c r="AA58" s="544"/>
      <c r="AB58" s="544"/>
      <c r="AC58" s="544"/>
    </row>
    <row r="59" spans="1:68" ht="14.25" customHeight="1" x14ac:dyDescent="0.25">
      <c r="A59" s="557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7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7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customHeight="1" x14ac:dyDescent="0.25">
      <c r="A72" s="54" t="s">
        <v>152</v>
      </c>
      <c r="B72" s="54" t="s">
        <v>153</v>
      </c>
      <c r="C72" s="31">
        <v>4301051838</v>
      </c>
      <c r="D72" s="545">
        <v>4680115881891</v>
      </c>
      <c r="E72" s="546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5">
        <v>4680115885769</v>
      </c>
      <c r="E73" s="546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 t="s">
        <v>103</v>
      </c>
      <c r="M73" s="33" t="s">
        <v>77</v>
      </c>
      <c r="N73" s="33"/>
      <c r="O73" s="32">
        <v>45</v>
      </c>
      <c r="P73" s="5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106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5">
        <v>4680115884311</v>
      </c>
      <c r="E74" s="546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70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4301051844</v>
      </c>
      <c r="D75" s="545">
        <v>4680115885929</v>
      </c>
      <c r="E75" s="546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162</v>
      </c>
      <c r="B76" s="54" t="s">
        <v>163</v>
      </c>
      <c r="C76" s="31">
        <v>4301051929</v>
      </c>
      <c r="D76" s="545">
        <v>4680115884403</v>
      </c>
      <c r="E76" s="546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48"/>
      <c r="R76" s="548"/>
      <c r="S76" s="548"/>
      <c r="T76" s="549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71</v>
      </c>
      <c r="Q78" s="562"/>
      <c r="R78" s="562"/>
      <c r="S78" s="562"/>
      <c r="T78" s="562"/>
      <c r="U78" s="562"/>
      <c r="V78" s="563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customHeight="1" x14ac:dyDescent="0.25">
      <c r="A79" s="557" t="s">
        <v>165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166</v>
      </c>
      <c r="B80" s="54" t="s">
        <v>167</v>
      </c>
      <c r="C80" s="31">
        <v>4301060455</v>
      </c>
      <c r="D80" s="545">
        <v>4680115881532</v>
      </c>
      <c r="E80" s="546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 t="s">
        <v>103</v>
      </c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 t="s">
        <v>106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169</v>
      </c>
      <c r="B81" s="54" t="s">
        <v>170</v>
      </c>
      <c r="C81" s="31">
        <v>4301060351</v>
      </c>
      <c r="D81" s="545">
        <v>4680115881464</v>
      </c>
      <c r="E81" s="546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48"/>
      <c r="R81" s="548"/>
      <c r="S81" s="548"/>
      <c r="T81" s="549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72</v>
      </c>
      <c r="X82" s="543">
        <f>IFERROR(X80/H80,"0")+IFERROR(X81/H81,"0")</f>
        <v>0</v>
      </c>
      <c r="Y82" s="543">
        <f>IFERROR(Y80/H80,"0")+IFERROR(Y81/H81,"0")</f>
        <v>0</v>
      </c>
      <c r="Z82" s="543">
        <f>IFERROR(IF(Z80="",0,Z80),"0")+IFERROR(IF(Z81="",0,Z81),"0")</f>
        <v>0</v>
      </c>
      <c r="AA82" s="544"/>
      <c r="AB82" s="544"/>
      <c r="AC82" s="544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71</v>
      </c>
      <c r="Q83" s="562"/>
      <c r="R83" s="562"/>
      <c r="S83" s="562"/>
      <c r="T83" s="562"/>
      <c r="U83" s="562"/>
      <c r="V83" s="563"/>
      <c r="W83" s="37" t="s">
        <v>69</v>
      </c>
      <c r="X83" s="543">
        <f>IFERROR(SUM(X80:X81),"0")</f>
        <v>0</v>
      </c>
      <c r="Y83" s="543">
        <f>IFERROR(SUM(Y80:Y81),"0")</f>
        <v>0</v>
      </c>
      <c r="Z83" s="37"/>
      <c r="AA83" s="544"/>
      <c r="AB83" s="544"/>
      <c r="AC83" s="544"/>
    </row>
    <row r="84" spans="1:68" ht="16.5" customHeight="1" x14ac:dyDescent="0.25">
      <c r="A84" s="558" t="s">
        <v>172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customHeight="1" x14ac:dyDescent="0.25">
      <c r="A85" s="557" t="s">
        <v>99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45">
        <v>4680115881327</v>
      </c>
      <c r="E86" s="546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175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45">
        <v>4680115881518</v>
      </c>
      <c r="E87" s="546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/>
      <c r="M87" s="33" t="s">
        <v>77</v>
      </c>
      <c r="N87" s="33"/>
      <c r="O87" s="32">
        <v>50</v>
      </c>
      <c r="P87" s="7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175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45">
        <v>4680115881303</v>
      </c>
      <c r="E88" s="546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 t="s">
        <v>110</v>
      </c>
      <c r="M88" s="33" t="s">
        <v>84</v>
      </c>
      <c r="N88" s="33"/>
      <c r="O88" s="32">
        <v>50</v>
      </c>
      <c r="P88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48"/>
      <c r="R88" s="548"/>
      <c r="S88" s="548"/>
      <c r="T88" s="549"/>
      <c r="U88" s="34"/>
      <c r="V88" s="34"/>
      <c r="W88" s="35" t="s">
        <v>69</v>
      </c>
      <c r="X88" s="541">
        <v>0</v>
      </c>
      <c r="Y88" s="54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175</v>
      </c>
      <c r="AG88" s="64"/>
      <c r="AJ88" s="68" t="s">
        <v>106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72</v>
      </c>
      <c r="X89" s="543">
        <f>IFERROR(X86/H86,"0")+IFERROR(X87/H87,"0")+IFERROR(X88/H88,"0")</f>
        <v>0</v>
      </c>
      <c r="Y89" s="543">
        <f>IFERROR(Y86/H86,"0")+IFERROR(Y87/H87,"0")+IFERROR(Y88/H88,"0")</f>
        <v>0</v>
      </c>
      <c r="Z89" s="543">
        <f>IFERROR(IF(Z86="",0,Z86),"0")+IFERROR(IF(Z87="",0,Z87),"0")+IFERROR(IF(Z88="",0,Z88),"0")</f>
        <v>0</v>
      </c>
      <c r="AA89" s="544"/>
      <c r="AB89" s="544"/>
      <c r="AC89" s="544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71</v>
      </c>
      <c r="Q90" s="562"/>
      <c r="R90" s="562"/>
      <c r="S90" s="562"/>
      <c r="T90" s="562"/>
      <c r="U90" s="562"/>
      <c r="V90" s="563"/>
      <c r="W90" s="37" t="s">
        <v>69</v>
      </c>
      <c r="X90" s="543">
        <f>IFERROR(SUM(X86:X88),"0")</f>
        <v>0</v>
      </c>
      <c r="Y90" s="543">
        <f>IFERROR(SUM(Y86:Y88),"0")</f>
        <v>0</v>
      </c>
      <c r="Z90" s="37"/>
      <c r="AA90" s="544"/>
      <c r="AB90" s="544"/>
      <c r="AC90" s="544"/>
    </row>
    <row r="91" spans="1:68" ht="14.25" customHeight="1" x14ac:dyDescent="0.25">
      <c r="A91" s="557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180</v>
      </c>
      <c r="B92" s="54" t="s">
        <v>181</v>
      </c>
      <c r="C92" s="31">
        <v>4301051712</v>
      </c>
      <c r="D92" s="545">
        <v>4607091386967</v>
      </c>
      <c r="E92" s="546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168</v>
      </c>
      <c r="Y92" s="542">
        <f>IFERROR(IF(X92="",0,CEILING((X92/$H92),1)*$H92),"")</f>
        <v>170.1</v>
      </c>
      <c r="Z92" s="36">
        <f>IFERROR(IF(Y92=0,"",ROUNDUP(Y92/H92,0)*0.01898),"")</f>
        <v>0.39857999999999999</v>
      </c>
      <c r="AA92" s="56"/>
      <c r="AB92" s="57"/>
      <c r="AC92" s="135" t="s">
        <v>182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178.76444444444445</v>
      </c>
      <c r="BN92" s="64">
        <f>IFERROR(Y92*I92/H92,"0")</f>
        <v>180.999</v>
      </c>
      <c r="BO92" s="64">
        <f>IFERROR(1/J92*(X92/H92),"0")</f>
        <v>0.32407407407407407</v>
      </c>
      <c r="BP92" s="64">
        <f>IFERROR(1/J92*(Y92/H92),"0")</f>
        <v>0.328125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45">
        <v>4680115884953</v>
      </c>
      <c r="E93" s="546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45">
        <v>4607091385731</v>
      </c>
      <c r="E94" s="546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 t="s">
        <v>188</v>
      </c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182</v>
      </c>
      <c r="AG94" s="64"/>
      <c r="AJ94" s="68" t="s">
        <v>106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45">
        <v>4680115880894</v>
      </c>
      <c r="E95" s="546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 t="s">
        <v>188</v>
      </c>
      <c r="M95" s="33" t="s">
        <v>77</v>
      </c>
      <c r="N95" s="33"/>
      <c r="O95" s="32">
        <v>45</v>
      </c>
      <c r="P95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48"/>
      <c r="R95" s="548"/>
      <c r="S95" s="548"/>
      <c r="T95" s="549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106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72</v>
      </c>
      <c r="X96" s="543">
        <f>IFERROR(X92/H92,"0")+IFERROR(X93/H93,"0")+IFERROR(X94/H94,"0")+IFERROR(X95/H95,"0")</f>
        <v>20.74074074074074</v>
      </c>
      <c r="Y96" s="543">
        <f>IFERROR(Y92/H92,"0")+IFERROR(Y93/H93,"0")+IFERROR(Y94/H94,"0")+IFERROR(Y95/H95,"0")</f>
        <v>21</v>
      </c>
      <c r="Z96" s="543">
        <f>IFERROR(IF(Z92="",0,Z92),"0")+IFERROR(IF(Z93="",0,Z93),"0")+IFERROR(IF(Z94="",0,Z94),"0")+IFERROR(IF(Z95="",0,Z95),"0")</f>
        <v>0.39857999999999999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71</v>
      </c>
      <c r="Q97" s="562"/>
      <c r="R97" s="562"/>
      <c r="S97" s="562"/>
      <c r="T97" s="562"/>
      <c r="U97" s="562"/>
      <c r="V97" s="563"/>
      <c r="W97" s="37" t="s">
        <v>69</v>
      </c>
      <c r="X97" s="543">
        <f>IFERROR(SUM(X92:X95),"0")</f>
        <v>168</v>
      </c>
      <c r="Y97" s="543">
        <f>IFERROR(SUM(Y92:Y95),"0")</f>
        <v>170.1</v>
      </c>
      <c r="Z97" s="37"/>
      <c r="AA97" s="544"/>
      <c r="AB97" s="544"/>
      <c r="AC97" s="544"/>
    </row>
    <row r="98" spans="1:68" ht="16.5" customHeight="1" x14ac:dyDescent="0.25">
      <c r="A98" s="558" t="s">
        <v>192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customHeight="1" x14ac:dyDescent="0.25">
      <c r="A99" s="557" t="s">
        <v>99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5">
        <v>4680115882133</v>
      </c>
      <c r="E100" s="546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13</v>
      </c>
      <c r="Y100" s="542">
        <f>IFERROR(IF(X100="",0,CEILING((X100/$H100),1)*$H100),"")</f>
        <v>21.6</v>
      </c>
      <c r="Z100" s="36">
        <f>IFERROR(IF(Y100=0,"",ROUNDUP(Y100/H100,0)*0.01898),"")</f>
        <v>3.7960000000000001E-2</v>
      </c>
      <c r="AA100" s="56"/>
      <c r="AB100" s="57"/>
      <c r="AC100" s="143" t="s">
        <v>195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13.52361111111111</v>
      </c>
      <c r="BN100" s="64">
        <f>IFERROR(Y100*I100/H100,"0")</f>
        <v>22.47</v>
      </c>
      <c r="BO100" s="64">
        <f>IFERROR(1/J100*(X100/H100),"0")</f>
        <v>1.8807870370370371E-2</v>
      </c>
      <c r="BP100" s="64">
        <f>IFERROR(1/J100*(Y100/H100),"0")</f>
        <v>3.125E-2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45">
        <v>4680115880269</v>
      </c>
      <c r="E101" s="546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45">
        <v>4680115880429</v>
      </c>
      <c r="E102" s="546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110</v>
      </c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35</v>
      </c>
      <c r="Y102" s="542">
        <f>IFERROR(IF(X102="",0,CEILING((X102/$H102),1)*$H102),"")</f>
        <v>36</v>
      </c>
      <c r="Z102" s="36">
        <f>IFERROR(IF(Y102=0,"",ROUNDUP(Y102/H102,0)*0.00902),"")</f>
        <v>7.2160000000000002E-2</v>
      </c>
      <c r="AA102" s="56"/>
      <c r="AB102" s="57"/>
      <c r="AC102" s="147" t="s">
        <v>195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36.633333333333333</v>
      </c>
      <c r="BN102" s="64">
        <f>IFERROR(Y102*I102/H102,"0")</f>
        <v>37.68</v>
      </c>
      <c r="BO102" s="64">
        <f>IFERROR(1/J102*(X102/H102),"0")</f>
        <v>5.8922558922558925E-2</v>
      </c>
      <c r="BP102" s="64">
        <f>IFERROR(1/J102*(Y102/H102),"0")</f>
        <v>6.0606060606060608E-2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45">
        <v>4680115881457</v>
      </c>
      <c r="E103" s="546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48"/>
      <c r="R103" s="548"/>
      <c r="S103" s="548"/>
      <c r="T103" s="549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72</v>
      </c>
      <c r="X104" s="543">
        <f>IFERROR(X100/H100,"0")+IFERROR(X101/H101,"0")+IFERROR(X102/H102,"0")+IFERROR(X103/H103,"0")</f>
        <v>8.981481481481481</v>
      </c>
      <c r="Y104" s="543">
        <f>IFERROR(Y100/H100,"0")+IFERROR(Y101/H101,"0")+IFERROR(Y102/H102,"0")+IFERROR(Y103/H103,"0")</f>
        <v>10</v>
      </c>
      <c r="Z104" s="543">
        <f>IFERROR(IF(Z100="",0,Z100),"0")+IFERROR(IF(Z101="",0,Z101),"0")+IFERROR(IF(Z102="",0,Z102),"0")+IFERROR(IF(Z103="",0,Z103),"0")</f>
        <v>0.11012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71</v>
      </c>
      <c r="Q105" s="562"/>
      <c r="R105" s="562"/>
      <c r="S105" s="562"/>
      <c r="T105" s="562"/>
      <c r="U105" s="562"/>
      <c r="V105" s="563"/>
      <c r="W105" s="37" t="s">
        <v>69</v>
      </c>
      <c r="X105" s="543">
        <f>IFERROR(SUM(X100:X103),"0")</f>
        <v>48</v>
      </c>
      <c r="Y105" s="543">
        <f>IFERROR(SUM(Y100:Y103),"0")</f>
        <v>57.6</v>
      </c>
      <c r="Z105" s="37"/>
      <c r="AA105" s="544"/>
      <c r="AB105" s="544"/>
      <c r="AC105" s="544"/>
    </row>
    <row r="106" spans="1:68" ht="14.25" customHeight="1" x14ac:dyDescent="0.25">
      <c r="A106" s="557" t="s">
        <v>135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45">
        <v>4680115881488</v>
      </c>
      <c r="E107" s="546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5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 t="s">
        <v>188</v>
      </c>
      <c r="M109" s="33" t="s">
        <v>104</v>
      </c>
      <c r="N109" s="33"/>
      <c r="O109" s="32">
        <v>55</v>
      </c>
      <c r="P109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48"/>
      <c r="R109" s="548"/>
      <c r="S109" s="548"/>
      <c r="T109" s="549"/>
      <c r="U109" s="34"/>
      <c r="V109" s="34"/>
      <c r="W109" s="35" t="s">
        <v>69</v>
      </c>
      <c r="X109" s="541">
        <v>17</v>
      </c>
      <c r="Y109" s="542">
        <f>IFERROR(IF(X109="",0,CEILING((X109/$H109),1)*$H109),"")</f>
        <v>19.2</v>
      </c>
      <c r="Z109" s="36">
        <f>IFERROR(IF(Y109=0,"",ROUNDUP(Y109/H109,0)*0.00651),"")</f>
        <v>5.2080000000000001E-2</v>
      </c>
      <c r="AA109" s="56"/>
      <c r="AB109" s="57"/>
      <c r="AC109" s="155" t="s">
        <v>204</v>
      </c>
      <c r="AG109" s="64"/>
      <c r="AJ109" s="68" t="s">
        <v>106</v>
      </c>
      <c r="AK109" s="68">
        <v>33.6</v>
      </c>
      <c r="BB109" s="156" t="s">
        <v>1</v>
      </c>
      <c r="BM109" s="64">
        <f>IFERROR(X109*I109/H109,"0")</f>
        <v>18.275000000000002</v>
      </c>
      <c r="BN109" s="64">
        <f>IFERROR(Y109*I109/H109,"0")</f>
        <v>20.64</v>
      </c>
      <c r="BO109" s="64">
        <f>IFERROR(1/J109*(X109/H109),"0")</f>
        <v>3.8919413919413927E-2</v>
      </c>
      <c r="BP109" s="64">
        <f>IFERROR(1/J109*(Y109/H109),"0")</f>
        <v>4.3956043956043959E-2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72</v>
      </c>
      <c r="X110" s="543">
        <f>IFERROR(X107/H107,"0")+IFERROR(X108/H108,"0")+IFERROR(X109/H109,"0")</f>
        <v>7.0833333333333339</v>
      </c>
      <c r="Y110" s="543">
        <f>IFERROR(Y107/H107,"0")+IFERROR(Y108/H108,"0")+IFERROR(Y109/H109,"0")</f>
        <v>8</v>
      </c>
      <c r="Z110" s="543">
        <f>IFERROR(IF(Z107="",0,Z107),"0")+IFERROR(IF(Z108="",0,Z108),"0")+IFERROR(IF(Z109="",0,Z109),"0")</f>
        <v>5.2080000000000001E-2</v>
      </c>
      <c r="AA110" s="544"/>
      <c r="AB110" s="544"/>
      <c r="AC110" s="544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71</v>
      </c>
      <c r="Q111" s="562"/>
      <c r="R111" s="562"/>
      <c r="S111" s="562"/>
      <c r="T111" s="562"/>
      <c r="U111" s="562"/>
      <c r="V111" s="563"/>
      <c r="W111" s="37" t="s">
        <v>69</v>
      </c>
      <c r="X111" s="543">
        <f>IFERROR(SUM(X107:X109),"0")</f>
        <v>17</v>
      </c>
      <c r="Y111" s="543">
        <f>IFERROR(SUM(Y107:Y109),"0")</f>
        <v>19.2</v>
      </c>
      <c r="Z111" s="37"/>
      <c r="AA111" s="544"/>
      <c r="AB111" s="544"/>
      <c r="AC111" s="544"/>
    </row>
    <row r="112" spans="1:68" ht="14.25" customHeight="1" x14ac:dyDescent="0.25">
      <c r="A112" s="557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39</v>
      </c>
      <c r="Y113" s="542">
        <f>IFERROR(IF(X113="",0,CEILING((X113/$H113),1)*$H113),"")</f>
        <v>40.5</v>
      </c>
      <c r="Z113" s="36">
        <f>IFERROR(IF(Y113=0,"",ROUNDUP(Y113/H113,0)*0.01898),"")</f>
        <v>9.4899999999999998E-2</v>
      </c>
      <c r="AA113" s="56"/>
      <c r="AB113" s="57"/>
      <c r="AC113" s="157" t="s">
        <v>211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41.47</v>
      </c>
      <c r="BN113" s="64">
        <f>IFERROR(Y113*I113/H113,"0")</f>
        <v>43.065000000000005</v>
      </c>
      <c r="BO113" s="64">
        <f>IFERROR(1/J113*(X113/H113),"0")</f>
        <v>7.5231481481481483E-2</v>
      </c>
      <c r="BP113" s="64">
        <f>IFERROR(1/J113*(Y113/H113),"0")</f>
        <v>7.8125E-2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188</v>
      </c>
      <c r="M115" s="33" t="s">
        <v>84</v>
      </c>
      <c r="N115" s="33"/>
      <c r="O115" s="32">
        <v>45</v>
      </c>
      <c r="P115" s="7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/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48"/>
      <c r="R116" s="548"/>
      <c r="S116" s="548"/>
      <c r="T116" s="549"/>
      <c r="U116" s="34"/>
      <c r="V116" s="34"/>
      <c r="W116" s="35" t="s">
        <v>69</v>
      </c>
      <c r="X116" s="541">
        <v>0</v>
      </c>
      <c r="Y116" s="54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72</v>
      </c>
      <c r="X117" s="543">
        <f>IFERROR(X113/H113,"0")+IFERROR(X114/H114,"0")+IFERROR(X115/H115,"0")+IFERROR(X116/H116,"0")</f>
        <v>4.8148148148148149</v>
      </c>
      <c r="Y117" s="543">
        <f>IFERROR(Y113/H113,"0")+IFERROR(Y114/H114,"0")+IFERROR(Y115/H115,"0")+IFERROR(Y116/H116,"0")</f>
        <v>5</v>
      </c>
      <c r="Z117" s="543">
        <f>IFERROR(IF(Z113="",0,Z113),"0")+IFERROR(IF(Z114="",0,Z114),"0")+IFERROR(IF(Z115="",0,Z115),"0")+IFERROR(IF(Z116="",0,Z116),"0")</f>
        <v>9.4899999999999998E-2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71</v>
      </c>
      <c r="Q118" s="562"/>
      <c r="R118" s="562"/>
      <c r="S118" s="562"/>
      <c r="T118" s="562"/>
      <c r="U118" s="562"/>
      <c r="V118" s="563"/>
      <c r="W118" s="37" t="s">
        <v>69</v>
      </c>
      <c r="X118" s="543">
        <f>IFERROR(SUM(X113:X116),"0")</f>
        <v>39</v>
      </c>
      <c r="Y118" s="543">
        <f>IFERROR(SUM(Y113:Y116),"0")</f>
        <v>40.5</v>
      </c>
      <c r="Z118" s="37"/>
      <c r="AA118" s="544"/>
      <c r="AB118" s="544"/>
      <c r="AC118" s="544"/>
    </row>
    <row r="119" spans="1:68" ht="14.25" customHeight="1" x14ac:dyDescent="0.25">
      <c r="A119" s="557" t="s">
        <v>165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40</v>
      </c>
      <c r="P120" s="6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48"/>
      <c r="R120" s="548"/>
      <c r="S120" s="548"/>
      <c r="T120" s="549"/>
      <c r="U120" s="34"/>
      <c r="V120" s="34"/>
      <c r="W120" s="35" t="s">
        <v>69</v>
      </c>
      <c r="X120" s="541">
        <v>0</v>
      </c>
      <c r="Y120" s="5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72</v>
      </c>
      <c r="X121" s="543">
        <f>IFERROR(X120/H120,"0")</f>
        <v>0</v>
      </c>
      <c r="Y121" s="543">
        <f>IFERROR(Y120/H120,"0")</f>
        <v>0</v>
      </c>
      <c r="Z121" s="543">
        <f>IFERROR(IF(Z120="",0,Z120),"0")</f>
        <v>0</v>
      </c>
      <c r="AA121" s="544"/>
      <c r="AB121" s="544"/>
      <c r="AC121" s="544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71</v>
      </c>
      <c r="Q122" s="562"/>
      <c r="R122" s="562"/>
      <c r="S122" s="562"/>
      <c r="T122" s="562"/>
      <c r="U122" s="562"/>
      <c r="V122" s="563"/>
      <c r="W122" s="37" t="s">
        <v>69</v>
      </c>
      <c r="X122" s="543">
        <f>IFERROR(SUM(X120:X120),"0")</f>
        <v>0</v>
      </c>
      <c r="Y122" s="543">
        <f>IFERROR(SUM(Y120:Y120),"0")</f>
        <v>0</v>
      </c>
      <c r="Z122" s="37"/>
      <c r="AA122" s="544"/>
      <c r="AB122" s="544"/>
      <c r="AC122" s="544"/>
    </row>
    <row r="123" spans="1:68" ht="16.5" customHeight="1" x14ac:dyDescent="0.25">
      <c r="A123" s="558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customHeight="1" x14ac:dyDescent="0.25">
      <c r="A124" s="557" t="s">
        <v>99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188</v>
      </c>
      <c r="M125" s="33" t="s">
        <v>94</v>
      </c>
      <c r="N125" s="33"/>
      <c r="O125" s="32">
        <v>90</v>
      </c>
      <c r="P125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 t="s">
        <v>188</v>
      </c>
      <c r="M126" s="33" t="s">
        <v>94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48"/>
      <c r="R126" s="548"/>
      <c r="S126" s="548"/>
      <c r="T126" s="549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72</v>
      </c>
      <c r="X127" s="543">
        <f>IFERROR(X125/H125,"0")+IFERROR(X126/H126,"0")</f>
        <v>0</v>
      </c>
      <c r="Y127" s="543">
        <f>IFERROR(Y125/H125,"0")+IFERROR(Y126/H126,"0")</f>
        <v>0</v>
      </c>
      <c r="Z127" s="543">
        <f>IFERROR(IF(Z125="",0,Z125),"0")+IFERROR(IF(Z126="",0,Z126),"0")</f>
        <v>0</v>
      </c>
      <c r="AA127" s="544"/>
      <c r="AB127" s="544"/>
      <c r="AC127" s="544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71</v>
      </c>
      <c r="Q128" s="562"/>
      <c r="R128" s="562"/>
      <c r="S128" s="562"/>
      <c r="T128" s="562"/>
      <c r="U128" s="562"/>
      <c r="V128" s="563"/>
      <c r="W128" s="37" t="s">
        <v>69</v>
      </c>
      <c r="X128" s="543">
        <f>IFERROR(SUM(X125:X126),"0")</f>
        <v>0</v>
      </c>
      <c r="Y128" s="543">
        <f>IFERROR(SUM(Y125:Y126),"0")</f>
        <v>0</v>
      </c>
      <c r="Z128" s="37"/>
      <c r="AA128" s="544"/>
      <c r="AB128" s="544"/>
      <c r="AC128" s="544"/>
    </row>
    <row r="129" spans="1:68" ht="14.25" customHeight="1" x14ac:dyDescent="0.25">
      <c r="A129" s="557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 t="s">
        <v>188</v>
      </c>
      <c r="M131" s="33" t="s">
        <v>94</v>
      </c>
      <c r="N131" s="33"/>
      <c r="O131" s="32">
        <v>90</v>
      </c>
      <c r="P131" s="6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48"/>
      <c r="R131" s="548"/>
      <c r="S131" s="548"/>
      <c r="T131" s="549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71</v>
      </c>
      <c r="Q133" s="562"/>
      <c r="R133" s="562"/>
      <c r="S133" s="562"/>
      <c r="T133" s="562"/>
      <c r="U133" s="562"/>
      <c r="V133" s="563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customHeight="1" x14ac:dyDescent="0.25">
      <c r="A134" s="557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/>
      <c r="M136" s="33" t="s">
        <v>94</v>
      </c>
      <c r="N136" s="33"/>
      <c r="O136" s="32">
        <v>60</v>
      </c>
      <c r="P136" s="84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48"/>
      <c r="R136" s="548"/>
      <c r="S136" s="548"/>
      <c r="T136" s="549"/>
      <c r="U136" s="34"/>
      <c r="V136" s="34"/>
      <c r="W136" s="35" t="s">
        <v>69</v>
      </c>
      <c r="X136" s="541">
        <v>0</v>
      </c>
      <c r="Y136" s="5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72</v>
      </c>
      <c r="X137" s="543">
        <f>IFERROR(X135/H135,"0")+IFERROR(X136/H136,"0")</f>
        <v>0</v>
      </c>
      <c r="Y137" s="543">
        <f>IFERROR(Y135/H135,"0")+IFERROR(Y136/H136,"0")</f>
        <v>0</v>
      </c>
      <c r="Z137" s="543">
        <f>IFERROR(IF(Z135="",0,Z135),"0")+IFERROR(IF(Z136="",0,Z136),"0")</f>
        <v>0</v>
      </c>
      <c r="AA137" s="544"/>
      <c r="AB137" s="544"/>
      <c r="AC137" s="544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71</v>
      </c>
      <c r="Q138" s="562"/>
      <c r="R138" s="562"/>
      <c r="S138" s="562"/>
      <c r="T138" s="562"/>
      <c r="U138" s="562"/>
      <c r="V138" s="563"/>
      <c r="W138" s="37" t="s">
        <v>69</v>
      </c>
      <c r="X138" s="543">
        <f>IFERROR(SUM(X135:X136),"0")</f>
        <v>0</v>
      </c>
      <c r="Y138" s="543">
        <f>IFERROR(SUM(Y135:Y136),"0")</f>
        <v>0</v>
      </c>
      <c r="Z138" s="37"/>
      <c r="AA138" s="544"/>
      <c r="AB138" s="544"/>
      <c r="AC138" s="544"/>
    </row>
    <row r="139" spans="1:68" ht="16.5" customHeight="1" x14ac:dyDescent="0.25">
      <c r="A139" s="558" t="s">
        <v>97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customHeight="1" x14ac:dyDescent="0.25">
      <c r="A140" s="557" t="s">
        <v>99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45">
        <v>4680115886810</v>
      </c>
      <c r="E143" s="546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48"/>
      <c r="R143" s="548"/>
      <c r="S143" s="548"/>
      <c r="T143" s="549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71</v>
      </c>
      <c r="Q145" s="562"/>
      <c r="R145" s="562"/>
      <c r="S145" s="562"/>
      <c r="T145" s="562"/>
      <c r="U145" s="562"/>
      <c r="V145" s="563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customHeight="1" x14ac:dyDescent="0.25">
      <c r="A146" s="557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45">
        <v>4607091387667</v>
      </c>
      <c r="E147" s="546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45">
        <v>4607091387636</v>
      </c>
      <c r="E148" s="546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2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48"/>
      <c r="R149" s="548"/>
      <c r="S149" s="548"/>
      <c r="T149" s="549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71</v>
      </c>
      <c r="Q151" s="562"/>
      <c r="R151" s="562"/>
      <c r="S151" s="562"/>
      <c r="T151" s="562"/>
      <c r="U151" s="562"/>
      <c r="V151" s="563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customHeight="1" x14ac:dyDescent="0.25">
      <c r="A152" s="557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45">
        <v>4680115887459</v>
      </c>
      <c r="E153" s="546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7" t="s">
        <v>255</v>
      </c>
      <c r="Q153" s="548"/>
      <c r="R153" s="548"/>
      <c r="S153" s="548"/>
      <c r="T153" s="549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71</v>
      </c>
      <c r="Q155" s="562"/>
      <c r="R155" s="562"/>
      <c r="S155" s="562"/>
      <c r="T155" s="562"/>
      <c r="U155" s="562"/>
      <c r="V155" s="563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customHeight="1" x14ac:dyDescent="0.2">
      <c r="A156" s="639" t="s">
        <v>257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8"/>
      <c r="AB156" s="48"/>
      <c r="AC156" s="48"/>
    </row>
    <row r="157" spans="1:68" ht="16.5" customHeight="1" x14ac:dyDescent="0.25">
      <c r="A157" s="558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customHeight="1" x14ac:dyDescent="0.25">
      <c r="A158" s="557" t="s">
        <v>135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45">
        <v>4680115886223</v>
      </c>
      <c r="E159" s="546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48"/>
      <c r="R159" s="548"/>
      <c r="S159" s="548"/>
      <c r="T159" s="549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71</v>
      </c>
      <c r="Q161" s="562"/>
      <c r="R161" s="562"/>
      <c r="S161" s="562"/>
      <c r="T161" s="562"/>
      <c r="U161" s="562"/>
      <c r="V161" s="563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customHeight="1" x14ac:dyDescent="0.25">
      <c r="A162" s="557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5">
        <v>4680115880993</v>
      </c>
      <c r="E163" s="546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37</v>
      </c>
      <c r="Y163" s="542">
        <f t="shared" ref="Y163:Y171" si="5">IFERROR(IF(X163="",0,CEILING((X163/$H163),1)*$H163),"")</f>
        <v>37.800000000000004</v>
      </c>
      <c r="Z163" s="36">
        <f>IFERROR(IF(Y163=0,"",ROUNDUP(Y163/H163,0)*0.00902),"")</f>
        <v>8.1180000000000002E-2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ref="BM163:BM171" si="6">IFERROR(X163*I163/H163,"0")</f>
        <v>39.378571428571426</v>
      </c>
      <c r="BN163" s="64">
        <f t="shared" ref="BN163:BN171" si="7">IFERROR(Y163*I163/H163,"0")</f>
        <v>40.229999999999997</v>
      </c>
      <c r="BO163" s="64">
        <f t="shared" ref="BO163:BO171" si="8">IFERROR(1/J163*(X163/H163),"0")</f>
        <v>6.6738816738816736E-2</v>
      </c>
      <c r="BP163" s="64">
        <f t="shared" ref="BP163:BP171" si="9">IFERROR(1/J163*(Y163/H163),"0")</f>
        <v>6.8181818181818177E-2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45">
        <v>4680115881761</v>
      </c>
      <c r="E164" s="546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5">
        <v>4680115881563</v>
      </c>
      <c r="E165" s="546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5">
        <v>4680115880986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49</v>
      </c>
      <c r="Y166" s="542">
        <f t="shared" si="5"/>
        <v>50.400000000000006</v>
      </c>
      <c r="Z166" s="36">
        <f>IFERROR(IF(Y166=0,"",ROUNDUP(Y166/H166,0)*0.00502),"")</f>
        <v>0.12048</v>
      </c>
      <c r="AA166" s="56"/>
      <c r="AB166" s="57"/>
      <c r="AC166" s="201" t="s">
        <v>264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52.033333333333331</v>
      </c>
      <c r="BN166" s="64">
        <f t="shared" si="7"/>
        <v>53.52</v>
      </c>
      <c r="BO166" s="64">
        <f t="shared" si="8"/>
        <v>9.9715099715099717E-2</v>
      </c>
      <c r="BP166" s="64">
        <f t="shared" si="9"/>
        <v>0.10256410256410257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5">
        <v>4680115881785</v>
      </c>
      <c r="E167" s="546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5">
        <v>4680115886537</v>
      </c>
      <c r="E168" s="546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273</v>
      </c>
      <c r="M168" s="33" t="s">
        <v>68</v>
      </c>
      <c r="N168" s="33"/>
      <c r="O168" s="32">
        <v>40</v>
      </c>
      <c r="P168" s="6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5">
        <v>4680115881679</v>
      </c>
      <c r="E169" s="546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5">
        <v>4680115880191</v>
      </c>
      <c r="E170" s="546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5">
        <v>4680115883963</v>
      </c>
      <c r="E171" s="546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32.142857142857139</v>
      </c>
      <c r="Y172" s="543">
        <f>IFERROR(Y163/H163,"0")+IFERROR(Y164/H164,"0")+IFERROR(Y165/H165,"0")+IFERROR(Y166/H166,"0")+IFERROR(Y167/H167,"0")+IFERROR(Y168/H168,"0")+IFERROR(Y169/H169,"0")+IFERROR(Y170/H170,"0")+IFERROR(Y171/H171,"0")</f>
        <v>33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0.20166000000000001</v>
      </c>
      <c r="AA172" s="544"/>
      <c r="AB172" s="544"/>
      <c r="AC172" s="544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3">
        <f>IFERROR(SUM(X163:X171),"0")</f>
        <v>86</v>
      </c>
      <c r="Y173" s="543">
        <f>IFERROR(SUM(Y163:Y171),"0")</f>
        <v>88.200000000000017</v>
      </c>
      <c r="Z173" s="37"/>
      <c r="AA173" s="544"/>
      <c r="AB173" s="544"/>
      <c r="AC173" s="544"/>
    </row>
    <row r="174" spans="1:68" ht="14.25" customHeight="1" x14ac:dyDescent="0.25">
      <c r="A174" s="557" t="s">
        <v>91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5">
        <v>4680115886780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5">
        <v>4680115886742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5">
        <v>4680115886766</v>
      </c>
      <c r="E177" s="546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7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5">
        <v>4680115886797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8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customHeight="1" x14ac:dyDescent="0.25">
      <c r="A185" s="557" t="s">
        <v>99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45">
        <v>4680115881402</v>
      </c>
      <c r="E186" s="546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5">
        <v>4680115881396</v>
      </c>
      <c r="E187" s="546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7" t="s">
        <v>135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5">
        <v>4680115882935</v>
      </c>
      <c r="E191" s="546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5">
        <v>4680115880764</v>
      </c>
      <c r="E192" s="546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188</v>
      </c>
      <c r="M192" s="33" t="s">
        <v>104</v>
      </c>
      <c r="N192" s="33"/>
      <c r="O192" s="32">
        <v>50</v>
      </c>
      <c r="P192" s="6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7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5">
        <v>4680115882683</v>
      </c>
      <c r="E196" s="546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95</v>
      </c>
      <c r="Y196" s="542">
        <f t="shared" ref="Y196:Y203" si="10">IFERROR(IF(X196="",0,CEILING((X196/$H196),1)*$H196),"")</f>
        <v>97.2</v>
      </c>
      <c r="Z196" s="36">
        <f>IFERROR(IF(Y196=0,"",ROUNDUP(Y196/H196,0)*0.00902),"")</f>
        <v>0.16236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98.694444444444443</v>
      </c>
      <c r="BN196" s="64">
        <f t="shared" ref="BN196:BN203" si="12">IFERROR(Y196*I196/H196,"0")</f>
        <v>100.98</v>
      </c>
      <c r="BO196" s="64">
        <f t="shared" ref="BO196:BO203" si="13">IFERROR(1/J196*(X196/H196),"0")</f>
        <v>0.13327721661054995</v>
      </c>
      <c r="BP196" s="64">
        <f t="shared" ref="BP196:BP203" si="14">IFERROR(1/J196*(Y196/H196),"0")</f>
        <v>0.13636363636363635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5">
        <v>4680115882690</v>
      </c>
      <c r="E197" s="546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5">
        <v>4680115882669</v>
      </c>
      <c r="E198" s="546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5">
        <v>4680115882676</v>
      </c>
      <c r="E199" s="546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59</v>
      </c>
      <c r="Y199" s="542">
        <f t="shared" si="10"/>
        <v>59.400000000000006</v>
      </c>
      <c r="Z199" s="36">
        <f>IFERROR(IF(Y199=0,"",ROUNDUP(Y199/H199,0)*0.00902),"")</f>
        <v>9.9220000000000003E-2</v>
      </c>
      <c r="AA199" s="56"/>
      <c r="AB199" s="57"/>
      <c r="AC199" s="235" t="s">
        <v>321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61.294444444444444</v>
      </c>
      <c r="BN199" s="64">
        <f t="shared" si="12"/>
        <v>61.71</v>
      </c>
      <c r="BO199" s="64">
        <f t="shared" si="13"/>
        <v>8.2772166105499437E-2</v>
      </c>
      <c r="BP199" s="64">
        <f t="shared" si="14"/>
        <v>8.3333333333333343E-2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5">
        <v>4680115884014</v>
      </c>
      <c r="E200" s="546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36</v>
      </c>
      <c r="Y200" s="542">
        <f t="shared" si="10"/>
        <v>36</v>
      </c>
      <c r="Z200" s="36">
        <f>IFERROR(IF(Y200=0,"",ROUNDUP(Y200/H200,0)*0.00502),"")</f>
        <v>0.1004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38.6</v>
      </c>
      <c r="BN200" s="64">
        <f t="shared" si="12"/>
        <v>38.6</v>
      </c>
      <c r="BO200" s="64">
        <f t="shared" si="13"/>
        <v>8.5470085470085472E-2</v>
      </c>
      <c r="BP200" s="64">
        <f t="shared" si="14"/>
        <v>8.5470085470085472E-2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5">
        <v>4680115884007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8</v>
      </c>
      <c r="Y201" s="542">
        <f t="shared" si="10"/>
        <v>9</v>
      </c>
      <c r="Z201" s="36">
        <f>IFERROR(IF(Y201=0,"",ROUNDUP(Y201/H201,0)*0.00502),"")</f>
        <v>2.5100000000000001E-2</v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8.4444444444444446</v>
      </c>
      <c r="BN201" s="64">
        <f t="shared" si="12"/>
        <v>9.4999999999999982</v>
      </c>
      <c r="BO201" s="64">
        <f t="shared" si="13"/>
        <v>1.8993352326685663E-2</v>
      </c>
      <c r="BP201" s="64">
        <f t="shared" si="14"/>
        <v>2.1367521367521368E-2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5">
        <v>4680115884038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5">
        <v>4680115884021</v>
      </c>
      <c r="E203" s="546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52.962962962962962</v>
      </c>
      <c r="Y204" s="543">
        <f>IFERROR(Y196/H196,"0")+IFERROR(Y197/H197,"0")+IFERROR(Y198/H198,"0")+IFERROR(Y199/H199,"0")+IFERROR(Y200/H200,"0")+IFERROR(Y201/H201,"0")+IFERROR(Y202/H202,"0")+IFERROR(Y203/H203,"0")</f>
        <v>54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0.38708000000000004</v>
      </c>
      <c r="AA204" s="544"/>
      <c r="AB204" s="544"/>
      <c r="AC204" s="544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3">
        <f>IFERROR(SUM(X196:X203),"0")</f>
        <v>198</v>
      </c>
      <c r="Y205" s="543">
        <f>IFERROR(SUM(Y196:Y203),"0")</f>
        <v>201.60000000000002</v>
      </c>
      <c r="Z205" s="37"/>
      <c r="AA205" s="544"/>
      <c r="AB205" s="544"/>
      <c r="AC205" s="544"/>
    </row>
    <row r="206" spans="1:68" ht="14.25" customHeight="1" x14ac:dyDescent="0.25">
      <c r="A206" s="557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5">
        <v>4680115881594</v>
      </c>
      <c r="E207" s="546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30</v>
      </c>
      <c r="Y207" s="542">
        <f t="shared" ref="Y207:Y215" si="15">IFERROR(IF(X207="",0,CEILING((X207/$H207),1)*$H207),"")</f>
        <v>32.4</v>
      </c>
      <c r="Z207" s="36">
        <f>IFERROR(IF(Y207=0,"",ROUNDUP(Y207/H207,0)*0.01898),"")</f>
        <v>7.5920000000000001E-2</v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31.922222222222224</v>
      </c>
      <c r="BN207" s="64">
        <f t="shared" ref="BN207:BN215" si="17">IFERROR(Y207*I207/H207,"0")</f>
        <v>34.475999999999999</v>
      </c>
      <c r="BO207" s="64">
        <f t="shared" ref="BO207:BO215" si="18">IFERROR(1/J207*(X207/H207),"0")</f>
        <v>5.7870370370370371E-2</v>
      </c>
      <c r="BP207" s="64">
        <f t="shared" ref="BP207:BP215" si="19">IFERROR(1/J207*(Y207/H207),"0")</f>
        <v>6.25E-2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5">
        <v>4680115881617</v>
      </c>
      <c r="E208" s="546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30</v>
      </c>
      <c r="Y208" s="542">
        <f t="shared" si="15"/>
        <v>32.4</v>
      </c>
      <c r="Z208" s="36">
        <f>IFERROR(IF(Y208=0,"",ROUNDUP(Y208/H208,0)*0.01898),"")</f>
        <v>7.5920000000000001E-2</v>
      </c>
      <c r="AA208" s="56"/>
      <c r="AB208" s="57"/>
      <c r="AC208" s="247" t="s">
        <v>335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31.855555555555561</v>
      </c>
      <c r="BN208" s="64">
        <f t="shared" si="17"/>
        <v>34.404000000000003</v>
      </c>
      <c r="BO208" s="64">
        <f t="shared" si="18"/>
        <v>5.7870370370370371E-2</v>
      </c>
      <c r="BP208" s="64">
        <f t="shared" si="19"/>
        <v>6.25E-2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5">
        <v>4680115880573</v>
      </c>
      <c r="E209" s="546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5">
        <v>4680115882195</v>
      </c>
      <c r="E210" s="546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188</v>
      </c>
      <c r="M210" s="33" t="s">
        <v>77</v>
      </c>
      <c r="N210" s="33"/>
      <c r="O210" s="32">
        <v>40</v>
      </c>
      <c r="P21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64</v>
      </c>
      <c r="Y210" s="542">
        <f t="shared" si="15"/>
        <v>64.8</v>
      </c>
      <c r="Z210" s="36">
        <f t="shared" ref="Z210:Z215" si="20">IFERROR(IF(Y210=0,"",ROUNDUP(Y210/H210,0)*0.00651),"")</f>
        <v>0.17577000000000001</v>
      </c>
      <c r="AA210" s="56"/>
      <c r="AB210" s="57"/>
      <c r="AC210" s="251" t="s">
        <v>332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71.2</v>
      </c>
      <c r="BN210" s="64">
        <f t="shared" si="17"/>
        <v>72.09</v>
      </c>
      <c r="BO210" s="64">
        <f t="shared" si="18"/>
        <v>0.14652014652014653</v>
      </c>
      <c r="BP210" s="64">
        <f t="shared" si="19"/>
        <v>0.14835164835164835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5">
        <v>4680115882607</v>
      </c>
      <c r="E211" s="546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5">
        <v>4680115880092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188</v>
      </c>
      <c r="M212" s="33" t="s">
        <v>77</v>
      </c>
      <c r="N212" s="33"/>
      <c r="O212" s="32">
        <v>45</v>
      </c>
      <c r="P212" s="7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79</v>
      </c>
      <c r="Y212" s="542">
        <f t="shared" si="15"/>
        <v>79.2</v>
      </c>
      <c r="Z212" s="36">
        <f t="shared" si="20"/>
        <v>0.21482999999999999</v>
      </c>
      <c r="AA212" s="56"/>
      <c r="AB212" s="57"/>
      <c r="AC212" s="255" t="s">
        <v>338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87.295000000000002</v>
      </c>
      <c r="BN212" s="64">
        <f t="shared" si="17"/>
        <v>87.51600000000002</v>
      </c>
      <c r="BO212" s="64">
        <f t="shared" si="18"/>
        <v>0.18086080586080591</v>
      </c>
      <c r="BP212" s="64">
        <f t="shared" si="19"/>
        <v>0.18131868131868134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5">
        <v>4680115880221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188</v>
      </c>
      <c r="M213" s="33" t="s">
        <v>77</v>
      </c>
      <c r="N213" s="33"/>
      <c r="O213" s="32">
        <v>45</v>
      </c>
      <c r="P213" s="5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148</v>
      </c>
      <c r="Y213" s="542">
        <f t="shared" si="15"/>
        <v>148.79999999999998</v>
      </c>
      <c r="Z213" s="36">
        <f t="shared" si="20"/>
        <v>0.40362000000000003</v>
      </c>
      <c r="AA213" s="56"/>
      <c r="AB213" s="57"/>
      <c r="AC213" s="257" t="s">
        <v>338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163.54000000000002</v>
      </c>
      <c r="BN213" s="64">
        <f t="shared" si="17"/>
        <v>164.42400000000001</v>
      </c>
      <c r="BO213" s="64">
        <f t="shared" si="18"/>
        <v>0.3388278388278389</v>
      </c>
      <c r="BP213" s="64">
        <f t="shared" si="19"/>
        <v>0.34065934065934067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5">
        <v>4680115880504</v>
      </c>
      <c r="E214" s="546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188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5">
        <v>4680115882164</v>
      </c>
      <c r="E215" s="546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188</v>
      </c>
      <c r="M215" s="33" t="s">
        <v>77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1">
        <v>28</v>
      </c>
      <c r="Y215" s="542">
        <f t="shared" si="15"/>
        <v>28.799999999999997</v>
      </c>
      <c r="Z215" s="36">
        <f t="shared" si="20"/>
        <v>7.8119999999999995E-2</v>
      </c>
      <c r="AA215" s="56"/>
      <c r="AB215" s="57"/>
      <c r="AC215" s="261" t="s">
        <v>335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31.009999999999998</v>
      </c>
      <c r="BN215" s="64">
        <f t="shared" si="17"/>
        <v>31.896000000000001</v>
      </c>
      <c r="BO215" s="64">
        <f t="shared" si="18"/>
        <v>6.4102564102564111E-2</v>
      </c>
      <c r="BP215" s="64">
        <f t="shared" si="19"/>
        <v>6.5934065934065936E-2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140.32407407407408</v>
      </c>
      <c r="Y216" s="543">
        <f>IFERROR(Y207/H207,"0")+IFERROR(Y208/H208,"0")+IFERROR(Y209/H209,"0")+IFERROR(Y210/H210,"0")+IFERROR(Y211/H211,"0")+IFERROR(Y212/H212,"0")+IFERROR(Y213/H213,"0")+IFERROR(Y214/H214,"0")+IFERROR(Y215/H215,"0")</f>
        <v>142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1.0241800000000001</v>
      </c>
      <c r="AA216" s="544"/>
      <c r="AB216" s="544"/>
      <c r="AC216" s="544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3">
        <f>IFERROR(SUM(X207:X215),"0")</f>
        <v>379</v>
      </c>
      <c r="Y217" s="543">
        <f>IFERROR(SUM(Y207:Y215),"0")</f>
        <v>386.40000000000003</v>
      </c>
      <c r="Z217" s="37"/>
      <c r="AA217" s="544"/>
      <c r="AB217" s="544"/>
      <c r="AC217" s="544"/>
    </row>
    <row r="218" spans="1:68" ht="14.25" customHeight="1" x14ac:dyDescent="0.25">
      <c r="A218" s="557" t="s">
        <v>165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5">
        <v>4680115880818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188</v>
      </c>
      <c r="M219" s="33" t="s">
        <v>84</v>
      </c>
      <c r="N219" s="33"/>
      <c r="O219" s="32">
        <v>40</v>
      </c>
      <c r="P21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3</v>
      </c>
      <c r="Y219" s="542">
        <f>IFERROR(IF(X219="",0,CEILING((X219/$H219),1)*$H219),"")</f>
        <v>4.8</v>
      </c>
      <c r="Z219" s="36">
        <f>IFERROR(IF(Y219=0,"",ROUNDUP(Y219/H219,0)*0.00651),"")</f>
        <v>1.302E-2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3.3150000000000004</v>
      </c>
      <c r="BN219" s="64">
        <f>IFERROR(Y219*I219/H219,"0")</f>
        <v>5.3040000000000003</v>
      </c>
      <c r="BO219" s="64">
        <f>IFERROR(1/J219*(X219/H219),"0")</f>
        <v>6.8681318681318689E-3</v>
      </c>
      <c r="BP219" s="64">
        <f>IFERROR(1/J219*(Y219/H219),"0")</f>
        <v>1.098901098901099E-2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5">
        <v>4680115880801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188</v>
      </c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3">
        <f>IFERROR(X219/H219,"0")+IFERROR(X220/H220,"0")</f>
        <v>1.25</v>
      </c>
      <c r="Y221" s="543">
        <f>IFERROR(Y219/H219,"0")+IFERROR(Y220/H220,"0")</f>
        <v>2</v>
      </c>
      <c r="Z221" s="543">
        <f>IFERROR(IF(Z219="",0,Z219),"0")+IFERROR(IF(Z220="",0,Z220),"0")</f>
        <v>1.302E-2</v>
      </c>
      <c r="AA221" s="544"/>
      <c r="AB221" s="544"/>
      <c r="AC221" s="544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3">
        <f>IFERROR(SUM(X219:X220),"0")</f>
        <v>3</v>
      </c>
      <c r="Y222" s="543">
        <f>IFERROR(SUM(Y219:Y220),"0")</f>
        <v>4.8</v>
      </c>
      <c r="Z222" s="37"/>
      <c r="AA222" s="544"/>
      <c r="AB222" s="544"/>
      <c r="AC222" s="544"/>
    </row>
    <row r="223" spans="1:68" ht="16.5" customHeight="1" x14ac:dyDescent="0.25">
      <c r="A223" s="558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customHeight="1" x14ac:dyDescent="0.25">
      <c r="A224" s="557" t="s">
        <v>99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45">
        <v>4680115884137</v>
      </c>
      <c r="E225" s="546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45">
        <v>4680115884236</v>
      </c>
      <c r="E226" s="546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45">
        <v>4680115884175</v>
      </c>
      <c r="E227" s="546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45">
        <v>4680115884144</v>
      </c>
      <c r="E229" s="546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45">
        <v>4680115886551</v>
      </c>
      <c r="E230" s="546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45">
        <v>4680115884182</v>
      </c>
      <c r="E231" s="546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45">
        <v>4680115887282</v>
      </c>
      <c r="E232" s="546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45">
        <v>4680115884205</v>
      </c>
      <c r="E234" s="546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7" t="s">
        <v>135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45">
        <v>4680115885981</v>
      </c>
      <c r="E238" s="546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7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45">
        <v>4680115886803</v>
      </c>
      <c r="E242" s="546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7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45">
        <v>4680115886704</v>
      </c>
      <c r="E246" s="546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45">
        <v>4680115886681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5">
        <v>4680115886735</v>
      </c>
      <c r="E248" s="546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45">
        <v>4680115886728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45">
        <v>4680115886711</v>
      </c>
      <c r="E250" s="546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8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customHeight="1" x14ac:dyDescent="0.25">
      <c r="A254" s="557" t="s">
        <v>99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45">
        <v>4680115885837</v>
      </c>
      <c r="E255" s="546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45">
        <v>4680115885851</v>
      </c>
      <c r="E256" s="546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45">
        <v>4680115885806</v>
      </c>
      <c r="E257" s="546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45">
        <v>4680115885844</v>
      </c>
      <c r="E258" s="546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45">
        <v>4680115885820</v>
      </c>
      <c r="E259" s="546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8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customHeight="1" x14ac:dyDescent="0.25">
      <c r="A263" s="557" t="s">
        <v>99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45">
        <v>4607091383423</v>
      </c>
      <c r="E264" s="546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45">
        <v>4680115886957</v>
      </c>
      <c r="E265" s="546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45">
        <v>4680115885660</v>
      </c>
      <c r="E266" s="546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45">
        <v>4680115886773</v>
      </c>
      <c r="E267" s="546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8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customHeight="1" x14ac:dyDescent="0.25">
      <c r="A271" s="557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45">
        <v>4680115886186</v>
      </c>
      <c r="E272" s="546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45">
        <v>4680115881228</v>
      </c>
      <c r="E273" s="546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188</v>
      </c>
      <c r="M273" s="33" t="s">
        <v>84</v>
      </c>
      <c r="N273" s="33"/>
      <c r="O273" s="32">
        <v>40</v>
      </c>
      <c r="P273" s="6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5">
        <v>4680115881211</v>
      </c>
      <c r="E274" s="546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188</v>
      </c>
      <c r="M274" s="33" t="s">
        <v>77</v>
      </c>
      <c r="N274" s="33"/>
      <c r="O274" s="32">
        <v>45</v>
      </c>
      <c r="P274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1">
        <v>120</v>
      </c>
      <c r="Y274" s="542">
        <f>IFERROR(IF(X274="",0,CEILING((X274/$H274),1)*$H274),"")</f>
        <v>120</v>
      </c>
      <c r="Z274" s="36">
        <f>IFERROR(IF(Y274=0,"",ROUNDUP(Y274/H274,0)*0.00651),"")</f>
        <v>0.32550000000000001</v>
      </c>
      <c r="AA274" s="56"/>
      <c r="AB274" s="57"/>
      <c r="AC274" s="323" t="s">
        <v>431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129.00000000000003</v>
      </c>
      <c r="BN274" s="64">
        <f>IFERROR(Y274*I274/H274,"0")</f>
        <v>129.00000000000003</v>
      </c>
      <c r="BO274" s="64">
        <f>IFERROR(1/J274*(X274/H274),"0")</f>
        <v>0.27472527472527475</v>
      </c>
      <c r="BP274" s="64">
        <f>IFERROR(1/J274*(Y274/H274),"0")</f>
        <v>0.27472527472527475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3">
        <f>IFERROR(X272/H272,"0")+IFERROR(X273/H273,"0")+IFERROR(X274/H274,"0")</f>
        <v>50</v>
      </c>
      <c r="Y275" s="543">
        <f>IFERROR(Y272/H272,"0")+IFERROR(Y273/H273,"0")+IFERROR(Y274/H274,"0")</f>
        <v>50</v>
      </c>
      <c r="Z275" s="543">
        <f>IFERROR(IF(Z272="",0,Z272),"0")+IFERROR(IF(Z273="",0,Z273),"0")+IFERROR(IF(Z274="",0,Z274),"0")</f>
        <v>0.32550000000000001</v>
      </c>
      <c r="AA275" s="544"/>
      <c r="AB275" s="544"/>
      <c r="AC275" s="544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3">
        <f>IFERROR(SUM(X272:X274),"0")</f>
        <v>120</v>
      </c>
      <c r="Y276" s="543">
        <f>IFERROR(SUM(Y272:Y274),"0")</f>
        <v>120</v>
      </c>
      <c r="Z276" s="37"/>
      <c r="AA276" s="544"/>
      <c r="AB276" s="544"/>
      <c r="AC276" s="544"/>
    </row>
    <row r="277" spans="1:68" ht="16.5" customHeight="1" x14ac:dyDescent="0.25">
      <c r="A277" s="558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customHeight="1" x14ac:dyDescent="0.25">
      <c r="A278" s="557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45">
        <v>4680115880344</v>
      </c>
      <c r="E279" s="546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45">
        <v>4680115886919</v>
      </c>
      <c r="E280" s="546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7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45">
        <v>4680115884618</v>
      </c>
      <c r="E284" s="546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71</v>
      </c>
      <c r="Q285" s="562"/>
      <c r="R285" s="562"/>
      <c r="S285" s="562"/>
      <c r="T285" s="562"/>
      <c r="U285" s="562"/>
      <c r="V285" s="563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customHeight="1" x14ac:dyDescent="0.25">
      <c r="A288" s="557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8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71</v>
      </c>
      <c r="Q294" s="562"/>
      <c r="R294" s="562"/>
      <c r="S294" s="562"/>
      <c r="T294" s="562"/>
      <c r="U294" s="562"/>
      <c r="V294" s="563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71</v>
      </c>
      <c r="Q295" s="562"/>
      <c r="R295" s="562"/>
      <c r="S295" s="562"/>
      <c r="T295" s="562"/>
      <c r="U295" s="562"/>
      <c r="V295" s="563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7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71</v>
      </c>
      <c r="Q304" s="562"/>
      <c r="R304" s="562"/>
      <c r="S304" s="562"/>
      <c r="T304" s="562"/>
      <c r="U304" s="562"/>
      <c r="V304" s="563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71</v>
      </c>
      <c r="Q305" s="562"/>
      <c r="R305" s="562"/>
      <c r="S305" s="562"/>
      <c r="T305" s="562"/>
      <c r="U305" s="562"/>
      <c r="V305" s="563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7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 t="s">
        <v>188</v>
      </c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106</v>
      </c>
      <c r="AK311" s="68">
        <v>37.799999999999997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71</v>
      </c>
      <c r="Q312" s="562"/>
      <c r="R312" s="562"/>
      <c r="S312" s="562"/>
      <c r="T312" s="562"/>
      <c r="U312" s="562"/>
      <c r="V312" s="563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customHeight="1" x14ac:dyDescent="0.25">
      <c r="A314" s="557" t="s">
        <v>165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7</v>
      </c>
      <c r="Y315" s="542">
        <f>IFERROR(IF(X315="",0,CEILING((X315/$H315),1)*$H315),"")</f>
        <v>8.4</v>
      </c>
      <c r="Z315" s="36">
        <f>IFERROR(IF(Y315=0,"",ROUNDUP(Y315/H315,0)*0.01898),"")</f>
        <v>1.898E-2</v>
      </c>
      <c r="AA315" s="56"/>
      <c r="AB315" s="57"/>
      <c r="AC315" s="365" t="s">
        <v>498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7.4325000000000001</v>
      </c>
      <c r="BN315" s="64">
        <f>IFERROR(Y315*I315/H315,"0")</f>
        <v>8.9190000000000005</v>
      </c>
      <c r="BO315" s="64">
        <f>IFERROR(1/J315*(X315/H315),"0")</f>
        <v>1.3020833333333332E-2</v>
      </c>
      <c r="BP315" s="64">
        <f>IFERROR(1/J315*(Y315/H315),"0")</f>
        <v>1.5625E-2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22</v>
      </c>
      <c r="Y316" s="542">
        <f>IFERROR(IF(X316="",0,CEILING((X316/$H316),1)*$H316),"")</f>
        <v>23.4</v>
      </c>
      <c r="Z316" s="36">
        <f>IFERROR(IF(Y316=0,"",ROUNDUP(Y316/H316,0)*0.01898),"")</f>
        <v>5.6940000000000004E-2</v>
      </c>
      <c r="AA316" s="56"/>
      <c r="AB316" s="57"/>
      <c r="AC316" s="367" t="s">
        <v>501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23.463846153846159</v>
      </c>
      <c r="BN316" s="64">
        <f>IFERROR(Y316*I316/H316,"0")</f>
        <v>24.957000000000001</v>
      </c>
      <c r="BO316" s="64">
        <f>IFERROR(1/J316*(X316/H316),"0")</f>
        <v>4.4070512820512824E-2</v>
      </c>
      <c r="BP316" s="64">
        <f>IFERROR(1/J316*(Y316/H316),"0")</f>
        <v>4.6875E-2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71</v>
      </c>
      <c r="Q318" s="562"/>
      <c r="R318" s="562"/>
      <c r="S318" s="562"/>
      <c r="T318" s="562"/>
      <c r="U318" s="562"/>
      <c r="V318" s="563"/>
      <c r="W318" s="37" t="s">
        <v>72</v>
      </c>
      <c r="X318" s="543">
        <f>IFERROR(X315/H315,"0")+IFERROR(X316/H316,"0")+IFERROR(X317/H317,"0")</f>
        <v>3.6538461538461542</v>
      </c>
      <c r="Y318" s="543">
        <f>IFERROR(Y315/H315,"0")+IFERROR(Y316/H316,"0")+IFERROR(Y317/H317,"0")</f>
        <v>4</v>
      </c>
      <c r="Z318" s="543">
        <f>IFERROR(IF(Z315="",0,Z315),"0")+IFERROR(IF(Z316="",0,Z316),"0")+IFERROR(IF(Z317="",0,Z317),"0")</f>
        <v>7.5920000000000001E-2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69</v>
      </c>
      <c r="X319" s="543">
        <f>IFERROR(SUM(X315:X317),"0")</f>
        <v>29</v>
      </c>
      <c r="Y319" s="543">
        <f>IFERROR(SUM(Y315:Y317),"0")</f>
        <v>31.799999999999997</v>
      </c>
      <c r="Z319" s="37"/>
      <c r="AA319" s="544"/>
      <c r="AB319" s="544"/>
      <c r="AC319" s="544"/>
    </row>
    <row r="320" spans="1:68" ht="14.25" customHeight="1" x14ac:dyDescent="0.25">
      <c r="A320" s="557" t="s">
        <v>91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510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188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188</v>
      </c>
      <c r="M324" s="33" t="s">
        <v>94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71</v>
      </c>
      <c r="Q325" s="562"/>
      <c r="R325" s="562"/>
      <c r="S325" s="562"/>
      <c r="T325" s="562"/>
      <c r="U325" s="562"/>
      <c r="V325" s="563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7" t="s">
        <v>516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188</v>
      </c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0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188</v>
      </c>
      <c r="M330" s="33" t="s">
        <v>519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71</v>
      </c>
      <c r="Q331" s="562"/>
      <c r="R331" s="562"/>
      <c r="S331" s="562"/>
      <c r="T331" s="562"/>
      <c r="U331" s="562"/>
      <c r="V331" s="563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8" t="s">
        <v>525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customHeight="1" x14ac:dyDescent="0.25">
      <c r="A334" s="557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188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188</v>
      </c>
      <c r="M337" s="33" t="s">
        <v>84</v>
      </c>
      <c r="N337" s="33"/>
      <c r="O337" s="32">
        <v>40</v>
      </c>
      <c r="P337" s="6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71</v>
      </c>
      <c r="Q338" s="562"/>
      <c r="R338" s="562"/>
      <c r="S338" s="562"/>
      <c r="T338" s="562"/>
      <c r="U338" s="562"/>
      <c r="V338" s="563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9" t="s">
        <v>535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8"/>
      <c r="AB340" s="48"/>
      <c r="AC340" s="48"/>
    </row>
    <row r="341" spans="1:68" ht="16.5" customHeight="1" x14ac:dyDescent="0.25">
      <c r="A341" s="558" t="s">
        <v>536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customHeight="1" x14ac:dyDescent="0.25">
      <c r="A342" s="557" t="s">
        <v>99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209</v>
      </c>
      <c r="Y343" s="542">
        <f t="shared" ref="Y343:Y349" si="31">IFERROR(IF(X343="",0,CEILING((X343/$H343),1)*$H343),"")</f>
        <v>210</v>
      </c>
      <c r="Z343" s="36">
        <f>IFERROR(IF(Y343=0,"",ROUNDUP(Y343/H343,0)*0.02175),"")</f>
        <v>0.30449999999999999</v>
      </c>
      <c r="AA343" s="56"/>
      <c r="AB343" s="57"/>
      <c r="AC343" s="391" t="s">
        <v>539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215.68800000000002</v>
      </c>
      <c r="BN343" s="64">
        <f t="shared" ref="BN343:BN349" si="33">IFERROR(Y343*I343/H343,"0")</f>
        <v>216.72</v>
      </c>
      <c r="BO343" s="64">
        <f t="shared" ref="BO343:BO349" si="34">IFERROR(1/J343*(X343/H343),"0")</f>
        <v>0.29027777777777775</v>
      </c>
      <c r="BP343" s="64">
        <f t="shared" ref="BP343:BP349" si="35">IFERROR(1/J343*(Y343/H343),"0")</f>
        <v>0.29166666666666663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194</v>
      </c>
      <c r="Y344" s="542">
        <f t="shared" si="31"/>
        <v>195</v>
      </c>
      <c r="Z344" s="36">
        <f>IFERROR(IF(Y344=0,"",ROUNDUP(Y344/H344,0)*0.02175),"")</f>
        <v>0.28275</v>
      </c>
      <c r="AA344" s="56"/>
      <c r="AB344" s="57"/>
      <c r="AC344" s="393" t="s">
        <v>542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200.208</v>
      </c>
      <c r="BN344" s="64">
        <f t="shared" si="33"/>
        <v>201.23999999999998</v>
      </c>
      <c r="BO344" s="64">
        <f t="shared" si="34"/>
        <v>0.26944444444444443</v>
      </c>
      <c r="BP344" s="64">
        <f t="shared" si="35"/>
        <v>0.27083333333333331</v>
      </c>
    </row>
    <row r="345" spans="1:68" ht="27" customHeight="1" x14ac:dyDescent="0.25">
      <c r="A345" s="54" t="s">
        <v>543</v>
      </c>
      <c r="B345" s="54" t="s">
        <v>544</v>
      </c>
      <c r="C345" s="31">
        <v>4301011832</v>
      </c>
      <c r="D345" s="545">
        <v>4607091383997</v>
      </c>
      <c r="E345" s="546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234</v>
      </c>
      <c r="Y345" s="542">
        <f t="shared" si="31"/>
        <v>240</v>
      </c>
      <c r="Z345" s="36">
        <f>IFERROR(IF(Y345=0,"",ROUNDUP(Y345/H345,0)*0.02175),"")</f>
        <v>0.34799999999999998</v>
      </c>
      <c r="AA345" s="56"/>
      <c r="AB345" s="57"/>
      <c r="AC345" s="395" t="s">
        <v>545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241.488</v>
      </c>
      <c r="BN345" s="64">
        <f t="shared" si="33"/>
        <v>247.68</v>
      </c>
      <c r="BO345" s="64">
        <f t="shared" si="34"/>
        <v>0.32499999999999996</v>
      </c>
      <c r="BP345" s="64">
        <f t="shared" si="35"/>
        <v>0.33333333333333331</v>
      </c>
    </row>
    <row r="346" spans="1:68" ht="37.5" customHeight="1" x14ac:dyDescent="0.25">
      <c r="A346" s="54" t="s">
        <v>546</v>
      </c>
      <c r="B346" s="54" t="s">
        <v>547</v>
      </c>
      <c r="C346" s="31">
        <v>4301011867</v>
      </c>
      <c r="D346" s="545">
        <v>4680115884830</v>
      </c>
      <c r="E346" s="546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 t="s">
        <v>103</v>
      </c>
      <c r="M346" s="33" t="s">
        <v>68</v>
      </c>
      <c r="N346" s="33"/>
      <c r="O346" s="32">
        <v>60</v>
      </c>
      <c r="P346" s="7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530</v>
      </c>
      <c r="Y346" s="542">
        <f t="shared" si="31"/>
        <v>540</v>
      </c>
      <c r="Z346" s="36">
        <f>IFERROR(IF(Y346=0,"",ROUNDUP(Y346/H346,0)*0.02175),"")</f>
        <v>0.78299999999999992</v>
      </c>
      <c r="AA346" s="56"/>
      <c r="AB346" s="57"/>
      <c r="AC346" s="397" t="s">
        <v>548</v>
      </c>
      <c r="AG346" s="64"/>
      <c r="AJ346" s="68" t="s">
        <v>106</v>
      </c>
      <c r="AK346" s="68">
        <v>120</v>
      </c>
      <c r="BB346" s="398" t="s">
        <v>1</v>
      </c>
      <c r="BM346" s="64">
        <f t="shared" si="32"/>
        <v>546.95999999999992</v>
      </c>
      <c r="BN346" s="64">
        <f t="shared" si="33"/>
        <v>557.28000000000009</v>
      </c>
      <c r="BO346" s="64">
        <f t="shared" si="34"/>
        <v>0.73611111111111116</v>
      </c>
      <c r="BP346" s="64">
        <f t="shared" si="35"/>
        <v>0.75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71</v>
      </c>
      <c r="Q350" s="562"/>
      <c r="R350" s="562"/>
      <c r="S350" s="562"/>
      <c r="T350" s="562"/>
      <c r="U350" s="562"/>
      <c r="V350" s="563"/>
      <c r="W350" s="37" t="s">
        <v>72</v>
      </c>
      <c r="X350" s="543">
        <f>IFERROR(X343/H343,"0")+IFERROR(X344/H344,"0")+IFERROR(X345/H345,"0")+IFERROR(X346/H346,"0")+IFERROR(X347/H347,"0")+IFERROR(X348/H348,"0")+IFERROR(X349/H349,"0")</f>
        <v>77.800000000000011</v>
      </c>
      <c r="Y350" s="543">
        <f>IFERROR(Y343/H343,"0")+IFERROR(Y344/H344,"0")+IFERROR(Y345/H345,"0")+IFERROR(Y346/H346,"0")+IFERROR(Y347/H347,"0")+IFERROR(Y348/H348,"0")+IFERROR(Y349/H349,"0")</f>
        <v>79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1.7182499999999998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69</v>
      </c>
      <c r="X351" s="543">
        <f>IFERROR(SUM(X343:X349),"0")</f>
        <v>1167</v>
      </c>
      <c r="Y351" s="543">
        <f>IFERROR(SUM(Y343:Y349),"0")</f>
        <v>1185</v>
      </c>
      <c r="Z351" s="37"/>
      <c r="AA351" s="544"/>
      <c r="AB351" s="544"/>
      <c r="AC351" s="544"/>
    </row>
    <row r="352" spans="1:68" ht="14.25" customHeight="1" x14ac:dyDescent="0.25">
      <c r="A352" s="557" t="s">
        <v>135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272</v>
      </c>
      <c r="Y353" s="542">
        <f>IFERROR(IF(X353="",0,CEILING((X353/$H353),1)*$H353),"")</f>
        <v>285</v>
      </c>
      <c r="Z353" s="36">
        <f>IFERROR(IF(Y353=0,"",ROUNDUP(Y353/H353,0)*0.02175),"")</f>
        <v>0.41324999999999995</v>
      </c>
      <c r="AA353" s="56"/>
      <c r="AB353" s="57"/>
      <c r="AC353" s="405" t="s">
        <v>558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280.70400000000001</v>
      </c>
      <c r="BN353" s="64">
        <f>IFERROR(Y353*I353/H353,"0")</f>
        <v>294.12</v>
      </c>
      <c r="BO353" s="64">
        <f>IFERROR(1/J353*(X353/H353),"0")</f>
        <v>0.37777777777777777</v>
      </c>
      <c r="BP353" s="64">
        <f>IFERROR(1/J353*(Y353/H353),"0")</f>
        <v>0.39583333333333331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71</v>
      </c>
      <c r="Q355" s="562"/>
      <c r="R355" s="562"/>
      <c r="S355" s="562"/>
      <c r="T355" s="562"/>
      <c r="U355" s="562"/>
      <c r="V355" s="563"/>
      <c r="W355" s="37" t="s">
        <v>72</v>
      </c>
      <c r="X355" s="543">
        <f>IFERROR(X353/H353,"0")+IFERROR(X354/H354,"0")</f>
        <v>18.133333333333333</v>
      </c>
      <c r="Y355" s="543">
        <f>IFERROR(Y353/H353,"0")+IFERROR(Y354/H354,"0")</f>
        <v>19</v>
      </c>
      <c r="Z355" s="543">
        <f>IFERROR(IF(Z353="",0,Z353),"0")+IFERROR(IF(Z354="",0,Z354),"0")</f>
        <v>0.41324999999999995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69</v>
      </c>
      <c r="X356" s="543">
        <f>IFERROR(SUM(X353:X354),"0")</f>
        <v>272</v>
      </c>
      <c r="Y356" s="543">
        <f>IFERROR(SUM(Y353:Y354),"0")</f>
        <v>285</v>
      </c>
      <c r="Z356" s="37"/>
      <c r="AA356" s="544"/>
      <c r="AB356" s="544"/>
      <c r="AC356" s="544"/>
    </row>
    <row r="357" spans="1:68" ht="14.25" customHeight="1" x14ac:dyDescent="0.25">
      <c r="A357" s="557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85</v>
      </c>
      <c r="Y359" s="542">
        <f>IFERROR(IF(X359="",0,CEILING((X359/$H359),1)*$H359),"")</f>
        <v>90</v>
      </c>
      <c r="Z359" s="36">
        <f>IFERROR(IF(Y359=0,"",ROUNDUP(Y359/H359,0)*0.01898),"")</f>
        <v>0.1898</v>
      </c>
      <c r="AA359" s="56"/>
      <c r="AB359" s="57"/>
      <c r="AC359" s="411" t="s">
        <v>566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89.901666666666671</v>
      </c>
      <c r="BN359" s="64">
        <f>IFERROR(Y359*I359/H359,"0")</f>
        <v>95.19</v>
      </c>
      <c r="BO359" s="64">
        <f>IFERROR(1/J359*(X359/H359),"0")</f>
        <v>0.14756944444444445</v>
      </c>
      <c r="BP359" s="64">
        <f>IFERROR(1/J359*(Y359/H359),"0")</f>
        <v>0.15625</v>
      </c>
    </row>
    <row r="360" spans="1:68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71</v>
      </c>
      <c r="Q360" s="562"/>
      <c r="R360" s="562"/>
      <c r="S360" s="562"/>
      <c r="T360" s="562"/>
      <c r="U360" s="562"/>
      <c r="V360" s="563"/>
      <c r="W360" s="37" t="s">
        <v>72</v>
      </c>
      <c r="X360" s="543">
        <f>IFERROR(X358/H358,"0")+IFERROR(X359/H359,"0")</f>
        <v>9.4444444444444446</v>
      </c>
      <c r="Y360" s="543">
        <f>IFERROR(Y358/H358,"0")+IFERROR(Y359/H359,"0")</f>
        <v>10</v>
      </c>
      <c r="Z360" s="543">
        <f>IFERROR(IF(Z358="",0,Z358),"0")+IFERROR(IF(Z359="",0,Z359),"0")</f>
        <v>0.1898</v>
      </c>
      <c r="AA360" s="544"/>
      <c r="AB360" s="544"/>
      <c r="AC360" s="544"/>
    </row>
    <row r="361" spans="1:68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69</v>
      </c>
      <c r="X361" s="543">
        <f>IFERROR(SUM(X358:X359),"0")</f>
        <v>85</v>
      </c>
      <c r="Y361" s="543">
        <f>IFERROR(SUM(Y358:Y359),"0")</f>
        <v>90</v>
      </c>
      <c r="Z361" s="37"/>
      <c r="AA361" s="544"/>
      <c r="AB361" s="544"/>
      <c r="AC361" s="544"/>
    </row>
    <row r="362" spans="1:68" ht="14.25" customHeight="1" x14ac:dyDescent="0.25">
      <c r="A362" s="557" t="s">
        <v>165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71</v>
      </c>
      <c r="Q364" s="562"/>
      <c r="R364" s="562"/>
      <c r="S364" s="562"/>
      <c r="T364" s="562"/>
      <c r="U364" s="562"/>
      <c r="V364" s="563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8" t="s">
        <v>570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customHeight="1" x14ac:dyDescent="0.25">
      <c r="A367" s="557" t="s">
        <v>99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71</v>
      </c>
      <c r="Q370" s="562"/>
      <c r="R370" s="562"/>
      <c r="S370" s="562"/>
      <c r="T370" s="562"/>
      <c r="U370" s="562"/>
      <c r="V370" s="563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7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71</v>
      </c>
      <c r="Q375" s="562"/>
      <c r="R375" s="562"/>
      <c r="S375" s="562"/>
      <c r="T375" s="562"/>
      <c r="U375" s="562"/>
      <c r="V375" s="563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7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80</v>
      </c>
      <c r="Y378" s="542">
        <f>IFERROR(IF(X378="",0,CEILING((X378/$H378),1)*$H378),"")</f>
        <v>81</v>
      </c>
      <c r="Z378" s="36">
        <f>IFERROR(IF(Y378=0,"",ROUNDUP(Y378/H378,0)*0.01898),"")</f>
        <v>0.17082</v>
      </c>
      <c r="AA378" s="56"/>
      <c r="AB378" s="57"/>
      <c r="AC378" s="423" t="s">
        <v>583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84.61333333333333</v>
      </c>
      <c r="BN378" s="64">
        <f>IFERROR(Y378*I378/H378,"0")</f>
        <v>85.670999999999992</v>
      </c>
      <c r="BO378" s="64">
        <f>IFERROR(1/J378*(X378/H378),"0")</f>
        <v>0.1388888888888889</v>
      </c>
      <c r="BP378" s="64">
        <f>IFERROR(1/J378*(Y378/H378),"0")</f>
        <v>0.140625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48</v>
      </c>
      <c r="Y379" s="542">
        <f>IFERROR(IF(X379="",0,CEILING((X379/$H379),1)*$H379),"")</f>
        <v>48</v>
      </c>
      <c r="Z379" s="36">
        <f>IFERROR(IF(Y379=0,"",ROUNDUP(Y379/H379,0)*0.00651),"")</f>
        <v>0.13020000000000001</v>
      </c>
      <c r="AA379" s="56"/>
      <c r="AB379" s="57"/>
      <c r="AC379" s="425" t="s">
        <v>583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53.280000000000008</v>
      </c>
      <c r="BN379" s="64">
        <f>IFERROR(Y379*I379/H379,"0")</f>
        <v>53.280000000000008</v>
      </c>
      <c r="BO379" s="64">
        <f>IFERROR(1/J379*(X379/H379),"0")</f>
        <v>0.1098901098901099</v>
      </c>
      <c r="BP379" s="64">
        <f>IFERROR(1/J379*(Y379/H379),"0")</f>
        <v>0.1098901098901099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71</v>
      </c>
      <c r="Q380" s="562"/>
      <c r="R380" s="562"/>
      <c r="S380" s="562"/>
      <c r="T380" s="562"/>
      <c r="U380" s="562"/>
      <c r="V380" s="563"/>
      <c r="W380" s="37" t="s">
        <v>72</v>
      </c>
      <c r="X380" s="543">
        <f>IFERROR(X378/H378,"0")+IFERROR(X379/H379,"0")</f>
        <v>28.888888888888889</v>
      </c>
      <c r="Y380" s="543">
        <f>IFERROR(Y378/H378,"0")+IFERROR(Y379/H379,"0")</f>
        <v>29</v>
      </c>
      <c r="Z380" s="543">
        <f>IFERROR(IF(Z378="",0,Z378),"0")+IFERROR(IF(Z379="",0,Z379),"0")</f>
        <v>0.30102000000000001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69</v>
      </c>
      <c r="X381" s="543">
        <f>IFERROR(SUM(X378:X379),"0")</f>
        <v>128</v>
      </c>
      <c r="Y381" s="543">
        <f>IFERROR(SUM(Y378:Y379),"0")</f>
        <v>129</v>
      </c>
      <c r="Z381" s="37"/>
      <c r="AA381" s="544"/>
      <c r="AB381" s="544"/>
      <c r="AC381" s="544"/>
    </row>
    <row r="382" spans="1:68" ht="27.75" customHeight="1" x14ac:dyDescent="0.2">
      <c r="A382" s="639" t="s">
        <v>586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8"/>
      <c r="AB382" s="48"/>
      <c r="AC382" s="48"/>
    </row>
    <row r="383" spans="1:68" ht="16.5" customHeight="1" x14ac:dyDescent="0.25">
      <c r="A383" s="558" t="s">
        <v>587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customHeight="1" x14ac:dyDescent="0.25">
      <c r="A384" s="557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25</v>
      </c>
      <c r="Y385" s="542">
        <f t="shared" ref="Y385:Y393" si="36">IFERROR(IF(X385="",0,CEILING((X385/$H385),1)*$H385),"")</f>
        <v>27</v>
      </c>
      <c r="Z385" s="36">
        <f>IFERROR(IF(Y385=0,"",ROUNDUP(Y385/H385,0)*0.00902),"")</f>
        <v>4.5100000000000001E-2</v>
      </c>
      <c r="AA385" s="56"/>
      <c r="AB385" s="57"/>
      <c r="AC385" s="427" t="s">
        <v>590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25.972222222222221</v>
      </c>
      <c r="BN385" s="64">
        <f t="shared" ref="BN385:BN393" si="38">IFERROR(Y385*I385/H385,"0")</f>
        <v>28.049999999999997</v>
      </c>
      <c r="BO385" s="64">
        <f t="shared" ref="BO385:BO393" si="39">IFERROR(1/J385*(X385/H385),"0")</f>
        <v>3.5072951739618406E-2</v>
      </c>
      <c r="BP385" s="64">
        <f t="shared" ref="BP385:BP393" si="40">IFERROR(1/J385*(Y385/H385),"0")</f>
        <v>3.787878787878788E-2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273</v>
      </c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609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71</v>
      </c>
      <c r="Q394" s="562"/>
      <c r="R394" s="562"/>
      <c r="S394" s="562"/>
      <c r="T394" s="562"/>
      <c r="U394" s="562"/>
      <c r="V394" s="563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4.6296296296296298</v>
      </c>
      <c r="Y394" s="543">
        <f>IFERROR(Y385/H385,"0")+IFERROR(Y386/H386,"0")+IFERROR(Y387/H387,"0")+IFERROR(Y388/H388,"0")+IFERROR(Y389/H389,"0")+IFERROR(Y390/H390,"0")+IFERROR(Y391/H391,"0")+IFERROR(Y392/H392,"0")+IFERROR(Y393/H393,"0")</f>
        <v>5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4.5100000000000001E-2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69</v>
      </c>
      <c r="X395" s="543">
        <f>IFERROR(SUM(X385:X393),"0")</f>
        <v>25</v>
      </c>
      <c r="Y395" s="543">
        <f>IFERROR(SUM(Y385:Y393),"0")</f>
        <v>27</v>
      </c>
      <c r="Z395" s="37"/>
      <c r="AA395" s="544"/>
      <c r="AB395" s="544"/>
      <c r="AC395" s="544"/>
    </row>
    <row r="396" spans="1:68" ht="14.25" customHeight="1" x14ac:dyDescent="0.25">
      <c r="A396" s="557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71</v>
      </c>
      <c r="Q399" s="562"/>
      <c r="R399" s="562"/>
      <c r="S399" s="562"/>
      <c r="T399" s="562"/>
      <c r="U399" s="562"/>
      <c r="V399" s="563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618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customHeight="1" x14ac:dyDescent="0.25">
      <c r="A402" s="557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71</v>
      </c>
      <c r="Q404" s="562"/>
      <c r="R404" s="562"/>
      <c r="S404" s="562"/>
      <c r="T404" s="562"/>
      <c r="U404" s="562"/>
      <c r="V404" s="563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7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40</v>
      </c>
      <c r="Y407" s="542">
        <f>IFERROR(IF(X407="",0,CEILING((X407/$H407),1)*$H407),"")</f>
        <v>43.2</v>
      </c>
      <c r="Z407" s="36">
        <f>IFERROR(IF(Y407=0,"",ROUNDUP(Y407/H407,0)*0.00902),"")</f>
        <v>7.2160000000000002E-2</v>
      </c>
      <c r="AA407" s="56"/>
      <c r="AB407" s="57"/>
      <c r="AC407" s="451" t="s">
        <v>624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41.555555555555557</v>
      </c>
      <c r="BN407" s="64">
        <f>IFERROR(Y407*I407/H407,"0")</f>
        <v>44.88</v>
      </c>
      <c r="BO407" s="64">
        <f>IFERROR(1/J407*(X407/H407),"0")</f>
        <v>5.6116722783389444E-2</v>
      </c>
      <c r="BP407" s="64">
        <f>IFERROR(1/J407*(Y407/H407),"0")</f>
        <v>6.0606060606060608E-2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71</v>
      </c>
      <c r="Q411" s="562"/>
      <c r="R411" s="562"/>
      <c r="S411" s="562"/>
      <c r="T411" s="562"/>
      <c r="U411" s="562"/>
      <c r="V411" s="563"/>
      <c r="W411" s="37" t="s">
        <v>72</v>
      </c>
      <c r="X411" s="543">
        <f>IFERROR(X407/H407,"0")+IFERROR(X408/H408,"0")+IFERROR(X409/H409,"0")+IFERROR(X410/H410,"0")</f>
        <v>7.4074074074074066</v>
      </c>
      <c r="Y411" s="543">
        <f>IFERROR(Y407/H407,"0")+IFERROR(Y408/H408,"0")+IFERROR(Y409/H409,"0")+IFERROR(Y410/H410,"0")</f>
        <v>8</v>
      </c>
      <c r="Z411" s="543">
        <f>IFERROR(IF(Z407="",0,Z407),"0")+IFERROR(IF(Z408="",0,Z408),"0")+IFERROR(IF(Z409="",0,Z409),"0")+IFERROR(IF(Z410="",0,Z410),"0")</f>
        <v>7.2160000000000002E-2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69</v>
      </c>
      <c r="X412" s="543">
        <f>IFERROR(SUM(X407:X410),"0")</f>
        <v>40</v>
      </c>
      <c r="Y412" s="543">
        <f>IFERROR(SUM(Y407:Y410),"0")</f>
        <v>43.2</v>
      </c>
      <c r="Z412" s="37"/>
      <c r="AA412" s="544"/>
      <c r="AB412" s="544"/>
      <c r="AC412" s="544"/>
    </row>
    <row r="413" spans="1:68" ht="16.5" customHeight="1" x14ac:dyDescent="0.25">
      <c r="A413" s="558" t="s">
        <v>633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customHeight="1" x14ac:dyDescent="0.25">
      <c r="A414" s="557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71</v>
      </c>
      <c r="Q416" s="562"/>
      <c r="R416" s="562"/>
      <c r="S416" s="562"/>
      <c r="T416" s="562"/>
      <c r="U416" s="562"/>
      <c r="V416" s="563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9" t="s">
        <v>637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8"/>
      <c r="AB418" s="48"/>
      <c r="AC418" s="48"/>
    </row>
    <row r="419" spans="1:68" ht="16.5" customHeight="1" x14ac:dyDescent="0.25">
      <c r="A419" s="558" t="s">
        <v>637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customHeight="1" x14ac:dyDescent="0.25">
      <c r="A420" s="557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87</v>
      </c>
      <c r="Y421" s="542">
        <f t="shared" ref="Y421:Y431" si="42">IFERROR(IF(X421="",0,CEILING((X421/$H421),1)*$H421),"")</f>
        <v>89.76</v>
      </c>
      <c r="Z421" s="36">
        <f t="shared" ref="Z421:Z426" si="43">IFERROR(IF(Y421=0,"",ROUNDUP(Y421/H421,0)*0.01196),"")</f>
        <v>0.20332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92.931818181818173</v>
      </c>
      <c r="BN421" s="64">
        <f t="shared" ref="BN421:BN431" si="45">IFERROR(Y421*I421/H421,"0")</f>
        <v>95.88</v>
      </c>
      <c r="BO421" s="64">
        <f t="shared" ref="BO421:BO431" si="46">IFERROR(1/J421*(X421/H421),"0")</f>
        <v>0.15843531468531469</v>
      </c>
      <c r="BP421" s="64">
        <f t="shared" ref="BP421:BP431" si="47">IFERROR(1/J421*(Y421/H421),"0")</f>
        <v>0.16346153846153846</v>
      </c>
    </row>
    <row r="422" spans="1:68" ht="27" customHeight="1" x14ac:dyDescent="0.25">
      <c r="A422" s="54" t="s">
        <v>640</v>
      </c>
      <c r="B422" s="54" t="s">
        <v>641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75</v>
      </c>
      <c r="Y423" s="542">
        <f t="shared" si="42"/>
        <v>79.2</v>
      </c>
      <c r="Z423" s="36">
        <f t="shared" si="43"/>
        <v>0.1794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80.11363636363636</v>
      </c>
      <c r="BN423" s="64">
        <f t="shared" si="45"/>
        <v>84.6</v>
      </c>
      <c r="BO423" s="64">
        <f t="shared" si="46"/>
        <v>0.13658216783216784</v>
      </c>
      <c r="BP423" s="64">
        <f t="shared" si="47"/>
        <v>0.14423076923076925</v>
      </c>
    </row>
    <row r="424" spans="1:68" ht="27" customHeight="1" x14ac:dyDescent="0.25">
      <c r="A424" s="54" t="s">
        <v>646</v>
      </c>
      <c r="B424" s="54" t="s">
        <v>647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654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71</v>
      </c>
      <c r="Q432" s="562"/>
      <c r="R432" s="562"/>
      <c r="S432" s="562"/>
      <c r="T432" s="562"/>
      <c r="U432" s="562"/>
      <c r="V432" s="563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30.68181818181818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0.38272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69</v>
      </c>
      <c r="X433" s="543">
        <f>IFERROR(SUM(X421:X431),"0")</f>
        <v>162</v>
      </c>
      <c r="Y433" s="543">
        <f>IFERROR(SUM(Y421:Y431),"0")</f>
        <v>168.96</v>
      </c>
      <c r="Z433" s="37"/>
      <c r="AA433" s="544"/>
      <c r="AB433" s="544"/>
      <c r="AC433" s="544"/>
    </row>
    <row r="434" spans="1:68" ht="14.25" customHeight="1" x14ac:dyDescent="0.25">
      <c r="A434" s="557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122</v>
      </c>
      <c r="Y435" s="542">
        <f>IFERROR(IF(X435="",0,CEILING((X435/$H435),1)*$H435),"")</f>
        <v>126.72</v>
      </c>
      <c r="Z435" s="36">
        <f>IFERROR(IF(Y435=0,"",ROUNDUP(Y435/H435,0)*0.01196),"")</f>
        <v>0.28704000000000002</v>
      </c>
      <c r="AA435" s="56"/>
      <c r="AB435" s="57"/>
      <c r="AC435" s="483" t="s">
        <v>668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130.31818181818178</v>
      </c>
      <c r="BN435" s="64">
        <f>IFERROR(Y435*I435/H435,"0")</f>
        <v>135.35999999999999</v>
      </c>
      <c r="BO435" s="64">
        <f>IFERROR(1/J435*(X435/H435),"0")</f>
        <v>0.22217365967365968</v>
      </c>
      <c r="BP435" s="64">
        <f>IFERROR(1/J435*(Y435/H435),"0")</f>
        <v>0.23076923076923078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71</v>
      </c>
      <c r="Q438" s="562"/>
      <c r="R438" s="562"/>
      <c r="S438" s="562"/>
      <c r="T438" s="562"/>
      <c r="U438" s="562"/>
      <c r="V438" s="563"/>
      <c r="W438" s="37" t="s">
        <v>72</v>
      </c>
      <c r="X438" s="543">
        <f>IFERROR(X435/H435,"0")+IFERROR(X436/H436,"0")+IFERROR(X437/H437,"0")</f>
        <v>23.106060606060606</v>
      </c>
      <c r="Y438" s="543">
        <f>IFERROR(Y435/H435,"0")+IFERROR(Y436/H436,"0")+IFERROR(Y437/H437,"0")</f>
        <v>24</v>
      </c>
      <c r="Z438" s="543">
        <f>IFERROR(IF(Z435="",0,Z435),"0")+IFERROR(IF(Z436="",0,Z436),"0")+IFERROR(IF(Z437="",0,Z437),"0")</f>
        <v>0.28704000000000002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69</v>
      </c>
      <c r="X439" s="543">
        <f>IFERROR(SUM(X435:X437),"0")</f>
        <v>122</v>
      </c>
      <c r="Y439" s="543">
        <f>IFERROR(SUM(Y435:Y437),"0")</f>
        <v>126.72</v>
      </c>
      <c r="Z439" s="37"/>
      <c r="AA439" s="544"/>
      <c r="AB439" s="544"/>
      <c r="AC439" s="544"/>
    </row>
    <row r="440" spans="1:68" ht="14.25" customHeight="1" x14ac:dyDescent="0.25">
      <c r="A440" s="557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6</v>
      </c>
      <c r="Y441" s="542">
        <f t="shared" ref="Y441:Y446" si="48">IFERROR(IF(X441="",0,CEILING((X441/$H441),1)*$H441),"")</f>
        <v>10.56</v>
      </c>
      <c r="Z441" s="36">
        <f>IFERROR(IF(Y441=0,"",ROUNDUP(Y441/H441,0)*0.01196),"")</f>
        <v>2.392E-2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6.4090909090909083</v>
      </c>
      <c r="BN441" s="64">
        <f t="shared" ref="BN441:BN446" si="50">IFERROR(Y441*I441/H441,"0")</f>
        <v>11.28</v>
      </c>
      <c r="BO441" s="64">
        <f t="shared" ref="BO441:BO446" si="51">IFERROR(1/J441*(X441/H441),"0")</f>
        <v>1.0926573426573426E-2</v>
      </c>
      <c r="BP441" s="64">
        <f t="shared" ref="BP441:BP446" si="52">IFERROR(1/J441*(Y441/H441),"0")</f>
        <v>1.9230769230769232E-2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7</v>
      </c>
      <c r="Y442" s="542">
        <f t="shared" si="48"/>
        <v>10.56</v>
      </c>
      <c r="Z442" s="36">
        <f>IFERROR(IF(Y442=0,"",ROUNDUP(Y442/H442,0)*0.01196),"")</f>
        <v>2.392E-2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7.4772727272727266</v>
      </c>
      <c r="BN442" s="64">
        <f t="shared" si="50"/>
        <v>11.28</v>
      </c>
      <c r="BO442" s="64">
        <f t="shared" si="51"/>
        <v>1.2747668997668998E-2</v>
      </c>
      <c r="BP442" s="64">
        <f t="shared" si="52"/>
        <v>1.9230769230769232E-2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71</v>
      </c>
      <c r="Q447" s="562"/>
      <c r="R447" s="562"/>
      <c r="S447" s="562"/>
      <c r="T447" s="562"/>
      <c r="U447" s="562"/>
      <c r="V447" s="563"/>
      <c r="W447" s="37" t="s">
        <v>72</v>
      </c>
      <c r="X447" s="543">
        <f>IFERROR(X441/H441,"0")+IFERROR(X442/H442,"0")+IFERROR(X443/H443,"0")+IFERROR(X444/H444,"0")+IFERROR(X445/H445,"0")+IFERROR(X446/H446,"0")</f>
        <v>2.4621212121212119</v>
      </c>
      <c r="Y447" s="543">
        <f>IFERROR(Y441/H441,"0")+IFERROR(Y442/H442,"0")+IFERROR(Y443/H443,"0")+IFERROR(Y444/H444,"0")+IFERROR(Y445/H445,"0")+IFERROR(Y446/H446,"0")</f>
        <v>4</v>
      </c>
      <c r="Z447" s="543">
        <f>IFERROR(IF(Z441="",0,Z441),"0")+IFERROR(IF(Z442="",0,Z442),"0")+IFERROR(IF(Z443="",0,Z443),"0")+IFERROR(IF(Z444="",0,Z444),"0")+IFERROR(IF(Z445="",0,Z445),"0")+IFERROR(IF(Z446="",0,Z446),"0")</f>
        <v>4.7840000000000001E-2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69</v>
      </c>
      <c r="X448" s="543">
        <f>IFERROR(SUM(X441:X446),"0")</f>
        <v>13</v>
      </c>
      <c r="Y448" s="543">
        <f>IFERROR(SUM(Y441:Y446),"0")</f>
        <v>21.12</v>
      </c>
      <c r="Z448" s="37"/>
      <c r="AA448" s="544"/>
      <c r="AB448" s="544"/>
      <c r="AC448" s="544"/>
    </row>
    <row r="449" spans="1:68" ht="14.25" customHeight="1" x14ac:dyDescent="0.25">
      <c r="A449" s="557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71</v>
      </c>
      <c r="Q453" s="562"/>
      <c r="R453" s="562"/>
      <c r="S453" s="562"/>
      <c r="T453" s="562"/>
      <c r="U453" s="562"/>
      <c r="V453" s="563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9" t="s">
        <v>697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8"/>
      <c r="AB455" s="48"/>
      <c r="AC455" s="48"/>
    </row>
    <row r="456" spans="1:68" ht="16.5" customHeight="1" x14ac:dyDescent="0.25">
      <c r="A456" s="558" t="s">
        <v>697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customHeight="1" x14ac:dyDescent="0.25">
      <c r="A457" s="557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71</v>
      </c>
      <c r="Q462" s="562"/>
      <c r="R462" s="562"/>
      <c r="S462" s="562"/>
      <c r="T462" s="562"/>
      <c r="U462" s="562"/>
      <c r="V462" s="563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7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71</v>
      </c>
      <c r="Q468" s="562"/>
      <c r="R468" s="562"/>
      <c r="S468" s="562"/>
      <c r="T468" s="562"/>
      <c r="U468" s="562"/>
      <c r="V468" s="563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7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71</v>
      </c>
      <c r="Q473" s="562"/>
      <c r="R473" s="562"/>
      <c r="S473" s="562"/>
      <c r="T473" s="562"/>
      <c r="U473" s="562"/>
      <c r="V473" s="563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7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91</v>
      </c>
      <c r="Y476" s="542">
        <f>IFERROR(IF(X476="",0,CEILING((X476/$H476),1)*$H476),"")</f>
        <v>99</v>
      </c>
      <c r="Z476" s="36">
        <f>IFERROR(IF(Y476=0,"",ROUNDUP(Y476/H476,0)*0.01898),"")</f>
        <v>0.20877999999999999</v>
      </c>
      <c r="AA476" s="56"/>
      <c r="AB476" s="57"/>
      <c r="AC476" s="525" t="s">
        <v>726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96.247666666666674</v>
      </c>
      <c r="BN476" s="64">
        <f>IFERROR(Y476*I476/H476,"0")</f>
        <v>104.709</v>
      </c>
      <c r="BO476" s="64">
        <f>IFERROR(1/J476*(X476/H476),"0")</f>
        <v>0.1579861111111111</v>
      </c>
      <c r="BP476" s="64">
        <f>IFERROR(1/J476*(Y476/H476),"0")</f>
        <v>0.171875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71</v>
      </c>
      <c r="Q477" s="562"/>
      <c r="R477" s="562"/>
      <c r="S477" s="562"/>
      <c r="T477" s="562"/>
      <c r="U477" s="562"/>
      <c r="V477" s="563"/>
      <c r="W477" s="37" t="s">
        <v>72</v>
      </c>
      <c r="X477" s="543">
        <f>IFERROR(X476/H476,"0")</f>
        <v>10.111111111111111</v>
      </c>
      <c r="Y477" s="543">
        <f>IFERROR(Y476/H476,"0")</f>
        <v>11</v>
      </c>
      <c r="Z477" s="543">
        <f>IFERROR(IF(Z476="",0,Z476),"0")</f>
        <v>0.20877999999999999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69</v>
      </c>
      <c r="X478" s="543">
        <f>IFERROR(SUM(X476:X476),"0")</f>
        <v>91</v>
      </c>
      <c r="Y478" s="543">
        <f>IFERROR(SUM(Y476:Y476),"0")</f>
        <v>99</v>
      </c>
      <c r="Z478" s="37"/>
      <c r="AA478" s="544"/>
      <c r="AB478" s="544"/>
      <c r="AC478" s="544"/>
    </row>
    <row r="479" spans="1:68" ht="14.25" customHeight="1" x14ac:dyDescent="0.25">
      <c r="A479" s="557" t="s">
        <v>165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71</v>
      </c>
      <c r="Q482" s="562"/>
      <c r="R482" s="562"/>
      <c r="S482" s="562"/>
      <c r="T482" s="562"/>
      <c r="U482" s="562"/>
      <c r="V482" s="563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733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customHeight="1" x14ac:dyDescent="0.25">
      <c r="A485" s="557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71</v>
      </c>
      <c r="Q487" s="562"/>
      <c r="R487" s="562"/>
      <c r="S487" s="562"/>
      <c r="T487" s="562"/>
      <c r="U487" s="562"/>
      <c r="V487" s="563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737</v>
      </c>
      <c r="Q489" s="634"/>
      <c r="R489" s="634"/>
      <c r="S489" s="634"/>
      <c r="T489" s="634"/>
      <c r="U489" s="634"/>
      <c r="V489" s="635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3239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3344.1999999999994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738</v>
      </c>
      <c r="Q490" s="634"/>
      <c r="R490" s="634"/>
      <c r="S490" s="634"/>
      <c r="T490" s="634"/>
      <c r="U490" s="634"/>
      <c r="V490" s="635"/>
      <c r="W490" s="37" t="s">
        <v>69</v>
      </c>
      <c r="X490" s="543">
        <f>IFERROR(SUM(BM22:BM486),"0")</f>
        <v>3410.634938603439</v>
      </c>
      <c r="Y490" s="543">
        <f>IFERROR(SUM(BN22:BN486),"0")</f>
        <v>3521.3300000000013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739</v>
      </c>
      <c r="Q491" s="634"/>
      <c r="R491" s="634"/>
      <c r="S491" s="634"/>
      <c r="T491" s="634"/>
      <c r="U491" s="634"/>
      <c r="V491" s="635"/>
      <c r="W491" s="37" t="s">
        <v>740</v>
      </c>
      <c r="X491" s="38">
        <f>ROUNDUP(SUM(BO22:BO486),0)</f>
        <v>6</v>
      </c>
      <c r="Y491" s="38">
        <f>ROUNDUP(SUM(BP22:BP486),0)</f>
        <v>6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741</v>
      </c>
      <c r="Q492" s="634"/>
      <c r="R492" s="634"/>
      <c r="S492" s="634"/>
      <c r="T492" s="634"/>
      <c r="U492" s="634"/>
      <c r="V492" s="635"/>
      <c r="W492" s="37" t="s">
        <v>69</v>
      </c>
      <c r="X492" s="543">
        <f>GrossWeightTotal+PalletQtyTotal*25</f>
        <v>3560.634938603439</v>
      </c>
      <c r="Y492" s="543">
        <f>GrossWeightTotalR+PalletQtyTotalR*25</f>
        <v>3671.3300000000013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742</v>
      </c>
      <c r="Q493" s="634"/>
      <c r="R493" s="634"/>
      <c r="S493" s="634"/>
      <c r="T493" s="634"/>
      <c r="U493" s="634"/>
      <c r="V493" s="635"/>
      <c r="W493" s="37" t="s">
        <v>740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547.09865524865529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563</v>
      </c>
      <c r="Z493" s="37"/>
      <c r="AA493" s="544"/>
      <c r="AB493" s="544"/>
      <c r="AC493" s="544"/>
    </row>
    <row r="494" spans="1:68" ht="14.25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743</v>
      </c>
      <c r="Q494" s="634"/>
      <c r="R494" s="634"/>
      <c r="S494" s="634"/>
      <c r="T494" s="634"/>
      <c r="U494" s="634"/>
      <c r="V494" s="635"/>
      <c r="W494" s="39" t="s">
        <v>744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6.4662599999999992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1" t="s">
        <v>97</v>
      </c>
      <c r="D496" s="662"/>
      <c r="E496" s="662"/>
      <c r="F496" s="662"/>
      <c r="G496" s="662"/>
      <c r="H496" s="625"/>
      <c r="I496" s="591" t="s">
        <v>257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535</v>
      </c>
      <c r="T496" s="625"/>
      <c r="U496" s="591" t="s">
        <v>586</v>
      </c>
      <c r="V496" s="662"/>
      <c r="W496" s="625"/>
      <c r="X496" s="538" t="s">
        <v>637</v>
      </c>
      <c r="Y496" s="591" t="s">
        <v>697</v>
      </c>
      <c r="Z496" s="625"/>
      <c r="AB496" s="52"/>
      <c r="AC496" s="52"/>
      <c r="AF496" s="539"/>
    </row>
    <row r="497" spans="1:32" ht="14.25" customHeight="1" thickTop="1" x14ac:dyDescent="0.2">
      <c r="A497" s="838" t="s">
        <v>746</v>
      </c>
      <c r="B497" s="591" t="s">
        <v>63</v>
      </c>
      <c r="C497" s="591" t="s">
        <v>98</v>
      </c>
      <c r="D497" s="591" t="s">
        <v>116</v>
      </c>
      <c r="E497" s="591" t="s">
        <v>172</v>
      </c>
      <c r="F497" s="591" t="s">
        <v>192</v>
      </c>
      <c r="G497" s="591" t="s">
        <v>222</v>
      </c>
      <c r="H497" s="591" t="s">
        <v>97</v>
      </c>
      <c r="I497" s="591" t="s">
        <v>258</v>
      </c>
      <c r="J497" s="591" t="s">
        <v>299</v>
      </c>
      <c r="K497" s="591" t="s">
        <v>359</v>
      </c>
      <c r="L497" s="591" t="s">
        <v>401</v>
      </c>
      <c r="M497" s="591" t="s">
        <v>417</v>
      </c>
      <c r="N497" s="539"/>
      <c r="O497" s="591" t="s">
        <v>428</v>
      </c>
      <c r="P497" s="591" t="s">
        <v>437</v>
      </c>
      <c r="Q497" s="591" t="s">
        <v>447</v>
      </c>
      <c r="R497" s="591" t="s">
        <v>525</v>
      </c>
      <c r="S497" s="591" t="s">
        <v>536</v>
      </c>
      <c r="T497" s="591" t="s">
        <v>570</v>
      </c>
      <c r="U497" s="591" t="s">
        <v>587</v>
      </c>
      <c r="V497" s="591" t="s">
        <v>618</v>
      </c>
      <c r="W497" s="591" t="s">
        <v>633</v>
      </c>
      <c r="X497" s="591" t="s">
        <v>637</v>
      </c>
      <c r="Y497" s="591" t="s">
        <v>697</v>
      </c>
      <c r="Z497" s="591" t="s">
        <v>733</v>
      </c>
      <c r="AB497" s="52"/>
      <c r="AC497" s="52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37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12</v>
      </c>
      <c r="E499" s="46">
        <f>IFERROR(Y86*1,"0")+IFERROR(Y87*1,"0")+IFERROR(Y88*1,"0")+IFERROR(Y92*1,"0")+IFERROR(Y93*1,"0")+IFERROR(Y94*1,"0")+IFERROR(Y95*1,"0")</f>
        <v>170.1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117.3</v>
      </c>
      <c r="G499" s="46">
        <f>IFERROR(Y125*1,"0")+IFERROR(Y126*1,"0")+IFERROR(Y130*1,"0")+IFERROR(Y131*1,"0")+IFERROR(Y135*1,"0")+IFERROR(Y136*1,"0")</f>
        <v>0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88.200000000000017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592.79999999999995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120</v>
      </c>
      <c r="P499" s="46">
        <f>IFERROR(Y279*1,"0")+IFERROR(Y280*1,"0")+IFERROR(Y284*1,"0")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31.799999999999997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1560</v>
      </c>
      <c r="T499" s="46">
        <f>IFERROR(Y368*1,"0")+IFERROR(Y369*1,"0")+IFERROR(Y373*1,"0")+IFERROR(Y374*1,"0")+IFERROR(Y378*1,"0")+IFERROR(Y379*1,"0")</f>
        <v>129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27</v>
      </c>
      <c r="V499" s="46">
        <f>IFERROR(Y403*1,"0")+IFERROR(Y407*1,"0")+IFERROR(Y408*1,"0")+IFERROR(Y409*1,"0")+IFERROR(Y410*1,"0")</f>
        <v>43.2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316.8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99</v>
      </c>
      <c r="Z499" s="46">
        <f>IFERROR(Y486*1,"0")</f>
        <v>0</v>
      </c>
      <c r="AB499" s="52"/>
      <c r="AC499" s="52"/>
      <c r="AF499" s="539"/>
    </row>
  </sheetData>
  <sheetProtection algorithmName="SHA-512" hashValue="jvTGo2qo9L4Ot53H2J1g3cBRl9arfau0GATkaKE/M5pLjuiainQBp1OWgB7Wrh0vJ5K+MARfaD1w6Mlv7P4PBQ==" saltValue="aYT3HwGydbAoz6Iuk7oa0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3 X80 X86 X88 X92 X94:X95 X100:X102 X107 X109 X113 X115 X125:X126 X131 X163 X165:X166 X168:X169 X192 X196:X201 X203 X207:X210 X212:X215 X219:X220 X225 X255 X273:X274 X298 X301 X307 X311 X315:X317 X323:X324 X328 X330 X335:X337 X343:X346 X353 X359 X368 X373 X378:X379 X385 X387 X392 X407 X421:X423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sRp/n+oviwMke+dKjfI7BGEsVYjaphPWQJ9Lrd2d+ITkX/SsPz2vwcHbbi1PzZoytYvaNsOxzoA4zgCfCU1Zag==" saltValue="WD1jdDQVsFvCQy9uAeMR0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2025-11-05T08:47:52Z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