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C03E68E-EF9E-4A17-8D93-D1A3CEE9AE3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4" i="1"/>
  <c r="X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Y177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7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BP75" i="1" l="1"/>
  <c r="BN75" i="1"/>
  <c r="Z75" i="1"/>
  <c r="BP113" i="1"/>
  <c r="BN113" i="1"/>
  <c r="Z113" i="1"/>
  <c r="BP166" i="1"/>
  <c r="BN166" i="1"/>
  <c r="Z166" i="1"/>
  <c r="BP200" i="1"/>
  <c r="BN200" i="1"/>
  <c r="Z200" i="1"/>
  <c r="BP225" i="1"/>
  <c r="BN225" i="1"/>
  <c r="Z225" i="1"/>
  <c r="BP254" i="1"/>
  <c r="BN254" i="1"/>
  <c r="Z254" i="1"/>
  <c r="BP290" i="1"/>
  <c r="BN290" i="1"/>
  <c r="Z290" i="1"/>
  <c r="BP310" i="1"/>
  <c r="BN310" i="1"/>
  <c r="Z310" i="1"/>
  <c r="BP344" i="1"/>
  <c r="BN344" i="1"/>
  <c r="Z344" i="1"/>
  <c r="BP377" i="1"/>
  <c r="BN377" i="1"/>
  <c r="Z377" i="1"/>
  <c r="BP423" i="1"/>
  <c r="BN423" i="1"/>
  <c r="Z423" i="1"/>
  <c r="BP449" i="1"/>
  <c r="BN449" i="1"/>
  <c r="Z449" i="1"/>
  <c r="X489" i="1"/>
  <c r="X492" i="1"/>
  <c r="Z27" i="1"/>
  <c r="BN27" i="1"/>
  <c r="BP54" i="1"/>
  <c r="BN54" i="1"/>
  <c r="Z54" i="1"/>
  <c r="BP94" i="1"/>
  <c r="BN94" i="1"/>
  <c r="Z94" i="1"/>
  <c r="BP134" i="1"/>
  <c r="BN134" i="1"/>
  <c r="Z134" i="1"/>
  <c r="BP176" i="1"/>
  <c r="BN176" i="1"/>
  <c r="Z176" i="1"/>
  <c r="Y182" i="1"/>
  <c r="Y181" i="1"/>
  <c r="BP180" i="1"/>
  <c r="BN180" i="1"/>
  <c r="Z180" i="1"/>
  <c r="Z181" i="1" s="1"/>
  <c r="BP185" i="1"/>
  <c r="BN185" i="1"/>
  <c r="Z185" i="1"/>
  <c r="BP210" i="1"/>
  <c r="BN210" i="1"/>
  <c r="Z210" i="1"/>
  <c r="BP233" i="1"/>
  <c r="BN233" i="1"/>
  <c r="Z233" i="1"/>
  <c r="BP265" i="1"/>
  <c r="BN265" i="1"/>
  <c r="Z265" i="1"/>
  <c r="BP300" i="1"/>
  <c r="BN300" i="1"/>
  <c r="Z300" i="1"/>
  <c r="BP327" i="1"/>
  <c r="BN327" i="1"/>
  <c r="Z327" i="1"/>
  <c r="BP345" i="1"/>
  <c r="BN345" i="1"/>
  <c r="Z345" i="1"/>
  <c r="BP391" i="1"/>
  <c r="BN391" i="1"/>
  <c r="Z391" i="1"/>
  <c r="BP435" i="1"/>
  <c r="BN435" i="1"/>
  <c r="Z435" i="1"/>
  <c r="BP471" i="1"/>
  <c r="BN471" i="1"/>
  <c r="Z471" i="1"/>
  <c r="Y337" i="1"/>
  <c r="BP107" i="1"/>
  <c r="BN107" i="1"/>
  <c r="BP115" i="1"/>
  <c r="BN115" i="1"/>
  <c r="Z115" i="1"/>
  <c r="BP141" i="1"/>
  <c r="BN141" i="1"/>
  <c r="Z141" i="1"/>
  <c r="BP168" i="1"/>
  <c r="BN168" i="1"/>
  <c r="Z168" i="1"/>
  <c r="BP191" i="1"/>
  <c r="BN191" i="1"/>
  <c r="Z191" i="1"/>
  <c r="BP202" i="1"/>
  <c r="BN202" i="1"/>
  <c r="Z202" i="1"/>
  <c r="BP212" i="1"/>
  <c r="BN212" i="1"/>
  <c r="Z212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56" i="1"/>
  <c r="BN256" i="1"/>
  <c r="Z256" i="1"/>
  <c r="BP272" i="1"/>
  <c r="BN272" i="1"/>
  <c r="Z272" i="1"/>
  <c r="BP292" i="1"/>
  <c r="BN292" i="1"/>
  <c r="Z292" i="1"/>
  <c r="B498" i="1"/>
  <c r="X490" i="1"/>
  <c r="X491" i="1" s="1"/>
  <c r="Y31" i="1"/>
  <c r="Z29" i="1"/>
  <c r="BN29" i="1"/>
  <c r="C498" i="1"/>
  <c r="Z52" i="1"/>
  <c r="BN52" i="1"/>
  <c r="Z56" i="1"/>
  <c r="BN56" i="1"/>
  <c r="Z61" i="1"/>
  <c r="BN61" i="1"/>
  <c r="Z73" i="1"/>
  <c r="BN73" i="1"/>
  <c r="Z79" i="1"/>
  <c r="BN79" i="1"/>
  <c r="BP79" i="1"/>
  <c r="Z92" i="1"/>
  <c r="BN92" i="1"/>
  <c r="Z99" i="1"/>
  <c r="BN99" i="1"/>
  <c r="Z107" i="1"/>
  <c r="BP130" i="1"/>
  <c r="BN130" i="1"/>
  <c r="Z130" i="1"/>
  <c r="BP164" i="1"/>
  <c r="BN164" i="1"/>
  <c r="Z164" i="1"/>
  <c r="Y178" i="1"/>
  <c r="BP174" i="1"/>
  <c r="BN174" i="1"/>
  <c r="Z174" i="1"/>
  <c r="BP197" i="1"/>
  <c r="BN197" i="1"/>
  <c r="Z197" i="1"/>
  <c r="BP208" i="1"/>
  <c r="BN208" i="1"/>
  <c r="Z208" i="1"/>
  <c r="Y220" i="1"/>
  <c r="BP218" i="1"/>
  <c r="BN218" i="1"/>
  <c r="Z218" i="1"/>
  <c r="BP231" i="1"/>
  <c r="BN231" i="1"/>
  <c r="Z231" i="1"/>
  <c r="BP249" i="1"/>
  <c r="BN249" i="1"/>
  <c r="Z249" i="1"/>
  <c r="BP263" i="1"/>
  <c r="BN263" i="1"/>
  <c r="Z263" i="1"/>
  <c r="Y285" i="1"/>
  <c r="Y284" i="1"/>
  <c r="BP283" i="1"/>
  <c r="BN283" i="1"/>
  <c r="Z283" i="1"/>
  <c r="Z284" i="1" s="1"/>
  <c r="Q498" i="1"/>
  <c r="BP288" i="1"/>
  <c r="BN288" i="1"/>
  <c r="Z288" i="1"/>
  <c r="BP298" i="1"/>
  <c r="BN298" i="1"/>
  <c r="Z298" i="1"/>
  <c r="BP308" i="1"/>
  <c r="BN308" i="1"/>
  <c r="Z308" i="1"/>
  <c r="Y325" i="1"/>
  <c r="BP320" i="1"/>
  <c r="BN320" i="1"/>
  <c r="Z320" i="1"/>
  <c r="Y324" i="1"/>
  <c r="BP329" i="1"/>
  <c r="BN329" i="1"/>
  <c r="Z329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136" i="1"/>
  <c r="Y172" i="1"/>
  <c r="Y216" i="1"/>
  <c r="Y304" i="1"/>
  <c r="BP302" i="1"/>
  <c r="BN302" i="1"/>
  <c r="Z302" i="1"/>
  <c r="BP314" i="1"/>
  <c r="BN314" i="1"/>
  <c r="Z314" i="1"/>
  <c r="BP321" i="1"/>
  <c r="BN321" i="1"/>
  <c r="Z321" i="1"/>
  <c r="BP336" i="1"/>
  <c r="BN336" i="1"/>
  <c r="Z336" i="1"/>
  <c r="BP342" i="1"/>
  <c r="BN342" i="1"/>
  <c r="Z342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Y379" i="1"/>
  <c r="Y453" i="1"/>
  <c r="Y452" i="1"/>
  <c r="H9" i="1"/>
  <c r="A10" i="1"/>
  <c r="Y24" i="1"/>
  <c r="Y32" i="1"/>
  <c r="Y36" i="1"/>
  <c r="Y44" i="1"/>
  <c r="Y48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BP142" i="1"/>
  <c r="BN142" i="1"/>
  <c r="Z142" i="1"/>
  <c r="Y144" i="1"/>
  <c r="Y149" i="1"/>
  <c r="BP146" i="1"/>
  <c r="BN146" i="1"/>
  <c r="Z146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BP198" i="1"/>
  <c r="BN198" i="1"/>
  <c r="Z198" i="1"/>
  <c r="BP209" i="1"/>
  <c r="BN209" i="1"/>
  <c r="Z209" i="1"/>
  <c r="BP213" i="1"/>
  <c r="BN213" i="1"/>
  <c r="Z213" i="1"/>
  <c r="BP291" i="1"/>
  <c r="BN291" i="1"/>
  <c r="Z291" i="1"/>
  <c r="BP328" i="1"/>
  <c r="BN328" i="1"/>
  <c r="Z328" i="1"/>
  <c r="Y330" i="1"/>
  <c r="D498" i="1"/>
  <c r="F9" i="1"/>
  <c r="J9" i="1"/>
  <c r="Z22" i="1"/>
  <c r="Z23" i="1" s="1"/>
  <c r="BN22" i="1"/>
  <c r="BP22" i="1"/>
  <c r="Y23" i="1"/>
  <c r="X488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Y63" i="1"/>
  <c r="BP60" i="1"/>
  <c r="BN60" i="1"/>
  <c r="Z60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BP148" i="1"/>
  <c r="BN148" i="1"/>
  <c r="Z148" i="1"/>
  <c r="Y150" i="1"/>
  <c r="BP163" i="1"/>
  <c r="BN163" i="1"/>
  <c r="Z163" i="1"/>
  <c r="BP167" i="1"/>
  <c r="BN167" i="1"/>
  <c r="Z167" i="1"/>
  <c r="Z171" i="1" s="1"/>
  <c r="Y171" i="1"/>
  <c r="Z177" i="1"/>
  <c r="BP175" i="1"/>
  <c r="BN175" i="1"/>
  <c r="Z175" i="1"/>
  <c r="Y192" i="1"/>
  <c r="BP196" i="1"/>
  <c r="BN196" i="1"/>
  <c r="Z196" i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Z250" i="1" s="1"/>
  <c r="Y250" i="1"/>
  <c r="Z259" i="1"/>
  <c r="BP255" i="1"/>
  <c r="BN255" i="1"/>
  <c r="Z255" i="1"/>
  <c r="L498" i="1"/>
  <c r="Y259" i="1"/>
  <c r="BP264" i="1"/>
  <c r="BN264" i="1"/>
  <c r="Z264" i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299" i="1"/>
  <c r="BN299" i="1"/>
  <c r="Z299" i="1"/>
  <c r="Y303" i="1"/>
  <c r="BP307" i="1"/>
  <c r="BN307" i="1"/>
  <c r="Z307" i="1"/>
  <c r="Y311" i="1"/>
  <c r="Z317" i="1"/>
  <c r="BP315" i="1"/>
  <c r="BN315" i="1"/>
  <c r="Z315" i="1"/>
  <c r="Y317" i="1"/>
  <c r="BP343" i="1"/>
  <c r="BN343" i="1"/>
  <c r="Z343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19" i="1"/>
  <c r="BN219" i="1"/>
  <c r="Z219" i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BP266" i="1"/>
  <c r="BN266" i="1"/>
  <c r="Z266" i="1"/>
  <c r="Z267" i="1" s="1"/>
  <c r="O498" i="1"/>
  <c r="Y274" i="1"/>
  <c r="BP271" i="1"/>
  <c r="BN271" i="1"/>
  <c r="Z271" i="1"/>
  <c r="Z293" i="1"/>
  <c r="BP289" i="1"/>
  <c r="BN289" i="1"/>
  <c r="Z289" i="1"/>
  <c r="Y293" i="1"/>
  <c r="BP297" i="1"/>
  <c r="BN297" i="1"/>
  <c r="Z297" i="1"/>
  <c r="BP301" i="1"/>
  <c r="BN301" i="1"/>
  <c r="Z301" i="1"/>
  <c r="Y312" i="1"/>
  <c r="BP309" i="1"/>
  <c r="BN309" i="1"/>
  <c r="Z309" i="1"/>
  <c r="Y318" i="1"/>
  <c r="BP322" i="1"/>
  <c r="BN322" i="1"/>
  <c r="Z322" i="1"/>
  <c r="Z324" i="1" s="1"/>
  <c r="Y331" i="1"/>
  <c r="Z337" i="1"/>
  <c r="BP335" i="1"/>
  <c r="BN335" i="1"/>
  <c r="Z335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452" i="1" l="1"/>
  <c r="Z398" i="1"/>
  <c r="Z379" i="1"/>
  <c r="Z192" i="1"/>
  <c r="Z131" i="1"/>
  <c r="Z461" i="1"/>
  <c r="Z311" i="1"/>
  <c r="Z437" i="1"/>
  <c r="Z446" i="1"/>
  <c r="Z303" i="1"/>
  <c r="Z274" i="1"/>
  <c r="Z220" i="1"/>
  <c r="Z410" i="1"/>
  <c r="Z349" i="1"/>
  <c r="Z203" i="1"/>
  <c r="Z109" i="1"/>
  <c r="Z57" i="1"/>
  <c r="Z330" i="1"/>
  <c r="Z116" i="1"/>
  <c r="Z103" i="1"/>
  <c r="Z431" i="1"/>
  <c r="Y490" i="1"/>
  <c r="Z95" i="1"/>
  <c r="Z393" i="1"/>
  <c r="Z234" i="1"/>
  <c r="Z143" i="1"/>
  <c r="Z76" i="1"/>
  <c r="Z63" i="1"/>
  <c r="Z43" i="1"/>
  <c r="Z31" i="1"/>
  <c r="Y492" i="1"/>
  <c r="Y489" i="1"/>
  <c r="Y491" i="1" s="1"/>
  <c r="Z149" i="1"/>
  <c r="Z69" i="1"/>
  <c r="Y488" i="1"/>
  <c r="Z493" i="1" l="1"/>
</calcChain>
</file>

<file path=xl/sharedStrings.xml><?xml version="1.0" encoding="utf-8"?>
<sst xmlns="http://schemas.openxmlformats.org/spreadsheetml/2006/main" count="2279" uniqueCount="764">
  <si>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</si>
  <si>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</si>
  <si>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</si>
  <si>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</si>
  <si>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</si>
  <si>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</si>
  <si>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</si>
  <si>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</si>
  <si>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</si>
  <si>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</si>
  <si>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</si>
  <si>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</si>
  <si>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</si>
  <si>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</si>
  <si>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</si>
  <si>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</si>
  <si>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</si>
  <si>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</si>
  <si>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</si>
  <si>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</si>
  <si>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</si>
  <si>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</si>
  <si>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</si>
  <si>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</si>
  <si>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</si>
  <si>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</si>
  <si>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</si>
  <si>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</si>
  <si>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</si>
  <si>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</si>
  <si>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</si>
  <si>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</si>
  <si>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</si>
  <si>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</si>
  <si>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</si>
  <si>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</si>
  <si>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</si>
  <si>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</si>
  <si>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</si>
  <si>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</si>
  <si>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</si>
  <si>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</si>
  <si>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</si>
  <si>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</si>
  <si>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</si>
  <si>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</si>
  <si>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</si>
  <si>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</si>
  <si>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</si>
  <si>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</si>
  <si>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</si>
  <si>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</si>
  <si>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</si>
  <si>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</si>
  <si>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</si>
  <si>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</si>
  <si>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</si>
  <si>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</si>
  <si>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</si>
  <si>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</si>
  <si>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</si>
  <si>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</si>
  <si>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</si>
  <si>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</si>
  <si>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</si>
  <si>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</si>
  <si>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</si>
  <si>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</si>
  <si>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</si>
  <si>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</si>
  <si>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</si>
  <si>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</si>
  <si>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</si>
  <si>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</si>
  <si>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</si>
  <si>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</si>
  <si>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</si>
  <si>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</si>
  <si>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</si>
  <si>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</si>
  <si>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</si>
  <si>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</si>
  <si>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</si>
  <si>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</si>
  <si>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</si>
  <si>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</si>
  <si>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</si>
  <si>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</si>
  <si>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</si>
  <si>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</si>
  <si>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</si>
  <si>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</si>
  <si>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</si>
  <si>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</si>
  <si>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</si>
  <si>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</si>
  <si>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</si>
  <si>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</si>
  <si>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</si>
  <si>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</si>
  <si>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</si>
  <si>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</si>
  <si>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</si>
  <si>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</si>
  <si>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</si>
  <si>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</si>
  <si>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</si>
  <si>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</si>
  <si>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</si>
  <si>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</si>
  <si>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</si>
  <si>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</si>
  <si>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</si>
  <si>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</si>
  <si>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</si>
  <si>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</si>
  <si>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</si>
  <si>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</si>
  <si>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</si>
  <si>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</si>
  <si>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</si>
  <si>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</si>
  <si>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</si>
  <si>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</si>
  <si>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</si>
  <si>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</si>
  <si>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</si>
  <si>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</si>
  <si>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</si>
  <si>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</si>
  <si>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</si>
  <si>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</si>
  <si>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</si>
  <si>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</si>
  <si>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</si>
  <si>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</si>
  <si>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</si>
  <si>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</si>
  <si>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</si>
  <si>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</si>
  <si>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</si>
  <si>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</si>
  <si>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</si>
  <si>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</si>
  <si>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</si>
  <si>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</si>
  <si>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</si>
  <si>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</si>
  <si>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</si>
  <si>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</si>
  <si>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</si>
  <si>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</si>
  <si>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</si>
  <si>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</si>
  <si>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</si>
  <si>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</si>
  <si>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</si>
  <si>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</si>
  <si>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</si>
  <si>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</si>
  <si>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</si>
  <si>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</si>
  <si>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</si>
  <si>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</si>
  <si>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</si>
  <si>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</si>
  <si>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</si>
  <si>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</si>
  <si>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</si>
  <si>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</si>
  <si>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</si>
  <si>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</si>
  <si>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</si>
  <si>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</si>
  <si>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</si>
  <si>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</si>
  <si>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</si>
  <si>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</si>
  <si>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</si>
  <si>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</si>
  <si>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</si>
  <si>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</si>
  <si>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</si>
  <si>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</si>
  <si>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</si>
  <si>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</si>
  <si>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</si>
  <si>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</si>
  <si>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</si>
  <si>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</si>
  <si>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</si>
  <si>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</si>
  <si>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</si>
  <si>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</si>
  <si>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</si>
  <si>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</si>
  <si>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</si>
  <si>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</si>
  <si>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</si>
  <si>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</si>
  <si>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</si>
  <si>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</si>
  <si>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</si>
  <si>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</si>
  <si>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</si>
  <si>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</si>
  <si>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</si>
  <si>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</si>
  <si>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</si>
  <si>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</si>
  <si>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</si>
  <si>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</si>
  <si>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</si>
  <si>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</si>
  <si>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</si>
  <si>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</si>
  <si>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</si>
  <si>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</si>
  <si>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</si>
  <si>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</si>
  <si>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</si>
  <si>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</si>
  <si>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</si>
  <si>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</si>
  <si>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</si>
  <si>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</si>
  <si>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</si>
  <si>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</si>
  <si>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</si>
  <si>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</si>
  <si>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</si>
  <si>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</si>
  <si>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</si>
  <si>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</si>
  <si>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</si>
  <si>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</si>
  <si>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</si>
  <si>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</si>
  <si>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</si>
  <si>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</si>
  <si>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</si>
  <si>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</si>
  <si>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</si>
  <si>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</si>
  <si>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</si>
  <si>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</si>
  <si>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</si>
  <si>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</si>
  <si>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</si>
  <si>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</si>
  <si>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</si>
  <si>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</si>
  <si>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</si>
  <si>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</si>
  <si>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</si>
  <si>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</si>
  <si>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</si>
  <si>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</si>
  <si>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</si>
  <si>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</si>
  <si>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</si>
  <si>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</si>
  <si>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</si>
  <si>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</si>
  <si>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</si>
  <si>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</si>
  <si>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</si>
  <si>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</si>
  <si>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</si>
  <si>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</si>
  <si>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</si>
  <si>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</si>
  <si>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</si>
  <si>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</si>
  <si>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</si>
  <si>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</si>
  <si>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</si>
  <si>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</si>
  <si>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</si>
  <si>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</si>
  <si>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</si>
  <si>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</si>
  <si>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</si>
  <si>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</si>
  <si>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</si>
  <si>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</si>
  <si>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</si>
  <si>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</si>
  <si>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</si>
  <si>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</si>
  <si>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</si>
  <si>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</si>
  <si>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</si>
  <si>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</si>
  <si>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</si>
  <si>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</si>
  <si>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</si>
  <si>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</si>
  <si>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</si>
  <si>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</si>
  <si>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</si>
  <si>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</si>
  <si>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</si>
  <si>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</si>
  <si>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</si>
  <si>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</si>
  <si>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</si>
  <si>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</si>
  <si>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</si>
  <si>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</si>
  <si>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</si>
  <si>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</si>
  <si>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</si>
  <si>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</si>
  <si>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</si>
  <si>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</si>
  <si>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</si>
  <si>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</si>
  <si>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</si>
  <si>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</si>
  <si>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</si>
  <si>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</si>
  <si>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</si>
  <si>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</si>
  <si>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</si>
  <si>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</si>
  <si>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</si>
  <si>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</si>
  <si>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</si>
  <si>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</si>
  <si>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</si>
  <si>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</si>
  <si>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</si>
  <si>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</si>
  <si>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</si>
  <si>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</si>
  <si>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</si>
  <si>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</si>
  <si>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</si>
  <si>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</si>
  <si>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</si>
  <si>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</si>
  <si>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</si>
  <si>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</si>
  <si>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</si>
  <si>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</si>
  <si>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</si>
  <si>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</si>
  <si>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</si>
  <si>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</si>
  <si>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</si>
  <si>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</si>
  <si>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</si>
  <si>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</si>
  <si>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</si>
  <si>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</si>
  <si>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</si>
  <si>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</si>
  <si>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</si>
  <si>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</si>
  <si>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</si>
  <si>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</si>
  <si>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</si>
  <si>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</si>
  <si>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</si>
  <si>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</si>
  <si>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</si>
  <si>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</si>
  <si>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</si>
  <si>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</si>
  <si>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</si>
  <si>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</si>
  <si>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</si>
  <si>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</si>
  <si>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</si>
  <si>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</si>
  <si>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</si>
  <si>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</si>
  <si>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</si>
  <si>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</si>
  <si>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</si>
  <si>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</si>
  <si>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</si>
  <si>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</si>
  <si>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</si>
  <si>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</si>
  <si>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</si>
  <si>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</si>
  <si>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</si>
  <si>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</si>
  <si>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</si>
  <si>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</si>
  <si>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</si>
  <si>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</si>
  <si>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</si>
  <si>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</si>
  <si>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</si>
  <si>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</si>
  <si>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</si>
  <si>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</si>
  <si>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</si>
  <si>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</si>
  <si>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</si>
  <si>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</si>
  <si>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</si>
  <si>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</si>
  <si>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</si>
  <si>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</si>
  <si>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</si>
  <si>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</si>
  <si>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</si>
  <si>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</si>
  <si>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</si>
  <si>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</si>
  <si>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</si>
  <si>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</si>
  <si>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</si>
  <si>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</si>
  <si>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</si>
  <si>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</si>
  <si>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</si>
  <si>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</si>
  <si>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</si>
  <si>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</si>
  <si>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</si>
  <si>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</si>
  <si>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</si>
  <si>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</si>
  <si>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</si>
  <si>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</si>
  <si>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</si>
  <si>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</si>
  <si>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</si>
  <si>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</si>
  <si>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</si>
  <si>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</si>
  <si>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</si>
  <si>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</si>
  <si>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</si>
  <si>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</si>
  <si>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</si>
  <si>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</si>
  <si>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</si>
  <si>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</si>
  <si>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</si>
  <si>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</si>
  <si>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</si>
  <si>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</si>
  <si>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</si>
  <si>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</si>
  <si>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</si>
  <si>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</si>
  <si>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</si>
  <si>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</si>
  <si>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</si>
  <si>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</si>
  <si>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</si>
  <si>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</si>
  <si>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</si>
  <si>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</si>
  <si>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</si>
  <si>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</si>
  <si>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</si>
  <si>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</si>
  <si>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</si>
  <si>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</si>
  <si>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</si>
  <si>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</si>
  <si>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</si>
  <si>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</si>
  <si>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</si>
  <si>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</si>
  <si>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</si>
  <si>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</si>
  <si>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</si>
  <si>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</si>
  <si>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</si>
  <si>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</si>
  <si>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</si>
  <si>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</si>
  <si>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</si>
  <si>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</si>
  <si>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</si>
  <si>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</si>
  <si>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</si>
  <si>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</si>
  <si>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</si>
  <si>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</si>
  <si>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</si>
  <si>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</si>
  <si>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</si>
  <si>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</si>
  <si>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</si>
  <si>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</si>
  <si>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</si>
  <si>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</si>
  <si>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</si>
  <si>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</si>
  <si>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</si>
  <si>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</si>
  <si>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</si>
  <si>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</si>
  <si>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</si>
  <si>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</si>
  <si>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</si>
  <si>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</si>
  <si>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</si>
  <si>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</si>
  <si>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</si>
  <si>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</si>
  <si>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</si>
  <si>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</si>
  <si>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</si>
  <si>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</si>
  <si>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</si>
  <si>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</si>
  <si>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</si>
  <si>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</si>
  <si>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</si>
  <si>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</si>
  <si>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</si>
  <si>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</si>
  <si>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</si>
  <si>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</si>
  <si>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</si>
  <si>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</si>
  <si>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</si>
  <si>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</si>
  <si>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</si>
  <si>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</si>
  <si>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</si>
  <si>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</si>
  <si>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</si>
  <si>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</si>
  <si>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</si>
  <si>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</si>
  <si>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</si>
  <si>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</si>
  <si>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</si>
  <si>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</si>
  <si>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</si>
  <si>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</si>
  <si>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</si>
  <si>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</si>
  <si>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</si>
  <si>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</si>
  <si>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</si>
  <si>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</si>
  <si>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</si>
  <si>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</si>
  <si>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</si>
  <si>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</si>
  <si>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</si>
  <si>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</si>
  <si>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</si>
  <si>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</si>
  <si>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</si>
  <si>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</si>
  <si>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</si>
  <si>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</si>
  <si>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</si>
  <si>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</si>
  <si>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</si>
  <si>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</si>
  <si>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</si>
  <si>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</si>
  <si>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</si>
  <si>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</si>
  <si>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</si>
  <si>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</si>
  <si>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</si>
  <si>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</si>
  <si>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</si>
  <si>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</si>
  <si>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</si>
  <si>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</si>
  <si>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</si>
  <si>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</si>
  <si>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</si>
  <si>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</si>
  <si>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</si>
  <si>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</si>
  <si>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</si>
  <si>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</si>
  <si>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</si>
  <si>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</si>
  <si>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</si>
  <si>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</si>
  <si>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</si>
  <si>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</si>
  <si>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</si>
  <si>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</si>
  <si>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</si>
  <si>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</si>
  <si>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</si>
  <si>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</si>
  <si>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</si>
  <si>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</si>
  <si>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</si>
  <si>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</si>
  <si>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</si>
  <si>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</si>
  <si>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</si>
  <si>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</si>
  <si>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</si>
  <si>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</si>
  <si>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</si>
  <si>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</si>
  <si>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</si>
  <si>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</si>
  <si>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</si>
  <si>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</si>
  <si>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</si>
  <si>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</si>
  <si>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</si>
  <si>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</si>
  <si>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</si>
  <si>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</si>
  <si>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</si>
  <si>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</si>
  <si>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</si>
  <si>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</si>
  <si>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</si>
  <si>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</si>
  <si>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</si>
  <si>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</si>
  <si>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</si>
  <si>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</si>
  <si>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</si>
  <si>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</si>
  <si>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</si>
  <si>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</si>
  <si>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</si>
  <si>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</si>
  <si>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</si>
  <si>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</si>
  <si>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</si>
  <si>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</si>
  <si>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</si>
  <si>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</si>
  <si>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</si>
  <si>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</si>
  <si>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</si>
  <si>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</si>
  <si>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</si>
  <si>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</si>
  <si>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</si>
  <si>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</si>
  <si>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</si>
  <si>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</si>
  <si>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</si>
  <si>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</si>
  <si>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</si>
  <si>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</si>
  <si>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</si>
  <si>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</si>
  <si>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</si>
  <si>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</si>
  <si>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</si>
  <si>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</si>
  <si>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</si>
  <si>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</si>
  <si>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</si>
  <si>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</si>
  <si>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</si>
  <si>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</si>
  <si>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</si>
  <si>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</si>
  <si>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</si>
  <si>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</si>
  <si>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</si>
  <si>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</si>
  <si>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</si>
  <si>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</si>
  <si>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</si>
  <si>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</si>
  <si>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</si>
  <si>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</si>
  <si>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</si>
  <si>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</si>
  <si>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</si>
  <si>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</si>
  <si>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</si>
  <si>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</si>
  <si>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</si>
  <si>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</si>
  <si>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</si>
  <si>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</si>
  <si>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</si>
  <si>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</si>
  <si>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</si>
  <si>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</si>
  <si>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</si>
  <si>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</si>
  <si>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</si>
  <si>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</si>
  <si>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</si>
  <si>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</si>
  <si>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</si>
  <si>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</si>
  <si>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</si>
  <si>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</si>
  <si>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</si>
  <si>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</si>
  <si>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</si>
  <si>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</si>
  <si>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</si>
  <si>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</si>
  <si>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</si>
  <si>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</si>
  <si>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</si>
  <si>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</si>
  <si>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</si>
  <si>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</si>
  <si>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</si>
  <si>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</si>
  <si>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</si>
  <si>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</si>
  <si>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</si>
  <si>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</si>
  <si>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</si>
  <si>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</si>
  <si>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</si>
  <si>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</si>
  <si>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</si>
  <si>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</si>
  <si>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</si>
  <si>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</si>
  <si>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</si>
  <si>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</si>
  <si>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</si>
  <si>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</si>
  <si>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</si>
  <si>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</si>
  <si>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</si>
  <si>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</si>
  <si>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</si>
  <si>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</si>
  <si>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</si>
  <si>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</si>
  <si>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</si>
  <si>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</si>
  <si>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</si>
  <si>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</si>
  <si>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</si>
  <si>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</si>
  <si>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</si>
  <si>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</si>
  <si>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</si>
  <si>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</si>
  <si>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</si>
  <si>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</si>
  <si>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</si>
  <si>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</si>
  <si>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</si>
  <si>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</si>
  <si>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</si>
  <si>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</si>
  <si>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</si>
  <si>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</si>
  <si>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</si>
  <si>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</si>
  <si>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</si>
  <si>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5 европалет, мультиреф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</si>
</sst>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342" sqref="AA342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66"/>
      <c r="F1" s="566"/>
      <c r="G1" s="12" t="s">
        <v>1</v>
      </c>
      <c r="H1" s="615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6" t="s">
        <v>8</v>
      </c>
      <c r="B5" s="624"/>
      <c r="C5" s="625"/>
      <c r="D5" s="616"/>
      <c r="E5" s="617"/>
      <c r="F5" s="825" t="s">
        <v>9</v>
      </c>
      <c r="G5" s="625"/>
      <c r="H5" s="616" t="s">
        <v>763</v>
      </c>
      <c r="I5" s="759"/>
      <c r="J5" s="759"/>
      <c r="K5" s="759"/>
      <c r="L5" s="759"/>
      <c r="M5" s="617"/>
      <c r="N5" s="58"/>
      <c r="P5" s="24" t="s">
        <v>10</v>
      </c>
      <c r="Q5" s="834">
        <v>45970</v>
      </c>
      <c r="R5" s="644"/>
      <c r="T5" s="701" t="s">
        <v>11</v>
      </c>
      <c r="U5" s="702"/>
      <c r="V5" s="703" t="s">
        <v>12</v>
      </c>
      <c r="W5" s="644"/>
      <c r="AB5" s="51"/>
      <c r="AC5" s="51"/>
      <c r="AD5" s="51"/>
      <c r="AE5" s="51"/>
    </row>
    <row r="6" spans="1:32" s="533" customFormat="1" ht="24" customHeight="1" x14ac:dyDescent="0.2">
      <c r="A6" s="656" t="s">
        <v>13</v>
      </c>
      <c r="B6" s="624"/>
      <c r="C6" s="625"/>
      <c r="D6" s="762" t="s">
        <v>14</v>
      </c>
      <c r="E6" s="763"/>
      <c r="F6" s="763"/>
      <c r="G6" s="763"/>
      <c r="H6" s="763"/>
      <c r="I6" s="763"/>
      <c r="J6" s="763"/>
      <c r="K6" s="763"/>
      <c r="L6" s="763"/>
      <c r="M6" s="644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Воскресенье</v>
      </c>
      <c r="R6" s="544"/>
      <c r="T6" s="705" t="s">
        <v>16</v>
      </c>
      <c r="U6" s="702"/>
      <c r="V6" s="745" t="s">
        <v>17</v>
      </c>
      <c r="W6" s="580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49"/>
      <c r="U7" s="702"/>
      <c r="V7" s="746"/>
      <c r="W7" s="747"/>
      <c r="AB7" s="51"/>
      <c r="AC7" s="51"/>
      <c r="AD7" s="51"/>
      <c r="AE7" s="51"/>
    </row>
    <row r="8" spans="1:32" s="533" customFormat="1" ht="25.5" customHeight="1" x14ac:dyDescent="0.2">
      <c r="A8" s="852" t="s">
        <v>18</v>
      </c>
      <c r="B8" s="555"/>
      <c r="C8" s="556"/>
      <c r="D8" s="600" t="s">
        <v>19</v>
      </c>
      <c r="E8" s="601"/>
      <c r="F8" s="601"/>
      <c r="G8" s="601"/>
      <c r="H8" s="601"/>
      <c r="I8" s="601"/>
      <c r="J8" s="601"/>
      <c r="K8" s="601"/>
      <c r="L8" s="601"/>
      <c r="M8" s="602"/>
      <c r="N8" s="61"/>
      <c r="P8" s="24" t="s">
        <v>20</v>
      </c>
      <c r="Q8" s="662">
        <v>0.41666666666666669</v>
      </c>
      <c r="R8" s="595"/>
      <c r="T8" s="549"/>
      <c r="U8" s="702"/>
      <c r="V8" s="746"/>
      <c r="W8" s="747"/>
      <c r="AB8" s="51"/>
      <c r="AC8" s="51"/>
      <c r="AD8" s="51"/>
      <c r="AE8" s="51"/>
    </row>
    <row r="9" spans="1:32" s="533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674"/>
      <c r="E9" s="558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1"/>
      <c r="P9" s="26" t="s">
        <v>21</v>
      </c>
      <c r="Q9" s="728"/>
      <c r="R9" s="729"/>
      <c r="T9" s="549"/>
      <c r="U9" s="702"/>
      <c r="V9" s="748"/>
      <c r="W9" s="749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674"/>
      <c r="E10" s="558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9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22</v>
      </c>
      <c r="Q10" s="706"/>
      <c r="R10" s="70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43"/>
      <c r="R11" s="644"/>
      <c r="U11" s="24" t="s">
        <v>27</v>
      </c>
      <c r="V11" s="801" t="s">
        <v>28</v>
      </c>
      <c r="W11" s="72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2" t="s">
        <v>29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5"/>
      <c r="N12" s="62"/>
      <c r="P12" s="24" t="s">
        <v>30</v>
      </c>
      <c r="Q12" s="662"/>
      <c r="R12" s="595"/>
      <c r="S12" s="23"/>
      <c r="U12" s="24"/>
      <c r="V12" s="566"/>
      <c r="W12" s="549"/>
      <c r="AB12" s="51"/>
      <c r="AC12" s="51"/>
      <c r="AD12" s="51"/>
      <c r="AE12" s="51"/>
    </row>
    <row r="13" spans="1:32" s="533" customFormat="1" ht="23.25" customHeight="1" x14ac:dyDescent="0.2">
      <c r="A13" s="692" t="s">
        <v>31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5"/>
      <c r="N13" s="62"/>
      <c r="O13" s="26"/>
      <c r="P13" s="26" t="s">
        <v>32</v>
      </c>
      <c r="Q13" s="801"/>
      <c r="R13" s="7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2" t="s">
        <v>33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1" t="s">
        <v>34</v>
      </c>
      <c r="B15" s="624"/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5"/>
      <c r="N15" s="63"/>
      <c r="P15" s="683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7" t="s">
        <v>36</v>
      </c>
      <c r="B17" s="577" t="s">
        <v>37</v>
      </c>
      <c r="C17" s="669" t="s">
        <v>38</v>
      </c>
      <c r="D17" s="577" t="s">
        <v>39</v>
      </c>
      <c r="E17" s="651"/>
      <c r="F17" s="577" t="s">
        <v>40</v>
      </c>
      <c r="G17" s="577" t="s">
        <v>41</v>
      </c>
      <c r="H17" s="577" t="s">
        <v>42</v>
      </c>
      <c r="I17" s="577" t="s">
        <v>43</v>
      </c>
      <c r="J17" s="577" t="s">
        <v>44</v>
      </c>
      <c r="K17" s="577" t="s">
        <v>45</v>
      </c>
      <c r="L17" s="577" t="s">
        <v>46</v>
      </c>
      <c r="M17" s="577" t="s">
        <v>47</v>
      </c>
      <c r="N17" s="577" t="s">
        <v>48</v>
      </c>
      <c r="O17" s="577" t="s">
        <v>49</v>
      </c>
      <c r="P17" s="577" t="s">
        <v>50</v>
      </c>
      <c r="Q17" s="650"/>
      <c r="R17" s="650"/>
      <c r="S17" s="650"/>
      <c r="T17" s="651"/>
      <c r="U17" s="846" t="s">
        <v>51</v>
      </c>
      <c r="V17" s="625"/>
      <c r="W17" s="577" t="s">
        <v>52</v>
      </c>
      <c r="X17" s="577" t="s">
        <v>53</v>
      </c>
      <c r="Y17" s="847" t="s">
        <v>54</v>
      </c>
      <c r="Z17" s="757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78"/>
      <c r="B18" s="578"/>
      <c r="C18" s="578"/>
      <c r="D18" s="652"/>
      <c r="E18" s="654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78"/>
      <c r="X18" s="578"/>
      <c r="Y18" s="848"/>
      <c r="Z18" s="758"/>
      <c r="AA18" s="735"/>
      <c r="AB18" s="735"/>
      <c r="AC18" s="735"/>
      <c r="AD18" s="821"/>
      <c r="AE18" s="822"/>
      <c r="AF18" s="823"/>
      <c r="AG18" s="66"/>
      <c r="BD18" s="65"/>
    </row>
    <row r="19" spans="1:68" ht="27.75" hidden="1" customHeight="1" x14ac:dyDescent="0.2">
      <c r="A19" s="695" t="s">
        <v>63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548" t="s">
        <v>63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64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1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52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52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73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1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52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52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91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1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52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52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5" t="s">
        <v>97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696"/>
      <c r="X37" s="696"/>
      <c r="Y37" s="696"/>
      <c r="Z37" s="696"/>
      <c r="AA37" s="48"/>
      <c r="AB37" s="48"/>
      <c r="AC37" s="48"/>
    </row>
    <row r="38" spans="1:68" ht="16.5" hidden="1" customHeight="1" x14ac:dyDescent="0.25">
      <c r="A38" s="548" t="s">
        <v>98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99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52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1">
        <f>IFERROR(X40/H40,"0")+IFERROR(X41/H41,"0")+IFERROR(X42/H42,"0")</f>
        <v>0</v>
      </c>
      <c r="Y43" s="541">
        <f>IFERROR(Y40/H40,"0")+IFERROR(Y41/H41,"0")+IFERROR(Y42/H42,"0")</f>
        <v>0</v>
      </c>
      <c r="Z43" s="541">
        <f>IFERROR(IF(Z40="",0,Z40),"0")+IFERROR(IF(Z41="",0,Z41),"0")+IFERROR(IF(Z42="",0,Z42),"0")</f>
        <v>0</v>
      </c>
      <c r="AA43" s="542"/>
      <c r="AB43" s="542"/>
      <c r="AC43" s="542"/>
    </row>
    <row r="44" spans="1:68" hidden="1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52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1">
        <f>IFERROR(SUM(X40:X42),"0")</f>
        <v>0</v>
      </c>
      <c r="Y44" s="541">
        <f>IFERROR(SUM(Y40:Y42),"0")</f>
        <v>0</v>
      </c>
      <c r="Z44" s="37"/>
      <c r="AA44" s="542"/>
      <c r="AB44" s="542"/>
      <c r="AC44" s="542"/>
    </row>
    <row r="45" spans="1:68" ht="14.25" hidden="1" customHeight="1" x14ac:dyDescent="0.25">
      <c r="A45" s="550" t="s">
        <v>73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1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2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52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116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99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10.8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1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2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hidden="1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52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hidden="1" customHeight="1" x14ac:dyDescent="0.25">
      <c r="A59" s="550" t="s">
        <v>135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7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 t="s">
        <v>106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1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52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hidden="1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52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hidden="1" customHeight="1" x14ac:dyDescent="0.25">
      <c r="A65" s="550" t="s">
        <v>64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52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52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73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1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52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52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163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1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52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52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48" t="s">
        <v>170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99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4.5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1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52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hidden="1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52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hidden="1" customHeight="1" x14ac:dyDescent="0.25">
      <c r="A90" s="550" t="s">
        <v>73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16.5" hidden="1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52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1">
        <f>IFERROR(X91/H91,"0")+IFERROR(X92/H92,"0")+IFERROR(X93/H93,"0")+IFERROR(X94/H94,"0")</f>
        <v>0</v>
      </c>
      <c r="Y95" s="541">
        <f>IFERROR(Y91/H91,"0")+IFERROR(Y92/H92,"0")+IFERROR(Y93/H93,"0")+IFERROR(Y94/H94,"0")</f>
        <v>0</v>
      </c>
      <c r="Z95" s="541">
        <f>IFERROR(IF(Z91="",0,Z91),"0")+IFERROR(IF(Z92="",0,Z92),"0")+IFERROR(IF(Z93="",0,Z93),"0")+IFERROR(IF(Z94="",0,Z94),"0")</f>
        <v>0</v>
      </c>
      <c r="AA95" s="542"/>
      <c r="AB95" s="542"/>
      <c r="AC95" s="542"/>
    </row>
    <row r="96" spans="1:68" hidden="1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52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1">
        <f>IFERROR(SUM(X91:X94),"0")</f>
        <v>0</v>
      </c>
      <c r="Y96" s="541">
        <f>IFERROR(SUM(Y91:Y94),"0")</f>
        <v>0</v>
      </c>
      <c r="Z96" s="37"/>
      <c r="AA96" s="542"/>
      <c r="AB96" s="542"/>
      <c r="AC96" s="542"/>
    </row>
    <row r="97" spans="1:68" ht="16.5" hidden="1" customHeight="1" x14ac:dyDescent="0.25">
      <c r="A97" s="548" t="s">
        <v>189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99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1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52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hidden="1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52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135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1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52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52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0" t="s">
        <v>73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215</v>
      </c>
      <c r="B115" s="54" t="s">
        <v>216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1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52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1">
        <f>IFERROR(X112/H112,"0")+IFERROR(X113/H113,"0")+IFERROR(X114/H114,"0")+IFERROR(X115/H115,"0")</f>
        <v>0</v>
      </c>
      <c r="Y116" s="541">
        <f>IFERROR(Y112/H112,"0")+IFERROR(Y113/H113,"0")+IFERROR(Y114/H114,"0")+IFERROR(Y115/H115,"0")</f>
        <v>0</v>
      </c>
      <c r="Z116" s="541">
        <f>IFERROR(IF(Z112="",0,Z112),"0")+IFERROR(IF(Z113="",0,Z113),"0")+IFERROR(IF(Z114="",0,Z114),"0")+IFERROR(IF(Z115="",0,Z115),"0")</f>
        <v>0</v>
      </c>
      <c r="AA116" s="542"/>
      <c r="AB116" s="542"/>
      <c r="AC116" s="542"/>
    </row>
    <row r="117" spans="1:68" hidden="1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52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1">
        <f>IFERROR(SUM(X112:X115),"0")</f>
        <v>0</v>
      </c>
      <c r="Y117" s="541">
        <f>IFERROR(SUM(Y112:Y115),"0")</f>
        <v>0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163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hidden="1" customHeight="1" x14ac:dyDescent="0.25">
      <c r="A119" s="54" t="s">
        <v>218</v>
      </c>
      <c r="B119" s="54" t="s">
        <v>219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1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52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52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48" t="s">
        <v>221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99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hidden="1" customHeight="1" x14ac:dyDescent="0.25">
      <c r="A124" s="54" t="s">
        <v>222</v>
      </c>
      <c r="B124" s="54" t="s">
        <v>223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222</v>
      </c>
      <c r="B125" s="54" t="s">
        <v>225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1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52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52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0" t="s">
        <v>64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226</v>
      </c>
      <c r="B129" s="54" t="s">
        <v>227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226</v>
      </c>
      <c r="B130" s="54" t="s">
        <v>229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1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52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52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0" t="s">
        <v>73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230</v>
      </c>
      <c r="B134" s="54" t="s">
        <v>231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230</v>
      </c>
      <c r="B135" s="54" t="s">
        <v>232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1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52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52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48" t="s">
        <v>97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99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233</v>
      </c>
      <c r="B140" s="54" t="s">
        <v>234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236</v>
      </c>
      <c r="B141" s="54" t="s">
        <v>237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239</v>
      </c>
      <c r="B142" s="54" t="s">
        <v>240</v>
      </c>
      <c r="C142" s="31">
        <v>4301012179</v>
      </c>
      <c r="D142" s="543">
        <v>4680115886810</v>
      </c>
      <c r="E142" s="54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1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52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52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50" t="s">
        <v>64</v>
      </c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35"/>
      <c r="AB145" s="535"/>
      <c r="AC145" s="535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3">
        <v>4607091387667</v>
      </c>
      <c r="E146" s="54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3">
        <v>4607091387636</v>
      </c>
      <c r="E147" s="54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3">
        <v>4607091382426</v>
      </c>
      <c r="E148" s="54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1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52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52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50" t="s">
        <v>73</v>
      </c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  <c r="AA151" s="535"/>
      <c r="AB151" s="535"/>
      <c r="AC151" s="535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3">
        <v>4680115887459</v>
      </c>
      <c r="E152" s="54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4" t="s">
        <v>253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1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52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52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695" t="s">
        <v>256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48"/>
      <c r="AB155" s="48"/>
      <c r="AC155" s="48"/>
    </row>
    <row r="156" spans="1:68" ht="16.5" hidden="1" customHeight="1" x14ac:dyDescent="0.25">
      <c r="A156" s="548" t="s">
        <v>257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4"/>
      <c r="AB156" s="534"/>
      <c r="AC156" s="534"/>
    </row>
    <row r="157" spans="1:68" ht="14.25" hidden="1" customHeight="1" x14ac:dyDescent="0.25">
      <c r="A157" s="550" t="s">
        <v>135</v>
      </c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  <c r="AA157" s="535"/>
      <c r="AB157" s="535"/>
      <c r="AC157" s="535"/>
    </row>
    <row r="158" spans="1:68" ht="27" hidden="1" customHeight="1" x14ac:dyDescent="0.25">
      <c r="A158" s="54" t="s">
        <v>258</v>
      </c>
      <c r="B158" s="54" t="s">
        <v>259</v>
      </c>
      <c r="C158" s="31">
        <v>4301020323</v>
      </c>
      <c r="D158" s="543">
        <v>4680115886223</v>
      </c>
      <c r="E158" s="54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1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52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52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50" t="s">
        <v>64</v>
      </c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  <c r="AA161" s="535"/>
      <c r="AB161" s="535"/>
      <c r="AC161" s="535"/>
    </row>
    <row r="162" spans="1:68" ht="27" hidden="1" customHeight="1" x14ac:dyDescent="0.25">
      <c r="A162" s="54" t="s">
        <v>261</v>
      </c>
      <c r="B162" s="54" t="s">
        <v>262</v>
      </c>
      <c r="C162" s="31">
        <v>4301031191</v>
      </c>
      <c r="D162" s="543">
        <v>4680115880993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197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263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4301031204</v>
      </c>
      <c r="D163" s="543">
        <v>4680115881761</v>
      </c>
      <c r="E163" s="54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4301031201</v>
      </c>
      <c r="D164" s="543">
        <v>4680115881563</v>
      </c>
      <c r="E164" s="54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0</v>
      </c>
      <c r="Y164" s="540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4301031199</v>
      </c>
      <c r="D165" s="543">
        <v>4680115880986</v>
      </c>
      <c r="E165" s="54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272</v>
      </c>
      <c r="M165" s="33" t="s">
        <v>68</v>
      </c>
      <c r="N165" s="33"/>
      <c r="O165" s="32">
        <v>40</v>
      </c>
      <c r="P165" s="5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263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272</v>
      </c>
      <c r="M166" s="33" t="s">
        <v>68</v>
      </c>
      <c r="N166" s="33"/>
      <c r="O166" s="32">
        <v>40</v>
      </c>
      <c r="P166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275</v>
      </c>
      <c r="B167" s="54" t="s">
        <v>276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278</v>
      </c>
      <c r="B168" s="54" t="s">
        <v>279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272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269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282</v>
      </c>
      <c r="B170" s="54" t="s">
        <v>283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284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1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52"/>
      <c r="P171" s="554" t="s">
        <v>71</v>
      </c>
      <c r="Q171" s="555"/>
      <c r="R171" s="555"/>
      <c r="S171" s="555"/>
      <c r="T171" s="555"/>
      <c r="U171" s="555"/>
      <c r="V171" s="556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hidden="1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52"/>
      <c r="P172" s="554" t="s">
        <v>71</v>
      </c>
      <c r="Q172" s="555"/>
      <c r="R172" s="555"/>
      <c r="S172" s="555"/>
      <c r="T172" s="555"/>
      <c r="U172" s="555"/>
      <c r="V172" s="556"/>
      <c r="W172" s="37" t="s">
        <v>69</v>
      </c>
      <c r="X172" s="541">
        <f>IFERROR(SUM(X162:X170),"0")</f>
        <v>0</v>
      </c>
      <c r="Y172" s="541">
        <f>IFERROR(SUM(Y162:Y170),"0")</f>
        <v>0</v>
      </c>
      <c r="Z172" s="37"/>
      <c r="AA172" s="542"/>
      <c r="AB172" s="542"/>
      <c r="AC172" s="542"/>
    </row>
    <row r="173" spans="1:68" ht="14.25" hidden="1" customHeight="1" x14ac:dyDescent="0.25">
      <c r="A173" s="550" t="s">
        <v>91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hidden="1" customHeight="1" x14ac:dyDescent="0.25">
      <c r="A174" s="54" t="s">
        <v>285</v>
      </c>
      <c r="B174" s="54" t="s">
        <v>286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287</v>
      </c>
      <c r="L174" s="32"/>
      <c r="M174" s="33" t="s">
        <v>288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289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290</v>
      </c>
      <c r="B175" s="54" t="s">
        <v>291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287</v>
      </c>
      <c r="L175" s="32"/>
      <c r="M175" s="33" t="s">
        <v>288</v>
      </c>
      <c r="N175" s="33"/>
      <c r="O175" s="32">
        <v>90</v>
      </c>
      <c r="P175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287</v>
      </c>
      <c r="L176" s="32"/>
      <c r="M176" s="33" t="s">
        <v>288</v>
      </c>
      <c r="N176" s="33"/>
      <c r="O176" s="32">
        <v>90</v>
      </c>
      <c r="P17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292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1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52"/>
      <c r="P177" s="554" t="s">
        <v>71</v>
      </c>
      <c r="Q177" s="555"/>
      <c r="R177" s="555"/>
      <c r="S177" s="555"/>
      <c r="T177" s="555"/>
      <c r="U177" s="555"/>
      <c r="V177" s="556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52"/>
      <c r="P178" s="554" t="s">
        <v>71</v>
      </c>
      <c r="Q178" s="555"/>
      <c r="R178" s="555"/>
      <c r="S178" s="555"/>
      <c r="T178" s="555"/>
      <c r="U178" s="555"/>
      <c r="V178" s="556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295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hidden="1" customHeight="1" x14ac:dyDescent="0.25">
      <c r="A180" s="54" t="s">
        <v>296</v>
      </c>
      <c r="B180" s="54" t="s">
        <v>297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287</v>
      </c>
      <c r="L180" s="32"/>
      <c r="M180" s="33" t="s">
        <v>288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292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1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52"/>
      <c r="P181" s="554" t="s">
        <v>71</v>
      </c>
      <c r="Q181" s="555"/>
      <c r="R181" s="555"/>
      <c r="S181" s="555"/>
      <c r="T181" s="555"/>
      <c r="U181" s="555"/>
      <c r="V181" s="556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52"/>
      <c r="P182" s="554" t="s">
        <v>71</v>
      </c>
      <c r="Q182" s="555"/>
      <c r="R182" s="555"/>
      <c r="S182" s="555"/>
      <c r="T182" s="555"/>
      <c r="U182" s="555"/>
      <c r="V182" s="556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48" t="s">
        <v>298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99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299</v>
      </c>
      <c r="B185" s="54" t="s">
        <v>300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301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302</v>
      </c>
      <c r="B186" s="54" t="s">
        <v>303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301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1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52"/>
      <c r="P187" s="554" t="s">
        <v>71</v>
      </c>
      <c r="Q187" s="555"/>
      <c r="R187" s="555"/>
      <c r="S187" s="555"/>
      <c r="T187" s="555"/>
      <c r="U187" s="555"/>
      <c r="V187" s="556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52"/>
      <c r="P188" s="554" t="s">
        <v>71</v>
      </c>
      <c r="Q188" s="555"/>
      <c r="R188" s="555"/>
      <c r="S188" s="555"/>
      <c r="T188" s="555"/>
      <c r="U188" s="555"/>
      <c r="V188" s="556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135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304</v>
      </c>
      <c r="B190" s="54" t="s">
        <v>305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306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307</v>
      </c>
      <c r="B191" s="54" t="s">
        <v>308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306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1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52"/>
      <c r="P192" s="554" t="s">
        <v>71</v>
      </c>
      <c r="Q192" s="555"/>
      <c r="R192" s="555"/>
      <c r="S192" s="555"/>
      <c r="T192" s="555"/>
      <c r="U192" s="555"/>
      <c r="V192" s="556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52"/>
      <c r="P193" s="554" t="s">
        <v>71</v>
      </c>
      <c r="Q193" s="555"/>
      <c r="R193" s="555"/>
      <c r="S193" s="555"/>
      <c r="T193" s="555"/>
      <c r="U193" s="555"/>
      <c r="V193" s="556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64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hidden="1" customHeight="1" x14ac:dyDescent="0.25">
      <c r="A195" s="54" t="s">
        <v>309</v>
      </c>
      <c r="B195" s="54" t="s">
        <v>310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197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311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312</v>
      </c>
      <c r="B196" s="54" t="s">
        <v>313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272</v>
      </c>
      <c r="M199" s="33" t="s">
        <v>68</v>
      </c>
      <c r="N199" s="33"/>
      <c r="O199" s="32">
        <v>40</v>
      </c>
      <c r="P199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311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323</v>
      </c>
      <c r="B200" s="54" t="s">
        <v>324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272</v>
      </c>
      <c r="M200" s="33" t="s">
        <v>68</v>
      </c>
      <c r="N200" s="33"/>
      <c r="O200" s="32">
        <v>40</v>
      </c>
      <c r="P200" s="8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325</v>
      </c>
      <c r="B201" s="54" t="s">
        <v>326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272</v>
      </c>
      <c r="M201" s="33" t="s">
        <v>68</v>
      </c>
      <c r="N201" s="33"/>
      <c r="O201" s="32">
        <v>40</v>
      </c>
      <c r="P201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327</v>
      </c>
      <c r="B202" s="54" t="s">
        <v>328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272</v>
      </c>
      <c r="M202" s="33" t="s">
        <v>68</v>
      </c>
      <c r="N202" s="33"/>
      <c r="O202" s="32">
        <v>40</v>
      </c>
      <c r="P202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1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52"/>
      <c r="P203" s="554" t="s">
        <v>71</v>
      </c>
      <c r="Q203" s="555"/>
      <c r="R203" s="555"/>
      <c r="S203" s="555"/>
      <c r="T203" s="555"/>
      <c r="U203" s="555"/>
      <c r="V203" s="556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0</v>
      </c>
      <c r="Y203" s="541">
        <f>IFERROR(Y195/H195,"0")+IFERROR(Y196/H196,"0")+IFERROR(Y197/H197,"0")+IFERROR(Y198/H198,"0")+IFERROR(Y199/H199,"0")+IFERROR(Y200/H200,"0")+IFERROR(Y201/H201,"0")+IFERROR(Y202/H202,"0")</f>
        <v>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2"/>
      <c r="AB203" s="542"/>
      <c r="AC203" s="542"/>
    </row>
    <row r="204" spans="1:68" hidden="1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52"/>
      <c r="P204" s="554" t="s">
        <v>71</v>
      </c>
      <c r="Q204" s="555"/>
      <c r="R204" s="555"/>
      <c r="S204" s="555"/>
      <c r="T204" s="555"/>
      <c r="U204" s="555"/>
      <c r="V204" s="556"/>
      <c r="W204" s="37" t="s">
        <v>69</v>
      </c>
      <c r="X204" s="541">
        <f>IFERROR(SUM(X195:X202),"0")</f>
        <v>0</v>
      </c>
      <c r="Y204" s="541">
        <f>IFERROR(SUM(Y195:Y202),"0")</f>
        <v>0</v>
      </c>
      <c r="Z204" s="37"/>
      <c r="AA204" s="542"/>
      <c r="AB204" s="542"/>
      <c r="AC204" s="542"/>
    </row>
    <row r="205" spans="1:68" ht="14.25" hidden="1" customHeight="1" x14ac:dyDescent="0.25">
      <c r="A205" s="550" t="s">
        <v>73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hidden="1" customHeight="1" x14ac:dyDescent="0.25">
      <c r="A206" s="54" t="s">
        <v>329</v>
      </c>
      <c r="B206" s="54" t="s">
        <v>330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331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332</v>
      </c>
      <c r="B207" s="54" t="s">
        <v>333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6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214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331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342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214</v>
      </c>
      <c r="M211" s="33" t="s">
        <v>77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0</v>
      </c>
      <c r="Y211" s="540">
        <f t="shared" si="15"/>
        <v>0</v>
      </c>
      <c r="Z211" s="36" t="str">
        <f t="shared" si="20"/>
        <v/>
      </c>
      <c r="AA211" s="56"/>
      <c r="AB211" s="57"/>
      <c r="AC211" s="253" t="s">
        <v>337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345</v>
      </c>
      <c r="B212" s="54" t="s">
        <v>346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337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347</v>
      </c>
      <c r="B213" s="54" t="s">
        <v>348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214</v>
      </c>
      <c r="M213" s="33" t="s">
        <v>84</v>
      </c>
      <c r="N213" s="33"/>
      <c r="O213" s="32">
        <v>40</v>
      </c>
      <c r="P213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349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214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334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51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52"/>
      <c r="P215" s="554" t="s">
        <v>71</v>
      </c>
      <c r="Q215" s="555"/>
      <c r="R215" s="555"/>
      <c r="S215" s="555"/>
      <c r="T215" s="555"/>
      <c r="U215" s="555"/>
      <c r="V215" s="556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0</v>
      </c>
      <c r="Y215" s="541">
        <f>IFERROR(Y206/H206,"0")+IFERROR(Y207/H207,"0")+IFERROR(Y208/H208,"0")+IFERROR(Y209/H209,"0")+IFERROR(Y210/H210,"0")+IFERROR(Y211/H211,"0")+IFERROR(Y212/H212,"0")+IFERROR(Y213/H213,"0")+IFERROR(Y214/H214,"0")</f>
        <v>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2"/>
      <c r="AB215" s="542"/>
      <c r="AC215" s="542"/>
    </row>
    <row r="216" spans="1:68" hidden="1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52"/>
      <c r="P216" s="554" t="s">
        <v>71</v>
      </c>
      <c r="Q216" s="555"/>
      <c r="R216" s="555"/>
      <c r="S216" s="555"/>
      <c r="T216" s="555"/>
      <c r="U216" s="555"/>
      <c r="V216" s="556"/>
      <c r="W216" s="37" t="s">
        <v>69</v>
      </c>
      <c r="X216" s="541">
        <f>IFERROR(SUM(X206:X214),"0")</f>
        <v>0</v>
      </c>
      <c r="Y216" s="541">
        <f>IFERROR(SUM(Y206:Y214),"0")</f>
        <v>0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163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hidden="1" customHeight="1" x14ac:dyDescent="0.25">
      <c r="A218" s="54" t="s">
        <v>352</v>
      </c>
      <c r="B218" s="54" t="s">
        <v>353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214</v>
      </c>
      <c r="M218" s="33" t="s">
        <v>84</v>
      </c>
      <c r="N218" s="33"/>
      <c r="O218" s="32">
        <v>40</v>
      </c>
      <c r="P218" s="8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354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355</v>
      </c>
      <c r="B219" s="54" t="s">
        <v>356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214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1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52"/>
      <c r="P220" s="554" t="s">
        <v>71</v>
      </c>
      <c r="Q220" s="555"/>
      <c r="R220" s="555"/>
      <c r="S220" s="555"/>
      <c r="T220" s="555"/>
      <c r="U220" s="555"/>
      <c r="V220" s="556"/>
      <c r="W220" s="37" t="s">
        <v>72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hidden="1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52"/>
      <c r="P221" s="554" t="s">
        <v>71</v>
      </c>
      <c r="Q221" s="555"/>
      <c r="R221" s="555"/>
      <c r="S221" s="555"/>
      <c r="T221" s="555"/>
      <c r="U221" s="555"/>
      <c r="V221" s="556"/>
      <c r="W221" s="37" t="s">
        <v>69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hidden="1" customHeight="1" x14ac:dyDescent="0.25">
      <c r="A222" s="548" t="s">
        <v>358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99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hidden="1" customHeight="1" x14ac:dyDescent="0.25">
      <c r="A224" s="54" t="s">
        <v>359</v>
      </c>
      <c r="B224" s="54" t="s">
        <v>360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361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362</v>
      </c>
      <c r="B225" s="54" t="s">
        <v>363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197</v>
      </c>
      <c r="M227" s="33" t="s">
        <v>104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361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370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372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376</v>
      </c>
      <c r="B231" s="54" t="s">
        <v>377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378</v>
      </c>
      <c r="B232" s="54" t="s">
        <v>379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197</v>
      </c>
      <c r="M232" s="33" t="s">
        <v>104</v>
      </c>
      <c r="N232" s="33"/>
      <c r="O232" s="32">
        <v>55</v>
      </c>
      <c r="P232" s="6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367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380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1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52"/>
      <c r="P234" s="554" t="s">
        <v>71</v>
      </c>
      <c r="Q234" s="555"/>
      <c r="R234" s="555"/>
      <c r="S234" s="555"/>
      <c r="T234" s="555"/>
      <c r="U234" s="555"/>
      <c r="V234" s="556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52"/>
      <c r="P235" s="554" t="s">
        <v>71</v>
      </c>
      <c r="Q235" s="555"/>
      <c r="R235" s="555"/>
      <c r="S235" s="555"/>
      <c r="T235" s="555"/>
      <c r="U235" s="555"/>
      <c r="V235" s="556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135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hidden="1" customHeight="1" x14ac:dyDescent="0.25">
      <c r="A237" s="54" t="s">
        <v>381</v>
      </c>
      <c r="B237" s="54" t="s">
        <v>382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383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1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52"/>
      <c r="P238" s="554" t="s">
        <v>71</v>
      </c>
      <c r="Q238" s="555"/>
      <c r="R238" s="555"/>
      <c r="S238" s="555"/>
      <c r="T238" s="555"/>
      <c r="U238" s="555"/>
      <c r="V238" s="556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52"/>
      <c r="P239" s="554" t="s">
        <v>71</v>
      </c>
      <c r="Q239" s="555"/>
      <c r="R239" s="555"/>
      <c r="S239" s="555"/>
      <c r="T239" s="555"/>
      <c r="U239" s="555"/>
      <c r="V239" s="556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384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hidden="1" customHeight="1" x14ac:dyDescent="0.25">
      <c r="A241" s="54" t="s">
        <v>385</v>
      </c>
      <c r="B241" s="54" t="s">
        <v>386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287</v>
      </c>
      <c r="L241" s="32"/>
      <c r="M241" s="33" t="s">
        <v>288</v>
      </c>
      <c r="N241" s="33"/>
      <c r="O241" s="32">
        <v>45</v>
      </c>
      <c r="P241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387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1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52"/>
      <c r="P242" s="554" t="s">
        <v>71</v>
      </c>
      <c r="Q242" s="555"/>
      <c r="R242" s="555"/>
      <c r="S242" s="555"/>
      <c r="T242" s="555"/>
      <c r="U242" s="555"/>
      <c r="V242" s="556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52"/>
      <c r="P243" s="554" t="s">
        <v>71</v>
      </c>
      <c r="Q243" s="555"/>
      <c r="R243" s="555"/>
      <c r="S243" s="555"/>
      <c r="T243" s="555"/>
      <c r="U243" s="555"/>
      <c r="V243" s="556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388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389</v>
      </c>
      <c r="B245" s="54" t="s">
        <v>390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287</v>
      </c>
      <c r="L245" s="32"/>
      <c r="M245" s="33" t="s">
        <v>288</v>
      </c>
      <c r="N245" s="33"/>
      <c r="O245" s="32">
        <v>90</v>
      </c>
      <c r="P245" s="71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391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392</v>
      </c>
      <c r="B246" s="54" t="s">
        <v>393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287</v>
      </c>
      <c r="L246" s="32"/>
      <c r="M246" s="33" t="s">
        <v>288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394</v>
      </c>
      <c r="B247" s="54" t="s">
        <v>395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287</v>
      </c>
      <c r="L247" s="32"/>
      <c r="M247" s="33" t="s">
        <v>288</v>
      </c>
      <c r="N247" s="33"/>
      <c r="O247" s="32">
        <v>90</v>
      </c>
      <c r="P247" s="8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396</v>
      </c>
      <c r="B248" s="54" t="s">
        <v>397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287</v>
      </c>
      <c r="L248" s="32"/>
      <c r="M248" s="33" t="s">
        <v>288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398</v>
      </c>
      <c r="B249" s="54" t="s">
        <v>399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287</v>
      </c>
      <c r="L249" s="32"/>
      <c r="M249" s="33" t="s">
        <v>288</v>
      </c>
      <c r="N249" s="33"/>
      <c r="O249" s="32">
        <v>90</v>
      </c>
      <c r="P249" s="5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1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52"/>
      <c r="P250" s="554" t="s">
        <v>71</v>
      </c>
      <c r="Q250" s="555"/>
      <c r="R250" s="555"/>
      <c r="S250" s="555"/>
      <c r="T250" s="555"/>
      <c r="U250" s="555"/>
      <c r="V250" s="556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52"/>
      <c r="P251" s="554" t="s">
        <v>71</v>
      </c>
      <c r="Q251" s="555"/>
      <c r="R251" s="555"/>
      <c r="S251" s="555"/>
      <c r="T251" s="555"/>
      <c r="U251" s="555"/>
      <c r="V251" s="556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48" t="s">
        <v>400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99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401</v>
      </c>
      <c r="B254" s="54" t="s">
        <v>402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403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404</v>
      </c>
      <c r="B255" s="54" t="s">
        <v>405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407</v>
      </c>
      <c r="B256" s="54" t="s">
        <v>408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413</v>
      </c>
      <c r="B258" s="54" t="s">
        <v>414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3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1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52"/>
      <c r="P259" s="554" t="s">
        <v>71</v>
      </c>
      <c r="Q259" s="555"/>
      <c r="R259" s="555"/>
      <c r="S259" s="555"/>
      <c r="T259" s="555"/>
      <c r="U259" s="555"/>
      <c r="V259" s="556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52"/>
      <c r="P260" s="554" t="s">
        <v>71</v>
      </c>
      <c r="Q260" s="555"/>
      <c r="R260" s="555"/>
      <c r="S260" s="555"/>
      <c r="T260" s="555"/>
      <c r="U260" s="555"/>
      <c r="V260" s="556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416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99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417</v>
      </c>
      <c r="B263" s="54" t="s">
        <v>418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419</v>
      </c>
      <c r="B264" s="54" t="s">
        <v>420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8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422</v>
      </c>
      <c r="B265" s="54" t="s">
        <v>423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367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424</v>
      </c>
      <c r="B266" s="54" t="s">
        <v>425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426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1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52"/>
      <c r="P267" s="554" t="s">
        <v>71</v>
      </c>
      <c r="Q267" s="555"/>
      <c r="R267" s="555"/>
      <c r="S267" s="555"/>
      <c r="T267" s="555"/>
      <c r="U267" s="555"/>
      <c r="V267" s="556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52"/>
      <c r="P268" s="554" t="s">
        <v>71</v>
      </c>
      <c r="Q268" s="555"/>
      <c r="R268" s="555"/>
      <c r="S268" s="555"/>
      <c r="T268" s="555"/>
      <c r="U268" s="555"/>
      <c r="V268" s="556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427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73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428</v>
      </c>
      <c r="B271" s="54" t="s">
        <v>429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430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431</v>
      </c>
      <c r="B272" s="54" t="s">
        <v>432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214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430</v>
      </c>
      <c r="AG273" s="64"/>
      <c r="AJ273" s="68" t="s">
        <v>106</v>
      </c>
      <c r="AK273" s="68">
        <v>2.4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1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52"/>
      <c r="P274" s="554" t="s">
        <v>71</v>
      </c>
      <c r="Q274" s="555"/>
      <c r="R274" s="555"/>
      <c r="S274" s="555"/>
      <c r="T274" s="555"/>
      <c r="U274" s="555"/>
      <c r="V274" s="556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52"/>
      <c r="P275" s="554" t="s">
        <v>71</v>
      </c>
      <c r="Q275" s="555"/>
      <c r="R275" s="555"/>
      <c r="S275" s="555"/>
      <c r="T275" s="555"/>
      <c r="U275" s="555"/>
      <c r="V275" s="556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48" t="s">
        <v>436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64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437</v>
      </c>
      <c r="B278" s="54" t="s">
        <v>438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439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440</v>
      </c>
      <c r="B279" s="54" t="s">
        <v>441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1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52"/>
      <c r="P280" s="554" t="s">
        <v>71</v>
      </c>
      <c r="Q280" s="555"/>
      <c r="R280" s="555"/>
      <c r="S280" s="555"/>
      <c r="T280" s="555"/>
      <c r="U280" s="555"/>
      <c r="V280" s="556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52"/>
      <c r="P281" s="554" t="s">
        <v>71</v>
      </c>
      <c r="Q281" s="555"/>
      <c r="R281" s="555"/>
      <c r="S281" s="555"/>
      <c r="T281" s="555"/>
      <c r="U281" s="555"/>
      <c r="V281" s="556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0" t="s">
        <v>73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443</v>
      </c>
      <c r="B283" s="54" t="s">
        <v>444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445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1"/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52"/>
      <c r="P284" s="554" t="s">
        <v>71</v>
      </c>
      <c r="Q284" s="555"/>
      <c r="R284" s="555"/>
      <c r="S284" s="555"/>
      <c r="T284" s="555"/>
      <c r="U284" s="555"/>
      <c r="V284" s="556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9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52"/>
      <c r="P285" s="554" t="s">
        <v>71</v>
      </c>
      <c r="Q285" s="555"/>
      <c r="R285" s="555"/>
      <c r="S285" s="555"/>
      <c r="T285" s="555"/>
      <c r="U285" s="555"/>
      <c r="V285" s="556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48" t="s">
        <v>446</v>
      </c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49"/>
      <c r="T286" s="549"/>
      <c r="U286" s="549"/>
      <c r="V286" s="549"/>
      <c r="W286" s="549"/>
      <c r="X286" s="549"/>
      <c r="Y286" s="549"/>
      <c r="Z286" s="549"/>
      <c r="AA286" s="534"/>
      <c r="AB286" s="534"/>
      <c r="AC286" s="534"/>
    </row>
    <row r="287" spans="1:68" ht="14.25" hidden="1" customHeight="1" x14ac:dyDescent="0.25">
      <c r="A287" s="550" t="s">
        <v>99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5"/>
      <c r="AB287" s="535"/>
      <c r="AC287" s="535"/>
    </row>
    <row r="288" spans="1:68" ht="27" hidden="1" customHeight="1" x14ac:dyDescent="0.25">
      <c r="A288" s="54" t="s">
        <v>447</v>
      </c>
      <c r="B288" s="54" t="s">
        <v>448</v>
      </c>
      <c r="C288" s="31">
        <v>4301012024</v>
      </c>
      <c r="D288" s="543">
        <v>4680115885615</v>
      </c>
      <c r="E288" s="54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449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450</v>
      </c>
      <c r="B289" s="54" t="s">
        <v>451</v>
      </c>
      <c r="C289" s="31">
        <v>4301011858</v>
      </c>
      <c r="D289" s="543">
        <v>4680115885646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452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453</v>
      </c>
      <c r="B290" s="54" t="s">
        <v>454</v>
      </c>
      <c r="C290" s="31">
        <v>4301012016</v>
      </c>
      <c r="D290" s="543">
        <v>4680115885554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455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456</v>
      </c>
      <c r="B291" s="54" t="s">
        <v>457</v>
      </c>
      <c r="C291" s="31">
        <v>4301011857</v>
      </c>
      <c r="D291" s="543">
        <v>4680115885622</v>
      </c>
      <c r="E291" s="54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4301011859</v>
      </c>
      <c r="D292" s="543">
        <v>4680115885608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1"/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52"/>
      <c r="P293" s="554" t="s">
        <v>71</v>
      </c>
      <c r="Q293" s="555"/>
      <c r="R293" s="555"/>
      <c r="S293" s="555"/>
      <c r="T293" s="555"/>
      <c r="U293" s="555"/>
      <c r="V293" s="556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9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52"/>
      <c r="P294" s="554" t="s">
        <v>71</v>
      </c>
      <c r="Q294" s="555"/>
      <c r="R294" s="555"/>
      <c r="S294" s="555"/>
      <c r="T294" s="555"/>
      <c r="U294" s="555"/>
      <c r="V294" s="556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50" t="s">
        <v>64</v>
      </c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49"/>
      <c r="T295" s="549"/>
      <c r="U295" s="549"/>
      <c r="V295" s="549"/>
      <c r="W295" s="549"/>
      <c r="X295" s="549"/>
      <c r="Y295" s="549"/>
      <c r="Z295" s="549"/>
      <c r="AA295" s="535"/>
      <c r="AB295" s="535"/>
      <c r="AC295" s="535"/>
    </row>
    <row r="296" spans="1:68" ht="27" hidden="1" customHeight="1" x14ac:dyDescent="0.25">
      <c r="A296" s="54" t="s">
        <v>461</v>
      </c>
      <c r="B296" s="54" t="s">
        <v>462</v>
      </c>
      <c r="C296" s="31">
        <v>4301030878</v>
      </c>
      <c r="D296" s="543">
        <v>4607091387193</v>
      </c>
      <c r="E296" s="54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463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464</v>
      </c>
      <c r="B297" s="54" t="s">
        <v>465</v>
      </c>
      <c r="C297" s="31">
        <v>4301031153</v>
      </c>
      <c r="D297" s="543">
        <v>4607091387230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466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467</v>
      </c>
      <c r="B298" s="54" t="s">
        <v>468</v>
      </c>
      <c r="C298" s="31">
        <v>4301031154</v>
      </c>
      <c r="D298" s="543">
        <v>4607091387292</v>
      </c>
      <c r="E298" s="54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469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470</v>
      </c>
      <c r="B299" s="54" t="s">
        <v>471</v>
      </c>
      <c r="C299" s="31">
        <v>4301031152</v>
      </c>
      <c r="D299" s="543">
        <v>4607091387285</v>
      </c>
      <c r="E299" s="54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 t="s">
        <v>272</v>
      </c>
      <c r="M299" s="33" t="s">
        <v>68</v>
      </c>
      <c r="N299" s="33"/>
      <c r="O299" s="32">
        <v>40</v>
      </c>
      <c r="P299" s="6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466</v>
      </c>
      <c r="AG299" s="64"/>
      <c r="AJ299" s="68" t="s">
        <v>106</v>
      </c>
      <c r="AK299" s="68">
        <v>37.799999999999997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4301031305</v>
      </c>
      <c r="D300" s="543">
        <v>4607091389845</v>
      </c>
      <c r="E300" s="54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272</v>
      </c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474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4301031306</v>
      </c>
      <c r="D301" s="543">
        <v>4680115882881</v>
      </c>
      <c r="E301" s="54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4301031066</v>
      </c>
      <c r="D302" s="543">
        <v>4607091383836</v>
      </c>
      <c r="E302" s="54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 t="s">
        <v>214</v>
      </c>
      <c r="M302" s="33" t="s">
        <v>68</v>
      </c>
      <c r="N302" s="33"/>
      <c r="O302" s="32">
        <v>40</v>
      </c>
      <c r="P302" s="5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479</v>
      </c>
      <c r="AG302" s="64"/>
      <c r="AJ302" s="68" t="s">
        <v>106</v>
      </c>
      <c r="AK302" s="68">
        <v>25.2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idden="1" x14ac:dyDescent="0.2">
      <c r="A303" s="551"/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52"/>
      <c r="P303" s="554" t="s">
        <v>71</v>
      </c>
      <c r="Q303" s="555"/>
      <c r="R303" s="555"/>
      <c r="S303" s="555"/>
      <c r="T303" s="555"/>
      <c r="U303" s="555"/>
      <c r="V303" s="556"/>
      <c r="W303" s="37" t="s">
        <v>72</v>
      </c>
      <c r="X303" s="541">
        <f>IFERROR(X296/H296,"0")+IFERROR(X297/H297,"0")+IFERROR(X298/H298,"0")+IFERROR(X299/H299,"0")+IFERROR(X300/H300,"0")+IFERROR(X301/H301,"0")+IFERROR(X302/H302,"0")</f>
        <v>0</v>
      </c>
      <c r="Y303" s="541">
        <f>IFERROR(Y296/H296,"0")+IFERROR(Y297/H297,"0")+IFERROR(Y298/H298,"0")+IFERROR(Y299/H299,"0")+IFERROR(Y300/H300,"0")+IFERROR(Y301/H301,"0")+IFERROR(Y302/H302,"0")</f>
        <v>0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542"/>
      <c r="AB303" s="542"/>
      <c r="AC303" s="542"/>
    </row>
    <row r="304" spans="1:68" hidden="1" x14ac:dyDescent="0.2">
      <c r="A304" s="549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52"/>
      <c r="P304" s="554" t="s">
        <v>71</v>
      </c>
      <c r="Q304" s="555"/>
      <c r="R304" s="555"/>
      <c r="S304" s="555"/>
      <c r="T304" s="555"/>
      <c r="U304" s="555"/>
      <c r="V304" s="556"/>
      <c r="W304" s="37" t="s">
        <v>69</v>
      </c>
      <c r="X304" s="541">
        <f>IFERROR(SUM(X296:X302),"0")</f>
        <v>0</v>
      </c>
      <c r="Y304" s="541">
        <f>IFERROR(SUM(Y296:Y302),"0")</f>
        <v>0</v>
      </c>
      <c r="Z304" s="37"/>
      <c r="AA304" s="542"/>
      <c r="AB304" s="542"/>
      <c r="AC304" s="542"/>
    </row>
    <row r="305" spans="1:68" ht="14.25" hidden="1" customHeight="1" x14ac:dyDescent="0.25">
      <c r="A305" s="550" t="s">
        <v>73</v>
      </c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49"/>
      <c r="U305" s="549"/>
      <c r="V305" s="549"/>
      <c r="W305" s="549"/>
      <c r="X305" s="549"/>
      <c r="Y305" s="549"/>
      <c r="Z305" s="549"/>
      <c r="AA305" s="535"/>
      <c r="AB305" s="535"/>
      <c r="AC305" s="535"/>
    </row>
    <row r="306" spans="1:68" ht="27" hidden="1" customHeight="1" x14ac:dyDescent="0.25">
      <c r="A306" s="54" t="s">
        <v>480</v>
      </c>
      <c r="B306" s="54" t="s">
        <v>481</v>
      </c>
      <c r="C306" s="31">
        <v>4301051100</v>
      </c>
      <c r="D306" s="543">
        <v>4607091387766</v>
      </c>
      <c r="E306" s="54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482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483</v>
      </c>
      <c r="B307" s="54" t="s">
        <v>484</v>
      </c>
      <c r="C307" s="31">
        <v>4301051818</v>
      </c>
      <c r="D307" s="543">
        <v>4607091387957</v>
      </c>
      <c r="E307" s="54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485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486</v>
      </c>
      <c r="B308" s="54" t="s">
        <v>487</v>
      </c>
      <c r="C308" s="31">
        <v>4301051819</v>
      </c>
      <c r="D308" s="543">
        <v>4607091387964</v>
      </c>
      <c r="E308" s="54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488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489</v>
      </c>
      <c r="B309" s="54" t="s">
        <v>490</v>
      </c>
      <c r="C309" s="31">
        <v>4301051734</v>
      </c>
      <c r="D309" s="543">
        <v>4680115884588</v>
      </c>
      <c r="E309" s="54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491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492</v>
      </c>
      <c r="B310" s="54" t="s">
        <v>493</v>
      </c>
      <c r="C310" s="31">
        <v>4301051578</v>
      </c>
      <c r="D310" s="543">
        <v>4607091387513</v>
      </c>
      <c r="E310" s="54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494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1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52"/>
      <c r="P311" s="554" t="s">
        <v>71</v>
      </c>
      <c r="Q311" s="555"/>
      <c r="R311" s="555"/>
      <c r="S311" s="555"/>
      <c r="T311" s="555"/>
      <c r="U311" s="555"/>
      <c r="V311" s="556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52"/>
      <c r="P312" s="554" t="s">
        <v>71</v>
      </c>
      <c r="Q312" s="555"/>
      <c r="R312" s="555"/>
      <c r="S312" s="555"/>
      <c r="T312" s="555"/>
      <c r="U312" s="555"/>
      <c r="V312" s="556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163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hidden="1" customHeight="1" x14ac:dyDescent="0.25">
      <c r="A314" s="54" t="s">
        <v>495</v>
      </c>
      <c r="B314" s="54" t="s">
        <v>496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497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498</v>
      </c>
      <c r="B315" s="54" t="s">
        <v>499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500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501</v>
      </c>
      <c r="B316" s="54" t="s">
        <v>502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503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1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52"/>
      <c r="P317" s="554" t="s">
        <v>71</v>
      </c>
      <c r="Q317" s="555"/>
      <c r="R317" s="555"/>
      <c r="S317" s="555"/>
      <c r="T317" s="555"/>
      <c r="U317" s="555"/>
      <c r="V317" s="556"/>
      <c r="W317" s="37" t="s">
        <v>72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hidden="1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52"/>
      <c r="P318" s="554" t="s">
        <v>71</v>
      </c>
      <c r="Q318" s="555"/>
      <c r="R318" s="555"/>
      <c r="S318" s="555"/>
      <c r="T318" s="555"/>
      <c r="U318" s="555"/>
      <c r="V318" s="556"/>
      <c r="W318" s="37" t="s">
        <v>69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hidden="1" customHeight="1" x14ac:dyDescent="0.25">
      <c r="A319" s="550" t="s">
        <v>91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504</v>
      </c>
      <c r="B320" s="54" t="s">
        <v>505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507</v>
      </c>
      <c r="B321" s="54" t="s">
        <v>508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78" t="s">
        <v>509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510</v>
      </c>
      <c r="B322" s="54" t="s">
        <v>511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214</v>
      </c>
      <c r="M322" s="33" t="s">
        <v>94</v>
      </c>
      <c r="N322" s="33"/>
      <c r="O322" s="32">
        <v>180</v>
      </c>
      <c r="P322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512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513</v>
      </c>
      <c r="B323" s="54" t="s">
        <v>514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1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52"/>
      <c r="P324" s="554" t="s">
        <v>71</v>
      </c>
      <c r="Q324" s="555"/>
      <c r="R324" s="555"/>
      <c r="S324" s="555"/>
      <c r="T324" s="555"/>
      <c r="U324" s="555"/>
      <c r="V324" s="556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52"/>
      <c r="P325" s="554" t="s">
        <v>71</v>
      </c>
      <c r="Q325" s="555"/>
      <c r="R325" s="555"/>
      <c r="S325" s="555"/>
      <c r="T325" s="555"/>
      <c r="U325" s="555"/>
      <c r="V325" s="556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515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hidden="1" customHeight="1" x14ac:dyDescent="0.25">
      <c r="A327" s="54" t="s">
        <v>516</v>
      </c>
      <c r="B327" s="54" t="s">
        <v>517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214</v>
      </c>
      <c r="M327" s="33" t="s">
        <v>518</v>
      </c>
      <c r="N327" s="33"/>
      <c r="O327" s="32">
        <v>730</v>
      </c>
      <c r="P327" s="7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519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520</v>
      </c>
      <c r="B328" s="54" t="s">
        <v>521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518</v>
      </c>
      <c r="N328" s="33"/>
      <c r="O328" s="32">
        <v>730</v>
      </c>
      <c r="P328" s="5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522</v>
      </c>
      <c r="B329" s="54" t="s">
        <v>523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214</v>
      </c>
      <c r="M329" s="33" t="s">
        <v>518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1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52"/>
      <c r="P330" s="554" t="s">
        <v>71</v>
      </c>
      <c r="Q330" s="555"/>
      <c r="R330" s="555"/>
      <c r="S330" s="555"/>
      <c r="T330" s="555"/>
      <c r="U330" s="555"/>
      <c r="V330" s="556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52"/>
      <c r="P331" s="554" t="s">
        <v>71</v>
      </c>
      <c r="Q331" s="555"/>
      <c r="R331" s="555"/>
      <c r="S331" s="555"/>
      <c r="T331" s="555"/>
      <c r="U331" s="555"/>
      <c r="V331" s="556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48" t="s">
        <v>524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73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hidden="1" customHeight="1" x14ac:dyDescent="0.25">
      <c r="A334" s="54" t="s">
        <v>525</v>
      </c>
      <c r="B334" s="54" t="s">
        <v>526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5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527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528</v>
      </c>
      <c r="B335" s="54" t="s">
        <v>529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214</v>
      </c>
      <c r="M335" s="33" t="s">
        <v>77</v>
      </c>
      <c r="N335" s="33"/>
      <c r="O335" s="32">
        <v>45</v>
      </c>
      <c r="P335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530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531</v>
      </c>
      <c r="B336" s="54" t="s">
        <v>532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214</v>
      </c>
      <c r="M336" s="33" t="s">
        <v>84</v>
      </c>
      <c r="N336" s="33"/>
      <c r="O336" s="32">
        <v>40</v>
      </c>
      <c r="P336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533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1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52"/>
      <c r="P337" s="554" t="s">
        <v>71</v>
      </c>
      <c r="Q337" s="555"/>
      <c r="R337" s="555"/>
      <c r="S337" s="555"/>
      <c r="T337" s="555"/>
      <c r="U337" s="555"/>
      <c r="V337" s="556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52"/>
      <c r="P338" s="554" t="s">
        <v>71</v>
      </c>
      <c r="Q338" s="555"/>
      <c r="R338" s="555"/>
      <c r="S338" s="555"/>
      <c r="T338" s="555"/>
      <c r="U338" s="555"/>
      <c r="V338" s="556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5" t="s">
        <v>534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48"/>
      <c r="AB339" s="48"/>
      <c r="AC339" s="48"/>
    </row>
    <row r="340" spans="1:68" ht="16.5" hidden="1" customHeight="1" x14ac:dyDescent="0.25">
      <c r="A340" s="548" t="s">
        <v>535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99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customHeight="1" x14ac:dyDescent="0.25">
      <c r="A342" s="54" t="s">
        <v>536</v>
      </c>
      <c r="B342" s="54" t="s">
        <v>537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1000</v>
      </c>
      <c r="Y342" s="540">
        <f t="shared" ref="Y342:Y348" si="31">IFERROR(IF(X342="",0,CEILING((X342/$H342),1)*$H342),"")</f>
        <v>1005</v>
      </c>
      <c r="Z342" s="36">
        <f>IFERROR(IF(Y342=0,"",ROUNDUP(Y342/H342,0)*0.02175),"")</f>
        <v>1.4572499999999999</v>
      </c>
      <c r="AA342" s="56"/>
      <c r="AB342" s="57"/>
      <c r="AC342" s="389" t="s">
        <v>538</v>
      </c>
      <c r="AG342" s="64"/>
      <c r="AJ342" s="68" t="s">
        <v>106</v>
      </c>
      <c r="AK342" s="68">
        <v>15</v>
      </c>
      <c r="BB342" s="390" t="s">
        <v>1</v>
      </c>
      <c r="BM342" s="64">
        <f t="shared" ref="BM342:BM348" si="32">IFERROR(X342*I342/H342,"0")</f>
        <v>1031.3333333333333</v>
      </c>
      <c r="BN342" s="64">
        <f t="shared" ref="BN342:BN348" si="33">IFERROR(Y342*I342/H342,"0")</f>
        <v>1036.49</v>
      </c>
      <c r="BO342" s="64">
        <f t="shared" ref="BO342:BO348" si="34">IFERROR(1/J342*(X342/H342),"0")</f>
        <v>1.3888888888888888</v>
      </c>
      <c r="BP342" s="64">
        <f t="shared" ref="BP342:BP348" si="35">IFERROR(1/J342*(Y342/H342),"0")</f>
        <v>1.3958333333333333</v>
      </c>
    </row>
    <row r="343" spans="1:68" ht="27" customHeight="1" x14ac:dyDescent="0.25">
      <c r="A343" s="54" t="s">
        <v>539</v>
      </c>
      <c r="B343" s="54" t="s">
        <v>540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1000</v>
      </c>
      <c r="Y343" s="540">
        <f t="shared" si="31"/>
        <v>1005</v>
      </c>
      <c r="Z343" s="36">
        <f>IFERROR(IF(Y343=0,"",ROUNDUP(Y343/H343,0)*0.02175),"")</f>
        <v>1.4572499999999999</v>
      </c>
      <c r="AA343" s="56"/>
      <c r="AB343" s="57"/>
      <c r="AC343" s="391" t="s">
        <v>541</v>
      </c>
      <c r="AG343" s="64"/>
      <c r="AJ343" s="68" t="s">
        <v>106</v>
      </c>
      <c r="AK343" s="68">
        <v>15</v>
      </c>
      <c r="BB343" s="392" t="s">
        <v>1</v>
      </c>
      <c r="BM343" s="64">
        <f t="shared" si="32"/>
        <v>1031.3333333333333</v>
      </c>
      <c r="BN343" s="64">
        <f t="shared" si="33"/>
        <v>1036.49</v>
      </c>
      <c r="BO343" s="64">
        <f t="shared" si="34"/>
        <v>1.3888888888888888</v>
      </c>
      <c r="BP343" s="64">
        <f t="shared" si="35"/>
        <v>1.3958333333333333</v>
      </c>
    </row>
    <row r="344" spans="1:68" ht="37.5" hidden="1" customHeight="1" x14ac:dyDescent="0.25">
      <c r="A344" s="54" t="s">
        <v>542</v>
      </c>
      <c r="B344" s="54" t="s">
        <v>543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544</v>
      </c>
      <c r="AG344" s="64"/>
      <c r="AJ344" s="68" t="s">
        <v>106</v>
      </c>
      <c r="AK344" s="68">
        <v>15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hidden="1" customHeight="1" x14ac:dyDescent="0.25">
      <c r="A345" s="54" t="s">
        <v>545</v>
      </c>
      <c r="B345" s="54" t="s">
        <v>546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0" t="s">
        <v>547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549</v>
      </c>
      <c r="B346" s="54" t="s">
        <v>550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552</v>
      </c>
      <c r="B347" s="54" t="s">
        <v>553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554</v>
      </c>
      <c r="B348" s="54" t="s">
        <v>555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1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52"/>
      <c r="P349" s="554" t="s">
        <v>71</v>
      </c>
      <c r="Q349" s="555"/>
      <c r="R349" s="555"/>
      <c r="S349" s="555"/>
      <c r="T349" s="555"/>
      <c r="U349" s="555"/>
      <c r="V349" s="556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133.33333333333334</v>
      </c>
      <c r="Y349" s="541">
        <f>IFERROR(Y342/H342,"0")+IFERROR(Y343/H343,"0")+IFERROR(Y344/H344,"0")+IFERROR(Y345/H345,"0")+IFERROR(Y346/H346,"0")+IFERROR(Y347/H347,"0")+IFERROR(Y348/H348,"0")</f>
        <v>134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2.9144999999999999</v>
      </c>
      <c r="AA349" s="542"/>
      <c r="AB349" s="542"/>
      <c r="AC349" s="542"/>
    </row>
    <row r="350" spans="1:68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52"/>
      <c r="P350" s="554" t="s">
        <v>71</v>
      </c>
      <c r="Q350" s="555"/>
      <c r="R350" s="555"/>
      <c r="S350" s="555"/>
      <c r="T350" s="555"/>
      <c r="U350" s="555"/>
      <c r="V350" s="556"/>
      <c r="W350" s="37" t="s">
        <v>69</v>
      </c>
      <c r="X350" s="541">
        <f>IFERROR(SUM(X342:X348),"0")</f>
        <v>2000</v>
      </c>
      <c r="Y350" s="541">
        <f>IFERROR(SUM(Y342:Y348),"0")</f>
        <v>2010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135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customHeight="1" x14ac:dyDescent="0.25">
      <c r="A352" s="54" t="s">
        <v>556</v>
      </c>
      <c r="B352" s="54" t="s">
        <v>557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1000</v>
      </c>
      <c r="Y352" s="540">
        <f>IFERROR(IF(X352="",0,CEILING((X352/$H352),1)*$H352),"")</f>
        <v>1005</v>
      </c>
      <c r="Z352" s="36">
        <f>IFERROR(IF(Y352=0,"",ROUNDUP(Y352/H352,0)*0.02175),"")</f>
        <v>1.4572499999999999</v>
      </c>
      <c r="AA352" s="56"/>
      <c r="AB352" s="57"/>
      <c r="AC352" s="403" t="s">
        <v>558</v>
      </c>
      <c r="AG352" s="64"/>
      <c r="AJ352" s="68" t="s">
        <v>106</v>
      </c>
      <c r="AK352" s="68">
        <v>15</v>
      </c>
      <c r="BB352" s="404" t="s">
        <v>1</v>
      </c>
      <c r="BM352" s="64">
        <f>IFERROR(X352*I352/H352,"0")</f>
        <v>1031.3333333333333</v>
      </c>
      <c r="BN352" s="64">
        <f>IFERROR(Y352*I352/H352,"0")</f>
        <v>1036.49</v>
      </c>
      <c r="BO352" s="64">
        <f>IFERROR(1/J352*(X352/H352),"0")</f>
        <v>1.3888888888888888</v>
      </c>
      <c r="BP352" s="64">
        <f>IFERROR(1/J352*(Y352/H352),"0")</f>
        <v>1.3958333333333333</v>
      </c>
    </row>
    <row r="353" spans="1:68" ht="16.5" hidden="1" customHeight="1" x14ac:dyDescent="0.25">
      <c r="A353" s="54" t="s">
        <v>559</v>
      </c>
      <c r="B353" s="54" t="s">
        <v>560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1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52"/>
      <c r="P354" s="554" t="s">
        <v>71</v>
      </c>
      <c r="Q354" s="555"/>
      <c r="R354" s="555"/>
      <c r="S354" s="555"/>
      <c r="T354" s="555"/>
      <c r="U354" s="555"/>
      <c r="V354" s="556"/>
      <c r="W354" s="37" t="s">
        <v>72</v>
      </c>
      <c r="X354" s="541">
        <f>IFERROR(X352/H352,"0")+IFERROR(X353/H353,"0")</f>
        <v>66.666666666666671</v>
      </c>
      <c r="Y354" s="541">
        <f>IFERROR(Y352/H352,"0")+IFERROR(Y353/H353,"0")</f>
        <v>67</v>
      </c>
      <c r="Z354" s="541">
        <f>IFERROR(IF(Z352="",0,Z352),"0")+IFERROR(IF(Z353="",0,Z353),"0")</f>
        <v>1.4572499999999999</v>
      </c>
      <c r="AA354" s="542"/>
      <c r="AB354" s="542"/>
      <c r="AC354" s="542"/>
    </row>
    <row r="355" spans="1:68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52"/>
      <c r="P355" s="554" t="s">
        <v>71</v>
      </c>
      <c r="Q355" s="555"/>
      <c r="R355" s="555"/>
      <c r="S355" s="555"/>
      <c r="T355" s="555"/>
      <c r="U355" s="555"/>
      <c r="V355" s="556"/>
      <c r="W355" s="37" t="s">
        <v>69</v>
      </c>
      <c r="X355" s="541">
        <f>IFERROR(SUM(X352:X353),"0")</f>
        <v>1000</v>
      </c>
      <c r="Y355" s="541">
        <f>IFERROR(SUM(Y352:Y353),"0")</f>
        <v>1005</v>
      </c>
      <c r="Z355" s="37"/>
      <c r="AA355" s="542"/>
      <c r="AB355" s="542"/>
      <c r="AC355" s="542"/>
    </row>
    <row r="356" spans="1:68" ht="14.25" hidden="1" customHeight="1" x14ac:dyDescent="0.25">
      <c r="A356" s="550" t="s">
        <v>73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561</v>
      </c>
      <c r="B357" s="54" t="s">
        <v>562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563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564</v>
      </c>
      <c r="B358" s="54" t="s">
        <v>565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566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1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52"/>
      <c r="P359" s="554" t="s">
        <v>71</v>
      </c>
      <c r="Q359" s="555"/>
      <c r="R359" s="555"/>
      <c r="S359" s="555"/>
      <c r="T359" s="555"/>
      <c r="U359" s="555"/>
      <c r="V359" s="556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52"/>
      <c r="P360" s="554" t="s">
        <v>71</v>
      </c>
      <c r="Q360" s="555"/>
      <c r="R360" s="555"/>
      <c r="S360" s="555"/>
      <c r="T360" s="555"/>
      <c r="U360" s="555"/>
      <c r="V360" s="556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163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hidden="1" customHeight="1" x14ac:dyDescent="0.25">
      <c r="A362" s="54" t="s">
        <v>567</v>
      </c>
      <c r="B362" s="54" t="s">
        <v>568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569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1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52"/>
      <c r="P363" s="554" t="s">
        <v>71</v>
      </c>
      <c r="Q363" s="555"/>
      <c r="R363" s="555"/>
      <c r="S363" s="555"/>
      <c r="T363" s="555"/>
      <c r="U363" s="555"/>
      <c r="V363" s="556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52"/>
      <c r="P364" s="554" t="s">
        <v>71</v>
      </c>
      <c r="Q364" s="555"/>
      <c r="R364" s="555"/>
      <c r="S364" s="555"/>
      <c r="T364" s="555"/>
      <c r="U364" s="555"/>
      <c r="V364" s="556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48" t="s">
        <v>570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99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hidden="1" customHeight="1" x14ac:dyDescent="0.25">
      <c r="A367" s="54" t="s">
        <v>571</v>
      </c>
      <c r="B367" s="54" t="s">
        <v>572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573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574</v>
      </c>
      <c r="B368" s="54" t="s">
        <v>575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1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52"/>
      <c r="P369" s="554" t="s">
        <v>71</v>
      </c>
      <c r="Q369" s="555"/>
      <c r="R369" s="555"/>
      <c r="S369" s="555"/>
      <c r="T369" s="555"/>
      <c r="U369" s="555"/>
      <c r="V369" s="556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52"/>
      <c r="P370" s="554" t="s">
        <v>71</v>
      </c>
      <c r="Q370" s="555"/>
      <c r="R370" s="555"/>
      <c r="S370" s="555"/>
      <c r="T370" s="555"/>
      <c r="U370" s="555"/>
      <c r="V370" s="556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0" t="s">
        <v>64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576</v>
      </c>
      <c r="B372" s="54" t="s">
        <v>577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578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576</v>
      </c>
      <c r="B373" s="54" t="s">
        <v>579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1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52"/>
      <c r="P374" s="554" t="s">
        <v>71</v>
      </c>
      <c r="Q374" s="555"/>
      <c r="R374" s="555"/>
      <c r="S374" s="555"/>
      <c r="T374" s="555"/>
      <c r="U374" s="555"/>
      <c r="V374" s="556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52"/>
      <c r="P375" s="554" t="s">
        <v>71</v>
      </c>
      <c r="Q375" s="555"/>
      <c r="R375" s="555"/>
      <c r="S375" s="555"/>
      <c r="T375" s="555"/>
      <c r="U375" s="555"/>
      <c r="V375" s="556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73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hidden="1" customHeight="1" x14ac:dyDescent="0.25">
      <c r="A377" s="54" t="s">
        <v>581</v>
      </c>
      <c r="B377" s="54" t="s">
        <v>582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583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584</v>
      </c>
      <c r="B378" s="54" t="s">
        <v>585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51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52"/>
      <c r="P379" s="554" t="s">
        <v>71</v>
      </c>
      <c r="Q379" s="555"/>
      <c r="R379" s="555"/>
      <c r="S379" s="555"/>
      <c r="T379" s="555"/>
      <c r="U379" s="555"/>
      <c r="V379" s="556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hidden="1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52"/>
      <c r="P380" s="554" t="s">
        <v>71</v>
      </c>
      <c r="Q380" s="555"/>
      <c r="R380" s="555"/>
      <c r="S380" s="555"/>
      <c r="T380" s="555"/>
      <c r="U380" s="555"/>
      <c r="V380" s="556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hidden="1" customHeight="1" x14ac:dyDescent="0.2">
      <c r="A381" s="695" t="s">
        <v>586</v>
      </c>
      <c r="B381" s="696"/>
      <c r="C381" s="696"/>
      <c r="D381" s="696"/>
      <c r="E381" s="696"/>
      <c r="F381" s="696"/>
      <c r="G381" s="696"/>
      <c r="H381" s="696"/>
      <c r="I381" s="696"/>
      <c r="J381" s="696"/>
      <c r="K381" s="696"/>
      <c r="L381" s="696"/>
      <c r="M381" s="696"/>
      <c r="N381" s="696"/>
      <c r="O381" s="696"/>
      <c r="P381" s="696"/>
      <c r="Q381" s="696"/>
      <c r="R381" s="696"/>
      <c r="S381" s="696"/>
      <c r="T381" s="696"/>
      <c r="U381" s="696"/>
      <c r="V381" s="696"/>
      <c r="W381" s="696"/>
      <c r="X381" s="696"/>
      <c r="Y381" s="696"/>
      <c r="Z381" s="696"/>
      <c r="AA381" s="48"/>
      <c r="AB381" s="48"/>
      <c r="AC381" s="48"/>
    </row>
    <row r="382" spans="1:68" ht="16.5" hidden="1" customHeight="1" x14ac:dyDescent="0.25">
      <c r="A382" s="548" t="s">
        <v>587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64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hidden="1" customHeight="1" x14ac:dyDescent="0.25">
      <c r="A384" s="54" t="s">
        <v>588</v>
      </c>
      <c r="B384" s="54" t="s">
        <v>589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590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591</v>
      </c>
      <c r="B385" s="54" t="s">
        <v>592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593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594</v>
      </c>
      <c r="B386" s="54" t="s">
        <v>595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596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597</v>
      </c>
      <c r="B387" s="54" t="s">
        <v>598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590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599</v>
      </c>
      <c r="B388" s="54" t="s">
        <v>600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272</v>
      </c>
      <c r="M388" s="33" t="s">
        <v>68</v>
      </c>
      <c r="N388" s="33"/>
      <c r="O388" s="32">
        <v>50</v>
      </c>
      <c r="P388" s="7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590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601</v>
      </c>
      <c r="B389" s="54" t="s">
        <v>602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272</v>
      </c>
      <c r="M389" s="33" t="s">
        <v>68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603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604</v>
      </c>
      <c r="B390" s="54" t="s">
        <v>605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606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607</v>
      </c>
      <c r="B391" s="54" t="s">
        <v>608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272</v>
      </c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609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610</v>
      </c>
      <c r="B392" s="54" t="s">
        <v>611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606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51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52"/>
      <c r="P393" s="554" t="s">
        <v>71</v>
      </c>
      <c r="Q393" s="555"/>
      <c r="R393" s="555"/>
      <c r="S393" s="555"/>
      <c r="T393" s="555"/>
      <c r="U393" s="555"/>
      <c r="V393" s="556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52"/>
      <c r="P394" s="554" t="s">
        <v>71</v>
      </c>
      <c r="Q394" s="555"/>
      <c r="R394" s="555"/>
      <c r="S394" s="555"/>
      <c r="T394" s="555"/>
      <c r="U394" s="555"/>
      <c r="V394" s="556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0" t="s">
        <v>73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612</v>
      </c>
      <c r="B396" s="54" t="s">
        <v>613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614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615</v>
      </c>
      <c r="B397" s="54" t="s">
        <v>616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617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51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52"/>
      <c r="P398" s="554" t="s">
        <v>71</v>
      </c>
      <c r="Q398" s="555"/>
      <c r="R398" s="555"/>
      <c r="S398" s="555"/>
      <c r="T398" s="555"/>
      <c r="U398" s="555"/>
      <c r="V398" s="556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52"/>
      <c r="P399" s="554" t="s">
        <v>71</v>
      </c>
      <c r="Q399" s="555"/>
      <c r="R399" s="555"/>
      <c r="S399" s="555"/>
      <c r="T399" s="555"/>
      <c r="U399" s="555"/>
      <c r="V399" s="556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618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135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619</v>
      </c>
      <c r="B402" s="54" t="s">
        <v>620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621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51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52"/>
      <c r="P403" s="554" t="s">
        <v>71</v>
      </c>
      <c r="Q403" s="555"/>
      <c r="R403" s="555"/>
      <c r="S403" s="555"/>
      <c r="T403" s="555"/>
      <c r="U403" s="555"/>
      <c r="V403" s="556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52"/>
      <c r="P404" s="554" t="s">
        <v>71</v>
      </c>
      <c r="Q404" s="555"/>
      <c r="R404" s="555"/>
      <c r="S404" s="555"/>
      <c r="T404" s="555"/>
      <c r="U404" s="555"/>
      <c r="V404" s="556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64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hidden="1" customHeight="1" x14ac:dyDescent="0.25">
      <c r="A406" s="54" t="s">
        <v>622</v>
      </c>
      <c r="B406" s="54" t="s">
        <v>623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624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625</v>
      </c>
      <c r="B407" s="54" t="s">
        <v>626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627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628</v>
      </c>
      <c r="B408" s="54" t="s">
        <v>629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630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631</v>
      </c>
      <c r="B409" s="54" t="s">
        <v>632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51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52"/>
      <c r="P410" s="554" t="s">
        <v>71</v>
      </c>
      <c r="Q410" s="555"/>
      <c r="R410" s="555"/>
      <c r="S410" s="555"/>
      <c r="T410" s="555"/>
      <c r="U410" s="555"/>
      <c r="V410" s="556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52"/>
      <c r="P411" s="554" t="s">
        <v>71</v>
      </c>
      <c r="Q411" s="555"/>
      <c r="R411" s="555"/>
      <c r="S411" s="555"/>
      <c r="T411" s="555"/>
      <c r="U411" s="555"/>
      <c r="V411" s="556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48" t="s">
        <v>633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64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hidden="1" customHeight="1" x14ac:dyDescent="0.25">
      <c r="A414" s="54" t="s">
        <v>634</v>
      </c>
      <c r="B414" s="54" t="s">
        <v>635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214</v>
      </c>
      <c r="M414" s="33" t="s">
        <v>68</v>
      </c>
      <c r="N414" s="33"/>
      <c r="O414" s="32">
        <v>50</v>
      </c>
      <c r="P414" s="6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636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51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52"/>
      <c r="P415" s="554" t="s">
        <v>71</v>
      </c>
      <c r="Q415" s="555"/>
      <c r="R415" s="555"/>
      <c r="S415" s="555"/>
      <c r="T415" s="555"/>
      <c r="U415" s="555"/>
      <c r="V415" s="556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52"/>
      <c r="P416" s="554" t="s">
        <v>71</v>
      </c>
      <c r="Q416" s="555"/>
      <c r="R416" s="555"/>
      <c r="S416" s="555"/>
      <c r="T416" s="555"/>
      <c r="U416" s="555"/>
      <c r="V416" s="556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5" t="s">
        <v>637</v>
      </c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696"/>
      <c r="O417" s="696"/>
      <c r="P417" s="696"/>
      <c r="Q417" s="696"/>
      <c r="R417" s="696"/>
      <c r="S417" s="696"/>
      <c r="T417" s="696"/>
      <c r="U417" s="696"/>
      <c r="V417" s="696"/>
      <c r="W417" s="696"/>
      <c r="X417" s="696"/>
      <c r="Y417" s="696"/>
      <c r="Z417" s="696"/>
      <c r="AA417" s="48"/>
      <c r="AB417" s="48"/>
      <c r="AC417" s="48"/>
    </row>
    <row r="418" spans="1:68" ht="16.5" hidden="1" customHeight="1" x14ac:dyDescent="0.25">
      <c r="A418" s="548" t="s">
        <v>637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99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hidden="1" customHeight="1" x14ac:dyDescent="0.25">
      <c r="A420" s="54" t="s">
        <v>638</v>
      </c>
      <c r="B420" s="54" t="s">
        <v>639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7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hidden="1" customHeight="1" x14ac:dyDescent="0.25">
      <c r="A421" s="54" t="s">
        <v>640</v>
      </c>
      <c r="B421" s="54" t="s">
        <v>641</v>
      </c>
      <c r="C421" s="31">
        <v>4301011961</v>
      </c>
      <c r="D421" s="543">
        <v>4680115885271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642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643</v>
      </c>
      <c r="B422" s="54" t="s">
        <v>644</v>
      </c>
      <c r="C422" s="31">
        <v>4301011376</v>
      </c>
      <c r="D422" s="543">
        <v>4680115885226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645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646</v>
      </c>
      <c r="B423" s="54" t="s">
        <v>647</v>
      </c>
      <c r="C423" s="31">
        <v>4301012145</v>
      </c>
      <c r="D423" s="543">
        <v>4607091383522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648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649</v>
      </c>
      <c r="B424" s="54" t="s">
        <v>650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651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hidden="1" customHeight="1" x14ac:dyDescent="0.25">
      <c r="A425" s="54" t="s">
        <v>652</v>
      </c>
      <c r="B425" s="54" t="s">
        <v>653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0</v>
      </c>
      <c r="Y425" s="540">
        <f t="shared" si="42"/>
        <v>0</v>
      </c>
      <c r="Z425" s="36" t="str">
        <f t="shared" si="43"/>
        <v/>
      </c>
      <c r="AA425" s="56"/>
      <c r="AB425" s="57"/>
      <c r="AC425" s="469" t="s">
        <v>654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hidden="1" customHeight="1" x14ac:dyDescent="0.25">
      <c r="A426" s="54" t="s">
        <v>655</v>
      </c>
      <c r="B426" s="54" t="s">
        <v>656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657</v>
      </c>
      <c r="B427" s="54" t="s">
        <v>658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659</v>
      </c>
      <c r="B428" s="54" t="s">
        <v>660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664</v>
      </c>
      <c r="B430" s="54" t="s">
        <v>665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654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idden="1" x14ac:dyDescent="0.2">
      <c r="A431" s="551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52"/>
      <c r="P431" s="554" t="s">
        <v>71</v>
      </c>
      <c r="Q431" s="555"/>
      <c r="R431" s="555"/>
      <c r="S431" s="555"/>
      <c r="T431" s="555"/>
      <c r="U431" s="555"/>
      <c r="V431" s="556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542"/>
      <c r="AB431" s="542"/>
      <c r="AC431" s="542"/>
    </row>
    <row r="432" spans="1:68" hidden="1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52"/>
      <c r="P432" s="554" t="s">
        <v>71</v>
      </c>
      <c r="Q432" s="555"/>
      <c r="R432" s="555"/>
      <c r="S432" s="555"/>
      <c r="T432" s="555"/>
      <c r="U432" s="555"/>
      <c r="V432" s="556"/>
      <c r="W432" s="37" t="s">
        <v>69</v>
      </c>
      <c r="X432" s="541">
        <f>IFERROR(SUM(X420:X430),"0")</f>
        <v>0</v>
      </c>
      <c r="Y432" s="541">
        <f>IFERROR(SUM(Y420:Y430),"0")</f>
        <v>0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135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hidden="1" customHeight="1" x14ac:dyDescent="0.25">
      <c r="A434" s="54" t="s">
        <v>666</v>
      </c>
      <c r="B434" s="54" t="s">
        <v>667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668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hidden="1" customHeight="1" x14ac:dyDescent="0.25">
      <c r="A435" s="54" t="s">
        <v>669</v>
      </c>
      <c r="B435" s="54" t="s">
        <v>670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668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671</v>
      </c>
      <c r="B436" s="54" t="s">
        <v>672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551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52"/>
      <c r="P437" s="554" t="s">
        <v>71</v>
      </c>
      <c r="Q437" s="555"/>
      <c r="R437" s="555"/>
      <c r="S437" s="555"/>
      <c r="T437" s="555"/>
      <c r="U437" s="555"/>
      <c r="V437" s="556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hidden="1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52"/>
      <c r="P438" s="554" t="s">
        <v>71</v>
      </c>
      <c r="Q438" s="555"/>
      <c r="R438" s="555"/>
      <c r="S438" s="555"/>
      <c r="T438" s="555"/>
      <c r="U438" s="555"/>
      <c r="V438" s="556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hidden="1" customHeight="1" x14ac:dyDescent="0.25">
      <c r="A439" s="550" t="s">
        <v>64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hidden="1" customHeight="1" x14ac:dyDescent="0.25">
      <c r="A440" s="54" t="s">
        <v>673</v>
      </c>
      <c r="B440" s="54" t="s">
        <v>674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675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hidden="1" customHeight="1" x14ac:dyDescent="0.25">
      <c r="A441" s="54" t="s">
        <v>676</v>
      </c>
      <c r="B441" s="54" t="s">
        <v>677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678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hidden="1" customHeight="1" x14ac:dyDescent="0.25">
      <c r="A442" s="54" t="s">
        <v>679</v>
      </c>
      <c r="B442" s="54" t="s">
        <v>680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4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681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682</v>
      </c>
      <c r="B443" s="54" t="s">
        <v>683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197</v>
      </c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675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684</v>
      </c>
      <c r="B444" s="54" t="s">
        <v>685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197</v>
      </c>
      <c r="M444" s="33" t="s">
        <v>68</v>
      </c>
      <c r="N444" s="33"/>
      <c r="O444" s="32">
        <v>70</v>
      </c>
      <c r="P44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678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686</v>
      </c>
      <c r="B445" s="54" t="s">
        <v>687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681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idden="1" x14ac:dyDescent="0.2">
      <c r="A446" s="551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52"/>
      <c r="P446" s="554" t="s">
        <v>71</v>
      </c>
      <c r="Q446" s="555"/>
      <c r="R446" s="555"/>
      <c r="S446" s="555"/>
      <c r="T446" s="555"/>
      <c r="U446" s="555"/>
      <c r="V446" s="556"/>
      <c r="W446" s="37" t="s">
        <v>72</v>
      </c>
      <c r="X446" s="541">
        <f>IFERROR(X440/H440,"0")+IFERROR(X441/H441,"0")+IFERROR(X442/H442,"0")+IFERROR(X443/H443,"0")+IFERROR(X444/H444,"0")+IFERROR(X445/H445,"0")</f>
        <v>0</v>
      </c>
      <c r="Y446" s="541">
        <f>IFERROR(Y440/H440,"0")+IFERROR(Y441/H441,"0")+IFERROR(Y442/H442,"0")+IFERROR(Y443/H443,"0")+IFERROR(Y444/H444,"0")+IFERROR(Y445/H445,"0")</f>
        <v>0</v>
      </c>
      <c r="Z446" s="541">
        <f>IFERROR(IF(Z440="",0,Z440),"0")+IFERROR(IF(Z441="",0,Z441),"0")+IFERROR(IF(Z442="",0,Z442),"0")+IFERROR(IF(Z443="",0,Z443),"0")+IFERROR(IF(Z444="",0,Z444),"0")+IFERROR(IF(Z445="",0,Z445),"0")</f>
        <v>0</v>
      </c>
      <c r="AA446" s="542"/>
      <c r="AB446" s="542"/>
      <c r="AC446" s="542"/>
    </row>
    <row r="447" spans="1:68" hidden="1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52"/>
      <c r="P447" s="554" t="s">
        <v>71</v>
      </c>
      <c r="Q447" s="555"/>
      <c r="R447" s="555"/>
      <c r="S447" s="555"/>
      <c r="T447" s="555"/>
      <c r="U447" s="555"/>
      <c r="V447" s="556"/>
      <c r="W447" s="37" t="s">
        <v>69</v>
      </c>
      <c r="X447" s="541">
        <f>IFERROR(SUM(X440:X445),"0")</f>
        <v>0</v>
      </c>
      <c r="Y447" s="541">
        <f>IFERROR(SUM(Y440:Y445),"0")</f>
        <v>0</v>
      </c>
      <c r="Z447" s="37"/>
      <c r="AA447" s="542"/>
      <c r="AB447" s="542"/>
      <c r="AC447" s="542"/>
    </row>
    <row r="448" spans="1:68" ht="14.25" hidden="1" customHeight="1" x14ac:dyDescent="0.25">
      <c r="A448" s="550" t="s">
        <v>73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688</v>
      </c>
      <c r="B449" s="54" t="s">
        <v>689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5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690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691</v>
      </c>
      <c r="B450" s="54" t="s">
        <v>692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693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694</v>
      </c>
      <c r="B451" s="54" t="s">
        <v>695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696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51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52"/>
      <c r="P452" s="554" t="s">
        <v>71</v>
      </c>
      <c r="Q452" s="555"/>
      <c r="R452" s="555"/>
      <c r="S452" s="555"/>
      <c r="T452" s="555"/>
      <c r="U452" s="555"/>
      <c r="V452" s="556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52"/>
      <c r="P453" s="554" t="s">
        <v>71</v>
      </c>
      <c r="Q453" s="555"/>
      <c r="R453" s="555"/>
      <c r="S453" s="555"/>
      <c r="T453" s="555"/>
      <c r="U453" s="555"/>
      <c r="V453" s="556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5" t="s">
        <v>697</v>
      </c>
      <c r="B454" s="696"/>
      <c r="C454" s="696"/>
      <c r="D454" s="696"/>
      <c r="E454" s="696"/>
      <c r="F454" s="696"/>
      <c r="G454" s="696"/>
      <c r="H454" s="696"/>
      <c r="I454" s="696"/>
      <c r="J454" s="696"/>
      <c r="K454" s="696"/>
      <c r="L454" s="69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6"/>
      <c r="Y454" s="696"/>
      <c r="Z454" s="696"/>
      <c r="AA454" s="48"/>
      <c r="AB454" s="48"/>
      <c r="AC454" s="48"/>
    </row>
    <row r="455" spans="1:68" ht="16.5" hidden="1" customHeight="1" x14ac:dyDescent="0.25">
      <c r="A455" s="548" t="s">
        <v>697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99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698</v>
      </c>
      <c r="B457" s="54" t="s">
        <v>699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700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701</v>
      </c>
      <c r="B458" s="54" t="s">
        <v>702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703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704</v>
      </c>
      <c r="B459" s="54" t="s">
        <v>705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706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707</v>
      </c>
      <c r="B460" s="54" t="s">
        <v>708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8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700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51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52"/>
      <c r="P461" s="554" t="s">
        <v>71</v>
      </c>
      <c r="Q461" s="555"/>
      <c r="R461" s="555"/>
      <c r="S461" s="555"/>
      <c r="T461" s="555"/>
      <c r="U461" s="555"/>
      <c r="V461" s="556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52"/>
      <c r="P462" s="554" t="s">
        <v>71</v>
      </c>
      <c r="Q462" s="555"/>
      <c r="R462" s="555"/>
      <c r="S462" s="555"/>
      <c r="T462" s="555"/>
      <c r="U462" s="555"/>
      <c r="V462" s="556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135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709</v>
      </c>
      <c r="B464" s="54" t="s">
        <v>710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711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712</v>
      </c>
      <c r="B465" s="54" t="s">
        <v>713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8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715</v>
      </c>
      <c r="B466" s="54" t="s">
        <v>716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717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1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52"/>
      <c r="P467" s="554" t="s">
        <v>71</v>
      </c>
      <c r="Q467" s="555"/>
      <c r="R467" s="555"/>
      <c r="S467" s="555"/>
      <c r="T467" s="555"/>
      <c r="U467" s="555"/>
      <c r="V467" s="556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52"/>
      <c r="P468" s="554" t="s">
        <v>71</v>
      </c>
      <c r="Q468" s="555"/>
      <c r="R468" s="555"/>
      <c r="S468" s="555"/>
      <c r="T468" s="555"/>
      <c r="U468" s="555"/>
      <c r="V468" s="556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64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hidden="1" customHeight="1" x14ac:dyDescent="0.25">
      <c r="A470" s="54" t="s">
        <v>718</v>
      </c>
      <c r="B470" s="54" t="s">
        <v>719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8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720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721</v>
      </c>
      <c r="B471" s="54" t="s">
        <v>722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723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1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52"/>
      <c r="P472" s="554" t="s">
        <v>71</v>
      </c>
      <c r="Q472" s="555"/>
      <c r="R472" s="555"/>
      <c r="S472" s="555"/>
      <c r="T472" s="555"/>
      <c r="U472" s="555"/>
      <c r="V472" s="556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52"/>
      <c r="P473" s="554" t="s">
        <v>71</v>
      </c>
      <c r="Q473" s="555"/>
      <c r="R473" s="555"/>
      <c r="S473" s="555"/>
      <c r="T473" s="555"/>
      <c r="U473" s="555"/>
      <c r="V473" s="556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0" t="s">
        <v>73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hidden="1" customHeight="1" x14ac:dyDescent="0.25">
      <c r="A475" s="54" t="s">
        <v>724</v>
      </c>
      <c r="B475" s="54" t="s">
        <v>725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726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51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52"/>
      <c r="P476" s="554" t="s">
        <v>71</v>
      </c>
      <c r="Q476" s="555"/>
      <c r="R476" s="555"/>
      <c r="S476" s="555"/>
      <c r="T476" s="555"/>
      <c r="U476" s="555"/>
      <c r="V476" s="556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52"/>
      <c r="P477" s="554" t="s">
        <v>71</v>
      </c>
      <c r="Q477" s="555"/>
      <c r="R477" s="555"/>
      <c r="S477" s="555"/>
      <c r="T477" s="555"/>
      <c r="U477" s="555"/>
      <c r="V477" s="556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163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727</v>
      </c>
      <c r="B479" s="54" t="s">
        <v>728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3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729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730</v>
      </c>
      <c r="B480" s="54" t="s">
        <v>731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732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1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52"/>
      <c r="P481" s="554" t="s">
        <v>71</v>
      </c>
      <c r="Q481" s="555"/>
      <c r="R481" s="555"/>
      <c r="S481" s="555"/>
      <c r="T481" s="555"/>
      <c r="U481" s="555"/>
      <c r="V481" s="556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52"/>
      <c r="P482" s="554" t="s">
        <v>71</v>
      </c>
      <c r="Q482" s="555"/>
      <c r="R482" s="555"/>
      <c r="S482" s="555"/>
      <c r="T482" s="555"/>
      <c r="U482" s="555"/>
      <c r="V482" s="556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733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135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734</v>
      </c>
      <c r="B485" s="54" t="s">
        <v>735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736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1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52"/>
      <c r="P486" s="554" t="s">
        <v>71</v>
      </c>
      <c r="Q486" s="555"/>
      <c r="R486" s="555"/>
      <c r="S486" s="555"/>
      <c r="T486" s="555"/>
      <c r="U486" s="555"/>
      <c r="V486" s="556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52"/>
      <c r="P487" s="554" t="s">
        <v>71</v>
      </c>
      <c r="Q487" s="555"/>
      <c r="R487" s="555"/>
      <c r="S487" s="555"/>
      <c r="T487" s="555"/>
      <c r="U487" s="555"/>
      <c r="V487" s="556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23" t="s">
        <v>737</v>
      </c>
      <c r="Q488" s="624"/>
      <c r="R488" s="624"/>
      <c r="S488" s="624"/>
      <c r="T488" s="624"/>
      <c r="U488" s="624"/>
      <c r="V488" s="625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3000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3015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23" t="s">
        <v>738</v>
      </c>
      <c r="Q489" s="624"/>
      <c r="R489" s="624"/>
      <c r="S489" s="624"/>
      <c r="T489" s="624"/>
      <c r="U489" s="624"/>
      <c r="V489" s="625"/>
      <c r="W489" s="37" t="s">
        <v>69</v>
      </c>
      <c r="X489" s="541">
        <f>IFERROR(SUM(BM22:BM485),"0")</f>
        <v>3094</v>
      </c>
      <c r="Y489" s="541">
        <f>IFERROR(SUM(BN22:BN485),"0")</f>
        <v>3109.4700000000003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23" t="s">
        <v>739</v>
      </c>
      <c r="Q490" s="624"/>
      <c r="R490" s="624"/>
      <c r="S490" s="624"/>
      <c r="T490" s="624"/>
      <c r="U490" s="624"/>
      <c r="V490" s="625"/>
      <c r="W490" s="37" t="s">
        <v>740</v>
      </c>
      <c r="X490" s="38">
        <f>ROUNDUP(SUM(BO22:BO485),0)</f>
        <v>5</v>
      </c>
      <c r="Y490" s="38">
        <f>ROUNDUP(SUM(BP22:BP485),0)</f>
        <v>5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23" t="s">
        <v>741</v>
      </c>
      <c r="Q491" s="624"/>
      <c r="R491" s="624"/>
      <c r="S491" s="624"/>
      <c r="T491" s="624"/>
      <c r="U491" s="624"/>
      <c r="V491" s="625"/>
      <c r="W491" s="37" t="s">
        <v>69</v>
      </c>
      <c r="X491" s="541">
        <f>GrossWeightTotal+PalletQtyTotal*25</f>
        <v>3219</v>
      </c>
      <c r="Y491" s="541">
        <f>GrossWeightTotalR+PalletQtyTotalR*25</f>
        <v>3234.4700000000003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23" t="s">
        <v>742</v>
      </c>
      <c r="Q492" s="624"/>
      <c r="R492" s="624"/>
      <c r="S492" s="624"/>
      <c r="T492" s="624"/>
      <c r="U492" s="624"/>
      <c r="V492" s="625"/>
      <c r="W492" s="37" t="s">
        <v>740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200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201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23" t="s">
        <v>743</v>
      </c>
      <c r="Q493" s="624"/>
      <c r="R493" s="624"/>
      <c r="S493" s="624"/>
      <c r="T493" s="624"/>
      <c r="U493" s="624"/>
      <c r="V493" s="625"/>
      <c r="W493" s="39" t="s">
        <v>744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4.3717499999999996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745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256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534</v>
      </c>
      <c r="T495" s="592"/>
      <c r="U495" s="571" t="s">
        <v>586</v>
      </c>
      <c r="V495" s="591"/>
      <c r="W495" s="592"/>
      <c r="X495" s="536" t="s">
        <v>637</v>
      </c>
      <c r="Y495" s="571" t="s">
        <v>697</v>
      </c>
      <c r="Z495" s="592"/>
      <c r="AB495" s="52"/>
      <c r="AC495" s="52"/>
      <c r="AF495" s="537"/>
    </row>
    <row r="496" spans="1:68" ht="14.25" customHeight="1" thickTop="1" x14ac:dyDescent="0.2">
      <c r="A496" s="596" t="s">
        <v>746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189</v>
      </c>
      <c r="G496" s="571" t="s">
        <v>221</v>
      </c>
      <c r="H496" s="571" t="s">
        <v>97</v>
      </c>
      <c r="I496" s="571" t="s">
        <v>257</v>
      </c>
      <c r="J496" s="571" t="s">
        <v>298</v>
      </c>
      <c r="K496" s="571" t="s">
        <v>358</v>
      </c>
      <c r="L496" s="571" t="s">
        <v>400</v>
      </c>
      <c r="M496" s="571" t="s">
        <v>416</v>
      </c>
      <c r="N496" s="537"/>
      <c r="O496" s="571" t="s">
        <v>427</v>
      </c>
      <c r="P496" s="571" t="s">
        <v>436</v>
      </c>
      <c r="Q496" s="571" t="s">
        <v>446</v>
      </c>
      <c r="R496" s="571" t="s">
        <v>524</v>
      </c>
      <c r="S496" s="571" t="s">
        <v>535</v>
      </c>
      <c r="T496" s="571" t="s">
        <v>570</v>
      </c>
      <c r="U496" s="571" t="s">
        <v>587</v>
      </c>
      <c r="V496" s="571" t="s">
        <v>618</v>
      </c>
      <c r="W496" s="571" t="s">
        <v>633</v>
      </c>
      <c r="X496" s="571" t="s">
        <v>637</v>
      </c>
      <c r="Y496" s="571" t="s">
        <v>697</v>
      </c>
      <c r="Z496" s="571" t="s">
        <v>733</v>
      </c>
      <c r="AB496" s="52"/>
      <c r="AC496" s="52"/>
      <c r="AF496" s="537"/>
    </row>
    <row r="497" spans="1:32" ht="13.5" customHeight="1" thickBot="1" x14ac:dyDescent="0.25">
      <c r="A497" s="597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747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0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3015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41AvFqkvjyRkIo4JkO9q2XXKL2U86OYFLCJKVKmxgQK+VToX0TuANAqYEcfLslByWs2E7ipjganQKtu/OueJjQ==" saltValue="coGjLl1P8+iY2aH3RUuv0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33,33"/>
        <filter val="2 000,00"/>
        <filter val="200,00"/>
        <filter val="3 000,00"/>
        <filter val="3 094,00"/>
        <filter val="3 219,00"/>
        <filter val="5"/>
        <filter val="66,67"/>
      </filters>
    </filterColumn>
    <filterColumn colId="29" showButton="0"/>
    <filterColumn colId="30" showButton="0"/>
  </autoFilter>
  <mergeCells count="872"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106:T1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6 X60 X62 X79 X85 X87 X91 X99 X101 X106 X112 X114:X115 X119 X124 X130 X135 X162:X166 X168 X195:X202 X208:X209 X211 X213:X214 X218:X219 X224 X226:X227 X232 X272:X273 X299:X300 X302 X314:X316 X322:X323 X327 X329 X335:X336 X342:X344 X352 X358 X367 X377 X388:X389 X391 X414 X420 X422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9y8PJp79BpG05yU5ocUJ+0gD5dRtXhpxOqnseo8TQD3TIAiCS9NWto89lY1dmTJl0yZVi8pGDpyXG7yhLcM2Xg==" saltValue="LjZKUcdaKKiXlWRrKZ3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2025-11-06T10:37:44Z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