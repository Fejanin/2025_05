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941630-5811-402D-B6A1-2409FA5F9B5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Y144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P51" i="1"/>
  <c r="X48" i="1"/>
  <c r="X47" i="1"/>
  <c r="BO46" i="1"/>
  <c r="BN46" i="1"/>
  <c r="BM46" i="1"/>
  <c r="Z46" i="1"/>
  <c r="Z47" i="1" s="1"/>
  <c r="Y46" i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BP67" i="1" l="1"/>
  <c r="BN67" i="1"/>
  <c r="Z67" i="1"/>
  <c r="BP101" i="1"/>
  <c r="BN101" i="1"/>
  <c r="Z101" i="1"/>
  <c r="BP166" i="1"/>
  <c r="BN166" i="1"/>
  <c r="Z166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Z452" i="1" s="1"/>
  <c r="X488" i="1"/>
  <c r="Y32" i="1"/>
  <c r="Z34" i="1"/>
  <c r="Z35" i="1" s="1"/>
  <c r="BN34" i="1"/>
  <c r="BP34" i="1"/>
  <c r="Y35" i="1"/>
  <c r="Z40" i="1"/>
  <c r="BN40" i="1"/>
  <c r="Y43" i="1"/>
  <c r="Y48" i="1"/>
  <c r="Y47" i="1"/>
  <c r="BP46" i="1"/>
  <c r="BP51" i="1"/>
  <c r="BN51" i="1"/>
  <c r="Z51" i="1"/>
  <c r="BP86" i="1"/>
  <c r="BN86" i="1"/>
  <c r="Z86" i="1"/>
  <c r="BN119" i="1"/>
  <c r="Z119" i="1"/>
  <c r="Z120" i="1" s="1"/>
  <c r="BP130" i="1"/>
  <c r="BN130" i="1"/>
  <c r="Z130" i="1"/>
  <c r="BP134" i="1"/>
  <c r="BN134" i="1"/>
  <c r="Z134" i="1"/>
  <c r="BP176" i="1"/>
  <c r="BN176" i="1"/>
  <c r="Z176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58" i="1"/>
  <c r="Y337" i="1"/>
  <c r="BP141" i="1"/>
  <c r="BN141" i="1"/>
  <c r="Z141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Z22" i="1"/>
  <c r="Z23" i="1" s="1"/>
  <c r="BN22" i="1"/>
  <c r="BP22" i="1"/>
  <c r="Z26" i="1"/>
  <c r="BN26" i="1"/>
  <c r="BP26" i="1"/>
  <c r="Y31" i="1"/>
  <c r="Z30" i="1"/>
  <c r="BN30" i="1"/>
  <c r="Z42" i="1"/>
  <c r="BN42" i="1"/>
  <c r="Z53" i="1"/>
  <c r="BN53" i="1"/>
  <c r="Z61" i="1"/>
  <c r="BN61" i="1"/>
  <c r="Z73" i="1"/>
  <c r="BN73" i="1"/>
  <c r="Z79" i="1"/>
  <c r="BN79" i="1"/>
  <c r="Y89" i="1"/>
  <c r="Z92" i="1"/>
  <c r="BN92" i="1"/>
  <c r="Z99" i="1"/>
  <c r="BN99" i="1"/>
  <c r="Z107" i="1"/>
  <c r="BN107" i="1"/>
  <c r="Z115" i="1"/>
  <c r="BN115" i="1"/>
  <c r="Y121" i="1"/>
  <c r="Y120" i="1"/>
  <c r="BP119" i="1"/>
  <c r="BP124" i="1"/>
  <c r="BN124" i="1"/>
  <c r="Z124" i="1"/>
  <c r="BP164" i="1"/>
  <c r="BN164" i="1"/>
  <c r="Z164" i="1"/>
  <c r="BP174" i="1"/>
  <c r="BN174" i="1"/>
  <c r="Z174" i="1"/>
  <c r="BP197" i="1"/>
  <c r="BN197" i="1"/>
  <c r="Z197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BP288" i="1"/>
  <c r="BN288" i="1"/>
  <c r="Z288" i="1"/>
  <c r="Z293" i="1" s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77" i="1"/>
  <c r="Y216" i="1"/>
  <c r="Y304" i="1"/>
  <c r="BP302" i="1"/>
  <c r="BN302" i="1"/>
  <c r="Z302" i="1"/>
  <c r="BP314" i="1"/>
  <c r="BN314" i="1"/>
  <c r="Z314" i="1"/>
  <c r="Z317" i="1" s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79" i="1"/>
  <c r="Y453" i="1"/>
  <c r="Y452" i="1"/>
  <c r="H9" i="1"/>
  <c r="A10" i="1"/>
  <c r="B498" i="1"/>
  <c r="X489" i="1"/>
  <c r="X490" i="1"/>
  <c r="X492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Y57" i="1"/>
  <c r="Z52" i="1"/>
  <c r="Z57" i="1" s="1"/>
  <c r="BN52" i="1"/>
  <c r="BP52" i="1"/>
  <c r="Z54" i="1"/>
  <c r="BN54" i="1"/>
  <c r="Z56" i="1"/>
  <c r="BN56" i="1"/>
  <c r="BP62" i="1"/>
  <c r="BN62" i="1"/>
  <c r="Z62" i="1"/>
  <c r="Y69" i="1"/>
  <c r="BP66" i="1"/>
  <c r="BN66" i="1"/>
  <c r="Z66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2" i="1"/>
  <c r="BN142" i="1"/>
  <c r="Z142" i="1"/>
  <c r="Y149" i="1"/>
  <c r="BP146" i="1"/>
  <c r="BN146" i="1"/>
  <c r="Z146" i="1"/>
  <c r="Y172" i="1"/>
  <c r="BP165" i="1"/>
  <c r="BN165" i="1"/>
  <c r="Z165" i="1"/>
  <c r="BP169" i="1"/>
  <c r="BN169" i="1"/>
  <c r="Z169" i="1"/>
  <c r="Y178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Q498" i="1"/>
  <c r="BP291" i="1"/>
  <c r="BN291" i="1"/>
  <c r="Z291" i="1"/>
  <c r="BP328" i="1"/>
  <c r="BN328" i="1"/>
  <c r="Z328" i="1"/>
  <c r="Z330" i="1" s="1"/>
  <c r="Y330" i="1"/>
  <c r="F9" i="1"/>
  <c r="J9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Z177" i="1" s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U498" i="1"/>
  <c r="BP390" i="1"/>
  <c r="BN390" i="1"/>
  <c r="Z390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250" i="1" l="1"/>
  <c r="Z437" i="1"/>
  <c r="Z379" i="1"/>
  <c r="Z374" i="1"/>
  <c r="Z324" i="1"/>
  <c r="Z267" i="1"/>
  <c r="Z215" i="1"/>
  <c r="Z410" i="1"/>
  <c r="Z349" i="1"/>
  <c r="Y490" i="1"/>
  <c r="Y489" i="1"/>
  <c r="Y492" i="1"/>
  <c r="Z467" i="1"/>
  <c r="Z461" i="1"/>
  <c r="Z303" i="1"/>
  <c r="Z274" i="1"/>
  <c r="Z259" i="1"/>
  <c r="Z311" i="1"/>
  <c r="Z203" i="1"/>
  <c r="Z171" i="1"/>
  <c r="Z88" i="1"/>
  <c r="Z76" i="1"/>
  <c r="Z187" i="1"/>
  <c r="Z446" i="1"/>
  <c r="Z431" i="1"/>
  <c r="Z393" i="1"/>
  <c r="Z234" i="1"/>
  <c r="Z116" i="1"/>
  <c r="Z69" i="1"/>
  <c r="Y488" i="1"/>
  <c r="Z149" i="1"/>
  <c r="Z103" i="1"/>
  <c r="Z95" i="1"/>
  <c r="X491" i="1"/>
  <c r="Y491" i="1" l="1"/>
  <c r="Z493" i="1"/>
</calcChain>
</file>

<file path=xl/sharedStrings.xml><?xml version="1.0" encoding="utf-8"?>
<sst xmlns="http://schemas.openxmlformats.org/spreadsheetml/2006/main" count="2248" uniqueCount="763">
  <si>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</si>
  <si>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</si>
  <si>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</si>
  <si>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</si>
  <si>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</si>
  <si>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</si>
  <si>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</si>
  <si>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</si>
  <si>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</si>
  <si>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</si>
  <si>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</si>
  <si>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</si>
  <si>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</si>
  <si>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</si>
  <si>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</si>
  <si>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</si>
  <si>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</si>
  <si>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</si>
  <si>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</si>
  <si>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</si>
  <si>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</si>
  <si>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</si>
  <si>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</si>
  <si>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</si>
  <si>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</si>
  <si>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</si>
  <si>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</si>
  <si>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</si>
  <si>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</si>
  <si>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</si>
  <si>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</si>
  <si>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</si>
  <si>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</si>
  <si>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</si>
  <si>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</si>
  <si>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</si>
  <si>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</si>
  <si>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</si>
  <si>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</si>
  <si>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</si>
  <si>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</si>
  <si>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</si>
  <si>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</si>
  <si>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</si>
  <si>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</si>
  <si>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</si>
  <si>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</si>
  <si>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</si>
  <si>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</si>
  <si>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</si>
  <si>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</si>
  <si>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</si>
  <si>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</si>
  <si>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</si>
  <si>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</si>
  <si>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</si>
  <si>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</si>
  <si>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</si>
  <si>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</si>
  <si>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</si>
  <si>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</si>
  <si>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</si>
  <si>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</si>
  <si>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</si>
  <si>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</si>
  <si>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</si>
  <si>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</si>
  <si>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</si>
  <si>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</si>
  <si>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</si>
  <si>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</si>
  <si>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</si>
  <si>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</si>
  <si>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</si>
  <si>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</si>
  <si>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</si>
  <si>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</si>
  <si>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</si>
  <si>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</si>
  <si>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</si>
  <si>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</si>
  <si>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</si>
  <si>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</si>
  <si>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</si>
  <si>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</si>
  <si>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</si>
  <si>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</si>
  <si>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</si>
  <si>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</si>
  <si>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</si>
  <si>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</si>
  <si>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</si>
  <si>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</si>
  <si>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</si>
  <si>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</si>
  <si>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</si>
  <si>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</si>
  <si>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</si>
  <si>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</si>
  <si>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</si>
  <si>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</si>
  <si>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</si>
  <si>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</si>
  <si>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</si>
  <si>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</si>
  <si>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</si>
  <si>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</si>
  <si>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</si>
  <si>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</si>
  <si>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</si>
  <si>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</si>
  <si>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</si>
  <si>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</si>
  <si>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</si>
  <si>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</si>
  <si>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</si>
  <si>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</si>
  <si>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</si>
  <si>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</si>
  <si>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</si>
  <si>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</si>
  <si>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</si>
  <si>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</si>
  <si>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</si>
  <si>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</si>
  <si>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</si>
  <si>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</si>
  <si>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</si>
  <si>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</si>
  <si>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</si>
  <si>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</si>
  <si>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</si>
  <si>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</si>
  <si>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</si>
  <si>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</si>
  <si>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</si>
  <si>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</si>
  <si>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</si>
  <si>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</si>
  <si>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</si>
  <si>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</si>
  <si>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</si>
  <si>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</si>
  <si>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</si>
  <si>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</si>
  <si>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</si>
  <si>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</si>
  <si>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</si>
  <si>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</si>
  <si>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</si>
  <si>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</si>
  <si>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</si>
  <si>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</si>
  <si>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</si>
  <si>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</si>
  <si>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</si>
  <si>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</si>
  <si>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</si>
  <si>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</si>
  <si>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</si>
  <si>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</si>
  <si>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</si>
  <si>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</si>
  <si>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</si>
  <si>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</si>
  <si>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</si>
  <si>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</si>
  <si>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</si>
  <si>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</si>
  <si>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</si>
  <si>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</si>
  <si>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</si>
  <si>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</si>
  <si>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</si>
  <si>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</si>
  <si>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</si>
  <si>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</si>
  <si>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</si>
  <si>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</si>
  <si>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</si>
  <si>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</si>
  <si>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</si>
  <si>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</si>
  <si>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</si>
  <si>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</si>
  <si>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</si>
  <si>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</si>
  <si>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</si>
  <si>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</si>
  <si>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</si>
  <si>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</si>
  <si>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</si>
  <si>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</si>
  <si>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</si>
  <si>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</si>
  <si>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</si>
  <si>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</si>
  <si>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</si>
  <si>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</si>
  <si>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</si>
  <si>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</si>
  <si>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</si>
  <si>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</si>
  <si>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</si>
  <si>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</si>
  <si>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</si>
  <si>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</si>
  <si>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</si>
  <si>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</si>
  <si>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</si>
  <si>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</si>
  <si>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</si>
  <si>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</si>
  <si>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</si>
  <si>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</si>
  <si>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</si>
  <si>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</si>
  <si>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</si>
  <si>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</si>
  <si>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</si>
  <si>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</si>
  <si>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</si>
  <si>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</si>
  <si>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</si>
  <si>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</si>
  <si>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</si>
  <si>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</si>
  <si>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</si>
  <si>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</si>
  <si>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</si>
  <si>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</si>
  <si>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</si>
  <si>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</si>
  <si>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</si>
  <si>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</si>
  <si>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</si>
  <si>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</si>
  <si>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</si>
  <si>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</si>
  <si>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</si>
  <si>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</si>
  <si>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</si>
  <si>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</si>
  <si>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</si>
  <si>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</si>
  <si>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</si>
  <si>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</si>
  <si>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</si>
  <si>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</si>
  <si>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</si>
  <si>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</si>
  <si>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</si>
  <si>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</si>
  <si>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</si>
  <si>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</si>
  <si>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</si>
  <si>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</si>
  <si>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</si>
  <si>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</si>
  <si>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</si>
  <si>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</si>
  <si>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</si>
  <si>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</si>
  <si>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</si>
  <si>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</si>
  <si>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</si>
  <si>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</si>
  <si>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</si>
  <si>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</si>
  <si>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</si>
  <si>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</si>
  <si>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</si>
  <si>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</si>
  <si>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</si>
  <si>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</si>
  <si>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</si>
  <si>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</si>
  <si>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</si>
  <si>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</si>
  <si>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</si>
  <si>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</si>
  <si>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</si>
  <si>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</si>
  <si>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</si>
  <si>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</si>
  <si>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</si>
  <si>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</si>
  <si>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</si>
  <si>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</si>
  <si>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</si>
  <si>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</si>
  <si>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</si>
  <si>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</si>
  <si>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</si>
  <si>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</si>
  <si>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</si>
  <si>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</si>
  <si>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</si>
  <si>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</si>
  <si>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</si>
  <si>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</si>
  <si>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</si>
  <si>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</si>
  <si>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</si>
  <si>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</si>
  <si>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</si>
  <si>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</si>
  <si>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</si>
  <si>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</si>
  <si>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</si>
  <si>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</si>
  <si>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</si>
  <si>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</si>
  <si>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</si>
  <si>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</si>
  <si>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</si>
  <si>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</si>
  <si>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</si>
  <si>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</si>
  <si>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</si>
  <si>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</si>
  <si>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</si>
  <si>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</si>
  <si>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</si>
  <si>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</si>
  <si>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</si>
  <si>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</si>
  <si>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</si>
  <si>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</si>
  <si>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</si>
  <si>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</si>
  <si>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</si>
  <si>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</si>
  <si>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</si>
  <si>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</si>
  <si>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</si>
  <si>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</si>
  <si>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</si>
  <si>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</si>
  <si>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</si>
  <si>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</si>
  <si>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</si>
  <si>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</si>
  <si>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</si>
  <si>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</si>
  <si>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</si>
  <si>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</si>
  <si>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</si>
  <si>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</si>
  <si>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</si>
  <si>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</si>
  <si>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</si>
  <si>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</si>
  <si>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</si>
  <si>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</si>
  <si>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</si>
  <si>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</si>
  <si>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</si>
  <si>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</si>
  <si>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</si>
  <si>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</si>
  <si>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</si>
  <si>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</si>
  <si>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</si>
  <si>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</si>
  <si>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</si>
  <si>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</si>
  <si>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</si>
  <si>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</si>
  <si>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</si>
  <si>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</si>
  <si>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</si>
  <si>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</si>
  <si>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</si>
  <si>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</si>
  <si>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</si>
  <si>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</si>
  <si>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</si>
  <si>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</si>
  <si>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</si>
  <si>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</si>
  <si>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</si>
  <si>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</si>
  <si>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</si>
  <si>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</si>
  <si>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</si>
  <si>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</si>
  <si>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</si>
  <si>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</si>
  <si>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</si>
  <si>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</si>
  <si>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</si>
  <si>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</si>
  <si>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</si>
  <si>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</si>
  <si>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</si>
  <si>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</si>
  <si>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</si>
  <si>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</si>
  <si>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</si>
  <si>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</si>
  <si>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</si>
  <si>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</si>
  <si>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</si>
  <si>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</si>
  <si>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</si>
  <si>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</si>
  <si>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</si>
  <si>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</si>
  <si>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</si>
  <si>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</si>
  <si>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</si>
  <si>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</si>
  <si>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</si>
  <si>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</si>
  <si>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</si>
  <si>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</si>
  <si>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</si>
  <si>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</si>
  <si>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</si>
  <si>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</si>
  <si>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</si>
  <si>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</si>
  <si>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</si>
  <si>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</si>
  <si>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</si>
  <si>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</si>
  <si>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</si>
  <si>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</si>
  <si>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</si>
  <si>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</si>
  <si>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</si>
  <si>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</si>
  <si>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</si>
  <si>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</si>
  <si>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</si>
  <si>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</si>
  <si>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</si>
  <si>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</si>
  <si>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</si>
  <si>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</si>
  <si>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</si>
  <si>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</si>
  <si>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</si>
  <si>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</si>
  <si>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</si>
  <si>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</si>
  <si>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</si>
  <si>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</si>
  <si>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</si>
  <si>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</si>
  <si>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</si>
  <si>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</si>
  <si>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</si>
  <si>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</si>
  <si>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</si>
  <si>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</si>
  <si>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</si>
  <si>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</si>
  <si>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</si>
  <si>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</si>
  <si>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</si>
  <si>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</si>
  <si>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</si>
  <si>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</si>
  <si>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</si>
  <si>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</si>
  <si>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</si>
  <si>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</si>
  <si>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</si>
  <si>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</si>
  <si>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</si>
  <si>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</si>
  <si>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</si>
  <si>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</si>
  <si>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</si>
  <si>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</si>
  <si>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</si>
  <si>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</si>
  <si>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</si>
  <si>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</si>
  <si>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</si>
  <si>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</si>
  <si>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</si>
  <si>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</si>
  <si>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</si>
  <si>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</si>
  <si>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</si>
  <si>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</si>
  <si>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</si>
  <si>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</si>
  <si>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</si>
  <si>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</si>
  <si>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</si>
  <si>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</si>
  <si>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</si>
  <si>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</si>
  <si>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</si>
  <si>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</si>
  <si>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</si>
  <si>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</si>
  <si>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</si>
  <si>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</si>
  <si>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</si>
  <si>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</si>
  <si>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</si>
  <si>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</si>
  <si>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</si>
  <si>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</si>
  <si>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</si>
  <si>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</si>
  <si>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</si>
  <si>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</si>
  <si>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</si>
  <si>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</si>
  <si>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</si>
  <si>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</si>
  <si>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</si>
  <si>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</si>
  <si>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</si>
  <si>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</si>
  <si>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</si>
  <si>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</si>
  <si>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</si>
  <si>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</si>
  <si>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</si>
  <si>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</si>
  <si>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</si>
  <si>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</si>
  <si>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</si>
  <si>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</si>
  <si>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</si>
  <si>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</si>
  <si>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</si>
  <si>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</si>
  <si>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</si>
  <si>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</si>
  <si>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</si>
  <si>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</si>
  <si>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</si>
  <si>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</si>
  <si>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</si>
  <si>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</si>
  <si>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</si>
  <si>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</si>
  <si>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</si>
  <si>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</si>
  <si>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</si>
  <si>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</si>
  <si>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</si>
  <si>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</si>
  <si>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</si>
  <si>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</si>
  <si>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</si>
  <si>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</si>
  <si>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</si>
  <si>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</si>
  <si>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</si>
  <si>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</si>
  <si>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</si>
  <si>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</si>
  <si>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</si>
  <si>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</si>
  <si>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</si>
  <si>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</si>
  <si>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</si>
  <si>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</si>
  <si>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</si>
  <si>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</si>
  <si>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</si>
  <si>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</si>
  <si>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</si>
  <si>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</si>
  <si>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</si>
  <si>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</si>
  <si>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</si>
  <si>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</si>
  <si>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</si>
  <si>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</si>
  <si>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</si>
  <si>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</si>
  <si>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</si>
  <si>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</si>
  <si>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</si>
  <si>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</si>
  <si>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</si>
  <si>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</si>
  <si>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</si>
  <si>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</si>
  <si>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</si>
  <si>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</si>
  <si>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</si>
  <si>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</si>
  <si>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</si>
  <si>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</si>
  <si>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</si>
  <si>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</si>
  <si>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</si>
  <si>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</si>
  <si>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</si>
  <si>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</si>
  <si>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</si>
  <si>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</si>
  <si>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</si>
  <si>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</si>
  <si>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</si>
  <si>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</si>
  <si>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</si>
  <si>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</si>
  <si>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</si>
  <si>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</si>
  <si>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</si>
  <si>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</si>
  <si>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</si>
  <si>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</si>
  <si>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</si>
  <si>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</si>
  <si>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</si>
  <si>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</si>
  <si>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</si>
  <si>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</si>
  <si>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</si>
  <si>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</si>
  <si>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</si>
  <si>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</si>
  <si>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</si>
  <si>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</si>
  <si>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</si>
  <si>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</si>
  <si>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</si>
  <si>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</si>
  <si>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</si>
  <si>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</si>
  <si>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</si>
  <si>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</si>
  <si>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</si>
  <si>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</si>
  <si>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</si>
  <si>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</si>
  <si>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</si>
  <si>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</si>
  <si>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</si>
  <si>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</si>
  <si>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</si>
  <si>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</si>
  <si>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</si>
  <si>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</si>
  <si>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</si>
  <si>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</si>
  <si>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</si>
  <si>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</si>
  <si>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</si>
  <si>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</si>
  <si>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</si>
  <si>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</si>
  <si>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</si>
  <si>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</si>
  <si>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</si>
  <si>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</si>
  <si>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</si>
  <si>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</si>
  <si>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</si>
  <si>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</si>
  <si>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</si>
  <si>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</si>
  <si>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</si>
  <si>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</si>
  <si>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</si>
  <si>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</si>
  <si>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</si>
  <si>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</si>
  <si>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</si>
  <si>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</si>
  <si>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</si>
  <si>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</si>
  <si>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</si>
  <si>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</si>
  <si>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</si>
  <si>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</si>
  <si>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</si>
  <si>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</si>
  <si>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</si>
  <si>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</si>
  <si>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</si>
  <si>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</si>
  <si>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</si>
  <si>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</si>
  <si>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</si>
  <si>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</si>
  <si>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</si>
  <si>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</si>
  <si>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</si>
  <si>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</si>
  <si>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</si>
  <si>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</si>
  <si>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</si>
  <si>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</si>
  <si>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</si>
  <si>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</si>
  <si>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</si>
  <si>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</si>
  <si>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</si>
  <si>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</si>
  <si>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</si>
  <si>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</si>
  <si>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</si>
  <si>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</si>
  <si>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</si>
  <si>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</si>
  <si>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</si>
  <si>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</si>
  <si>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</si>
  <si>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</si>
  <si>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</si>
  <si>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</si>
  <si>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</si>
  <si>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</si>
  <si>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</si>
  <si>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</si>
  <si>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</si>
  <si>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</si>
  <si>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</si>
  <si>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</si>
  <si>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</si>
  <si>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</si>
  <si>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</si>
  <si>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</si>
  <si>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</si>
  <si>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</si>
  <si>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</si>
  <si>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</si>
  <si>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</si>
  <si>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</si>
  <si>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</si>
  <si>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</si>
  <si>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</si>
  <si>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</si>
  <si>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</si>
  <si>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</si>
  <si>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</si>
  <si>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</si>
  <si>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</si>
  <si>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</si>
  <si>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</si>
  <si>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</si>
  <si>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</si>
  <si>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</si>
  <si>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</si>
  <si>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</si>
  <si>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</si>
  <si>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</si>
  <si>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</si>
  <si>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</si>
  <si>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</si>
  <si>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</si>
  <si>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</si>
  <si>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</si>
  <si>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</si>
  <si>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</si>
  <si>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</si>
  <si>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</si>
  <si>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</si>
  <si>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26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</si>
</sst>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804" t="s">
        <v>0</v>
      </c>
      <c r="E1" s="574"/>
      <c r="F1" s="574"/>
      <c r="G1" s="12" t="s">
        <v>1</v>
      </c>
      <c r="H1" s="80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849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4"/>
      <c r="R2" s="544"/>
      <c r="S2" s="544"/>
      <c r="T2" s="544"/>
      <c r="U2" s="544"/>
      <c r="V2" s="544"/>
      <c r="W2" s="54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4"/>
      <c r="Q3" s="544"/>
      <c r="R3" s="544"/>
      <c r="S3" s="544"/>
      <c r="T3" s="544"/>
      <c r="U3" s="544"/>
      <c r="V3" s="544"/>
      <c r="W3" s="54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68" t="s">
        <v>8</v>
      </c>
      <c r="B5" s="561"/>
      <c r="C5" s="562"/>
      <c r="D5" s="667"/>
      <c r="E5" s="669"/>
      <c r="F5" s="613" t="s">
        <v>9</v>
      </c>
      <c r="G5" s="562"/>
      <c r="H5" s="667" t="s">
        <v>762</v>
      </c>
      <c r="I5" s="668"/>
      <c r="J5" s="668"/>
      <c r="K5" s="668"/>
      <c r="L5" s="668"/>
      <c r="M5" s="669"/>
      <c r="N5" s="58"/>
      <c r="P5" s="24" t="s">
        <v>10</v>
      </c>
      <c r="Q5" s="588">
        <v>45970</v>
      </c>
      <c r="R5" s="589"/>
      <c r="T5" s="731" t="s">
        <v>11</v>
      </c>
      <c r="U5" s="642"/>
      <c r="V5" s="732" t="s">
        <v>12</v>
      </c>
      <c r="W5" s="589"/>
      <c r="AB5" s="51"/>
      <c r="AC5" s="51"/>
      <c r="AD5" s="51"/>
      <c r="AE5" s="51"/>
    </row>
    <row r="6" spans="1:32" s="533" customFormat="1" ht="24" customHeight="1" x14ac:dyDescent="0.2">
      <c r="A6" s="768" t="s">
        <v>13</v>
      </c>
      <c r="B6" s="561"/>
      <c r="C6" s="562"/>
      <c r="D6" s="672" t="s">
        <v>14</v>
      </c>
      <c r="E6" s="673"/>
      <c r="F6" s="673"/>
      <c r="G6" s="673"/>
      <c r="H6" s="673"/>
      <c r="I6" s="673"/>
      <c r="J6" s="673"/>
      <c r="K6" s="673"/>
      <c r="L6" s="673"/>
      <c r="M6" s="589"/>
      <c r="N6" s="59"/>
      <c r="P6" s="24" t="s">
        <v>15</v>
      </c>
      <c r="Q6" s="597" t="str">
        <f>IF(Q5=0," ",CHOOSE(WEEKDAY(Q5,2),"Понедельник","Вторник","Среда","Четверг","Пятница","Суббота","Воскресенье"))</f>
        <v>Воскресенье</v>
      </c>
      <c r="R6" s="551"/>
      <c r="T6" s="736" t="s">
        <v>16</v>
      </c>
      <c r="U6" s="642"/>
      <c r="V6" s="685" t="s">
        <v>17</v>
      </c>
      <c r="W6" s="686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4"/>
      <c r="N7" s="60"/>
      <c r="P7" s="24"/>
      <c r="Q7" s="42"/>
      <c r="R7" s="42"/>
      <c r="T7" s="544"/>
      <c r="U7" s="642"/>
      <c r="V7" s="687"/>
      <c r="W7" s="688"/>
      <c r="AB7" s="51"/>
      <c r="AC7" s="51"/>
      <c r="AD7" s="51"/>
      <c r="AE7" s="51"/>
    </row>
    <row r="8" spans="1:32" s="533" customFormat="1" ht="25.5" customHeight="1" x14ac:dyDescent="0.2">
      <c r="A8" s="565" t="s">
        <v>18</v>
      </c>
      <c r="B8" s="546"/>
      <c r="C8" s="547"/>
      <c r="D8" s="833" t="s">
        <v>19</v>
      </c>
      <c r="E8" s="834"/>
      <c r="F8" s="834"/>
      <c r="G8" s="834"/>
      <c r="H8" s="834"/>
      <c r="I8" s="834"/>
      <c r="J8" s="834"/>
      <c r="K8" s="834"/>
      <c r="L8" s="834"/>
      <c r="M8" s="835"/>
      <c r="N8" s="61"/>
      <c r="P8" s="24" t="s">
        <v>20</v>
      </c>
      <c r="Q8" s="733">
        <v>0.45833333333333331</v>
      </c>
      <c r="R8" s="734"/>
      <c r="T8" s="544"/>
      <c r="U8" s="642"/>
      <c r="V8" s="687"/>
      <c r="W8" s="688"/>
      <c r="AB8" s="51"/>
      <c r="AC8" s="51"/>
      <c r="AD8" s="51"/>
      <c r="AE8" s="51"/>
    </row>
    <row r="9" spans="1:32" s="533" customFormat="1" ht="39.950000000000003" customHeight="1" x14ac:dyDescent="0.2">
      <c r="A9" s="5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4"/>
      <c r="C9" s="544"/>
      <c r="D9" s="624"/>
      <c r="E9" s="625"/>
      <c r="F9" s="5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4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531"/>
      <c r="P9" s="26" t="s">
        <v>21</v>
      </c>
      <c r="Q9" s="719"/>
      <c r="R9" s="617"/>
      <c r="T9" s="544"/>
      <c r="U9" s="642"/>
      <c r="V9" s="689"/>
      <c r="W9" s="690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4"/>
      <c r="C10" s="544"/>
      <c r="D10" s="624"/>
      <c r="E10" s="625"/>
      <c r="F10" s="5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4"/>
      <c r="H10" s="679" t="str">
        <f>IFERROR(VLOOKUP($D$10,Proxy,2,FALSE),"")</f>
        <v/>
      </c>
      <c r="I10" s="544"/>
      <c r="J10" s="544"/>
      <c r="K10" s="544"/>
      <c r="L10" s="544"/>
      <c r="M10" s="544"/>
      <c r="N10" s="532"/>
      <c r="P10" s="26" t="s">
        <v>22</v>
      </c>
      <c r="Q10" s="737"/>
      <c r="R10" s="738"/>
      <c r="U10" s="24" t="s">
        <v>23</v>
      </c>
      <c r="V10" s="838" t="s">
        <v>24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4"/>
      <c r="R11" s="589"/>
      <c r="U11" s="24" t="s">
        <v>27</v>
      </c>
      <c r="V11" s="616" t="s">
        <v>28</v>
      </c>
      <c r="W11" s="617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42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733"/>
      <c r="R12" s="734"/>
      <c r="S12" s="23"/>
      <c r="U12" s="24"/>
      <c r="V12" s="574"/>
      <c r="W12" s="544"/>
      <c r="AB12" s="51"/>
      <c r="AC12" s="51"/>
      <c r="AD12" s="51"/>
      <c r="AE12" s="51"/>
    </row>
    <row r="13" spans="1:32" s="533" customFormat="1" ht="23.25" customHeight="1" x14ac:dyDescent="0.2">
      <c r="A13" s="742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616"/>
      <c r="R13" s="6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42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43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76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7"/>
      <c r="Q16" s="767"/>
      <c r="R16" s="767"/>
      <c r="S16" s="767"/>
      <c r="T16" s="7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9" t="s">
        <v>36</v>
      </c>
      <c r="B17" s="569" t="s">
        <v>37</v>
      </c>
      <c r="C17" s="772" t="s">
        <v>38</v>
      </c>
      <c r="D17" s="569" t="s">
        <v>39</v>
      </c>
      <c r="E17" s="570"/>
      <c r="F17" s="569" t="s">
        <v>40</v>
      </c>
      <c r="G17" s="569" t="s">
        <v>41</v>
      </c>
      <c r="H17" s="569" t="s">
        <v>42</v>
      </c>
      <c r="I17" s="569" t="s">
        <v>43</v>
      </c>
      <c r="J17" s="569" t="s">
        <v>44</v>
      </c>
      <c r="K17" s="569" t="s">
        <v>45</v>
      </c>
      <c r="L17" s="569" t="s">
        <v>46</v>
      </c>
      <c r="M17" s="569" t="s">
        <v>47</v>
      </c>
      <c r="N17" s="569" t="s">
        <v>48</v>
      </c>
      <c r="O17" s="569" t="s">
        <v>49</v>
      </c>
      <c r="P17" s="569" t="s">
        <v>50</v>
      </c>
      <c r="Q17" s="790"/>
      <c r="R17" s="790"/>
      <c r="S17" s="790"/>
      <c r="T17" s="570"/>
      <c r="U17" s="581" t="s">
        <v>51</v>
      </c>
      <c r="V17" s="562"/>
      <c r="W17" s="569" t="s">
        <v>52</v>
      </c>
      <c r="X17" s="569" t="s">
        <v>53</v>
      </c>
      <c r="Y17" s="582" t="s">
        <v>54</v>
      </c>
      <c r="Z17" s="698" t="s">
        <v>55</v>
      </c>
      <c r="AA17" s="606" t="s">
        <v>56</v>
      </c>
      <c r="AB17" s="606" t="s">
        <v>57</v>
      </c>
      <c r="AC17" s="606" t="s">
        <v>58</v>
      </c>
      <c r="AD17" s="606" t="s">
        <v>59</v>
      </c>
      <c r="AE17" s="607"/>
      <c r="AF17" s="608"/>
      <c r="AG17" s="66"/>
      <c r="BD17" s="65" t="s">
        <v>60</v>
      </c>
    </row>
    <row r="18" spans="1:68" ht="14.25" customHeight="1" x14ac:dyDescent="0.2">
      <c r="A18" s="573"/>
      <c r="B18" s="573"/>
      <c r="C18" s="573"/>
      <c r="D18" s="571"/>
      <c r="E18" s="572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1"/>
      <c r="Q18" s="791"/>
      <c r="R18" s="791"/>
      <c r="S18" s="791"/>
      <c r="T18" s="572"/>
      <c r="U18" s="67" t="s">
        <v>61</v>
      </c>
      <c r="V18" s="67" t="s">
        <v>62</v>
      </c>
      <c r="W18" s="573"/>
      <c r="X18" s="573"/>
      <c r="Y18" s="583"/>
      <c r="Z18" s="699"/>
      <c r="AA18" s="701"/>
      <c r="AB18" s="701"/>
      <c r="AC18" s="701"/>
      <c r="AD18" s="609"/>
      <c r="AE18" s="610"/>
      <c r="AF18" s="611"/>
      <c r="AG18" s="66"/>
      <c r="BD18" s="65"/>
    </row>
    <row r="19" spans="1:68" ht="27.75" hidden="1" customHeight="1" x14ac:dyDescent="0.2">
      <c r="A19" s="558" t="s">
        <v>63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48"/>
      <c r="AB19" s="48"/>
      <c r="AC19" s="48"/>
    </row>
    <row r="20" spans="1:68" ht="16.5" hidden="1" customHeight="1" x14ac:dyDescent="0.25">
      <c r="A20" s="585" t="s">
        <v>63</v>
      </c>
      <c r="B20" s="544"/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34"/>
      <c r="AB20" s="534"/>
      <c r="AC20" s="534"/>
    </row>
    <row r="21" spans="1:68" ht="14.25" hidden="1" customHeight="1" x14ac:dyDescent="0.25">
      <c r="A21" s="543" t="s">
        <v>64</v>
      </c>
      <c r="B21" s="544"/>
      <c r="C21" s="544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6"/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77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4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77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43" t="s">
        <v>73</v>
      </c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50">
        <v>4607091388244</v>
      </c>
      <c r="E30" s="551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6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77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77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43" t="s">
        <v>91</v>
      </c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0">
        <v>4607091388503</v>
      </c>
      <c r="E34" s="551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6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77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77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558" t="s">
        <v>97</v>
      </c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48"/>
      <c r="AB37" s="48"/>
      <c r="AC37" s="48"/>
    </row>
    <row r="38" spans="1:68" ht="16.5" hidden="1" customHeight="1" x14ac:dyDescent="0.25">
      <c r="A38" s="585" t="s">
        <v>98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34"/>
      <c r="AB38" s="534"/>
      <c r="AC38" s="534"/>
    </row>
    <row r="39" spans="1:68" ht="14.25" hidden="1" customHeight="1" x14ac:dyDescent="0.25">
      <c r="A39" s="543" t="s">
        <v>99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0">
        <v>4607091385670</v>
      </c>
      <c r="E40" s="551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39">
        <v>656</v>
      </c>
      <c r="Y40" s="540">
        <f>IFERROR(IF(X40="",0,CEILING((X40/$H40),1)*$H40),"")</f>
        <v>658.80000000000007</v>
      </c>
      <c r="Z40" s="36">
        <f>IFERROR(IF(Y40=0,"",ROUNDUP(Y40/H40,0)*0.01898),"")</f>
        <v>1.15778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680.90370370370363</v>
      </c>
      <c r="BN40" s="64">
        <f>IFERROR(Y40*I40/H40,"0")</f>
        <v>683.81000000000006</v>
      </c>
      <c r="BO40" s="64">
        <f>IFERROR(1/J40*(X40/H40),"0")</f>
        <v>0.94907407407407396</v>
      </c>
      <c r="BP40" s="64">
        <f>IFERROR(1/J40*(Y40/H40),"0")</f>
        <v>0.953125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0">
        <v>4607091385687</v>
      </c>
      <c r="E41" s="551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0">
        <v>4680115882539</v>
      </c>
      <c r="E42" s="551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81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39">
        <v>192</v>
      </c>
      <c r="Y42" s="540">
        <f>IFERROR(IF(X42="",0,CEILING((X42/$H42),1)*$H42),"")</f>
        <v>192.4</v>
      </c>
      <c r="Z42" s="36">
        <f>IFERROR(IF(Y42=0,"",ROUNDUP(Y42/H42,0)*0.00902),"")</f>
        <v>0.46904000000000001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201.85945945945946</v>
      </c>
      <c r="BN42" s="64">
        <f>IFERROR(Y42*I42/H42,"0")</f>
        <v>202.28</v>
      </c>
      <c r="BO42" s="64">
        <f>IFERROR(1/J42*(X42/H42),"0")</f>
        <v>0.3931203931203931</v>
      </c>
      <c r="BP42" s="64">
        <f>IFERROR(1/J42*(Y42/H42),"0")</f>
        <v>0.39393939393939392</v>
      </c>
    </row>
    <row r="43" spans="1:68" x14ac:dyDescent="0.2">
      <c r="A43" s="576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77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112.63263263263262</v>
      </c>
      <c r="Y43" s="541">
        <f>IFERROR(Y40/H40,"0")+IFERROR(Y41/H41,"0")+IFERROR(Y42/H42,"0")</f>
        <v>113</v>
      </c>
      <c r="Z43" s="541">
        <f>IFERROR(IF(Z40="",0,Z40),"0")+IFERROR(IF(Z41="",0,Z41),"0")+IFERROR(IF(Z42="",0,Z42),"0")</f>
        <v>1.6268199999999999</v>
      </c>
      <c r="AA43" s="542"/>
      <c r="AB43" s="542"/>
      <c r="AC43" s="542"/>
    </row>
    <row r="44" spans="1:68" x14ac:dyDescent="0.2">
      <c r="A44" s="544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77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848</v>
      </c>
      <c r="Y44" s="541">
        <f>IFERROR(SUM(Y40:Y42),"0")</f>
        <v>851.2</v>
      </c>
      <c r="Z44" s="37"/>
      <c r="AA44" s="542"/>
      <c r="AB44" s="542"/>
      <c r="AC44" s="542"/>
    </row>
    <row r="45" spans="1:68" ht="14.25" hidden="1" customHeight="1" x14ac:dyDescent="0.25">
      <c r="A45" s="543" t="s">
        <v>73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0">
        <v>4680115884915</v>
      </c>
      <c r="E46" s="551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6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77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4"/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77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85" t="s">
        <v>116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34"/>
      <c r="AB49" s="534"/>
      <c r="AC49" s="534"/>
    </row>
    <row r="50" spans="1:68" ht="14.25" hidden="1" customHeight="1" x14ac:dyDescent="0.25">
      <c r="A50" s="543" t="s">
        <v>99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0">
        <v>4680115885882</v>
      </c>
      <c r="E51" s="551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39">
        <v>102</v>
      </c>
      <c r="Y51" s="540">
        <f t="shared" ref="Y51:Y56" si="0">IFERROR(IF(X51="",0,CEILING((X51/$H51),1)*$H51),"")</f>
        <v>112</v>
      </c>
      <c r="Z51" s="36">
        <f>IFERROR(IF(Y51=0,"",ROUNDUP(Y51/H51,0)*0.01898),"")</f>
        <v>0.1898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105.73392857142858</v>
      </c>
      <c r="BN51" s="64">
        <f t="shared" ref="BN51:BN56" si="2">IFERROR(Y51*I51/H51,"0")</f>
        <v>116.10000000000001</v>
      </c>
      <c r="BO51" s="64">
        <f t="shared" ref="BO51:BO56" si="3">IFERROR(1/J51*(X51/H51),"0")</f>
        <v>0.14229910714285715</v>
      </c>
      <c r="BP51" s="64">
        <f t="shared" ref="BP51:BP56" si="4">IFERROR(1/J51*(Y51/H51),"0")</f>
        <v>0.15625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0">
        <v>4680115881426</v>
      </c>
      <c r="E52" s="551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39">
        <v>202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209.66851851851851</v>
      </c>
      <c r="BN52" s="64">
        <f t="shared" si="2"/>
        <v>212.99</v>
      </c>
      <c r="BO52" s="64">
        <f t="shared" si="3"/>
        <v>0.29224537037037035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0">
        <v>4680115880283</v>
      </c>
      <c r="E53" s="551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50">
        <v>4680115881525</v>
      </c>
      <c r="E54" s="551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0">
        <v>4680115885899</v>
      </c>
      <c r="E55" s="551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50">
        <v>4680115881419</v>
      </c>
      <c r="E56" s="551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0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6"/>
      <c r="B57" s="544"/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77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27.81084656084656</v>
      </c>
      <c r="Y57" s="541">
        <f>IFERROR(Y51/H51,"0")+IFERROR(Y52/H52,"0")+IFERROR(Y53/H53,"0")+IFERROR(Y54/H54,"0")+IFERROR(Y55/H55,"0")+IFERROR(Y56/H56,"0")</f>
        <v>29</v>
      </c>
      <c r="Z57" s="541">
        <f>IFERROR(IF(Z51="",0,Z51),"0")+IFERROR(IF(Z52="",0,Z52),"0")+IFERROR(IF(Z53="",0,Z53),"0")+IFERROR(IF(Z54="",0,Z54),"0")+IFERROR(IF(Z55="",0,Z55),"0")+IFERROR(IF(Z56="",0,Z56),"0")</f>
        <v>0.55042000000000002</v>
      </c>
      <c r="AA57" s="542"/>
      <c r="AB57" s="542"/>
      <c r="AC57" s="542"/>
    </row>
    <row r="58" spans="1:68" x14ac:dyDescent="0.2">
      <c r="A58" s="544"/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77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304</v>
      </c>
      <c r="Y58" s="541">
        <f>IFERROR(SUM(Y51:Y56),"0")</f>
        <v>317.20000000000005</v>
      </c>
      <c r="Z58" s="37"/>
      <c r="AA58" s="542"/>
      <c r="AB58" s="542"/>
      <c r="AC58" s="542"/>
    </row>
    <row r="59" spans="1:68" ht="14.25" hidden="1" customHeight="1" x14ac:dyDescent="0.25">
      <c r="A59" s="543" t="s">
        <v>135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0">
        <v>4680115881440</v>
      </c>
      <c r="E60" s="551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39">
        <v>228</v>
      </c>
      <c r="Y60" s="540">
        <f>IFERROR(IF(X60="",0,CEILING((X60/$H60),1)*$H60),"")</f>
        <v>237.60000000000002</v>
      </c>
      <c r="Z60" s="36">
        <f>IFERROR(IF(Y60=0,"",ROUNDUP(Y60/H60,0)*0.01898),"")</f>
        <v>0.41755999999999999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236.65555555555554</v>
      </c>
      <c r="BN60" s="64">
        <f>IFERROR(Y60*I60/H60,"0")</f>
        <v>246.62000000000003</v>
      </c>
      <c r="BO60" s="64">
        <f>IFERROR(1/J60*(X60/H60),"0")</f>
        <v>0.3298611111111111</v>
      </c>
      <c r="BP60" s="64">
        <f>IFERROR(1/J60*(Y60/H60),"0")</f>
        <v>0.34375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0">
        <v>4680115885950</v>
      </c>
      <c r="E61" s="551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0">
        <v>4680115881433</v>
      </c>
      <c r="E62" s="551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6"/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77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21.111111111111111</v>
      </c>
      <c r="Y63" s="541">
        <f>IFERROR(Y60/H60,"0")+IFERROR(Y61/H61,"0")+IFERROR(Y62/H62,"0")</f>
        <v>22</v>
      </c>
      <c r="Z63" s="541">
        <f>IFERROR(IF(Z60="",0,Z60),"0")+IFERROR(IF(Z61="",0,Z61),"0")+IFERROR(IF(Z62="",0,Z62),"0")</f>
        <v>0.41755999999999999</v>
      </c>
      <c r="AA63" s="542"/>
      <c r="AB63" s="542"/>
      <c r="AC63" s="542"/>
    </row>
    <row r="64" spans="1:68" x14ac:dyDescent="0.2">
      <c r="A64" s="544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77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228</v>
      </c>
      <c r="Y64" s="541">
        <f>IFERROR(SUM(Y60:Y62),"0")</f>
        <v>237.60000000000002</v>
      </c>
      <c r="Z64" s="37"/>
      <c r="AA64" s="542"/>
      <c r="AB64" s="542"/>
      <c r="AC64" s="542"/>
    </row>
    <row r="65" spans="1:68" ht="14.25" hidden="1" customHeight="1" x14ac:dyDescent="0.25">
      <c r="A65" s="543" t="s">
        <v>64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0">
        <v>4680115885073</v>
      </c>
      <c r="E66" s="551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50">
        <v>4680115885059</v>
      </c>
      <c r="E67" s="551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0">
        <v>4680115885097</v>
      </c>
      <c r="E68" s="551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6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6"/>
      <c r="B69" s="544"/>
      <c r="C69" s="544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77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4"/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77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43" t="s">
        <v>73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0">
        <v>4680115885769</v>
      </c>
      <c r="E72" s="551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0">
        <v>4680115884311</v>
      </c>
      <c r="E73" s="551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0">
        <v>4680115885929</v>
      </c>
      <c r="E74" s="551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0">
        <v>4680115884403</v>
      </c>
      <c r="E75" s="551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6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77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4"/>
      <c r="B77" s="544"/>
      <c r="C77" s="544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77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43" t="s">
        <v>163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50">
        <v>4680115881532</v>
      </c>
      <c r="E79" s="551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50">
        <v>4680115881464</v>
      </c>
      <c r="E80" s="551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39">
        <v>6</v>
      </c>
      <c r="Y80" s="540">
        <f>IFERROR(IF(X80="",0,CEILING((X80/$H80),1)*$H80),"")</f>
        <v>7.1999999999999993</v>
      </c>
      <c r="Z80" s="36">
        <f>IFERROR(IF(Y80=0,"",ROUNDUP(Y80/H80,0)*0.00902),"")</f>
        <v>2.7060000000000001E-2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6.4749999999999996</v>
      </c>
      <c r="BN80" s="64">
        <f>IFERROR(Y80*I80/H80,"0")</f>
        <v>7.7699999999999987</v>
      </c>
      <c r="BO80" s="64">
        <f>IFERROR(1/J80*(X80/H80),"0")</f>
        <v>1.893939393939394E-2</v>
      </c>
      <c r="BP80" s="64">
        <f>IFERROR(1/J80*(Y80/H80),"0")</f>
        <v>2.2727272727272728E-2</v>
      </c>
    </row>
    <row r="81" spans="1:68" x14ac:dyDescent="0.2">
      <c r="A81" s="576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77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2.5</v>
      </c>
      <c r="Y81" s="541">
        <f>IFERROR(Y79/H79,"0")+IFERROR(Y80/H80,"0")</f>
        <v>3</v>
      </c>
      <c r="Z81" s="541">
        <f>IFERROR(IF(Z79="",0,Z79),"0")+IFERROR(IF(Z80="",0,Z80),"0")</f>
        <v>2.7060000000000001E-2</v>
      </c>
      <c r="AA81" s="542"/>
      <c r="AB81" s="542"/>
      <c r="AC81" s="542"/>
    </row>
    <row r="82" spans="1:68" x14ac:dyDescent="0.2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77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6</v>
      </c>
      <c r="Y82" s="541">
        <f>IFERROR(SUM(Y79:Y80),"0")</f>
        <v>7.1999999999999993</v>
      </c>
      <c r="Z82" s="37"/>
      <c r="AA82" s="542"/>
      <c r="AB82" s="542"/>
      <c r="AC82" s="542"/>
    </row>
    <row r="83" spans="1:68" ht="16.5" hidden="1" customHeight="1" x14ac:dyDescent="0.25">
      <c r="A83" s="585" t="s">
        <v>170</v>
      </c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34"/>
      <c r="AB83" s="534"/>
      <c r="AC83" s="534"/>
    </row>
    <row r="84" spans="1:68" ht="14.25" hidden="1" customHeight="1" x14ac:dyDescent="0.25">
      <c r="A84" s="543" t="s">
        <v>99</v>
      </c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0">
        <v>4680115881327</v>
      </c>
      <c r="E85" s="551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39">
        <v>260</v>
      </c>
      <c r="Y85" s="540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269.87037037037038</v>
      </c>
      <c r="BN85" s="64">
        <f>IFERROR(Y85*I85/H85,"0")</f>
        <v>280.25</v>
      </c>
      <c r="BO85" s="64">
        <f>IFERROR(1/J85*(X85/H85),"0")</f>
        <v>0.37615740740740738</v>
      </c>
      <c r="BP85" s="64">
        <f>IFERROR(1/J85*(Y85/H85),"0")</f>
        <v>0.390625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0">
        <v>4680115881518</v>
      </c>
      <c r="E86" s="551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0">
        <v>4680115881303</v>
      </c>
      <c r="E87" s="551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39">
        <v>120</v>
      </c>
      <c r="Y87" s="540">
        <f>IFERROR(IF(X87="",0,CEILING((X87/$H87),1)*$H87),"")</f>
        <v>121.5</v>
      </c>
      <c r="Z87" s="36">
        <f>IFERROR(IF(Y87=0,"",ROUNDUP(Y87/H87,0)*0.00902),"")</f>
        <v>0.24354000000000001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125.06666666666668</v>
      </c>
      <c r="BN87" s="64">
        <f>IFERROR(Y87*I87/H87,"0")</f>
        <v>126.63000000000001</v>
      </c>
      <c r="BO87" s="64">
        <f>IFERROR(1/J87*(X87/H87),"0")</f>
        <v>0.20202020202020204</v>
      </c>
      <c r="BP87" s="64">
        <f>IFERROR(1/J87*(Y87/H87),"0")</f>
        <v>0.20454545454545456</v>
      </c>
    </row>
    <row r="88" spans="1:68" x14ac:dyDescent="0.2">
      <c r="A88" s="576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77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50.74074074074074</v>
      </c>
      <c r="Y88" s="541">
        <f>IFERROR(Y85/H85,"0")+IFERROR(Y86/H86,"0")+IFERROR(Y87/H87,"0")</f>
        <v>52</v>
      </c>
      <c r="Z88" s="541">
        <f>IFERROR(IF(Z85="",0,Z85),"0")+IFERROR(IF(Z86="",0,Z86),"0")+IFERROR(IF(Z87="",0,Z87),"0")</f>
        <v>0.71804000000000001</v>
      </c>
      <c r="AA88" s="542"/>
      <c r="AB88" s="542"/>
      <c r="AC88" s="542"/>
    </row>
    <row r="89" spans="1:68" x14ac:dyDescent="0.2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77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380</v>
      </c>
      <c r="Y89" s="541">
        <f>IFERROR(SUM(Y85:Y87),"0")</f>
        <v>391.5</v>
      </c>
      <c r="Z89" s="37"/>
      <c r="AA89" s="542"/>
      <c r="AB89" s="542"/>
      <c r="AC89" s="542"/>
    </row>
    <row r="90" spans="1:68" ht="14.25" hidden="1" customHeight="1" x14ac:dyDescent="0.25">
      <c r="A90" s="543" t="s">
        <v>73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0">
        <v>4607091386967</v>
      </c>
      <c r="E91" s="551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39">
        <v>199</v>
      </c>
      <c r="Y91" s="540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211.13654320987655</v>
      </c>
      <c r="BN91" s="64">
        <f>IFERROR(Y91*I91/H91,"0")</f>
        <v>214.85</v>
      </c>
      <c r="BO91" s="64">
        <f>IFERROR(1/J91*(X91/H91),"0")</f>
        <v>0.38387345679012347</v>
      </c>
      <c r="BP91" s="64">
        <f>IFERROR(1/J91*(Y91/H91),"0")</f>
        <v>0.390625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0">
        <v>4680115884953</v>
      </c>
      <c r="E92" s="551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0">
        <v>4607091385731</v>
      </c>
      <c r="E93" s="551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39">
        <v>97</v>
      </c>
      <c r="Y93" s="540">
        <f>IFERROR(IF(X93="",0,CEILING((X93/$H93),1)*$H93),"")</f>
        <v>97.2</v>
      </c>
      <c r="Z93" s="36">
        <f>IFERROR(IF(Y93=0,"",ROUNDUP(Y93/H93,0)*0.00651),"")</f>
        <v>0.23436000000000001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106.05333333333333</v>
      </c>
      <c r="BN93" s="64">
        <f>IFERROR(Y93*I93/H93,"0")</f>
        <v>106.27199999999999</v>
      </c>
      <c r="BO93" s="64">
        <f>IFERROR(1/J93*(X93/H93),"0")</f>
        <v>0.1973951973951974</v>
      </c>
      <c r="BP93" s="64">
        <f>IFERROR(1/J93*(Y93/H93),"0")</f>
        <v>0.19780219780219782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0">
        <v>4680115880894</v>
      </c>
      <c r="E94" s="551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8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6"/>
      <c r="B95" s="544"/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77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60.493827160493822</v>
      </c>
      <c r="Y95" s="541">
        <f>IFERROR(Y91/H91,"0")+IFERROR(Y92/H92,"0")+IFERROR(Y93/H93,"0")+IFERROR(Y94/H94,"0")</f>
        <v>61</v>
      </c>
      <c r="Z95" s="541">
        <f>IFERROR(IF(Z91="",0,Z91),"0")+IFERROR(IF(Z92="",0,Z92),"0")+IFERROR(IF(Z93="",0,Z93),"0")+IFERROR(IF(Z94="",0,Z94),"0")</f>
        <v>0.70886000000000005</v>
      </c>
      <c r="AA95" s="542"/>
      <c r="AB95" s="542"/>
      <c r="AC95" s="542"/>
    </row>
    <row r="96" spans="1:68" x14ac:dyDescent="0.2">
      <c r="A96" s="544"/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77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296</v>
      </c>
      <c r="Y96" s="541">
        <f>IFERROR(SUM(Y91:Y94),"0")</f>
        <v>299.7</v>
      </c>
      <c r="Z96" s="37"/>
      <c r="AA96" s="542"/>
      <c r="AB96" s="542"/>
      <c r="AC96" s="542"/>
    </row>
    <row r="97" spans="1:68" ht="16.5" hidden="1" customHeight="1" x14ac:dyDescent="0.25">
      <c r="A97" s="585" t="s">
        <v>189</v>
      </c>
      <c r="B97" s="544"/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34"/>
      <c r="AB97" s="534"/>
      <c r="AC97" s="534"/>
    </row>
    <row r="98" spans="1:68" ht="14.25" hidden="1" customHeight="1" x14ac:dyDescent="0.25">
      <c r="A98" s="543" t="s">
        <v>99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0">
        <v>4680115882133</v>
      </c>
      <c r="E99" s="551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39">
        <v>443</v>
      </c>
      <c r="Y99" s="540">
        <f>IFERROR(IF(X99="",0,CEILING((X99/$H99),1)*$H99),"")</f>
        <v>453.6</v>
      </c>
      <c r="Z99" s="36">
        <f>IFERROR(IF(Y99=0,"",ROUNDUP(Y99/H99,0)*0.01898),"")</f>
        <v>0.79715999999999998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459.81759259259263</v>
      </c>
      <c r="BN99" s="64">
        <f>IFERROR(Y99*I99/H99,"0")</f>
        <v>470.82000000000005</v>
      </c>
      <c r="BO99" s="64">
        <f>IFERROR(1/J99*(X99/H99),"0")</f>
        <v>0.64091435185185186</v>
      </c>
      <c r="BP99" s="64">
        <f>IFERROR(1/J99*(Y99/H99),"0")</f>
        <v>0.65625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50">
        <v>4680115880269</v>
      </c>
      <c r="E100" s="551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50">
        <v>4680115880429</v>
      </c>
      <c r="E101" s="551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1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39">
        <v>85</v>
      </c>
      <c r="Y101" s="540">
        <f>IFERROR(IF(X101="",0,CEILING((X101/$H101),1)*$H101),"")</f>
        <v>85.5</v>
      </c>
      <c r="Z101" s="36">
        <f>IFERROR(IF(Y101=0,"",ROUNDUP(Y101/H101,0)*0.00902),"")</f>
        <v>0.17138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88.588888888888903</v>
      </c>
      <c r="BN101" s="64">
        <f>IFERROR(Y101*I101/H101,"0")</f>
        <v>89.110000000000014</v>
      </c>
      <c r="BO101" s="64">
        <f>IFERROR(1/J101*(X101/H101),"0")</f>
        <v>0.14309764309764311</v>
      </c>
      <c r="BP101" s="64">
        <f>IFERROR(1/J101*(Y101/H101),"0")</f>
        <v>0.14393939393939395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50">
        <v>4680115881457</v>
      </c>
      <c r="E102" s="551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6"/>
      <c r="B103" s="544"/>
      <c r="C103" s="544"/>
      <c r="D103" s="544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77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59.907407407407405</v>
      </c>
      <c r="Y103" s="541">
        <f>IFERROR(Y99/H99,"0")+IFERROR(Y100/H100,"0")+IFERROR(Y101/H101,"0")+IFERROR(Y102/H102,"0")</f>
        <v>61</v>
      </c>
      <c r="Z103" s="541">
        <f>IFERROR(IF(Z99="",0,Z99),"0")+IFERROR(IF(Z100="",0,Z100),"0")+IFERROR(IF(Z101="",0,Z101),"0")+IFERROR(IF(Z102="",0,Z102),"0")</f>
        <v>0.96853999999999996</v>
      </c>
      <c r="AA103" s="542"/>
      <c r="AB103" s="542"/>
      <c r="AC103" s="542"/>
    </row>
    <row r="104" spans="1:68" x14ac:dyDescent="0.2">
      <c r="A104" s="544"/>
      <c r="B104" s="544"/>
      <c r="C104" s="544"/>
      <c r="D104" s="544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77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528</v>
      </c>
      <c r="Y104" s="541">
        <f>IFERROR(SUM(Y99:Y102),"0")</f>
        <v>539.1</v>
      </c>
      <c r="Z104" s="37"/>
      <c r="AA104" s="542"/>
      <c r="AB104" s="542"/>
      <c r="AC104" s="542"/>
    </row>
    <row r="105" spans="1:68" ht="14.25" hidden="1" customHeight="1" x14ac:dyDescent="0.25">
      <c r="A105" s="543" t="s">
        <v>135</v>
      </c>
      <c r="B105" s="544"/>
      <c r="C105" s="544"/>
      <c r="D105" s="544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50">
        <v>4680115881488</v>
      </c>
      <c r="E106" s="551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39">
        <v>16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16.607407407407408</v>
      </c>
      <c r="BN106" s="64">
        <f>IFERROR(Y106*I106/H106,"0")</f>
        <v>22.42</v>
      </c>
      <c r="BO106" s="64">
        <f>IFERROR(1/J106*(X106/H106),"0")</f>
        <v>2.3148148148148147E-2</v>
      </c>
      <c r="BP106" s="64">
        <f>IFERROR(1/J106*(Y106/H106),"0")</f>
        <v>3.125E-2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50">
        <v>4680115882775</v>
      </c>
      <c r="E107" s="551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50">
        <v>4680115880658</v>
      </c>
      <c r="E108" s="551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39">
        <v>132</v>
      </c>
      <c r="Y108" s="540">
        <f>IFERROR(IF(X108="",0,CEILING((X108/$H108),1)*$H108),"")</f>
        <v>132</v>
      </c>
      <c r="Z108" s="36">
        <f>IFERROR(IF(Y108=0,"",ROUNDUP(Y108/H108,0)*0.00651),"")</f>
        <v>0.35805000000000003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141.9</v>
      </c>
      <c r="BN108" s="64">
        <f>IFERROR(Y108*I108/H108,"0")</f>
        <v>141.9</v>
      </c>
      <c r="BO108" s="64">
        <f>IFERROR(1/J108*(X108/H108),"0")</f>
        <v>0.30219780219780223</v>
      </c>
      <c r="BP108" s="64">
        <f>IFERROR(1/J108*(Y108/H108),"0")</f>
        <v>0.30219780219780223</v>
      </c>
    </row>
    <row r="109" spans="1:68" x14ac:dyDescent="0.2">
      <c r="A109" s="576"/>
      <c r="B109" s="544"/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77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56.481481481481481</v>
      </c>
      <c r="Y109" s="541">
        <f>IFERROR(Y106/H106,"0")+IFERROR(Y107/H107,"0")+IFERROR(Y108/H108,"0")</f>
        <v>57</v>
      </c>
      <c r="Z109" s="541">
        <f>IFERROR(IF(Z106="",0,Z106),"0")+IFERROR(IF(Z107="",0,Z107),"0")+IFERROR(IF(Z108="",0,Z108),"0")</f>
        <v>0.39601000000000003</v>
      </c>
      <c r="AA109" s="542"/>
      <c r="AB109" s="542"/>
      <c r="AC109" s="542"/>
    </row>
    <row r="110" spans="1:68" x14ac:dyDescent="0.2">
      <c r="A110" s="544"/>
      <c r="B110" s="544"/>
      <c r="C110" s="544"/>
      <c r="D110" s="544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77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148</v>
      </c>
      <c r="Y110" s="541">
        <f>IFERROR(SUM(Y106:Y108),"0")</f>
        <v>153.6</v>
      </c>
      <c r="Z110" s="37"/>
      <c r="AA110" s="542"/>
      <c r="AB110" s="542"/>
      <c r="AC110" s="542"/>
    </row>
    <row r="111" spans="1:68" ht="14.25" hidden="1" customHeight="1" x14ac:dyDescent="0.25">
      <c r="A111" s="543" t="s">
        <v>73</v>
      </c>
      <c r="B111" s="544"/>
      <c r="C111" s="544"/>
      <c r="D111" s="544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39">
        <v>250</v>
      </c>
      <c r="Y112" s="540">
        <f>IFERROR(IF(X112="",0,CEILING((X112/$H112),1)*$H112),"")</f>
        <v>251.1</v>
      </c>
      <c r="Z112" s="36">
        <f>IFERROR(IF(Y112=0,"",ROUNDUP(Y112/H112,0)*0.01898),"")</f>
        <v>0.58838000000000001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265.06172839506172</v>
      </c>
      <c r="BN112" s="64">
        <f>IFERROR(Y112*I112/H112,"0")</f>
        <v>266.22799999999995</v>
      </c>
      <c r="BO112" s="64">
        <f>IFERROR(1/J112*(X112/H112),"0")</f>
        <v>0.48225308641975312</v>
      </c>
      <c r="BP112" s="64">
        <f>IFERROR(1/J112*(Y112/H112),"0")</f>
        <v>0.484375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6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39">
        <v>172</v>
      </c>
      <c r="Y114" s="540">
        <f>IFERROR(IF(X114="",0,CEILING((X114/$H114),1)*$H114),"")</f>
        <v>172.8</v>
      </c>
      <c r="Z114" s="36">
        <f>IFERROR(IF(Y114=0,"",ROUNDUP(Y114/H114,0)*0.00651),"")</f>
        <v>0.41664000000000001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188.05333333333331</v>
      </c>
      <c r="BN114" s="64">
        <f>IFERROR(Y114*I114/H114,"0")</f>
        <v>188.928</v>
      </c>
      <c r="BO114" s="64">
        <f>IFERROR(1/J114*(X114/H114),"0")</f>
        <v>0.35002035002035004</v>
      </c>
      <c r="BP114" s="64">
        <f>IFERROR(1/J114*(Y114/H114),"0")</f>
        <v>0.35164835164835168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6"/>
      <c r="B116" s="544"/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77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94.567901234567898</v>
      </c>
      <c r="Y116" s="541">
        <f>IFERROR(Y112/H112,"0")+IFERROR(Y113/H113,"0")+IFERROR(Y114/H114,"0")+IFERROR(Y115/H115,"0")</f>
        <v>95</v>
      </c>
      <c r="Z116" s="541">
        <f>IFERROR(IF(Z112="",0,Z112),"0")+IFERROR(IF(Z113="",0,Z113),"0")+IFERROR(IF(Z114="",0,Z114),"0")+IFERROR(IF(Z115="",0,Z115),"0")</f>
        <v>1.00502</v>
      </c>
      <c r="AA116" s="542"/>
      <c r="AB116" s="542"/>
      <c r="AC116" s="542"/>
    </row>
    <row r="117" spans="1:68" x14ac:dyDescent="0.2">
      <c r="A117" s="544"/>
      <c r="B117" s="544"/>
      <c r="C117" s="544"/>
      <c r="D117" s="544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77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422</v>
      </c>
      <c r="Y117" s="541">
        <f>IFERROR(SUM(Y112:Y115),"0")</f>
        <v>423.9</v>
      </c>
      <c r="Z117" s="37"/>
      <c r="AA117" s="542"/>
      <c r="AB117" s="542"/>
      <c r="AC117" s="542"/>
    </row>
    <row r="118" spans="1:68" ht="14.25" hidden="1" customHeight="1" x14ac:dyDescent="0.25">
      <c r="A118" s="543" t="s">
        <v>163</v>
      </c>
      <c r="B118" s="544"/>
      <c r="C118" s="544"/>
      <c r="D118" s="544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6"/>
      <c r="B120" s="544"/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77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4"/>
      <c r="B121" s="544"/>
      <c r="C121" s="544"/>
      <c r="D121" s="544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77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85" t="s">
        <v>220</v>
      </c>
      <c r="B122" s="544"/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34"/>
      <c r="AB122" s="534"/>
      <c r="AC122" s="534"/>
    </row>
    <row r="123" spans="1:68" ht="14.25" hidden="1" customHeight="1" x14ac:dyDescent="0.25">
      <c r="A123" s="543" t="s">
        <v>99</v>
      </c>
      <c r="B123" s="544"/>
      <c r="C123" s="544"/>
      <c r="D123" s="544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5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6"/>
      <c r="B126" s="544"/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77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4"/>
      <c r="B127" s="544"/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77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43" t="s">
        <v>64</v>
      </c>
      <c r="B128" s="544"/>
      <c r="C128" s="544"/>
      <c r="D128" s="544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6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6"/>
      <c r="B131" s="54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77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4"/>
      <c r="B132" s="544"/>
      <c r="C132" s="544"/>
      <c r="D132" s="544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77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43" t="s">
        <v>73</v>
      </c>
      <c r="B133" s="544"/>
      <c r="C133" s="544"/>
      <c r="D133" s="544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6"/>
      <c r="B136" s="544"/>
      <c r="C136" s="544"/>
      <c r="D136" s="544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77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4"/>
      <c r="B137" s="544"/>
      <c r="C137" s="544"/>
      <c r="D137" s="544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77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85" t="s">
        <v>97</v>
      </c>
      <c r="B138" s="544"/>
      <c r="C138" s="544"/>
      <c r="D138" s="544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34"/>
      <c r="AB138" s="534"/>
      <c r="AC138" s="534"/>
    </row>
    <row r="139" spans="1:68" ht="14.25" hidden="1" customHeight="1" x14ac:dyDescent="0.25">
      <c r="A139" s="543" t="s">
        <v>99</v>
      </c>
      <c r="B139" s="544"/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7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6"/>
      <c r="B143" s="544"/>
      <c r="C143" s="544"/>
      <c r="D143" s="544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77"/>
      <c r="P143" s="545" t="s">
        <v>71</v>
      </c>
      <c r="Q143" s="546"/>
      <c r="R143" s="546"/>
      <c r="S143" s="546"/>
      <c r="T143" s="546"/>
      <c r="U143" s="546"/>
      <c r="V143" s="547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4"/>
      <c r="B144" s="544"/>
      <c r="C144" s="544"/>
      <c r="D144" s="544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77"/>
      <c r="P144" s="545" t="s">
        <v>71</v>
      </c>
      <c r="Q144" s="546"/>
      <c r="R144" s="546"/>
      <c r="S144" s="546"/>
      <c r="T144" s="546"/>
      <c r="U144" s="546"/>
      <c r="V144" s="547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43" t="s">
        <v>64</v>
      </c>
      <c r="B145" s="544"/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4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6"/>
      <c r="B149" s="544"/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77"/>
      <c r="P149" s="545" t="s">
        <v>71</v>
      </c>
      <c r="Q149" s="546"/>
      <c r="R149" s="546"/>
      <c r="S149" s="546"/>
      <c r="T149" s="546"/>
      <c r="U149" s="546"/>
      <c r="V149" s="547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4"/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77"/>
      <c r="P150" s="545" t="s">
        <v>71</v>
      </c>
      <c r="Q150" s="546"/>
      <c r="R150" s="546"/>
      <c r="S150" s="546"/>
      <c r="T150" s="546"/>
      <c r="U150" s="546"/>
      <c r="V150" s="547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43" t="s">
        <v>73</v>
      </c>
      <c r="B151" s="544"/>
      <c r="C151" s="544"/>
      <c r="D151" s="544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5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6"/>
      <c r="B153" s="544"/>
      <c r="C153" s="544"/>
      <c r="D153" s="544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77"/>
      <c r="P153" s="545" t="s">
        <v>71</v>
      </c>
      <c r="Q153" s="546"/>
      <c r="R153" s="546"/>
      <c r="S153" s="546"/>
      <c r="T153" s="546"/>
      <c r="U153" s="546"/>
      <c r="V153" s="547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4"/>
      <c r="B154" s="544"/>
      <c r="C154" s="544"/>
      <c r="D154" s="544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77"/>
      <c r="P154" s="545" t="s">
        <v>71</v>
      </c>
      <c r="Q154" s="546"/>
      <c r="R154" s="546"/>
      <c r="S154" s="546"/>
      <c r="T154" s="546"/>
      <c r="U154" s="546"/>
      <c r="V154" s="547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558" t="s">
        <v>255</v>
      </c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48"/>
      <c r="AB155" s="48"/>
      <c r="AC155" s="48"/>
    </row>
    <row r="156" spans="1:68" ht="16.5" hidden="1" customHeight="1" x14ac:dyDescent="0.25">
      <c r="A156" s="585" t="s">
        <v>256</v>
      </c>
      <c r="B156" s="544"/>
      <c r="C156" s="544"/>
      <c r="D156" s="544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34"/>
      <c r="AB156" s="534"/>
      <c r="AC156" s="534"/>
    </row>
    <row r="157" spans="1:68" ht="14.25" hidden="1" customHeight="1" x14ac:dyDescent="0.25">
      <c r="A157" s="543" t="s">
        <v>135</v>
      </c>
      <c r="B157" s="544"/>
      <c r="C157" s="544"/>
      <c r="D157" s="544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6"/>
      <c r="B159" s="544"/>
      <c r="C159" s="544"/>
      <c r="D159" s="544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77"/>
      <c r="P159" s="545" t="s">
        <v>71</v>
      </c>
      <c r="Q159" s="546"/>
      <c r="R159" s="546"/>
      <c r="S159" s="546"/>
      <c r="T159" s="546"/>
      <c r="U159" s="546"/>
      <c r="V159" s="547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4"/>
      <c r="B160" s="544"/>
      <c r="C160" s="544"/>
      <c r="D160" s="544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77"/>
      <c r="P160" s="545" t="s">
        <v>71</v>
      </c>
      <c r="Q160" s="546"/>
      <c r="R160" s="546"/>
      <c r="S160" s="546"/>
      <c r="T160" s="546"/>
      <c r="U160" s="546"/>
      <c r="V160" s="547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43" t="s">
        <v>64</v>
      </c>
      <c r="B161" s="544"/>
      <c r="C161" s="544"/>
      <c r="D161" s="544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50">
        <v>4680115880993</v>
      </c>
      <c r="E162" s="551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112</v>
      </c>
      <c r="M162" s="33" t="s">
        <v>68</v>
      </c>
      <c r="N162" s="33"/>
      <c r="O162" s="32">
        <v>40</v>
      </c>
      <c r="P162" s="6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39">
        <v>48</v>
      </c>
      <c r="Y162" s="540">
        <f t="shared" ref="Y162:Y170" si="5">IFERROR(IF(X162="",0,CEILING((X162/$H162),1)*$H162),"")</f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50.857142857142861</v>
      </c>
      <c r="BN162" s="64">
        <f t="shared" ref="BN162:BN170" si="7">IFERROR(Y162*I162/H162,"0")</f>
        <v>53.400000000000006</v>
      </c>
      <c r="BO162" s="64">
        <f t="shared" ref="BO162:BO170" si="8">IFERROR(1/J162*(X162/H162),"0")</f>
        <v>8.658008658008659E-2</v>
      </c>
      <c r="BP162" s="64">
        <f t="shared" ref="BP162:BP170" si="9">IFERROR(1/J162*(Y162/H162),"0")</f>
        <v>9.0909090909090912E-2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50">
        <v>4680115881761</v>
      </c>
      <c r="E163" s="551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50">
        <v>4680115881563</v>
      </c>
      <c r="E164" s="551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112</v>
      </c>
      <c r="M164" s="33" t="s">
        <v>68</v>
      </c>
      <c r="N164" s="33"/>
      <c r="O164" s="32">
        <v>40</v>
      </c>
      <c r="P164" s="6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50">
        <v>4680115880986</v>
      </c>
      <c r="E165" s="551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39">
        <v>46</v>
      </c>
      <c r="Y165" s="540">
        <f t="shared" si="5"/>
        <v>46.2</v>
      </c>
      <c r="Z165" s="36">
        <f>IFERROR(IF(Y165=0,"",ROUNDUP(Y165/H165,0)*0.00502),"")</f>
        <v>0.11044000000000001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48.847619047619048</v>
      </c>
      <c r="BN165" s="64">
        <f t="shared" si="7"/>
        <v>49.06</v>
      </c>
      <c r="BO165" s="64">
        <f t="shared" si="8"/>
        <v>9.361009361009362E-2</v>
      </c>
      <c r="BP165" s="64">
        <f t="shared" si="9"/>
        <v>9.401709401709403E-2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0">
        <v>4680115881785</v>
      </c>
      <c r="E166" s="551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1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50">
        <v>4680115886537</v>
      </c>
      <c r="E167" s="551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39">
        <v>24</v>
      </c>
      <c r="Y167" s="540">
        <f t="shared" si="5"/>
        <v>25.2</v>
      </c>
      <c r="Z167" s="36">
        <f>IFERROR(IF(Y167=0,"",ROUNDUP(Y167/H167,0)*0.00502),"")</f>
        <v>7.0280000000000009E-2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25.733333333333334</v>
      </c>
      <c r="BN167" s="64">
        <f t="shared" si="7"/>
        <v>27.019999999999996</v>
      </c>
      <c r="BO167" s="64">
        <f t="shared" si="8"/>
        <v>5.6980056980056981E-2</v>
      </c>
      <c r="BP167" s="64">
        <f t="shared" si="9"/>
        <v>5.9829059829059839E-2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50">
        <v>4680115881679</v>
      </c>
      <c r="E168" s="551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39">
        <v>226</v>
      </c>
      <c r="Y168" s="540">
        <f t="shared" si="5"/>
        <v>226.8</v>
      </c>
      <c r="Z168" s="36">
        <f>IFERROR(IF(Y168=0,"",ROUNDUP(Y168/H168,0)*0.00502),"")</f>
        <v>0.54215999999999998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236.76190476190479</v>
      </c>
      <c r="BN168" s="64">
        <f t="shared" si="7"/>
        <v>237.60000000000002</v>
      </c>
      <c r="BO168" s="64">
        <f t="shared" si="8"/>
        <v>0.45991045991045998</v>
      </c>
      <c r="BP168" s="64">
        <f t="shared" si="9"/>
        <v>0.46153846153846156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0">
        <v>4680115880191</v>
      </c>
      <c r="E169" s="551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0">
        <v>4680115883963</v>
      </c>
      <c r="E170" s="551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6"/>
      <c r="B171" s="544"/>
      <c r="C171" s="544"/>
      <c r="D171" s="544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77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154.28571428571428</v>
      </c>
      <c r="Y171" s="541">
        <f>IFERROR(Y162/H162,"0")+IFERROR(Y163/H163,"0")+IFERROR(Y164/H164,"0")+IFERROR(Y165/H165,"0")+IFERROR(Y166/H166,"0")+IFERROR(Y167/H167,"0")+IFERROR(Y168/H168,"0")+IFERROR(Y169/H169,"0")+IFERROR(Y170/H170,"0")</f>
        <v>156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0.83111999999999997</v>
      </c>
      <c r="AA171" s="542"/>
      <c r="AB171" s="542"/>
      <c r="AC171" s="542"/>
    </row>
    <row r="172" spans="1:68" x14ac:dyDescent="0.2">
      <c r="A172" s="544"/>
      <c r="B172" s="544"/>
      <c r="C172" s="544"/>
      <c r="D172" s="544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77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IFERROR(SUM(X162:X170),"0")</f>
        <v>344</v>
      </c>
      <c r="Y172" s="541">
        <f>IFERROR(SUM(Y162:Y170),"0")</f>
        <v>348.6</v>
      </c>
      <c r="Z172" s="37"/>
      <c r="AA172" s="542"/>
      <c r="AB172" s="542"/>
      <c r="AC172" s="542"/>
    </row>
    <row r="173" spans="1:68" ht="14.25" hidden="1" customHeight="1" x14ac:dyDescent="0.25">
      <c r="A173" s="543" t="s">
        <v>91</v>
      </c>
      <c r="B173" s="544"/>
      <c r="C173" s="544"/>
      <c r="D173" s="544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0">
        <v>4680115886780</v>
      </c>
      <c r="E174" s="551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50">
        <v>4680115886742</v>
      </c>
      <c r="E175" s="551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39">
        <v>7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2.5720164609053495E-2</v>
      </c>
      <c r="BP175" s="64">
        <f>IFERROR(1/J175*(Y175/H175),"0")</f>
        <v>2.7777777777777776E-2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0">
        <v>4680115886766</v>
      </c>
      <c r="E176" s="551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76"/>
      <c r="B177" s="544"/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77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5.5555555555555554</v>
      </c>
      <c r="Y177" s="541">
        <f>IFERROR(Y174/H174,"0")+IFERROR(Y175/H175,"0")+IFERROR(Y176/H176,"0")</f>
        <v>6</v>
      </c>
      <c r="Z177" s="541">
        <f>IFERROR(IF(Z174="",0,Z174),"0")+IFERROR(IF(Z175="",0,Z175),"0")+IFERROR(IF(Z176="",0,Z176),"0")</f>
        <v>3.5400000000000001E-2</v>
      </c>
      <c r="AA177" s="542"/>
      <c r="AB177" s="542"/>
      <c r="AC177" s="542"/>
    </row>
    <row r="178" spans="1:68" x14ac:dyDescent="0.2">
      <c r="A178" s="544"/>
      <c r="B178" s="544"/>
      <c r="C178" s="544"/>
      <c r="D178" s="544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77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7</v>
      </c>
      <c r="Y178" s="541">
        <f>IFERROR(SUM(Y174:Y176),"0")</f>
        <v>7.5600000000000005</v>
      </c>
      <c r="Z178" s="37"/>
      <c r="AA178" s="542"/>
      <c r="AB178" s="542"/>
      <c r="AC178" s="542"/>
    </row>
    <row r="179" spans="1:68" ht="14.25" hidden="1" customHeight="1" x14ac:dyDescent="0.25">
      <c r="A179" s="543" t="s">
        <v>294</v>
      </c>
      <c r="B179" s="544"/>
      <c r="C179" s="544"/>
      <c r="D179" s="544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50">
        <v>4680115886797</v>
      </c>
      <c r="E180" s="551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39">
        <v>4</v>
      </c>
      <c r="Y180" s="540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76"/>
      <c r="B181" s="544"/>
      <c r="C181" s="544"/>
      <c r="D181" s="544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77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3.1746031746031744</v>
      </c>
      <c r="Y181" s="541">
        <f>IFERROR(Y180/H180,"0")</f>
        <v>4</v>
      </c>
      <c r="Z181" s="541">
        <f>IFERROR(IF(Z180="",0,Z180),"0")</f>
        <v>2.3599999999999999E-2</v>
      </c>
      <c r="AA181" s="542"/>
      <c r="AB181" s="542"/>
      <c r="AC181" s="542"/>
    </row>
    <row r="182" spans="1:68" x14ac:dyDescent="0.2">
      <c r="A182" s="544"/>
      <c r="B182" s="544"/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77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4</v>
      </c>
      <c r="Y182" s="541">
        <f>IFERROR(SUM(Y180:Y180),"0")</f>
        <v>5.04</v>
      </c>
      <c r="Z182" s="37"/>
      <c r="AA182" s="542"/>
      <c r="AB182" s="542"/>
      <c r="AC182" s="542"/>
    </row>
    <row r="183" spans="1:68" ht="16.5" hidden="1" customHeight="1" x14ac:dyDescent="0.25">
      <c r="A183" s="585" t="s">
        <v>297</v>
      </c>
      <c r="B183" s="544"/>
      <c r="C183" s="544"/>
      <c r="D183" s="544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34"/>
      <c r="AB183" s="534"/>
      <c r="AC183" s="534"/>
    </row>
    <row r="184" spans="1:68" ht="14.25" hidden="1" customHeight="1" x14ac:dyDescent="0.25">
      <c r="A184" s="543" t="s">
        <v>99</v>
      </c>
      <c r="B184" s="544"/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0">
        <v>4680115881402</v>
      </c>
      <c r="E185" s="551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0">
        <v>4680115881396</v>
      </c>
      <c r="E186" s="551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6"/>
      <c r="B187" s="544"/>
      <c r="C187" s="544"/>
      <c r="D187" s="544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77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4"/>
      <c r="B188" s="544"/>
      <c r="C188" s="544"/>
      <c r="D188" s="544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77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43" t="s">
        <v>135</v>
      </c>
      <c r="B189" s="544"/>
      <c r="C189" s="544"/>
      <c r="D189" s="544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0">
        <v>4680115882935</v>
      </c>
      <c r="E190" s="551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0">
        <v>4680115880764</v>
      </c>
      <c r="E191" s="551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6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6"/>
      <c r="B192" s="544"/>
      <c r="C192" s="544"/>
      <c r="D192" s="544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77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4"/>
      <c r="B193" s="544"/>
      <c r="C193" s="544"/>
      <c r="D193" s="544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77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43" t="s">
        <v>64</v>
      </c>
      <c r="B194" s="544"/>
      <c r="C194" s="544"/>
      <c r="D194" s="544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0">
        <v>4680115882683</v>
      </c>
      <c r="E195" s="551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39">
        <v>307</v>
      </c>
      <c r="Y195" s="540">
        <f t="shared" ref="Y195:Y202" si="10">IFERROR(IF(X195="",0,CEILING((X195/$H195),1)*$H195),"")</f>
        <v>307.8</v>
      </c>
      <c r="Z195" s="36">
        <f>IFERROR(IF(Y195=0,"",ROUNDUP(Y195/H195,0)*0.00902),"")</f>
        <v>0.51414000000000004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317.80185185185184</v>
      </c>
      <c r="BN195" s="64">
        <f t="shared" ref="BN195:BN202" si="12">IFERROR(Y195*I195/H195,"0")</f>
        <v>318.63</v>
      </c>
      <c r="BO195" s="64">
        <f t="shared" ref="BO195:BO202" si="13">IFERROR(1/J195*(X195/H195),"0")</f>
        <v>0.43069584736251398</v>
      </c>
      <c r="BP195" s="64">
        <f t="shared" ref="BP195:BP202" si="14">IFERROR(1/J195*(Y195/H195),"0")</f>
        <v>0.43181818181818182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0">
        <v>4680115882690</v>
      </c>
      <c r="E196" s="551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6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39">
        <v>117</v>
      </c>
      <c r="Y196" s="540">
        <f t="shared" si="10"/>
        <v>118.80000000000001</v>
      </c>
      <c r="Z196" s="36">
        <f>IFERROR(IF(Y196=0,"",ROUNDUP(Y196/H196,0)*0.00902),"")</f>
        <v>0.19844000000000001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121.11666666666666</v>
      </c>
      <c r="BN196" s="64">
        <f t="shared" si="12"/>
        <v>122.98</v>
      </c>
      <c r="BO196" s="64">
        <f t="shared" si="13"/>
        <v>0.16414141414141412</v>
      </c>
      <c r="BP196" s="64">
        <f t="shared" si="14"/>
        <v>0.16666666666666669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0">
        <v>4680115882669</v>
      </c>
      <c r="E197" s="551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7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0">
        <v>4680115882676</v>
      </c>
      <c r="E198" s="551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6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50">
        <v>4680115884014</v>
      </c>
      <c r="E199" s="551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6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39">
        <v>52</v>
      </c>
      <c r="Y199" s="540">
        <f t="shared" si="10"/>
        <v>52.2</v>
      </c>
      <c r="Z199" s="36">
        <f>IFERROR(IF(Y199=0,"",ROUNDUP(Y199/H199,0)*0.00502),"")</f>
        <v>0.14558000000000001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55.755555555555553</v>
      </c>
      <c r="BN199" s="64">
        <f t="shared" si="12"/>
        <v>55.970000000000006</v>
      </c>
      <c r="BO199" s="64">
        <f t="shared" si="13"/>
        <v>0.12345679012345681</v>
      </c>
      <c r="BP199" s="64">
        <f t="shared" si="14"/>
        <v>0.12393162393162395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50">
        <v>4680115884007</v>
      </c>
      <c r="E200" s="551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5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39">
        <v>47</v>
      </c>
      <c r="Y200" s="540">
        <f t="shared" si="10"/>
        <v>48.6</v>
      </c>
      <c r="Z200" s="36">
        <f>IFERROR(IF(Y200=0,"",ROUNDUP(Y200/H200,0)*0.00502),"")</f>
        <v>0.13553999999999999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49.611111111111107</v>
      </c>
      <c r="BN200" s="64">
        <f t="shared" si="12"/>
        <v>51.3</v>
      </c>
      <c r="BO200" s="64">
        <f t="shared" si="13"/>
        <v>0.11158594491927826</v>
      </c>
      <c r="BP200" s="64">
        <f t="shared" si="14"/>
        <v>0.11538461538461539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0">
        <v>4680115884038</v>
      </c>
      <c r="E201" s="551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50">
        <v>4680115884021</v>
      </c>
      <c r="E202" s="551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39">
        <v>48</v>
      </c>
      <c r="Y202" s="540">
        <f t="shared" si="10"/>
        <v>48.6</v>
      </c>
      <c r="Z202" s="36">
        <f>IFERROR(IF(Y202=0,"",ROUNDUP(Y202/H202,0)*0.00502),"")</f>
        <v>0.13553999999999999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50.666666666666657</v>
      </c>
      <c r="BN202" s="64">
        <f t="shared" si="12"/>
        <v>51.3</v>
      </c>
      <c r="BO202" s="64">
        <f t="shared" si="13"/>
        <v>0.11396011396011396</v>
      </c>
      <c r="BP202" s="64">
        <f t="shared" si="14"/>
        <v>0.11538461538461539</v>
      </c>
    </row>
    <row r="203" spans="1:68" x14ac:dyDescent="0.2">
      <c r="A203" s="576"/>
      <c r="B203" s="544"/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77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160.18518518518516</v>
      </c>
      <c r="Y203" s="541">
        <f>IFERROR(Y195/H195,"0")+IFERROR(Y196/H196,"0")+IFERROR(Y197/H197,"0")+IFERROR(Y198/H198,"0")+IFERROR(Y199/H199,"0")+IFERROR(Y200/H200,"0")+IFERROR(Y201/H201,"0")+IFERROR(Y202/H202,"0")</f>
        <v>162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1.12924</v>
      </c>
      <c r="AA203" s="542"/>
      <c r="AB203" s="542"/>
      <c r="AC203" s="542"/>
    </row>
    <row r="204" spans="1:68" x14ac:dyDescent="0.2">
      <c r="A204" s="544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77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571</v>
      </c>
      <c r="Y204" s="541">
        <f>IFERROR(SUM(Y195:Y202),"0")</f>
        <v>576</v>
      </c>
      <c r="Z204" s="37"/>
      <c r="AA204" s="542"/>
      <c r="AB204" s="542"/>
      <c r="AC204" s="542"/>
    </row>
    <row r="205" spans="1:68" ht="14.25" hidden="1" customHeight="1" x14ac:dyDescent="0.25">
      <c r="A205" s="543" t="s">
        <v>73</v>
      </c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0">
        <v>4680115881594</v>
      </c>
      <c r="E206" s="551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0">
        <v>4680115881617</v>
      </c>
      <c r="E207" s="551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0">
        <v>4680115880573</v>
      </c>
      <c r="E208" s="551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39">
        <v>282</v>
      </c>
      <c r="Y208" s="540">
        <f t="shared" si="15"/>
        <v>287.09999999999997</v>
      </c>
      <c r="Z208" s="36">
        <f>IFERROR(IF(Y208=0,"",ROUNDUP(Y208/H208,0)*0.01898),"")</f>
        <v>0.62634000000000001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298.01241379310346</v>
      </c>
      <c r="BN208" s="64">
        <f t="shared" si="17"/>
        <v>303.40200000000004</v>
      </c>
      <c r="BO208" s="64">
        <f t="shared" si="18"/>
        <v>0.50646551724137934</v>
      </c>
      <c r="BP208" s="64">
        <f t="shared" si="19"/>
        <v>0.515625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0">
        <v>4680115882195</v>
      </c>
      <c r="E209" s="551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8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39">
        <v>139</v>
      </c>
      <c r="Y209" s="540">
        <f t="shared" si="15"/>
        <v>139.19999999999999</v>
      </c>
      <c r="Z209" s="36">
        <f t="shared" ref="Z209:Z214" si="20">IFERROR(IF(Y209=0,"",ROUNDUP(Y209/H209,0)*0.00651),"")</f>
        <v>0.37758000000000003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154.63750000000002</v>
      </c>
      <c r="BN209" s="64">
        <f t="shared" si="17"/>
        <v>154.86000000000001</v>
      </c>
      <c r="BO209" s="64">
        <f t="shared" si="18"/>
        <v>0.31822344322344326</v>
      </c>
      <c r="BP209" s="64">
        <f t="shared" si="19"/>
        <v>0.31868131868131871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0">
        <v>4680115882607</v>
      </c>
      <c r="E210" s="551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50">
        <v>4680115880092</v>
      </c>
      <c r="E211" s="551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39">
        <v>843</v>
      </c>
      <c r="Y211" s="540">
        <f t="shared" si="15"/>
        <v>844.8</v>
      </c>
      <c r="Z211" s="36">
        <f t="shared" si="20"/>
        <v>2.2915200000000002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931.51499999999999</v>
      </c>
      <c r="BN211" s="64">
        <f t="shared" si="17"/>
        <v>933.50400000000002</v>
      </c>
      <c r="BO211" s="64">
        <f t="shared" si="18"/>
        <v>1.9299450549450552</v>
      </c>
      <c r="BP211" s="64">
        <f t="shared" si="19"/>
        <v>1.9340659340659343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50">
        <v>4680115880221</v>
      </c>
      <c r="E212" s="551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6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39">
        <v>137</v>
      </c>
      <c r="Y212" s="540">
        <f t="shared" si="15"/>
        <v>139.19999999999999</v>
      </c>
      <c r="Z212" s="36">
        <f t="shared" si="20"/>
        <v>0.37758000000000003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151.38500000000002</v>
      </c>
      <c r="BN212" s="64">
        <f t="shared" si="17"/>
        <v>153.816</v>
      </c>
      <c r="BO212" s="64">
        <f t="shared" si="18"/>
        <v>0.3136446886446887</v>
      </c>
      <c r="BP212" s="64">
        <f t="shared" si="19"/>
        <v>0.31868131868131871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50">
        <v>4680115880504</v>
      </c>
      <c r="E213" s="551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39">
        <v>183</v>
      </c>
      <c r="Y213" s="540">
        <f t="shared" si="15"/>
        <v>184.79999999999998</v>
      </c>
      <c r="Z213" s="36">
        <f t="shared" si="20"/>
        <v>0.50126999999999999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202.21500000000003</v>
      </c>
      <c r="BN213" s="64">
        <f t="shared" si="17"/>
        <v>204.20399999999998</v>
      </c>
      <c r="BO213" s="64">
        <f t="shared" si="18"/>
        <v>0.41895604395604397</v>
      </c>
      <c r="BP213" s="64">
        <f t="shared" si="19"/>
        <v>0.42307692307692313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50">
        <v>4680115882164</v>
      </c>
      <c r="E214" s="551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39">
        <v>130</v>
      </c>
      <c r="Y214" s="540">
        <f t="shared" si="15"/>
        <v>132</v>
      </c>
      <c r="Z214" s="36">
        <f t="shared" si="20"/>
        <v>0.35805000000000003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143.97499999999999</v>
      </c>
      <c r="BN214" s="64">
        <f t="shared" si="17"/>
        <v>146.19</v>
      </c>
      <c r="BO214" s="64">
        <f t="shared" si="18"/>
        <v>0.29761904761904767</v>
      </c>
      <c r="BP214" s="64">
        <f t="shared" si="19"/>
        <v>0.30219780219780223</v>
      </c>
    </row>
    <row r="215" spans="1:68" x14ac:dyDescent="0.2">
      <c r="A215" s="576"/>
      <c r="B215" s="544"/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77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629.08045977011489</v>
      </c>
      <c r="Y215" s="541">
        <f>IFERROR(Y206/H206,"0")+IFERROR(Y207/H207,"0")+IFERROR(Y208/H208,"0")+IFERROR(Y209/H209,"0")+IFERROR(Y210/H210,"0")+IFERROR(Y211/H211,"0")+IFERROR(Y212/H212,"0")+IFERROR(Y213/H213,"0")+IFERROR(Y214/H214,"0")</f>
        <v>633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4.5323400000000005</v>
      </c>
      <c r="AA215" s="542"/>
      <c r="AB215" s="542"/>
      <c r="AC215" s="542"/>
    </row>
    <row r="216" spans="1:68" x14ac:dyDescent="0.2">
      <c r="A216" s="544"/>
      <c r="B216" s="544"/>
      <c r="C216" s="544"/>
      <c r="D216" s="544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77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1714</v>
      </c>
      <c r="Y216" s="541">
        <f>IFERROR(SUM(Y206:Y214),"0")</f>
        <v>1727.1</v>
      </c>
      <c r="Z216" s="37"/>
      <c r="AA216" s="542"/>
      <c r="AB216" s="542"/>
      <c r="AC216" s="542"/>
    </row>
    <row r="217" spans="1:68" ht="14.25" hidden="1" customHeight="1" x14ac:dyDescent="0.25">
      <c r="A217" s="543" t="s">
        <v>163</v>
      </c>
      <c r="B217" s="544"/>
      <c r="C217" s="544"/>
      <c r="D217" s="544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50">
        <v>4680115880818</v>
      </c>
      <c r="E218" s="551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6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39">
        <v>100</v>
      </c>
      <c r="Y218" s="540">
        <f>IFERROR(IF(X218="",0,CEILING((X218/$H218),1)*$H218),"")</f>
        <v>100.8</v>
      </c>
      <c r="Z218" s="36">
        <f>IFERROR(IF(Y218=0,"",ROUNDUP(Y218/H218,0)*0.00651),"")</f>
        <v>0.27342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110.5</v>
      </c>
      <c r="BN218" s="64">
        <f>IFERROR(Y218*I218/H218,"0")</f>
        <v>111.384</v>
      </c>
      <c r="BO218" s="64">
        <f>IFERROR(1/J218*(X218/H218),"0")</f>
        <v>0.22893772893772898</v>
      </c>
      <c r="BP218" s="64">
        <f>IFERROR(1/J218*(Y218/H218),"0")</f>
        <v>0.23076923076923078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50">
        <v>4680115880801</v>
      </c>
      <c r="E219" s="551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75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39">
        <v>36</v>
      </c>
      <c r="Y219" s="540">
        <f>IFERROR(IF(X219="",0,CEILING((X219/$H219),1)*$H219),"")</f>
        <v>36</v>
      </c>
      <c r="Z219" s="36">
        <f>IFERROR(IF(Y219=0,"",ROUNDUP(Y219/H219,0)*0.00651),"")</f>
        <v>9.7650000000000001E-2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39.780000000000008</v>
      </c>
      <c r="BN219" s="64">
        <f>IFERROR(Y219*I219/H219,"0")</f>
        <v>39.780000000000008</v>
      </c>
      <c r="BO219" s="64">
        <f>IFERROR(1/J219*(X219/H219),"0")</f>
        <v>8.241758241758243E-2</v>
      </c>
      <c r="BP219" s="64">
        <f>IFERROR(1/J219*(Y219/H219),"0")</f>
        <v>8.241758241758243E-2</v>
      </c>
    </row>
    <row r="220" spans="1:68" x14ac:dyDescent="0.2">
      <c r="A220" s="576"/>
      <c r="B220" s="544"/>
      <c r="C220" s="544"/>
      <c r="D220" s="544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77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56.666666666666671</v>
      </c>
      <c r="Y220" s="541">
        <f>IFERROR(Y218/H218,"0")+IFERROR(Y219/H219,"0")</f>
        <v>57</v>
      </c>
      <c r="Z220" s="541">
        <f>IFERROR(IF(Z218="",0,Z218),"0")+IFERROR(IF(Z219="",0,Z219),"0")</f>
        <v>0.37107000000000001</v>
      </c>
      <c r="AA220" s="542"/>
      <c r="AB220" s="542"/>
      <c r="AC220" s="542"/>
    </row>
    <row r="221" spans="1:68" x14ac:dyDescent="0.2">
      <c r="A221" s="544"/>
      <c r="B221" s="544"/>
      <c r="C221" s="544"/>
      <c r="D221" s="544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77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136</v>
      </c>
      <c r="Y221" s="541">
        <f>IFERROR(SUM(Y218:Y219),"0")</f>
        <v>136.80000000000001</v>
      </c>
      <c r="Z221" s="37"/>
      <c r="AA221" s="542"/>
      <c r="AB221" s="542"/>
      <c r="AC221" s="542"/>
    </row>
    <row r="222" spans="1:68" ht="16.5" hidden="1" customHeight="1" x14ac:dyDescent="0.25">
      <c r="A222" s="585" t="s">
        <v>357</v>
      </c>
      <c r="B222" s="544"/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34"/>
      <c r="AB222" s="534"/>
      <c r="AC222" s="534"/>
    </row>
    <row r="223" spans="1:68" ht="14.25" hidden="1" customHeight="1" x14ac:dyDescent="0.25">
      <c r="A223" s="543" t="s">
        <v>99</v>
      </c>
      <c r="B223" s="544"/>
      <c r="C223" s="544"/>
      <c r="D223" s="544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50">
        <v>4680115884137</v>
      </c>
      <c r="E224" s="551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39">
        <v>116</v>
      </c>
      <c r="Y224" s="540">
        <f t="shared" ref="Y224:Y233" si="21">IFERROR(IF(X224="",0,CEILING((X224/$H224),1)*$H224),"")</f>
        <v>116</v>
      </c>
      <c r="Z224" s="36">
        <f>IFERROR(IF(Y224=0,"",ROUNDUP(Y224/H224,0)*0.01898),"")</f>
        <v>0.1898</v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120.10000000000001</v>
      </c>
      <c r="BN224" s="64">
        <f t="shared" ref="BN224:BN233" si="23">IFERROR(Y224*I224/H224,"0")</f>
        <v>120.10000000000001</v>
      </c>
      <c r="BO224" s="64">
        <f t="shared" ref="BO224:BO233" si="24">IFERROR(1/J224*(X224/H224),"0")</f>
        <v>0.15625</v>
      </c>
      <c r="BP224" s="64">
        <f t="shared" ref="BP224:BP233" si="25">IFERROR(1/J224*(Y224/H224),"0")</f>
        <v>0.15625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50">
        <v>4680115884236</v>
      </c>
      <c r="E225" s="551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50">
        <v>4680115884175</v>
      </c>
      <c r="E226" s="551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50">
        <v>4680115884144</v>
      </c>
      <c r="E227" s="551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50">
        <v>4680115884144</v>
      </c>
      <c r="E228" s="551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50">
        <v>4680115886551</v>
      </c>
      <c r="E229" s="551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50">
        <v>4680115884182</v>
      </c>
      <c r="E230" s="551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50">
        <v>4680115887282</v>
      </c>
      <c r="E231" s="551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50">
        <v>4680115884205</v>
      </c>
      <c r="E232" s="551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50">
        <v>4680115884205</v>
      </c>
      <c r="E233" s="551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76"/>
      <c r="B234" s="544"/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77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0.1898</v>
      </c>
      <c r="AA234" s="542"/>
      <c r="AB234" s="542"/>
      <c r="AC234" s="542"/>
    </row>
    <row r="235" spans="1:68" x14ac:dyDescent="0.2">
      <c r="A235" s="544"/>
      <c r="B235" s="544"/>
      <c r="C235" s="544"/>
      <c r="D235" s="544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77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116</v>
      </c>
      <c r="Y235" s="541">
        <f>IFERROR(SUM(Y224:Y233),"0")</f>
        <v>116</v>
      </c>
      <c r="Z235" s="37"/>
      <c r="AA235" s="542"/>
      <c r="AB235" s="542"/>
      <c r="AC235" s="542"/>
    </row>
    <row r="236" spans="1:68" ht="14.25" hidden="1" customHeight="1" x14ac:dyDescent="0.25">
      <c r="A236" s="543" t="s">
        <v>135</v>
      </c>
      <c r="B236" s="544"/>
      <c r="C236" s="544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50">
        <v>4680115885981</v>
      </c>
      <c r="E237" s="551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6"/>
      <c r="B238" s="544"/>
      <c r="C238" s="544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77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4"/>
      <c r="B239" s="544"/>
      <c r="C239" s="544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77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43" t="s">
        <v>383</v>
      </c>
      <c r="B240" s="544"/>
      <c r="C240" s="544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50">
        <v>4680115886803</v>
      </c>
      <c r="E241" s="551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39">
        <v>4</v>
      </c>
      <c r="Y241" s="540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4.3888888888888893</v>
      </c>
      <c r="BN241" s="64">
        <f>IFERROR(Y241*I241/H241,"0")</f>
        <v>5.9250000000000007</v>
      </c>
      <c r="BO241" s="64">
        <f>IFERROR(1/J241*(X241/H241),"0")</f>
        <v>1.0288065843621399E-2</v>
      </c>
      <c r="BP241" s="64">
        <f>IFERROR(1/J241*(Y241/H241),"0")</f>
        <v>1.3888888888888888E-2</v>
      </c>
    </row>
    <row r="242" spans="1:68" x14ac:dyDescent="0.2">
      <c r="A242" s="576"/>
      <c r="B242" s="544"/>
      <c r="C242" s="544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77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2.2222222222222223</v>
      </c>
      <c r="Y242" s="541">
        <f>IFERROR(Y241/H241,"0")</f>
        <v>3</v>
      </c>
      <c r="Z242" s="541">
        <f>IFERROR(IF(Z241="",0,Z241),"0")</f>
        <v>1.77E-2</v>
      </c>
      <c r="AA242" s="542"/>
      <c r="AB242" s="542"/>
      <c r="AC242" s="542"/>
    </row>
    <row r="243" spans="1:68" x14ac:dyDescent="0.2">
      <c r="A243" s="544"/>
      <c r="B243" s="544"/>
      <c r="C243" s="544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77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4</v>
      </c>
      <c r="Y243" s="541">
        <f>IFERROR(SUM(Y241:Y241),"0")</f>
        <v>5.4</v>
      </c>
      <c r="Z243" s="37"/>
      <c r="AA243" s="542"/>
      <c r="AB243" s="542"/>
      <c r="AC243" s="542"/>
    </row>
    <row r="244" spans="1:68" ht="14.25" hidden="1" customHeight="1" x14ac:dyDescent="0.25">
      <c r="A244" s="543" t="s">
        <v>387</v>
      </c>
      <c r="B244" s="544"/>
      <c r="C244" s="544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50">
        <v>4680115886704</v>
      </c>
      <c r="E245" s="551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50">
        <v>4680115886681</v>
      </c>
      <c r="E246" s="551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50">
        <v>4680115886735</v>
      </c>
      <c r="E247" s="551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50">
        <v>4680115886728</v>
      </c>
      <c r="E248" s="551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50">
        <v>4680115886711</v>
      </c>
      <c r="E249" s="551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76"/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77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1.1111111111111112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44"/>
      <c r="B251" s="544"/>
      <c r="C251" s="544"/>
      <c r="D251" s="544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77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1</v>
      </c>
      <c r="Y251" s="541">
        <f>IFERROR(SUM(Y245:Y249),"0")</f>
        <v>1.8</v>
      </c>
      <c r="Z251" s="37"/>
      <c r="AA251" s="542"/>
      <c r="AB251" s="542"/>
      <c r="AC251" s="542"/>
    </row>
    <row r="252" spans="1:68" ht="16.5" hidden="1" customHeight="1" x14ac:dyDescent="0.25">
      <c r="A252" s="585" t="s">
        <v>399</v>
      </c>
      <c r="B252" s="544"/>
      <c r="C252" s="544"/>
      <c r="D252" s="544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34"/>
      <c r="AB252" s="534"/>
      <c r="AC252" s="534"/>
    </row>
    <row r="253" spans="1:68" ht="14.25" hidden="1" customHeight="1" x14ac:dyDescent="0.25">
      <c r="A253" s="543" t="s">
        <v>99</v>
      </c>
      <c r="B253" s="544"/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50">
        <v>4680115885837</v>
      </c>
      <c r="E254" s="551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50">
        <v>4680115885851</v>
      </c>
      <c r="E255" s="551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50">
        <v>4680115885806</v>
      </c>
      <c r="E256" s="551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50">
        <v>4680115885844</v>
      </c>
      <c r="E257" s="551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9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50">
        <v>4680115885820</v>
      </c>
      <c r="E258" s="551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6"/>
      <c r="B259" s="544"/>
      <c r="C259" s="544"/>
      <c r="D259" s="544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77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4"/>
      <c r="B260" s="544"/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77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85" t="s">
        <v>415</v>
      </c>
      <c r="B261" s="544"/>
      <c r="C261" s="544"/>
      <c r="D261" s="544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34"/>
      <c r="AB261" s="534"/>
      <c r="AC261" s="534"/>
    </row>
    <row r="262" spans="1:68" ht="14.25" hidden="1" customHeight="1" x14ac:dyDescent="0.25">
      <c r="A262" s="543" t="s">
        <v>99</v>
      </c>
      <c r="B262" s="544"/>
      <c r="C262" s="544"/>
      <c r="D262" s="544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50">
        <v>4607091383423</v>
      </c>
      <c r="E263" s="551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50">
        <v>4680115886957</v>
      </c>
      <c r="E264" s="551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50">
        <v>4680115885660</v>
      </c>
      <c r="E265" s="551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50">
        <v>4680115886773</v>
      </c>
      <c r="E266" s="551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2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6"/>
      <c r="B267" s="544"/>
      <c r="C267" s="544"/>
      <c r="D267" s="544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77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4"/>
      <c r="B268" s="544"/>
      <c r="C268" s="544"/>
      <c r="D268" s="544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77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85" t="s">
        <v>426</v>
      </c>
      <c r="B269" s="544"/>
      <c r="C269" s="544"/>
      <c r="D269" s="544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34"/>
      <c r="AB269" s="534"/>
      <c r="AC269" s="534"/>
    </row>
    <row r="270" spans="1:68" ht="14.25" hidden="1" customHeight="1" x14ac:dyDescent="0.25">
      <c r="A270" s="543" t="s">
        <v>73</v>
      </c>
      <c r="B270" s="544"/>
      <c r="C270" s="544"/>
      <c r="D270" s="544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50">
        <v>4680115886186</v>
      </c>
      <c r="E271" s="551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50">
        <v>4680115881228</v>
      </c>
      <c r="E272" s="551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50">
        <v>4680115881211</v>
      </c>
      <c r="E273" s="551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39">
        <v>24</v>
      </c>
      <c r="Y273" s="540">
        <f>IFERROR(IF(X273="",0,CEILING((X273/$H273),1)*$H273),"")</f>
        <v>24</v>
      </c>
      <c r="Z273" s="36">
        <f>IFERROR(IF(Y273=0,"",ROUNDUP(Y273/H273,0)*0.00651),"")</f>
        <v>6.5100000000000005E-2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25.8</v>
      </c>
      <c r="BN273" s="64">
        <f>IFERROR(Y273*I273/H273,"0")</f>
        <v>25.8</v>
      </c>
      <c r="BO273" s="64">
        <f>IFERROR(1/J273*(X273/H273),"0")</f>
        <v>5.4945054945054951E-2</v>
      </c>
      <c r="BP273" s="64">
        <f>IFERROR(1/J273*(Y273/H273),"0")</f>
        <v>5.4945054945054951E-2</v>
      </c>
    </row>
    <row r="274" spans="1:68" x14ac:dyDescent="0.2">
      <c r="A274" s="576"/>
      <c r="B274" s="544"/>
      <c r="C274" s="544"/>
      <c r="D274" s="544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77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10</v>
      </c>
      <c r="Y274" s="541">
        <f>IFERROR(Y271/H271,"0")+IFERROR(Y272/H272,"0")+IFERROR(Y273/H273,"0")</f>
        <v>10</v>
      </c>
      <c r="Z274" s="541">
        <f>IFERROR(IF(Z271="",0,Z271),"0")+IFERROR(IF(Z272="",0,Z272),"0")+IFERROR(IF(Z273="",0,Z273),"0")</f>
        <v>6.5100000000000005E-2</v>
      </c>
      <c r="AA274" s="542"/>
      <c r="AB274" s="542"/>
      <c r="AC274" s="542"/>
    </row>
    <row r="275" spans="1:68" x14ac:dyDescent="0.2">
      <c r="A275" s="544"/>
      <c r="B275" s="544"/>
      <c r="C275" s="544"/>
      <c r="D275" s="544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77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24</v>
      </c>
      <c r="Y275" s="541">
        <f>IFERROR(SUM(Y271:Y273),"0")</f>
        <v>24</v>
      </c>
      <c r="Z275" s="37"/>
      <c r="AA275" s="542"/>
      <c r="AB275" s="542"/>
      <c r="AC275" s="542"/>
    </row>
    <row r="276" spans="1:68" ht="16.5" hidden="1" customHeight="1" x14ac:dyDescent="0.25">
      <c r="A276" s="585" t="s">
        <v>435</v>
      </c>
      <c r="B276" s="544"/>
      <c r="C276" s="544"/>
      <c r="D276" s="544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34"/>
      <c r="AB276" s="534"/>
      <c r="AC276" s="534"/>
    </row>
    <row r="277" spans="1:68" ht="14.25" hidden="1" customHeight="1" x14ac:dyDescent="0.25">
      <c r="A277" s="543" t="s">
        <v>64</v>
      </c>
      <c r="B277" s="544"/>
      <c r="C277" s="544"/>
      <c r="D277" s="544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50">
        <v>4680115880344</v>
      </c>
      <c r="E278" s="551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50">
        <v>4680115886919</v>
      </c>
      <c r="E279" s="551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6"/>
      <c r="B280" s="544"/>
      <c r="C280" s="544"/>
      <c r="D280" s="544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77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4"/>
      <c r="B281" s="544"/>
      <c r="C281" s="544"/>
      <c r="D281" s="544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77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43" t="s">
        <v>73</v>
      </c>
      <c r="B282" s="544"/>
      <c r="C282" s="544"/>
      <c r="D282" s="544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50">
        <v>4680115884618</v>
      </c>
      <c r="E283" s="551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76"/>
      <c r="B284" s="544"/>
      <c r="C284" s="544"/>
      <c r="D284" s="544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77"/>
      <c r="P284" s="545" t="s">
        <v>71</v>
      </c>
      <c r="Q284" s="546"/>
      <c r="R284" s="546"/>
      <c r="S284" s="546"/>
      <c r="T284" s="546"/>
      <c r="U284" s="546"/>
      <c r="V284" s="547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4"/>
      <c r="B285" s="544"/>
      <c r="C285" s="544"/>
      <c r="D285" s="544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77"/>
      <c r="P285" s="545" t="s">
        <v>71</v>
      </c>
      <c r="Q285" s="546"/>
      <c r="R285" s="546"/>
      <c r="S285" s="546"/>
      <c r="T285" s="546"/>
      <c r="U285" s="546"/>
      <c r="V285" s="547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85" t="s">
        <v>445</v>
      </c>
      <c r="B286" s="544"/>
      <c r="C286" s="544"/>
      <c r="D286" s="544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34"/>
      <c r="AB286" s="534"/>
      <c r="AC286" s="534"/>
    </row>
    <row r="287" spans="1:68" ht="14.25" hidden="1" customHeight="1" x14ac:dyDescent="0.25">
      <c r="A287" s="543" t="s">
        <v>99</v>
      </c>
      <c r="B287" s="544"/>
      <c r="C287" s="544"/>
      <c r="D287" s="544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50">
        <v>4680115885615</v>
      </c>
      <c r="E288" s="551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5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50">
        <v>4680115885646</v>
      </c>
      <c r="E289" s="551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50">
        <v>4680115885554</v>
      </c>
      <c r="E290" s="551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50">
        <v>4680115885622</v>
      </c>
      <c r="E291" s="551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59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50">
        <v>4680115885608</v>
      </c>
      <c r="E292" s="551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6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76"/>
      <c r="B293" s="544"/>
      <c r="C293" s="544"/>
      <c r="D293" s="544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77"/>
      <c r="P293" s="545" t="s">
        <v>71</v>
      </c>
      <c r="Q293" s="546"/>
      <c r="R293" s="546"/>
      <c r="S293" s="546"/>
      <c r="T293" s="546"/>
      <c r="U293" s="546"/>
      <c r="V293" s="547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4"/>
      <c r="B294" s="544"/>
      <c r="C294" s="544"/>
      <c r="D294" s="544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77"/>
      <c r="P294" s="545" t="s">
        <v>71</v>
      </c>
      <c r="Q294" s="546"/>
      <c r="R294" s="546"/>
      <c r="S294" s="546"/>
      <c r="T294" s="546"/>
      <c r="U294" s="546"/>
      <c r="V294" s="547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43" t="s">
        <v>64</v>
      </c>
      <c r="B295" s="544"/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50">
        <v>4607091387193</v>
      </c>
      <c r="E296" s="551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53"/>
      <c r="R296" s="553"/>
      <c r="S296" s="553"/>
      <c r="T296" s="554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50">
        <v>4607091387230</v>
      </c>
      <c r="E297" s="551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5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50">
        <v>4607091387292</v>
      </c>
      <c r="E298" s="551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6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50">
        <v>4607091387285</v>
      </c>
      <c r="E299" s="551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50">
        <v>4607091389845</v>
      </c>
      <c r="E300" s="551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50">
        <v>4680115882881</v>
      </c>
      <c r="E301" s="551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3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53"/>
      <c r="R301" s="553"/>
      <c r="S301" s="553"/>
      <c r="T301" s="554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50">
        <v>4607091383836</v>
      </c>
      <c r="E302" s="551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39">
        <v>49</v>
      </c>
      <c r="Y302" s="540">
        <f t="shared" si="26"/>
        <v>50.4</v>
      </c>
      <c r="Z302" s="36">
        <f>IFERROR(IF(Y302=0,"",ROUNDUP(Y302/H302,0)*0.00651),"")</f>
        <v>0.18228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55.206666666666663</v>
      </c>
      <c r="BN302" s="64">
        <f t="shared" si="28"/>
        <v>56.783999999999999</v>
      </c>
      <c r="BO302" s="64">
        <f t="shared" si="29"/>
        <v>0.14957264957264957</v>
      </c>
      <c r="BP302" s="64">
        <f t="shared" si="30"/>
        <v>0.15384615384615385</v>
      </c>
    </row>
    <row r="303" spans="1:68" x14ac:dyDescent="0.2">
      <c r="A303" s="576"/>
      <c r="B303" s="544"/>
      <c r="C303" s="544"/>
      <c r="D303" s="544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77"/>
      <c r="P303" s="545" t="s">
        <v>71</v>
      </c>
      <c r="Q303" s="546"/>
      <c r="R303" s="546"/>
      <c r="S303" s="546"/>
      <c r="T303" s="546"/>
      <c r="U303" s="546"/>
      <c r="V303" s="547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27.222222222222221</v>
      </c>
      <c r="Y303" s="541">
        <f>IFERROR(Y296/H296,"0")+IFERROR(Y297/H297,"0")+IFERROR(Y298/H298,"0")+IFERROR(Y299/H299,"0")+IFERROR(Y300/H300,"0")+IFERROR(Y301/H301,"0")+IFERROR(Y302/H302,"0")</f>
        <v>28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0.18228</v>
      </c>
      <c r="AA303" s="542"/>
      <c r="AB303" s="542"/>
      <c r="AC303" s="542"/>
    </row>
    <row r="304" spans="1:68" x14ac:dyDescent="0.2">
      <c r="A304" s="544"/>
      <c r="B304" s="544"/>
      <c r="C304" s="544"/>
      <c r="D304" s="544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77"/>
      <c r="P304" s="545" t="s">
        <v>71</v>
      </c>
      <c r="Q304" s="546"/>
      <c r="R304" s="546"/>
      <c r="S304" s="546"/>
      <c r="T304" s="546"/>
      <c r="U304" s="546"/>
      <c r="V304" s="547"/>
      <c r="W304" s="37" t="s">
        <v>69</v>
      </c>
      <c r="X304" s="541">
        <f>IFERROR(SUM(X296:X302),"0")</f>
        <v>49</v>
      </c>
      <c r="Y304" s="541">
        <f>IFERROR(SUM(Y296:Y302),"0")</f>
        <v>50.4</v>
      </c>
      <c r="Z304" s="37"/>
      <c r="AA304" s="542"/>
      <c r="AB304" s="542"/>
      <c r="AC304" s="542"/>
    </row>
    <row r="305" spans="1:68" ht="14.25" hidden="1" customHeight="1" x14ac:dyDescent="0.25">
      <c r="A305" s="543" t="s">
        <v>73</v>
      </c>
      <c r="B305" s="544"/>
      <c r="C305" s="544"/>
      <c r="D305" s="544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50">
        <v>4607091387766</v>
      </c>
      <c r="E306" s="551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53"/>
      <c r="R306" s="553"/>
      <c r="S306" s="553"/>
      <c r="T306" s="554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50">
        <v>4607091387957</v>
      </c>
      <c r="E307" s="551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53"/>
      <c r="R307" s="553"/>
      <c r="S307" s="553"/>
      <c r="T307" s="554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50">
        <v>4607091387964</v>
      </c>
      <c r="E308" s="551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50">
        <v>4680115884588</v>
      </c>
      <c r="E309" s="551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53"/>
      <c r="R309" s="553"/>
      <c r="S309" s="553"/>
      <c r="T309" s="554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50">
        <v>4607091387513</v>
      </c>
      <c r="E310" s="551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74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39">
        <v>15</v>
      </c>
      <c r="Y310" s="540">
        <f>IFERROR(IF(X310="",0,CEILING((X310/$H310),1)*$H310),"")</f>
        <v>16.200000000000003</v>
      </c>
      <c r="Z310" s="36">
        <f>IFERROR(IF(Y310=0,"",ROUNDUP(Y310/H310,0)*0.00651),"")</f>
        <v>3.9059999999999997E-2</v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16.433333333333334</v>
      </c>
      <c r="BN310" s="64">
        <f>IFERROR(Y310*I310/H310,"0")</f>
        <v>17.748000000000001</v>
      </c>
      <c r="BO310" s="64">
        <f>IFERROR(1/J310*(X310/H310),"0")</f>
        <v>3.0525030525030528E-2</v>
      </c>
      <c r="BP310" s="64">
        <f>IFERROR(1/J310*(Y310/H310),"0")</f>
        <v>3.2967032967032975E-2</v>
      </c>
    </row>
    <row r="311" spans="1:68" x14ac:dyDescent="0.2">
      <c r="A311" s="576"/>
      <c r="B311" s="544"/>
      <c r="C311" s="544"/>
      <c r="D311" s="544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77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IFERROR(X306/H306,"0")+IFERROR(X307/H307,"0")+IFERROR(X308/H308,"0")+IFERROR(X309/H309,"0")+IFERROR(X310/H310,"0")</f>
        <v>5.5555555555555554</v>
      </c>
      <c r="Y311" s="541">
        <f>IFERROR(Y306/H306,"0")+IFERROR(Y307/H307,"0")+IFERROR(Y308/H308,"0")+IFERROR(Y309/H309,"0")+IFERROR(Y310/H310,"0")</f>
        <v>6.0000000000000009</v>
      </c>
      <c r="Z311" s="541">
        <f>IFERROR(IF(Z306="",0,Z306),"0")+IFERROR(IF(Z307="",0,Z307),"0")+IFERROR(IF(Z308="",0,Z308),"0")+IFERROR(IF(Z309="",0,Z309),"0")+IFERROR(IF(Z310="",0,Z310),"0")</f>
        <v>3.9059999999999997E-2</v>
      </c>
      <c r="AA311" s="542"/>
      <c r="AB311" s="542"/>
      <c r="AC311" s="542"/>
    </row>
    <row r="312" spans="1:68" x14ac:dyDescent="0.2">
      <c r="A312" s="544"/>
      <c r="B312" s="544"/>
      <c r="C312" s="544"/>
      <c r="D312" s="544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77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IFERROR(SUM(X306:X310),"0")</f>
        <v>15</v>
      </c>
      <c r="Y312" s="541">
        <f>IFERROR(SUM(Y306:Y310),"0")</f>
        <v>16.200000000000003</v>
      </c>
      <c r="Z312" s="37"/>
      <c r="AA312" s="542"/>
      <c r="AB312" s="542"/>
      <c r="AC312" s="542"/>
    </row>
    <row r="313" spans="1:68" ht="14.25" hidden="1" customHeight="1" x14ac:dyDescent="0.25">
      <c r="A313" s="543" t="s">
        <v>163</v>
      </c>
      <c r="B313" s="544"/>
      <c r="C313" s="544"/>
      <c r="D313" s="544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50">
        <v>4607091380880</v>
      </c>
      <c r="E314" s="551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6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69</v>
      </c>
      <c r="X314" s="539">
        <v>104</v>
      </c>
      <c r="Y314" s="540">
        <f>IFERROR(IF(X314="",0,CEILING((X314/$H314),1)*$H314),"")</f>
        <v>109.2</v>
      </c>
      <c r="Z314" s="36">
        <f>IFERROR(IF(Y314=0,"",ROUNDUP(Y314/H314,0)*0.01898),"")</f>
        <v>0.24674000000000001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110.11619047619047</v>
      </c>
      <c r="BN314" s="64">
        <f>IFERROR(Y314*I314/H314,"0")</f>
        <v>115.622</v>
      </c>
      <c r="BO314" s="64">
        <f>IFERROR(1/J314*(X314/H314),"0")</f>
        <v>0.19345238095238093</v>
      </c>
      <c r="BP314" s="64">
        <f>IFERROR(1/J314*(Y314/H314),"0")</f>
        <v>0.203125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50">
        <v>4607091384482</v>
      </c>
      <c r="E315" s="551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39">
        <v>428</v>
      </c>
      <c r="Y315" s="540">
        <f>IFERROR(IF(X315="",0,CEILING((X315/$H315),1)*$H315),"")</f>
        <v>429</v>
      </c>
      <c r="Z315" s="36">
        <f>IFERROR(IF(Y315=0,"",ROUNDUP(Y315/H315,0)*0.01898),"")</f>
        <v>1.0439000000000001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455.10666666666674</v>
      </c>
      <c r="BN315" s="64">
        <f>IFERROR(Y315*I315/H315,"0")</f>
        <v>456.17</v>
      </c>
      <c r="BO315" s="64">
        <f>IFERROR(1/J315*(X315/H315),"0")</f>
        <v>0.85737179487179493</v>
      </c>
      <c r="BP315" s="64">
        <f>IFERROR(1/J315*(Y315/H315),"0")</f>
        <v>0.859375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50">
        <v>4607091380897</v>
      </c>
      <c r="E316" s="551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8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39">
        <v>66</v>
      </c>
      <c r="Y316" s="540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69.881428571428572</v>
      </c>
      <c r="BN316" s="64">
        <f>IFERROR(Y316*I316/H316,"0")</f>
        <v>71.152000000000001</v>
      </c>
      <c r="BO316" s="64">
        <f>IFERROR(1/J316*(X316/H316),"0")</f>
        <v>0.12276785714285714</v>
      </c>
      <c r="BP316" s="64">
        <f>IFERROR(1/J316*(Y316/H316),"0")</f>
        <v>0.125</v>
      </c>
    </row>
    <row r="317" spans="1:68" x14ac:dyDescent="0.2">
      <c r="A317" s="576"/>
      <c r="B317" s="544"/>
      <c r="C317" s="544"/>
      <c r="D317" s="544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77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75.109890109890117</v>
      </c>
      <c r="Y317" s="541">
        <f>IFERROR(Y314/H314,"0")+IFERROR(Y315/H315,"0")+IFERROR(Y316/H316,"0")</f>
        <v>76</v>
      </c>
      <c r="Z317" s="541">
        <f>IFERROR(IF(Z314="",0,Z314),"0")+IFERROR(IF(Z315="",0,Z315),"0")+IFERROR(IF(Z316="",0,Z316),"0")</f>
        <v>1.44248</v>
      </c>
      <c r="AA317" s="542"/>
      <c r="AB317" s="542"/>
      <c r="AC317" s="542"/>
    </row>
    <row r="318" spans="1:68" x14ac:dyDescent="0.2">
      <c r="A318" s="544"/>
      <c r="B318" s="544"/>
      <c r="C318" s="544"/>
      <c r="D318" s="544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77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598</v>
      </c>
      <c r="Y318" s="541">
        <f>IFERROR(SUM(Y314:Y316),"0")</f>
        <v>605.40000000000009</v>
      </c>
      <c r="Z318" s="37"/>
      <c r="AA318" s="542"/>
      <c r="AB318" s="542"/>
      <c r="AC318" s="542"/>
    </row>
    <row r="319" spans="1:68" ht="14.25" hidden="1" customHeight="1" x14ac:dyDescent="0.25">
      <c r="A319" s="543" t="s">
        <v>91</v>
      </c>
      <c r="B319" s="544"/>
      <c r="C319" s="544"/>
      <c r="D319" s="544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50">
        <v>4607091388381</v>
      </c>
      <c r="E320" s="551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69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50">
        <v>4607091388374</v>
      </c>
      <c r="E321" s="551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08" t="s">
        <v>508</v>
      </c>
      <c r="Q321" s="553"/>
      <c r="R321" s="553"/>
      <c r="S321" s="553"/>
      <c r="T321" s="554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50">
        <v>4607091383102</v>
      </c>
      <c r="E322" s="551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8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50">
        <v>4607091388404</v>
      </c>
      <c r="E323" s="551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76"/>
      <c r="B324" s="544"/>
      <c r="C324" s="544"/>
      <c r="D324" s="544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77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1.3157894736842106</v>
      </c>
      <c r="Y324" s="541">
        <f>IFERROR(Y320/H320,"0")+IFERROR(Y321/H321,"0")+IFERROR(Y322/H322,"0")+IFERROR(Y323/H323,"0")</f>
        <v>2</v>
      </c>
      <c r="Z324" s="541">
        <f>IFERROR(IF(Z320="",0,Z320),"0")+IFERROR(IF(Z321="",0,Z321),"0")+IFERROR(IF(Z322="",0,Z322),"0")+IFERROR(IF(Z323="",0,Z323),"0")</f>
        <v>1.804E-2</v>
      </c>
      <c r="AA324" s="542"/>
      <c r="AB324" s="542"/>
      <c r="AC324" s="542"/>
    </row>
    <row r="325" spans="1:68" x14ac:dyDescent="0.2">
      <c r="A325" s="544"/>
      <c r="B325" s="544"/>
      <c r="C325" s="544"/>
      <c r="D325" s="544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77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4</v>
      </c>
      <c r="Y325" s="541">
        <f>IFERROR(SUM(Y320:Y323),"0")</f>
        <v>6.08</v>
      </c>
      <c r="Z325" s="37"/>
      <c r="AA325" s="542"/>
      <c r="AB325" s="542"/>
      <c r="AC325" s="542"/>
    </row>
    <row r="326" spans="1:68" ht="14.25" hidden="1" customHeight="1" x14ac:dyDescent="0.25">
      <c r="A326" s="543" t="s">
        <v>514</v>
      </c>
      <c r="B326" s="544"/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50">
        <v>4680115881808</v>
      </c>
      <c r="E327" s="551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69</v>
      </c>
      <c r="X327" s="539">
        <v>3</v>
      </c>
      <c r="Y327" s="540">
        <f>IFERROR(IF(X327="",0,CEILING((X327/$H327),1)*$H327),"")</f>
        <v>4</v>
      </c>
      <c r="Z327" s="36">
        <f>IFERROR(IF(Y327=0,"",ROUNDUP(Y327/H327,0)*0.00474),"")</f>
        <v>9.4800000000000006E-3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3.3600000000000003</v>
      </c>
      <c r="BN327" s="64">
        <f>IFERROR(Y327*I327/H327,"0")</f>
        <v>4.4800000000000004</v>
      </c>
      <c r="BO327" s="64">
        <f>IFERROR(1/J327*(X327/H327),"0")</f>
        <v>6.3025210084033615E-3</v>
      </c>
      <c r="BP327" s="64">
        <f>IFERROR(1/J327*(Y327/H327),"0")</f>
        <v>8.4033613445378148E-3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50">
        <v>4680115881822</v>
      </c>
      <c r="E328" s="551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8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39">
        <v>1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1.1200000000000001</v>
      </c>
      <c r="BN328" s="64">
        <f>IFERROR(Y328*I328/H328,"0")</f>
        <v>2.2400000000000002</v>
      </c>
      <c r="BO328" s="64">
        <f>IFERROR(1/J328*(X328/H328),"0")</f>
        <v>2.1008403361344537E-3</v>
      </c>
      <c r="BP328" s="64">
        <f>IFERROR(1/J328*(Y328/H328),"0")</f>
        <v>4.2016806722689074E-3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50">
        <v>4680115880016</v>
      </c>
      <c r="E329" s="551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69</v>
      </c>
      <c r="X329" s="539">
        <v>3</v>
      </c>
      <c r="Y329" s="540">
        <f>IFERROR(IF(X329="",0,CEILING((X329/$H329),1)*$H329),"")</f>
        <v>4</v>
      </c>
      <c r="Z329" s="36">
        <f>IFERROR(IF(Y329=0,"",ROUNDUP(Y329/H329,0)*0.00474),"")</f>
        <v>9.4800000000000006E-3</v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3.3600000000000003</v>
      </c>
      <c r="BN329" s="64">
        <f>IFERROR(Y329*I329/H329,"0")</f>
        <v>4.4800000000000004</v>
      </c>
      <c r="BO329" s="64">
        <f>IFERROR(1/J329*(X329/H329),"0")</f>
        <v>6.3025210084033615E-3</v>
      </c>
      <c r="BP329" s="64">
        <f>IFERROR(1/J329*(Y329/H329),"0")</f>
        <v>8.4033613445378148E-3</v>
      </c>
    </row>
    <row r="330" spans="1:68" x14ac:dyDescent="0.2">
      <c r="A330" s="576"/>
      <c r="B330" s="544"/>
      <c r="C330" s="544"/>
      <c r="D330" s="544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77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3.5</v>
      </c>
      <c r="Y330" s="541">
        <f>IFERROR(Y327/H327,"0")+IFERROR(Y328/H328,"0")+IFERROR(Y329/H329,"0")</f>
        <v>5</v>
      </c>
      <c r="Z330" s="541">
        <f>IFERROR(IF(Z327="",0,Z327),"0")+IFERROR(IF(Z328="",0,Z328),"0")+IFERROR(IF(Z329="",0,Z329),"0")</f>
        <v>2.3699999999999999E-2</v>
      </c>
      <c r="AA330" s="542"/>
      <c r="AB330" s="542"/>
      <c r="AC330" s="542"/>
    </row>
    <row r="331" spans="1:68" x14ac:dyDescent="0.2">
      <c r="A331" s="544"/>
      <c r="B331" s="544"/>
      <c r="C331" s="544"/>
      <c r="D331" s="544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77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7</v>
      </c>
      <c r="Y331" s="541">
        <f>IFERROR(SUM(Y327:Y329),"0")</f>
        <v>10</v>
      </c>
      <c r="Z331" s="37"/>
      <c r="AA331" s="542"/>
      <c r="AB331" s="542"/>
      <c r="AC331" s="542"/>
    </row>
    <row r="332" spans="1:68" ht="16.5" hidden="1" customHeight="1" x14ac:dyDescent="0.25">
      <c r="A332" s="585" t="s">
        <v>523</v>
      </c>
      <c r="B332" s="544"/>
      <c r="C332" s="544"/>
      <c r="D332" s="544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34"/>
      <c r="AB332" s="534"/>
      <c r="AC332" s="534"/>
    </row>
    <row r="333" spans="1:68" ht="14.25" hidden="1" customHeight="1" x14ac:dyDescent="0.25">
      <c r="A333" s="543" t="s">
        <v>73</v>
      </c>
      <c r="B333" s="544"/>
      <c r="C333" s="544"/>
      <c r="D333" s="544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50">
        <v>4607091387919</v>
      </c>
      <c r="E334" s="551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69</v>
      </c>
      <c r="X334" s="539">
        <v>4</v>
      </c>
      <c r="Y334" s="540">
        <f>IFERROR(IF(X334="",0,CEILING((X334/$H334),1)*$H334),"")</f>
        <v>8.1</v>
      </c>
      <c r="Z334" s="36">
        <f>IFERROR(IF(Y334=0,"",ROUNDUP(Y334/H334,0)*0.01898),"")</f>
        <v>1.898E-2</v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4.243950617283951</v>
      </c>
      <c r="BN334" s="64">
        <f>IFERROR(Y334*I334/H334,"0")</f>
        <v>8.5939999999999994</v>
      </c>
      <c r="BO334" s="64">
        <f>IFERROR(1/J334*(X334/H334),"0")</f>
        <v>7.7160493827160498E-3</v>
      </c>
      <c r="BP334" s="64">
        <f>IFERROR(1/J334*(Y334/H334),"0")</f>
        <v>1.5625E-2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50">
        <v>4680115883604</v>
      </c>
      <c r="E335" s="551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6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50">
        <v>4680115883567</v>
      </c>
      <c r="E336" s="551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6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76"/>
      <c r="B337" s="544"/>
      <c r="C337" s="544"/>
      <c r="D337" s="544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77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0.49382716049382719</v>
      </c>
      <c r="Y337" s="541">
        <f>IFERROR(Y334/H334,"0")+IFERROR(Y335/H335,"0")+IFERROR(Y336/H336,"0")</f>
        <v>1</v>
      </c>
      <c r="Z337" s="541">
        <f>IFERROR(IF(Z334="",0,Z334),"0")+IFERROR(IF(Z335="",0,Z335),"0")+IFERROR(IF(Z336="",0,Z336),"0")</f>
        <v>1.898E-2</v>
      </c>
      <c r="AA337" s="542"/>
      <c r="AB337" s="542"/>
      <c r="AC337" s="542"/>
    </row>
    <row r="338" spans="1:68" x14ac:dyDescent="0.2">
      <c r="A338" s="544"/>
      <c r="B338" s="544"/>
      <c r="C338" s="544"/>
      <c r="D338" s="544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77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4</v>
      </c>
      <c r="Y338" s="541">
        <f>IFERROR(SUM(Y334:Y336),"0")</f>
        <v>8.1</v>
      </c>
      <c r="Z338" s="37"/>
      <c r="AA338" s="542"/>
      <c r="AB338" s="542"/>
      <c r="AC338" s="542"/>
    </row>
    <row r="339" spans="1:68" ht="27.75" hidden="1" customHeight="1" x14ac:dyDescent="0.2">
      <c r="A339" s="558" t="s">
        <v>533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48"/>
      <c r="AB339" s="48"/>
      <c r="AC339" s="48"/>
    </row>
    <row r="340" spans="1:68" ht="16.5" hidden="1" customHeight="1" x14ac:dyDescent="0.25">
      <c r="A340" s="585" t="s">
        <v>534</v>
      </c>
      <c r="B340" s="544"/>
      <c r="C340" s="544"/>
      <c r="D340" s="544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34"/>
      <c r="AB340" s="534"/>
      <c r="AC340" s="534"/>
    </row>
    <row r="341" spans="1:68" ht="14.25" hidden="1" customHeight="1" x14ac:dyDescent="0.25">
      <c r="A341" s="543" t="s">
        <v>99</v>
      </c>
      <c r="B341" s="544"/>
      <c r="C341" s="544"/>
      <c r="D341" s="544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50">
        <v>4680115884847</v>
      </c>
      <c r="E342" s="551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69</v>
      </c>
      <c r="X342" s="539">
        <v>882</v>
      </c>
      <c r="Y342" s="540">
        <f t="shared" ref="Y342:Y348" si="31">IFERROR(IF(X342="",0,CEILING((X342/$H342),1)*$H342),"")</f>
        <v>885</v>
      </c>
      <c r="Z342" s="36">
        <f>IFERROR(IF(Y342=0,"",ROUNDUP(Y342/H342,0)*0.02175),"")</f>
        <v>1.28325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909.63600000000008</v>
      </c>
      <c r="BN342" s="64">
        <f t="shared" ref="BN342:BN348" si="33">IFERROR(Y342*I342/H342,"0")</f>
        <v>912.73</v>
      </c>
      <c r="BO342" s="64">
        <f t="shared" ref="BO342:BO348" si="34">IFERROR(1/J342*(X342/H342),"0")</f>
        <v>1.2249999999999999</v>
      </c>
      <c r="BP342" s="64">
        <f t="shared" ref="BP342:BP348" si="35">IFERROR(1/J342*(Y342/H342),"0")</f>
        <v>1.2291666666666665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50">
        <v>4680115884854</v>
      </c>
      <c r="E343" s="551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69</v>
      </c>
      <c r="X343" s="539">
        <v>731</v>
      </c>
      <c r="Y343" s="540">
        <f t="shared" si="31"/>
        <v>735</v>
      </c>
      <c r="Z343" s="36">
        <f>IFERROR(IF(Y343=0,"",ROUNDUP(Y343/H343,0)*0.02175),"")</f>
        <v>1.06575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753.90466666666669</v>
      </c>
      <c r="BN343" s="64">
        <f t="shared" si="33"/>
        <v>758.03000000000009</v>
      </c>
      <c r="BO343" s="64">
        <f t="shared" si="34"/>
        <v>1.0152777777777777</v>
      </c>
      <c r="BP343" s="64">
        <f t="shared" si="35"/>
        <v>1.0208333333333333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50">
        <v>4680115884830</v>
      </c>
      <c r="E344" s="551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39">
        <v>678</v>
      </c>
      <c r="Y344" s="540">
        <f t="shared" si="31"/>
        <v>690</v>
      </c>
      <c r="Z344" s="36">
        <f>IFERROR(IF(Y344=0,"",ROUNDUP(Y344/H344,0)*0.02175),"")</f>
        <v>1.0004999999999999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699.24400000000003</v>
      </c>
      <c r="BN344" s="64">
        <f t="shared" si="33"/>
        <v>711.62000000000012</v>
      </c>
      <c r="BO344" s="64">
        <f t="shared" si="34"/>
        <v>0.94166666666666665</v>
      </c>
      <c r="BP344" s="64">
        <f t="shared" si="35"/>
        <v>0.95833333333333326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50">
        <v>4680115887046</v>
      </c>
      <c r="E345" s="551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1" t="s">
        <v>546</v>
      </c>
      <c r="Q345" s="553"/>
      <c r="R345" s="553"/>
      <c r="S345" s="553"/>
      <c r="T345" s="554"/>
      <c r="U345" s="34"/>
      <c r="V345" s="34"/>
      <c r="W345" s="35" t="s">
        <v>69</v>
      </c>
      <c r="X345" s="539">
        <v>274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282.58533333333332</v>
      </c>
      <c r="BN345" s="64">
        <f t="shared" si="33"/>
        <v>293.93</v>
      </c>
      <c r="BO345" s="64">
        <f t="shared" si="34"/>
        <v>0.38055555555555554</v>
      </c>
      <c r="BP345" s="64">
        <f t="shared" si="35"/>
        <v>0.39583333333333331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50">
        <v>4680115882638</v>
      </c>
      <c r="E346" s="551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3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50">
        <v>4680115884922</v>
      </c>
      <c r="E347" s="551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50">
        <v>4680115884861</v>
      </c>
      <c r="E348" s="551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76"/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77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171</v>
      </c>
      <c r="Y349" s="541">
        <f>IFERROR(Y342/H342,"0")+IFERROR(Y343/H343,"0")+IFERROR(Y344/H344,"0")+IFERROR(Y345/H345,"0")+IFERROR(Y346/H346,"0")+IFERROR(Y347/H347,"0")+IFERROR(Y348/H348,"0")</f>
        <v>173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3.76275</v>
      </c>
      <c r="AA349" s="542"/>
      <c r="AB349" s="542"/>
      <c r="AC349" s="542"/>
    </row>
    <row r="350" spans="1:68" x14ac:dyDescent="0.2">
      <c r="A350" s="544"/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77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2565</v>
      </c>
      <c r="Y350" s="541">
        <f>IFERROR(SUM(Y342:Y348),"0")</f>
        <v>2595</v>
      </c>
      <c r="Z350" s="37"/>
      <c r="AA350" s="542"/>
      <c r="AB350" s="542"/>
      <c r="AC350" s="542"/>
    </row>
    <row r="351" spans="1:68" ht="14.25" hidden="1" customHeight="1" x14ac:dyDescent="0.25">
      <c r="A351" s="543" t="s">
        <v>135</v>
      </c>
      <c r="B351" s="544"/>
      <c r="C351" s="544"/>
      <c r="D351" s="544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50">
        <v>4607091383980</v>
      </c>
      <c r="E352" s="551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80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69</v>
      </c>
      <c r="X352" s="539">
        <v>1206</v>
      </c>
      <c r="Y352" s="540">
        <f>IFERROR(IF(X352="",0,CEILING((X352/$H352),1)*$H352),"")</f>
        <v>1215</v>
      </c>
      <c r="Z352" s="36">
        <f>IFERROR(IF(Y352=0,"",ROUNDUP(Y352/H352,0)*0.02175),"")</f>
        <v>1.7617499999999999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1243.788</v>
      </c>
      <c r="BN352" s="64">
        <f>IFERROR(Y352*I352/H352,"0")</f>
        <v>1253.07</v>
      </c>
      <c r="BO352" s="64">
        <f>IFERROR(1/J352*(X352/H352),"0")</f>
        <v>1.675</v>
      </c>
      <c r="BP352" s="64">
        <f>IFERROR(1/J352*(Y352/H352),"0")</f>
        <v>1.6875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50">
        <v>4607091384178</v>
      </c>
      <c r="E353" s="551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76"/>
      <c r="B354" s="544"/>
      <c r="C354" s="544"/>
      <c r="D354" s="544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77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80.400000000000006</v>
      </c>
      <c r="Y354" s="541">
        <f>IFERROR(Y352/H352,"0")+IFERROR(Y353/H353,"0")</f>
        <v>81</v>
      </c>
      <c r="Z354" s="541">
        <f>IFERROR(IF(Z352="",0,Z352),"0")+IFERROR(IF(Z353="",0,Z353),"0")</f>
        <v>1.7617499999999999</v>
      </c>
      <c r="AA354" s="542"/>
      <c r="AB354" s="542"/>
      <c r="AC354" s="542"/>
    </row>
    <row r="355" spans="1:68" x14ac:dyDescent="0.2">
      <c r="A355" s="544"/>
      <c r="B355" s="544"/>
      <c r="C355" s="544"/>
      <c r="D355" s="544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77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1206</v>
      </c>
      <c r="Y355" s="541">
        <f>IFERROR(SUM(Y352:Y353),"0")</f>
        <v>1215</v>
      </c>
      <c r="Z355" s="37"/>
      <c r="AA355" s="542"/>
      <c r="AB355" s="542"/>
      <c r="AC355" s="542"/>
    </row>
    <row r="356" spans="1:68" ht="14.25" hidden="1" customHeight="1" x14ac:dyDescent="0.25">
      <c r="A356" s="543" t="s">
        <v>73</v>
      </c>
      <c r="B356" s="544"/>
      <c r="C356" s="544"/>
      <c r="D356" s="544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50">
        <v>4607091383928</v>
      </c>
      <c r="E357" s="551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50">
        <v>4607091384260</v>
      </c>
      <c r="E358" s="551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76"/>
      <c r="B359" s="544"/>
      <c r="C359" s="544"/>
      <c r="D359" s="544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77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4"/>
      <c r="B360" s="544"/>
      <c r="C360" s="544"/>
      <c r="D360" s="544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77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43" t="s">
        <v>163</v>
      </c>
      <c r="B361" s="544"/>
      <c r="C361" s="544"/>
      <c r="D361" s="544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50">
        <v>4607091384673</v>
      </c>
      <c r="E362" s="551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69</v>
      </c>
      <c r="X362" s="539">
        <v>162</v>
      </c>
      <c r="Y362" s="540">
        <f>IFERROR(IF(X362="",0,CEILING((X362/$H362),1)*$H362),"")</f>
        <v>162</v>
      </c>
      <c r="Z362" s="36">
        <f>IFERROR(IF(Y362=0,"",ROUNDUP(Y362/H362,0)*0.01898),"")</f>
        <v>0.34164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170.892</v>
      </c>
      <c r="BN362" s="64">
        <f>IFERROR(Y362*I362/H362,"0")</f>
        <v>170.892</v>
      </c>
      <c r="BO362" s="64">
        <f>IFERROR(1/J362*(X362/H362),"0")</f>
        <v>0.28125</v>
      </c>
      <c r="BP362" s="64">
        <f>IFERROR(1/J362*(Y362/H362),"0")</f>
        <v>0.28125</v>
      </c>
    </row>
    <row r="363" spans="1:68" x14ac:dyDescent="0.2">
      <c r="A363" s="576"/>
      <c r="B363" s="544"/>
      <c r="C363" s="544"/>
      <c r="D363" s="544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77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18</v>
      </c>
      <c r="Y363" s="541">
        <f>IFERROR(Y362/H362,"0")</f>
        <v>18</v>
      </c>
      <c r="Z363" s="541">
        <f>IFERROR(IF(Z362="",0,Z362),"0")</f>
        <v>0.34164</v>
      </c>
      <c r="AA363" s="542"/>
      <c r="AB363" s="542"/>
      <c r="AC363" s="542"/>
    </row>
    <row r="364" spans="1:68" x14ac:dyDescent="0.2">
      <c r="A364" s="544"/>
      <c r="B364" s="544"/>
      <c r="C364" s="544"/>
      <c r="D364" s="544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77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162</v>
      </c>
      <c r="Y364" s="541">
        <f>IFERROR(SUM(Y362:Y362),"0")</f>
        <v>162</v>
      </c>
      <c r="Z364" s="37"/>
      <c r="AA364" s="542"/>
      <c r="AB364" s="542"/>
      <c r="AC364" s="542"/>
    </row>
    <row r="365" spans="1:68" ht="16.5" hidden="1" customHeight="1" x14ac:dyDescent="0.25">
      <c r="A365" s="585" t="s">
        <v>569</v>
      </c>
      <c r="B365" s="544"/>
      <c r="C365" s="544"/>
      <c r="D365" s="544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34"/>
      <c r="AB365" s="534"/>
      <c r="AC365" s="534"/>
    </row>
    <row r="366" spans="1:68" ht="14.25" hidden="1" customHeight="1" x14ac:dyDescent="0.25">
      <c r="A366" s="543" t="s">
        <v>99</v>
      </c>
      <c r="B366" s="544"/>
      <c r="C366" s="544"/>
      <c r="D366" s="544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50">
        <v>4680115884885</v>
      </c>
      <c r="E367" s="551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6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69</v>
      </c>
      <c r="X367" s="539">
        <v>32</v>
      </c>
      <c r="Y367" s="540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33.093333333333334</v>
      </c>
      <c r="BN367" s="64">
        <f>IFERROR(Y367*I367/H367,"0")</f>
        <v>37.229999999999997</v>
      </c>
      <c r="BO367" s="64">
        <f>IFERROR(1/J367*(X367/H367),"0")</f>
        <v>4.1666666666666664E-2</v>
      </c>
      <c r="BP367" s="64">
        <f>IFERROR(1/J367*(Y367/H367),"0")</f>
        <v>4.6875E-2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50">
        <v>4680115884908</v>
      </c>
      <c r="E368" s="551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6"/>
      <c r="B369" s="544"/>
      <c r="C369" s="544"/>
      <c r="D369" s="544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77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2.6666666666666665</v>
      </c>
      <c r="Y369" s="541">
        <f>IFERROR(Y367/H367,"0")+IFERROR(Y368/H368,"0")</f>
        <v>3</v>
      </c>
      <c r="Z369" s="541">
        <f>IFERROR(IF(Z367="",0,Z367),"0")+IFERROR(IF(Z368="",0,Z368),"0")</f>
        <v>5.6940000000000004E-2</v>
      </c>
      <c r="AA369" s="542"/>
      <c r="AB369" s="542"/>
      <c r="AC369" s="542"/>
    </row>
    <row r="370" spans="1:68" x14ac:dyDescent="0.2">
      <c r="A370" s="544"/>
      <c r="B370" s="544"/>
      <c r="C370" s="544"/>
      <c r="D370" s="544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77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32</v>
      </c>
      <c r="Y370" s="541">
        <f>IFERROR(SUM(Y367:Y368),"0")</f>
        <v>36</v>
      </c>
      <c r="Z370" s="37"/>
      <c r="AA370" s="542"/>
      <c r="AB370" s="542"/>
      <c r="AC370" s="542"/>
    </row>
    <row r="371" spans="1:68" ht="14.25" hidden="1" customHeight="1" x14ac:dyDescent="0.25">
      <c r="A371" s="543" t="s">
        <v>64</v>
      </c>
      <c r="B371" s="544"/>
      <c r="C371" s="544"/>
      <c r="D371" s="544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50">
        <v>4607091384802</v>
      </c>
      <c r="E372" s="551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74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50">
        <v>4607091384802</v>
      </c>
      <c r="E373" s="551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5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76"/>
      <c r="B374" s="544"/>
      <c r="C374" s="544"/>
      <c r="D374" s="544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77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4"/>
      <c r="B375" s="544"/>
      <c r="C375" s="544"/>
      <c r="D375" s="544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77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43" t="s">
        <v>73</v>
      </c>
      <c r="B376" s="544"/>
      <c r="C376" s="544"/>
      <c r="D376" s="544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50">
        <v>4607091384246</v>
      </c>
      <c r="E377" s="551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69</v>
      </c>
      <c r="X377" s="539">
        <v>1391</v>
      </c>
      <c r="Y377" s="540">
        <f>IFERROR(IF(X377="",0,CEILING((X377/$H377),1)*$H377),"")</f>
        <v>1395</v>
      </c>
      <c r="Z377" s="36">
        <f>IFERROR(IF(Y377=0,"",ROUNDUP(Y377/H377,0)*0.01898),"")</f>
        <v>2.9419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1467.3504444444445</v>
      </c>
      <c r="BN377" s="64">
        <f>IFERROR(Y377*I377/H377,"0")</f>
        <v>1471.57</v>
      </c>
      <c r="BO377" s="64">
        <f>IFERROR(1/J377*(X377/H377),"0")</f>
        <v>2.4149305555555554</v>
      </c>
      <c r="BP377" s="64">
        <f>IFERROR(1/J377*(Y377/H377),"0")</f>
        <v>2.421875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50">
        <v>4607091384253</v>
      </c>
      <c r="E378" s="551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76"/>
      <c r="B379" s="544"/>
      <c r="C379" s="544"/>
      <c r="D379" s="544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77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154.55555555555554</v>
      </c>
      <c r="Y379" s="541">
        <f>IFERROR(Y377/H377,"0")+IFERROR(Y378/H378,"0")</f>
        <v>155</v>
      </c>
      <c r="Z379" s="541">
        <f>IFERROR(IF(Z377="",0,Z377),"0")+IFERROR(IF(Z378="",0,Z378),"0")</f>
        <v>2.9419</v>
      </c>
      <c r="AA379" s="542"/>
      <c r="AB379" s="542"/>
      <c r="AC379" s="542"/>
    </row>
    <row r="380" spans="1:68" x14ac:dyDescent="0.2">
      <c r="A380" s="544"/>
      <c r="B380" s="544"/>
      <c r="C380" s="544"/>
      <c r="D380" s="544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77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1391</v>
      </c>
      <c r="Y380" s="541">
        <f>IFERROR(SUM(Y377:Y378),"0")</f>
        <v>1395</v>
      </c>
      <c r="Z380" s="37"/>
      <c r="AA380" s="542"/>
      <c r="AB380" s="542"/>
      <c r="AC380" s="542"/>
    </row>
    <row r="381" spans="1:68" ht="27.75" hidden="1" customHeight="1" x14ac:dyDescent="0.2">
      <c r="A381" s="558" t="s">
        <v>585</v>
      </c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48"/>
      <c r="AB381" s="48"/>
      <c r="AC381" s="48"/>
    </row>
    <row r="382" spans="1:68" ht="16.5" hidden="1" customHeight="1" x14ac:dyDescent="0.25">
      <c r="A382" s="585" t="s">
        <v>586</v>
      </c>
      <c r="B382" s="544"/>
      <c r="C382" s="544"/>
      <c r="D382" s="544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34"/>
      <c r="AB382" s="534"/>
      <c r="AC382" s="534"/>
    </row>
    <row r="383" spans="1:68" ht="14.25" hidden="1" customHeight="1" x14ac:dyDescent="0.25">
      <c r="A383" s="543" t="s">
        <v>64</v>
      </c>
      <c r="B383" s="544"/>
      <c r="C383" s="544"/>
      <c r="D383" s="544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50">
        <v>4680115886100</v>
      </c>
      <c r="E384" s="551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53"/>
      <c r="R384" s="553"/>
      <c r="S384" s="553"/>
      <c r="T384" s="554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50">
        <v>4680115886117</v>
      </c>
      <c r="E385" s="551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50">
        <v>4680115886124</v>
      </c>
      <c r="E386" s="551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8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50">
        <v>4680115883147</v>
      </c>
      <c r="E387" s="551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50">
        <v>4607091384338</v>
      </c>
      <c r="E388" s="551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53"/>
      <c r="R388" s="553"/>
      <c r="S388" s="553"/>
      <c r="T388" s="554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50">
        <v>4607091389524</v>
      </c>
      <c r="E389" s="551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50">
        <v>4680115883161</v>
      </c>
      <c r="E390" s="551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53"/>
      <c r="R390" s="553"/>
      <c r="S390" s="553"/>
      <c r="T390" s="554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50">
        <v>4607091389531</v>
      </c>
      <c r="E391" s="551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53"/>
      <c r="R391" s="553"/>
      <c r="S391" s="553"/>
      <c r="T391" s="554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50">
        <v>4607091384345</v>
      </c>
      <c r="E392" s="551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76"/>
      <c r="B393" s="544"/>
      <c r="C393" s="544"/>
      <c r="D393" s="544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77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4"/>
      <c r="B394" s="544"/>
      <c r="C394" s="544"/>
      <c r="D394" s="544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77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43" t="s">
        <v>73</v>
      </c>
      <c r="B395" s="544"/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50">
        <v>4607091384352</v>
      </c>
      <c r="E396" s="551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6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53"/>
      <c r="R396" s="553"/>
      <c r="S396" s="553"/>
      <c r="T396" s="554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50">
        <v>4607091389654</v>
      </c>
      <c r="E397" s="551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74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76"/>
      <c r="B398" s="544"/>
      <c r="C398" s="544"/>
      <c r="D398" s="544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77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4"/>
      <c r="B399" s="544"/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77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85" t="s">
        <v>617</v>
      </c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34"/>
      <c r="AB400" s="534"/>
      <c r="AC400" s="534"/>
    </row>
    <row r="401" spans="1:68" ht="14.25" hidden="1" customHeight="1" x14ac:dyDescent="0.25">
      <c r="A401" s="543" t="s">
        <v>135</v>
      </c>
      <c r="B401" s="544"/>
      <c r="C401" s="544"/>
      <c r="D401" s="544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50">
        <v>4680115885240</v>
      </c>
      <c r="E402" s="551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8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53"/>
      <c r="R402" s="553"/>
      <c r="S402" s="553"/>
      <c r="T402" s="554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6"/>
      <c r="B403" s="544"/>
      <c r="C403" s="544"/>
      <c r="D403" s="544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77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4"/>
      <c r="B404" s="544"/>
      <c r="C404" s="544"/>
      <c r="D404" s="544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77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43" t="s">
        <v>64</v>
      </c>
      <c r="B405" s="544"/>
      <c r="C405" s="544"/>
      <c r="D405" s="544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50">
        <v>4680115886094</v>
      </c>
      <c r="E406" s="551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7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53"/>
      <c r="R406" s="553"/>
      <c r="S406" s="553"/>
      <c r="T406" s="554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50">
        <v>4607091389425</v>
      </c>
      <c r="E407" s="551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50">
        <v>4680115880771</v>
      </c>
      <c r="E408" s="551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53"/>
      <c r="R408" s="553"/>
      <c r="S408" s="553"/>
      <c r="T408" s="554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50">
        <v>4607091389500</v>
      </c>
      <c r="E409" s="551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76"/>
      <c r="B410" s="544"/>
      <c r="C410" s="544"/>
      <c r="D410" s="544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77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4"/>
      <c r="B411" s="544"/>
      <c r="C411" s="544"/>
      <c r="D411" s="544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77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85" t="s">
        <v>632</v>
      </c>
      <c r="B412" s="544"/>
      <c r="C412" s="544"/>
      <c r="D412" s="544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34"/>
      <c r="AB412" s="534"/>
      <c r="AC412" s="534"/>
    </row>
    <row r="413" spans="1:68" ht="14.25" hidden="1" customHeight="1" x14ac:dyDescent="0.25">
      <c r="A413" s="543" t="s">
        <v>64</v>
      </c>
      <c r="B413" s="544"/>
      <c r="C413" s="544"/>
      <c r="D413" s="544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50">
        <v>4680115885110</v>
      </c>
      <c r="E414" s="551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80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53"/>
      <c r="R414" s="553"/>
      <c r="S414" s="553"/>
      <c r="T414" s="554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6"/>
      <c r="B415" s="544"/>
      <c r="C415" s="544"/>
      <c r="D415" s="544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77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4"/>
      <c r="B416" s="544"/>
      <c r="C416" s="544"/>
      <c r="D416" s="544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77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558" t="s">
        <v>636</v>
      </c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48"/>
      <c r="AB417" s="48"/>
      <c r="AC417" s="48"/>
    </row>
    <row r="418" spans="1:68" ht="16.5" hidden="1" customHeight="1" x14ac:dyDescent="0.25">
      <c r="A418" s="585" t="s">
        <v>636</v>
      </c>
      <c r="B418" s="544"/>
      <c r="C418" s="544"/>
      <c r="D418" s="544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34"/>
      <c r="AB418" s="534"/>
      <c r="AC418" s="534"/>
    </row>
    <row r="419" spans="1:68" ht="14.25" hidden="1" customHeight="1" x14ac:dyDescent="0.25">
      <c r="A419" s="543" t="s">
        <v>99</v>
      </c>
      <c r="B419" s="544"/>
      <c r="C419" s="544"/>
      <c r="D419" s="544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50">
        <v>4607091389067</v>
      </c>
      <c r="E420" s="551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6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53"/>
      <c r="R420" s="553"/>
      <c r="S420" s="553"/>
      <c r="T420" s="554"/>
      <c r="U420" s="34"/>
      <c r="V420" s="34"/>
      <c r="W420" s="35" t="s">
        <v>69</v>
      </c>
      <c r="X420" s="539">
        <v>91</v>
      </c>
      <c r="Y420" s="540">
        <f t="shared" ref="Y420:Y430" si="42">IFERROR(IF(X420="",0,CEILING((X420/$H420),1)*$H420),"")</f>
        <v>95.04</v>
      </c>
      <c r="Z420" s="36">
        <f t="shared" ref="Z420:Z425" si="43">IFERROR(IF(Y420=0,"",ROUNDUP(Y420/H420,0)*0.01196),"")</f>
        <v>0.21528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97.032196969696969</v>
      </c>
      <c r="BN420" s="64">
        <f t="shared" ref="BN420:BN430" si="45">IFERROR(Y420*I420/H420,"0")</f>
        <v>101.33999999999999</v>
      </c>
      <c r="BO420" s="64">
        <f t="shared" ref="BO420:BO430" si="46">IFERROR(1/J420*(X420/H420),"0")</f>
        <v>0.16571969696969696</v>
      </c>
      <c r="BP420" s="64">
        <f t="shared" ref="BP420:BP430" si="47">IFERROR(1/J420*(Y420/H420),"0")</f>
        <v>0.17307692307692307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50">
        <v>4680115885271</v>
      </c>
      <c r="E421" s="551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53"/>
      <c r="R421" s="553"/>
      <c r="S421" s="553"/>
      <c r="T421" s="554"/>
      <c r="U421" s="34"/>
      <c r="V421" s="34"/>
      <c r="W421" s="35" t="s">
        <v>69</v>
      </c>
      <c r="X421" s="539">
        <v>53</v>
      </c>
      <c r="Y421" s="540">
        <f t="shared" si="42"/>
        <v>58.080000000000005</v>
      </c>
      <c r="Z421" s="36">
        <f t="shared" si="43"/>
        <v>0.13156000000000001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56.513257575757571</v>
      </c>
      <c r="BN421" s="64">
        <f t="shared" si="45"/>
        <v>61.93</v>
      </c>
      <c r="BO421" s="64">
        <f t="shared" si="46"/>
        <v>9.6518065268065265E-2</v>
      </c>
      <c r="BP421" s="64">
        <f t="shared" si="47"/>
        <v>0.10576923076923078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50">
        <v>4680115885226</v>
      </c>
      <c r="E422" s="551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39">
        <v>364</v>
      </c>
      <c r="Y422" s="540">
        <f t="shared" si="42"/>
        <v>364.32</v>
      </c>
      <c r="Z422" s="36">
        <f t="shared" si="43"/>
        <v>0.82523999999999997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388.12878787878788</v>
      </c>
      <c r="BN422" s="64">
        <f t="shared" si="45"/>
        <v>388.46999999999997</v>
      </c>
      <c r="BO422" s="64">
        <f t="shared" si="46"/>
        <v>0.66287878787878785</v>
      </c>
      <c r="BP422" s="64">
        <f t="shared" si="47"/>
        <v>0.66346153846153855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50">
        <v>4607091383522</v>
      </c>
      <c r="E423" s="551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79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3"/>
      <c r="R423" s="553"/>
      <c r="S423" s="553"/>
      <c r="T423" s="554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50">
        <v>4680115884502</v>
      </c>
      <c r="E424" s="551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50">
        <v>4607091389104</v>
      </c>
      <c r="E425" s="551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39">
        <v>511</v>
      </c>
      <c r="Y425" s="540">
        <f t="shared" si="42"/>
        <v>512.16</v>
      </c>
      <c r="Z425" s="36">
        <f t="shared" si="43"/>
        <v>1.16012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544.87310606060601</v>
      </c>
      <c r="BN425" s="64">
        <f t="shared" si="45"/>
        <v>546.1099999999999</v>
      </c>
      <c r="BO425" s="64">
        <f t="shared" si="46"/>
        <v>0.93057983682983691</v>
      </c>
      <c r="BP425" s="64">
        <f t="shared" si="47"/>
        <v>0.9326923076923076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50">
        <v>4680115886391</v>
      </c>
      <c r="E426" s="551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53"/>
      <c r="R426" s="553"/>
      <c r="S426" s="553"/>
      <c r="T426" s="554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50">
        <v>4680115880603</v>
      </c>
      <c r="E427" s="551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7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53"/>
      <c r="R427" s="553"/>
      <c r="S427" s="553"/>
      <c r="T427" s="554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50">
        <v>4680115882782</v>
      </c>
      <c r="E428" s="551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50">
        <v>4680115885479</v>
      </c>
      <c r="E429" s="551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7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50">
        <v>4607091389982</v>
      </c>
      <c r="E430" s="551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6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76"/>
      <c r="B431" s="544"/>
      <c r="C431" s="544"/>
      <c r="D431" s="544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77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192.99242424242425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195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2.3322000000000003</v>
      </c>
      <c r="AA431" s="542"/>
      <c r="AB431" s="542"/>
      <c r="AC431" s="542"/>
    </row>
    <row r="432" spans="1:68" x14ac:dyDescent="0.2">
      <c r="A432" s="544"/>
      <c r="B432" s="544"/>
      <c r="C432" s="544"/>
      <c r="D432" s="544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77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1019</v>
      </c>
      <c r="Y432" s="541">
        <f>IFERROR(SUM(Y420:Y430),"0")</f>
        <v>1029.5999999999999</v>
      </c>
      <c r="Z432" s="37"/>
      <c r="AA432" s="542"/>
      <c r="AB432" s="542"/>
      <c r="AC432" s="542"/>
    </row>
    <row r="433" spans="1:68" ht="14.25" hidden="1" customHeight="1" x14ac:dyDescent="0.25">
      <c r="A433" s="543" t="s">
        <v>135</v>
      </c>
      <c r="B433" s="544"/>
      <c r="C433" s="544"/>
      <c r="D433" s="544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50">
        <v>4607091388930</v>
      </c>
      <c r="E434" s="551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5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53"/>
      <c r="R434" s="553"/>
      <c r="S434" s="553"/>
      <c r="T434" s="554"/>
      <c r="U434" s="34"/>
      <c r="V434" s="34"/>
      <c r="W434" s="35" t="s">
        <v>69</v>
      </c>
      <c r="X434" s="539">
        <v>515</v>
      </c>
      <c r="Y434" s="540">
        <f>IFERROR(IF(X434="",0,CEILING((X434/$H434),1)*$H434),"")</f>
        <v>517.44000000000005</v>
      </c>
      <c r="Z434" s="36">
        <f>IFERROR(IF(Y434=0,"",ROUNDUP(Y434/H434,0)*0.01196),"")</f>
        <v>1.17208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549.13825757575751</v>
      </c>
      <c r="BN434" s="64">
        <f>IFERROR(Y434*I434/H434,"0")</f>
        <v>551.74</v>
      </c>
      <c r="BO434" s="64">
        <f>IFERROR(1/J434*(X434/H434),"0")</f>
        <v>0.93786421911421913</v>
      </c>
      <c r="BP434" s="64">
        <f>IFERROR(1/J434*(Y434/H434),"0")</f>
        <v>0.9423076923076924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50">
        <v>4680115886407</v>
      </c>
      <c r="E435" s="551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53"/>
      <c r="R435" s="553"/>
      <c r="S435" s="553"/>
      <c r="T435" s="554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50">
        <v>4680115880054</v>
      </c>
      <c r="E436" s="551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112</v>
      </c>
      <c r="M436" s="33" t="s">
        <v>104</v>
      </c>
      <c r="N436" s="33"/>
      <c r="O436" s="32">
        <v>70</v>
      </c>
      <c r="P436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53"/>
      <c r="R436" s="553"/>
      <c r="S436" s="553"/>
      <c r="T436" s="554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76"/>
      <c r="B437" s="544"/>
      <c r="C437" s="544"/>
      <c r="D437" s="544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77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97.537878787878782</v>
      </c>
      <c r="Y437" s="541">
        <f>IFERROR(Y434/H434,"0")+IFERROR(Y435/H435,"0")+IFERROR(Y436/H436,"0")</f>
        <v>98</v>
      </c>
      <c r="Z437" s="541">
        <f>IFERROR(IF(Z434="",0,Z434),"0")+IFERROR(IF(Z435="",0,Z435),"0")+IFERROR(IF(Z436="",0,Z436),"0")</f>
        <v>1.17208</v>
      </c>
      <c r="AA437" s="542"/>
      <c r="AB437" s="542"/>
      <c r="AC437" s="542"/>
    </row>
    <row r="438" spans="1:68" x14ac:dyDescent="0.2">
      <c r="A438" s="544"/>
      <c r="B438" s="544"/>
      <c r="C438" s="544"/>
      <c r="D438" s="544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77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515</v>
      </c>
      <c r="Y438" s="541">
        <f>IFERROR(SUM(Y434:Y436),"0")</f>
        <v>517.44000000000005</v>
      </c>
      <c r="Z438" s="37"/>
      <c r="AA438" s="542"/>
      <c r="AB438" s="542"/>
      <c r="AC438" s="542"/>
    </row>
    <row r="439" spans="1:68" ht="14.25" hidden="1" customHeight="1" x14ac:dyDescent="0.25">
      <c r="A439" s="543" t="s">
        <v>64</v>
      </c>
      <c r="B439" s="544"/>
      <c r="C439" s="544"/>
      <c r="D439" s="544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50">
        <v>4680115883116</v>
      </c>
      <c r="E440" s="551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6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53"/>
      <c r="R440" s="553"/>
      <c r="S440" s="553"/>
      <c r="T440" s="554"/>
      <c r="U440" s="34"/>
      <c r="V440" s="34"/>
      <c r="W440" s="35" t="s">
        <v>69</v>
      </c>
      <c r="X440" s="539">
        <v>76</v>
      </c>
      <c r="Y440" s="540">
        <f t="shared" ref="Y440:Y445" si="48">IFERROR(IF(X440="",0,CEILING((X440/$H440),1)*$H440),"")</f>
        <v>79.2</v>
      </c>
      <c r="Z440" s="36">
        <f>IFERROR(IF(Y440=0,"",ROUNDUP(Y440/H440,0)*0.01196),"")</f>
        <v>0.1794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81.037878787878782</v>
      </c>
      <c r="BN440" s="64">
        <f t="shared" ref="BN440:BN445" si="50">IFERROR(Y440*I440/H440,"0")</f>
        <v>84.45</v>
      </c>
      <c r="BO440" s="64">
        <f t="shared" ref="BO440:BO445" si="51">IFERROR(1/J440*(X440/H440),"0")</f>
        <v>0.13840326340326339</v>
      </c>
      <c r="BP440" s="64">
        <f t="shared" ref="BP440:BP445" si="52">IFERROR(1/J440*(Y440/H440),"0")</f>
        <v>0.14423076923076925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50">
        <v>4680115883093</v>
      </c>
      <c r="E441" s="551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39">
        <v>206</v>
      </c>
      <c r="Y441" s="540">
        <f t="shared" si="48"/>
        <v>211.20000000000002</v>
      </c>
      <c r="Z441" s="36">
        <f>IFERROR(IF(Y441=0,"",ROUNDUP(Y441/H441,0)*0.01196),"")</f>
        <v>0.47839999999999999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219.655303030303</v>
      </c>
      <c r="BN441" s="64">
        <f t="shared" si="50"/>
        <v>225.2</v>
      </c>
      <c r="BO441" s="64">
        <f t="shared" si="51"/>
        <v>0.37514568764568768</v>
      </c>
      <c r="BP441" s="64">
        <f t="shared" si="52"/>
        <v>0.38461538461538464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50">
        <v>4680115883109</v>
      </c>
      <c r="E442" s="551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39">
        <v>343</v>
      </c>
      <c r="Y442" s="540">
        <f t="shared" si="48"/>
        <v>343.2</v>
      </c>
      <c r="Z442" s="36">
        <f>IFERROR(IF(Y442=0,"",ROUNDUP(Y442/H442,0)*0.01196),"")</f>
        <v>0.77739999999999998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365.73674242424238</v>
      </c>
      <c r="BN442" s="64">
        <f t="shared" si="50"/>
        <v>365.95</v>
      </c>
      <c r="BO442" s="64">
        <f t="shared" si="51"/>
        <v>0.62463578088578087</v>
      </c>
      <c r="BP442" s="64">
        <f t="shared" si="52"/>
        <v>0.625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50">
        <v>4680115882072</v>
      </c>
      <c r="E443" s="551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50">
        <v>4680115882102</v>
      </c>
      <c r="E444" s="551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5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53"/>
      <c r="R444" s="553"/>
      <c r="S444" s="553"/>
      <c r="T444" s="554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50">
        <v>4680115882096</v>
      </c>
      <c r="E445" s="551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76"/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77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118.37121212121211</v>
      </c>
      <c r="Y446" s="541">
        <f>IFERROR(Y440/H440,"0")+IFERROR(Y441/H441,"0")+IFERROR(Y442/H442,"0")+IFERROR(Y443/H443,"0")+IFERROR(Y444/H444,"0")+IFERROR(Y445/H445,"0")</f>
        <v>120</v>
      </c>
      <c r="Z446" s="541">
        <f>IFERROR(IF(Z440="",0,Z440),"0")+IFERROR(IF(Z441="",0,Z441),"0")+IFERROR(IF(Z442="",0,Z442),"0")+IFERROR(IF(Z443="",0,Z443),"0")+IFERROR(IF(Z444="",0,Z444),"0")+IFERROR(IF(Z445="",0,Z445),"0")</f>
        <v>1.4352</v>
      </c>
      <c r="AA446" s="542"/>
      <c r="AB446" s="542"/>
      <c r="AC446" s="542"/>
    </row>
    <row r="447" spans="1:68" x14ac:dyDescent="0.2">
      <c r="A447" s="544"/>
      <c r="B447" s="544"/>
      <c r="C447" s="544"/>
      <c r="D447" s="544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77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625</v>
      </c>
      <c r="Y447" s="541">
        <f>IFERROR(SUM(Y440:Y445),"0")</f>
        <v>633.6</v>
      </c>
      <c r="Z447" s="37"/>
      <c r="AA447" s="542"/>
      <c r="AB447" s="542"/>
      <c r="AC447" s="542"/>
    </row>
    <row r="448" spans="1:68" ht="14.25" hidden="1" customHeight="1" x14ac:dyDescent="0.25">
      <c r="A448" s="543" t="s">
        <v>73</v>
      </c>
      <c r="B448" s="544"/>
      <c r="C448" s="544"/>
      <c r="D448" s="544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50">
        <v>4607091383409</v>
      </c>
      <c r="E449" s="551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56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53"/>
      <c r="R449" s="553"/>
      <c r="S449" s="553"/>
      <c r="T449" s="554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50">
        <v>4607091383416</v>
      </c>
      <c r="E450" s="551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50">
        <v>4680115883536</v>
      </c>
      <c r="E451" s="551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76"/>
      <c r="B452" s="544"/>
      <c r="C452" s="544"/>
      <c r="D452" s="544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77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4"/>
      <c r="B453" s="544"/>
      <c r="C453" s="544"/>
      <c r="D453" s="544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77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558" t="s">
        <v>696</v>
      </c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48"/>
      <c r="AB454" s="48"/>
      <c r="AC454" s="48"/>
    </row>
    <row r="455" spans="1:68" ht="16.5" hidden="1" customHeight="1" x14ac:dyDescent="0.25">
      <c r="A455" s="585" t="s">
        <v>696</v>
      </c>
      <c r="B455" s="544"/>
      <c r="C455" s="544"/>
      <c r="D455" s="544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34"/>
      <c r="AB455" s="534"/>
      <c r="AC455" s="534"/>
    </row>
    <row r="456" spans="1:68" ht="14.25" hidden="1" customHeight="1" x14ac:dyDescent="0.25">
      <c r="A456" s="543" t="s">
        <v>99</v>
      </c>
      <c r="B456" s="544"/>
      <c r="C456" s="544"/>
      <c r="D456" s="544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50">
        <v>4640242181011</v>
      </c>
      <c r="E457" s="551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53"/>
      <c r="R457" s="553"/>
      <c r="S457" s="553"/>
      <c r="T457" s="554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50">
        <v>4640242180441</v>
      </c>
      <c r="E458" s="551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2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50">
        <v>4640242180564</v>
      </c>
      <c r="E459" s="551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6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50">
        <v>4640242181189</v>
      </c>
      <c r="E460" s="551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6"/>
      <c r="B461" s="544"/>
      <c r="C461" s="544"/>
      <c r="D461" s="544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77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4"/>
      <c r="B462" s="544"/>
      <c r="C462" s="544"/>
      <c r="D462" s="544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77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43" t="s">
        <v>135</v>
      </c>
      <c r="B463" s="544"/>
      <c r="C463" s="544"/>
      <c r="D463" s="544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50">
        <v>4640242180519</v>
      </c>
      <c r="E464" s="551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53"/>
      <c r="R464" s="553"/>
      <c r="S464" s="553"/>
      <c r="T464" s="554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50">
        <v>4640242180526</v>
      </c>
      <c r="E465" s="551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53"/>
      <c r="R465" s="553"/>
      <c r="S465" s="553"/>
      <c r="T465" s="554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50">
        <v>4640242181363</v>
      </c>
      <c r="E466" s="551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80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53"/>
      <c r="R466" s="553"/>
      <c r="S466" s="553"/>
      <c r="T466" s="554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76"/>
      <c r="B467" s="544"/>
      <c r="C467" s="544"/>
      <c r="D467" s="544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77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4"/>
      <c r="B468" s="544"/>
      <c r="C468" s="544"/>
      <c r="D468" s="544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77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43" t="s">
        <v>64</v>
      </c>
      <c r="B469" s="544"/>
      <c r="C469" s="544"/>
      <c r="D469" s="544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50">
        <v>4640242180816</v>
      </c>
      <c r="E470" s="551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112</v>
      </c>
      <c r="M470" s="33" t="s">
        <v>68</v>
      </c>
      <c r="N470" s="33"/>
      <c r="O470" s="32">
        <v>40</v>
      </c>
      <c r="P470" s="6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53"/>
      <c r="R470" s="553"/>
      <c r="S470" s="553"/>
      <c r="T470" s="554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50">
        <v>4640242180595</v>
      </c>
      <c r="E471" s="551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8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76"/>
      <c r="B472" s="544"/>
      <c r="C472" s="544"/>
      <c r="D472" s="544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77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4"/>
      <c r="B473" s="544"/>
      <c r="C473" s="544"/>
      <c r="D473" s="544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77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43" t="s">
        <v>73</v>
      </c>
      <c r="B474" s="544"/>
      <c r="C474" s="544"/>
      <c r="D474" s="544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50">
        <v>4640242180533</v>
      </c>
      <c r="E475" s="551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3"/>
      <c r="R475" s="553"/>
      <c r="S475" s="553"/>
      <c r="T475" s="554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76"/>
      <c r="B476" s="544"/>
      <c r="C476" s="544"/>
      <c r="D476" s="544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77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4"/>
      <c r="B477" s="544"/>
      <c r="C477" s="544"/>
      <c r="D477" s="544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77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43" t="s">
        <v>163</v>
      </c>
      <c r="B478" s="544"/>
      <c r="C478" s="544"/>
      <c r="D478" s="544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50">
        <v>4640242180120</v>
      </c>
      <c r="E479" s="551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7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3"/>
      <c r="R479" s="553"/>
      <c r="S479" s="553"/>
      <c r="T479" s="554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50">
        <v>4640242180137</v>
      </c>
      <c r="E480" s="551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81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76"/>
      <c r="B481" s="544"/>
      <c r="C481" s="544"/>
      <c r="D481" s="544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77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4"/>
      <c r="B482" s="544"/>
      <c r="C482" s="544"/>
      <c r="D482" s="544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77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85" t="s">
        <v>732</v>
      </c>
      <c r="B483" s="544"/>
      <c r="C483" s="544"/>
      <c r="D483" s="544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34"/>
      <c r="AB483" s="534"/>
      <c r="AC483" s="534"/>
    </row>
    <row r="484" spans="1:68" ht="14.25" hidden="1" customHeight="1" x14ac:dyDescent="0.25">
      <c r="A484" s="543" t="s">
        <v>135</v>
      </c>
      <c r="B484" s="544"/>
      <c r="C484" s="544"/>
      <c r="D484" s="544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50">
        <v>4640242180090</v>
      </c>
      <c r="E485" s="551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3"/>
      <c r="R485" s="553"/>
      <c r="S485" s="553"/>
      <c r="T485" s="554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76"/>
      <c r="B486" s="544"/>
      <c r="C486" s="544"/>
      <c r="D486" s="544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77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4"/>
      <c r="B487" s="544"/>
      <c r="C487" s="544"/>
      <c r="D487" s="544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77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41"/>
      <c r="B488" s="544"/>
      <c r="C488" s="544"/>
      <c r="D488" s="544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642"/>
      <c r="P488" s="560" t="s">
        <v>736</v>
      </c>
      <c r="Q488" s="561"/>
      <c r="R488" s="561"/>
      <c r="S488" s="561"/>
      <c r="T488" s="561"/>
      <c r="U488" s="561"/>
      <c r="V488" s="562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14273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14449.12</v>
      </c>
      <c r="Z488" s="37"/>
      <c r="AA488" s="542"/>
      <c r="AB488" s="542"/>
      <c r="AC488" s="542"/>
    </row>
    <row r="489" spans="1:68" x14ac:dyDescent="0.2">
      <c r="A489" s="544"/>
      <c r="B489" s="544"/>
      <c r="C489" s="544"/>
      <c r="D489" s="544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642"/>
      <c r="P489" s="560" t="s">
        <v>737</v>
      </c>
      <c r="Q489" s="561"/>
      <c r="R489" s="561"/>
      <c r="S489" s="561"/>
      <c r="T489" s="561"/>
      <c r="U489" s="561"/>
      <c r="V489" s="562"/>
      <c r="W489" s="37" t="s">
        <v>69</v>
      </c>
      <c r="X489" s="541">
        <f>IFERROR(SUM(BM22:BM485),"0")</f>
        <v>15052.575333380153</v>
      </c>
      <c r="Y489" s="541">
        <f>IFERROR(SUM(BN22:BN485),"0")</f>
        <v>15238.035000000002</v>
      </c>
      <c r="Z489" s="37"/>
      <c r="AA489" s="542"/>
      <c r="AB489" s="542"/>
      <c r="AC489" s="542"/>
    </row>
    <row r="490" spans="1:68" x14ac:dyDescent="0.2">
      <c r="A490" s="544"/>
      <c r="B490" s="544"/>
      <c r="C490" s="544"/>
      <c r="D490" s="544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642"/>
      <c r="P490" s="560" t="s">
        <v>738</v>
      </c>
      <c r="Q490" s="561"/>
      <c r="R490" s="561"/>
      <c r="S490" s="561"/>
      <c r="T490" s="561"/>
      <c r="U490" s="561"/>
      <c r="V490" s="562"/>
      <c r="W490" s="37" t="s">
        <v>739</v>
      </c>
      <c r="X490" s="38">
        <f>ROUNDUP(SUM(BO22:BO485),0)</f>
        <v>25</v>
      </c>
      <c r="Y490" s="38">
        <f>ROUNDUP(SUM(BP22:BP485),0)</f>
        <v>25</v>
      </c>
      <c r="Z490" s="37"/>
      <c r="AA490" s="542"/>
      <c r="AB490" s="542"/>
      <c r="AC490" s="542"/>
    </row>
    <row r="491" spans="1:68" x14ac:dyDescent="0.2">
      <c r="A491" s="544"/>
      <c r="B491" s="544"/>
      <c r="C491" s="544"/>
      <c r="D491" s="544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642"/>
      <c r="P491" s="560" t="s">
        <v>740</v>
      </c>
      <c r="Q491" s="561"/>
      <c r="R491" s="561"/>
      <c r="S491" s="561"/>
      <c r="T491" s="561"/>
      <c r="U491" s="561"/>
      <c r="V491" s="562"/>
      <c r="W491" s="37" t="s">
        <v>69</v>
      </c>
      <c r="X491" s="541">
        <f>GrossWeightTotal+PalletQtyTotal*25</f>
        <v>15677.575333380153</v>
      </c>
      <c r="Y491" s="541">
        <f>GrossWeightTotalR+PalletQtyTotalR*25</f>
        <v>15863.035000000002</v>
      </c>
      <c r="Z491" s="37"/>
      <c r="AA491" s="542"/>
      <c r="AB491" s="542"/>
      <c r="AC491" s="542"/>
    </row>
    <row r="492" spans="1:68" x14ac:dyDescent="0.2">
      <c r="A492" s="544"/>
      <c r="B492" s="544"/>
      <c r="C492" s="544"/>
      <c r="D492" s="544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642"/>
      <c r="P492" s="560" t="s">
        <v>741</v>
      </c>
      <c r="Q492" s="561"/>
      <c r="R492" s="561"/>
      <c r="S492" s="561"/>
      <c r="T492" s="561"/>
      <c r="U492" s="561"/>
      <c r="V492" s="562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2467.2484881960381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2497</v>
      </c>
      <c r="Z492" s="37"/>
      <c r="AA492" s="542"/>
      <c r="AB492" s="542"/>
      <c r="AC492" s="542"/>
    </row>
    <row r="493" spans="1:68" ht="14.25" hidden="1" customHeight="1" x14ac:dyDescent="0.2">
      <c r="A493" s="544"/>
      <c r="B493" s="544"/>
      <c r="C493" s="544"/>
      <c r="D493" s="544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642"/>
      <c r="P493" s="560" t="s">
        <v>742</v>
      </c>
      <c r="Q493" s="561"/>
      <c r="R493" s="561"/>
      <c r="S493" s="561"/>
      <c r="T493" s="561"/>
      <c r="U493" s="561"/>
      <c r="V493" s="562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29.154499999999999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48" t="s">
        <v>97</v>
      </c>
      <c r="D495" s="813"/>
      <c r="E495" s="813"/>
      <c r="F495" s="813"/>
      <c r="G495" s="813"/>
      <c r="H495" s="662"/>
      <c r="I495" s="548" t="s">
        <v>255</v>
      </c>
      <c r="J495" s="813"/>
      <c r="K495" s="813"/>
      <c r="L495" s="813"/>
      <c r="M495" s="813"/>
      <c r="N495" s="813"/>
      <c r="O495" s="813"/>
      <c r="P495" s="813"/>
      <c r="Q495" s="813"/>
      <c r="R495" s="662"/>
      <c r="S495" s="548" t="s">
        <v>533</v>
      </c>
      <c r="T495" s="662"/>
      <c r="U495" s="548" t="s">
        <v>585</v>
      </c>
      <c r="V495" s="813"/>
      <c r="W495" s="662"/>
      <c r="X495" s="536" t="s">
        <v>636</v>
      </c>
      <c r="Y495" s="548" t="s">
        <v>696</v>
      </c>
      <c r="Z495" s="662"/>
      <c r="AB495" s="52"/>
      <c r="AC495" s="52"/>
      <c r="AF495" s="537"/>
    </row>
    <row r="496" spans="1:68" ht="14.25" customHeight="1" thickTop="1" x14ac:dyDescent="0.2">
      <c r="A496" s="829" t="s">
        <v>745</v>
      </c>
      <c r="B496" s="548" t="s">
        <v>63</v>
      </c>
      <c r="C496" s="548" t="s">
        <v>98</v>
      </c>
      <c r="D496" s="548" t="s">
        <v>116</v>
      </c>
      <c r="E496" s="548" t="s">
        <v>170</v>
      </c>
      <c r="F496" s="548" t="s">
        <v>189</v>
      </c>
      <c r="G496" s="548" t="s">
        <v>220</v>
      </c>
      <c r="H496" s="548" t="s">
        <v>97</v>
      </c>
      <c r="I496" s="548" t="s">
        <v>256</v>
      </c>
      <c r="J496" s="548" t="s">
        <v>297</v>
      </c>
      <c r="K496" s="548" t="s">
        <v>357</v>
      </c>
      <c r="L496" s="548" t="s">
        <v>399</v>
      </c>
      <c r="M496" s="548" t="s">
        <v>415</v>
      </c>
      <c r="N496" s="537"/>
      <c r="O496" s="548" t="s">
        <v>426</v>
      </c>
      <c r="P496" s="548" t="s">
        <v>435</v>
      </c>
      <c r="Q496" s="548" t="s">
        <v>445</v>
      </c>
      <c r="R496" s="548" t="s">
        <v>523</v>
      </c>
      <c r="S496" s="548" t="s">
        <v>534</v>
      </c>
      <c r="T496" s="548" t="s">
        <v>569</v>
      </c>
      <c r="U496" s="548" t="s">
        <v>586</v>
      </c>
      <c r="V496" s="548" t="s">
        <v>617</v>
      </c>
      <c r="W496" s="548" t="s">
        <v>632</v>
      </c>
      <c r="X496" s="548" t="s">
        <v>636</v>
      </c>
      <c r="Y496" s="548" t="s">
        <v>696</v>
      </c>
      <c r="Z496" s="548" t="s">
        <v>732</v>
      </c>
      <c r="AB496" s="52"/>
      <c r="AC496" s="52"/>
      <c r="AF496" s="537"/>
    </row>
    <row r="497" spans="1:32" ht="13.5" customHeight="1" thickBot="1" x14ac:dyDescent="0.25">
      <c r="A497" s="830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537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851.2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562.00000000000011</v>
      </c>
      <c r="E498" s="46">
        <f>IFERROR(Y85*1,"0")+IFERROR(Y86*1,"0")+IFERROR(Y87*1,"0")+IFERROR(Y91*1,"0")+IFERROR(Y92*1,"0")+IFERROR(Y93*1,"0")+IFERROR(Y94*1,"0")</f>
        <v>691.2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1116.6000000000001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361.20000000000005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2439.9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123.2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24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688.08</v>
      </c>
      <c r="R498" s="46">
        <f>IFERROR(Y334*1,"0")+IFERROR(Y335*1,"0")+IFERROR(Y336*1,"0")</f>
        <v>8.1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3972</v>
      </c>
      <c r="T498" s="46">
        <f>IFERROR(Y367*1,"0")+IFERROR(Y368*1,"0")+IFERROR(Y372*1,"0")+IFERROR(Y373*1,"0")+IFERROR(Y377*1,"0")+IFERROR(Y378*1,"0")</f>
        <v>1431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2180.64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xJaN2WJoCBZnYlmQZurYqpKg09IW/+XYro1avhN/VBmg+iMMw7kXsyH5jWuEeX9Dv0rLGD4AV3mHxprJXBs1eQ==" saltValue="e/yfKpn9zJlKDCmdQR8k0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9"/>
        <filter val="1 019,00"/>
        <filter val="1 206,00"/>
        <filter val="1 391,00"/>
        <filter val="1 714,00"/>
        <filter val="1,00"/>
        <filter val="1,11"/>
        <filter val="1,32"/>
        <filter val="10,00"/>
        <filter val="100,00"/>
        <filter val="102,00"/>
        <filter val="104,00"/>
        <filter val="112,63"/>
        <filter val="116,00"/>
        <filter val="117,00"/>
        <filter val="118,37"/>
        <filter val="120,00"/>
        <filter val="130,00"/>
        <filter val="132,00"/>
        <filter val="136,00"/>
        <filter val="137,00"/>
        <filter val="139,00"/>
        <filter val="14 273,00"/>
        <filter val="148,00"/>
        <filter val="15 052,58"/>
        <filter val="15 677,58"/>
        <filter val="15,00"/>
        <filter val="154,29"/>
        <filter val="154,56"/>
        <filter val="16,00"/>
        <filter val="160,19"/>
        <filter val="162,00"/>
        <filter val="171,00"/>
        <filter val="172,00"/>
        <filter val="18,00"/>
        <filter val="183,00"/>
        <filter val="192,00"/>
        <filter val="192,99"/>
        <filter val="199,00"/>
        <filter val="2 467,25"/>
        <filter val="2 565,00"/>
        <filter val="2,22"/>
        <filter val="2,50"/>
        <filter val="2,67"/>
        <filter val="202,00"/>
        <filter val="206,00"/>
        <filter val="21,11"/>
        <filter val="226,00"/>
        <filter val="228,00"/>
        <filter val="24,00"/>
        <filter val="25"/>
        <filter val="250,00"/>
        <filter val="260,00"/>
        <filter val="27,22"/>
        <filter val="27,81"/>
        <filter val="274,00"/>
        <filter val="282,00"/>
        <filter val="296,00"/>
        <filter val="3,00"/>
        <filter val="3,17"/>
        <filter val="3,50"/>
        <filter val="304,00"/>
        <filter val="307,00"/>
        <filter val="32,00"/>
        <filter val="343,00"/>
        <filter val="344,00"/>
        <filter val="36,00"/>
        <filter val="364,00"/>
        <filter val="380,00"/>
        <filter val="4,00"/>
        <filter val="422,00"/>
        <filter val="428,00"/>
        <filter val="443,00"/>
        <filter val="46,00"/>
        <filter val="47,00"/>
        <filter val="48,00"/>
        <filter val="49,00"/>
        <filter val="5,56"/>
        <filter val="50,74"/>
        <filter val="511,00"/>
        <filter val="515,00"/>
        <filter val="52,00"/>
        <filter val="528,00"/>
        <filter val="53,00"/>
        <filter val="56,48"/>
        <filter val="56,67"/>
        <filter val="571,00"/>
        <filter val="59,91"/>
        <filter val="598,00"/>
        <filter val="6,00"/>
        <filter val="60,49"/>
        <filter val="625,00"/>
        <filter val="629,08"/>
        <filter val="656,00"/>
        <filter val="66,00"/>
        <filter val="678,00"/>
        <filter val="7,00"/>
        <filter val="731,00"/>
        <filter val="75,11"/>
        <filter val="76,00"/>
        <filter val="80,40"/>
        <filter val="843,00"/>
        <filter val="848,00"/>
        <filter val="85,00"/>
        <filter val="882,00"/>
        <filter val="91,00"/>
        <filter val="94,57"/>
        <filter val="97,00"/>
        <filter val="97,54"/>
      </filters>
    </filterColumn>
    <filterColumn colId="29" showButton="0"/>
    <filterColumn colId="30" showButton="0"/>
  </autoFilter>
  <mergeCells count="872"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D124:E124"/>
    <mergeCell ref="P56:T56"/>
    <mergeCell ref="D195:E195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229:E229"/>
    <mergeCell ref="A403:O404"/>
    <mergeCell ref="D108:E108"/>
    <mergeCell ref="P429:T429"/>
    <mergeCell ref="P258:T258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D255:E255"/>
    <mergeCell ref="P36:V36"/>
    <mergeCell ref="A97:Z97"/>
    <mergeCell ref="D322:E322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P451:T451"/>
    <mergeCell ref="D372:E372"/>
    <mergeCell ref="D335:E335"/>
    <mergeCell ref="D201:E201"/>
    <mergeCell ref="P245:T245"/>
    <mergeCell ref="A280:O281"/>
    <mergeCell ref="D409:E409"/>
    <mergeCell ref="D444:E444"/>
    <mergeCell ref="A474:Z474"/>
    <mergeCell ref="P380:V380"/>
    <mergeCell ref="D168:E168"/>
    <mergeCell ref="D466:E466"/>
    <mergeCell ref="D451:E451"/>
    <mergeCell ref="P479:T479"/>
    <mergeCell ref="P423:T423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D362:E362"/>
    <mergeCell ref="D51:E51"/>
    <mergeCell ref="D74:E74"/>
    <mergeCell ref="D130:E130"/>
    <mergeCell ref="P87:T87"/>
    <mergeCell ref="D68:E68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106:T106"/>
    <mergeCell ref="P390:T390"/>
    <mergeCell ref="D298:E298"/>
    <mergeCell ref="P91:T91"/>
    <mergeCell ref="P404:V404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A433:Z433"/>
    <mergeCell ref="P485:T485"/>
    <mergeCell ref="D450:E450"/>
    <mergeCell ref="P452:V452"/>
    <mergeCell ref="A351:Z351"/>
    <mergeCell ref="D273:E273"/>
    <mergeCell ref="P441:T441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P226:T226"/>
    <mergeCell ref="P335:T335"/>
    <mergeCell ref="D256:E256"/>
    <mergeCell ref="D207:E207"/>
    <mergeCell ref="P164:T164"/>
    <mergeCell ref="P120:V120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452:O453"/>
    <mergeCell ref="D459:E459"/>
    <mergeCell ref="D288:E288"/>
    <mergeCell ref="P475:T475"/>
    <mergeCell ref="P477:V477"/>
    <mergeCell ref="P249:T249"/>
    <mergeCell ref="A365:Z365"/>
    <mergeCell ref="D357:E357"/>
    <mergeCell ref="D258:E258"/>
    <mergeCell ref="P235:V235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478:Z478"/>
    <mergeCell ref="P436:T436"/>
    <mergeCell ref="P492:V492"/>
    <mergeCell ref="A469:Z46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2 X164:X165 X167:X168 X191 X195:X196 X198:X200 X202 X208:X209 X211:X214 X219 X224 X272:X273 X314:X316 X323 X334 X342:X344 X352 X377:X378 X420:X422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hPmvKSD2CoA1AXGMIJhhl87qOq2ODqD2weYQ3CXZAAJwA9qkm/VKApfiTwQiHfrQFmZWXernHm7/neFmiNCp9g==" saltValue="bBhRKtyERux/BuRX54Xh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