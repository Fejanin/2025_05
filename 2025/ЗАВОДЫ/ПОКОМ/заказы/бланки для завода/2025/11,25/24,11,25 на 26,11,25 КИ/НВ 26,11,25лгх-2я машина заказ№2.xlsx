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B3D393-AEF2-4FCB-83D1-FEC3FDB35B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Y89" i="1" s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BP42" i="1" l="1"/>
  <c r="BN42" i="1"/>
  <c r="Z42" i="1"/>
  <c r="BP79" i="1"/>
  <c r="BN79" i="1"/>
  <c r="Z79" i="1"/>
  <c r="BP115" i="1"/>
  <c r="BN115" i="1"/>
  <c r="Z115" i="1"/>
  <c r="BP162" i="1"/>
  <c r="BN162" i="1"/>
  <c r="Z162" i="1"/>
  <c r="BP196" i="1"/>
  <c r="BN196" i="1"/>
  <c r="Z196" i="1"/>
  <c r="BP214" i="1"/>
  <c r="BN214" i="1"/>
  <c r="Z214" i="1"/>
  <c r="BP247" i="1"/>
  <c r="BN247" i="1"/>
  <c r="Z247" i="1"/>
  <c r="BP279" i="1"/>
  <c r="BN279" i="1"/>
  <c r="Z279" i="1"/>
  <c r="BP303" i="1"/>
  <c r="BN303" i="1"/>
  <c r="Z303" i="1"/>
  <c r="BP334" i="1"/>
  <c r="BN334" i="1"/>
  <c r="Z334" i="1"/>
  <c r="BP373" i="1"/>
  <c r="BN373" i="1"/>
  <c r="Z373" i="1"/>
  <c r="BP377" i="1"/>
  <c r="BN377" i="1"/>
  <c r="Z377" i="1"/>
  <c r="BP423" i="1"/>
  <c r="BN423" i="1"/>
  <c r="Z423" i="1"/>
  <c r="BP449" i="1"/>
  <c r="BN449" i="1"/>
  <c r="Z449" i="1"/>
  <c r="BP26" i="1"/>
  <c r="BN26" i="1"/>
  <c r="Z26" i="1"/>
  <c r="BP61" i="1"/>
  <c r="BN61" i="1"/>
  <c r="Z61" i="1"/>
  <c r="BP99" i="1"/>
  <c r="BN99" i="1"/>
  <c r="Z99" i="1"/>
  <c r="BP145" i="1"/>
  <c r="BN145" i="1"/>
  <c r="Z145" i="1"/>
  <c r="Z148" i="1" s="1"/>
  <c r="BP167" i="1"/>
  <c r="BN167" i="1"/>
  <c r="Z167" i="1"/>
  <c r="BP206" i="1"/>
  <c r="BN206" i="1"/>
  <c r="Z206" i="1"/>
  <c r="BP229" i="1"/>
  <c r="BN229" i="1"/>
  <c r="Z229" i="1"/>
  <c r="BP258" i="1"/>
  <c r="BN258" i="1"/>
  <c r="Z258" i="1"/>
  <c r="BP291" i="1"/>
  <c r="BN291" i="1"/>
  <c r="Z291" i="1"/>
  <c r="BP321" i="1"/>
  <c r="BN321" i="1"/>
  <c r="Z321" i="1"/>
  <c r="BP348" i="1"/>
  <c r="BN348" i="1"/>
  <c r="Z348" i="1"/>
  <c r="BP391" i="1"/>
  <c r="BN391" i="1"/>
  <c r="Z391" i="1"/>
  <c r="BP435" i="1"/>
  <c r="BN435" i="1"/>
  <c r="Z435" i="1"/>
  <c r="BP471" i="1"/>
  <c r="BN471" i="1"/>
  <c r="Z471" i="1"/>
  <c r="BP165" i="1"/>
  <c r="BN165" i="1"/>
  <c r="Z165" i="1"/>
  <c r="BP186" i="1"/>
  <c r="BN186" i="1"/>
  <c r="Z186" i="1"/>
  <c r="BP190" i="1"/>
  <c r="BN190" i="1"/>
  <c r="Z190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84" i="1"/>
  <c r="BN284" i="1"/>
  <c r="Z284" i="1"/>
  <c r="Q498" i="1"/>
  <c r="BP289" i="1"/>
  <c r="BN289" i="1"/>
  <c r="Z289" i="1"/>
  <c r="BP299" i="1"/>
  <c r="BN299" i="1"/>
  <c r="Z299" i="1"/>
  <c r="J9" i="1"/>
  <c r="X488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Z67" i="1"/>
  <c r="BN67" i="1"/>
  <c r="Y70" i="1"/>
  <c r="Z75" i="1"/>
  <c r="BN75" i="1"/>
  <c r="Z86" i="1"/>
  <c r="BN86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Y148" i="1"/>
  <c r="Z147" i="1"/>
  <c r="BN147" i="1"/>
  <c r="BP164" i="1"/>
  <c r="BN164" i="1"/>
  <c r="Z164" i="1"/>
  <c r="BP169" i="1"/>
  <c r="BN169" i="1"/>
  <c r="Z169" i="1"/>
  <c r="BP198" i="1"/>
  <c r="BN198" i="1"/>
  <c r="Z198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6" i="1"/>
  <c r="Y285" i="1"/>
  <c r="BP283" i="1"/>
  <c r="BN283" i="1"/>
  <c r="Z283" i="1"/>
  <c r="Z285" i="1" s="1"/>
  <c r="BP293" i="1"/>
  <c r="BN293" i="1"/>
  <c r="Z293" i="1"/>
  <c r="BP307" i="1"/>
  <c r="BN307" i="1"/>
  <c r="Z307" i="1"/>
  <c r="BP323" i="1"/>
  <c r="BN323" i="1"/>
  <c r="Z323" i="1"/>
  <c r="BP336" i="1"/>
  <c r="BN336" i="1"/>
  <c r="Z336" i="1"/>
  <c r="BP342" i="1"/>
  <c r="BN342" i="1"/>
  <c r="Z342" i="1"/>
  <c r="BP352" i="1"/>
  <c r="BN352" i="1"/>
  <c r="Z352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78" i="1"/>
  <c r="Y216" i="1"/>
  <c r="Y305" i="1"/>
  <c r="BP301" i="1"/>
  <c r="BN301" i="1"/>
  <c r="Z301" i="1"/>
  <c r="BP315" i="1"/>
  <c r="BN315" i="1"/>
  <c r="Z315" i="1"/>
  <c r="BP329" i="1"/>
  <c r="BN329" i="1"/>
  <c r="Z329" i="1"/>
  <c r="Y337" i="1"/>
  <c r="BP346" i="1"/>
  <c r="BN346" i="1"/>
  <c r="Z346" i="1"/>
  <c r="Y364" i="1"/>
  <c r="Y363" i="1"/>
  <c r="BP362" i="1"/>
  <c r="BN362" i="1"/>
  <c r="Z362" i="1"/>
  <c r="Z363" i="1" s="1"/>
  <c r="BP367" i="1"/>
  <c r="BN367" i="1"/>
  <c r="Z367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453" i="1"/>
  <c r="Y452" i="1"/>
  <c r="Y31" i="1"/>
  <c r="Y63" i="1"/>
  <c r="BP60" i="1"/>
  <c r="BN60" i="1"/>
  <c r="Z60" i="1"/>
  <c r="BP80" i="1"/>
  <c r="BN80" i="1"/>
  <c r="Z80" i="1"/>
  <c r="Y82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BP41" i="1"/>
  <c r="Y44" i="1"/>
  <c r="D498" i="1"/>
  <c r="Y57" i="1"/>
  <c r="Z52" i="1"/>
  <c r="BN52" i="1"/>
  <c r="BP52" i="1"/>
  <c r="Z54" i="1"/>
  <c r="BN54" i="1"/>
  <c r="Z56" i="1"/>
  <c r="BN56" i="1"/>
  <c r="BP62" i="1"/>
  <c r="BN62" i="1"/>
  <c r="Z62" i="1"/>
  <c r="Y64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81" i="1"/>
  <c r="BP180" i="1"/>
  <c r="BN180" i="1"/>
  <c r="Z180" i="1"/>
  <c r="Z181" i="1" s="1"/>
  <c r="Y182" i="1"/>
  <c r="J498" i="1"/>
  <c r="Y188" i="1"/>
  <c r="BP185" i="1"/>
  <c r="BN185" i="1"/>
  <c r="Z185" i="1"/>
  <c r="Y192" i="1"/>
  <c r="BP197" i="1"/>
  <c r="BN197" i="1"/>
  <c r="Z197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300" i="1"/>
  <c r="BN300" i="1"/>
  <c r="Z300" i="1"/>
  <c r="Y304" i="1"/>
  <c r="BP308" i="1"/>
  <c r="BN308" i="1"/>
  <c r="Z308" i="1"/>
  <c r="Y312" i="1"/>
  <c r="BP316" i="1"/>
  <c r="BN316" i="1"/>
  <c r="Z316" i="1"/>
  <c r="Y318" i="1"/>
  <c r="Y325" i="1"/>
  <c r="BP320" i="1"/>
  <c r="BN320" i="1"/>
  <c r="Z320" i="1"/>
  <c r="Y324" i="1"/>
  <c r="BP328" i="1"/>
  <c r="BN328" i="1"/>
  <c r="Z328" i="1"/>
  <c r="Z330" i="1" s="1"/>
  <c r="Y330" i="1"/>
  <c r="BP378" i="1"/>
  <c r="BN378" i="1"/>
  <c r="Z378" i="1"/>
  <c r="Z379" i="1" s="1"/>
  <c r="Y380" i="1"/>
  <c r="Y393" i="1"/>
  <c r="BP384" i="1"/>
  <c r="BN384" i="1"/>
  <c r="Z384" i="1"/>
  <c r="Y394" i="1"/>
  <c r="U498" i="1"/>
  <c r="BP388" i="1"/>
  <c r="BN388" i="1"/>
  <c r="Z388" i="1"/>
  <c r="BP392" i="1"/>
  <c r="BN392" i="1"/>
  <c r="Z392" i="1"/>
  <c r="BP68" i="1"/>
  <c r="BN68" i="1"/>
  <c r="Z68" i="1"/>
  <c r="Y77" i="1"/>
  <c r="BP72" i="1"/>
  <c r="BN72" i="1"/>
  <c r="Z72" i="1"/>
  <c r="Z76" i="1" s="1"/>
  <c r="Y76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2" i="1" s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BP191" i="1"/>
  <c r="BN191" i="1"/>
  <c r="Z191" i="1"/>
  <c r="Z192" i="1" s="1"/>
  <c r="Y193" i="1"/>
  <c r="Y204" i="1"/>
  <c r="Y203" i="1"/>
  <c r="BP195" i="1"/>
  <c r="BN195" i="1"/>
  <c r="Z195" i="1"/>
  <c r="BP209" i="1"/>
  <c r="BN209" i="1"/>
  <c r="Z209" i="1"/>
  <c r="BP213" i="1"/>
  <c r="BN213" i="1"/>
  <c r="Z213" i="1"/>
  <c r="BP292" i="1"/>
  <c r="BN292" i="1"/>
  <c r="Z292" i="1"/>
  <c r="BP343" i="1"/>
  <c r="BN343" i="1"/>
  <c r="Z343" i="1"/>
  <c r="Y349" i="1"/>
  <c r="BP347" i="1"/>
  <c r="BN347" i="1"/>
  <c r="Z347" i="1"/>
  <c r="F498" i="1"/>
  <c r="Y103" i="1"/>
  <c r="G498" i="1"/>
  <c r="Y126" i="1"/>
  <c r="BP199" i="1"/>
  <c r="BN199" i="1"/>
  <c r="Z199" i="1"/>
  <c r="BP207" i="1"/>
  <c r="BN207" i="1"/>
  <c r="Z207" i="1"/>
  <c r="BP211" i="1"/>
  <c r="BN211" i="1"/>
  <c r="Z211" i="1"/>
  <c r="Y215" i="1"/>
  <c r="BP219" i="1"/>
  <c r="BN219" i="1"/>
  <c r="Z219" i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L498" i="1"/>
  <c r="BP257" i="1"/>
  <c r="BN257" i="1"/>
  <c r="Z257" i="1"/>
  <c r="BP266" i="1"/>
  <c r="BN266" i="1"/>
  <c r="Z266" i="1"/>
  <c r="O498" i="1"/>
  <c r="Y274" i="1"/>
  <c r="BP271" i="1"/>
  <c r="BN271" i="1"/>
  <c r="Z271" i="1"/>
  <c r="BP290" i="1"/>
  <c r="BN290" i="1"/>
  <c r="Z290" i="1"/>
  <c r="Z294" i="1" s="1"/>
  <c r="Y294" i="1"/>
  <c r="BP298" i="1"/>
  <c r="BN298" i="1"/>
  <c r="Z298" i="1"/>
  <c r="Z304" i="1" s="1"/>
  <c r="BP302" i="1"/>
  <c r="BN302" i="1"/>
  <c r="Z302" i="1"/>
  <c r="Y311" i="1"/>
  <c r="BP310" i="1"/>
  <c r="BN310" i="1"/>
  <c r="Z310" i="1"/>
  <c r="Y317" i="1"/>
  <c r="BP314" i="1"/>
  <c r="BN314" i="1"/>
  <c r="Z314" i="1"/>
  <c r="BP322" i="1"/>
  <c r="BN322" i="1"/>
  <c r="Z322" i="1"/>
  <c r="Y331" i="1"/>
  <c r="Z337" i="1"/>
  <c r="BP335" i="1"/>
  <c r="BN335" i="1"/>
  <c r="Z335" i="1"/>
  <c r="BP345" i="1"/>
  <c r="BN345" i="1"/>
  <c r="Z345" i="1"/>
  <c r="BP353" i="1"/>
  <c r="BN353" i="1"/>
  <c r="Z353" i="1"/>
  <c r="Y355" i="1"/>
  <c r="Y360" i="1"/>
  <c r="BP357" i="1"/>
  <c r="BN357" i="1"/>
  <c r="Z357" i="1"/>
  <c r="Z359" i="1" s="1"/>
  <c r="Y359" i="1"/>
  <c r="Y260" i="1"/>
  <c r="M498" i="1"/>
  <c r="Y267" i="1"/>
  <c r="Y295" i="1"/>
  <c r="R498" i="1"/>
  <c r="Y338" i="1"/>
  <c r="S498" i="1"/>
  <c r="Y350" i="1"/>
  <c r="Y354" i="1"/>
  <c r="BP368" i="1"/>
  <c r="BN368" i="1"/>
  <c r="Z368" i="1"/>
  <c r="Y370" i="1"/>
  <c r="Y375" i="1"/>
  <c r="BP372" i="1"/>
  <c r="BN372" i="1"/>
  <c r="Z372" i="1"/>
  <c r="Z374" i="1" s="1"/>
  <c r="Y379" i="1"/>
  <c r="BP386" i="1"/>
  <c r="BN386" i="1"/>
  <c r="Z386" i="1"/>
  <c r="BP390" i="1"/>
  <c r="BN390" i="1"/>
  <c r="Z390" i="1"/>
  <c r="BP407" i="1"/>
  <c r="BN407" i="1"/>
  <c r="Z407" i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Y472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481" i="1" l="1"/>
  <c r="Z472" i="1"/>
  <c r="Z369" i="1"/>
  <c r="Z354" i="1"/>
  <c r="Z317" i="1"/>
  <c r="Z311" i="1"/>
  <c r="Z274" i="1"/>
  <c r="Z259" i="1"/>
  <c r="Z220" i="1"/>
  <c r="Z109" i="1"/>
  <c r="Z187" i="1"/>
  <c r="Z81" i="1"/>
  <c r="Z410" i="1"/>
  <c r="Z215" i="1"/>
  <c r="Z349" i="1"/>
  <c r="Y490" i="1"/>
  <c r="Y491" i="1" s="1"/>
  <c r="Z267" i="1"/>
  <c r="Z250" i="1"/>
  <c r="Z57" i="1"/>
  <c r="Y492" i="1"/>
  <c r="Y489" i="1"/>
  <c r="Z31" i="1"/>
  <c r="Z446" i="1"/>
  <c r="Z431" i="1"/>
  <c r="Z234" i="1"/>
  <c r="Z116" i="1"/>
  <c r="Z69" i="1"/>
  <c r="Y488" i="1"/>
  <c r="Z63" i="1"/>
  <c r="Z203" i="1"/>
  <c r="Z171" i="1"/>
  <c r="Z393" i="1"/>
  <c r="Z324" i="1"/>
  <c r="Z103" i="1"/>
  <c r="Z95" i="1"/>
  <c r="X491" i="1"/>
  <c r="Z493" i="1" l="1"/>
</calcChain>
</file>

<file path=xl/sharedStrings.xml><?xml version="1.0" encoding="utf-8"?>
<sst xmlns="http://schemas.openxmlformats.org/spreadsheetml/2006/main" count="2247" uniqueCount="760">
  <si>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</si>
  <si>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</si>
  <si>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</si>
  <si>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</si>
  <si>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</si>
  <si>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</si>
  <si>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</si>
  <si>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</si>
  <si>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</si>
  <si>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</si>
  <si>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</si>
  <si>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</si>
  <si>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</si>
  <si>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</si>
  <si>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</si>
  <si>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</si>
  <si>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</si>
  <si>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</si>
  <si>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</si>
  <si>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</si>
  <si>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</si>
  <si>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</si>
  <si>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</si>
  <si>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</si>
  <si>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</si>
  <si>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</si>
  <si>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</si>
  <si>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</si>
  <si>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</si>
  <si>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</si>
  <si>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</si>
  <si>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</si>
  <si>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</si>
  <si>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</si>
  <si>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</si>
  <si>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</si>
  <si>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</si>
  <si>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</si>
  <si>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</si>
  <si>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</si>
  <si>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</si>
  <si>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</si>
  <si>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</si>
  <si>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</si>
  <si>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</si>
  <si>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</si>
  <si>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</si>
  <si>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</si>
  <si>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</si>
  <si>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</si>
  <si>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</si>
  <si>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</si>
  <si>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</si>
  <si>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</si>
  <si>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</si>
  <si>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</si>
  <si>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</si>
  <si>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</si>
  <si>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</si>
  <si>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</si>
  <si>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</si>
  <si>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</si>
  <si>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</si>
  <si>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</si>
  <si>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</si>
  <si>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</si>
  <si>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</si>
  <si>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</si>
  <si>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</si>
  <si>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</si>
  <si>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</si>
  <si>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</si>
  <si>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</si>
  <si>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</si>
  <si>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</si>
  <si>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</si>
  <si>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</si>
  <si>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</si>
  <si>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</si>
  <si>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</si>
  <si>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</si>
  <si>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</si>
  <si>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</si>
  <si>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</si>
  <si>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</si>
  <si>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</si>
  <si>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</si>
  <si>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</si>
  <si>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</si>
  <si>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</si>
  <si>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</si>
  <si>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</si>
  <si>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</si>
  <si>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</si>
  <si>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</si>
  <si>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</si>
  <si>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</si>
  <si>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</si>
  <si>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</si>
  <si>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</si>
  <si>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</si>
  <si>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</si>
  <si>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</si>
  <si>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</si>
  <si>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</si>
  <si>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</si>
  <si>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</si>
  <si>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</si>
  <si>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</si>
  <si>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</si>
  <si>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</si>
  <si>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</si>
  <si>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</si>
  <si>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</si>
  <si>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</si>
  <si>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</si>
  <si>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</si>
  <si>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</si>
  <si>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</si>
  <si>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</si>
  <si>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</si>
  <si>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</si>
  <si>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</si>
  <si>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</si>
  <si>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</si>
  <si>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</si>
  <si>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</si>
  <si>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</si>
  <si>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</si>
  <si>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</si>
  <si>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</si>
  <si>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</si>
  <si>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</si>
  <si>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</si>
  <si>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</si>
  <si>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</si>
  <si>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</si>
  <si>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</si>
  <si>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</si>
  <si>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</si>
  <si>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</si>
  <si>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</si>
  <si>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</si>
  <si>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</si>
  <si>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</si>
  <si>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</si>
  <si>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</si>
  <si>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</si>
  <si>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</si>
  <si>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</si>
  <si>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</si>
  <si>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</si>
  <si>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</si>
  <si>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</si>
  <si>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</si>
  <si>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</si>
  <si>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</si>
  <si>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</si>
  <si>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</si>
  <si>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</si>
  <si>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</si>
  <si>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</si>
  <si>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</si>
  <si>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</si>
  <si>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</si>
  <si>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</si>
  <si>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</si>
  <si>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</si>
  <si>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</si>
  <si>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</si>
  <si>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</si>
  <si>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</si>
  <si>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</si>
  <si>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</si>
  <si>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</si>
  <si>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</si>
  <si>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</si>
  <si>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</si>
  <si>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</si>
  <si>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</si>
  <si>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</si>
  <si>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</si>
  <si>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</si>
  <si>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</si>
  <si>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</si>
  <si>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</si>
  <si>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</si>
  <si>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</si>
  <si>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</si>
  <si>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</si>
  <si>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</si>
  <si>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</si>
  <si>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</si>
  <si>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</si>
  <si>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</si>
  <si>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</si>
  <si>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</si>
  <si>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</si>
  <si>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</si>
  <si>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</si>
  <si>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</si>
  <si>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</si>
  <si>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</si>
  <si>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</si>
  <si>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</si>
  <si>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</si>
  <si>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</si>
  <si>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</si>
  <si>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</si>
  <si>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</si>
  <si>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</si>
  <si>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</si>
  <si>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</si>
  <si>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</si>
  <si>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</si>
  <si>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</si>
  <si>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</si>
  <si>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</si>
  <si>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</si>
  <si>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</si>
  <si>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</si>
  <si>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</si>
  <si>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</si>
  <si>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</si>
  <si>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</si>
  <si>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</si>
  <si>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</si>
  <si>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</si>
  <si>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</si>
  <si>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</si>
  <si>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</si>
  <si>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</si>
  <si>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</si>
  <si>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</si>
  <si>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</si>
  <si>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</si>
  <si>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</si>
  <si>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</si>
  <si>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</si>
  <si>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</si>
  <si>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</si>
  <si>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</si>
  <si>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</si>
  <si>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</si>
  <si>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</si>
  <si>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</si>
  <si>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</si>
  <si>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</si>
  <si>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</si>
  <si>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</si>
  <si>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</si>
  <si>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</si>
  <si>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</si>
  <si>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</si>
  <si>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</si>
  <si>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</si>
  <si>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</si>
  <si>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</si>
  <si>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</si>
  <si>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</si>
  <si>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</si>
  <si>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</si>
  <si>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</si>
  <si>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</si>
  <si>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</si>
  <si>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</si>
  <si>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</si>
  <si>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</si>
  <si>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</si>
  <si>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</si>
  <si>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</si>
  <si>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</si>
  <si>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</si>
  <si>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</si>
  <si>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</si>
  <si>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</si>
  <si>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</si>
  <si>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</si>
  <si>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</si>
  <si>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</si>
  <si>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</si>
  <si>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</si>
  <si>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</si>
  <si>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</si>
  <si>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</si>
  <si>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</si>
  <si>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</si>
  <si>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</si>
  <si>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</si>
  <si>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</si>
  <si>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</si>
  <si>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</si>
  <si>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</si>
  <si>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</si>
  <si>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</si>
  <si>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</si>
  <si>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</si>
  <si>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</si>
  <si>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</si>
  <si>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</si>
  <si>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</si>
  <si>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</si>
  <si>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</si>
  <si>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</si>
  <si>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</si>
  <si>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</si>
  <si>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</si>
  <si>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</si>
  <si>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</si>
  <si>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</si>
  <si>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</si>
  <si>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</si>
  <si>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</si>
  <si>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</si>
  <si>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</si>
  <si>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</si>
  <si>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</si>
  <si>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</si>
  <si>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</si>
  <si>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</si>
  <si>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</si>
  <si>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</si>
  <si>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</si>
  <si>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</si>
  <si>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</si>
  <si>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</si>
  <si>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</si>
  <si>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</si>
  <si>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</si>
  <si>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</si>
  <si>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</si>
  <si>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</si>
  <si>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</si>
  <si>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</si>
  <si>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</si>
  <si>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</si>
  <si>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</si>
  <si>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</si>
  <si>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</si>
  <si>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</si>
  <si>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</si>
  <si>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</si>
  <si>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</si>
  <si>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</si>
  <si>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</si>
  <si>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</si>
  <si>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</si>
  <si>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</si>
  <si>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</si>
  <si>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</si>
  <si>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</si>
  <si>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</si>
  <si>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</si>
  <si>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</si>
  <si>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</si>
  <si>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</si>
  <si>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</si>
  <si>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</si>
  <si>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</si>
  <si>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</si>
  <si>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</si>
  <si>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</si>
  <si>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</si>
  <si>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</si>
  <si>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</si>
  <si>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</si>
  <si>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</si>
  <si>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</si>
  <si>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</si>
  <si>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</si>
  <si>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</si>
  <si>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</si>
  <si>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</si>
  <si>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</si>
  <si>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</si>
  <si>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</si>
  <si>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</si>
  <si>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</si>
  <si>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</si>
  <si>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</si>
  <si>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</si>
  <si>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</si>
  <si>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</si>
  <si>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</si>
  <si>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</si>
  <si>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</si>
  <si>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</si>
  <si>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</si>
  <si>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</si>
  <si>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</si>
  <si>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</si>
  <si>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</si>
  <si>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</si>
  <si>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</si>
  <si>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</si>
  <si>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</si>
  <si>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</si>
  <si>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</si>
  <si>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</si>
  <si>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</si>
  <si>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</si>
  <si>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</si>
  <si>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</si>
  <si>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</si>
  <si>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</si>
  <si>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</si>
  <si>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</si>
  <si>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</si>
  <si>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</si>
  <si>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</si>
  <si>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</si>
  <si>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</si>
  <si>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</si>
  <si>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</si>
  <si>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</si>
  <si>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</si>
  <si>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</si>
  <si>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</si>
  <si>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</si>
  <si>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</si>
  <si>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</si>
  <si>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</si>
  <si>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</si>
  <si>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</si>
  <si>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</si>
  <si>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</si>
  <si>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</si>
  <si>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</si>
  <si>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</si>
  <si>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</si>
  <si>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</si>
  <si>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</si>
  <si>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</si>
  <si>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</si>
  <si>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</si>
  <si>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</si>
  <si>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</si>
  <si>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</si>
  <si>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</si>
  <si>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</si>
  <si>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</si>
  <si>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</si>
  <si>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</si>
  <si>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</si>
  <si>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</si>
  <si>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</si>
  <si>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</si>
  <si>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</si>
  <si>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</si>
  <si>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</si>
  <si>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</si>
  <si>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</si>
  <si>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</si>
  <si>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</si>
  <si>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</si>
  <si>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</si>
  <si>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</si>
  <si>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</si>
  <si>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</si>
  <si>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</si>
  <si>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</si>
  <si>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</si>
  <si>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</si>
  <si>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</si>
  <si>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</si>
  <si>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</si>
  <si>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</si>
  <si>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</si>
  <si>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</si>
  <si>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</si>
  <si>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</si>
  <si>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</si>
  <si>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</si>
  <si>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</si>
  <si>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</si>
  <si>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</si>
  <si>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</si>
  <si>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</si>
  <si>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</si>
  <si>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</si>
  <si>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</si>
  <si>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</si>
  <si>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</si>
  <si>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</si>
  <si>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</si>
  <si>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</si>
  <si>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</si>
  <si>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</si>
  <si>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</si>
  <si>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</si>
  <si>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</si>
  <si>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</si>
  <si>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</si>
  <si>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</si>
  <si>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</si>
  <si>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</si>
  <si>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</si>
  <si>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</si>
  <si>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</si>
  <si>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</si>
  <si>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</si>
  <si>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</si>
  <si>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</si>
  <si>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</si>
  <si>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</si>
  <si>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</si>
  <si>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</si>
  <si>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</si>
  <si>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</si>
  <si>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</si>
  <si>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</si>
  <si>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</si>
  <si>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</si>
  <si>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</si>
  <si>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</si>
  <si>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</si>
  <si>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</si>
  <si>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</si>
  <si>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</si>
  <si>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</si>
  <si>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</si>
  <si>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</si>
  <si>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</si>
  <si>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</si>
  <si>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</si>
  <si>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</si>
  <si>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</si>
  <si>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</si>
  <si>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</si>
  <si>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</si>
  <si>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</si>
  <si>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</si>
  <si>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</si>
  <si>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</si>
  <si>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</si>
  <si>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</si>
  <si>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</si>
  <si>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</si>
  <si>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</si>
  <si>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</si>
  <si>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</si>
  <si>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</si>
  <si>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</si>
  <si>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</si>
  <si>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</si>
  <si>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</si>
  <si>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</si>
  <si>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</si>
  <si>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</si>
  <si>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</si>
  <si>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</si>
  <si>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</si>
  <si>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</si>
  <si>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</si>
  <si>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</si>
  <si>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</si>
  <si>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</si>
  <si>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</si>
  <si>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</si>
  <si>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</si>
  <si>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</si>
  <si>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</si>
  <si>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</si>
  <si>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</si>
  <si>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</si>
  <si>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</si>
  <si>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</si>
  <si>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</si>
  <si>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</si>
  <si>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</si>
  <si>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</si>
  <si>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</si>
  <si>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</si>
  <si>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</si>
  <si>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</si>
  <si>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</si>
  <si>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</si>
  <si>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</si>
  <si>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</si>
  <si>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</si>
  <si>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</si>
  <si>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</si>
  <si>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</si>
  <si>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</si>
  <si>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</si>
  <si>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</si>
  <si>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</si>
  <si>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</si>
  <si>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</si>
  <si>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</si>
  <si>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</si>
  <si>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</si>
  <si>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</si>
  <si>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</si>
  <si>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</si>
  <si>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</si>
  <si>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</si>
  <si>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</si>
  <si>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</si>
  <si>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</si>
  <si>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</si>
  <si>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</si>
  <si>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</si>
  <si>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</si>
  <si>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</si>
  <si>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</si>
  <si>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</si>
  <si>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</si>
  <si>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</si>
  <si>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</si>
  <si>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</si>
  <si>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</si>
  <si>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</si>
  <si>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</si>
  <si>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</si>
  <si>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</si>
  <si>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</si>
  <si>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</si>
  <si>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</si>
  <si>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</si>
  <si>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</si>
  <si>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</si>
  <si>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</si>
  <si>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</si>
  <si>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</si>
  <si>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</si>
  <si>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</si>
  <si>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</si>
  <si>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</si>
  <si>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</si>
  <si>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</si>
  <si>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</si>
  <si>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</si>
  <si>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</si>
  <si>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</si>
  <si>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</si>
  <si>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</si>
  <si>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</si>
  <si>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</si>
  <si>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</si>
  <si>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</si>
  <si>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</si>
  <si>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</si>
  <si>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</si>
  <si>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</si>
  <si>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</si>
  <si>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</si>
  <si>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</si>
  <si>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</si>
  <si>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</si>
  <si>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</si>
  <si>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</si>
  <si>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</si>
  <si>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</si>
  <si>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</si>
  <si>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</si>
  <si>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</si>
  <si>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</si>
  <si>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</si>
  <si>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</si>
  <si>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</si>
  <si>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</si>
  <si>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</si>
  <si>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</si>
  <si>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</si>
  <si>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</si>
  <si>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</si>
  <si>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</si>
  <si>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</si>
  <si>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</si>
  <si>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</si>
  <si>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</si>
  <si>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</si>
  <si>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</si>
  <si>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</si>
  <si>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</si>
  <si>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</si>
  <si>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</si>
  <si>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</si>
  <si>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</si>
  <si>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</si>
  <si>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</si>
  <si>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</si>
  <si>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</si>
  <si>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</si>
  <si>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</si>
  <si>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</si>
  <si>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</si>
  <si>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</si>
  <si>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</si>
  <si>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</si>
  <si>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</si>
  <si>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</si>
  <si>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</si>
  <si>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</si>
  <si>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</si>
  <si>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</si>
  <si>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</si>
  <si>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</si>
  <si>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</si>
  <si>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</si>
  <si>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</si>
  <si>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</si>
  <si>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</si>
  <si>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</si>
  <si>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</si>
  <si>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</si>
  <si>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</si>
  <si>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</si>
  <si>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</si>
  <si>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</si>
  <si>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</si>
  <si>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</si>
  <si>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</si>
  <si>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</si>
  <si>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</si>
  <si>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</si>
  <si>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</si>
  <si>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</si>
  <si>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</si>
  <si>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</si>
  <si>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</si>
  <si>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</si>
  <si>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</si>
  <si>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</si>
  <si>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</si>
  <si>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</si>
  <si>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</si>
  <si>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</si>
  <si>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</si>
  <si>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</si>
  <si>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</si>
  <si>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</si>
  <si>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</si>
  <si>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</si>
  <si>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</si>
  <si>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</si>
  <si>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</si>
  <si>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</si>
  <si>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</si>
  <si>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</si>
  <si>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</si>
  <si>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</si>
  <si>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</si>
  <si>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</si>
  <si>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</si>
  <si>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</si>
  <si>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</si>
  <si>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</si>
  <si>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</si>
  <si>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</si>
  <si>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</si>
  <si>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</si>
  <si>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</si>
  <si>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</si>
  <si>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</si>
  <si>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</si>
  <si>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</si>
  <si>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</si>
  <si>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7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</si>
</sst>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45987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Среда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216</v>
      </c>
      <c r="Y40" s="540">
        <f>IFERROR(IF(X40="",0,CEILING((X40/$H40),1)*$H40),"")</f>
        <v>216</v>
      </c>
      <c r="Z40" s="36">
        <f>IFERROR(IF(Y40=0,"",ROUNDUP(Y40/H40,0)*0.01898),"")</f>
        <v>0.37959999999999999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224.2</v>
      </c>
      <c r="BN40" s="64">
        <f>IFERROR(Y40*I40/H40,"0")</f>
        <v>224.2</v>
      </c>
      <c r="BO40" s="64">
        <f>IFERROR(1/J40*(X40/H40),"0")</f>
        <v>0.3125</v>
      </c>
      <c r="BP40" s="64">
        <f>IFERROR(1/J40*(Y40/H40),"0")</f>
        <v>0.3125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20</v>
      </c>
      <c r="Y43" s="541">
        <f>IFERROR(Y40/H40,"0")+IFERROR(Y41/H41,"0")+IFERROR(Y42/H42,"0")</f>
        <v>20</v>
      </c>
      <c r="Z43" s="541">
        <f>IFERROR(IF(Z40="",0,Z40),"0")+IFERROR(IF(Z41="",0,Z41),"0")+IFERROR(IF(Z42="",0,Z42),"0")</f>
        <v>0.37959999999999999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216</v>
      </c>
      <c r="Y44" s="541">
        <f>IFERROR(SUM(Y40:Y42),"0")</f>
        <v>216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64</v>
      </c>
      <c r="Y51" s="540">
        <f t="shared" ref="Y51:Y56" si="0">IFERROR(IF(X51="",0,CEILING((X51/$H51),1)*$H51),"")</f>
        <v>67.199999999999989</v>
      </c>
      <c r="Z51" s="36">
        <f>IFERROR(IF(Y51=0,"",ROUNDUP(Y51/H51,0)*0.01898),"")</f>
        <v>0.11388000000000001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66.342857142857142</v>
      </c>
      <c r="BN51" s="64">
        <f t="shared" ref="BN51:BN56" si="2">IFERROR(Y51*I51/H51,"0")</f>
        <v>69.659999999999982</v>
      </c>
      <c r="BO51" s="64">
        <f t="shared" ref="BO51:BO56" si="3">IFERROR(1/J51*(X51/H51),"0")</f>
        <v>8.9285714285714288E-2</v>
      </c>
      <c r="BP51" s="64">
        <f t="shared" ref="BP51:BP56" si="4">IFERROR(1/J51*(Y51/H51),"0")</f>
        <v>9.3749999999999986E-2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84</v>
      </c>
      <c r="Y52" s="540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87.188888888888897</v>
      </c>
      <c r="BN52" s="64">
        <f t="shared" si="2"/>
        <v>89.68</v>
      </c>
      <c r="BO52" s="64">
        <f t="shared" si="3"/>
        <v>0.12152777777777778</v>
      </c>
      <c r="BP52" s="64">
        <f t="shared" si="4"/>
        <v>0.125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13.492063492063492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0.26572000000000001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148</v>
      </c>
      <c r="Y58" s="541">
        <f>IFERROR(SUM(Y51:Y56),"0")</f>
        <v>153.6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106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110.02407407407406</v>
      </c>
      <c r="BN60" s="64">
        <f>IFERROR(Y60*I60/H60,"0")</f>
        <v>112.1</v>
      </c>
      <c r="BO60" s="64">
        <f>IFERROR(1/J60*(X60/H60),"0")</f>
        <v>0.15335648148148148</v>
      </c>
      <c r="BP60" s="64">
        <f>IFERROR(1/J60*(Y60/H60),"0")</f>
        <v>0.15625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9.8148148148148149</v>
      </c>
      <c r="Y63" s="541">
        <f>IFERROR(Y60/H60,"0")+IFERROR(Y61/H61,"0")+IFERROR(Y62/H62,"0")</f>
        <v>10</v>
      </c>
      <c r="Z63" s="541">
        <f>IFERROR(IF(Z60="",0,Z60),"0")+IFERROR(IF(Z61="",0,Z61),"0")+IFERROR(IF(Z62="",0,Z62),"0")</f>
        <v>0.1898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106</v>
      </c>
      <c r="Y64" s="541">
        <f>IFERROR(SUM(Y60:Y62),"0")</f>
        <v>108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181</v>
      </c>
      <c r="Y85" s="540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187.87129629629629</v>
      </c>
      <c r="BN85" s="64">
        <f>IFERROR(Y85*I85/H85,"0")</f>
        <v>190.57000000000002</v>
      </c>
      <c r="BO85" s="64">
        <f>IFERROR(1/J85*(X85/H85),"0")</f>
        <v>0.26186342592592593</v>
      </c>
      <c r="BP85" s="64">
        <f>IFERROR(1/J85*(Y85/H85),"0")</f>
        <v>0.265625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16.75925925925926</v>
      </c>
      <c r="Y88" s="541">
        <f>IFERROR(Y85/H85,"0")+IFERROR(Y86/H86,"0")+IFERROR(Y87/H87,"0")</f>
        <v>17</v>
      </c>
      <c r="Z88" s="541">
        <f>IFERROR(IF(Z85="",0,Z85),"0")+IFERROR(IF(Z86="",0,Z86),"0")+IFERROR(IF(Z87="",0,Z87),"0")</f>
        <v>0.32266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181</v>
      </c>
      <c r="Y89" s="541">
        <f>IFERROR(SUM(Y85:Y87),"0")</f>
        <v>183.60000000000002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65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68.964197530864197</v>
      </c>
      <c r="BN91" s="64">
        <f>IFERROR(Y91*I91/H91,"0")</f>
        <v>77.345999999999989</v>
      </c>
      <c r="BO91" s="64">
        <f>IFERROR(1/J91*(X91/H91),"0")</f>
        <v>0.1253858024691358</v>
      </c>
      <c r="BP91" s="64">
        <f>IFERROR(1/J91*(Y91/H91),"0")</f>
        <v>0.140625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49</v>
      </c>
      <c r="Y93" s="540">
        <f>IFERROR(IF(X93="",0,CEILING((X93/$H93),1)*$H93),"")</f>
        <v>51.300000000000004</v>
      </c>
      <c r="Z93" s="36">
        <f>IFERROR(IF(Y93=0,"",ROUNDUP(Y93/H93,0)*0.00651),"")</f>
        <v>0.12369000000000001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53.573333333333331</v>
      </c>
      <c r="BN93" s="64">
        <f>IFERROR(Y93*I93/H93,"0")</f>
        <v>56.088000000000001</v>
      </c>
      <c r="BO93" s="64">
        <f>IFERROR(1/J93*(X93/H93),"0")</f>
        <v>9.9715099715099703E-2</v>
      </c>
      <c r="BP93" s="64">
        <f>IFERROR(1/J93*(Y93/H93),"0")</f>
        <v>0.1043956043956044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26.172839506172835</v>
      </c>
      <c r="Y95" s="541">
        <f>IFERROR(Y91/H91,"0")+IFERROR(Y92/H92,"0")+IFERROR(Y93/H93,"0")+IFERROR(Y94/H94,"0")</f>
        <v>28</v>
      </c>
      <c r="Z95" s="541">
        <f>IFERROR(IF(Z91="",0,Z91),"0")+IFERROR(IF(Z92="",0,Z92),"0")+IFERROR(IF(Z93="",0,Z93),"0")+IFERROR(IF(Z94="",0,Z94),"0")</f>
        <v>0.29450999999999999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114</v>
      </c>
      <c r="Y96" s="541">
        <f>IFERROR(SUM(Y91:Y94),"0")</f>
        <v>124.19999999999999</v>
      </c>
      <c r="Z96" s="37"/>
      <c r="AA96" s="542"/>
      <c r="AB96" s="542"/>
      <c r="AC96" s="542"/>
    </row>
    <row r="97" spans="1:68" ht="16.5" hidden="1" customHeight="1" x14ac:dyDescent="0.25">
      <c r="A97" s="553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194</v>
      </c>
      <c r="Y99" s="540">
        <f>IFERROR(IF(X99="",0,CEILING((X99/$H99),1)*$H99),"")</f>
        <v>194.4</v>
      </c>
      <c r="Z99" s="36">
        <f>IFERROR(IF(Y99=0,"",ROUNDUP(Y99/H99,0)*0.01898),"")</f>
        <v>0.34164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201.36481481481482</v>
      </c>
      <c r="BN99" s="64">
        <f>IFERROR(Y99*I99/H99,"0")</f>
        <v>201.78</v>
      </c>
      <c r="BO99" s="64">
        <f>IFERROR(1/J99*(X99/H99),"0")</f>
        <v>0.28067129629629628</v>
      </c>
      <c r="BP99" s="64">
        <f>IFERROR(1/J99*(Y99/H99),"0")</f>
        <v>0.28125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51</v>
      </c>
      <c r="Y101" s="540">
        <f>IFERROR(IF(X101="",0,CEILING((X101/$H101),1)*$H101),"")</f>
        <v>54</v>
      </c>
      <c r="Z101" s="36">
        <f>IFERROR(IF(Y101=0,"",ROUNDUP(Y101/H101,0)*0.00902),"")</f>
        <v>0.10824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53.153333333333336</v>
      </c>
      <c r="BN101" s="64">
        <f>IFERROR(Y101*I101/H101,"0")</f>
        <v>56.28</v>
      </c>
      <c r="BO101" s="64">
        <f>IFERROR(1/J101*(X101/H101),"0")</f>
        <v>8.585858585858587E-2</v>
      </c>
      <c r="BP101" s="64">
        <f>IFERROR(1/J101*(Y101/H101),"0")</f>
        <v>9.0909090909090912E-2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29.296296296296298</v>
      </c>
      <c r="Y103" s="541">
        <f>IFERROR(Y99/H99,"0")+IFERROR(Y100/H100,"0")+IFERROR(Y101/H101,"0")+IFERROR(Y102/H102,"0")</f>
        <v>30</v>
      </c>
      <c r="Z103" s="541">
        <f>IFERROR(IF(Z99="",0,Z99),"0")+IFERROR(IF(Z100="",0,Z100),"0")+IFERROR(IF(Z101="",0,Z101),"0")+IFERROR(IF(Z102="",0,Z102),"0")</f>
        <v>0.44988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245</v>
      </c>
      <c r="Y104" s="541">
        <f>IFERROR(SUM(Y99:Y102),"0")</f>
        <v>248.4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71</v>
      </c>
      <c r="Y112" s="540">
        <f>IFERROR(IF(X112="",0,CEILING((X112/$H112),1)*$H112),"")</f>
        <v>72.899999999999991</v>
      </c>
      <c r="Z112" s="36">
        <f>IFERROR(IF(Y112=0,"",ROUNDUP(Y112/H112,0)*0.01898),"")</f>
        <v>0.17082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75.27753086419753</v>
      </c>
      <c r="BN112" s="64">
        <f>IFERROR(Y112*I112/H112,"0")</f>
        <v>77.291999999999987</v>
      </c>
      <c r="BO112" s="64">
        <f>IFERROR(1/J112*(X112/H112),"0")</f>
        <v>0.13695987654320987</v>
      </c>
      <c r="BP112" s="64">
        <f>IFERROR(1/J112*(Y112/H112),"0")</f>
        <v>0.140625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80</v>
      </c>
      <c r="Y114" s="540">
        <f>IFERROR(IF(X114="",0,CEILING((X114/$H114),1)*$H114),"")</f>
        <v>81</v>
      </c>
      <c r="Z114" s="36">
        <f>IFERROR(IF(Y114=0,"",ROUNDUP(Y114/H114,0)*0.00651),"")</f>
        <v>0.1953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87.466666666666654</v>
      </c>
      <c r="BN114" s="64">
        <f>IFERROR(Y114*I114/H114,"0")</f>
        <v>88.559999999999988</v>
      </c>
      <c r="BO114" s="64">
        <f>IFERROR(1/J114*(X114/H114),"0")</f>
        <v>0.1628001628001628</v>
      </c>
      <c r="BP114" s="64">
        <f>IFERROR(1/J114*(Y114/H114),"0")</f>
        <v>0.16483516483516483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38.395061728395056</v>
      </c>
      <c r="Y116" s="541">
        <f>IFERROR(Y112/H112,"0")+IFERROR(Y113/H113,"0")+IFERROR(Y114/H114,"0")+IFERROR(Y115/H115,"0")</f>
        <v>39</v>
      </c>
      <c r="Z116" s="541">
        <f>IFERROR(IF(Z112="",0,Z112),"0")+IFERROR(IF(Z113="",0,Z113),"0")+IFERROR(IF(Z114="",0,Z114),"0")+IFERROR(IF(Z115="",0,Z115),"0")</f>
        <v>0.36612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151</v>
      </c>
      <c r="Y117" s="541">
        <f>IFERROR(SUM(Y112:Y115),"0")</f>
        <v>153.89999999999998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117</v>
      </c>
      <c r="Y208" s="540">
        <f t="shared" si="15"/>
        <v>121.79999999999998</v>
      </c>
      <c r="Z208" s="36">
        <f>IFERROR(IF(Y208=0,"",ROUNDUP(Y208/H208,0)*0.01898),"")</f>
        <v>0.26572000000000001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123.64344827586208</v>
      </c>
      <c r="BN208" s="64">
        <f t="shared" si="17"/>
        <v>128.71600000000001</v>
      </c>
      <c r="BO208" s="64">
        <f t="shared" si="18"/>
        <v>0.2101293103448276</v>
      </c>
      <c r="BP208" s="64">
        <f t="shared" si="19"/>
        <v>0.21875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211</v>
      </c>
      <c r="Y211" s="540">
        <f t="shared" si="15"/>
        <v>211.2</v>
      </c>
      <c r="Z211" s="36">
        <f t="shared" si="20"/>
        <v>0.57288000000000006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233.155</v>
      </c>
      <c r="BN211" s="64">
        <f t="shared" si="17"/>
        <v>233.376</v>
      </c>
      <c r="BO211" s="64">
        <f t="shared" si="18"/>
        <v>0.48305860805860812</v>
      </c>
      <c r="BP211" s="64">
        <f t="shared" si="19"/>
        <v>0.48351648351648358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125</v>
      </c>
      <c r="Y212" s="540">
        <f t="shared" si="15"/>
        <v>127.19999999999999</v>
      </c>
      <c r="Z212" s="36">
        <f t="shared" si="20"/>
        <v>0.34503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138.125</v>
      </c>
      <c r="BN212" s="64">
        <f t="shared" si="17"/>
        <v>140.55599999999998</v>
      </c>
      <c r="BO212" s="64">
        <f t="shared" si="18"/>
        <v>0.28617216117216121</v>
      </c>
      <c r="BP212" s="64">
        <f t="shared" si="19"/>
        <v>0.29120879120879123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153.44827586206898</v>
      </c>
      <c r="Y215" s="541">
        <f>IFERROR(Y206/H206,"0")+IFERROR(Y207/H207,"0")+IFERROR(Y208/H208,"0")+IFERROR(Y209/H209,"0")+IFERROR(Y210/H210,"0")+IFERROR(Y211/H211,"0")+IFERROR(Y212/H212,"0")+IFERROR(Y213/H213,"0")+IFERROR(Y214/H214,"0")</f>
        <v>155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1.18363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453</v>
      </c>
      <c r="Y216" s="541">
        <f>IFERROR(SUM(Y206:Y214),"0")</f>
        <v>460.2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8</v>
      </c>
      <c r="Y329" s="540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8.9600000000000009</v>
      </c>
      <c r="BN329" s="64">
        <f>IFERROR(Y329*I329/H329,"0")</f>
        <v>8.9600000000000009</v>
      </c>
      <c r="BO329" s="64">
        <f>IFERROR(1/J329*(X329/H329),"0")</f>
        <v>1.680672268907563E-2</v>
      </c>
      <c r="BP329" s="64">
        <f>IFERROR(1/J329*(Y329/H329),"0")</f>
        <v>1.680672268907563E-2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4</v>
      </c>
      <c r="Y330" s="541">
        <f>IFERROR(Y327/H327,"0")+IFERROR(Y328/H328,"0")+IFERROR(Y329/H329,"0")</f>
        <v>4</v>
      </c>
      <c r="Z330" s="541">
        <f>IFERROR(IF(Z327="",0,Z327),"0")+IFERROR(IF(Z328="",0,Z328),"0")+IFERROR(IF(Z329="",0,Z329),"0")</f>
        <v>1.8960000000000001E-2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8</v>
      </c>
      <c r="Y331" s="541">
        <f>IFERROR(SUM(Y327:Y329),"0")</f>
        <v>8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414</v>
      </c>
      <c r="Y342" s="540">
        <f t="shared" ref="Y342:Y348" si="31">IFERROR(IF(X342="",0,CEILING((X342/$H342),1)*$H342),"")</f>
        <v>420</v>
      </c>
      <c r="Z342" s="36">
        <f>IFERROR(IF(Y342=0,"",ROUNDUP(Y342/H342,0)*0.02175),"")</f>
        <v>0.60899999999999999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426.97199999999998</v>
      </c>
      <c r="BN342" s="64">
        <f t="shared" ref="BN342:BN348" si="33">IFERROR(Y342*I342/H342,"0")</f>
        <v>433.16</v>
      </c>
      <c r="BO342" s="64">
        <f t="shared" ref="BO342:BO348" si="34">IFERROR(1/J342*(X342/H342),"0")</f>
        <v>0.57499999999999996</v>
      </c>
      <c r="BP342" s="64">
        <f t="shared" ref="BP342:BP348" si="35">IFERROR(1/J342*(Y342/H342),"0")</f>
        <v>0.58333333333333326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308</v>
      </c>
      <c r="Y343" s="540">
        <f t="shared" si="31"/>
        <v>315</v>
      </c>
      <c r="Z343" s="36">
        <f>IFERROR(IF(Y343=0,"",ROUNDUP(Y343/H343,0)*0.02175),"")</f>
        <v>0.45674999999999999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317.65066666666667</v>
      </c>
      <c r="BN343" s="64">
        <f t="shared" si="33"/>
        <v>324.87</v>
      </c>
      <c r="BO343" s="64">
        <f t="shared" si="34"/>
        <v>0.42777777777777781</v>
      </c>
      <c r="BP343" s="64">
        <f t="shared" si="35"/>
        <v>0.4375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244</v>
      </c>
      <c r="Y344" s="540">
        <f t="shared" si="31"/>
        <v>255</v>
      </c>
      <c r="Z344" s="36">
        <f>IFERROR(IF(Y344=0,"",ROUNDUP(Y344/H344,0)*0.02175),"")</f>
        <v>0.36974999999999997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251.64533333333335</v>
      </c>
      <c r="BN344" s="64">
        <f t="shared" si="33"/>
        <v>262.99</v>
      </c>
      <c r="BO344" s="64">
        <f t="shared" si="34"/>
        <v>0.33888888888888885</v>
      </c>
      <c r="BP344" s="64">
        <f t="shared" si="35"/>
        <v>0.35416666666666663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286</v>
      </c>
      <c r="Y345" s="540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294.96133333333336</v>
      </c>
      <c r="BN345" s="64">
        <f t="shared" si="33"/>
        <v>309.39999999999998</v>
      </c>
      <c r="BO345" s="64">
        <f t="shared" si="34"/>
        <v>0.3972222222222222</v>
      </c>
      <c r="BP345" s="64">
        <f t="shared" si="35"/>
        <v>0.41666666666666663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83.466666666666669</v>
      </c>
      <c r="Y349" s="541">
        <f>IFERROR(Y342/H342,"0")+IFERROR(Y343/H343,"0")+IFERROR(Y344/H344,"0")+IFERROR(Y345/H345,"0")+IFERROR(Y346/H346,"0")+IFERROR(Y347/H347,"0")+IFERROR(Y348/H348,"0")</f>
        <v>86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1.8704999999999998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1252</v>
      </c>
      <c r="Y350" s="541">
        <f>IFERROR(SUM(Y342:Y348),"0")</f>
        <v>1290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534</v>
      </c>
      <c r="Y352" s="540">
        <f>IFERROR(IF(X352="",0,CEILING((X352/$H352),1)*$H352),"")</f>
        <v>540</v>
      </c>
      <c r="Z352" s="36">
        <f>IFERROR(IF(Y352=0,"",ROUNDUP(Y352/H352,0)*0.02175),"")</f>
        <v>0.78299999999999992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550.73199999999997</v>
      </c>
      <c r="BN352" s="64">
        <f>IFERROR(Y352*I352/H352,"0")</f>
        <v>556.92000000000007</v>
      </c>
      <c r="BO352" s="64">
        <f>IFERROR(1/J352*(X352/H352),"0")</f>
        <v>0.7416666666666667</v>
      </c>
      <c r="BP352" s="64">
        <f>IFERROR(1/J352*(Y352/H352),"0")</f>
        <v>0.75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35.6</v>
      </c>
      <c r="Y354" s="541">
        <f>IFERROR(Y352/H352,"0")+IFERROR(Y353/H353,"0")</f>
        <v>36</v>
      </c>
      <c r="Z354" s="541">
        <f>IFERROR(IF(Z352="",0,Z352),"0")+IFERROR(IF(Z353="",0,Z353),"0")</f>
        <v>0.78299999999999992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534</v>
      </c>
      <c r="Y355" s="541">
        <f>IFERROR(SUM(Y352:Y353),"0")</f>
        <v>540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173</v>
      </c>
      <c r="Y423" s="540">
        <f t="shared" si="42"/>
        <v>174.24</v>
      </c>
      <c r="Z423" s="36">
        <f t="shared" si="43"/>
        <v>0.39468000000000003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184.46780303030303</v>
      </c>
      <c r="BN423" s="64">
        <f t="shared" si="45"/>
        <v>185.79</v>
      </c>
      <c r="BO423" s="64">
        <f t="shared" si="46"/>
        <v>0.31504953379953382</v>
      </c>
      <c r="BP423" s="64">
        <f t="shared" si="47"/>
        <v>0.31730769230769235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293</v>
      </c>
      <c r="Y425" s="540">
        <f t="shared" si="42"/>
        <v>295.68</v>
      </c>
      <c r="Z425" s="36">
        <f t="shared" si="43"/>
        <v>0.66976000000000002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312.42234848484844</v>
      </c>
      <c r="BN425" s="64">
        <f t="shared" si="45"/>
        <v>315.27999999999997</v>
      </c>
      <c r="BO425" s="64">
        <f t="shared" si="46"/>
        <v>0.53358100233100236</v>
      </c>
      <c r="BP425" s="64">
        <f t="shared" si="47"/>
        <v>0.53846153846153855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88.257575757575751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89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1.0644400000000001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466</v>
      </c>
      <c r="Y432" s="541">
        <f>IFERROR(SUM(Y420:Y430),"0")</f>
        <v>469.92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152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162.07575757575756</v>
      </c>
      <c r="BN434" s="64">
        <f>IFERROR(Y434*I434/H434,"0")</f>
        <v>163.26999999999998</v>
      </c>
      <c r="BO434" s="64">
        <f>IFERROR(1/J434*(X434/H434),"0")</f>
        <v>0.27680652680652679</v>
      </c>
      <c r="BP434" s="64">
        <f>IFERROR(1/J434*(Y434/H434),"0")</f>
        <v>0.27884615384615385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28.787878787878785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152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70</v>
      </c>
      <c r="Y440" s="540">
        <f t="shared" ref="Y440:Y445" si="48">IFERROR(IF(X440="",0,CEILING((X440/$H440),1)*$H440),"")</f>
        <v>73.92</v>
      </c>
      <c r="Z440" s="36">
        <f>IFERROR(IF(Y440=0,"",ROUNDUP(Y440/H440,0)*0.01196),"")</f>
        <v>0.16744000000000001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74.640151515151501</v>
      </c>
      <c r="BN440" s="64">
        <f t="shared" ref="BN440:BN445" si="50">IFERROR(Y440*I440/H440,"0")</f>
        <v>78.819999999999993</v>
      </c>
      <c r="BO440" s="64">
        <f t="shared" ref="BO440:BO445" si="51">IFERROR(1/J440*(X440/H440),"0")</f>
        <v>0.12747668997668998</v>
      </c>
      <c r="BP440" s="64">
        <f t="shared" ref="BP440:BP445" si="52">IFERROR(1/J440*(Y440/H440),"0")</f>
        <v>0.13461538461538464</v>
      </c>
    </row>
    <row r="441" spans="1:68" ht="27" hidden="1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147</v>
      </c>
      <c r="Y442" s="540">
        <f t="shared" si="48"/>
        <v>147.84</v>
      </c>
      <c r="Z442" s="36">
        <f>IFERROR(IF(Y442=0,"",ROUNDUP(Y442/H442,0)*0.01196),"")</f>
        <v>0.33488000000000001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156.74431818181819</v>
      </c>
      <c r="BN442" s="64">
        <f t="shared" si="50"/>
        <v>157.63999999999999</v>
      </c>
      <c r="BO442" s="64">
        <f t="shared" si="51"/>
        <v>0.26770104895104896</v>
      </c>
      <c r="BP442" s="64">
        <f t="shared" si="52"/>
        <v>0.26923076923076927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41.098484848484844</v>
      </c>
      <c r="Y446" s="541">
        <f>IFERROR(Y440/H440,"0")+IFERROR(Y441/H441,"0")+IFERROR(Y442/H442,"0")+IFERROR(Y443/H443,"0")+IFERROR(Y444/H444,"0")+IFERROR(Y445/H445,"0")</f>
        <v>42</v>
      </c>
      <c r="Z446" s="541">
        <f>IFERROR(IF(Z440="",0,Z440),"0")+IFERROR(IF(Z441="",0,Z441),"0")+IFERROR(IF(Z442="",0,Z442),"0")+IFERROR(IF(Z443="",0,Z443),"0")+IFERROR(IF(Z444="",0,Z444),"0")+IFERROR(IF(Z445="",0,Z445),"0")</f>
        <v>0.50231999999999999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217</v>
      </c>
      <c r="Y447" s="541">
        <f>IFERROR(SUM(Y440:Y445),"0")</f>
        <v>221.76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4243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4330.7000000000007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4451.6221533423995</v>
      </c>
      <c r="Y489" s="541">
        <f>IFERROR(SUM(BN22:BN485),"0")</f>
        <v>4543.304000000001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7</v>
      </c>
      <c r="Y490" s="38">
        <f>ROUNDUP(SUM(BP22:BP485),0)</f>
        <v>7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4626.6221533423995</v>
      </c>
      <c r="Y491" s="541">
        <f>GrossWeightTotalR+PalletQtyTotalR*25</f>
        <v>4718.304000000001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588.58921701967688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599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8.037980000000001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188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261.60000000000002</v>
      </c>
      <c r="E498" s="46">
        <f>IFERROR(Y85*1,"0")+IFERROR(Y86*1,"0")+IFERROR(Y87*1,"0")+IFERROR(Y91*1,"0")+IFERROR(Y92*1,"0")+IFERROR(Y93*1,"0")+IFERROR(Y94*1,"0")</f>
        <v>307.8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402.3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460.2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1830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844.8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2,00"/>
        <filter val="106,00"/>
        <filter val="114,00"/>
        <filter val="117,00"/>
        <filter val="125,00"/>
        <filter val="13,49"/>
        <filter val="147,00"/>
        <filter val="148,00"/>
        <filter val="151,00"/>
        <filter val="152,00"/>
        <filter val="153,45"/>
        <filter val="16,76"/>
        <filter val="173,00"/>
        <filter val="181,00"/>
        <filter val="194,00"/>
        <filter val="20,00"/>
        <filter val="211,00"/>
        <filter val="216,00"/>
        <filter val="217,00"/>
        <filter val="244,00"/>
        <filter val="245,00"/>
        <filter val="26,17"/>
        <filter val="28,79"/>
        <filter val="286,00"/>
        <filter val="29,30"/>
        <filter val="293,00"/>
        <filter val="308,00"/>
        <filter val="35,60"/>
        <filter val="38,40"/>
        <filter val="4 243,00"/>
        <filter val="4 451,62"/>
        <filter val="4 626,62"/>
        <filter val="4,00"/>
        <filter val="41,10"/>
        <filter val="414,00"/>
        <filter val="453,00"/>
        <filter val="466,00"/>
        <filter val="49,00"/>
        <filter val="51,00"/>
        <filter val="534,00"/>
        <filter val="588,59"/>
        <filter val="64,00"/>
        <filter val="65,00"/>
        <filter val="7"/>
        <filter val="70,00"/>
        <filter val="71,00"/>
        <filter val="8,00"/>
        <filter val="80,00"/>
        <filter val="83,47"/>
        <filter val="84,00"/>
        <filter val="88,26"/>
        <filter val="9,81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