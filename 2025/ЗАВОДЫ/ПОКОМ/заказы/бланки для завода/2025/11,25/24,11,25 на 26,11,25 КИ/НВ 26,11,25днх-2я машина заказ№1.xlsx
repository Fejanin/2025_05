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B3637E-04E5-4CB5-87C9-3ABCCC5ED6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8" i="1" l="1"/>
  <c r="Y32" i="1"/>
  <c r="Z34" i="1"/>
  <c r="Z35" i="1" s="1"/>
  <c r="BN34" i="1"/>
  <c r="BP34" i="1"/>
  <c r="Y35" i="1"/>
  <c r="Z40" i="1"/>
  <c r="BN40" i="1"/>
  <c r="Z55" i="1"/>
  <c r="BN55" i="1"/>
  <c r="Z79" i="1"/>
  <c r="BN79" i="1"/>
  <c r="Z99" i="1"/>
  <c r="BN99" i="1"/>
  <c r="Z115" i="1"/>
  <c r="BN115" i="1"/>
  <c r="Z141" i="1"/>
  <c r="BN141" i="1"/>
  <c r="Z145" i="1"/>
  <c r="BN145" i="1"/>
  <c r="Z164" i="1"/>
  <c r="BN164" i="1"/>
  <c r="Z165" i="1"/>
  <c r="BN165" i="1"/>
  <c r="Z186" i="1"/>
  <c r="BN186" i="1"/>
  <c r="Z200" i="1"/>
  <c r="BN200" i="1"/>
  <c r="Z210" i="1"/>
  <c r="BN210" i="1"/>
  <c r="Z226" i="1"/>
  <c r="BN226" i="1"/>
  <c r="Z246" i="1"/>
  <c r="BN246" i="1"/>
  <c r="Z264" i="1"/>
  <c r="BN264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J9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BP257" i="1"/>
  <c r="BN257" i="1"/>
  <c r="Z257" i="1"/>
  <c r="BP273" i="1"/>
  <c r="BN273" i="1"/>
  <c r="Z273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BP266" i="1"/>
  <c r="BN266" i="1"/>
  <c r="Z266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Y81" i="1"/>
  <c r="Y216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Y31" i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481" i="1" l="1"/>
  <c r="Z311" i="1"/>
  <c r="Z43" i="1"/>
  <c r="Z220" i="1"/>
  <c r="Z234" i="1"/>
  <c r="Z215" i="1"/>
  <c r="Y489" i="1"/>
  <c r="Z103" i="1"/>
  <c r="Z95" i="1"/>
  <c r="Y492" i="1"/>
  <c r="Z324" i="1"/>
  <c r="Y490" i="1"/>
  <c r="Z57" i="1"/>
  <c r="Z31" i="1"/>
  <c r="X491" i="1"/>
  <c r="Y491" i="1"/>
  <c r="Z393" i="1"/>
  <c r="Z304" i="1"/>
  <c r="Z294" i="1"/>
  <c r="Z116" i="1"/>
  <c r="Z337" i="1"/>
  <c r="Z437" i="1"/>
  <c r="Z446" i="1"/>
  <c r="Z431" i="1"/>
  <c r="Z349" i="1"/>
  <c r="Z330" i="1"/>
  <c r="Z267" i="1"/>
  <c r="Z259" i="1"/>
  <c r="Z250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<sst xmlns="http://schemas.openxmlformats.org/spreadsheetml/2006/main" count="2271" uniqueCount="760">
  <si>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</si>
  <si>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</si>
  <si>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</si>
  <si>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</si>
  <si>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</si>
  <si>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</si>
  <si>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</si>
  <si>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</si>
  <si>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</si>
  <si>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</si>
  <si>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</si>
  <si>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</si>
  <si>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</si>
  <si>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</si>
  <si>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</si>
  <si>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</si>
  <si>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</si>
  <si>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</si>
  <si>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</si>
  <si>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</si>
  <si>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</si>
  <si>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</si>
  <si>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</si>
  <si>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</si>
  <si>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</si>
  <si>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</si>
  <si>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</si>
  <si>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</si>
  <si>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</si>
  <si>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</si>
  <si>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</si>
  <si>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</si>
  <si>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</si>
  <si>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</si>
  <si>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</si>
  <si>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</si>
  <si>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</si>
  <si>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</si>
  <si>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</si>
  <si>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</si>
  <si>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</si>
  <si>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</si>
  <si>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</si>
  <si>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</si>
  <si>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</si>
  <si>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</si>
  <si>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</si>
  <si>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</si>
  <si>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</si>
  <si>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</si>
  <si>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</si>
  <si>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</si>
  <si>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</si>
  <si>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</si>
  <si>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</si>
  <si>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</si>
  <si>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</si>
  <si>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</si>
  <si>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</si>
  <si>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</si>
  <si>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</si>
  <si>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</si>
  <si>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</si>
  <si>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</si>
  <si>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</si>
  <si>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</si>
  <si>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</si>
  <si>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</si>
  <si>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</si>
  <si>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</si>
  <si>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</si>
  <si>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</si>
  <si>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</si>
  <si>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</si>
  <si>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</si>
  <si>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</si>
  <si>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</si>
  <si>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</si>
  <si>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</si>
  <si>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</si>
  <si>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</si>
  <si>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</si>
  <si>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</si>
  <si>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</si>
  <si>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</si>
  <si>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</si>
  <si>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</si>
  <si>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</si>
  <si>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</si>
  <si>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</si>
  <si>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</si>
  <si>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</si>
  <si>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</si>
  <si>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</si>
  <si>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</si>
  <si>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</si>
  <si>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</si>
  <si>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</si>
  <si>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</si>
  <si>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</si>
  <si>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</si>
  <si>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</si>
  <si>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</si>
  <si>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</si>
  <si>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</si>
  <si>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</si>
  <si>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</si>
  <si>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</si>
  <si>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</si>
  <si>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</si>
  <si>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</si>
  <si>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</si>
  <si>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</si>
  <si>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</si>
  <si>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</si>
  <si>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</si>
  <si>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</si>
  <si>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</si>
  <si>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</si>
  <si>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</si>
  <si>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</si>
  <si>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</si>
  <si>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</si>
  <si>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</si>
  <si>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</si>
  <si>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</si>
  <si>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</si>
  <si>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</si>
  <si>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</si>
  <si>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</si>
  <si>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</si>
  <si>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</si>
  <si>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</si>
  <si>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</si>
  <si>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</si>
  <si>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</si>
  <si>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</si>
  <si>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</si>
  <si>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</si>
  <si>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</si>
  <si>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</si>
  <si>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</si>
  <si>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</si>
  <si>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</si>
  <si>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</si>
  <si>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</si>
  <si>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</si>
  <si>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</si>
  <si>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</si>
  <si>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</si>
  <si>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</si>
  <si>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</si>
  <si>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</si>
  <si>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</si>
  <si>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</si>
  <si>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</si>
  <si>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</si>
  <si>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</si>
  <si>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</si>
  <si>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</si>
  <si>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</si>
  <si>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</si>
  <si>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</si>
  <si>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</si>
  <si>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</si>
  <si>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</si>
  <si>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</si>
  <si>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</si>
  <si>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</si>
  <si>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</si>
  <si>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</si>
  <si>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</si>
  <si>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</si>
  <si>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</si>
  <si>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</si>
  <si>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</si>
  <si>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</si>
  <si>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</si>
  <si>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</si>
  <si>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</si>
  <si>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</si>
  <si>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</si>
  <si>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</si>
  <si>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</si>
  <si>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</si>
  <si>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</si>
  <si>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</si>
  <si>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</si>
  <si>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</si>
  <si>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</si>
  <si>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</si>
  <si>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</si>
  <si>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</si>
  <si>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</si>
  <si>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</si>
  <si>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</si>
  <si>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</si>
  <si>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</si>
  <si>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</si>
  <si>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</si>
  <si>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</si>
  <si>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</si>
  <si>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</si>
  <si>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</si>
  <si>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</si>
  <si>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</si>
  <si>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</si>
  <si>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</si>
  <si>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</si>
  <si>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</si>
  <si>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</si>
  <si>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</si>
  <si>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</si>
  <si>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</si>
  <si>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</si>
  <si>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</si>
  <si>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</si>
  <si>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</si>
  <si>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</si>
  <si>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</si>
  <si>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</si>
  <si>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</si>
  <si>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</si>
  <si>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</si>
  <si>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</si>
  <si>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</si>
  <si>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</si>
  <si>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</si>
  <si>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</si>
  <si>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</si>
  <si>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</si>
  <si>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</si>
  <si>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</si>
  <si>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</si>
  <si>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</si>
  <si>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</si>
  <si>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</si>
  <si>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</si>
  <si>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</si>
  <si>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</si>
  <si>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</si>
  <si>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</si>
  <si>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</si>
  <si>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</si>
  <si>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</si>
  <si>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</si>
  <si>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</si>
  <si>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</si>
  <si>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</si>
  <si>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</si>
  <si>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</si>
  <si>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</si>
  <si>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</si>
  <si>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</si>
  <si>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</si>
  <si>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</si>
  <si>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</si>
  <si>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</si>
  <si>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</si>
  <si>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</si>
  <si>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</si>
  <si>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</si>
  <si>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</si>
  <si>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</si>
  <si>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</si>
  <si>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</si>
  <si>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</si>
  <si>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</si>
  <si>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</si>
  <si>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</si>
  <si>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</si>
  <si>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</si>
  <si>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</si>
  <si>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</si>
  <si>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</si>
  <si>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</si>
  <si>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</si>
  <si>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</si>
  <si>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</si>
  <si>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</si>
  <si>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</si>
  <si>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</si>
  <si>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</si>
  <si>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</si>
  <si>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</si>
  <si>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</si>
  <si>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</si>
  <si>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</si>
  <si>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</si>
  <si>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</si>
  <si>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</si>
  <si>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</si>
  <si>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</si>
  <si>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</si>
  <si>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</si>
  <si>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</si>
  <si>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</si>
  <si>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</si>
  <si>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</si>
  <si>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</si>
  <si>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</si>
  <si>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</si>
  <si>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</si>
  <si>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</si>
  <si>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</si>
  <si>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</si>
  <si>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</si>
  <si>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</si>
  <si>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</si>
  <si>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</si>
  <si>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</si>
  <si>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</si>
  <si>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</si>
  <si>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</si>
  <si>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</si>
  <si>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</si>
  <si>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</si>
  <si>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</si>
  <si>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</si>
  <si>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</si>
  <si>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</si>
  <si>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</si>
  <si>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</si>
  <si>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</si>
  <si>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</si>
  <si>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</si>
  <si>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</si>
  <si>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</si>
  <si>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</si>
  <si>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</si>
  <si>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</si>
  <si>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</si>
  <si>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</si>
  <si>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</si>
  <si>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</si>
  <si>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</si>
  <si>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</si>
  <si>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</si>
  <si>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</si>
  <si>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</si>
  <si>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</si>
  <si>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</si>
  <si>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</si>
  <si>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</si>
  <si>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</si>
  <si>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</si>
  <si>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</si>
  <si>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</si>
  <si>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</si>
  <si>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</si>
  <si>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</si>
  <si>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</si>
  <si>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</si>
  <si>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</si>
  <si>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</si>
  <si>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</si>
  <si>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</si>
  <si>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</si>
  <si>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</si>
  <si>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</si>
  <si>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</si>
  <si>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</si>
  <si>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</si>
  <si>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</si>
  <si>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</si>
  <si>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</si>
  <si>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</si>
  <si>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</si>
  <si>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</si>
  <si>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</si>
  <si>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</si>
  <si>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</si>
  <si>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</si>
  <si>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</si>
  <si>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</si>
  <si>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</si>
  <si>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</si>
  <si>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</si>
  <si>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</si>
  <si>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</si>
  <si>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</si>
  <si>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</si>
  <si>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</si>
  <si>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</si>
  <si>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</si>
  <si>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</si>
  <si>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</si>
  <si>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</si>
  <si>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</si>
  <si>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</si>
  <si>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</si>
  <si>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</si>
  <si>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</si>
  <si>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</si>
  <si>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</si>
  <si>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</si>
  <si>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</si>
  <si>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</si>
  <si>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</si>
  <si>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</si>
  <si>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</si>
  <si>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</si>
  <si>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</si>
  <si>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</si>
  <si>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</si>
  <si>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</si>
  <si>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</si>
  <si>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</si>
  <si>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</si>
  <si>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</si>
  <si>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</si>
  <si>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</si>
  <si>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</si>
  <si>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</si>
  <si>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</si>
  <si>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</si>
  <si>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</si>
  <si>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</si>
  <si>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</si>
  <si>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</si>
  <si>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</si>
  <si>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</si>
  <si>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</si>
  <si>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</si>
  <si>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</si>
  <si>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</si>
  <si>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</si>
  <si>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</si>
  <si>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</si>
  <si>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</si>
  <si>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</si>
  <si>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</si>
  <si>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</si>
  <si>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</si>
  <si>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</si>
  <si>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</si>
  <si>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</si>
  <si>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</si>
  <si>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</si>
  <si>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</si>
  <si>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</si>
  <si>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</si>
  <si>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</si>
  <si>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</si>
  <si>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</si>
  <si>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</si>
  <si>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</si>
  <si>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</si>
  <si>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</si>
  <si>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</si>
  <si>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</si>
  <si>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</si>
  <si>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</si>
  <si>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</si>
  <si>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</si>
  <si>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</si>
  <si>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</si>
  <si>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</si>
  <si>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</si>
  <si>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</si>
  <si>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</si>
  <si>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</si>
  <si>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</si>
  <si>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</si>
  <si>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</si>
  <si>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</si>
  <si>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</si>
  <si>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</si>
  <si>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</si>
  <si>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</si>
  <si>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</si>
  <si>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</si>
  <si>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</si>
  <si>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</si>
  <si>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</si>
  <si>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</si>
  <si>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</si>
  <si>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</si>
  <si>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</si>
  <si>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</si>
  <si>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</si>
  <si>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</si>
  <si>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</si>
  <si>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</si>
  <si>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</si>
  <si>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</si>
  <si>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</si>
  <si>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</si>
  <si>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</si>
  <si>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</si>
  <si>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</si>
  <si>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</si>
  <si>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</si>
  <si>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</si>
  <si>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</si>
  <si>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</si>
  <si>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</si>
  <si>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</si>
  <si>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</si>
  <si>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</si>
  <si>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</si>
  <si>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</si>
  <si>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</si>
  <si>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</si>
  <si>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</si>
  <si>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</si>
  <si>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</si>
  <si>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</si>
  <si>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</si>
  <si>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</si>
  <si>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</si>
  <si>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</si>
  <si>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</si>
  <si>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</si>
  <si>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</si>
  <si>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</si>
  <si>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</si>
  <si>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</si>
  <si>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</si>
  <si>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</si>
  <si>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</si>
  <si>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</si>
  <si>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</si>
  <si>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</si>
  <si>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</si>
  <si>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</si>
  <si>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</si>
  <si>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</si>
  <si>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</si>
  <si>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</si>
  <si>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</si>
  <si>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</si>
  <si>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</si>
  <si>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</si>
  <si>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</si>
  <si>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</si>
  <si>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</si>
  <si>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</si>
  <si>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</si>
  <si>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</si>
  <si>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</si>
  <si>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</si>
  <si>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</si>
  <si>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</si>
  <si>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</si>
  <si>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</si>
  <si>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</si>
  <si>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</si>
  <si>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</si>
  <si>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</si>
  <si>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</si>
  <si>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</si>
  <si>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</si>
  <si>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</si>
  <si>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</si>
  <si>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</si>
  <si>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</si>
  <si>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</si>
  <si>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</si>
  <si>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</si>
  <si>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</si>
  <si>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</si>
  <si>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</si>
  <si>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</si>
  <si>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</si>
  <si>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</si>
  <si>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</si>
  <si>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</si>
  <si>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</si>
  <si>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</si>
  <si>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</si>
  <si>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</si>
  <si>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</si>
  <si>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</si>
  <si>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</si>
  <si>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</si>
  <si>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</si>
  <si>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</si>
  <si>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</si>
  <si>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</si>
  <si>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</si>
  <si>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</si>
  <si>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</si>
  <si>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</si>
  <si>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</si>
  <si>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</si>
  <si>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</si>
  <si>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</si>
  <si>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</si>
  <si>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</si>
  <si>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</si>
  <si>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</si>
  <si>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</si>
  <si>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</si>
  <si>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</si>
  <si>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</si>
  <si>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</si>
  <si>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</si>
  <si>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</si>
  <si>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</si>
  <si>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</si>
  <si>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</si>
  <si>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</si>
  <si>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</si>
  <si>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</si>
  <si>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</si>
  <si>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</si>
  <si>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</si>
  <si>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</si>
  <si>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</si>
  <si>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</si>
  <si>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</si>
  <si>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</si>
  <si>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</si>
  <si>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</si>
  <si>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</si>
  <si>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</si>
  <si>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</si>
  <si>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</si>
  <si>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</si>
  <si>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</si>
  <si>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</si>
  <si>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</si>
  <si>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</si>
  <si>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</si>
  <si>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</si>
  <si>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</si>
  <si>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</si>
  <si>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</si>
  <si>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</si>
  <si>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</si>
  <si>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</si>
  <si>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</si>
  <si>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</si>
  <si>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</si>
  <si>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</si>
  <si>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</si>
  <si>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</si>
  <si>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</si>
  <si>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</si>
  <si>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</si>
  <si>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</si>
  <si>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</si>
  <si>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</si>
  <si>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</si>
  <si>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</si>
  <si>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</si>
  <si>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</si>
  <si>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</si>
  <si>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</si>
  <si>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</si>
  <si>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</si>
  <si>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</si>
  <si>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</si>
  <si>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</si>
  <si>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</si>
  <si>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</si>
  <si>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</si>
  <si>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</si>
  <si>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</si>
  <si>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</si>
  <si>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</si>
  <si>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</si>
  <si>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</si>
  <si>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</si>
  <si>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</si>
  <si>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</si>
  <si>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</si>
  <si>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</si>
  <si>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</si>
  <si>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</si>
  <si>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</si>
  <si>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</si>
  <si>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</si>
  <si>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</si>
  <si>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</si>
  <si>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</si>
  <si>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</si>
  <si>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</si>
  <si>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</si>
  <si>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</si>
  <si>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</si>
  <si>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</si>
  <si>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</si>
  <si>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</si>
  <si>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</si>
  <si>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</si>
  <si>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</si>
  <si>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</si>
  <si>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</si>
  <si>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</si>
  <si>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</si>
  <si>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</si>
  <si>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</si>
  <si>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</si>
  <si>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</si>
  <si>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</si>
  <si>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</si>
  <si>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</si>
  <si>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</si>
  <si>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</si>
  <si>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</si>
  <si>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</si>
  <si>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</si>
  <si>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</si>
  <si>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</si>
  <si>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</si>
  <si>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</si>
  <si>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</si>
  <si>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</si>
  <si>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</si>
  <si>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</si>
  <si>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</si>
  <si>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</si>
  <si>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</si>
  <si>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</si>
  <si>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</si>
  <si>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</si>
  <si>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</si>
  <si>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</si>
  <si>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</si>
  <si>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</si>
  <si>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</si>
  <si>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</si>
  <si>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</si>
  <si>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</si>
  <si>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</si>
  <si>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</si>
  <si>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</si>
  <si>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</si>
  <si>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</si>
  <si>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</si>
  <si>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</si>
  <si>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</si>
  <si>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</si>
  <si>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</si>
  <si>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</si>
  <si>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</si>
  <si>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</si>
  <si>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</si>
  <si>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</si>
  <si>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</si>
  <si>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</si>
  <si>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</si>
  <si>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</si>
  <si>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</si>
  <si>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</si>
  <si>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</si>
  <si>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</si>
  <si>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</si>
  <si>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</si>
  <si>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</si>
  <si>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</si>
  <si>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</si>
  <si>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</si>
  <si>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</si>
  <si>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</si>
  <si>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</si>
  <si>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</si>
  <si>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7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</si>
</sst>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45987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Среда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62</v>
      </c>
      <c r="Y40" s="540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64.353703703703715</v>
      </c>
      <c r="BN40" s="64">
        <f>IFERROR(Y40*I40/H40,"0")</f>
        <v>67.260000000000005</v>
      </c>
      <c r="BO40" s="64">
        <f>IFERROR(1/J40*(X40/H40),"0")</f>
        <v>8.969907407407407E-2</v>
      </c>
      <c r="BP40" s="64">
        <f>IFERROR(1/J40*(Y40/H40),"0")</f>
        <v>9.3750000000000014E-2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5.7407407407407405</v>
      </c>
      <c r="Y43" s="541">
        <f>IFERROR(Y40/H40,"0")+IFERROR(Y41/H41,"0")+IFERROR(Y42/H42,"0")</f>
        <v>6.0000000000000009</v>
      </c>
      <c r="Z43" s="541">
        <f>IFERROR(IF(Z40="",0,Z40),"0")+IFERROR(IF(Z41="",0,Z41),"0")+IFERROR(IF(Z42="",0,Z42),"0")</f>
        <v>0.11388000000000001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62</v>
      </c>
      <c r="Y44" s="541">
        <f>IFERROR(SUM(Y40:Y42),"0")</f>
        <v>64.800000000000011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76</v>
      </c>
      <c r="Y93" s="540">
        <f>IFERROR(IF(X93="",0,CEILING((X93/$H93),1)*$H93),"")</f>
        <v>78.300000000000011</v>
      </c>
      <c r="Z93" s="36">
        <f>IFERROR(IF(Y93=0,"",ROUNDUP(Y93/H93,0)*0.00651),"")</f>
        <v>0.18879000000000001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83.093333333333334</v>
      </c>
      <c r="BN93" s="64">
        <f>IFERROR(Y93*I93/H93,"0")</f>
        <v>85.608000000000004</v>
      </c>
      <c r="BO93" s="64">
        <f>IFERROR(1/J93*(X93/H93),"0")</f>
        <v>0.15466015466015465</v>
      </c>
      <c r="BP93" s="64">
        <f>IFERROR(1/J93*(Y93/H93),"0")</f>
        <v>0.15934065934065939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28.148148148148145</v>
      </c>
      <c r="Y95" s="541">
        <f>IFERROR(Y91/H91,"0")+IFERROR(Y92/H92,"0")+IFERROR(Y93/H93,"0")+IFERROR(Y94/H94,"0")</f>
        <v>29.000000000000004</v>
      </c>
      <c r="Z95" s="541">
        <f>IFERROR(IF(Z91="",0,Z91),"0")+IFERROR(IF(Z92="",0,Z92),"0")+IFERROR(IF(Z93="",0,Z93),"0")+IFERROR(IF(Z94="",0,Z94),"0")</f>
        <v>0.18879000000000001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76</v>
      </c>
      <c r="Y96" s="541">
        <f>IFERROR(SUM(Y91:Y94),"0")</f>
        <v>78.300000000000011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103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106.91018518518518</v>
      </c>
      <c r="BN99" s="64">
        <f>IFERROR(Y99*I99/H99,"0")</f>
        <v>112.1</v>
      </c>
      <c r="BO99" s="64">
        <f>IFERROR(1/J99*(X99/H99),"0")</f>
        <v>0.14901620370370369</v>
      </c>
      <c r="BP99" s="64">
        <f>IFERROR(1/J99*(Y99/H99),"0")</f>
        <v>0.15625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9.5370370370370363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103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150</v>
      </c>
      <c r="Y112" s="540">
        <f>IFERROR(IF(X112="",0,CEILING((X112/$H112),1)*$H112),"")</f>
        <v>153.9</v>
      </c>
      <c r="Z112" s="36">
        <f>IFERROR(IF(Y112=0,"",ROUNDUP(Y112/H112,0)*0.01898),"")</f>
        <v>0.36062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159.03703703703701</v>
      </c>
      <c r="BN112" s="64">
        <f>IFERROR(Y112*I112/H112,"0")</f>
        <v>163.172</v>
      </c>
      <c r="BO112" s="64">
        <f>IFERROR(1/J112*(X112/H112),"0")</f>
        <v>0.28935185185185186</v>
      </c>
      <c r="BP112" s="64">
        <f>IFERROR(1/J112*(Y112/H112),"0")</f>
        <v>0.296875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18.518518518518519</v>
      </c>
      <c r="Y116" s="541">
        <f>IFERROR(Y112/H112,"0")+IFERROR(Y113/H113,"0")+IFERROR(Y114/H114,"0")+IFERROR(Y115/H115,"0")</f>
        <v>19</v>
      </c>
      <c r="Z116" s="541">
        <f>IFERROR(IF(Z112="",0,Z112),"0")+IFERROR(IF(Z113="",0,Z113),"0")+IFERROR(IF(Z114="",0,Z114),"0")+IFERROR(IF(Z115="",0,Z115),"0")</f>
        <v>0.36062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150</v>
      </c>
      <c r="Y117" s="541">
        <f>IFERROR(SUM(Y112:Y115),"0")</f>
        <v>153.9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92</v>
      </c>
      <c r="Y208" s="540">
        <f t="shared" si="15"/>
        <v>95.699999999999989</v>
      </c>
      <c r="Z208" s="36">
        <f>IFERROR(IF(Y208=0,"",ROUNDUP(Y208/H208,0)*0.01898),"")</f>
        <v>0.20877999999999999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97.223908045977026</v>
      </c>
      <c r="BN208" s="64">
        <f t="shared" si="17"/>
        <v>101.134</v>
      </c>
      <c r="BO208" s="64">
        <f t="shared" si="18"/>
        <v>0.16522988505747127</v>
      </c>
      <c r="BP208" s="64">
        <f t="shared" si="19"/>
        <v>0.171875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118</v>
      </c>
      <c r="Y211" s="540">
        <f t="shared" si="15"/>
        <v>120</v>
      </c>
      <c r="Z211" s="36">
        <f t="shared" si="20"/>
        <v>0.32550000000000001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130.39000000000001</v>
      </c>
      <c r="BN211" s="64">
        <f t="shared" si="17"/>
        <v>132.60000000000002</v>
      </c>
      <c r="BO211" s="64">
        <f t="shared" si="18"/>
        <v>0.27014652014652019</v>
      </c>
      <c r="BP211" s="64">
        <f t="shared" si="19"/>
        <v>0.27472527472527475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113</v>
      </c>
      <c r="Y212" s="540">
        <f t="shared" si="15"/>
        <v>115.19999999999999</v>
      </c>
      <c r="Z212" s="36">
        <f t="shared" si="20"/>
        <v>0.31247999999999998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124.86499999999999</v>
      </c>
      <c r="BN212" s="64">
        <f t="shared" si="17"/>
        <v>127.29600000000001</v>
      </c>
      <c r="BO212" s="64">
        <f t="shared" si="18"/>
        <v>0.25869963369963372</v>
      </c>
      <c r="BP212" s="64">
        <f t="shared" si="19"/>
        <v>0.26373626373626374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106.82471264367817</v>
      </c>
      <c r="Y215" s="541">
        <f>IFERROR(Y206/H206,"0")+IFERROR(Y207/H207,"0")+IFERROR(Y208/H208,"0")+IFERROR(Y209/H209,"0")+IFERROR(Y210/H210,"0")+IFERROR(Y211/H211,"0")+IFERROR(Y212/H212,"0")+IFERROR(Y213/H213,"0")+IFERROR(Y214/H214,"0")</f>
        <v>109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0.84675999999999996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323</v>
      </c>
      <c r="Y216" s="541">
        <f>IFERROR(SUM(Y206:Y214),"0")</f>
        <v>330.9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261</v>
      </c>
      <c r="Y343" s="540">
        <f t="shared" si="31"/>
        <v>270</v>
      </c>
      <c r="Z343" s="36">
        <f>IFERROR(IF(Y343=0,"",ROUNDUP(Y343/H343,0)*0.02175),"")</f>
        <v>0.39149999999999996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269.178</v>
      </c>
      <c r="BN343" s="64">
        <f t="shared" si="33"/>
        <v>278.46000000000004</v>
      </c>
      <c r="BO343" s="64">
        <f t="shared" si="34"/>
        <v>0.36249999999999993</v>
      </c>
      <c r="BP343" s="64">
        <f t="shared" si="35"/>
        <v>0.375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267</v>
      </c>
      <c r="Y344" s="540">
        <f t="shared" si="31"/>
        <v>270</v>
      </c>
      <c r="Z344" s="36">
        <f>IFERROR(IF(Y344=0,"",ROUNDUP(Y344/H344,0)*0.02175),"")</f>
        <v>0.39149999999999996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275.36599999999999</v>
      </c>
      <c r="BN344" s="64">
        <f t="shared" si="33"/>
        <v>278.46000000000004</v>
      </c>
      <c r="BO344" s="64">
        <f t="shared" si="34"/>
        <v>0.37083333333333335</v>
      </c>
      <c r="BP344" s="64">
        <f t="shared" si="35"/>
        <v>0.375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35.200000000000003</v>
      </c>
      <c r="Y349" s="541">
        <f>IFERROR(Y342/H342,"0")+IFERROR(Y343/H343,"0")+IFERROR(Y344/H344,"0")+IFERROR(Y345/H345,"0")+IFERROR(Y346/H346,"0")+IFERROR(Y347/H347,"0")+IFERROR(Y348/H348,"0")</f>
        <v>36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0.78299999999999992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528</v>
      </c>
      <c r="Y350" s="541">
        <f>IFERROR(SUM(Y342:Y348),"0")</f>
        <v>540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385</v>
      </c>
      <c r="Y352" s="540">
        <f>IFERROR(IF(X352="",0,CEILING((X352/$H352),1)*$H352),"")</f>
        <v>390</v>
      </c>
      <c r="Z352" s="36">
        <f>IFERROR(IF(Y352=0,"",ROUNDUP(Y352/H352,0)*0.02175),"")</f>
        <v>0.5655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397.06333333333333</v>
      </c>
      <c r="BN352" s="64">
        <f>IFERROR(Y352*I352/H352,"0")</f>
        <v>402.22</v>
      </c>
      <c r="BO352" s="64">
        <f>IFERROR(1/J352*(X352/H352),"0")</f>
        <v>0.53472222222222221</v>
      </c>
      <c r="BP352" s="64">
        <f>IFERROR(1/J352*(Y352/H352),"0")</f>
        <v>0.54166666666666663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25.666666666666668</v>
      </c>
      <c r="Y354" s="541">
        <f>IFERROR(Y352/H352,"0")+IFERROR(Y353/H353,"0")</f>
        <v>26</v>
      </c>
      <c r="Z354" s="541">
        <f>IFERROR(IF(Z352="",0,Z352),"0")+IFERROR(IF(Z353="",0,Z353),"0")</f>
        <v>0.5655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385</v>
      </c>
      <c r="Y355" s="541">
        <f>IFERROR(SUM(Y352:Y353),"0")</f>
        <v>390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540</v>
      </c>
      <c r="Y423" s="540">
        <f t="shared" si="42"/>
        <v>543.84</v>
      </c>
      <c r="Z423" s="36">
        <f t="shared" si="43"/>
        <v>1.2318800000000001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575.7954545454545</v>
      </c>
      <c r="BN423" s="64">
        <f t="shared" si="45"/>
        <v>579.89</v>
      </c>
      <c r="BO423" s="64">
        <f t="shared" si="46"/>
        <v>0.98339160839160833</v>
      </c>
      <c r="BP423" s="64">
        <f t="shared" si="47"/>
        <v>0.99038461538461542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592</v>
      </c>
      <c r="Y425" s="540">
        <f t="shared" si="42"/>
        <v>596.64</v>
      </c>
      <c r="Z425" s="36">
        <f t="shared" si="43"/>
        <v>1.35148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631.24242424242425</v>
      </c>
      <c r="BN425" s="64">
        <f t="shared" si="45"/>
        <v>636.18999999999994</v>
      </c>
      <c r="BO425" s="64">
        <f t="shared" si="46"/>
        <v>1.0780885780885781</v>
      </c>
      <c r="BP425" s="64">
        <f t="shared" si="47"/>
        <v>1.0865384615384615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214.39393939393938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216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2.5833599999999999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1132</v>
      </c>
      <c r="Y432" s="541">
        <f>IFERROR(SUM(Y420:Y430),"0")</f>
        <v>1140.48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364</v>
      </c>
      <c r="Y434" s="540">
        <f>IFERROR(IF(X434="",0,CEILING((X434/$H434),1)*$H434),"")</f>
        <v>364.32</v>
      </c>
      <c r="Z434" s="36">
        <f>IFERROR(IF(Y434=0,"",ROUNDUP(Y434/H434,0)*0.01196),"")</f>
        <v>0.82523999999999997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388.12878787878788</v>
      </c>
      <c r="BN434" s="64">
        <f>IFERROR(Y434*I434/H434,"0")</f>
        <v>388.46999999999997</v>
      </c>
      <c r="BO434" s="64">
        <f>IFERROR(1/J434*(X434/H434),"0")</f>
        <v>0.66287878787878785</v>
      </c>
      <c r="BP434" s="64">
        <f>IFERROR(1/J434*(Y434/H434),"0")</f>
        <v>0.66346153846153855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68.939393939393938</v>
      </c>
      <c r="Y437" s="541">
        <f>IFERROR(Y434/H434,"0")+IFERROR(Y435/H435,"0")+IFERROR(Y436/H436,"0")</f>
        <v>69</v>
      </c>
      <c r="Z437" s="541">
        <f>IFERROR(IF(Z434="",0,Z434),"0")+IFERROR(IF(Z435="",0,Z435),"0")+IFERROR(IF(Z436="",0,Z436),"0")</f>
        <v>0.82523999999999997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364</v>
      </c>
      <c r="Y438" s="541">
        <f>IFERROR(SUM(Y434:Y436),"0")</f>
        <v>364.32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129</v>
      </c>
      <c r="Y441" s="540">
        <f t="shared" si="48"/>
        <v>132</v>
      </c>
      <c r="Z441" s="36">
        <f>IFERROR(IF(Y441=0,"",ROUNDUP(Y441/H441,0)*0.01196),"")</f>
        <v>0.29899999999999999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137.55113636363635</v>
      </c>
      <c r="BN441" s="64">
        <f t="shared" si="50"/>
        <v>140.75</v>
      </c>
      <c r="BO441" s="64">
        <f t="shared" si="51"/>
        <v>0.23492132867132867</v>
      </c>
      <c r="BP441" s="64">
        <f t="shared" si="52"/>
        <v>0.24038461538461539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242</v>
      </c>
      <c r="Y442" s="540">
        <f t="shared" si="48"/>
        <v>242.88000000000002</v>
      </c>
      <c r="Z442" s="36">
        <f>IFERROR(IF(Y442=0,"",ROUNDUP(Y442/H442,0)*0.01196),"")</f>
        <v>0.55015999999999998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258.04166666666669</v>
      </c>
      <c r="BN442" s="64">
        <f t="shared" si="50"/>
        <v>258.98</v>
      </c>
      <c r="BO442" s="64">
        <f t="shared" si="51"/>
        <v>0.44070512820512819</v>
      </c>
      <c r="BP442" s="64">
        <f t="shared" si="52"/>
        <v>0.44230769230769235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70.265151515151501</v>
      </c>
      <c r="Y446" s="541">
        <f>IFERROR(Y440/H440,"0")+IFERROR(Y441/H441,"0")+IFERROR(Y442/H442,"0")+IFERROR(Y443/H443,"0")+IFERROR(Y444/H444,"0")+IFERROR(Y445/H445,"0")</f>
        <v>71</v>
      </c>
      <c r="Z446" s="541">
        <f>IFERROR(IF(Z440="",0,Z440),"0")+IFERROR(IF(Z441="",0,Z441),"0")+IFERROR(IF(Z442="",0,Z442),"0")+IFERROR(IF(Z443="",0,Z443),"0")+IFERROR(IF(Z444="",0,Z444),"0")+IFERROR(IF(Z445="",0,Z445),"0")</f>
        <v>0.84915999999999991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371</v>
      </c>
      <c r="Y447" s="541">
        <f>IFERROR(SUM(Y440:Y445),"0")</f>
        <v>374.88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3494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3545.5800000000004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3698.2399703355395</v>
      </c>
      <c r="Y489" s="541">
        <f>IFERROR(SUM(BN22:BN485),"0")</f>
        <v>3752.59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7</v>
      </c>
      <c r="Y490" s="38">
        <f>ROUNDUP(SUM(BP22:BP485),0)</f>
        <v>7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3873.2399703355395</v>
      </c>
      <c r="Y491" s="541">
        <f>GrossWeightTotalR+PalletQtyTotalR*25</f>
        <v>3927.59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583.23430860327403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591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7.3061100000000003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64.800000000000011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78.300000000000011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261.89999999999998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330.9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930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1879.68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2,00"/>
        <filter val="103,00"/>
        <filter val="106,82"/>
        <filter val="113,00"/>
        <filter val="118,00"/>
        <filter val="129,00"/>
        <filter val="150,00"/>
        <filter val="18,52"/>
        <filter val="214,39"/>
        <filter val="242,00"/>
        <filter val="25,67"/>
        <filter val="261,00"/>
        <filter val="267,00"/>
        <filter val="28,15"/>
        <filter val="3 494,00"/>
        <filter val="3 698,24"/>
        <filter val="3 873,24"/>
        <filter val="323,00"/>
        <filter val="35,20"/>
        <filter val="364,00"/>
        <filter val="371,00"/>
        <filter val="385,00"/>
        <filter val="5,74"/>
        <filter val="528,00"/>
        <filter val="540,00"/>
        <filter val="583,23"/>
        <filter val="592,00"/>
        <filter val="62,00"/>
        <filter val="68,94"/>
        <filter val="7"/>
        <filter val="70,27"/>
        <filter val="76,00"/>
        <filter val="9,54"/>
        <filter val="92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2025-11-24T09:55:37Z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