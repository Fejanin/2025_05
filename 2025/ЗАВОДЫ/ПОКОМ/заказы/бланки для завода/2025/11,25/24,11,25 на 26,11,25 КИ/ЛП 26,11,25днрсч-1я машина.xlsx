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3CA5C4B-BDE2-46BD-8529-FCABCEF35D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Y360" i="1" s="1"/>
  <c r="P358" i="1"/>
  <c r="X356" i="1"/>
  <c r="X355" i="1"/>
  <c r="BO354" i="1"/>
  <c r="BM354" i="1"/>
  <c r="Y354" i="1"/>
  <c r="P354" i="1"/>
  <c r="BO353" i="1"/>
  <c r="BM353" i="1"/>
  <c r="Y353" i="1"/>
  <c r="P353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N266" i="1"/>
  <c r="BM266" i="1"/>
  <c r="Z266" i="1"/>
  <c r="Y266" i="1"/>
  <c r="BP266" i="1" s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Y148" i="1" s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N87" i="1"/>
  <c r="BM87" i="1"/>
  <c r="Z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BP102" i="1" l="1"/>
  <c r="BN102" i="1"/>
  <c r="Z102" i="1"/>
  <c r="BP140" i="1"/>
  <c r="BN140" i="1"/>
  <c r="Z140" i="1"/>
  <c r="BP166" i="1"/>
  <c r="BN166" i="1"/>
  <c r="Z166" i="1"/>
  <c r="BP197" i="1"/>
  <c r="BN197" i="1"/>
  <c r="Z197" i="1"/>
  <c r="BP224" i="1"/>
  <c r="BN224" i="1"/>
  <c r="Z224" i="1"/>
  <c r="BP257" i="1"/>
  <c r="BN257" i="1"/>
  <c r="Z257" i="1"/>
  <c r="BP290" i="1"/>
  <c r="BN290" i="1"/>
  <c r="Z290" i="1"/>
  <c r="BP310" i="1"/>
  <c r="BN310" i="1"/>
  <c r="Z310" i="1"/>
  <c r="BP345" i="1"/>
  <c r="BN345" i="1"/>
  <c r="Z345" i="1"/>
  <c r="BP388" i="1"/>
  <c r="BN388" i="1"/>
  <c r="Z388" i="1"/>
  <c r="BP426" i="1"/>
  <c r="BN426" i="1"/>
  <c r="Z426" i="1"/>
  <c r="BP452" i="1"/>
  <c r="BN452" i="1"/>
  <c r="Z452" i="1"/>
  <c r="X490" i="1"/>
  <c r="X493" i="1"/>
  <c r="Z27" i="1"/>
  <c r="BN27" i="1"/>
  <c r="Z54" i="1"/>
  <c r="BN54" i="1"/>
  <c r="Z66" i="1"/>
  <c r="BN66" i="1"/>
  <c r="Z80" i="1"/>
  <c r="BN80" i="1"/>
  <c r="BP114" i="1"/>
  <c r="BN114" i="1"/>
  <c r="Z114" i="1"/>
  <c r="BP163" i="1"/>
  <c r="BN163" i="1"/>
  <c r="Z163" i="1"/>
  <c r="BP176" i="1"/>
  <c r="BN176" i="1"/>
  <c r="Z176" i="1"/>
  <c r="Y215" i="1"/>
  <c r="BP209" i="1"/>
  <c r="BN209" i="1"/>
  <c r="Z209" i="1"/>
  <c r="BP232" i="1"/>
  <c r="BN232" i="1"/>
  <c r="Z232" i="1"/>
  <c r="BP278" i="1"/>
  <c r="BN278" i="1"/>
  <c r="Z278" i="1"/>
  <c r="BP300" i="1"/>
  <c r="BN300" i="1"/>
  <c r="Z300" i="1"/>
  <c r="BP328" i="1"/>
  <c r="BN328" i="1"/>
  <c r="Z328" i="1"/>
  <c r="BP359" i="1"/>
  <c r="BN359" i="1"/>
  <c r="Z359" i="1"/>
  <c r="Y365" i="1"/>
  <c r="Y364" i="1"/>
  <c r="BP363" i="1"/>
  <c r="BN363" i="1"/>
  <c r="Z363" i="1"/>
  <c r="Z364" i="1" s="1"/>
  <c r="BP368" i="1"/>
  <c r="BN368" i="1"/>
  <c r="Z368" i="1"/>
  <c r="Y404" i="1"/>
  <c r="BP403" i="1"/>
  <c r="BN403" i="1"/>
  <c r="Z403" i="1"/>
  <c r="Z404" i="1" s="1"/>
  <c r="BP407" i="1"/>
  <c r="BN407" i="1"/>
  <c r="Z407" i="1"/>
  <c r="BP442" i="1"/>
  <c r="BN442" i="1"/>
  <c r="Z442" i="1"/>
  <c r="BP466" i="1"/>
  <c r="BN466" i="1"/>
  <c r="Z466" i="1"/>
  <c r="BP85" i="1"/>
  <c r="BN85" i="1"/>
  <c r="Z85" i="1"/>
  <c r="BP100" i="1"/>
  <c r="BN100" i="1"/>
  <c r="Z100" i="1"/>
  <c r="Y116" i="1"/>
  <c r="BP112" i="1"/>
  <c r="BN112" i="1"/>
  <c r="Z112" i="1"/>
  <c r="BP135" i="1"/>
  <c r="BN135" i="1"/>
  <c r="Z135" i="1"/>
  <c r="Y153" i="1"/>
  <c r="Y152" i="1"/>
  <c r="BP151" i="1"/>
  <c r="BN151" i="1"/>
  <c r="Z151" i="1"/>
  <c r="Z152" i="1" s="1"/>
  <c r="Y158" i="1"/>
  <c r="BP157" i="1"/>
  <c r="BN157" i="1"/>
  <c r="Z157" i="1"/>
  <c r="Z158" i="1" s="1"/>
  <c r="Y172" i="1"/>
  <c r="BP161" i="1"/>
  <c r="BN161" i="1"/>
  <c r="Z161" i="1"/>
  <c r="Y178" i="1"/>
  <c r="BP174" i="1"/>
  <c r="BN174" i="1"/>
  <c r="Z174" i="1"/>
  <c r="Y203" i="1"/>
  <c r="BP195" i="1"/>
  <c r="BN195" i="1"/>
  <c r="Z195" i="1"/>
  <c r="BP207" i="1"/>
  <c r="BN207" i="1"/>
  <c r="Z207" i="1"/>
  <c r="BP219" i="1"/>
  <c r="BN219" i="1"/>
  <c r="Z219" i="1"/>
  <c r="BP230" i="1"/>
  <c r="BN230" i="1"/>
  <c r="Z230" i="1"/>
  <c r="BP255" i="1"/>
  <c r="BN255" i="1"/>
  <c r="Z255" i="1"/>
  <c r="BP273" i="1"/>
  <c r="BN273" i="1"/>
  <c r="Z273" i="1"/>
  <c r="Y306" i="1"/>
  <c r="BP298" i="1"/>
  <c r="BN298" i="1"/>
  <c r="Z298" i="1"/>
  <c r="BP308" i="1"/>
  <c r="BN308" i="1"/>
  <c r="Z308" i="1"/>
  <c r="BP324" i="1"/>
  <c r="BN324" i="1"/>
  <c r="Z324" i="1"/>
  <c r="BP337" i="1"/>
  <c r="BN337" i="1"/>
  <c r="Z337" i="1"/>
  <c r="BP343" i="1"/>
  <c r="BN343" i="1"/>
  <c r="Z343" i="1"/>
  <c r="Y355" i="1"/>
  <c r="BP353" i="1"/>
  <c r="BN353" i="1"/>
  <c r="Z353" i="1"/>
  <c r="BP386" i="1"/>
  <c r="BN386" i="1"/>
  <c r="Z386" i="1"/>
  <c r="BP398" i="1"/>
  <c r="BN398" i="1"/>
  <c r="Z398" i="1"/>
  <c r="BP424" i="1"/>
  <c r="BN424" i="1"/>
  <c r="Z424" i="1"/>
  <c r="BP436" i="1"/>
  <c r="BN436" i="1"/>
  <c r="Z436" i="1"/>
  <c r="Y454" i="1"/>
  <c r="BP450" i="1"/>
  <c r="BN450" i="1"/>
  <c r="Z450" i="1"/>
  <c r="Z453" i="1" s="1"/>
  <c r="Y453" i="1"/>
  <c r="B499" i="1"/>
  <c r="X491" i="1"/>
  <c r="X492" i="1" s="1"/>
  <c r="Y31" i="1"/>
  <c r="Z29" i="1"/>
  <c r="BN29" i="1"/>
  <c r="C499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Y95" i="1"/>
  <c r="BP91" i="1"/>
  <c r="BN91" i="1"/>
  <c r="Z91" i="1"/>
  <c r="Y110" i="1"/>
  <c r="BP106" i="1"/>
  <c r="BN106" i="1"/>
  <c r="Z106" i="1"/>
  <c r="G499" i="1"/>
  <c r="BP125" i="1"/>
  <c r="BN125" i="1"/>
  <c r="Z125" i="1"/>
  <c r="BP146" i="1"/>
  <c r="BN146" i="1"/>
  <c r="Z146" i="1"/>
  <c r="BP168" i="1"/>
  <c r="BN168" i="1"/>
  <c r="Z168" i="1"/>
  <c r="Y182" i="1"/>
  <c r="Y181" i="1"/>
  <c r="BP180" i="1"/>
  <c r="BN180" i="1"/>
  <c r="Z180" i="1"/>
  <c r="Z181" i="1" s="1"/>
  <c r="BP185" i="1"/>
  <c r="BN185" i="1"/>
  <c r="Z185" i="1"/>
  <c r="BP199" i="1"/>
  <c r="BN199" i="1"/>
  <c r="Z199" i="1"/>
  <c r="BP211" i="1"/>
  <c r="BN211" i="1"/>
  <c r="Z211" i="1"/>
  <c r="BP226" i="1"/>
  <c r="BN226" i="1"/>
  <c r="Z226" i="1"/>
  <c r="Y250" i="1"/>
  <c r="BP246" i="1"/>
  <c r="BN246" i="1"/>
  <c r="Z246" i="1"/>
  <c r="BP264" i="1"/>
  <c r="BN264" i="1"/>
  <c r="Z264" i="1"/>
  <c r="BP472" i="1"/>
  <c r="BN472" i="1"/>
  <c r="Z472" i="1"/>
  <c r="Y478" i="1"/>
  <c r="Y477" i="1"/>
  <c r="BP476" i="1"/>
  <c r="BN476" i="1"/>
  <c r="Z476" i="1"/>
  <c r="Z477" i="1" s="1"/>
  <c r="Y131" i="1"/>
  <c r="BP292" i="1"/>
  <c r="BN292" i="1"/>
  <c r="Z292" i="1"/>
  <c r="BP302" i="1"/>
  <c r="BN302" i="1"/>
  <c r="Z302" i="1"/>
  <c r="BP316" i="1"/>
  <c r="BN316" i="1"/>
  <c r="Z316" i="1"/>
  <c r="BP330" i="1"/>
  <c r="BN330" i="1"/>
  <c r="Z330" i="1"/>
  <c r="Y338" i="1"/>
  <c r="BP347" i="1"/>
  <c r="BN347" i="1"/>
  <c r="Z347" i="1"/>
  <c r="BP374" i="1"/>
  <c r="BN374" i="1"/>
  <c r="Z374" i="1"/>
  <c r="BP390" i="1"/>
  <c r="BN390" i="1"/>
  <c r="Z390" i="1"/>
  <c r="BP409" i="1"/>
  <c r="BN409" i="1"/>
  <c r="Z409" i="1"/>
  <c r="BP428" i="1"/>
  <c r="BN428" i="1"/>
  <c r="Z428" i="1"/>
  <c r="BP444" i="1"/>
  <c r="BN444" i="1"/>
  <c r="Z444" i="1"/>
  <c r="BP460" i="1"/>
  <c r="BN460" i="1"/>
  <c r="Z460" i="1"/>
  <c r="Y482" i="1"/>
  <c r="BP480" i="1"/>
  <c r="BN480" i="1"/>
  <c r="Z480" i="1"/>
  <c r="Y380" i="1"/>
  <c r="Y411" i="1"/>
  <c r="Y469" i="1"/>
  <c r="H9" i="1"/>
  <c r="A1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71" i="1"/>
  <c r="Y177" i="1"/>
  <c r="Y188" i="1"/>
  <c r="Y192" i="1"/>
  <c r="Y204" i="1"/>
  <c r="Y216" i="1"/>
  <c r="Y220" i="1"/>
  <c r="Y235" i="1"/>
  <c r="Y239" i="1"/>
  <c r="Y243" i="1"/>
  <c r="Y251" i="1"/>
  <c r="L499" i="1"/>
  <c r="Y259" i="1"/>
  <c r="Y260" i="1"/>
  <c r="M499" i="1"/>
  <c r="Y268" i="1"/>
  <c r="BP263" i="1"/>
  <c r="BN263" i="1"/>
  <c r="Z263" i="1"/>
  <c r="Y267" i="1"/>
  <c r="Z274" i="1"/>
  <c r="BP272" i="1"/>
  <c r="BN272" i="1"/>
  <c r="Z272" i="1"/>
  <c r="BP284" i="1"/>
  <c r="BN284" i="1"/>
  <c r="Z284" i="1"/>
  <c r="Y286" i="1"/>
  <c r="Q499" i="1"/>
  <c r="Y296" i="1"/>
  <c r="BP289" i="1"/>
  <c r="BN289" i="1"/>
  <c r="Z289" i="1"/>
  <c r="BP293" i="1"/>
  <c r="BN293" i="1"/>
  <c r="Z293" i="1"/>
  <c r="BP301" i="1"/>
  <c r="BN301" i="1"/>
  <c r="Z301" i="1"/>
  <c r="Y305" i="1"/>
  <c r="BP309" i="1"/>
  <c r="BN309" i="1"/>
  <c r="Z309" i="1"/>
  <c r="BP317" i="1"/>
  <c r="BN317" i="1"/>
  <c r="Z317" i="1"/>
  <c r="Y319" i="1"/>
  <c r="Y326" i="1"/>
  <c r="BP321" i="1"/>
  <c r="BN321" i="1"/>
  <c r="Z321" i="1"/>
  <c r="Y325" i="1"/>
  <c r="Z331" i="1"/>
  <c r="BP329" i="1"/>
  <c r="BN329" i="1"/>
  <c r="Z329" i="1"/>
  <c r="BP344" i="1"/>
  <c r="BN344" i="1"/>
  <c r="Z344" i="1"/>
  <c r="BP348" i="1"/>
  <c r="BN348" i="1"/>
  <c r="Z348" i="1"/>
  <c r="BP369" i="1"/>
  <c r="BN369" i="1"/>
  <c r="Z369" i="1"/>
  <c r="Z370" i="1" s="1"/>
  <c r="Y371" i="1"/>
  <c r="Y376" i="1"/>
  <c r="BP373" i="1"/>
  <c r="BN373" i="1"/>
  <c r="Z373" i="1"/>
  <c r="BP387" i="1"/>
  <c r="BN387" i="1"/>
  <c r="Z387" i="1"/>
  <c r="BP391" i="1"/>
  <c r="BN391" i="1"/>
  <c r="Z391" i="1"/>
  <c r="BP408" i="1"/>
  <c r="BN408" i="1"/>
  <c r="Z408" i="1"/>
  <c r="Z411" i="1" s="1"/>
  <c r="BP423" i="1"/>
  <c r="BN423" i="1"/>
  <c r="Z423" i="1"/>
  <c r="BP459" i="1"/>
  <c r="BN459" i="1"/>
  <c r="Z459" i="1"/>
  <c r="Y463" i="1"/>
  <c r="F9" i="1"/>
  <c r="J9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9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9" i="1"/>
  <c r="Z141" i="1"/>
  <c r="Z142" i="1" s="1"/>
  <c r="BN141" i="1"/>
  <c r="Y142" i="1"/>
  <c r="Z145" i="1"/>
  <c r="BN145" i="1"/>
  <c r="BP145" i="1"/>
  <c r="Z147" i="1"/>
  <c r="BN147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J499" i="1"/>
  <c r="Z186" i="1"/>
  <c r="BN186" i="1"/>
  <c r="Y187" i="1"/>
  <c r="Z190" i="1"/>
  <c r="Z192" i="1" s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Z259" i="1" s="1"/>
  <c r="BN254" i="1"/>
  <c r="BP254" i="1"/>
  <c r="Z256" i="1"/>
  <c r="BN256" i="1"/>
  <c r="Z258" i="1"/>
  <c r="BN258" i="1"/>
  <c r="BP265" i="1"/>
  <c r="BN265" i="1"/>
  <c r="Z265" i="1"/>
  <c r="Y274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Y295" i="1"/>
  <c r="BP299" i="1"/>
  <c r="BN299" i="1"/>
  <c r="Z299" i="1"/>
  <c r="BP303" i="1"/>
  <c r="BN303" i="1"/>
  <c r="Z303" i="1"/>
  <c r="Y312" i="1"/>
  <c r="BP311" i="1"/>
  <c r="BN311" i="1"/>
  <c r="Z311" i="1"/>
  <c r="Y313" i="1"/>
  <c r="Y318" i="1"/>
  <c r="BP315" i="1"/>
  <c r="BN315" i="1"/>
  <c r="Z315" i="1"/>
  <c r="BP323" i="1"/>
  <c r="BN323" i="1"/>
  <c r="Z323" i="1"/>
  <c r="Y332" i="1"/>
  <c r="Y331" i="1"/>
  <c r="BP336" i="1"/>
  <c r="BN336" i="1"/>
  <c r="Z336" i="1"/>
  <c r="Z338" i="1" s="1"/>
  <c r="BP346" i="1"/>
  <c r="BN346" i="1"/>
  <c r="Z346" i="1"/>
  <c r="Z350" i="1" s="1"/>
  <c r="Y350" i="1"/>
  <c r="BP354" i="1"/>
  <c r="BN354" i="1"/>
  <c r="Z354" i="1"/>
  <c r="Z355" i="1" s="1"/>
  <c r="Y356" i="1"/>
  <c r="Y361" i="1"/>
  <c r="BP358" i="1"/>
  <c r="BN358" i="1"/>
  <c r="Z358" i="1"/>
  <c r="Y375" i="1"/>
  <c r="BP379" i="1"/>
  <c r="BN379" i="1"/>
  <c r="Z379" i="1"/>
  <c r="Z380" i="1" s="1"/>
  <c r="Y381" i="1"/>
  <c r="U49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BP410" i="1"/>
  <c r="BN410" i="1"/>
  <c r="Z410" i="1"/>
  <c r="Y412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BP467" i="1"/>
  <c r="BN467" i="1"/>
  <c r="Z467" i="1"/>
  <c r="Y474" i="1"/>
  <c r="BP471" i="1"/>
  <c r="BN471" i="1"/>
  <c r="Z471" i="1"/>
  <c r="Z473" i="1" s="1"/>
  <c r="O499" i="1"/>
  <c r="Y275" i="1"/>
  <c r="P499" i="1"/>
  <c r="Y280" i="1"/>
  <c r="R499" i="1"/>
  <c r="Y339" i="1"/>
  <c r="S499" i="1"/>
  <c r="Y351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Y488" i="1"/>
  <c r="Y499" i="1"/>
  <c r="Z486" i="1"/>
  <c r="Z487" i="1" s="1"/>
  <c r="BN486" i="1"/>
  <c r="BP486" i="1"/>
  <c r="Y487" i="1"/>
  <c r="Z438" i="1" l="1"/>
  <c r="Z360" i="1"/>
  <c r="Z318" i="1"/>
  <c r="Z203" i="1"/>
  <c r="Z187" i="1"/>
  <c r="Z116" i="1"/>
  <c r="Z109" i="1"/>
  <c r="Z95" i="1"/>
  <c r="Z375" i="1"/>
  <c r="Z305" i="1"/>
  <c r="Z234" i="1"/>
  <c r="Z171" i="1"/>
  <c r="Z76" i="1"/>
  <c r="Z462" i="1"/>
  <c r="Z325" i="1"/>
  <c r="Z312" i="1"/>
  <c r="Z295" i="1"/>
  <c r="Z267" i="1"/>
  <c r="Z447" i="1"/>
  <c r="Z432" i="1"/>
  <c r="Y491" i="1"/>
  <c r="Z468" i="1"/>
  <c r="Z394" i="1"/>
  <c r="Z250" i="1"/>
  <c r="Z215" i="1"/>
  <c r="Z148" i="1"/>
  <c r="Z103" i="1"/>
  <c r="Z43" i="1"/>
  <c r="Z31" i="1"/>
  <c r="Y493" i="1"/>
  <c r="Y490" i="1"/>
  <c r="Y492" i="1" s="1"/>
  <c r="Y489" i="1"/>
  <c r="Z494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<sst xmlns="http://schemas.openxmlformats.org/spreadsheetml/2006/main" count="2338" uniqueCount="764">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</sst>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45987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Среда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0.41666666666666669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500</v>
      </c>
      <c r="Y52" s="542">
        <f t="shared" si="0"/>
        <v>507.6</v>
      </c>
      <c r="Z52" s="36">
        <f>IFERROR(IF(Y52=0,"",ROUNDUP(Y52/H52,0)*0.01898),"")</f>
        <v>0.89205999999999996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518.98148148148141</v>
      </c>
      <c r="BN52" s="64">
        <f t="shared" si="2"/>
        <v>526.87</v>
      </c>
      <c r="BO52" s="64">
        <f t="shared" si="3"/>
        <v>0.72337962962962954</v>
      </c>
      <c r="BP52" s="64">
        <f t="shared" si="4"/>
        <v>0.734375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46.296296296296291</v>
      </c>
      <c r="Y57" s="543">
        <f>IFERROR(Y51/H51,"0")+IFERROR(Y52/H52,"0")+IFERROR(Y53/H53,"0")+IFERROR(Y54/H54,"0")+IFERROR(Y55/H55,"0")+IFERROR(Y56/H56,"0")</f>
        <v>47</v>
      </c>
      <c r="Z57" s="543">
        <f>IFERROR(IF(Z51="",0,Z51),"0")+IFERROR(IF(Z52="",0,Z52),"0")+IFERROR(IF(Z53="",0,Z53),"0")+IFERROR(IF(Z54="",0,Z54),"0")+IFERROR(IF(Z55="",0,Z55),"0")+IFERROR(IF(Z56="",0,Z56),"0")</f>
        <v>0.89205999999999996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500</v>
      </c>
      <c r="Y58" s="543">
        <f>IFERROR(SUM(Y51:Y56),"0")</f>
        <v>507.6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300</v>
      </c>
      <c r="Y60" s="542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311.38888888888891</v>
      </c>
      <c r="BN60" s="64">
        <f>IFERROR(Y60*I60/H60,"0")</f>
        <v>313.88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27.777777777777775</v>
      </c>
      <c r="Y63" s="543">
        <f>IFERROR(Y60/H60,"0")+IFERROR(Y61/H61,"0")+IFERROR(Y62/H62,"0")</f>
        <v>28</v>
      </c>
      <c r="Z63" s="543">
        <f>IFERROR(IF(Z60="",0,Z60),"0")+IFERROR(IF(Z61="",0,Z61),"0")+IFERROR(IF(Z62="",0,Z62),"0")</f>
        <v>0.53144000000000002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300</v>
      </c>
      <c r="Y64" s="543">
        <f>IFERROR(SUM(Y60:Y62),"0")</f>
        <v>302.40000000000003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700</v>
      </c>
      <c r="Y91" s="542">
        <f>IFERROR(IF(X91="",0,CEILING((X91/$H91),1)*$H91),"")</f>
        <v>704.69999999999993</v>
      </c>
      <c r="Z91" s="36">
        <f>IFERROR(IF(Y91=0,"",ROUNDUP(Y91/H91,0)*0.01898),"")</f>
        <v>1.65126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742.69135802469134</v>
      </c>
      <c r="BN91" s="64">
        <f>IFERROR(Y91*I91/H91,"0")</f>
        <v>747.67799999999988</v>
      </c>
      <c r="BO91" s="64">
        <f>IFERROR(1/J91*(X91/H91),"0")</f>
        <v>1.3503086419753088</v>
      </c>
      <c r="BP91" s="64">
        <f>IFERROR(1/J91*(Y91/H91),"0")</f>
        <v>1.359375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450</v>
      </c>
      <c r="Y93" s="542">
        <f>IFERROR(IF(X93="",0,CEILING((X93/$H93),1)*$H93),"")</f>
        <v>450.90000000000003</v>
      </c>
      <c r="Z93" s="36">
        <f>IFERROR(IF(Y93=0,"",ROUNDUP(Y93/H93,0)*0.00651),"")</f>
        <v>1.08717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492</v>
      </c>
      <c r="BN93" s="64">
        <f>IFERROR(Y93*I93/H93,"0")</f>
        <v>492.98399999999998</v>
      </c>
      <c r="BO93" s="64">
        <f>IFERROR(1/J93*(X93/H93),"0")</f>
        <v>0.91575091575091572</v>
      </c>
      <c r="BP93" s="64">
        <f>IFERROR(1/J93*(Y93/H93),"0")</f>
        <v>0.91758241758241765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253.08641975308643</v>
      </c>
      <c r="Y95" s="543">
        <f>IFERROR(Y91/H91,"0")+IFERROR(Y92/H92,"0")+IFERROR(Y93/H93,"0")+IFERROR(Y94/H94,"0")</f>
        <v>254</v>
      </c>
      <c r="Z95" s="543">
        <f>IFERROR(IF(Z91="",0,Z91),"0")+IFERROR(IF(Z92="",0,Z92),"0")+IFERROR(IF(Z93="",0,Z93),"0")+IFERROR(IF(Z94="",0,Z94),"0")</f>
        <v>2.7384300000000001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1150</v>
      </c>
      <c r="Y96" s="543">
        <f>IFERROR(SUM(Y91:Y94),"0")</f>
        <v>1155.5999999999999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500</v>
      </c>
      <c r="Y99" s="542">
        <f>IFERROR(IF(X99="",0,CEILING((X99/$H99),1)*$H99),"")</f>
        <v>507.6</v>
      </c>
      <c r="Z99" s="36">
        <f>IFERROR(IF(Y99=0,"",ROUNDUP(Y99/H99,0)*0.01898),"")</f>
        <v>0.89205999999999996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518.98148148148141</v>
      </c>
      <c r="BN99" s="64">
        <f>IFERROR(Y99*I99/H99,"0")</f>
        <v>526.87</v>
      </c>
      <c r="BO99" s="64">
        <f>IFERROR(1/J99*(X99/H99),"0")</f>
        <v>0.72337962962962954</v>
      </c>
      <c r="BP99" s="64">
        <f>IFERROR(1/J99*(Y99/H99),"0")</f>
        <v>0.734375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46.296296296296291</v>
      </c>
      <c r="Y103" s="543">
        <f>IFERROR(Y99/H99,"0")+IFERROR(Y100/H100,"0")+IFERROR(Y101/H101,"0")+IFERROR(Y102/H102,"0")</f>
        <v>47</v>
      </c>
      <c r="Z103" s="543">
        <f>IFERROR(IF(Z99="",0,Z99),"0")+IFERROR(IF(Z100="",0,Z100),"0")+IFERROR(IF(Z101="",0,Z101),"0")+IFERROR(IF(Z102="",0,Z102),"0")</f>
        <v>0.89205999999999996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500</v>
      </c>
      <c r="Y104" s="543">
        <f>IFERROR(SUM(Y99:Y102),"0")</f>
        <v>507.6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720</v>
      </c>
      <c r="Y114" s="542">
        <f>IFERROR(IF(X114="",0,CEILING((X114/$H114),1)*$H114),"")</f>
        <v>720.90000000000009</v>
      </c>
      <c r="Z114" s="36">
        <f>IFERROR(IF(Y114=0,"",ROUNDUP(Y114/H114,0)*0.00651),"")</f>
        <v>1.73817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787.19999999999993</v>
      </c>
      <c r="BN114" s="64">
        <f>IFERROR(Y114*I114/H114,"0")</f>
        <v>788.18400000000008</v>
      </c>
      <c r="BO114" s="64">
        <f>IFERROR(1/J114*(X114/H114),"0")</f>
        <v>1.4652014652014651</v>
      </c>
      <c r="BP114" s="64">
        <f>IFERROR(1/J114*(Y114/H114),"0")</f>
        <v>1.4670329670329672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291.35802469135797</v>
      </c>
      <c r="Y116" s="543">
        <f>IFERROR(Y112/H112,"0")+IFERROR(Y113/H113,"0")+IFERROR(Y114/H114,"0")+IFERROR(Y115/H115,"0")</f>
        <v>292</v>
      </c>
      <c r="Z116" s="543">
        <f>IFERROR(IF(Z112="",0,Z112),"0")+IFERROR(IF(Z113="",0,Z113),"0")+IFERROR(IF(Z114="",0,Z114),"0")+IFERROR(IF(Z115="",0,Z115),"0")</f>
        <v>2.2126700000000001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920</v>
      </c>
      <c r="Y117" s="543">
        <f>IFERROR(SUM(Y112:Y115),"0")</f>
        <v>923.40000000000009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hidden="1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hidden="1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hidden="1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hidden="1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100</v>
      </c>
      <c r="Y308" s="542">
        <f>IFERROR(IF(X308="",0,CEILING((X308/$H308),1)*$H308),"")</f>
        <v>101.39999999999999</v>
      </c>
      <c r="Z308" s="36">
        <f>IFERROR(IF(Y308=0,"",ROUNDUP(Y308/H308,0)*0.01898),"")</f>
        <v>0.24674000000000001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106.25641025641026</v>
      </c>
      <c r="BN308" s="64">
        <f>IFERROR(Y308*I308/H308,"0")</f>
        <v>107.744</v>
      </c>
      <c r="BO308" s="64">
        <f>IFERROR(1/J308*(X308/H308),"0")</f>
        <v>0.20032051282051283</v>
      </c>
      <c r="BP308" s="64">
        <f>IFERROR(1/J308*(Y308/H308),"0")</f>
        <v>0.203125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12.820512820512821</v>
      </c>
      <c r="Y312" s="543">
        <f>IFERROR(Y308/H308,"0")+IFERROR(Y309/H309,"0")+IFERROR(Y310/H310,"0")+IFERROR(Y311/H311,"0")</f>
        <v>13</v>
      </c>
      <c r="Z312" s="543">
        <f>IFERROR(IF(Z308="",0,Z308),"0")+IFERROR(IF(Z309="",0,Z309),"0")+IFERROR(IF(Z310="",0,Z310),"0")+IFERROR(IF(Z311="",0,Z311),"0")</f>
        <v>0.24674000000000001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100</v>
      </c>
      <c r="Y313" s="543">
        <f>IFERROR(SUM(Y308:Y311),"0")</f>
        <v>101.39999999999999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100</v>
      </c>
      <c r="Y316" s="542">
        <f>IFERROR(IF(X316="",0,CEILING((X316/$H316),1)*$H316),"")</f>
        <v>101.39999999999999</v>
      </c>
      <c r="Z316" s="36">
        <f>IFERROR(IF(Y316=0,"",ROUNDUP(Y316/H316,0)*0.01898),"")</f>
        <v>0.24674000000000001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106.33333333333334</v>
      </c>
      <c r="BN316" s="64">
        <f>IFERROR(Y316*I316/H316,"0")</f>
        <v>107.82199999999999</v>
      </c>
      <c r="BO316" s="64">
        <f>IFERROR(1/J316*(X316/H316),"0")</f>
        <v>0.20032051282051283</v>
      </c>
      <c r="BP316" s="64">
        <f>IFERROR(1/J316*(Y316/H316),"0")</f>
        <v>0.203125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12.820512820512821</v>
      </c>
      <c r="Y318" s="543">
        <f>IFERROR(Y315/H315,"0")+IFERROR(Y316/H316,"0")+IFERROR(Y317/H317,"0")</f>
        <v>13</v>
      </c>
      <c r="Z318" s="543">
        <f>IFERROR(IF(Z315="",0,Z315),"0")+IFERROR(IF(Z316="",0,Z316),"0")+IFERROR(IF(Z317="",0,Z317),"0")</f>
        <v>0.24674000000000001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100</v>
      </c>
      <c r="Y319" s="543">
        <f>IFERROR(SUM(Y315:Y317),"0")</f>
        <v>101.39999999999999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42</v>
      </c>
      <c r="Y336" s="542">
        <f>IFERROR(IF(X336="",0,CEILING((X336/$H336),1)*$H336),"")</f>
        <v>42</v>
      </c>
      <c r="Z336" s="36">
        <f>IFERROR(IF(Y336=0,"",ROUNDUP(Y336/H336,0)*0.00651),"")</f>
        <v>0.13020000000000001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47.039999999999992</v>
      </c>
      <c r="BN336" s="64">
        <f>IFERROR(Y336*I336/H336,"0")</f>
        <v>47.039999999999992</v>
      </c>
      <c r="BO336" s="64">
        <f>IFERROR(1/J336*(X336/H336),"0")</f>
        <v>0.1098901098901099</v>
      </c>
      <c r="BP336" s="64">
        <f>IFERROR(1/J336*(Y336/H336),"0")</f>
        <v>0.1098901098901099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84</v>
      </c>
      <c r="Y337" s="542">
        <f>IFERROR(IF(X337="",0,CEILING((X337/$H337),1)*$H337),"")</f>
        <v>84</v>
      </c>
      <c r="Z337" s="36">
        <f>IFERROR(IF(Y337=0,"",ROUNDUP(Y337/H337,0)*0.00651),"")</f>
        <v>0.26040000000000002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93.6</v>
      </c>
      <c r="BN337" s="64">
        <f>IFERROR(Y337*I337/H337,"0")</f>
        <v>93.6</v>
      </c>
      <c r="BO337" s="64">
        <f>IFERROR(1/J337*(X337/H337),"0")</f>
        <v>0.2197802197802198</v>
      </c>
      <c r="BP337" s="64">
        <f>IFERROR(1/J337*(Y337/H337),"0")</f>
        <v>0.2197802197802198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60</v>
      </c>
      <c r="Y338" s="543">
        <f>IFERROR(Y335/H335,"0")+IFERROR(Y336/H336,"0")+IFERROR(Y337/H337,"0")</f>
        <v>60</v>
      </c>
      <c r="Z338" s="543">
        <f>IFERROR(IF(Z335="",0,Z335),"0")+IFERROR(IF(Z336="",0,Z336),"0")+IFERROR(IF(Z337="",0,Z337),"0")</f>
        <v>0.39060000000000006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126</v>
      </c>
      <c r="Y339" s="543">
        <f>IFERROR(SUM(Y335:Y337),"0")</f>
        <v>126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500</v>
      </c>
      <c r="Y343" s="542">
        <f t="shared" ref="Y343:Y349" si="36">IFERROR(IF(X343="",0,CEILING((X343/$H343),1)*$H343),"")</f>
        <v>510</v>
      </c>
      <c r="Z343" s="36">
        <f>IFERROR(IF(Y343=0,"",ROUNDUP(Y343/H343,0)*0.02175),"")</f>
        <v>0.73949999999999994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515.66666666666663</v>
      </c>
      <c r="BN343" s="64">
        <f t="shared" ref="BN343:BN349" si="38">IFERROR(Y343*I343/H343,"0")</f>
        <v>525.98</v>
      </c>
      <c r="BO343" s="64">
        <f t="shared" ref="BO343:BO349" si="39">IFERROR(1/J343*(X343/H343),"0")</f>
        <v>0.69444444444444442</v>
      </c>
      <c r="BP343" s="64">
        <f t="shared" ref="BP343:BP349" si="40">IFERROR(1/J343*(Y343/H343),"0")</f>
        <v>0.70833333333333326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300</v>
      </c>
      <c r="Y344" s="542">
        <f t="shared" si="36"/>
        <v>300</v>
      </c>
      <c r="Z344" s="36">
        <f>IFERROR(IF(Y344=0,"",ROUNDUP(Y344/H344,0)*0.02175),"")</f>
        <v>0.43499999999999994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309.39999999999998</v>
      </c>
      <c r="BN344" s="64">
        <f t="shared" si="38"/>
        <v>309.39999999999998</v>
      </c>
      <c r="BO344" s="64">
        <f t="shared" si="39"/>
        <v>0.41666666666666663</v>
      </c>
      <c r="BP344" s="64">
        <f t="shared" si="40"/>
        <v>0.41666666666666663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2500</v>
      </c>
      <c r="Y345" s="542">
        <f t="shared" si="36"/>
        <v>2505</v>
      </c>
      <c r="Z345" s="36">
        <f>IFERROR(IF(Y345=0,"",ROUNDUP(Y345/H345,0)*0.02175),"")</f>
        <v>3.6322499999999995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2578.3333333333335</v>
      </c>
      <c r="BN345" s="64">
        <f t="shared" si="38"/>
        <v>2583.4899999999998</v>
      </c>
      <c r="BO345" s="64">
        <f t="shared" si="39"/>
        <v>3.4722222222222219</v>
      </c>
      <c r="BP345" s="64">
        <f t="shared" si="40"/>
        <v>3.4791666666666665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220</v>
      </c>
      <c r="Y350" s="543">
        <f>IFERROR(Y343/H343,"0")+IFERROR(Y344/H344,"0")+IFERROR(Y345/H345,"0")+IFERROR(Y346/H346,"0")+IFERROR(Y347/H347,"0")+IFERROR(Y348/H348,"0")+IFERROR(Y349/H349,"0")</f>
        <v>221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4.8067499999999992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3300</v>
      </c>
      <c r="Y351" s="543">
        <f>IFERROR(SUM(Y343:Y349),"0")</f>
        <v>3315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1000</v>
      </c>
      <c r="Y353" s="542">
        <f>IFERROR(IF(X353="",0,CEILING((X353/$H353),1)*$H353),"")</f>
        <v>1005</v>
      </c>
      <c r="Z353" s="36">
        <f>IFERROR(IF(Y353=0,"",ROUNDUP(Y353/H353,0)*0.02175),"")</f>
        <v>1.4572499999999999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1031.3333333333333</v>
      </c>
      <c r="BN353" s="64">
        <f>IFERROR(Y353*I353/H353,"0")</f>
        <v>1036.49</v>
      </c>
      <c r="BO353" s="64">
        <f>IFERROR(1/J353*(X353/H353),"0")</f>
        <v>1.3888888888888888</v>
      </c>
      <c r="BP353" s="64">
        <f>IFERROR(1/J353*(Y353/H353),"0")</f>
        <v>1.3958333333333333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66.666666666666671</v>
      </c>
      <c r="Y355" s="543">
        <f>IFERROR(Y353/H353,"0")+IFERROR(Y354/H354,"0")</f>
        <v>67</v>
      </c>
      <c r="Z355" s="543">
        <f>IFERROR(IF(Z353="",0,Z353),"0")+IFERROR(IF(Z354="",0,Z354),"0")</f>
        <v>1.4572499999999999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1000</v>
      </c>
      <c r="Y356" s="543">
        <f>IFERROR(SUM(Y353:Y354),"0")</f>
        <v>1005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1500</v>
      </c>
      <c r="Y378" s="542">
        <f>IFERROR(IF(X378="",0,CEILING((X378/$H378),1)*$H378),"")</f>
        <v>1503</v>
      </c>
      <c r="Z378" s="36">
        <f>IFERROR(IF(Y378=0,"",ROUNDUP(Y378/H378,0)*0.01898),"")</f>
        <v>3.1696599999999999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1582.3333333333333</v>
      </c>
      <c r="BN378" s="64">
        <f>IFERROR(Y378*I378/H378,"0")</f>
        <v>1585.498</v>
      </c>
      <c r="BO378" s="64">
        <f>IFERROR(1/J378*(X378/H378),"0")</f>
        <v>2.6041666666666665</v>
      </c>
      <c r="BP378" s="64">
        <f>IFERROR(1/J378*(Y378/H378),"0")</f>
        <v>2.609375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40</v>
      </c>
      <c r="Y379" s="542">
        <f>IFERROR(IF(X379="",0,CEILING((X379/$H379),1)*$H379),"")</f>
        <v>40.799999999999997</v>
      </c>
      <c r="Z379" s="36">
        <f>IFERROR(IF(Y379=0,"",ROUNDUP(Y379/H379,0)*0.00651),"")</f>
        <v>0.11067</v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44.400000000000006</v>
      </c>
      <c r="BN379" s="64">
        <f>IFERROR(Y379*I379/H379,"0")</f>
        <v>45.287999999999997</v>
      </c>
      <c r="BO379" s="64">
        <f>IFERROR(1/J379*(X379/H379),"0")</f>
        <v>9.1575091575091583E-2</v>
      </c>
      <c r="BP379" s="64">
        <f>IFERROR(1/J379*(Y379/H379),"0")</f>
        <v>9.3406593406593408E-2</v>
      </c>
    </row>
    <row r="380" spans="1:68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183.33333333333331</v>
      </c>
      <c r="Y380" s="543">
        <f>IFERROR(Y378/H378,"0")+IFERROR(Y379/H379,"0")</f>
        <v>184</v>
      </c>
      <c r="Z380" s="543">
        <f>IFERROR(IF(Z378="",0,Z378),"0")+IFERROR(IF(Z379="",0,Z379),"0")</f>
        <v>3.2803299999999997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1540</v>
      </c>
      <c r="Y381" s="543">
        <f>IFERROR(SUM(Y378:Y379),"0")</f>
        <v>1543.8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100</v>
      </c>
      <c r="Y421" s="542">
        <f t="shared" ref="Y421:Y431" si="47">IFERROR(IF(X421="",0,CEILING((X421/$H421),1)*$H421),"")</f>
        <v>100.32000000000001</v>
      </c>
      <c r="Z421" s="36">
        <f t="shared" ref="Z421:Z426" si="48">IFERROR(IF(Y421=0,"",ROUNDUP(Y421/H421,0)*0.01196),"")</f>
        <v>0.22724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106.62878787878788</v>
      </c>
      <c r="BN421" s="64">
        <f t="shared" ref="BN421:BN431" si="50">IFERROR(Y421*I421/H421,"0")</f>
        <v>106.97</v>
      </c>
      <c r="BO421" s="64">
        <f t="shared" ref="BO421:BO431" si="51">IFERROR(1/J421*(X421/H421),"0")</f>
        <v>0.18210955710955709</v>
      </c>
      <c r="BP421" s="64">
        <f t="shared" ref="BP421:BP431" si="52">IFERROR(1/J421*(Y421/H421),"0")</f>
        <v>0.18269230769230771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50</v>
      </c>
      <c r="Y423" s="542">
        <f t="shared" si="47"/>
        <v>52.800000000000004</v>
      </c>
      <c r="Z423" s="36">
        <f t="shared" si="48"/>
        <v>0.1196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53.314393939393938</v>
      </c>
      <c r="BN423" s="64">
        <f t="shared" si="50"/>
        <v>56.3</v>
      </c>
      <c r="BO423" s="64">
        <f t="shared" si="51"/>
        <v>9.1054778554778545E-2</v>
      </c>
      <c r="BP423" s="64">
        <f t="shared" si="52"/>
        <v>9.6153846153846159E-2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3500</v>
      </c>
      <c r="Y424" s="542">
        <f t="shared" si="47"/>
        <v>3500.6400000000003</v>
      </c>
      <c r="Z424" s="36">
        <f t="shared" si="48"/>
        <v>7.9294799999999999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3732.0075757575755</v>
      </c>
      <c r="BN424" s="64">
        <f t="shared" si="50"/>
        <v>3732.69</v>
      </c>
      <c r="BO424" s="64">
        <f t="shared" si="51"/>
        <v>6.3738344988344995</v>
      </c>
      <c r="BP424" s="64">
        <f t="shared" si="52"/>
        <v>6.375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500</v>
      </c>
      <c r="Y426" s="542">
        <f t="shared" si="47"/>
        <v>501.6</v>
      </c>
      <c r="Z426" s="36">
        <f t="shared" si="48"/>
        <v>1.1362000000000001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533.14393939393938</v>
      </c>
      <c r="BN426" s="64">
        <f t="shared" si="50"/>
        <v>534.85</v>
      </c>
      <c r="BO426" s="64">
        <f t="shared" si="51"/>
        <v>0.91054778554778548</v>
      </c>
      <c r="BP426" s="64">
        <f t="shared" si="52"/>
        <v>0.91346153846153855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785.9848484848485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787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9.4125200000000007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4150</v>
      </c>
      <c r="Y433" s="543">
        <f>IFERROR(SUM(Y421:Y431),"0")</f>
        <v>4155.3600000000006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500</v>
      </c>
      <c r="Y441" s="542">
        <f t="shared" ref="Y441:Y446" si="53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533.14393939393938</v>
      </c>
      <c r="BN441" s="64">
        <f t="shared" ref="BN441:BN446" si="55">IFERROR(Y441*I441/H441,"0")</f>
        <v>534.85</v>
      </c>
      <c r="BO441" s="64">
        <f t="shared" ref="BO441:BO446" si="56">IFERROR(1/J441*(X441/H441),"0")</f>
        <v>0.91054778554778548</v>
      </c>
      <c r="BP441" s="64">
        <f t="shared" ref="BP441:BP446" si="57">IFERROR(1/J441*(Y441/H441),"0")</f>
        <v>0.91346153846153855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3.4086000000000003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250</v>
      </c>
      <c r="Y460" s="542">
        <f>IFERROR(IF(X460="",0,CEILING((X460/$H460),1)*$H460),"")</f>
        <v>252</v>
      </c>
      <c r="Z460" s="36">
        <f>IFERROR(IF(Y460=0,"",ROUNDUP(Y460/H460,0)*0.01898),"")</f>
        <v>0.39857999999999999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258.54166666666669</v>
      </c>
      <c r="BN460" s="64">
        <f>IFERROR(Y460*I460/H460,"0")</f>
        <v>260.61</v>
      </c>
      <c r="BO460" s="64">
        <f>IFERROR(1/J460*(X460/H460),"0")</f>
        <v>0.32552083333333331</v>
      </c>
      <c r="BP460" s="64">
        <f>IFERROR(1/J460*(Y460/H460),"0")</f>
        <v>0.328125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20.833333333333332</v>
      </c>
      <c r="Y462" s="543">
        <f>IFERROR(Y458/H458,"0")+IFERROR(Y459/H459,"0")+IFERROR(Y460/H460,"0")+IFERROR(Y461/H461,"0")</f>
        <v>21</v>
      </c>
      <c r="Z462" s="543">
        <f>IFERROR(IF(Z458="",0,Z458),"0")+IFERROR(IF(Z459="",0,Z459),"0")+IFERROR(IF(Z460="",0,Z460),"0")+IFERROR(IF(Z461="",0,Z461),"0")</f>
        <v>0.39857999999999999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250</v>
      </c>
      <c r="Y463" s="543">
        <f>IFERROR(SUM(Y458:Y461),"0")</f>
        <v>252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16616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16700.16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17525.378901838907</v>
      </c>
      <c r="Y490" s="543">
        <f>IFERROR(SUM(BN22:BN486),"0")</f>
        <v>17613.475999999999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28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18225.378901838907</v>
      </c>
      <c r="Y492" s="543">
        <f>GrossWeightTotalR+PalletQtyTotalR*25</f>
        <v>18338.475999999999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2494.9507899507898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2505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33.354170000000003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810</v>
      </c>
      <c r="E499" s="46">
        <f>IFERROR(Y85*1,"0")+IFERROR(Y86*1,"0")+IFERROR(Y87*1,"0")+IFERROR(Y91*1,"0")+IFERROR(Y92*1,"0")+IFERROR(Y93*1,"0")+IFERROR(Y94*1,"0")</f>
        <v>1663.2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1431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202.79999999999998</v>
      </c>
      <c r="R499" s="46">
        <f>IFERROR(Y335*1,"0")+IFERROR(Y336*1,"0")+IFERROR(Y337*1,"0")</f>
        <v>126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4320</v>
      </c>
      <c r="T499" s="46">
        <f>IFERROR(Y368*1,"0")+IFERROR(Y369*1,"0")+IFERROR(Y373*1,"0")+IFERROR(Y374*1,"0")+IFERROR(Y378*1,"0")+IFERROR(Y379*1,"0")</f>
        <v>1543.8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6161.760000000002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252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50,00"/>
        <filter val="1 500,00"/>
        <filter val="1 540,00"/>
        <filter val="100,00"/>
        <filter val="12,82"/>
        <filter val="126,00"/>
        <filter val="16 616,00"/>
        <filter val="17 525,38"/>
        <filter val="18 225,38"/>
        <filter val="183,33"/>
        <filter val="2 494,95"/>
        <filter val="2 500,00"/>
        <filter val="20,83"/>
        <filter val="200,00"/>
        <filter val="220,00"/>
        <filter val="250,00"/>
        <filter val="253,09"/>
        <filter val="27,78"/>
        <filter val="28"/>
        <filter val="284,09"/>
        <filter val="291,36"/>
        <filter val="3 300,00"/>
        <filter val="3 500,00"/>
        <filter val="300,00"/>
        <filter val="33,33"/>
        <filter val="4 150,00"/>
        <filter val="40,00"/>
        <filter val="42,00"/>
        <filter val="450,00"/>
        <filter val="46,30"/>
        <filter val="50,00"/>
        <filter val="500,00"/>
        <filter val="60,00"/>
        <filter val="66,67"/>
        <filter val="700,00"/>
        <filter val="720,00"/>
        <filter val="785,98"/>
        <filter val="80,00"/>
        <filter val="84,00"/>
        <filter val="9,26"/>
        <filter val="920,00"/>
        <filter val="94,7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