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0EB627F-2CBF-47A5-9212-679ACBC0B93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Y473" i="1" s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Z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Y380" i="1" s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O368" i="1"/>
  <c r="BM368" i="1"/>
  <c r="Y368" i="1"/>
  <c r="Y370" i="1" s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P358" i="1"/>
  <c r="X356" i="1"/>
  <c r="Y355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Y325" i="1" s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P321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X282" i="1"/>
  <c r="X281" i="1"/>
  <c r="BO280" i="1"/>
  <c r="BM280" i="1"/>
  <c r="Y280" i="1"/>
  <c r="P280" i="1"/>
  <c r="BO279" i="1"/>
  <c r="BM279" i="1"/>
  <c r="Y279" i="1"/>
  <c r="BP279" i="1" s="1"/>
  <c r="P279" i="1"/>
  <c r="X276" i="1"/>
  <c r="X275" i="1"/>
  <c r="BO274" i="1"/>
  <c r="BM274" i="1"/>
  <c r="Y274" i="1"/>
  <c r="BP274" i="1" s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BP267" i="1" s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BP250" i="1" s="1"/>
  <c r="P250" i="1"/>
  <c r="BO249" i="1"/>
  <c r="BM249" i="1"/>
  <c r="Y249" i="1"/>
  <c r="BP249" i="1" s="1"/>
  <c r="P249" i="1"/>
  <c r="BO248" i="1"/>
  <c r="BM248" i="1"/>
  <c r="Y248" i="1"/>
  <c r="BP248" i="1" s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Y244" i="1" s="1"/>
  <c r="P242" i="1"/>
  <c r="X240" i="1"/>
  <c r="X239" i="1"/>
  <c r="BO238" i="1"/>
  <c r="BM238" i="1"/>
  <c r="Y238" i="1"/>
  <c r="Y240" i="1" s="1"/>
  <c r="P238" i="1"/>
  <c r="X236" i="1"/>
  <c r="X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BP225" i="1" s="1"/>
  <c r="P225" i="1"/>
  <c r="X222" i="1"/>
  <c r="X221" i="1"/>
  <c r="BO220" i="1"/>
  <c r="BM220" i="1"/>
  <c r="Y220" i="1"/>
  <c r="BP220" i="1" s="1"/>
  <c r="P220" i="1"/>
  <c r="BO219" i="1"/>
  <c r="BM219" i="1"/>
  <c r="Y219" i="1"/>
  <c r="Y221" i="1" s="1"/>
  <c r="P219" i="1"/>
  <c r="X217" i="1"/>
  <c r="X216" i="1"/>
  <c r="BO215" i="1"/>
  <c r="BM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BP207" i="1" s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O201" i="1"/>
  <c r="BM201" i="1"/>
  <c r="Y201" i="1"/>
  <c r="BP201" i="1" s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BP197" i="1" s="1"/>
  <c r="P197" i="1"/>
  <c r="BO196" i="1"/>
  <c r="BM196" i="1"/>
  <c r="Y196" i="1"/>
  <c r="Y204" i="1" s="1"/>
  <c r="P196" i="1"/>
  <c r="X194" i="1"/>
  <c r="X193" i="1"/>
  <c r="BO192" i="1"/>
  <c r="BM192" i="1"/>
  <c r="Y192" i="1"/>
  <c r="Y194" i="1" s="1"/>
  <c r="P192" i="1"/>
  <c r="BP191" i="1"/>
  <c r="BO191" i="1"/>
  <c r="BN191" i="1"/>
  <c r="BM191" i="1"/>
  <c r="Z191" i="1"/>
  <c r="Y191" i="1"/>
  <c r="P191" i="1"/>
  <c r="X189" i="1"/>
  <c r="X188" i="1"/>
  <c r="BO187" i="1"/>
  <c r="BM187" i="1"/>
  <c r="Y187" i="1"/>
  <c r="BP187" i="1" s="1"/>
  <c r="P187" i="1"/>
  <c r="BO186" i="1"/>
  <c r="BM186" i="1"/>
  <c r="Y186" i="1"/>
  <c r="P186" i="1"/>
  <c r="X183" i="1"/>
  <c r="X182" i="1"/>
  <c r="BO181" i="1"/>
  <c r="BM181" i="1"/>
  <c r="Y181" i="1"/>
  <c r="Y183" i="1" s="1"/>
  <c r="P181" i="1"/>
  <c r="X179" i="1"/>
  <c r="X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P175" i="1"/>
  <c r="X173" i="1"/>
  <c r="X172" i="1"/>
  <c r="BO171" i="1"/>
  <c r="BM171" i="1"/>
  <c r="Y171" i="1"/>
  <c r="BP171" i="1" s="1"/>
  <c r="P171" i="1"/>
  <c r="BO170" i="1"/>
  <c r="BM170" i="1"/>
  <c r="Y170" i="1"/>
  <c r="BP170" i="1" s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BP165" i="1" s="1"/>
  <c r="P165" i="1"/>
  <c r="BO164" i="1"/>
  <c r="BM164" i="1"/>
  <c r="Y164" i="1"/>
  <c r="P164" i="1"/>
  <c r="BO163" i="1"/>
  <c r="BM163" i="1"/>
  <c r="Y163" i="1"/>
  <c r="BP163" i="1" s="1"/>
  <c r="P163" i="1"/>
  <c r="BO162" i="1"/>
  <c r="BM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Y154" i="1" s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P147" i="1"/>
  <c r="BO146" i="1"/>
  <c r="BM146" i="1"/>
  <c r="Y146" i="1"/>
  <c r="Y150" i="1" s="1"/>
  <c r="P146" i="1"/>
  <c r="X144" i="1"/>
  <c r="X143" i="1"/>
  <c r="BO142" i="1"/>
  <c r="BM142" i="1"/>
  <c r="Y142" i="1"/>
  <c r="P142" i="1"/>
  <c r="BO141" i="1"/>
  <c r="BM141" i="1"/>
  <c r="Y141" i="1"/>
  <c r="P141" i="1"/>
  <c r="BO140" i="1"/>
  <c r="BM140" i="1"/>
  <c r="Y140" i="1"/>
  <c r="BP140" i="1" s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P125" i="1"/>
  <c r="BO124" i="1"/>
  <c r="BM124" i="1"/>
  <c r="Y124" i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Y117" i="1" s="1"/>
  <c r="P113" i="1"/>
  <c r="BP112" i="1"/>
  <c r="BO112" i="1"/>
  <c r="BN112" i="1"/>
  <c r="BM112" i="1"/>
  <c r="Z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P106" i="1"/>
  <c r="X104" i="1"/>
  <c r="X103" i="1"/>
  <c r="BO102" i="1"/>
  <c r="BM102" i="1"/>
  <c r="Y102" i="1"/>
  <c r="BP102" i="1" s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Y88" i="1" s="1"/>
  <c r="P86" i="1"/>
  <c r="BP85" i="1"/>
  <c r="BO85" i="1"/>
  <c r="BN85" i="1"/>
  <c r="BM85" i="1"/>
  <c r="Z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P73" i="1"/>
  <c r="BO72" i="1"/>
  <c r="BM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BP66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BP26" i="1" s="1"/>
  <c r="P26" i="1"/>
  <c r="X24" i="1"/>
  <c r="X23" i="1"/>
  <c r="BO22" i="1"/>
  <c r="BM22" i="1"/>
  <c r="Y22" i="1"/>
  <c r="P22" i="1"/>
  <c r="H10" i="1"/>
  <c r="A9" i="1"/>
  <c r="F10" i="1" s="1"/>
  <c r="D7" i="1"/>
  <c r="Q6" i="1"/>
  <c r="P2" i="1"/>
  <c r="BP60" i="1" l="1"/>
  <c r="BN60" i="1"/>
  <c r="BP74" i="1"/>
  <c r="BN74" i="1"/>
  <c r="Z74" i="1"/>
  <c r="BP106" i="1"/>
  <c r="BN106" i="1"/>
  <c r="Z106" i="1"/>
  <c r="BP142" i="1"/>
  <c r="BN142" i="1"/>
  <c r="Z142" i="1"/>
  <c r="BP176" i="1"/>
  <c r="BN176" i="1"/>
  <c r="Z176" i="1"/>
  <c r="BP209" i="1"/>
  <c r="BN209" i="1"/>
  <c r="Z209" i="1"/>
  <c r="BP247" i="1"/>
  <c r="BN247" i="1"/>
  <c r="Z247" i="1"/>
  <c r="BP299" i="1"/>
  <c r="BN299" i="1"/>
  <c r="Z299" i="1"/>
  <c r="BP328" i="1"/>
  <c r="BN328" i="1"/>
  <c r="Z328" i="1"/>
  <c r="BP346" i="1"/>
  <c r="BN346" i="1"/>
  <c r="Z346" i="1"/>
  <c r="BP391" i="1"/>
  <c r="BN391" i="1"/>
  <c r="Z391" i="1"/>
  <c r="BP426" i="1"/>
  <c r="BN426" i="1"/>
  <c r="Z426" i="1"/>
  <c r="BP452" i="1"/>
  <c r="BN452" i="1"/>
  <c r="Z452" i="1"/>
  <c r="X490" i="1"/>
  <c r="X493" i="1"/>
  <c r="Z26" i="1"/>
  <c r="BN26" i="1"/>
  <c r="Z42" i="1"/>
  <c r="BN42" i="1"/>
  <c r="Z60" i="1"/>
  <c r="BP91" i="1"/>
  <c r="BN91" i="1"/>
  <c r="Z91" i="1"/>
  <c r="BP125" i="1"/>
  <c r="BN125" i="1"/>
  <c r="Z125" i="1"/>
  <c r="Y173" i="1"/>
  <c r="BP164" i="1"/>
  <c r="BN164" i="1"/>
  <c r="Z164" i="1"/>
  <c r="BP199" i="1"/>
  <c r="BN199" i="1"/>
  <c r="Z199" i="1"/>
  <c r="BP227" i="1"/>
  <c r="BN227" i="1"/>
  <c r="Z227" i="1"/>
  <c r="BP265" i="1"/>
  <c r="BN265" i="1"/>
  <c r="Z265" i="1"/>
  <c r="BP311" i="1"/>
  <c r="BN311" i="1"/>
  <c r="Z311" i="1"/>
  <c r="BP345" i="1"/>
  <c r="BN345" i="1"/>
  <c r="Z345" i="1"/>
  <c r="BP373" i="1"/>
  <c r="BN373" i="1"/>
  <c r="Z373" i="1"/>
  <c r="BP410" i="1"/>
  <c r="BN410" i="1"/>
  <c r="Z410" i="1"/>
  <c r="BP442" i="1"/>
  <c r="BN442" i="1"/>
  <c r="Z442" i="1"/>
  <c r="BP472" i="1"/>
  <c r="BN472" i="1"/>
  <c r="Z472" i="1"/>
  <c r="Y478" i="1"/>
  <c r="Y477" i="1"/>
  <c r="BP476" i="1"/>
  <c r="BN476" i="1"/>
  <c r="Z476" i="1"/>
  <c r="Z477" i="1" s="1"/>
  <c r="BP480" i="1"/>
  <c r="BN480" i="1"/>
  <c r="Z480" i="1"/>
  <c r="Y96" i="1"/>
  <c r="Y109" i="1"/>
  <c r="J499" i="1"/>
  <c r="BP293" i="1"/>
  <c r="BN293" i="1"/>
  <c r="Z293" i="1"/>
  <c r="BP309" i="1"/>
  <c r="BN309" i="1"/>
  <c r="Z309" i="1"/>
  <c r="BP324" i="1"/>
  <c r="BN324" i="1"/>
  <c r="Z324" i="1"/>
  <c r="Y350" i="1"/>
  <c r="BP343" i="1"/>
  <c r="BN343" i="1"/>
  <c r="Z343" i="1"/>
  <c r="BP369" i="1"/>
  <c r="BN369" i="1"/>
  <c r="Z369" i="1"/>
  <c r="BP389" i="1"/>
  <c r="BN389" i="1"/>
  <c r="Z389" i="1"/>
  <c r="BP408" i="1"/>
  <c r="BN408" i="1"/>
  <c r="Z408" i="1"/>
  <c r="BP424" i="1"/>
  <c r="BN424" i="1"/>
  <c r="Z424" i="1"/>
  <c r="BP436" i="1"/>
  <c r="BN436" i="1"/>
  <c r="Z436" i="1"/>
  <c r="BP450" i="1"/>
  <c r="BN450" i="1"/>
  <c r="Z450" i="1"/>
  <c r="BP466" i="1"/>
  <c r="BN466" i="1"/>
  <c r="Z466" i="1"/>
  <c r="B499" i="1"/>
  <c r="X491" i="1"/>
  <c r="X492" i="1" s="1"/>
  <c r="X489" i="1"/>
  <c r="Y31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Z56" i="1"/>
  <c r="BN56" i="1"/>
  <c r="Y64" i="1"/>
  <c r="Z62" i="1"/>
  <c r="BN62" i="1"/>
  <c r="Y63" i="1"/>
  <c r="Z66" i="1"/>
  <c r="BN66" i="1"/>
  <c r="Y69" i="1"/>
  <c r="Z72" i="1"/>
  <c r="BN72" i="1"/>
  <c r="BP72" i="1"/>
  <c r="Z80" i="1"/>
  <c r="BN80" i="1"/>
  <c r="Z87" i="1"/>
  <c r="BN87" i="1"/>
  <c r="Y95" i="1"/>
  <c r="Z93" i="1"/>
  <c r="BN93" i="1"/>
  <c r="F499" i="1"/>
  <c r="Z102" i="1"/>
  <c r="BN102" i="1"/>
  <c r="Y110" i="1"/>
  <c r="Z108" i="1"/>
  <c r="BN108" i="1"/>
  <c r="Y116" i="1"/>
  <c r="Z114" i="1"/>
  <c r="BN114" i="1"/>
  <c r="G499" i="1"/>
  <c r="Z129" i="1"/>
  <c r="BN129" i="1"/>
  <c r="BP129" i="1"/>
  <c r="Y132" i="1"/>
  <c r="Z140" i="1"/>
  <c r="BN140" i="1"/>
  <c r="Y143" i="1"/>
  <c r="Z146" i="1"/>
  <c r="BN146" i="1"/>
  <c r="BP146" i="1"/>
  <c r="Y149" i="1"/>
  <c r="I499" i="1"/>
  <c r="Z162" i="1"/>
  <c r="BN162" i="1"/>
  <c r="BP162" i="1"/>
  <c r="Z166" i="1"/>
  <c r="BN166" i="1"/>
  <c r="Z170" i="1"/>
  <c r="BN170" i="1"/>
  <c r="Y179" i="1"/>
  <c r="Z187" i="1"/>
  <c r="BN187" i="1"/>
  <c r="Y193" i="1"/>
  <c r="Z197" i="1"/>
  <c r="BN197" i="1"/>
  <c r="Z201" i="1"/>
  <c r="BN201" i="1"/>
  <c r="Z207" i="1"/>
  <c r="BN207" i="1"/>
  <c r="Z211" i="1"/>
  <c r="BN211" i="1"/>
  <c r="Z220" i="1"/>
  <c r="BN220" i="1"/>
  <c r="Z225" i="1"/>
  <c r="BN225" i="1"/>
  <c r="Z229" i="1"/>
  <c r="BN229" i="1"/>
  <c r="Z233" i="1"/>
  <c r="BN233" i="1"/>
  <c r="Y252" i="1"/>
  <c r="Z249" i="1"/>
  <c r="BN249" i="1"/>
  <c r="Y261" i="1"/>
  <c r="Z258" i="1"/>
  <c r="BN258" i="1"/>
  <c r="Z267" i="1"/>
  <c r="BN267" i="1"/>
  <c r="Y276" i="1"/>
  <c r="Z274" i="1"/>
  <c r="BN274" i="1"/>
  <c r="Y275" i="1"/>
  <c r="Z279" i="1"/>
  <c r="BN279" i="1"/>
  <c r="BP284" i="1"/>
  <c r="BN284" i="1"/>
  <c r="Z284" i="1"/>
  <c r="BP301" i="1"/>
  <c r="BN301" i="1"/>
  <c r="Z301" i="1"/>
  <c r="Y319" i="1"/>
  <c r="BP315" i="1"/>
  <c r="BN315" i="1"/>
  <c r="Z315" i="1"/>
  <c r="BP330" i="1"/>
  <c r="BN330" i="1"/>
  <c r="Z330" i="1"/>
  <c r="BP335" i="1"/>
  <c r="BN335" i="1"/>
  <c r="Z335" i="1"/>
  <c r="BP348" i="1"/>
  <c r="BN348" i="1"/>
  <c r="Z348" i="1"/>
  <c r="BP379" i="1"/>
  <c r="BN379" i="1"/>
  <c r="Z379" i="1"/>
  <c r="BP385" i="1"/>
  <c r="BN385" i="1"/>
  <c r="Z385" i="1"/>
  <c r="BP393" i="1"/>
  <c r="BN393" i="1"/>
  <c r="Z393" i="1"/>
  <c r="Y417" i="1"/>
  <c r="W499" i="1"/>
  <c r="Y416" i="1"/>
  <c r="BP415" i="1"/>
  <c r="BN415" i="1"/>
  <c r="Z415" i="1"/>
  <c r="Z416" i="1" s="1"/>
  <c r="BP421" i="1"/>
  <c r="BN421" i="1"/>
  <c r="Z421" i="1"/>
  <c r="BP428" i="1"/>
  <c r="BN428" i="1"/>
  <c r="Z428" i="1"/>
  <c r="BP444" i="1"/>
  <c r="BN444" i="1"/>
  <c r="Z444" i="1"/>
  <c r="Y462" i="1"/>
  <c r="BP458" i="1"/>
  <c r="BN458" i="1"/>
  <c r="Z458" i="1"/>
  <c r="Y306" i="1"/>
  <c r="Y332" i="1"/>
  <c r="Y331" i="1"/>
  <c r="Y338" i="1"/>
  <c r="Y375" i="1"/>
  <c r="Y433" i="1"/>
  <c r="H9" i="1"/>
  <c r="A10" i="1"/>
  <c r="Y24" i="1"/>
  <c r="Z27" i="1"/>
  <c r="BN27" i="1"/>
  <c r="Z29" i="1"/>
  <c r="BN29" i="1"/>
  <c r="Y32" i="1"/>
  <c r="C499" i="1"/>
  <c r="Z41" i="1"/>
  <c r="Z43" i="1" s="1"/>
  <c r="BN41" i="1"/>
  <c r="Y44" i="1"/>
  <c r="D499" i="1"/>
  <c r="Y58" i="1"/>
  <c r="Z52" i="1"/>
  <c r="BN52" i="1"/>
  <c r="BP53" i="1"/>
  <c r="BN53" i="1"/>
  <c r="Z53" i="1"/>
  <c r="Y57" i="1"/>
  <c r="BP61" i="1"/>
  <c r="BN61" i="1"/>
  <c r="Z61" i="1"/>
  <c r="Z63" i="1" s="1"/>
  <c r="Y70" i="1"/>
  <c r="BP73" i="1"/>
  <c r="BN73" i="1"/>
  <c r="Z73" i="1"/>
  <c r="F9" i="1"/>
  <c r="J9" i="1"/>
  <c r="Z22" i="1"/>
  <c r="Z23" i="1" s="1"/>
  <c r="BN22" i="1"/>
  <c r="BP22" i="1"/>
  <c r="Y23" i="1"/>
  <c r="Y43" i="1"/>
  <c r="BP55" i="1"/>
  <c r="BN55" i="1"/>
  <c r="Z55" i="1"/>
  <c r="BP67" i="1"/>
  <c r="BN67" i="1"/>
  <c r="Z67" i="1"/>
  <c r="Z69" i="1" s="1"/>
  <c r="BP75" i="1"/>
  <c r="BN75" i="1"/>
  <c r="Z75" i="1"/>
  <c r="Y77" i="1"/>
  <c r="Y82" i="1"/>
  <c r="BP79" i="1"/>
  <c r="BN79" i="1"/>
  <c r="Z79" i="1"/>
  <c r="Z81" i="1" s="1"/>
  <c r="E499" i="1"/>
  <c r="Z86" i="1"/>
  <c r="Z88" i="1" s="1"/>
  <c r="BN86" i="1"/>
  <c r="BP86" i="1"/>
  <c r="Y89" i="1"/>
  <c r="Z92" i="1"/>
  <c r="BN92" i="1"/>
  <c r="BP92" i="1"/>
  <c r="Z94" i="1"/>
  <c r="BN94" i="1"/>
  <c r="Z99" i="1"/>
  <c r="BN99" i="1"/>
  <c r="BP99" i="1"/>
  <c r="Z101" i="1"/>
  <c r="BN101" i="1"/>
  <c r="Y104" i="1"/>
  <c r="Z107" i="1"/>
  <c r="BN107" i="1"/>
  <c r="BP107" i="1"/>
  <c r="Z113" i="1"/>
  <c r="BN113" i="1"/>
  <c r="BP113" i="1"/>
  <c r="Z115" i="1"/>
  <c r="BN115" i="1"/>
  <c r="Z119" i="1"/>
  <c r="Z120" i="1" s="1"/>
  <c r="BN119" i="1"/>
  <c r="BP119" i="1"/>
  <c r="Y120" i="1"/>
  <c r="Z124" i="1"/>
  <c r="Z126" i="1" s="1"/>
  <c r="BN124" i="1"/>
  <c r="BP124" i="1"/>
  <c r="Y127" i="1"/>
  <c r="Z130" i="1"/>
  <c r="Z131" i="1" s="1"/>
  <c r="BN130" i="1"/>
  <c r="BP130" i="1"/>
  <c r="Z134" i="1"/>
  <c r="Z136" i="1" s="1"/>
  <c r="BN134" i="1"/>
  <c r="BP134" i="1"/>
  <c r="Y137" i="1"/>
  <c r="H499" i="1"/>
  <c r="Z141" i="1"/>
  <c r="Z143" i="1" s="1"/>
  <c r="BN141" i="1"/>
  <c r="BP141" i="1"/>
  <c r="Y144" i="1"/>
  <c r="Z147" i="1"/>
  <c r="BN147" i="1"/>
  <c r="BP147" i="1"/>
  <c r="Z152" i="1"/>
  <c r="Z153" i="1" s="1"/>
  <c r="BN152" i="1"/>
  <c r="BP152" i="1"/>
  <c r="Y153" i="1"/>
  <c r="Z158" i="1"/>
  <c r="Z159" i="1" s="1"/>
  <c r="BN158" i="1"/>
  <c r="BP158" i="1"/>
  <c r="Y159" i="1"/>
  <c r="Z163" i="1"/>
  <c r="BN163" i="1"/>
  <c r="Z165" i="1"/>
  <c r="BN165" i="1"/>
  <c r="Z167" i="1"/>
  <c r="BN167" i="1"/>
  <c r="Z169" i="1"/>
  <c r="BN169" i="1"/>
  <c r="Z171" i="1"/>
  <c r="BN171" i="1"/>
  <c r="Y172" i="1"/>
  <c r="Z175" i="1"/>
  <c r="BN175" i="1"/>
  <c r="BP175" i="1"/>
  <c r="Z177" i="1"/>
  <c r="BN177" i="1"/>
  <c r="Y178" i="1"/>
  <c r="Z181" i="1"/>
  <c r="Z182" i="1" s="1"/>
  <c r="BN181" i="1"/>
  <c r="BP181" i="1"/>
  <c r="Y182" i="1"/>
  <c r="Z186" i="1"/>
  <c r="Z188" i="1" s="1"/>
  <c r="BN186" i="1"/>
  <c r="BP186" i="1"/>
  <c r="Y189" i="1"/>
  <c r="Z192" i="1"/>
  <c r="Z193" i="1" s="1"/>
  <c r="BN192" i="1"/>
  <c r="BP192" i="1"/>
  <c r="Z196" i="1"/>
  <c r="BN196" i="1"/>
  <c r="BP196" i="1"/>
  <c r="Z198" i="1"/>
  <c r="BN198" i="1"/>
  <c r="Z200" i="1"/>
  <c r="BN200" i="1"/>
  <c r="Z202" i="1"/>
  <c r="BN202" i="1"/>
  <c r="Y205" i="1"/>
  <c r="Y216" i="1"/>
  <c r="Z208" i="1"/>
  <c r="BN208" i="1"/>
  <c r="Z210" i="1"/>
  <c r="BN210" i="1"/>
  <c r="Z212" i="1"/>
  <c r="BN212" i="1"/>
  <c r="Z214" i="1"/>
  <c r="BN214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Y103" i="1"/>
  <c r="Y126" i="1"/>
  <c r="Y160" i="1"/>
  <c r="Y188" i="1"/>
  <c r="Y236" i="1"/>
  <c r="BP226" i="1"/>
  <c r="BN226" i="1"/>
  <c r="Z226" i="1"/>
  <c r="BP230" i="1"/>
  <c r="BN230" i="1"/>
  <c r="Z230" i="1"/>
  <c r="K499" i="1"/>
  <c r="Z234" i="1"/>
  <c r="BN234" i="1"/>
  <c r="Y235" i="1"/>
  <c r="Z238" i="1"/>
  <c r="Z239" i="1" s="1"/>
  <c r="BN238" i="1"/>
  <c r="BP238" i="1"/>
  <c r="Y239" i="1"/>
  <c r="Z242" i="1"/>
  <c r="Z243" i="1" s="1"/>
  <c r="BN242" i="1"/>
  <c r="BP242" i="1"/>
  <c r="Y243" i="1"/>
  <c r="Z246" i="1"/>
  <c r="BN246" i="1"/>
  <c r="BP246" i="1"/>
  <c r="Z248" i="1"/>
  <c r="BN248" i="1"/>
  <c r="Z250" i="1"/>
  <c r="BN250" i="1"/>
  <c r="Y251" i="1"/>
  <c r="Z255" i="1"/>
  <c r="BN255" i="1"/>
  <c r="BP255" i="1"/>
  <c r="Z257" i="1"/>
  <c r="BN257" i="1"/>
  <c r="BP259" i="1"/>
  <c r="BN259" i="1"/>
  <c r="Z259" i="1"/>
  <c r="M499" i="1"/>
  <c r="Y269" i="1"/>
  <c r="BP264" i="1"/>
  <c r="BN264" i="1"/>
  <c r="Z264" i="1"/>
  <c r="Y268" i="1"/>
  <c r="BP273" i="1"/>
  <c r="BN273" i="1"/>
  <c r="Z273" i="1"/>
  <c r="Z275" i="1" s="1"/>
  <c r="Y286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Y312" i="1"/>
  <c r="BP316" i="1"/>
  <c r="BN316" i="1"/>
  <c r="Z316" i="1"/>
  <c r="Z318" i="1" s="1"/>
  <c r="Y326" i="1"/>
  <c r="Z331" i="1"/>
  <c r="BP329" i="1"/>
  <c r="BN329" i="1"/>
  <c r="Z329" i="1"/>
  <c r="BP344" i="1"/>
  <c r="BN344" i="1"/>
  <c r="Z344" i="1"/>
  <c r="BP349" i="1"/>
  <c r="BN349" i="1"/>
  <c r="Z349" i="1"/>
  <c r="Y351" i="1"/>
  <c r="Y356" i="1"/>
  <c r="BP353" i="1"/>
  <c r="BN353" i="1"/>
  <c r="Z353" i="1"/>
  <c r="Z355" i="1" s="1"/>
  <c r="Y360" i="1"/>
  <c r="BP374" i="1"/>
  <c r="BN374" i="1"/>
  <c r="Z374" i="1"/>
  <c r="Z375" i="1" s="1"/>
  <c r="Y376" i="1"/>
  <c r="Y381" i="1"/>
  <c r="BP378" i="1"/>
  <c r="BN378" i="1"/>
  <c r="Z378" i="1"/>
  <c r="Z380" i="1" s="1"/>
  <c r="U499" i="1"/>
  <c r="BP388" i="1"/>
  <c r="BN388" i="1"/>
  <c r="Z388" i="1"/>
  <c r="BP392" i="1"/>
  <c r="BN392" i="1"/>
  <c r="Z392" i="1"/>
  <c r="Y399" i="1"/>
  <c r="BP409" i="1"/>
  <c r="BN409" i="1"/>
  <c r="Z409" i="1"/>
  <c r="BP427" i="1"/>
  <c r="BN427" i="1"/>
  <c r="Z427" i="1"/>
  <c r="BP431" i="1"/>
  <c r="BN431" i="1"/>
  <c r="Z431" i="1"/>
  <c r="Y438" i="1"/>
  <c r="BP435" i="1"/>
  <c r="BN435" i="1"/>
  <c r="Z435" i="1"/>
  <c r="Y439" i="1"/>
  <c r="BP443" i="1"/>
  <c r="BN443" i="1"/>
  <c r="Z443" i="1"/>
  <c r="Y447" i="1"/>
  <c r="Z453" i="1"/>
  <c r="BP451" i="1"/>
  <c r="BN451" i="1"/>
  <c r="Z451" i="1"/>
  <c r="Y453" i="1"/>
  <c r="S499" i="1"/>
  <c r="L499" i="1"/>
  <c r="Y260" i="1"/>
  <c r="BP266" i="1"/>
  <c r="BN266" i="1"/>
  <c r="Z266" i="1"/>
  <c r="BP280" i="1"/>
  <c r="BN280" i="1"/>
  <c r="Z280" i="1"/>
  <c r="Y282" i="1"/>
  <c r="BP285" i="1"/>
  <c r="BN285" i="1"/>
  <c r="Z285" i="1"/>
  <c r="Y287" i="1"/>
  <c r="Q499" i="1"/>
  <c r="Y295" i="1"/>
  <c r="BP290" i="1"/>
  <c r="BN290" i="1"/>
  <c r="Z290" i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Z325" i="1"/>
  <c r="BP323" i="1"/>
  <c r="BN323" i="1"/>
  <c r="Z323" i="1"/>
  <c r="Z338" i="1"/>
  <c r="BP336" i="1"/>
  <c r="BN336" i="1"/>
  <c r="Z336" i="1"/>
  <c r="BP347" i="1"/>
  <c r="BN347" i="1"/>
  <c r="Z347" i="1"/>
  <c r="BP359" i="1"/>
  <c r="BN359" i="1"/>
  <c r="Z359" i="1"/>
  <c r="Z360" i="1" s="1"/>
  <c r="Y361" i="1"/>
  <c r="Y364" i="1"/>
  <c r="BP363" i="1"/>
  <c r="BN363" i="1"/>
  <c r="Z363" i="1"/>
  <c r="Z364" i="1" s="1"/>
  <c r="Y365" i="1"/>
  <c r="T499" i="1"/>
  <c r="Y371" i="1"/>
  <c r="BP368" i="1"/>
  <c r="BN368" i="1"/>
  <c r="Z368" i="1"/>
  <c r="Z370" i="1" s="1"/>
  <c r="BP386" i="1"/>
  <c r="BN386" i="1"/>
  <c r="Z386" i="1"/>
  <c r="BP390" i="1"/>
  <c r="BN390" i="1"/>
  <c r="Z390" i="1"/>
  <c r="Y394" i="1"/>
  <c r="BP398" i="1"/>
  <c r="BN398" i="1"/>
  <c r="Z398" i="1"/>
  <c r="Z399" i="1" s="1"/>
  <c r="Y400" i="1"/>
  <c r="V499" i="1"/>
  <c r="Y404" i="1"/>
  <c r="BP403" i="1"/>
  <c r="BN403" i="1"/>
  <c r="Z403" i="1"/>
  <c r="Z404" i="1" s="1"/>
  <c r="Y405" i="1"/>
  <c r="Y412" i="1"/>
  <c r="BP407" i="1"/>
  <c r="BN407" i="1"/>
  <c r="Z407" i="1"/>
  <c r="Y411" i="1"/>
  <c r="BP422" i="1"/>
  <c r="BN422" i="1"/>
  <c r="Z422" i="1"/>
  <c r="BP461" i="1"/>
  <c r="BN461" i="1"/>
  <c r="Z461" i="1"/>
  <c r="Y463" i="1"/>
  <c r="Y468" i="1"/>
  <c r="BP465" i="1"/>
  <c r="BN465" i="1"/>
  <c r="Z465" i="1"/>
  <c r="Y469" i="1"/>
  <c r="BP481" i="1"/>
  <c r="BN481" i="1"/>
  <c r="Z481" i="1"/>
  <c r="Y483" i="1"/>
  <c r="Z499" i="1"/>
  <c r="Y487" i="1"/>
  <c r="BP486" i="1"/>
  <c r="BN486" i="1"/>
  <c r="Z486" i="1"/>
  <c r="Z487" i="1" s="1"/>
  <c r="Y488" i="1"/>
  <c r="O499" i="1"/>
  <c r="P499" i="1"/>
  <c r="Y281" i="1"/>
  <c r="R499" i="1"/>
  <c r="Y339" i="1"/>
  <c r="Y395" i="1"/>
  <c r="X499" i="1"/>
  <c r="Y432" i="1"/>
  <c r="BP423" i="1"/>
  <c r="BN423" i="1"/>
  <c r="BP425" i="1"/>
  <c r="BN425" i="1"/>
  <c r="Z425" i="1"/>
  <c r="BP429" i="1"/>
  <c r="BN429" i="1"/>
  <c r="Z429" i="1"/>
  <c r="BP437" i="1"/>
  <c r="BN437" i="1"/>
  <c r="Z437" i="1"/>
  <c r="Y448" i="1"/>
  <c r="BP441" i="1"/>
  <c r="BN441" i="1"/>
  <c r="Z441" i="1"/>
  <c r="BP445" i="1"/>
  <c r="BN445" i="1"/>
  <c r="Z445" i="1"/>
  <c r="Y454" i="1"/>
  <c r="BP459" i="1"/>
  <c r="BN459" i="1"/>
  <c r="Z459" i="1"/>
  <c r="Z462" i="1" s="1"/>
  <c r="BP467" i="1"/>
  <c r="BN467" i="1"/>
  <c r="Z467" i="1"/>
  <c r="Y474" i="1"/>
  <c r="BP471" i="1"/>
  <c r="BN471" i="1"/>
  <c r="Z471" i="1"/>
  <c r="Y482" i="1"/>
  <c r="Y499" i="1"/>
  <c r="Z473" i="1" l="1"/>
  <c r="Z482" i="1"/>
  <c r="Z411" i="1"/>
  <c r="Z286" i="1"/>
  <c r="Z281" i="1"/>
  <c r="Z178" i="1"/>
  <c r="Z149" i="1"/>
  <c r="Z109" i="1"/>
  <c r="Z103" i="1"/>
  <c r="Z57" i="1"/>
  <c r="Z447" i="1"/>
  <c r="Z432" i="1"/>
  <c r="Z394" i="1"/>
  <c r="Z260" i="1"/>
  <c r="Z251" i="1"/>
  <c r="Z235" i="1"/>
  <c r="Z172" i="1"/>
  <c r="Z116" i="1"/>
  <c r="Z95" i="1"/>
  <c r="Z31" i="1"/>
  <c r="Z494" i="1" s="1"/>
  <c r="Z350" i="1"/>
  <c r="Z216" i="1"/>
  <c r="Z76" i="1"/>
  <c r="Z468" i="1"/>
  <c r="Z305" i="1"/>
  <c r="Z295" i="1"/>
  <c r="Z312" i="1"/>
  <c r="Z204" i="1"/>
  <c r="Y493" i="1"/>
  <c r="Y490" i="1"/>
  <c r="Y489" i="1"/>
  <c r="Z438" i="1"/>
  <c r="Z268" i="1"/>
  <c r="Y491" i="1"/>
  <c r="Y492" i="1" l="1"/>
</calcChain>
</file>

<file path=xl/sharedStrings.xml><?xml version="1.0" encoding="utf-8"?>
<sst xmlns="http://schemas.openxmlformats.org/spreadsheetml/2006/main" count="2153" uniqueCount="767">
  <si>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</si>
  <si>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</si>
  <si>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</si>
  <si>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</si>
  <si>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</si>
  <si>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</si>
  <si>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</si>
  <si>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</si>
  <si>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</si>
  <si>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</si>
  <si>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</si>
  <si>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</si>
  <si>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</si>
  <si>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</si>
  <si>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</si>
  <si>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</si>
  <si>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</si>
  <si>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</si>
  <si>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</si>
  <si>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</si>
  <si>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</si>
  <si>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</si>
  <si>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</si>
  <si>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</si>
  <si>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</si>
  <si>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</si>
  <si>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</si>
  <si>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</si>
  <si>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</si>
  <si>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</si>
  <si>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</si>
  <si>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</si>
  <si>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</si>
  <si>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</si>
  <si>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</si>
  <si>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</si>
  <si>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</si>
  <si>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</si>
  <si>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</si>
  <si>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</si>
  <si>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</si>
  <si>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</si>
  <si>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</si>
  <si>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</si>
  <si>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</si>
  <si>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</si>
  <si>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</si>
  <si>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</si>
  <si>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</si>
  <si>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</si>
  <si>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</si>
  <si>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</si>
  <si>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</si>
  <si>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</si>
  <si>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</si>
  <si>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</si>
  <si>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</si>
  <si>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</si>
  <si>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</si>
  <si>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</si>
  <si>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</si>
  <si>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</si>
  <si>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</si>
  <si>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</si>
  <si>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</si>
  <si>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</si>
  <si>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</si>
  <si>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</si>
  <si>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</si>
  <si>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</si>
  <si>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</si>
  <si>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</si>
  <si>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</si>
  <si>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</si>
  <si>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</si>
  <si>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</si>
  <si>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</si>
  <si>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</si>
  <si>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</si>
  <si>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</si>
  <si>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</si>
  <si>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</si>
  <si>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</si>
  <si>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</si>
  <si>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</si>
  <si>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</si>
  <si>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</si>
  <si>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</si>
  <si>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</si>
  <si>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</si>
  <si>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</si>
  <si>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</si>
  <si>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</si>
  <si>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</si>
  <si>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</si>
  <si>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</si>
  <si>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</si>
  <si>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</si>
  <si>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</si>
  <si>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</si>
  <si>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</si>
  <si>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</si>
  <si>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</si>
  <si>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</si>
  <si>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</si>
  <si>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</si>
  <si>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</si>
  <si>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</si>
  <si>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</si>
  <si>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</si>
  <si>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</si>
  <si>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</si>
  <si>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</si>
  <si>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</si>
  <si>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</si>
  <si>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</si>
  <si>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</si>
  <si>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</si>
  <si>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</si>
  <si>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</si>
  <si>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</si>
  <si>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</si>
  <si>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</si>
  <si>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</si>
  <si>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</si>
  <si>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</si>
  <si>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</si>
  <si>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</si>
  <si>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</si>
  <si>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</si>
  <si>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</si>
  <si>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</si>
  <si>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</si>
  <si>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</si>
  <si>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</si>
  <si>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</si>
  <si>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</si>
  <si>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</si>
  <si>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</si>
  <si>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</si>
  <si>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</si>
  <si>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</si>
  <si>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</si>
  <si>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</si>
  <si>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</si>
  <si>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</si>
  <si>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</si>
  <si>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</si>
  <si>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</si>
  <si>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</si>
  <si>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</si>
  <si>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</si>
  <si>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</si>
  <si>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</si>
  <si>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</si>
  <si>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</si>
  <si>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</si>
  <si>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</si>
  <si>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</si>
  <si>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</si>
  <si>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</si>
  <si>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</si>
  <si>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</si>
  <si>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</si>
  <si>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</si>
  <si>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</si>
  <si>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</si>
  <si>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</si>
  <si>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</si>
  <si>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</si>
  <si>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</si>
  <si>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</si>
  <si>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</si>
  <si>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</si>
  <si>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</si>
  <si>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</si>
  <si>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</si>
  <si>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</si>
  <si>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</si>
  <si>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</si>
  <si>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</si>
  <si>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</si>
  <si>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</si>
  <si>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</si>
  <si>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</si>
  <si>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</si>
  <si>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</si>
  <si>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</si>
  <si>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</si>
  <si>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</si>
  <si>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</si>
  <si>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</si>
  <si>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</si>
  <si>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</si>
  <si>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</si>
  <si>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</si>
  <si>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</si>
  <si>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</si>
  <si>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</si>
  <si>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</si>
  <si>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</si>
  <si>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</si>
  <si>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</si>
  <si>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</si>
  <si>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</si>
  <si>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</si>
  <si>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</si>
  <si>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</si>
  <si>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</si>
  <si>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</si>
  <si>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</si>
  <si>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</si>
  <si>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</si>
  <si>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</si>
  <si>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</si>
  <si>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</si>
  <si>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</si>
  <si>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</si>
  <si>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</si>
  <si>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</si>
  <si>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</si>
  <si>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</si>
  <si>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</si>
  <si>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</si>
  <si>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</si>
  <si>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</si>
  <si>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</si>
  <si>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</si>
  <si>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</si>
  <si>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</si>
  <si>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</si>
  <si>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</si>
  <si>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</si>
  <si>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</si>
  <si>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</si>
  <si>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</si>
  <si>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</si>
  <si>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</si>
  <si>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</si>
  <si>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</si>
  <si>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</si>
  <si>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</si>
  <si>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</si>
  <si>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</si>
  <si>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</si>
  <si>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</si>
  <si>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</si>
  <si>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</si>
  <si>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</si>
  <si>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</si>
  <si>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</si>
  <si>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</si>
  <si>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</si>
  <si>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</si>
  <si>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</si>
  <si>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</si>
  <si>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</si>
  <si>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</si>
  <si>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</si>
  <si>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</si>
  <si>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</si>
  <si>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</si>
  <si>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</si>
  <si>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</si>
  <si>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</si>
  <si>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</si>
  <si>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</si>
  <si>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</si>
  <si>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</si>
  <si>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</si>
  <si>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</si>
  <si>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</si>
  <si>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</si>
  <si>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</si>
  <si>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</si>
  <si>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</si>
  <si>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</si>
  <si>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</si>
  <si>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</si>
  <si>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</si>
  <si>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</si>
  <si>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</si>
  <si>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</si>
  <si>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</si>
  <si>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</si>
  <si>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</si>
  <si>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</si>
  <si>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</si>
  <si>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</si>
  <si>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</si>
  <si>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</si>
  <si>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</si>
  <si>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</si>
  <si>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</si>
  <si>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</si>
  <si>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</si>
  <si>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</si>
  <si>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</si>
  <si>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</si>
  <si>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</si>
  <si>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</si>
  <si>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</si>
  <si>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</si>
  <si>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</si>
  <si>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</si>
  <si>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</si>
  <si>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</si>
  <si>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</si>
  <si>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</si>
  <si>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</si>
  <si>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</si>
  <si>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</si>
  <si>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</si>
  <si>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</si>
  <si>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</si>
  <si>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</si>
  <si>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</si>
  <si>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</si>
  <si>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</si>
  <si>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</si>
  <si>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</si>
  <si>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</si>
  <si>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</si>
  <si>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</si>
  <si>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</si>
  <si>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</si>
  <si>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</si>
  <si>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</si>
  <si>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</si>
  <si>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</si>
  <si>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</si>
  <si>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</si>
  <si>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</si>
  <si>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</si>
  <si>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</si>
  <si>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</si>
  <si>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</si>
  <si>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</si>
  <si>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</si>
  <si>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</si>
  <si>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</si>
  <si>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</si>
  <si>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</si>
  <si>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</si>
  <si>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</si>
  <si>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</si>
  <si>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</si>
  <si>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</si>
  <si>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</si>
  <si>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</si>
  <si>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</si>
  <si>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</si>
  <si>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</si>
  <si>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</si>
  <si>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</si>
  <si>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</si>
  <si>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</si>
  <si>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</si>
  <si>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</si>
  <si>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</si>
  <si>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</si>
  <si>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</si>
  <si>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</si>
  <si>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</si>
  <si>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</si>
  <si>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</si>
  <si>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</si>
  <si>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</si>
  <si>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</si>
  <si>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</si>
  <si>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</si>
  <si>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</si>
  <si>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</si>
  <si>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</si>
  <si>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</si>
  <si>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</si>
  <si>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</si>
  <si>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</si>
  <si>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</si>
  <si>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</si>
  <si>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</si>
  <si>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</si>
  <si>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</si>
  <si>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</si>
  <si>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</si>
  <si>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</si>
  <si>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</si>
  <si>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</si>
  <si>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</si>
  <si>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</si>
  <si>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</si>
  <si>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</si>
  <si>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</si>
  <si>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</si>
  <si>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</si>
  <si>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</si>
  <si>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</si>
  <si>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</si>
  <si>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</si>
  <si>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</si>
  <si>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</si>
  <si>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</si>
  <si>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</si>
  <si>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</si>
  <si>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</si>
  <si>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</si>
  <si>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</si>
  <si>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</si>
  <si>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</si>
  <si>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</si>
  <si>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</si>
  <si>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</si>
  <si>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</si>
  <si>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</si>
  <si>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</si>
  <si>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</si>
  <si>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</si>
  <si>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</si>
  <si>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</si>
  <si>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</si>
  <si>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</si>
  <si>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</si>
  <si>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</si>
  <si>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</si>
  <si>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</si>
  <si>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</si>
  <si>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</si>
  <si>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</si>
  <si>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</si>
  <si>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</si>
  <si>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</si>
  <si>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</si>
  <si>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</si>
  <si>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</si>
  <si>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</si>
  <si>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</si>
  <si>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</si>
  <si>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</si>
  <si>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</si>
  <si>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</si>
  <si>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</si>
  <si>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</si>
  <si>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</si>
  <si>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</si>
  <si>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</si>
  <si>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</si>
  <si>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</si>
  <si>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</si>
  <si>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</si>
  <si>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</si>
  <si>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</si>
  <si>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</si>
  <si>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</si>
  <si>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</si>
  <si>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</si>
  <si>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</si>
  <si>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</si>
  <si>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</si>
  <si>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</si>
  <si>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</si>
  <si>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</si>
  <si>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</si>
  <si>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</si>
  <si>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</si>
  <si>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</si>
  <si>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</si>
  <si>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</si>
  <si>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</si>
  <si>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</si>
  <si>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</si>
  <si>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</si>
  <si>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</si>
  <si>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</si>
  <si>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</si>
  <si>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</si>
  <si>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</si>
  <si>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</si>
  <si>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</si>
  <si>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</si>
  <si>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</si>
  <si>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</si>
  <si>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</si>
  <si>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</si>
  <si>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</si>
  <si>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</si>
  <si>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</si>
  <si>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</si>
  <si>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</si>
  <si>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</si>
  <si>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</si>
  <si>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</si>
  <si>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</si>
  <si>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</si>
  <si>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</si>
  <si>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</si>
  <si>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</si>
  <si>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</si>
  <si>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</si>
  <si>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</si>
  <si>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</si>
  <si>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</si>
  <si>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</si>
  <si>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</si>
  <si>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</si>
  <si>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</si>
  <si>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</si>
  <si>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</si>
  <si>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</si>
  <si>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</si>
  <si>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</si>
  <si>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</si>
  <si>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</si>
  <si>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</si>
  <si>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</si>
  <si>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</si>
  <si>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</si>
  <si>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</si>
  <si>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</si>
  <si>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</si>
  <si>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</si>
  <si>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</si>
  <si>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</si>
  <si>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</si>
  <si>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</si>
  <si>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</si>
  <si>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</si>
  <si>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</si>
  <si>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</si>
  <si>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</si>
  <si>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</si>
  <si>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</si>
  <si>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</si>
  <si>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</si>
  <si>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</si>
  <si>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</si>
  <si>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</si>
  <si>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</si>
  <si>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</si>
  <si>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</si>
  <si>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</si>
  <si>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</si>
  <si>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</si>
  <si>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</si>
  <si>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</si>
  <si>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</si>
  <si>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</si>
  <si>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</si>
  <si>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</si>
  <si>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</si>
  <si>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</si>
  <si>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</si>
  <si>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</si>
  <si>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</si>
  <si>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</si>
  <si>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</si>
  <si>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</si>
  <si>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</si>
  <si>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</si>
  <si>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</si>
  <si>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</si>
  <si>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</si>
  <si>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</si>
  <si>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</si>
  <si>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</si>
  <si>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</si>
  <si>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</si>
  <si>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</si>
  <si>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</si>
  <si>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</si>
  <si>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</si>
  <si>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</si>
  <si>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</si>
  <si>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</si>
  <si>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</si>
  <si>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</si>
  <si>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</si>
  <si>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</si>
  <si>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</si>
  <si>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</si>
  <si>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</si>
  <si>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</si>
  <si>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</si>
  <si>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</si>
  <si>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</si>
  <si>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</si>
  <si>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</si>
  <si>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</si>
  <si>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</si>
  <si>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</si>
  <si>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</si>
  <si>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</si>
  <si>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</si>
  <si>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</si>
  <si>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</si>
  <si>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</si>
  <si>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</si>
  <si>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</si>
  <si>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</si>
  <si>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</si>
  <si>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</si>
  <si>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</si>
  <si>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</si>
  <si>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</si>
  <si>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</si>
  <si>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</si>
  <si>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</si>
  <si>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</si>
  <si>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</si>
  <si>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</si>
  <si>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</si>
  <si>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</si>
  <si>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</si>
  <si>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</si>
  <si>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</si>
  <si>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</si>
  <si>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</si>
  <si>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</si>
  <si>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</si>
  <si>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</si>
  <si>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</si>
  <si>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</si>
  <si>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</si>
  <si>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</si>
  <si>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</si>
  <si>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</si>
  <si>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</si>
  <si>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</si>
  <si>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</si>
  <si>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</si>
  <si>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</si>
  <si>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</si>
  <si>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</si>
  <si>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</si>
  <si>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</si>
  <si>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</si>
  <si>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</si>
  <si>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</si>
  <si>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</si>
  <si>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</si>
  <si>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</si>
  <si>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</si>
  <si>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</si>
  <si>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</si>
  <si>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</si>
  <si>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</si>
  <si>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</si>
  <si>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</si>
  <si>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</si>
  <si>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</si>
  <si>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</si>
  <si>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</si>
  <si>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</si>
  <si>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</si>
  <si>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</si>
  <si>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</si>
  <si>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</si>
  <si>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</si>
  <si>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</si>
  <si>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</si>
  <si>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</si>
  <si>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</si>
  <si>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</si>
  <si>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</si>
  <si>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</si>
  <si>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</si>
  <si>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</si>
  <si>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</si>
  <si>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</si>
  <si>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</si>
  <si>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</si>
  <si>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</si>
  <si>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</si>
  <si>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</si>
  <si>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</si>
  <si>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</si>
  <si>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</si>
  <si>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</si>
  <si>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</si>
  <si>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</si>
  <si>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</si>
  <si>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</si>
  <si>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</si>
  <si>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</si>
  <si>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</si>
  <si>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</si>
  <si>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</si>
  <si>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</si>
  <si>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</si>
  <si>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</si>
  <si>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</si>
  <si>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</si>
  <si>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</si>
  <si>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</si>
  <si>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</si>
  <si>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</si>
  <si>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</si>
  <si>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</si>
  <si>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</si>
  <si>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</si>
  <si>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</si>
  <si>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</si>
  <si>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</si>
  <si>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</si>
  <si>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</si>
  <si>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</si>
  <si>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</si>
  <si>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</si>
  <si>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</si>
  <si>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</si>
  <si>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</si>
  <si>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</si>
  <si>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</si>
  <si>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</si>
  <si>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</si>
  <si>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</si>
  <si>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</si>
  <si>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</si>
  <si>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</si>
  <si>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</si>
  <si>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</si>
  <si>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</si>
  <si>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</si>
  <si>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</si>
  <si>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</si>
  <si>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</si>
  <si>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</si>
  <si>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</si>
  <si>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</si>
  <si>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</si>
  <si>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</si>
  <si>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</si>
  <si>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</si>
  <si>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</si>
  <si>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</si>
  <si>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</si>
  <si>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</si>
  <si>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</si>
  <si>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</si>
  <si>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</si>
  <si>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</si>
  <si>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</si>
  <si>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</si>
  <si>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</si>
  <si>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</si>
  <si>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</si>
  <si>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</si>
  <si>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</si>
  <si>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</si>
  <si>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</si>
  <si>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</si>
  <si>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</si>
  <si>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</si>
  <si>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</si>
  <si>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</si>
  <si>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</si>
  <si>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</si>
  <si>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</si>
  <si>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</si>
  <si>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</si>
  <si>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</si>
  <si>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</si>
  <si>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</si>
  <si>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</si>
  <si>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</si>
  <si>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</si>
  <si>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</si>
  <si>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Пуд,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</si>
</sst>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590" t="s">
        <v>0</v>
      </c>
      <c r="E1" s="581"/>
      <c r="F1" s="581"/>
      <c r="G1" s="12" t="s">
        <v>1</v>
      </c>
      <c r="H1" s="590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9" t="s">
        <v>8</v>
      </c>
      <c r="B5" s="593"/>
      <c r="C5" s="594"/>
      <c r="D5" s="632"/>
      <c r="E5" s="633"/>
      <c r="F5" s="835" t="s">
        <v>9</v>
      </c>
      <c r="G5" s="594"/>
      <c r="H5" s="632" t="s">
        <v>766</v>
      </c>
      <c r="I5" s="783"/>
      <c r="J5" s="783"/>
      <c r="K5" s="783"/>
      <c r="L5" s="783"/>
      <c r="M5" s="633"/>
      <c r="N5" s="58"/>
      <c r="P5" s="24" t="s">
        <v>10</v>
      </c>
      <c r="Q5" s="813">
        <v>45982</v>
      </c>
      <c r="R5" s="658"/>
      <c r="T5" s="707" t="s">
        <v>11</v>
      </c>
      <c r="U5" s="708"/>
      <c r="V5" s="709" t="s">
        <v>12</v>
      </c>
      <c r="W5" s="658"/>
      <c r="AB5" s="51"/>
      <c r="AC5" s="51"/>
      <c r="AD5" s="51"/>
      <c r="AE5" s="51"/>
    </row>
    <row r="6" spans="1:32" s="535" customFormat="1" ht="24" customHeight="1" x14ac:dyDescent="0.2">
      <c r="A6" s="659" t="s">
        <v>13</v>
      </c>
      <c r="B6" s="593"/>
      <c r="C6" s="594"/>
      <c r="D6" s="786" t="s">
        <v>14</v>
      </c>
      <c r="E6" s="787"/>
      <c r="F6" s="787"/>
      <c r="G6" s="787"/>
      <c r="H6" s="787"/>
      <c r="I6" s="787"/>
      <c r="J6" s="787"/>
      <c r="K6" s="787"/>
      <c r="L6" s="787"/>
      <c r="M6" s="658"/>
      <c r="N6" s="59"/>
      <c r="P6" s="24" t="s">
        <v>15</v>
      </c>
      <c r="Q6" s="814" t="str">
        <f>IF(Q5=0," ",CHOOSE(WEEKDAY(Q5,2),"Понедельник","Вторник","Среда","Четверг","Пятница","Суббота","Воскресенье"))</f>
        <v>Пятница</v>
      </c>
      <c r="R6" s="549"/>
      <c r="T6" s="715" t="s">
        <v>16</v>
      </c>
      <c r="U6" s="708"/>
      <c r="V6" s="731" t="s">
        <v>17</v>
      </c>
      <c r="W6" s="59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12" t="str">
        <f>IFERROR(VLOOKUP(DeliveryAddress,Table,3,0),1)</f>
        <v>1</v>
      </c>
      <c r="E7" s="613"/>
      <c r="F7" s="613"/>
      <c r="G7" s="613"/>
      <c r="H7" s="613"/>
      <c r="I7" s="613"/>
      <c r="J7" s="613"/>
      <c r="K7" s="613"/>
      <c r="L7" s="613"/>
      <c r="M7" s="614"/>
      <c r="N7" s="60"/>
      <c r="P7" s="24"/>
      <c r="Q7" s="42"/>
      <c r="R7" s="42"/>
      <c r="T7" s="555"/>
      <c r="U7" s="708"/>
      <c r="V7" s="732"/>
      <c r="W7" s="733"/>
      <c r="AB7" s="51"/>
      <c r="AC7" s="51"/>
      <c r="AD7" s="51"/>
      <c r="AE7" s="51"/>
    </row>
    <row r="8" spans="1:32" s="535" customFormat="1" ht="25.5" customHeight="1" x14ac:dyDescent="0.2">
      <c r="A8" s="818" t="s">
        <v>18</v>
      </c>
      <c r="B8" s="560"/>
      <c r="C8" s="561"/>
      <c r="D8" s="620" t="s">
        <v>19</v>
      </c>
      <c r="E8" s="621"/>
      <c r="F8" s="621"/>
      <c r="G8" s="621"/>
      <c r="H8" s="621"/>
      <c r="I8" s="621"/>
      <c r="J8" s="621"/>
      <c r="K8" s="621"/>
      <c r="L8" s="621"/>
      <c r="M8" s="622"/>
      <c r="N8" s="61"/>
      <c r="P8" s="24" t="s">
        <v>20</v>
      </c>
      <c r="Q8" s="660">
        <v>0.375</v>
      </c>
      <c r="R8" s="614"/>
      <c r="T8" s="555"/>
      <c r="U8" s="708"/>
      <c r="V8" s="732"/>
      <c r="W8" s="733"/>
      <c r="AB8" s="51"/>
      <c r="AC8" s="51"/>
      <c r="AD8" s="51"/>
      <c r="AE8" s="51"/>
    </row>
    <row r="9" spans="1:32" s="535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1"/>
      <c r="E9" s="568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3"/>
      <c r="P9" s="26" t="s">
        <v>21</v>
      </c>
      <c r="Q9" s="655"/>
      <c r="R9" s="656"/>
      <c r="T9" s="555"/>
      <c r="U9" s="708"/>
      <c r="V9" s="734"/>
      <c r="W9" s="73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1"/>
      <c r="E10" s="568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6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6"/>
      <c r="R10" s="717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7"/>
      <c r="R11" s="658"/>
      <c r="U11" s="24" t="s">
        <v>27</v>
      </c>
      <c r="V11" s="794" t="s">
        <v>28</v>
      </c>
      <c r="W11" s="656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592" t="s">
        <v>29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4"/>
      <c r="N12" s="62"/>
      <c r="P12" s="24" t="s">
        <v>30</v>
      </c>
      <c r="Q12" s="660"/>
      <c r="R12" s="614"/>
      <c r="S12" s="23"/>
      <c r="U12" s="24"/>
      <c r="V12" s="581"/>
      <c r="W12" s="555"/>
      <c r="AB12" s="51"/>
      <c r="AC12" s="51"/>
      <c r="AD12" s="51"/>
      <c r="AE12" s="51"/>
    </row>
    <row r="13" spans="1:32" s="535" customFormat="1" ht="23.25" customHeight="1" x14ac:dyDescent="0.2">
      <c r="A13" s="592" t="s">
        <v>31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4"/>
      <c r="N13" s="62"/>
      <c r="O13" s="26"/>
      <c r="P13" s="26" t="s">
        <v>32</v>
      </c>
      <c r="Q13" s="794"/>
      <c r="R13" s="6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592" t="s">
        <v>33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4"/>
      <c r="N15" s="63"/>
      <c r="P15" s="640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41"/>
      <c r="Q16" s="641"/>
      <c r="R16" s="641"/>
      <c r="S16" s="641"/>
      <c r="T16" s="64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5" t="s">
        <v>36</v>
      </c>
      <c r="B17" s="595" t="s">
        <v>37</v>
      </c>
      <c r="C17" s="695" t="s">
        <v>38</v>
      </c>
      <c r="D17" s="595" t="s">
        <v>39</v>
      </c>
      <c r="E17" s="650"/>
      <c r="F17" s="595" t="s">
        <v>40</v>
      </c>
      <c r="G17" s="595" t="s">
        <v>41</v>
      </c>
      <c r="H17" s="595" t="s">
        <v>42</v>
      </c>
      <c r="I17" s="595" t="s">
        <v>43</v>
      </c>
      <c r="J17" s="595" t="s">
        <v>44</v>
      </c>
      <c r="K17" s="595" t="s">
        <v>45</v>
      </c>
      <c r="L17" s="595" t="s">
        <v>46</v>
      </c>
      <c r="M17" s="595" t="s">
        <v>47</v>
      </c>
      <c r="N17" s="595" t="s">
        <v>48</v>
      </c>
      <c r="O17" s="595" t="s">
        <v>49</v>
      </c>
      <c r="P17" s="595" t="s">
        <v>50</v>
      </c>
      <c r="Q17" s="649"/>
      <c r="R17" s="649"/>
      <c r="S17" s="649"/>
      <c r="T17" s="650"/>
      <c r="U17" s="815" t="s">
        <v>51</v>
      </c>
      <c r="V17" s="594"/>
      <c r="W17" s="595" t="s">
        <v>52</v>
      </c>
      <c r="X17" s="595" t="s">
        <v>53</v>
      </c>
      <c r="Y17" s="816" t="s">
        <v>54</v>
      </c>
      <c r="Z17" s="736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96"/>
      <c r="B18" s="596"/>
      <c r="C18" s="596"/>
      <c r="D18" s="651"/>
      <c r="E18" s="653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6"/>
      <c r="X18" s="596"/>
      <c r="Y18" s="817"/>
      <c r="Z18" s="737"/>
      <c r="AA18" s="763"/>
      <c r="AB18" s="763"/>
      <c r="AC18" s="763"/>
      <c r="AD18" s="832"/>
      <c r="AE18" s="833"/>
      <c r="AF18" s="834"/>
      <c r="AG18" s="66"/>
      <c r="BD18" s="65"/>
    </row>
    <row r="19" spans="1:68" ht="27.75" hidden="1" customHeight="1" x14ac:dyDescent="0.2">
      <c r="A19" s="667" t="s">
        <v>63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hidden="1" customHeight="1" x14ac:dyDescent="0.25">
      <c r="A20" s="566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hidden="1" customHeight="1" x14ac:dyDescent="0.25">
      <c r="A21" s="565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9" t="s">
        <v>71</v>
      </c>
      <c r="Q23" s="560"/>
      <c r="R23" s="560"/>
      <c r="S23" s="560"/>
      <c r="T23" s="560"/>
      <c r="U23" s="560"/>
      <c r="V23" s="56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9" t="s">
        <v>71</v>
      </c>
      <c r="Q24" s="560"/>
      <c r="R24" s="560"/>
      <c r="S24" s="560"/>
      <c r="T24" s="560"/>
      <c r="U24" s="560"/>
      <c r="V24" s="56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5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9" t="s">
        <v>71</v>
      </c>
      <c r="Q31" s="560"/>
      <c r="R31" s="560"/>
      <c r="S31" s="560"/>
      <c r="T31" s="560"/>
      <c r="U31" s="560"/>
      <c r="V31" s="56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9" t="s">
        <v>71</v>
      </c>
      <c r="Q32" s="560"/>
      <c r="R32" s="560"/>
      <c r="S32" s="560"/>
      <c r="T32" s="560"/>
      <c r="U32" s="560"/>
      <c r="V32" s="56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5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9" t="s">
        <v>71</v>
      </c>
      <c r="Q35" s="560"/>
      <c r="R35" s="560"/>
      <c r="S35" s="560"/>
      <c r="T35" s="560"/>
      <c r="U35" s="560"/>
      <c r="V35" s="56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9" t="s">
        <v>71</v>
      </c>
      <c r="Q36" s="560"/>
      <c r="R36" s="560"/>
      <c r="S36" s="560"/>
      <c r="T36" s="560"/>
      <c r="U36" s="560"/>
      <c r="V36" s="56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67" t="s">
        <v>97</v>
      </c>
      <c r="B37" s="668"/>
      <c r="C37" s="668"/>
      <c r="D37" s="668"/>
      <c r="E37" s="668"/>
      <c r="F37" s="668"/>
      <c r="G37" s="668"/>
      <c r="H37" s="668"/>
      <c r="I37" s="668"/>
      <c r="J37" s="668"/>
      <c r="K37" s="668"/>
      <c r="L37" s="668"/>
      <c r="M37" s="668"/>
      <c r="N37" s="668"/>
      <c r="O37" s="668"/>
      <c r="P37" s="668"/>
      <c r="Q37" s="668"/>
      <c r="R37" s="668"/>
      <c r="S37" s="668"/>
      <c r="T37" s="668"/>
      <c r="U37" s="668"/>
      <c r="V37" s="668"/>
      <c r="W37" s="668"/>
      <c r="X37" s="668"/>
      <c r="Y37" s="668"/>
      <c r="Z37" s="668"/>
      <c r="AA37" s="48"/>
      <c r="AB37" s="48"/>
      <c r="AC37" s="48"/>
    </row>
    <row r="38" spans="1:68" ht="16.5" hidden="1" customHeight="1" x14ac:dyDescent="0.25">
      <c r="A38" s="566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hidden="1" customHeight="1" x14ac:dyDescent="0.25">
      <c r="A39" s="565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/>
      <c r="M40" s="33" t="s">
        <v>103</v>
      </c>
      <c r="N40" s="33"/>
      <c r="O40" s="32">
        <v>50</v>
      </c>
      <c r="P40" s="77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104</v>
      </c>
      <c r="AG40" s="64"/>
      <c r="AJ40" s="68"/>
      <c r="AK40" s="68">
        <v>0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105</v>
      </c>
      <c r="B41" s="54" t="s">
        <v>106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107</v>
      </c>
      <c r="L41" s="32"/>
      <c r="M41" s="33" t="s">
        <v>77</v>
      </c>
      <c r="N41" s="33"/>
      <c r="O41" s="32">
        <v>50</v>
      </c>
      <c r="P41" s="8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200</v>
      </c>
      <c r="Y41" s="542">
        <f>IFERROR(IF(X41="",0,CEILING((X41/$H41),1)*$H41),"")</f>
        <v>200</v>
      </c>
      <c r="Z41" s="36">
        <f>IFERROR(IF(Y41=0,"",ROUNDUP(Y41/H41,0)*0.00902),"")</f>
        <v>0.45100000000000001</v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209.50000000000003</v>
      </c>
      <c r="BN41" s="64">
        <f>IFERROR(Y41*I41/H41,"0")</f>
        <v>209.50000000000003</v>
      </c>
      <c r="BO41" s="64">
        <f>IFERROR(1/J41*(X41/H41),"0")</f>
        <v>0.37878787878787878</v>
      </c>
      <c r="BP41" s="64">
        <f>IFERROR(1/J41*(Y41/H41),"0")</f>
        <v>0.37878787878787878</v>
      </c>
    </row>
    <row r="42" spans="1:68" ht="27" hidden="1" customHeight="1" x14ac:dyDescent="0.25">
      <c r="A42" s="54" t="s">
        <v>108</v>
      </c>
      <c r="B42" s="54" t="s">
        <v>109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107</v>
      </c>
      <c r="L42" s="32"/>
      <c r="M42" s="33" t="s">
        <v>77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9" t="s">
        <v>71</v>
      </c>
      <c r="Q43" s="560"/>
      <c r="R43" s="560"/>
      <c r="S43" s="560"/>
      <c r="T43" s="560"/>
      <c r="U43" s="560"/>
      <c r="V43" s="561"/>
      <c r="W43" s="37" t="s">
        <v>72</v>
      </c>
      <c r="X43" s="543">
        <f>IFERROR(X40/H40,"0")+IFERROR(X41/H41,"0")+IFERROR(X42/H42,"0")</f>
        <v>50</v>
      </c>
      <c r="Y43" s="543">
        <f>IFERROR(Y40/H40,"0")+IFERROR(Y41/H41,"0")+IFERROR(Y42/H42,"0")</f>
        <v>50</v>
      </c>
      <c r="Z43" s="543">
        <f>IFERROR(IF(Z40="",0,Z40),"0")+IFERROR(IF(Z41="",0,Z41),"0")+IFERROR(IF(Z42="",0,Z42),"0")</f>
        <v>0.45100000000000001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9" t="s">
        <v>71</v>
      </c>
      <c r="Q44" s="560"/>
      <c r="R44" s="560"/>
      <c r="S44" s="560"/>
      <c r="T44" s="560"/>
      <c r="U44" s="560"/>
      <c r="V44" s="561"/>
      <c r="W44" s="37" t="s">
        <v>69</v>
      </c>
      <c r="X44" s="543">
        <f>IFERROR(SUM(X40:X42),"0")</f>
        <v>200</v>
      </c>
      <c r="Y44" s="543">
        <f>IFERROR(SUM(Y40:Y42),"0")</f>
        <v>200</v>
      </c>
      <c r="Z44" s="37"/>
      <c r="AA44" s="544"/>
      <c r="AB44" s="544"/>
      <c r="AC44" s="544"/>
    </row>
    <row r="45" spans="1:68" ht="14.25" hidden="1" customHeight="1" x14ac:dyDescent="0.25">
      <c r="A45" s="565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hidden="1" customHeight="1" x14ac:dyDescent="0.25">
      <c r="A46" s="54" t="s">
        <v>110</v>
      </c>
      <c r="B46" s="54" t="s">
        <v>111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112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9" t="s">
        <v>71</v>
      </c>
      <c r="Q47" s="560"/>
      <c r="R47" s="560"/>
      <c r="S47" s="560"/>
      <c r="T47" s="560"/>
      <c r="U47" s="560"/>
      <c r="V47" s="56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9" t="s">
        <v>71</v>
      </c>
      <c r="Q48" s="560"/>
      <c r="R48" s="560"/>
      <c r="S48" s="560"/>
      <c r="T48" s="560"/>
      <c r="U48" s="560"/>
      <c r="V48" s="56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6" t="s">
        <v>113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hidden="1" customHeight="1" x14ac:dyDescent="0.25">
      <c r="A50" s="565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hidden="1" customHeight="1" x14ac:dyDescent="0.25">
      <c r="A51" s="54" t="s">
        <v>114</v>
      </c>
      <c r="B51" s="54" t="s">
        <v>115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116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117</v>
      </c>
      <c r="B52" s="54" t="s">
        <v>118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103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119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120</v>
      </c>
      <c r="B53" s="54" t="s">
        <v>121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107</v>
      </c>
      <c r="L53" s="32"/>
      <c r="M53" s="33" t="s">
        <v>103</v>
      </c>
      <c r="N53" s="33"/>
      <c r="O53" s="32">
        <v>45</v>
      </c>
      <c r="P53" s="66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122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123</v>
      </c>
      <c r="B54" s="54" t="s">
        <v>124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107</v>
      </c>
      <c r="L54" s="32"/>
      <c r="M54" s="33" t="s">
        <v>103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125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126</v>
      </c>
      <c r="B55" s="54" t="s">
        <v>127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128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129</v>
      </c>
      <c r="B56" s="54" t="s">
        <v>130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107</v>
      </c>
      <c r="L56" s="32"/>
      <c r="M56" s="33" t="s">
        <v>103</v>
      </c>
      <c r="N56" s="33"/>
      <c r="O56" s="32">
        <v>50</v>
      </c>
      <c r="P56" s="5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131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9" t="s">
        <v>71</v>
      </c>
      <c r="Q57" s="560"/>
      <c r="R57" s="560"/>
      <c r="S57" s="560"/>
      <c r="T57" s="560"/>
      <c r="U57" s="560"/>
      <c r="V57" s="561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hidden="1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9" t="s">
        <v>71</v>
      </c>
      <c r="Q58" s="560"/>
      <c r="R58" s="560"/>
      <c r="S58" s="560"/>
      <c r="T58" s="560"/>
      <c r="U58" s="560"/>
      <c r="V58" s="561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hidden="1" customHeight="1" x14ac:dyDescent="0.25">
      <c r="A59" s="565" t="s">
        <v>132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hidden="1" customHeight="1" x14ac:dyDescent="0.25">
      <c r="A60" s="54" t="s">
        <v>133</v>
      </c>
      <c r="B60" s="54" t="s">
        <v>134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/>
      <c r="M60" s="33" t="s">
        <v>103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135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136</v>
      </c>
      <c r="B61" s="54" t="s">
        <v>137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135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138</v>
      </c>
      <c r="B62" s="54" t="s">
        <v>139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103</v>
      </c>
      <c r="N62" s="33"/>
      <c r="O62" s="32">
        <v>50</v>
      </c>
      <c r="P62" s="82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135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9" t="s">
        <v>71</v>
      </c>
      <c r="Q63" s="560"/>
      <c r="R63" s="560"/>
      <c r="S63" s="560"/>
      <c r="T63" s="560"/>
      <c r="U63" s="560"/>
      <c r="V63" s="561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9" t="s">
        <v>71</v>
      </c>
      <c r="Q64" s="560"/>
      <c r="R64" s="560"/>
      <c r="S64" s="560"/>
      <c r="T64" s="560"/>
      <c r="U64" s="560"/>
      <c r="V64" s="561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65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hidden="1" customHeight="1" x14ac:dyDescent="0.25">
      <c r="A66" s="54" t="s">
        <v>140</v>
      </c>
      <c r="B66" s="54" t="s">
        <v>141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142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143</v>
      </c>
      <c r="B67" s="54" t="s">
        <v>144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145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146</v>
      </c>
      <c r="B68" s="54" t="s">
        <v>147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148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9" t="s">
        <v>71</v>
      </c>
      <c r="Q69" s="560"/>
      <c r="R69" s="560"/>
      <c r="S69" s="560"/>
      <c r="T69" s="560"/>
      <c r="U69" s="560"/>
      <c r="V69" s="56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9" t="s">
        <v>71</v>
      </c>
      <c r="Q70" s="560"/>
      <c r="R70" s="560"/>
      <c r="S70" s="560"/>
      <c r="T70" s="560"/>
      <c r="U70" s="560"/>
      <c r="V70" s="56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5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hidden="1" customHeight="1" x14ac:dyDescent="0.25">
      <c r="A72" s="54" t="s">
        <v>149</v>
      </c>
      <c r="B72" s="54" t="s">
        <v>150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151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152</v>
      </c>
      <c r="B73" s="54" t="s">
        <v>153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154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155</v>
      </c>
      <c r="B74" s="54" t="s">
        <v>156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151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157</v>
      </c>
      <c r="B75" s="54" t="s">
        <v>158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59" t="s">
        <v>71</v>
      </c>
      <c r="Q76" s="560"/>
      <c r="R76" s="560"/>
      <c r="S76" s="560"/>
      <c r="T76" s="560"/>
      <c r="U76" s="560"/>
      <c r="V76" s="561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9" t="s">
        <v>71</v>
      </c>
      <c r="Q77" s="560"/>
      <c r="R77" s="560"/>
      <c r="S77" s="560"/>
      <c r="T77" s="560"/>
      <c r="U77" s="560"/>
      <c r="V77" s="561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5" t="s">
        <v>160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hidden="1" customHeight="1" x14ac:dyDescent="0.25">
      <c r="A79" s="54" t="s">
        <v>161</v>
      </c>
      <c r="B79" s="54" t="s">
        <v>162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/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163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164</v>
      </c>
      <c r="B80" s="54" t="s">
        <v>165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107</v>
      </c>
      <c r="L80" s="32"/>
      <c r="M80" s="33" t="s">
        <v>77</v>
      </c>
      <c r="N80" s="33"/>
      <c r="O80" s="32">
        <v>30</v>
      </c>
      <c r="P80" s="77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166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59" t="s">
        <v>71</v>
      </c>
      <c r="Q81" s="560"/>
      <c r="R81" s="560"/>
      <c r="S81" s="560"/>
      <c r="T81" s="560"/>
      <c r="U81" s="560"/>
      <c r="V81" s="561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9" t="s">
        <v>71</v>
      </c>
      <c r="Q82" s="560"/>
      <c r="R82" s="560"/>
      <c r="S82" s="560"/>
      <c r="T82" s="560"/>
      <c r="U82" s="560"/>
      <c r="V82" s="561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66" t="s">
        <v>167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hidden="1" customHeight="1" x14ac:dyDescent="0.25">
      <c r="A84" s="565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hidden="1" customHeight="1" x14ac:dyDescent="0.25">
      <c r="A85" s="54" t="s">
        <v>168</v>
      </c>
      <c r="B85" s="54" t="s">
        <v>169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/>
      <c r="M85" s="33" t="s">
        <v>84</v>
      </c>
      <c r="N85" s="33"/>
      <c r="O85" s="32">
        <v>50</v>
      </c>
      <c r="P85" s="8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170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171</v>
      </c>
      <c r="B86" s="54" t="s">
        <v>172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107</v>
      </c>
      <c r="L86" s="32"/>
      <c r="M86" s="33" t="s">
        <v>77</v>
      </c>
      <c r="N86" s="33"/>
      <c r="O86" s="32">
        <v>50</v>
      </c>
      <c r="P86" s="5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173</v>
      </c>
      <c r="B87" s="54" t="s">
        <v>174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107</v>
      </c>
      <c r="L87" s="32"/>
      <c r="M87" s="33" t="s">
        <v>84</v>
      </c>
      <c r="N87" s="33"/>
      <c r="O87" s="32">
        <v>50</v>
      </c>
      <c r="P87" s="5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675</v>
      </c>
      <c r="Y87" s="542">
        <f>IFERROR(IF(X87="",0,CEILING((X87/$H87),1)*$H87),"")</f>
        <v>675</v>
      </c>
      <c r="Z87" s="36">
        <f>IFERROR(IF(Y87=0,"",ROUNDUP(Y87/H87,0)*0.00902),"")</f>
        <v>1.353</v>
      </c>
      <c r="AA87" s="56"/>
      <c r="AB87" s="57"/>
      <c r="AC87" s="131" t="s">
        <v>170</v>
      </c>
      <c r="AG87" s="64"/>
      <c r="AJ87" s="68"/>
      <c r="AK87" s="68">
        <v>0</v>
      </c>
      <c r="BB87" s="132" t="s">
        <v>1</v>
      </c>
      <c r="BM87" s="64">
        <f>IFERROR(X87*I87/H87,"0")</f>
        <v>703.50000000000011</v>
      </c>
      <c r="BN87" s="64">
        <f>IFERROR(Y87*I87/H87,"0")</f>
        <v>703.50000000000011</v>
      </c>
      <c r="BO87" s="64">
        <f>IFERROR(1/J87*(X87/H87),"0")</f>
        <v>1.1363636363636365</v>
      </c>
      <c r="BP87" s="64">
        <f>IFERROR(1/J87*(Y87/H87),"0")</f>
        <v>1.1363636363636365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59" t="s">
        <v>71</v>
      </c>
      <c r="Q88" s="560"/>
      <c r="R88" s="560"/>
      <c r="S88" s="560"/>
      <c r="T88" s="560"/>
      <c r="U88" s="560"/>
      <c r="V88" s="561"/>
      <c r="W88" s="37" t="s">
        <v>72</v>
      </c>
      <c r="X88" s="543">
        <f>IFERROR(X85/H85,"0")+IFERROR(X86/H86,"0")+IFERROR(X87/H87,"0")</f>
        <v>150</v>
      </c>
      <c r="Y88" s="543">
        <f>IFERROR(Y85/H85,"0")+IFERROR(Y86/H86,"0")+IFERROR(Y87/H87,"0")</f>
        <v>150</v>
      </c>
      <c r="Z88" s="543">
        <f>IFERROR(IF(Z85="",0,Z85),"0")+IFERROR(IF(Z86="",0,Z86),"0")+IFERROR(IF(Z87="",0,Z87),"0")</f>
        <v>1.353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9" t="s">
        <v>71</v>
      </c>
      <c r="Q89" s="560"/>
      <c r="R89" s="560"/>
      <c r="S89" s="560"/>
      <c r="T89" s="560"/>
      <c r="U89" s="560"/>
      <c r="V89" s="561"/>
      <c r="W89" s="37" t="s">
        <v>69</v>
      </c>
      <c r="X89" s="543">
        <f>IFERROR(SUM(X85:X87),"0")</f>
        <v>675</v>
      </c>
      <c r="Y89" s="543">
        <f>IFERROR(SUM(Y85:Y87),"0")</f>
        <v>675</v>
      </c>
      <c r="Z89" s="37"/>
      <c r="AA89" s="544"/>
      <c r="AB89" s="544"/>
      <c r="AC89" s="544"/>
    </row>
    <row r="90" spans="1:68" ht="14.25" hidden="1" customHeight="1" x14ac:dyDescent="0.25">
      <c r="A90" s="565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hidden="1" customHeight="1" x14ac:dyDescent="0.25">
      <c r="A91" s="54" t="s">
        <v>175</v>
      </c>
      <c r="B91" s="54" t="s">
        <v>176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/>
      <c r="M91" s="33" t="s">
        <v>84</v>
      </c>
      <c r="N91" s="33"/>
      <c r="O91" s="32">
        <v>45</v>
      </c>
      <c r="P91" s="8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177</v>
      </c>
      <c r="AG91" s="64"/>
      <c r="AJ91" s="68"/>
      <c r="AK91" s="68">
        <v>0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178</v>
      </c>
      <c r="B92" s="54" t="s">
        <v>179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180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181</v>
      </c>
      <c r="B93" s="54" t="s">
        <v>182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361.8</v>
      </c>
      <c r="Y93" s="542">
        <f>IFERROR(IF(X93="",0,CEILING((X93/$H93),1)*$H93),"")</f>
        <v>361.8</v>
      </c>
      <c r="Z93" s="36">
        <f>IFERROR(IF(Y93=0,"",ROUNDUP(Y93/H93,0)*0.00651),"")</f>
        <v>0.87234</v>
      </c>
      <c r="AA93" s="56"/>
      <c r="AB93" s="57"/>
      <c r="AC93" s="137" t="s">
        <v>177</v>
      </c>
      <c r="AG93" s="64"/>
      <c r="AJ93" s="68"/>
      <c r="AK93" s="68">
        <v>0</v>
      </c>
      <c r="BB93" s="138" t="s">
        <v>1</v>
      </c>
      <c r="BM93" s="64">
        <f>IFERROR(X93*I93/H93,"0")</f>
        <v>395.56799999999998</v>
      </c>
      <c r="BN93" s="64">
        <f>IFERROR(Y93*I93/H93,"0")</f>
        <v>395.56799999999998</v>
      </c>
      <c r="BO93" s="64">
        <f>IFERROR(1/J93*(X93/H93),"0")</f>
        <v>0.73626373626373631</v>
      </c>
      <c r="BP93" s="64">
        <f>IFERROR(1/J93*(Y93/H93),"0")</f>
        <v>0.73626373626373631</v>
      </c>
    </row>
    <row r="94" spans="1:68" ht="16.5" hidden="1" customHeight="1" x14ac:dyDescent="0.25">
      <c r="A94" s="54" t="s">
        <v>183</v>
      </c>
      <c r="B94" s="54" t="s">
        <v>184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59" t="s">
        <v>71</v>
      </c>
      <c r="Q95" s="560"/>
      <c r="R95" s="560"/>
      <c r="S95" s="560"/>
      <c r="T95" s="560"/>
      <c r="U95" s="560"/>
      <c r="V95" s="561"/>
      <c r="W95" s="37" t="s">
        <v>72</v>
      </c>
      <c r="X95" s="543">
        <f>IFERROR(X91/H91,"0")+IFERROR(X92/H92,"0")+IFERROR(X93/H93,"0")+IFERROR(X94/H94,"0")</f>
        <v>134</v>
      </c>
      <c r="Y95" s="543">
        <f>IFERROR(Y91/H91,"0")+IFERROR(Y92/H92,"0")+IFERROR(Y93/H93,"0")+IFERROR(Y94/H94,"0")</f>
        <v>134</v>
      </c>
      <c r="Z95" s="543">
        <f>IFERROR(IF(Z91="",0,Z91),"0")+IFERROR(IF(Z92="",0,Z92),"0")+IFERROR(IF(Z93="",0,Z93),"0")+IFERROR(IF(Z94="",0,Z94),"0")</f>
        <v>0.87234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9" t="s">
        <v>71</v>
      </c>
      <c r="Q96" s="560"/>
      <c r="R96" s="560"/>
      <c r="S96" s="560"/>
      <c r="T96" s="560"/>
      <c r="U96" s="560"/>
      <c r="V96" s="561"/>
      <c r="W96" s="37" t="s">
        <v>69</v>
      </c>
      <c r="X96" s="543">
        <f>IFERROR(SUM(X91:X94),"0")</f>
        <v>361.8</v>
      </c>
      <c r="Y96" s="543">
        <f>IFERROR(SUM(Y91:Y94),"0")</f>
        <v>361.8</v>
      </c>
      <c r="Z96" s="37"/>
      <c r="AA96" s="544"/>
      <c r="AB96" s="544"/>
      <c r="AC96" s="544"/>
    </row>
    <row r="97" spans="1:68" ht="16.5" hidden="1" customHeight="1" x14ac:dyDescent="0.25">
      <c r="A97" s="566" t="s">
        <v>186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hidden="1" customHeight="1" x14ac:dyDescent="0.25">
      <c r="A98" s="565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hidden="1" customHeight="1" x14ac:dyDescent="0.25">
      <c r="A99" s="54" t="s">
        <v>187</v>
      </c>
      <c r="B99" s="54" t="s">
        <v>188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/>
      <c r="M99" s="33" t="s">
        <v>103</v>
      </c>
      <c r="N99" s="33"/>
      <c r="O99" s="32">
        <v>50</v>
      </c>
      <c r="P99" s="6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189</v>
      </c>
      <c r="AG99" s="64"/>
      <c r="AJ99" s="68"/>
      <c r="AK99" s="68">
        <v>0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190</v>
      </c>
      <c r="B100" s="54" t="s">
        <v>191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107</v>
      </c>
      <c r="L100" s="32"/>
      <c r="M100" s="33" t="s">
        <v>77</v>
      </c>
      <c r="N100" s="33"/>
      <c r="O100" s="32">
        <v>50</v>
      </c>
      <c r="P100" s="6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189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192</v>
      </c>
      <c r="B101" s="54" t="s">
        <v>193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107</v>
      </c>
      <c r="L101" s="32" t="s">
        <v>194</v>
      </c>
      <c r="M101" s="33" t="s">
        <v>77</v>
      </c>
      <c r="N101" s="33"/>
      <c r="O101" s="32">
        <v>50</v>
      </c>
      <c r="P101" s="7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675</v>
      </c>
      <c r="Y101" s="542">
        <f>IFERROR(IF(X101="",0,CEILING((X101/$H101),1)*$H101),"")</f>
        <v>675</v>
      </c>
      <c r="Z101" s="36">
        <f>IFERROR(IF(Y101=0,"",ROUNDUP(Y101/H101,0)*0.00902),"")</f>
        <v>1.353</v>
      </c>
      <c r="AA101" s="56"/>
      <c r="AB101" s="57"/>
      <c r="AC101" s="145" t="s">
        <v>189</v>
      </c>
      <c r="AG101" s="64"/>
      <c r="AJ101" s="68" t="s">
        <v>195</v>
      </c>
      <c r="AK101" s="68">
        <v>54</v>
      </c>
      <c r="BB101" s="146" t="s">
        <v>1</v>
      </c>
      <c r="BM101" s="64">
        <f>IFERROR(X101*I101/H101,"0")</f>
        <v>703.50000000000011</v>
      </c>
      <c r="BN101" s="64">
        <f>IFERROR(Y101*I101/H101,"0")</f>
        <v>703.50000000000011</v>
      </c>
      <c r="BO101" s="64">
        <f>IFERROR(1/J101*(X101/H101),"0")</f>
        <v>1.1363636363636365</v>
      </c>
      <c r="BP101" s="64">
        <f>IFERROR(1/J101*(Y101/H101),"0")</f>
        <v>1.1363636363636365</v>
      </c>
    </row>
    <row r="102" spans="1:68" ht="37.5" hidden="1" customHeight="1" x14ac:dyDescent="0.25">
      <c r="A102" s="54" t="s">
        <v>196</v>
      </c>
      <c r="B102" s="54" t="s">
        <v>197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107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189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59" t="s">
        <v>71</v>
      </c>
      <c r="Q103" s="560"/>
      <c r="R103" s="560"/>
      <c r="S103" s="560"/>
      <c r="T103" s="560"/>
      <c r="U103" s="560"/>
      <c r="V103" s="561"/>
      <c r="W103" s="37" t="s">
        <v>72</v>
      </c>
      <c r="X103" s="543">
        <f>IFERROR(X99/H99,"0")+IFERROR(X100/H100,"0")+IFERROR(X101/H101,"0")+IFERROR(X102/H102,"0")</f>
        <v>150</v>
      </c>
      <c r="Y103" s="543">
        <f>IFERROR(Y99/H99,"0")+IFERROR(Y100/H100,"0")+IFERROR(Y101/H101,"0")+IFERROR(Y102/H102,"0")</f>
        <v>150</v>
      </c>
      <c r="Z103" s="543">
        <f>IFERROR(IF(Z99="",0,Z99),"0")+IFERROR(IF(Z100="",0,Z100),"0")+IFERROR(IF(Z101="",0,Z101),"0")+IFERROR(IF(Z102="",0,Z102),"0")</f>
        <v>1.353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9" t="s">
        <v>71</v>
      </c>
      <c r="Q104" s="560"/>
      <c r="R104" s="560"/>
      <c r="S104" s="560"/>
      <c r="T104" s="560"/>
      <c r="U104" s="560"/>
      <c r="V104" s="561"/>
      <c r="W104" s="37" t="s">
        <v>69</v>
      </c>
      <c r="X104" s="543">
        <f>IFERROR(SUM(X99:X102),"0")</f>
        <v>675</v>
      </c>
      <c r="Y104" s="543">
        <f>IFERROR(SUM(Y99:Y102),"0")</f>
        <v>675</v>
      </c>
      <c r="Z104" s="37"/>
      <c r="AA104" s="544"/>
      <c r="AB104" s="544"/>
      <c r="AC104" s="544"/>
    </row>
    <row r="105" spans="1:68" ht="14.25" hidden="1" customHeight="1" x14ac:dyDescent="0.25">
      <c r="A105" s="565" t="s">
        <v>132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hidden="1" customHeight="1" x14ac:dyDescent="0.25">
      <c r="A106" s="54" t="s">
        <v>198</v>
      </c>
      <c r="B106" s="54" t="s">
        <v>199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/>
      <c r="M106" s="33" t="s">
        <v>103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200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201</v>
      </c>
      <c r="B107" s="54" t="s">
        <v>202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103</v>
      </c>
      <c r="N107" s="33"/>
      <c r="O107" s="32">
        <v>55</v>
      </c>
      <c r="P107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200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203</v>
      </c>
      <c r="B108" s="54" t="s">
        <v>204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103</v>
      </c>
      <c r="N108" s="33"/>
      <c r="O108" s="32">
        <v>55</v>
      </c>
      <c r="P108" s="7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200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59" t="s">
        <v>71</v>
      </c>
      <c r="Q109" s="560"/>
      <c r="R109" s="560"/>
      <c r="S109" s="560"/>
      <c r="T109" s="560"/>
      <c r="U109" s="560"/>
      <c r="V109" s="561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9" t="s">
        <v>71</v>
      </c>
      <c r="Q110" s="560"/>
      <c r="R110" s="560"/>
      <c r="S110" s="560"/>
      <c r="T110" s="560"/>
      <c r="U110" s="560"/>
      <c r="V110" s="561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5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hidden="1" customHeight="1" x14ac:dyDescent="0.25">
      <c r="A112" s="54" t="s">
        <v>205</v>
      </c>
      <c r="B112" s="54" t="s">
        <v>206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/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207</v>
      </c>
      <c r="AG112" s="64"/>
      <c r="AJ112" s="68"/>
      <c r="AK112" s="68">
        <v>0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208</v>
      </c>
      <c r="B113" s="54" t="s">
        <v>209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207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210</v>
      </c>
      <c r="B114" s="54" t="s">
        <v>211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212</v>
      </c>
      <c r="M114" s="33" t="s">
        <v>84</v>
      </c>
      <c r="N114" s="33"/>
      <c r="O114" s="32">
        <v>45</v>
      </c>
      <c r="P114" s="8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207</v>
      </c>
      <c r="AG114" s="64"/>
      <c r="AJ114" s="68" t="s">
        <v>195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213</v>
      </c>
      <c r="B115" s="54" t="s">
        <v>214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59" t="s">
        <v>71</v>
      </c>
      <c r="Q116" s="560"/>
      <c r="R116" s="560"/>
      <c r="S116" s="560"/>
      <c r="T116" s="560"/>
      <c r="U116" s="560"/>
      <c r="V116" s="561"/>
      <c r="W116" s="37" t="s">
        <v>72</v>
      </c>
      <c r="X116" s="543">
        <f>IFERROR(X112/H112,"0")+IFERROR(X113/H113,"0")+IFERROR(X114/H114,"0")+IFERROR(X115/H115,"0")</f>
        <v>0</v>
      </c>
      <c r="Y116" s="543">
        <f>IFERROR(Y112/H112,"0")+IFERROR(Y113/H113,"0")+IFERROR(Y114/H114,"0")+IFERROR(Y115/H115,"0")</f>
        <v>0</v>
      </c>
      <c r="Z116" s="543">
        <f>IFERROR(IF(Z112="",0,Z112),"0")+IFERROR(IF(Z113="",0,Z113),"0")+IFERROR(IF(Z114="",0,Z114),"0")+IFERROR(IF(Z115="",0,Z115),"0")</f>
        <v>0</v>
      </c>
      <c r="AA116" s="544"/>
      <c r="AB116" s="544"/>
      <c r="AC116" s="544"/>
    </row>
    <row r="117" spans="1:68" hidden="1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9" t="s">
        <v>71</v>
      </c>
      <c r="Q117" s="560"/>
      <c r="R117" s="560"/>
      <c r="S117" s="560"/>
      <c r="T117" s="560"/>
      <c r="U117" s="560"/>
      <c r="V117" s="561"/>
      <c r="W117" s="37" t="s">
        <v>69</v>
      </c>
      <c r="X117" s="543">
        <f>IFERROR(SUM(X112:X115),"0")</f>
        <v>0</v>
      </c>
      <c r="Y117" s="543">
        <f>IFERROR(SUM(Y112:Y115),"0")</f>
        <v>0</v>
      </c>
      <c r="Z117" s="37"/>
      <c r="AA117" s="544"/>
      <c r="AB117" s="544"/>
      <c r="AC117" s="544"/>
    </row>
    <row r="118" spans="1:68" ht="14.25" hidden="1" customHeight="1" x14ac:dyDescent="0.25">
      <c r="A118" s="565" t="s">
        <v>160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hidden="1" customHeight="1" x14ac:dyDescent="0.25">
      <c r="A119" s="54" t="s">
        <v>216</v>
      </c>
      <c r="B119" s="54" t="s">
        <v>217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59" t="s">
        <v>71</v>
      </c>
      <c r="Q120" s="560"/>
      <c r="R120" s="560"/>
      <c r="S120" s="560"/>
      <c r="T120" s="560"/>
      <c r="U120" s="560"/>
      <c r="V120" s="561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9" t="s">
        <v>71</v>
      </c>
      <c r="Q121" s="560"/>
      <c r="R121" s="560"/>
      <c r="S121" s="560"/>
      <c r="T121" s="560"/>
      <c r="U121" s="560"/>
      <c r="V121" s="561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6" t="s">
        <v>219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hidden="1" customHeight="1" x14ac:dyDescent="0.25">
      <c r="A123" s="565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hidden="1" customHeight="1" x14ac:dyDescent="0.25">
      <c r="A124" s="54" t="s">
        <v>220</v>
      </c>
      <c r="B124" s="54" t="s">
        <v>221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220</v>
      </c>
      <c r="B125" s="54" t="s">
        <v>223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59" t="s">
        <v>71</v>
      </c>
      <c r="Q126" s="560"/>
      <c r="R126" s="560"/>
      <c r="S126" s="560"/>
      <c r="T126" s="560"/>
      <c r="U126" s="560"/>
      <c r="V126" s="561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9" t="s">
        <v>71</v>
      </c>
      <c r="Q127" s="560"/>
      <c r="R127" s="560"/>
      <c r="S127" s="560"/>
      <c r="T127" s="560"/>
      <c r="U127" s="560"/>
      <c r="V127" s="561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5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hidden="1" customHeight="1" x14ac:dyDescent="0.25">
      <c r="A129" s="54" t="s">
        <v>224</v>
      </c>
      <c r="B129" s="54" t="s">
        <v>225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224</v>
      </c>
      <c r="B130" s="54" t="s">
        <v>227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59" t="s">
        <v>71</v>
      </c>
      <c r="Q131" s="560"/>
      <c r="R131" s="560"/>
      <c r="S131" s="560"/>
      <c r="T131" s="560"/>
      <c r="U131" s="560"/>
      <c r="V131" s="561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9" t="s">
        <v>71</v>
      </c>
      <c r="Q132" s="560"/>
      <c r="R132" s="560"/>
      <c r="S132" s="560"/>
      <c r="T132" s="560"/>
      <c r="U132" s="560"/>
      <c r="V132" s="561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5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hidden="1" customHeight="1" x14ac:dyDescent="0.25">
      <c r="A134" s="54" t="s">
        <v>228</v>
      </c>
      <c r="B134" s="54" t="s">
        <v>229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228</v>
      </c>
      <c r="B135" s="54" t="s">
        <v>230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59" t="s">
        <v>71</v>
      </c>
      <c r="Q136" s="560"/>
      <c r="R136" s="560"/>
      <c r="S136" s="560"/>
      <c r="T136" s="560"/>
      <c r="U136" s="560"/>
      <c r="V136" s="561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9" t="s">
        <v>71</v>
      </c>
      <c r="Q137" s="560"/>
      <c r="R137" s="560"/>
      <c r="S137" s="560"/>
      <c r="T137" s="560"/>
      <c r="U137" s="560"/>
      <c r="V137" s="561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6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hidden="1" customHeight="1" x14ac:dyDescent="0.25">
      <c r="A139" s="565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hidden="1" customHeight="1" x14ac:dyDescent="0.25">
      <c r="A140" s="54" t="s">
        <v>231</v>
      </c>
      <c r="B140" s="54" t="s">
        <v>232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103</v>
      </c>
      <c r="N140" s="33"/>
      <c r="O140" s="32">
        <v>55</v>
      </c>
      <c r="P140" s="71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234</v>
      </c>
      <c r="B141" s="54" t="s">
        <v>235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107</v>
      </c>
      <c r="L141" s="32"/>
      <c r="M141" s="33" t="s">
        <v>103</v>
      </c>
      <c r="N141" s="33"/>
      <c r="O141" s="32">
        <v>50</v>
      </c>
      <c r="P141" s="72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237</v>
      </c>
      <c r="B142" s="54" t="s">
        <v>238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103</v>
      </c>
      <c r="N142" s="33"/>
      <c r="O142" s="32">
        <v>55</v>
      </c>
      <c r="P142" s="684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239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59" t="s">
        <v>71</v>
      </c>
      <c r="Q143" s="560"/>
      <c r="R143" s="560"/>
      <c r="S143" s="560"/>
      <c r="T143" s="560"/>
      <c r="U143" s="560"/>
      <c r="V143" s="561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9" t="s">
        <v>71</v>
      </c>
      <c r="Q144" s="560"/>
      <c r="R144" s="560"/>
      <c r="S144" s="560"/>
      <c r="T144" s="560"/>
      <c r="U144" s="560"/>
      <c r="V144" s="561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65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hidden="1" customHeight="1" x14ac:dyDescent="0.25">
      <c r="A146" s="54" t="s">
        <v>240</v>
      </c>
      <c r="B146" s="54" t="s">
        <v>241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103</v>
      </c>
      <c r="N146" s="33"/>
      <c r="O146" s="32">
        <v>40</v>
      </c>
      <c r="P146" s="8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243</v>
      </c>
      <c r="B147" s="54" t="s">
        <v>244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246</v>
      </c>
      <c r="B148" s="54" t="s">
        <v>247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248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59" t="s">
        <v>71</v>
      </c>
      <c r="Q149" s="560"/>
      <c r="R149" s="560"/>
      <c r="S149" s="560"/>
      <c r="T149" s="560"/>
      <c r="U149" s="560"/>
      <c r="V149" s="561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hidden="1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9" t="s">
        <v>71</v>
      </c>
      <c r="Q150" s="560"/>
      <c r="R150" s="560"/>
      <c r="S150" s="560"/>
      <c r="T150" s="560"/>
      <c r="U150" s="560"/>
      <c r="V150" s="561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hidden="1" customHeight="1" x14ac:dyDescent="0.25">
      <c r="A151" s="565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hidden="1" customHeight="1" x14ac:dyDescent="0.25">
      <c r="A152" s="54" t="s">
        <v>249</v>
      </c>
      <c r="B152" s="54" t="s">
        <v>250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7" t="s">
        <v>251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252</v>
      </c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59" t="s">
        <v>71</v>
      </c>
      <c r="Q153" s="560"/>
      <c r="R153" s="560"/>
      <c r="S153" s="560"/>
      <c r="T153" s="560"/>
      <c r="U153" s="560"/>
      <c r="V153" s="561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9" t="s">
        <v>71</v>
      </c>
      <c r="Q154" s="560"/>
      <c r="R154" s="560"/>
      <c r="S154" s="560"/>
      <c r="T154" s="560"/>
      <c r="U154" s="560"/>
      <c r="V154" s="561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67" t="s">
        <v>254</v>
      </c>
      <c r="B155" s="668"/>
      <c r="C155" s="668"/>
      <c r="D155" s="668"/>
      <c r="E155" s="668"/>
      <c r="F155" s="668"/>
      <c r="G155" s="668"/>
      <c r="H155" s="668"/>
      <c r="I155" s="668"/>
      <c r="J155" s="668"/>
      <c r="K155" s="668"/>
      <c r="L155" s="668"/>
      <c r="M155" s="668"/>
      <c r="N155" s="668"/>
      <c r="O155" s="668"/>
      <c r="P155" s="668"/>
      <c r="Q155" s="668"/>
      <c r="R155" s="668"/>
      <c r="S155" s="668"/>
      <c r="T155" s="668"/>
      <c r="U155" s="668"/>
      <c r="V155" s="668"/>
      <c r="W155" s="668"/>
      <c r="X155" s="668"/>
      <c r="Y155" s="668"/>
      <c r="Z155" s="668"/>
      <c r="AA155" s="48"/>
      <c r="AB155" s="48"/>
      <c r="AC155" s="48"/>
    </row>
    <row r="156" spans="1:68" ht="16.5" hidden="1" customHeight="1" x14ac:dyDescent="0.25">
      <c r="A156" s="566" t="s">
        <v>255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hidden="1" customHeight="1" x14ac:dyDescent="0.25">
      <c r="A157" s="565" t="s">
        <v>132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hidden="1" customHeight="1" x14ac:dyDescent="0.25">
      <c r="A158" s="54" t="s">
        <v>256</v>
      </c>
      <c r="B158" s="54" t="s">
        <v>257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59" t="s">
        <v>71</v>
      </c>
      <c r="Q159" s="560"/>
      <c r="R159" s="560"/>
      <c r="S159" s="560"/>
      <c r="T159" s="560"/>
      <c r="U159" s="560"/>
      <c r="V159" s="561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9" t="s">
        <v>71</v>
      </c>
      <c r="Q160" s="560"/>
      <c r="R160" s="560"/>
      <c r="S160" s="560"/>
      <c r="T160" s="560"/>
      <c r="U160" s="560"/>
      <c r="V160" s="561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65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hidden="1" customHeight="1" x14ac:dyDescent="0.25">
      <c r="A162" s="54" t="s">
        <v>259</v>
      </c>
      <c r="B162" s="54" t="s">
        <v>260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9" t="s">
        <v>261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252</v>
      </c>
      <c r="AC162" s="193" t="s">
        <v>262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263</v>
      </c>
      <c r="B163" s="54" t="s">
        <v>264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107</v>
      </c>
      <c r="L163" s="32"/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266</v>
      </c>
      <c r="B164" s="54" t="s">
        <v>267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107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268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269</v>
      </c>
      <c r="B165" s="54" t="s">
        <v>270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107</v>
      </c>
      <c r="L165" s="32"/>
      <c r="M165" s="33" t="s">
        <v>68</v>
      </c>
      <c r="N165" s="33"/>
      <c r="O165" s="32">
        <v>40</v>
      </c>
      <c r="P165" s="58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8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268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279</v>
      </c>
      <c r="B169" s="54" t="s">
        <v>280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/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271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9" t="s">
        <v>71</v>
      </c>
      <c r="Q172" s="560"/>
      <c r="R172" s="560"/>
      <c r="S172" s="560"/>
      <c r="T172" s="560"/>
      <c r="U172" s="560"/>
      <c r="V172" s="561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4"/>
      <c r="AB172" s="544"/>
      <c r="AC172" s="544"/>
    </row>
    <row r="173" spans="1:68" hidden="1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9" t="s">
        <v>71</v>
      </c>
      <c r="Q173" s="560"/>
      <c r="R173" s="560"/>
      <c r="S173" s="560"/>
      <c r="T173" s="560"/>
      <c r="U173" s="560"/>
      <c r="V173" s="561"/>
      <c r="W173" s="37" t="s">
        <v>69</v>
      </c>
      <c r="X173" s="543">
        <f>IFERROR(SUM(X162:X171),"0")</f>
        <v>0</v>
      </c>
      <c r="Y173" s="543">
        <f>IFERROR(SUM(Y162:Y171),"0")</f>
        <v>0</v>
      </c>
      <c r="Z173" s="37"/>
      <c r="AA173" s="544"/>
      <c r="AB173" s="544"/>
      <c r="AC173" s="544"/>
    </row>
    <row r="174" spans="1:68" ht="14.25" hidden="1" customHeight="1" x14ac:dyDescent="0.25">
      <c r="A174" s="565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9" t="s">
        <v>71</v>
      </c>
      <c r="Q178" s="560"/>
      <c r="R178" s="560"/>
      <c r="S178" s="560"/>
      <c r="T178" s="560"/>
      <c r="U178" s="560"/>
      <c r="V178" s="561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hidden="1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9" t="s">
        <v>71</v>
      </c>
      <c r="Q179" s="560"/>
      <c r="R179" s="560"/>
      <c r="S179" s="560"/>
      <c r="T179" s="560"/>
      <c r="U179" s="560"/>
      <c r="V179" s="561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hidden="1" customHeight="1" x14ac:dyDescent="0.25">
      <c r="A180" s="565" t="s">
        <v>296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2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9" t="s">
        <v>71</v>
      </c>
      <c r="Q182" s="560"/>
      <c r="R182" s="560"/>
      <c r="S182" s="560"/>
      <c r="T182" s="560"/>
      <c r="U182" s="560"/>
      <c r="V182" s="561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hidden="1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9" t="s">
        <v>71</v>
      </c>
      <c r="Q183" s="560"/>
      <c r="R183" s="560"/>
      <c r="S183" s="560"/>
      <c r="T183" s="560"/>
      <c r="U183" s="560"/>
      <c r="V183" s="561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hidden="1" customHeight="1" x14ac:dyDescent="0.25">
      <c r="A184" s="566" t="s">
        <v>299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hidden="1" customHeight="1" x14ac:dyDescent="0.25">
      <c r="A185" s="565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hidden="1" customHeight="1" x14ac:dyDescent="0.25">
      <c r="A186" s="54" t="s">
        <v>300</v>
      </c>
      <c r="B186" s="54" t="s">
        <v>301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103</v>
      </c>
      <c r="N186" s="33"/>
      <c r="O186" s="32">
        <v>55</v>
      </c>
      <c r="P186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103</v>
      </c>
      <c r="N187" s="33"/>
      <c r="O187" s="32">
        <v>55</v>
      </c>
      <c r="P187" s="6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9" t="s">
        <v>71</v>
      </c>
      <c r="Q188" s="560"/>
      <c r="R188" s="560"/>
      <c r="S188" s="560"/>
      <c r="T188" s="560"/>
      <c r="U188" s="560"/>
      <c r="V188" s="56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9" t="s">
        <v>71</v>
      </c>
      <c r="Q189" s="560"/>
      <c r="R189" s="560"/>
      <c r="S189" s="560"/>
      <c r="T189" s="560"/>
      <c r="U189" s="560"/>
      <c r="V189" s="56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65" t="s">
        <v>132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103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103</v>
      </c>
      <c r="N192" s="33"/>
      <c r="O192" s="32">
        <v>50</v>
      </c>
      <c r="P192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9" t="s">
        <v>71</v>
      </c>
      <c r="Q193" s="560"/>
      <c r="R193" s="560"/>
      <c r="S193" s="560"/>
      <c r="T193" s="560"/>
      <c r="U193" s="560"/>
      <c r="V193" s="56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9" t="s">
        <v>71</v>
      </c>
      <c r="Q194" s="560"/>
      <c r="R194" s="560"/>
      <c r="S194" s="560"/>
      <c r="T194" s="560"/>
      <c r="U194" s="560"/>
      <c r="V194" s="56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65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hidden="1" customHeight="1" x14ac:dyDescent="0.25">
      <c r="A196" s="54" t="s">
        <v>310</v>
      </c>
      <c r="B196" s="54" t="s">
        <v>311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107</v>
      </c>
      <c r="L196" s="32"/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/>
      <c r="AK196" s="68">
        <v>0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107</v>
      </c>
      <c r="L197" s="32"/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107</v>
      </c>
      <c r="L198" s="32"/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107</v>
      </c>
      <c r="L199" s="32"/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/>
      <c r="AK199" s="68">
        <v>0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324</v>
      </c>
      <c r="M200" s="33" t="s">
        <v>68</v>
      </c>
      <c r="N200" s="33"/>
      <c r="O200" s="32">
        <v>40</v>
      </c>
      <c r="P200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195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325</v>
      </c>
      <c r="B201" s="54" t="s">
        <v>326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327</v>
      </c>
      <c r="B202" s="54" t="s">
        <v>328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90</v>
      </c>
      <c r="Y202" s="542">
        <f t="shared" si="10"/>
        <v>90</v>
      </c>
      <c r="Z202" s="36">
        <f>IFERROR(IF(Y202=0,"",ROUNDUP(Y202/H202,0)*0.00502),"")</f>
        <v>0.251</v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95</v>
      </c>
      <c r="BN202" s="64">
        <f t="shared" si="12"/>
        <v>95</v>
      </c>
      <c r="BO202" s="64">
        <f t="shared" si="13"/>
        <v>0.21367521367521369</v>
      </c>
      <c r="BP202" s="64">
        <f t="shared" si="14"/>
        <v>0.21367521367521369</v>
      </c>
    </row>
    <row r="203" spans="1:68" ht="27" hidden="1" customHeight="1" x14ac:dyDescent="0.25">
      <c r="A203" s="54" t="s">
        <v>329</v>
      </c>
      <c r="B203" s="54" t="s">
        <v>330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/>
      <c r="M203" s="33" t="s">
        <v>68</v>
      </c>
      <c r="N203" s="33"/>
      <c r="O203" s="32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/>
      <c r="AK203" s="68">
        <v>0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9" t="s">
        <v>71</v>
      </c>
      <c r="Q204" s="560"/>
      <c r="R204" s="560"/>
      <c r="S204" s="560"/>
      <c r="T204" s="560"/>
      <c r="U204" s="560"/>
      <c r="V204" s="56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50</v>
      </c>
      <c r="Y204" s="543">
        <f>IFERROR(Y196/H196,"0")+IFERROR(Y197/H197,"0")+IFERROR(Y198/H198,"0")+IFERROR(Y199/H199,"0")+IFERROR(Y200/H200,"0")+IFERROR(Y201/H201,"0")+IFERROR(Y202/H202,"0")+IFERROR(Y203/H203,"0")</f>
        <v>50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0.251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9" t="s">
        <v>71</v>
      </c>
      <c r="Q205" s="560"/>
      <c r="R205" s="560"/>
      <c r="S205" s="560"/>
      <c r="T205" s="560"/>
      <c r="U205" s="560"/>
      <c r="V205" s="561"/>
      <c r="W205" s="37" t="s">
        <v>69</v>
      </c>
      <c r="X205" s="543">
        <f>IFERROR(SUM(X196:X203),"0")</f>
        <v>90</v>
      </c>
      <c r="Y205" s="543">
        <f>IFERROR(SUM(Y196:Y203),"0")</f>
        <v>90</v>
      </c>
      <c r="Z205" s="37"/>
      <c r="AA205" s="544"/>
      <c r="AB205" s="544"/>
      <c r="AC205" s="544"/>
    </row>
    <row r="206" spans="1:68" ht="14.25" hidden="1" customHeight="1" x14ac:dyDescent="0.25">
      <c r="A206" s="565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hidden="1" customHeight="1" x14ac:dyDescent="0.25">
      <c r="A207" s="54" t="s">
        <v>331</v>
      </c>
      <c r="B207" s="54" t="s">
        <v>332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334</v>
      </c>
      <c r="B208" s="54" t="s">
        <v>335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/>
      <c r="M209" s="33" t="s">
        <v>77</v>
      </c>
      <c r="N209" s="33"/>
      <c r="O209" s="32">
        <v>45</v>
      </c>
      <c r="P209" s="6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339</v>
      </c>
      <c r="AG209" s="64"/>
      <c r="AJ209" s="68"/>
      <c r="AK209" s="68">
        <v>0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340</v>
      </c>
      <c r="B210" s="54" t="s">
        <v>341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212</v>
      </c>
      <c r="M210" s="33" t="s">
        <v>77</v>
      </c>
      <c r="N210" s="33"/>
      <c r="O210" s="32">
        <v>40</v>
      </c>
      <c r="P210" s="6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240</v>
      </c>
      <c r="Y210" s="542">
        <f t="shared" si="15"/>
        <v>240</v>
      </c>
      <c r="Z210" s="36">
        <f t="shared" ref="Z210:Z215" si="20">IFERROR(IF(Y210=0,"",ROUNDUP(Y210/H210,0)*0.00651),"")</f>
        <v>0.65100000000000002</v>
      </c>
      <c r="AA210" s="56"/>
      <c r="AB210" s="57"/>
      <c r="AC210" s="251" t="s">
        <v>333</v>
      </c>
      <c r="AG210" s="64"/>
      <c r="AJ210" s="68" t="s">
        <v>195</v>
      </c>
      <c r="AK210" s="68">
        <v>33.6</v>
      </c>
      <c r="BB210" s="252" t="s">
        <v>1</v>
      </c>
      <c r="BM210" s="64">
        <f t="shared" si="16"/>
        <v>267</v>
      </c>
      <c r="BN210" s="64">
        <f t="shared" si="17"/>
        <v>267</v>
      </c>
      <c r="BO210" s="64">
        <f t="shared" si="18"/>
        <v>0.5494505494505495</v>
      </c>
      <c r="BP210" s="64">
        <f t="shared" si="19"/>
        <v>0.5494505494505495</v>
      </c>
    </row>
    <row r="211" spans="1:68" ht="27" hidden="1" customHeight="1" x14ac:dyDescent="0.25">
      <c r="A211" s="54" t="s">
        <v>342</v>
      </c>
      <c r="B211" s="54" t="s">
        <v>343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5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344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345</v>
      </c>
      <c r="B212" s="54" t="s">
        <v>346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212</v>
      </c>
      <c r="M212" s="33" t="s">
        <v>77</v>
      </c>
      <c r="N212" s="33"/>
      <c r="O212" s="32">
        <v>45</v>
      </c>
      <c r="P212" s="7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201.6</v>
      </c>
      <c r="Y212" s="542">
        <f t="shared" si="15"/>
        <v>201.6</v>
      </c>
      <c r="Z212" s="36">
        <f t="shared" si="20"/>
        <v>0.54683999999999999</v>
      </c>
      <c r="AA212" s="56"/>
      <c r="AB212" s="57"/>
      <c r="AC212" s="255" t="s">
        <v>339</v>
      </c>
      <c r="AG212" s="64"/>
      <c r="AJ212" s="68" t="s">
        <v>195</v>
      </c>
      <c r="AK212" s="68">
        <v>33.6</v>
      </c>
      <c r="BB212" s="256" t="s">
        <v>1</v>
      </c>
      <c r="BM212" s="64">
        <f t="shared" si="16"/>
        <v>222.768</v>
      </c>
      <c r="BN212" s="64">
        <f t="shared" si="17"/>
        <v>222.768</v>
      </c>
      <c r="BO212" s="64">
        <f t="shared" si="18"/>
        <v>0.46153846153846156</v>
      </c>
      <c r="BP212" s="64">
        <f t="shared" si="19"/>
        <v>0.46153846153846156</v>
      </c>
    </row>
    <row r="213" spans="1:68" ht="27" hidden="1" customHeight="1" x14ac:dyDescent="0.25">
      <c r="A213" s="54" t="s">
        <v>347</v>
      </c>
      <c r="B213" s="54" t="s">
        <v>348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/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339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349</v>
      </c>
      <c r="B214" s="54" t="s">
        <v>350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/>
      <c r="M214" s="33" t="s">
        <v>84</v>
      </c>
      <c r="N214" s="33"/>
      <c r="O214" s="32">
        <v>40</v>
      </c>
      <c r="P214" s="7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351</v>
      </c>
      <c r="AG214" s="64"/>
      <c r="AJ214" s="68"/>
      <c r="AK214" s="68">
        <v>0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352</v>
      </c>
      <c r="B215" s="54" t="s">
        <v>353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/>
      <c r="M215" s="33" t="s">
        <v>77</v>
      </c>
      <c r="N215" s="33"/>
      <c r="O215" s="32">
        <v>40</v>
      </c>
      <c r="P215" s="5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0</v>
      </c>
      <c r="Y215" s="542">
        <f t="shared" si="15"/>
        <v>0</v>
      </c>
      <c r="Z215" s="36" t="str">
        <f t="shared" si="20"/>
        <v/>
      </c>
      <c r="AA215" s="56"/>
      <c r="AB215" s="57"/>
      <c r="AC215" s="261" t="s">
        <v>336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9" t="s">
        <v>71</v>
      </c>
      <c r="Q216" s="560"/>
      <c r="R216" s="560"/>
      <c r="S216" s="560"/>
      <c r="T216" s="560"/>
      <c r="U216" s="560"/>
      <c r="V216" s="56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184</v>
      </c>
      <c r="Y216" s="543">
        <f>IFERROR(Y207/H207,"0")+IFERROR(Y208/H208,"0")+IFERROR(Y209/H209,"0")+IFERROR(Y210/H210,"0")+IFERROR(Y211/H211,"0")+IFERROR(Y212/H212,"0")+IFERROR(Y213/H213,"0")+IFERROR(Y214/H214,"0")+IFERROR(Y215/H215,"0")</f>
        <v>184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1.19784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9" t="s">
        <v>71</v>
      </c>
      <c r="Q217" s="560"/>
      <c r="R217" s="560"/>
      <c r="S217" s="560"/>
      <c r="T217" s="560"/>
      <c r="U217" s="560"/>
      <c r="V217" s="561"/>
      <c r="W217" s="37" t="s">
        <v>69</v>
      </c>
      <c r="X217" s="543">
        <f>IFERROR(SUM(X207:X215),"0")</f>
        <v>441.6</v>
      </c>
      <c r="Y217" s="543">
        <f>IFERROR(SUM(Y207:Y215),"0")</f>
        <v>441.6</v>
      </c>
      <c r="Z217" s="37"/>
      <c r="AA217" s="544"/>
      <c r="AB217" s="544"/>
      <c r="AC217" s="544"/>
    </row>
    <row r="218" spans="1:68" ht="14.25" hidden="1" customHeight="1" x14ac:dyDescent="0.25">
      <c r="A218" s="565" t="s">
        <v>160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hidden="1" customHeight="1" x14ac:dyDescent="0.25">
      <c r="A219" s="54" t="s">
        <v>354</v>
      </c>
      <c r="B219" s="54" t="s">
        <v>355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70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357</v>
      </c>
      <c r="B220" s="54" t="s">
        <v>358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359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9" t="s">
        <v>71</v>
      </c>
      <c r="Q221" s="560"/>
      <c r="R221" s="560"/>
      <c r="S221" s="560"/>
      <c r="T221" s="560"/>
      <c r="U221" s="560"/>
      <c r="V221" s="561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hidden="1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9" t="s">
        <v>71</v>
      </c>
      <c r="Q222" s="560"/>
      <c r="R222" s="560"/>
      <c r="S222" s="560"/>
      <c r="T222" s="560"/>
      <c r="U222" s="560"/>
      <c r="V222" s="561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hidden="1" customHeight="1" x14ac:dyDescent="0.25">
      <c r="A223" s="566" t="s">
        <v>360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hidden="1" customHeight="1" x14ac:dyDescent="0.25">
      <c r="A224" s="565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hidden="1" customHeight="1" x14ac:dyDescent="0.25">
      <c r="A225" s="54" t="s">
        <v>361</v>
      </c>
      <c r="B225" s="54" t="s">
        <v>362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103</v>
      </c>
      <c r="N225" s="33"/>
      <c r="O225" s="32">
        <v>55</v>
      </c>
      <c r="P225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103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367</v>
      </c>
      <c r="B227" s="54" t="s">
        <v>368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103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369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370</v>
      </c>
      <c r="B228" s="54" t="s">
        <v>371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107</v>
      </c>
      <c r="L228" s="32"/>
      <c r="M228" s="33" t="s">
        <v>103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363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370</v>
      </c>
      <c r="B229" s="54" t="s">
        <v>372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107</v>
      </c>
      <c r="L229" s="32"/>
      <c r="M229" s="33" t="s">
        <v>103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363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373</v>
      </c>
      <c r="B230" s="54" t="s">
        <v>374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107</v>
      </c>
      <c r="L230" s="32"/>
      <c r="M230" s="33" t="s">
        <v>103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375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376</v>
      </c>
      <c r="B231" s="54" t="s">
        <v>377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107</v>
      </c>
      <c r="L231" s="32"/>
      <c r="M231" s="33" t="s">
        <v>103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378</v>
      </c>
      <c r="B232" s="54" t="s">
        <v>379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103</v>
      </c>
      <c r="N232" s="33"/>
      <c r="O232" s="32">
        <v>55</v>
      </c>
      <c r="P232" s="7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366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380</v>
      </c>
      <c r="B233" s="54" t="s">
        <v>381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107</v>
      </c>
      <c r="L233" s="32"/>
      <c r="M233" s="33" t="s">
        <v>103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369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380</v>
      </c>
      <c r="B234" s="54" t="s">
        <v>382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107</v>
      </c>
      <c r="L234" s="32"/>
      <c r="M234" s="33" t="s">
        <v>103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369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9" t="s">
        <v>71</v>
      </c>
      <c r="Q235" s="560"/>
      <c r="R235" s="560"/>
      <c r="S235" s="560"/>
      <c r="T235" s="560"/>
      <c r="U235" s="560"/>
      <c r="V235" s="56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hidden="1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9" t="s">
        <v>71</v>
      </c>
      <c r="Q236" s="560"/>
      <c r="R236" s="560"/>
      <c r="S236" s="560"/>
      <c r="T236" s="560"/>
      <c r="U236" s="560"/>
      <c r="V236" s="561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hidden="1" customHeight="1" x14ac:dyDescent="0.25">
      <c r="A237" s="565" t="s">
        <v>132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customHeight="1" x14ac:dyDescent="0.25">
      <c r="A238" s="54" t="s">
        <v>383</v>
      </c>
      <c r="B238" s="54" t="s">
        <v>384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39.6</v>
      </c>
      <c r="Y238" s="542">
        <f>IFERROR(IF(X238="",0,CEILING((X238/$H238),1)*$H238),"")</f>
        <v>39.6</v>
      </c>
      <c r="Z238" s="36">
        <f>IFERROR(IF(Y238=0,"",ROUNDUP(Y238/H238,0)*0.00502),"")</f>
        <v>0.1004</v>
      </c>
      <c r="AA238" s="56"/>
      <c r="AB238" s="57"/>
      <c r="AC238" s="287" t="s">
        <v>385</v>
      </c>
      <c r="AG238" s="64"/>
      <c r="AJ238" s="68"/>
      <c r="AK238" s="68">
        <v>0</v>
      </c>
      <c r="BB238" s="288" t="s">
        <v>1</v>
      </c>
      <c r="BM238" s="64">
        <f>IFERROR(X238*I238/H238,"0")</f>
        <v>41.600000000000009</v>
      </c>
      <c r="BN238" s="64">
        <f>IFERROR(Y238*I238/H238,"0")</f>
        <v>41.600000000000009</v>
      </c>
      <c r="BO238" s="64">
        <f>IFERROR(1/J238*(X238/H238),"0")</f>
        <v>8.5470085470085472E-2</v>
      </c>
      <c r="BP238" s="64">
        <f>IFERROR(1/J238*(Y238/H238),"0")</f>
        <v>8.5470085470085472E-2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9" t="s">
        <v>71</v>
      </c>
      <c r="Q239" s="560"/>
      <c r="R239" s="560"/>
      <c r="S239" s="560"/>
      <c r="T239" s="560"/>
      <c r="U239" s="560"/>
      <c r="V239" s="561"/>
      <c r="W239" s="37" t="s">
        <v>72</v>
      </c>
      <c r="X239" s="543">
        <f>IFERROR(X238/H238,"0")</f>
        <v>20</v>
      </c>
      <c r="Y239" s="543">
        <f>IFERROR(Y238/H238,"0")</f>
        <v>20</v>
      </c>
      <c r="Z239" s="543">
        <f>IFERROR(IF(Z238="",0,Z238),"0")</f>
        <v>0.1004</v>
      </c>
      <c r="AA239" s="544"/>
      <c r="AB239" s="544"/>
      <c r="AC239" s="544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9" t="s">
        <v>71</v>
      </c>
      <c r="Q240" s="560"/>
      <c r="R240" s="560"/>
      <c r="S240" s="560"/>
      <c r="T240" s="560"/>
      <c r="U240" s="560"/>
      <c r="V240" s="561"/>
      <c r="W240" s="37" t="s">
        <v>69</v>
      </c>
      <c r="X240" s="543">
        <f>IFERROR(SUM(X238:X238),"0")</f>
        <v>39.6</v>
      </c>
      <c r="Y240" s="543">
        <f>IFERROR(SUM(Y238:Y238),"0")</f>
        <v>39.6</v>
      </c>
      <c r="Z240" s="37"/>
      <c r="AA240" s="544"/>
      <c r="AB240" s="544"/>
      <c r="AC240" s="544"/>
    </row>
    <row r="241" spans="1:68" ht="14.25" hidden="1" customHeight="1" x14ac:dyDescent="0.25">
      <c r="A241" s="565" t="s">
        <v>386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hidden="1" customHeight="1" x14ac:dyDescent="0.25">
      <c r="A242" s="54" t="s">
        <v>387</v>
      </c>
      <c r="B242" s="54" t="s">
        <v>388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389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9" t="s">
        <v>71</v>
      </c>
      <c r="Q243" s="560"/>
      <c r="R243" s="560"/>
      <c r="S243" s="560"/>
      <c r="T243" s="560"/>
      <c r="U243" s="560"/>
      <c r="V243" s="561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hidden="1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9" t="s">
        <v>71</v>
      </c>
      <c r="Q244" s="560"/>
      <c r="R244" s="560"/>
      <c r="S244" s="560"/>
      <c r="T244" s="560"/>
      <c r="U244" s="560"/>
      <c r="V244" s="561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hidden="1" customHeight="1" x14ac:dyDescent="0.25">
      <c r="A245" s="565" t="s">
        <v>390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hidden="1" customHeight="1" x14ac:dyDescent="0.25">
      <c r="A246" s="54" t="s">
        <v>391</v>
      </c>
      <c r="B246" s="54" t="s">
        <v>392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393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394</v>
      </c>
      <c r="B247" s="54" t="s">
        <v>395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2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393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396</v>
      </c>
      <c r="B248" s="54" t="s">
        <v>397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393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398</v>
      </c>
      <c r="B249" s="54" t="s">
        <v>399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393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400</v>
      </c>
      <c r="B250" s="54" t="s">
        <v>401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393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9" t="s">
        <v>71</v>
      </c>
      <c r="Q251" s="560"/>
      <c r="R251" s="560"/>
      <c r="S251" s="560"/>
      <c r="T251" s="560"/>
      <c r="U251" s="560"/>
      <c r="V251" s="561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hidden="1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9" t="s">
        <v>71</v>
      </c>
      <c r="Q252" s="560"/>
      <c r="R252" s="560"/>
      <c r="S252" s="560"/>
      <c r="T252" s="560"/>
      <c r="U252" s="560"/>
      <c r="V252" s="561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hidden="1" customHeight="1" x14ac:dyDescent="0.25">
      <c r="A253" s="566" t="s">
        <v>402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hidden="1" customHeight="1" x14ac:dyDescent="0.25">
      <c r="A254" s="565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hidden="1" customHeight="1" x14ac:dyDescent="0.25">
      <c r="A255" s="54" t="s">
        <v>403</v>
      </c>
      <c r="B255" s="54" t="s">
        <v>404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103</v>
      </c>
      <c r="N255" s="33"/>
      <c r="O255" s="32">
        <v>55</v>
      </c>
      <c r="P255" s="6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406</v>
      </c>
      <c r="B256" s="54" t="s">
        <v>407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103</v>
      </c>
      <c r="N256" s="33"/>
      <c r="O256" s="32">
        <v>55</v>
      </c>
      <c r="P256" s="76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409</v>
      </c>
      <c r="B257" s="54" t="s">
        <v>410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103</v>
      </c>
      <c r="N257" s="33"/>
      <c r="O257" s="32">
        <v>55</v>
      </c>
      <c r="P257" s="77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412</v>
      </c>
      <c r="B258" s="54" t="s">
        <v>413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107</v>
      </c>
      <c r="L258" s="32"/>
      <c r="M258" s="33" t="s">
        <v>103</v>
      </c>
      <c r="N258" s="33"/>
      <c r="O258" s="32">
        <v>55</v>
      </c>
      <c r="P258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415</v>
      </c>
      <c r="B259" s="54" t="s">
        <v>416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107</v>
      </c>
      <c r="L259" s="32"/>
      <c r="M259" s="33" t="s">
        <v>103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417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9" t="s">
        <v>71</v>
      </c>
      <c r="Q260" s="560"/>
      <c r="R260" s="560"/>
      <c r="S260" s="560"/>
      <c r="T260" s="560"/>
      <c r="U260" s="560"/>
      <c r="V260" s="56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9" t="s">
        <v>71</v>
      </c>
      <c r="Q261" s="560"/>
      <c r="R261" s="560"/>
      <c r="S261" s="560"/>
      <c r="T261" s="560"/>
      <c r="U261" s="560"/>
      <c r="V261" s="56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66" t="s">
        <v>418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hidden="1" customHeight="1" x14ac:dyDescent="0.25">
      <c r="A263" s="565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hidden="1" customHeight="1" x14ac:dyDescent="0.25">
      <c r="A264" s="54" t="s">
        <v>419</v>
      </c>
      <c r="B264" s="54" t="s">
        <v>420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75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104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421</v>
      </c>
      <c r="B265" s="54" t="s">
        <v>422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423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424</v>
      </c>
      <c r="B266" s="54" t="s">
        <v>425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369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426</v>
      </c>
      <c r="B267" s="54" t="s">
        <v>427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103</v>
      </c>
      <c r="N267" s="33"/>
      <c r="O267" s="32">
        <v>31</v>
      </c>
      <c r="P267" s="7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428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9" t="s">
        <v>71</v>
      </c>
      <c r="Q268" s="560"/>
      <c r="R268" s="560"/>
      <c r="S268" s="560"/>
      <c r="T268" s="560"/>
      <c r="U268" s="560"/>
      <c r="V268" s="56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9" t="s">
        <v>71</v>
      </c>
      <c r="Q269" s="560"/>
      <c r="R269" s="560"/>
      <c r="S269" s="560"/>
      <c r="T269" s="560"/>
      <c r="U269" s="560"/>
      <c r="V269" s="56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66" t="s">
        <v>429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hidden="1" customHeight="1" x14ac:dyDescent="0.25">
      <c r="A271" s="565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hidden="1" customHeight="1" x14ac:dyDescent="0.25">
      <c r="A272" s="54" t="s">
        <v>430</v>
      </c>
      <c r="B272" s="54" t="s">
        <v>431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4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433</v>
      </c>
      <c r="B273" s="54" t="s">
        <v>434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435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436</v>
      </c>
      <c r="B274" s="54" t="s">
        <v>437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/>
      <c r="M274" s="33" t="s">
        <v>77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432</v>
      </c>
      <c r="AG274" s="64"/>
      <c r="AJ274" s="68"/>
      <c r="AK274" s="68">
        <v>0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9" t="s">
        <v>71</v>
      </c>
      <c r="Q275" s="560"/>
      <c r="R275" s="560"/>
      <c r="S275" s="560"/>
      <c r="T275" s="560"/>
      <c r="U275" s="560"/>
      <c r="V275" s="561"/>
      <c r="W275" s="37" t="s">
        <v>72</v>
      </c>
      <c r="X275" s="543">
        <f>IFERROR(X272/H272,"0")+IFERROR(X273/H273,"0")+IFERROR(X274/H274,"0")</f>
        <v>0</v>
      </c>
      <c r="Y275" s="543">
        <f>IFERROR(Y272/H272,"0")+IFERROR(Y273/H273,"0")+IFERROR(Y274/H274,"0")</f>
        <v>0</v>
      </c>
      <c r="Z275" s="543">
        <f>IFERROR(IF(Z272="",0,Z272),"0")+IFERROR(IF(Z273="",0,Z273),"0")+IFERROR(IF(Z274="",0,Z274),"0")</f>
        <v>0</v>
      </c>
      <c r="AA275" s="544"/>
      <c r="AB275" s="544"/>
      <c r="AC275" s="544"/>
    </row>
    <row r="276" spans="1:68" hidden="1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9" t="s">
        <v>71</v>
      </c>
      <c r="Q276" s="560"/>
      <c r="R276" s="560"/>
      <c r="S276" s="560"/>
      <c r="T276" s="560"/>
      <c r="U276" s="560"/>
      <c r="V276" s="561"/>
      <c r="W276" s="37" t="s">
        <v>69</v>
      </c>
      <c r="X276" s="543">
        <f>IFERROR(SUM(X272:X274),"0")</f>
        <v>0</v>
      </c>
      <c r="Y276" s="543">
        <f>IFERROR(SUM(Y272:Y274),"0")</f>
        <v>0</v>
      </c>
      <c r="Z276" s="37"/>
      <c r="AA276" s="544"/>
      <c r="AB276" s="544"/>
      <c r="AC276" s="544"/>
    </row>
    <row r="277" spans="1:68" ht="16.5" hidden="1" customHeight="1" x14ac:dyDescent="0.25">
      <c r="A277" s="566" t="s">
        <v>438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hidden="1" customHeight="1" x14ac:dyDescent="0.25">
      <c r="A278" s="565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hidden="1" customHeight="1" x14ac:dyDescent="0.25">
      <c r="A279" s="54" t="s">
        <v>439</v>
      </c>
      <c r="B279" s="54" t="s">
        <v>440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442</v>
      </c>
      <c r="B280" s="54" t="s">
        <v>443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444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9" t="s">
        <v>71</v>
      </c>
      <c r="Q281" s="560"/>
      <c r="R281" s="560"/>
      <c r="S281" s="560"/>
      <c r="T281" s="560"/>
      <c r="U281" s="560"/>
      <c r="V281" s="561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hidden="1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9" t="s">
        <v>71</v>
      </c>
      <c r="Q282" s="560"/>
      <c r="R282" s="560"/>
      <c r="S282" s="560"/>
      <c r="T282" s="560"/>
      <c r="U282" s="560"/>
      <c r="V282" s="561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hidden="1" customHeight="1" x14ac:dyDescent="0.25">
      <c r="A283" s="565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hidden="1" customHeight="1" x14ac:dyDescent="0.25">
      <c r="A284" s="54" t="s">
        <v>445</v>
      </c>
      <c r="B284" s="54" t="s">
        <v>446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107</v>
      </c>
      <c r="L284" s="32"/>
      <c r="M284" s="33" t="s">
        <v>77</v>
      </c>
      <c r="N284" s="33"/>
      <c r="O284" s="32">
        <v>45</v>
      </c>
      <c r="P284" s="670" t="s">
        <v>447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252</v>
      </c>
      <c r="AC284" s="329" t="s">
        <v>448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449</v>
      </c>
      <c r="B285" s="54" t="s">
        <v>450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107</v>
      </c>
      <c r="L285" s="32"/>
      <c r="M285" s="33" t="s">
        <v>77</v>
      </c>
      <c r="N285" s="33"/>
      <c r="O285" s="32">
        <v>45</v>
      </c>
      <c r="P285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451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9" t="s">
        <v>71</v>
      </c>
      <c r="Q286" s="560"/>
      <c r="R286" s="560"/>
      <c r="S286" s="560"/>
      <c r="T286" s="560"/>
      <c r="U286" s="560"/>
      <c r="V286" s="561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hidden="1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59" t="s">
        <v>71</v>
      </c>
      <c r="Q287" s="560"/>
      <c r="R287" s="560"/>
      <c r="S287" s="560"/>
      <c r="T287" s="560"/>
      <c r="U287" s="560"/>
      <c r="V287" s="561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hidden="1" customHeight="1" x14ac:dyDescent="0.25">
      <c r="A288" s="566" t="s">
        <v>452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hidden="1" customHeight="1" x14ac:dyDescent="0.25">
      <c r="A289" s="565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hidden="1" customHeight="1" x14ac:dyDescent="0.25">
      <c r="A290" s="54" t="s">
        <v>453</v>
      </c>
      <c r="B290" s="54" t="s">
        <v>454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455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456</v>
      </c>
      <c r="B291" s="54" t="s">
        <v>457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103</v>
      </c>
      <c r="N291" s="33"/>
      <c r="O291" s="32">
        <v>55</v>
      </c>
      <c r="P291" s="84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458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459</v>
      </c>
      <c r="B292" s="54" t="s">
        <v>460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461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462</v>
      </c>
      <c r="B293" s="54" t="s">
        <v>463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107</v>
      </c>
      <c r="L293" s="32"/>
      <c r="M293" s="33" t="s">
        <v>103</v>
      </c>
      <c r="N293" s="33"/>
      <c r="O293" s="32">
        <v>55</v>
      </c>
      <c r="P293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455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464</v>
      </c>
      <c r="B294" s="54" t="s">
        <v>465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107</v>
      </c>
      <c r="L294" s="32"/>
      <c r="M294" s="33" t="s">
        <v>103</v>
      </c>
      <c r="N294" s="33"/>
      <c r="O294" s="32">
        <v>55</v>
      </c>
      <c r="P294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466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59" t="s">
        <v>71</v>
      </c>
      <c r="Q295" s="560"/>
      <c r="R295" s="560"/>
      <c r="S295" s="560"/>
      <c r="T295" s="560"/>
      <c r="U295" s="560"/>
      <c r="V295" s="561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9" t="s">
        <v>71</v>
      </c>
      <c r="Q296" s="560"/>
      <c r="R296" s="560"/>
      <c r="S296" s="560"/>
      <c r="T296" s="560"/>
      <c r="U296" s="560"/>
      <c r="V296" s="561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65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hidden="1" customHeight="1" x14ac:dyDescent="0.25">
      <c r="A298" s="54" t="s">
        <v>467</v>
      </c>
      <c r="B298" s="54" t="s">
        <v>468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107</v>
      </c>
      <c r="L298" s="32"/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469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hidden="1" customHeight="1" x14ac:dyDescent="0.25">
      <c r="A299" s="54" t="s">
        <v>470</v>
      </c>
      <c r="B299" s="54" t="s">
        <v>471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107</v>
      </c>
      <c r="L299" s="32"/>
      <c r="M299" s="33" t="s">
        <v>68</v>
      </c>
      <c r="N299" s="33"/>
      <c r="O299" s="32">
        <v>40</v>
      </c>
      <c r="P29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472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473</v>
      </c>
      <c r="B300" s="54" t="s">
        <v>474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107</v>
      </c>
      <c r="L300" s="32"/>
      <c r="M300" s="33" t="s">
        <v>68</v>
      </c>
      <c r="N300" s="33"/>
      <c r="O300" s="32">
        <v>45</v>
      </c>
      <c r="P300" s="69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475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476</v>
      </c>
      <c r="B301" s="54" t="s">
        <v>477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472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478</v>
      </c>
      <c r="B302" s="54" t="s">
        <v>479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480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481</v>
      </c>
      <c r="B303" s="54" t="s">
        <v>482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6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483</v>
      </c>
      <c r="B304" s="54" t="s">
        <v>484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IFERROR(IF(Y304=0,"",ROUNDUP(Y304/H304,0)*0.00651),"")</f>
        <v/>
      </c>
      <c r="AA304" s="56"/>
      <c r="AB304" s="57"/>
      <c r="AC304" s="355" t="s">
        <v>485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idden="1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59" t="s">
        <v>71</v>
      </c>
      <c r="Q305" s="560"/>
      <c r="R305" s="560"/>
      <c r="S305" s="560"/>
      <c r="T305" s="560"/>
      <c r="U305" s="560"/>
      <c r="V305" s="561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hidden="1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9" t="s">
        <v>71</v>
      </c>
      <c r="Q306" s="560"/>
      <c r="R306" s="560"/>
      <c r="S306" s="560"/>
      <c r="T306" s="560"/>
      <c r="U306" s="560"/>
      <c r="V306" s="561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hidden="1" customHeight="1" x14ac:dyDescent="0.25">
      <c r="A307" s="565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hidden="1" customHeight="1" x14ac:dyDescent="0.25">
      <c r="A308" s="54" t="s">
        <v>486</v>
      </c>
      <c r="B308" s="54" t="s">
        <v>487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488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489</v>
      </c>
      <c r="B309" s="54" t="s">
        <v>490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5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491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492</v>
      </c>
      <c r="B310" s="54" t="s">
        <v>493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5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494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495</v>
      </c>
      <c r="B311" s="54" t="s">
        <v>496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497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59" t="s">
        <v>71</v>
      </c>
      <c r="Q312" s="560"/>
      <c r="R312" s="560"/>
      <c r="S312" s="560"/>
      <c r="T312" s="560"/>
      <c r="U312" s="560"/>
      <c r="V312" s="561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9" t="s">
        <v>71</v>
      </c>
      <c r="Q313" s="560"/>
      <c r="R313" s="560"/>
      <c r="S313" s="560"/>
      <c r="T313" s="560"/>
      <c r="U313" s="560"/>
      <c r="V313" s="561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65" t="s">
        <v>160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hidden="1" customHeight="1" x14ac:dyDescent="0.25">
      <c r="A315" s="54" t="s">
        <v>498</v>
      </c>
      <c r="B315" s="54" t="s">
        <v>499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/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500</v>
      </c>
      <c r="AG315" s="64"/>
      <c r="AJ315" s="68"/>
      <c r="AK315" s="68">
        <v>0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501</v>
      </c>
      <c r="B316" s="54" t="s">
        <v>502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/>
      <c r="M316" s="33" t="s">
        <v>77</v>
      </c>
      <c r="N316" s="33"/>
      <c r="O316" s="32">
        <v>30</v>
      </c>
      <c r="P316" s="60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503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hidden="1" customHeight="1" x14ac:dyDescent="0.25">
      <c r="A317" s="54" t="s">
        <v>504</v>
      </c>
      <c r="B317" s="54" t="s">
        <v>505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/>
      <c r="M317" s="33" t="s">
        <v>84</v>
      </c>
      <c r="N317" s="33"/>
      <c r="O317" s="32">
        <v>30</v>
      </c>
      <c r="P317" s="83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506</v>
      </c>
      <c r="AG317" s="64"/>
      <c r="AJ317" s="68"/>
      <c r="AK317" s="68">
        <v>0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59" t="s">
        <v>71</v>
      </c>
      <c r="Q318" s="560"/>
      <c r="R318" s="560"/>
      <c r="S318" s="560"/>
      <c r="T318" s="560"/>
      <c r="U318" s="560"/>
      <c r="V318" s="561"/>
      <c r="W318" s="37" t="s">
        <v>72</v>
      </c>
      <c r="X318" s="543">
        <f>IFERROR(X315/H315,"0")+IFERROR(X316/H316,"0")+IFERROR(X317/H317,"0")</f>
        <v>0</v>
      </c>
      <c r="Y318" s="543">
        <f>IFERROR(Y315/H315,"0")+IFERROR(Y316/H316,"0")+IFERROR(Y317/H317,"0")</f>
        <v>0</v>
      </c>
      <c r="Z318" s="543">
        <f>IFERROR(IF(Z315="",0,Z315),"0")+IFERROR(IF(Z316="",0,Z316),"0")+IFERROR(IF(Z317="",0,Z317),"0")</f>
        <v>0</v>
      </c>
      <c r="AA318" s="544"/>
      <c r="AB318" s="544"/>
      <c r="AC318" s="544"/>
    </row>
    <row r="319" spans="1:68" hidden="1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9" t="s">
        <v>71</v>
      </c>
      <c r="Q319" s="560"/>
      <c r="R319" s="560"/>
      <c r="S319" s="560"/>
      <c r="T319" s="560"/>
      <c r="U319" s="560"/>
      <c r="V319" s="561"/>
      <c r="W319" s="37" t="s">
        <v>69</v>
      </c>
      <c r="X319" s="543">
        <f>IFERROR(SUM(X315:X317),"0")</f>
        <v>0</v>
      </c>
      <c r="Y319" s="543">
        <f>IFERROR(SUM(Y315:Y317),"0")</f>
        <v>0</v>
      </c>
      <c r="Z319" s="37"/>
      <c r="AA319" s="544"/>
      <c r="AB319" s="544"/>
      <c r="AC319" s="544"/>
    </row>
    <row r="320" spans="1:68" ht="14.25" hidden="1" customHeight="1" x14ac:dyDescent="0.25">
      <c r="A320" s="565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hidden="1" customHeight="1" x14ac:dyDescent="0.25">
      <c r="A321" s="54" t="s">
        <v>507</v>
      </c>
      <c r="B321" s="54" t="s">
        <v>508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107</v>
      </c>
      <c r="L321" s="32"/>
      <c r="M321" s="33" t="s">
        <v>94</v>
      </c>
      <c r="N321" s="33"/>
      <c r="O321" s="32">
        <v>180</v>
      </c>
      <c r="P321" s="7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509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510</v>
      </c>
      <c r="B322" s="54" t="s">
        <v>511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107</v>
      </c>
      <c r="L322" s="32"/>
      <c r="M322" s="33" t="s">
        <v>94</v>
      </c>
      <c r="N322" s="33"/>
      <c r="O322" s="32">
        <v>180</v>
      </c>
      <c r="P322" s="562" t="s">
        <v>512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509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513</v>
      </c>
      <c r="B323" s="54" t="s">
        <v>514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515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516</v>
      </c>
      <c r="B324" s="54" t="s">
        <v>517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/>
      <c r="M324" s="33" t="s">
        <v>94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509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59" t="s">
        <v>71</v>
      </c>
      <c r="Q325" s="560"/>
      <c r="R325" s="560"/>
      <c r="S325" s="560"/>
      <c r="T325" s="560"/>
      <c r="U325" s="560"/>
      <c r="V325" s="561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9" t="s">
        <v>71</v>
      </c>
      <c r="Q326" s="560"/>
      <c r="R326" s="560"/>
      <c r="S326" s="560"/>
      <c r="T326" s="560"/>
      <c r="U326" s="560"/>
      <c r="V326" s="561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65" t="s">
        <v>518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hidden="1" customHeight="1" x14ac:dyDescent="0.25">
      <c r="A328" s="54" t="s">
        <v>519</v>
      </c>
      <c r="B328" s="54" t="s">
        <v>520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521</v>
      </c>
      <c r="N328" s="33"/>
      <c r="O328" s="32">
        <v>730</v>
      </c>
      <c r="P328" s="5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522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523</v>
      </c>
      <c r="B329" s="54" t="s">
        <v>524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521</v>
      </c>
      <c r="N329" s="33"/>
      <c r="O329" s="32">
        <v>730</v>
      </c>
      <c r="P329" s="6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522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525</v>
      </c>
      <c r="B330" s="54" t="s">
        <v>526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521</v>
      </c>
      <c r="N330" s="33"/>
      <c r="O330" s="32">
        <v>730</v>
      </c>
      <c r="P330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522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59" t="s">
        <v>71</v>
      </c>
      <c r="Q331" s="560"/>
      <c r="R331" s="560"/>
      <c r="S331" s="560"/>
      <c r="T331" s="560"/>
      <c r="U331" s="560"/>
      <c r="V331" s="561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9" t="s">
        <v>71</v>
      </c>
      <c r="Q332" s="560"/>
      <c r="R332" s="560"/>
      <c r="S332" s="560"/>
      <c r="T332" s="560"/>
      <c r="U332" s="560"/>
      <c r="V332" s="561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66" t="s">
        <v>527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hidden="1" customHeight="1" x14ac:dyDescent="0.25">
      <c r="A334" s="565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hidden="1" customHeight="1" x14ac:dyDescent="0.25">
      <c r="A335" s="54" t="s">
        <v>528</v>
      </c>
      <c r="B335" s="54" t="s">
        <v>529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530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531</v>
      </c>
      <c r="B336" s="54" t="s">
        <v>532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212</v>
      </c>
      <c r="M336" s="33" t="s">
        <v>77</v>
      </c>
      <c r="N336" s="33"/>
      <c r="O336" s="32">
        <v>45</v>
      </c>
      <c r="P336" s="80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533</v>
      </c>
      <c r="AG336" s="64"/>
      <c r="AJ336" s="68" t="s">
        <v>195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534</v>
      </c>
      <c r="B337" s="54" t="s">
        <v>535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212</v>
      </c>
      <c r="M337" s="33" t="s">
        <v>84</v>
      </c>
      <c r="N337" s="33"/>
      <c r="O337" s="32">
        <v>40</v>
      </c>
      <c r="P337" s="64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536</v>
      </c>
      <c r="AG337" s="64"/>
      <c r="AJ337" s="68" t="s">
        <v>195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59" t="s">
        <v>71</v>
      </c>
      <c r="Q338" s="560"/>
      <c r="R338" s="560"/>
      <c r="S338" s="560"/>
      <c r="T338" s="560"/>
      <c r="U338" s="560"/>
      <c r="V338" s="561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hidden="1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9" t="s">
        <v>71</v>
      </c>
      <c r="Q339" s="560"/>
      <c r="R339" s="560"/>
      <c r="S339" s="560"/>
      <c r="T339" s="560"/>
      <c r="U339" s="560"/>
      <c r="V339" s="561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hidden="1" customHeight="1" x14ac:dyDescent="0.2">
      <c r="A340" s="667" t="s">
        <v>537</v>
      </c>
      <c r="B340" s="668"/>
      <c r="C340" s="668"/>
      <c r="D340" s="668"/>
      <c r="E340" s="668"/>
      <c r="F340" s="668"/>
      <c r="G340" s="668"/>
      <c r="H340" s="668"/>
      <c r="I340" s="668"/>
      <c r="J340" s="668"/>
      <c r="K340" s="668"/>
      <c r="L340" s="668"/>
      <c r="M340" s="668"/>
      <c r="N340" s="668"/>
      <c r="O340" s="668"/>
      <c r="P340" s="668"/>
      <c r="Q340" s="668"/>
      <c r="R340" s="668"/>
      <c r="S340" s="668"/>
      <c r="T340" s="668"/>
      <c r="U340" s="668"/>
      <c r="V340" s="668"/>
      <c r="W340" s="668"/>
      <c r="X340" s="668"/>
      <c r="Y340" s="668"/>
      <c r="Z340" s="668"/>
      <c r="AA340" s="48"/>
      <c r="AB340" s="48"/>
      <c r="AC340" s="48"/>
    </row>
    <row r="341" spans="1:68" ht="16.5" hidden="1" customHeight="1" x14ac:dyDescent="0.25">
      <c r="A341" s="566" t="s">
        <v>538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hidden="1" customHeight="1" x14ac:dyDescent="0.25">
      <c r="A342" s="565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hidden="1" customHeight="1" x14ac:dyDescent="0.25">
      <c r="A343" s="54" t="s">
        <v>539</v>
      </c>
      <c r="B343" s="54" t="s">
        <v>540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0</v>
      </c>
      <c r="Y343" s="542">
        <f t="shared" ref="Y343:Y349" si="31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541</v>
      </c>
      <c r="AG343" s="64"/>
      <c r="AJ343" s="68"/>
      <c r="AK343" s="68">
        <v>0</v>
      </c>
      <c r="BB343" s="392" t="s">
        <v>1</v>
      </c>
      <c r="BM343" s="64">
        <f t="shared" ref="BM343:BM349" si="32">IFERROR(X343*I343/H343,"0")</f>
        <v>0</v>
      </c>
      <c r="BN343" s="64">
        <f t="shared" ref="BN343:BN349" si="33">IFERROR(Y343*I343/H343,"0")</f>
        <v>0</v>
      </c>
      <c r="BO343" s="64">
        <f t="shared" ref="BO343:BO349" si="34">IFERROR(1/J343*(X343/H343),"0")</f>
        <v>0</v>
      </c>
      <c r="BP343" s="64">
        <f t="shared" ref="BP343:BP349" si="35">IFERROR(1/J343*(Y343/H343),"0")</f>
        <v>0</v>
      </c>
    </row>
    <row r="344" spans="1:68" ht="27" hidden="1" customHeight="1" x14ac:dyDescent="0.25">
      <c r="A344" s="54" t="s">
        <v>542</v>
      </c>
      <c r="B344" s="54" t="s">
        <v>543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0</v>
      </c>
      <c r="Y344" s="542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544</v>
      </c>
      <c r="AG344" s="64"/>
      <c r="AJ344" s="68"/>
      <c r="AK344" s="68">
        <v>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37.5" hidden="1" customHeight="1" x14ac:dyDescent="0.25">
      <c r="A345" s="54" t="s">
        <v>545</v>
      </c>
      <c r="B345" s="54" t="s">
        <v>546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547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hidden="1" customHeight="1" x14ac:dyDescent="0.25">
      <c r="A346" s="54" t="s">
        <v>548</v>
      </c>
      <c r="B346" s="54" t="s">
        <v>549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56" t="s">
        <v>550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IFERROR(IF(Y346=0,"",ROUNDUP(Y346/H346,0)*0.02175),"")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552</v>
      </c>
      <c r="B347" s="54" t="s">
        <v>553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107</v>
      </c>
      <c r="L347" s="32"/>
      <c r="M347" s="33" t="s">
        <v>103</v>
      </c>
      <c r="N347" s="33"/>
      <c r="O347" s="32">
        <v>90</v>
      </c>
      <c r="P347" s="8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554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555</v>
      </c>
      <c r="B348" s="54" t="s">
        <v>556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107</v>
      </c>
      <c r="L348" s="32"/>
      <c r="M348" s="33" t="s">
        <v>68</v>
      </c>
      <c r="N348" s="33"/>
      <c r="O348" s="32">
        <v>60</v>
      </c>
      <c r="P348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544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hidden="1" customHeight="1" x14ac:dyDescent="0.25">
      <c r="A349" s="54" t="s">
        <v>557</v>
      </c>
      <c r="B349" s="54" t="s">
        <v>558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107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547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idden="1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59" t="s">
        <v>71</v>
      </c>
      <c r="Q350" s="560"/>
      <c r="R350" s="560"/>
      <c r="S350" s="560"/>
      <c r="T350" s="560"/>
      <c r="U350" s="560"/>
      <c r="V350" s="56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0</v>
      </c>
      <c r="Y350" s="543">
        <f>IFERROR(Y343/H343,"0")+IFERROR(Y344/H344,"0")+IFERROR(Y345/H345,"0")+IFERROR(Y346/H346,"0")+IFERROR(Y347/H347,"0")+IFERROR(Y348/H348,"0")+IFERROR(Y349/H349,"0")</f>
        <v>0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</v>
      </c>
      <c r="AA350" s="544"/>
      <c r="AB350" s="544"/>
      <c r="AC350" s="544"/>
    </row>
    <row r="351" spans="1:68" hidden="1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9" t="s">
        <v>71</v>
      </c>
      <c r="Q351" s="560"/>
      <c r="R351" s="560"/>
      <c r="S351" s="560"/>
      <c r="T351" s="560"/>
      <c r="U351" s="560"/>
      <c r="V351" s="561"/>
      <c r="W351" s="37" t="s">
        <v>69</v>
      </c>
      <c r="X351" s="543">
        <f>IFERROR(SUM(X343:X349),"0")</f>
        <v>0</v>
      </c>
      <c r="Y351" s="543">
        <f>IFERROR(SUM(Y343:Y349),"0")</f>
        <v>0</v>
      </c>
      <c r="Z351" s="37"/>
      <c r="AA351" s="544"/>
      <c r="AB351" s="544"/>
      <c r="AC351" s="544"/>
    </row>
    <row r="352" spans="1:68" ht="14.25" hidden="1" customHeight="1" x14ac:dyDescent="0.25">
      <c r="A352" s="565" t="s">
        <v>132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559</v>
      </c>
      <c r="B353" s="54" t="s">
        <v>560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/>
      <c r="M353" s="33" t="s">
        <v>103</v>
      </c>
      <c r="N353" s="33"/>
      <c r="O353" s="32">
        <v>50</v>
      </c>
      <c r="P353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150</v>
      </c>
      <c r="Y353" s="542">
        <f>IFERROR(IF(X353="",0,CEILING((X353/$H353),1)*$H353),"")</f>
        <v>150</v>
      </c>
      <c r="Z353" s="36">
        <f>IFERROR(IF(Y353=0,"",ROUNDUP(Y353/H353,0)*0.02175),"")</f>
        <v>0.21749999999999997</v>
      </c>
      <c r="AA353" s="56"/>
      <c r="AB353" s="57"/>
      <c r="AC353" s="405" t="s">
        <v>561</v>
      </c>
      <c r="AG353" s="64"/>
      <c r="AJ353" s="68"/>
      <c r="AK353" s="68">
        <v>0</v>
      </c>
      <c r="BB353" s="406" t="s">
        <v>1</v>
      </c>
      <c r="BM353" s="64">
        <f>IFERROR(X353*I353/H353,"0")</f>
        <v>154.69999999999999</v>
      </c>
      <c r="BN353" s="64">
        <f>IFERROR(Y353*I353/H353,"0")</f>
        <v>154.69999999999999</v>
      </c>
      <c r="BO353" s="64">
        <f>IFERROR(1/J353*(X353/H353),"0")</f>
        <v>0.20833333333333331</v>
      </c>
      <c r="BP353" s="64">
        <f>IFERROR(1/J353*(Y353/H353),"0")</f>
        <v>0.20833333333333331</v>
      </c>
    </row>
    <row r="354" spans="1:68" ht="16.5" hidden="1" customHeight="1" x14ac:dyDescent="0.25">
      <c r="A354" s="54" t="s">
        <v>562</v>
      </c>
      <c r="B354" s="54" t="s">
        <v>563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107</v>
      </c>
      <c r="L354" s="32"/>
      <c r="M354" s="33" t="s">
        <v>103</v>
      </c>
      <c r="N354" s="33"/>
      <c r="O354" s="32">
        <v>50</v>
      </c>
      <c r="P354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561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59" t="s">
        <v>71</v>
      </c>
      <c r="Q355" s="560"/>
      <c r="R355" s="560"/>
      <c r="S355" s="560"/>
      <c r="T355" s="560"/>
      <c r="U355" s="560"/>
      <c r="V355" s="561"/>
      <c r="W355" s="37" t="s">
        <v>72</v>
      </c>
      <c r="X355" s="543">
        <f>IFERROR(X353/H353,"0")+IFERROR(X354/H354,"0")</f>
        <v>10</v>
      </c>
      <c r="Y355" s="543">
        <f>IFERROR(Y353/H353,"0")+IFERROR(Y354/H354,"0")</f>
        <v>10</v>
      </c>
      <c r="Z355" s="543">
        <f>IFERROR(IF(Z353="",0,Z353),"0")+IFERROR(IF(Z354="",0,Z354),"0")</f>
        <v>0.21749999999999997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9" t="s">
        <v>71</v>
      </c>
      <c r="Q356" s="560"/>
      <c r="R356" s="560"/>
      <c r="S356" s="560"/>
      <c r="T356" s="560"/>
      <c r="U356" s="560"/>
      <c r="V356" s="561"/>
      <c r="W356" s="37" t="s">
        <v>69</v>
      </c>
      <c r="X356" s="543">
        <f>IFERROR(SUM(X353:X354),"0")</f>
        <v>150</v>
      </c>
      <c r="Y356" s="543">
        <f>IFERROR(SUM(Y353:Y354),"0")</f>
        <v>150</v>
      </c>
      <c r="Z356" s="37"/>
      <c r="AA356" s="544"/>
      <c r="AB356" s="544"/>
      <c r="AC356" s="544"/>
    </row>
    <row r="357" spans="1:68" ht="14.25" hidden="1" customHeight="1" x14ac:dyDescent="0.25">
      <c r="A357" s="565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hidden="1" customHeight="1" x14ac:dyDescent="0.25">
      <c r="A358" s="54" t="s">
        <v>564</v>
      </c>
      <c r="B358" s="54" t="s">
        <v>565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566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567</v>
      </c>
      <c r="B359" s="54" t="s">
        <v>568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569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59" t="s">
        <v>71</v>
      </c>
      <c r="Q360" s="560"/>
      <c r="R360" s="560"/>
      <c r="S360" s="560"/>
      <c r="T360" s="560"/>
      <c r="U360" s="560"/>
      <c r="V360" s="561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9" t="s">
        <v>71</v>
      </c>
      <c r="Q361" s="560"/>
      <c r="R361" s="560"/>
      <c r="S361" s="560"/>
      <c r="T361" s="560"/>
      <c r="U361" s="560"/>
      <c r="V361" s="561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65" t="s">
        <v>160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hidden="1" customHeight="1" x14ac:dyDescent="0.25">
      <c r="A363" s="54" t="s">
        <v>570</v>
      </c>
      <c r="B363" s="54" t="s">
        <v>571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572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59" t="s">
        <v>71</v>
      </c>
      <c r="Q364" s="560"/>
      <c r="R364" s="560"/>
      <c r="S364" s="560"/>
      <c r="T364" s="560"/>
      <c r="U364" s="560"/>
      <c r="V364" s="561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9" t="s">
        <v>71</v>
      </c>
      <c r="Q365" s="560"/>
      <c r="R365" s="560"/>
      <c r="S365" s="560"/>
      <c r="T365" s="560"/>
      <c r="U365" s="560"/>
      <c r="V365" s="561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66" t="s">
        <v>573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hidden="1" customHeight="1" x14ac:dyDescent="0.25">
      <c r="A367" s="565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hidden="1" customHeight="1" x14ac:dyDescent="0.25">
      <c r="A368" s="54" t="s">
        <v>574</v>
      </c>
      <c r="B368" s="54" t="s">
        <v>575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/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576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577</v>
      </c>
      <c r="B369" s="54" t="s">
        <v>578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107</v>
      </c>
      <c r="L369" s="32"/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576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59" t="s">
        <v>71</v>
      </c>
      <c r="Q370" s="560"/>
      <c r="R370" s="560"/>
      <c r="S370" s="560"/>
      <c r="T370" s="560"/>
      <c r="U370" s="560"/>
      <c r="V370" s="56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9" t="s">
        <v>71</v>
      </c>
      <c r="Q371" s="560"/>
      <c r="R371" s="560"/>
      <c r="S371" s="560"/>
      <c r="T371" s="560"/>
      <c r="U371" s="560"/>
      <c r="V371" s="56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65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hidden="1" customHeight="1" x14ac:dyDescent="0.25">
      <c r="A373" s="54" t="s">
        <v>579</v>
      </c>
      <c r="B373" s="54" t="s">
        <v>580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107</v>
      </c>
      <c r="L373" s="32"/>
      <c r="M373" s="33" t="s">
        <v>68</v>
      </c>
      <c r="N373" s="33"/>
      <c r="O373" s="32">
        <v>35</v>
      </c>
      <c r="P373" s="86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581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579</v>
      </c>
      <c r="B374" s="54" t="s">
        <v>582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107</v>
      </c>
      <c r="L374" s="32"/>
      <c r="M374" s="33" t="s">
        <v>68</v>
      </c>
      <c r="N374" s="33"/>
      <c r="O374" s="32">
        <v>50</v>
      </c>
      <c r="P37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583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59" t="s">
        <v>71</v>
      </c>
      <c r="Q375" s="560"/>
      <c r="R375" s="560"/>
      <c r="S375" s="560"/>
      <c r="T375" s="560"/>
      <c r="U375" s="560"/>
      <c r="V375" s="56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9" t="s">
        <v>71</v>
      </c>
      <c r="Q376" s="560"/>
      <c r="R376" s="560"/>
      <c r="S376" s="560"/>
      <c r="T376" s="560"/>
      <c r="U376" s="560"/>
      <c r="V376" s="56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65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hidden="1" customHeight="1" x14ac:dyDescent="0.25">
      <c r="A378" s="54" t="s">
        <v>584</v>
      </c>
      <c r="B378" s="54" t="s">
        <v>585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/>
      <c r="M378" s="33" t="s">
        <v>77</v>
      </c>
      <c r="N378" s="33"/>
      <c r="O378" s="32">
        <v>40</v>
      </c>
      <c r="P378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586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587</v>
      </c>
      <c r="B379" s="54" t="s">
        <v>588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6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586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59" t="s">
        <v>71</v>
      </c>
      <c r="Q380" s="560"/>
      <c r="R380" s="560"/>
      <c r="S380" s="560"/>
      <c r="T380" s="560"/>
      <c r="U380" s="560"/>
      <c r="V380" s="561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9" t="s">
        <v>71</v>
      </c>
      <c r="Q381" s="560"/>
      <c r="R381" s="560"/>
      <c r="S381" s="560"/>
      <c r="T381" s="560"/>
      <c r="U381" s="560"/>
      <c r="V381" s="561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67" t="s">
        <v>589</v>
      </c>
      <c r="B382" s="668"/>
      <c r="C382" s="668"/>
      <c r="D382" s="668"/>
      <c r="E382" s="668"/>
      <c r="F382" s="668"/>
      <c r="G382" s="668"/>
      <c r="H382" s="668"/>
      <c r="I382" s="668"/>
      <c r="J382" s="668"/>
      <c r="K382" s="668"/>
      <c r="L382" s="668"/>
      <c r="M382" s="668"/>
      <c r="N382" s="668"/>
      <c r="O382" s="668"/>
      <c r="P382" s="668"/>
      <c r="Q382" s="668"/>
      <c r="R382" s="668"/>
      <c r="S382" s="668"/>
      <c r="T382" s="668"/>
      <c r="U382" s="668"/>
      <c r="V382" s="668"/>
      <c r="W382" s="668"/>
      <c r="X382" s="668"/>
      <c r="Y382" s="668"/>
      <c r="Z382" s="668"/>
      <c r="AA382" s="48"/>
      <c r="AB382" s="48"/>
      <c r="AC382" s="48"/>
    </row>
    <row r="383" spans="1:68" ht="16.5" hidden="1" customHeight="1" x14ac:dyDescent="0.25">
      <c r="A383" s="566" t="s">
        <v>590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hidden="1" customHeight="1" x14ac:dyDescent="0.25">
      <c r="A384" s="565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hidden="1" customHeight="1" x14ac:dyDescent="0.25">
      <c r="A385" s="54" t="s">
        <v>591</v>
      </c>
      <c r="B385" s="54" t="s">
        <v>592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107</v>
      </c>
      <c r="L385" s="32"/>
      <c r="M385" s="33" t="s">
        <v>68</v>
      </c>
      <c r="N385" s="33"/>
      <c r="O385" s="32">
        <v>50</v>
      </c>
      <c r="P385" s="84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593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594</v>
      </c>
      <c r="B386" s="54" t="s">
        <v>595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107</v>
      </c>
      <c r="L386" s="32"/>
      <c r="M386" s="33" t="s">
        <v>68</v>
      </c>
      <c r="N386" s="33"/>
      <c r="O386" s="32">
        <v>50</v>
      </c>
      <c r="P386" s="58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596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597</v>
      </c>
      <c r="B387" s="54" t="s">
        <v>598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107</v>
      </c>
      <c r="L387" s="32"/>
      <c r="M387" s="33" t="s">
        <v>68</v>
      </c>
      <c r="N387" s="33"/>
      <c r="O387" s="32">
        <v>50</v>
      </c>
      <c r="P387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599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600</v>
      </c>
      <c r="B388" s="54" t="s">
        <v>601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593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602</v>
      </c>
      <c r="B389" s="54" t="s">
        <v>603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593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604</v>
      </c>
      <c r="B390" s="54" t="s">
        <v>605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606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607</v>
      </c>
      <c r="B391" s="54" t="s">
        <v>608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609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610</v>
      </c>
      <c r="B392" s="54" t="s">
        <v>611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612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613</v>
      </c>
      <c r="B393" s="54" t="s">
        <v>614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59" t="s">
        <v>71</v>
      </c>
      <c r="Q394" s="560"/>
      <c r="R394" s="560"/>
      <c r="S394" s="560"/>
      <c r="T394" s="560"/>
      <c r="U394" s="560"/>
      <c r="V394" s="56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9" t="s">
        <v>71</v>
      </c>
      <c r="Q395" s="560"/>
      <c r="R395" s="560"/>
      <c r="S395" s="560"/>
      <c r="T395" s="560"/>
      <c r="U395" s="560"/>
      <c r="V395" s="561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65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hidden="1" customHeight="1" x14ac:dyDescent="0.25">
      <c r="A397" s="54" t="s">
        <v>615</v>
      </c>
      <c r="B397" s="54" t="s">
        <v>616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107</v>
      </c>
      <c r="L397" s="32"/>
      <c r="M397" s="33" t="s">
        <v>77</v>
      </c>
      <c r="N397" s="33"/>
      <c r="O397" s="32">
        <v>45</v>
      </c>
      <c r="P397" s="5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617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618</v>
      </c>
      <c r="B398" s="54" t="s">
        <v>619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620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59" t="s">
        <v>71</v>
      </c>
      <c r="Q399" s="560"/>
      <c r="R399" s="560"/>
      <c r="S399" s="560"/>
      <c r="T399" s="560"/>
      <c r="U399" s="560"/>
      <c r="V399" s="56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9" t="s">
        <v>71</v>
      </c>
      <c r="Q400" s="560"/>
      <c r="R400" s="560"/>
      <c r="S400" s="560"/>
      <c r="T400" s="560"/>
      <c r="U400" s="560"/>
      <c r="V400" s="56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6" t="s">
        <v>621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hidden="1" customHeight="1" x14ac:dyDescent="0.25">
      <c r="A402" s="565" t="s">
        <v>132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hidden="1" customHeight="1" x14ac:dyDescent="0.25">
      <c r="A403" s="54" t="s">
        <v>622</v>
      </c>
      <c r="B403" s="54" t="s">
        <v>623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624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59" t="s">
        <v>71</v>
      </c>
      <c r="Q404" s="560"/>
      <c r="R404" s="560"/>
      <c r="S404" s="560"/>
      <c r="T404" s="560"/>
      <c r="U404" s="560"/>
      <c r="V404" s="56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9" t="s">
        <v>71</v>
      </c>
      <c r="Q405" s="560"/>
      <c r="R405" s="560"/>
      <c r="S405" s="560"/>
      <c r="T405" s="560"/>
      <c r="U405" s="560"/>
      <c r="V405" s="56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5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hidden="1" customHeight="1" x14ac:dyDescent="0.25">
      <c r="A407" s="54" t="s">
        <v>625</v>
      </c>
      <c r="B407" s="54" t="s">
        <v>626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107</v>
      </c>
      <c r="L407" s="32"/>
      <c r="M407" s="33" t="s">
        <v>103</v>
      </c>
      <c r="N407" s="33"/>
      <c r="O407" s="32">
        <v>50</v>
      </c>
      <c r="P407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627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628</v>
      </c>
      <c r="B408" s="54" t="s">
        <v>629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5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630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631</v>
      </c>
      <c r="B409" s="54" t="s">
        <v>632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633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634</v>
      </c>
      <c r="B410" s="54" t="s">
        <v>635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 t="s">
        <v>324</v>
      </c>
      <c r="M410" s="33" t="s">
        <v>68</v>
      </c>
      <c r="N410" s="33"/>
      <c r="O410" s="32">
        <v>50</v>
      </c>
      <c r="P410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633</v>
      </c>
      <c r="AG410" s="64"/>
      <c r="AJ410" s="68" t="s">
        <v>195</v>
      </c>
      <c r="AK410" s="68">
        <v>37.799999999999997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59" t="s">
        <v>71</v>
      </c>
      <c r="Q411" s="560"/>
      <c r="R411" s="560"/>
      <c r="S411" s="560"/>
      <c r="T411" s="560"/>
      <c r="U411" s="560"/>
      <c r="V411" s="561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9" t="s">
        <v>71</v>
      </c>
      <c r="Q412" s="560"/>
      <c r="R412" s="560"/>
      <c r="S412" s="560"/>
      <c r="T412" s="560"/>
      <c r="U412" s="560"/>
      <c r="V412" s="561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6" t="s">
        <v>636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hidden="1" customHeight="1" x14ac:dyDescent="0.25">
      <c r="A414" s="565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hidden="1" customHeight="1" x14ac:dyDescent="0.25">
      <c r="A415" s="54" t="s">
        <v>637</v>
      </c>
      <c r="B415" s="54" t="s">
        <v>638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639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59" t="s">
        <v>71</v>
      </c>
      <c r="Q416" s="560"/>
      <c r="R416" s="560"/>
      <c r="S416" s="560"/>
      <c r="T416" s="560"/>
      <c r="U416" s="560"/>
      <c r="V416" s="56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9" t="s">
        <v>71</v>
      </c>
      <c r="Q417" s="560"/>
      <c r="R417" s="560"/>
      <c r="S417" s="560"/>
      <c r="T417" s="560"/>
      <c r="U417" s="560"/>
      <c r="V417" s="56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67" t="s">
        <v>640</v>
      </c>
      <c r="B418" s="668"/>
      <c r="C418" s="668"/>
      <c r="D418" s="668"/>
      <c r="E418" s="668"/>
      <c r="F418" s="668"/>
      <c r="G418" s="668"/>
      <c r="H418" s="668"/>
      <c r="I418" s="668"/>
      <c r="J418" s="668"/>
      <c r="K418" s="668"/>
      <c r="L418" s="668"/>
      <c r="M418" s="668"/>
      <c r="N418" s="668"/>
      <c r="O418" s="668"/>
      <c r="P418" s="668"/>
      <c r="Q418" s="668"/>
      <c r="R418" s="668"/>
      <c r="S418" s="668"/>
      <c r="T418" s="668"/>
      <c r="U418" s="668"/>
      <c r="V418" s="668"/>
      <c r="W418" s="668"/>
      <c r="X418" s="668"/>
      <c r="Y418" s="668"/>
      <c r="Z418" s="668"/>
      <c r="AA418" s="48"/>
      <c r="AB418" s="48"/>
      <c r="AC418" s="48"/>
    </row>
    <row r="419" spans="1:68" ht="16.5" hidden="1" customHeight="1" x14ac:dyDescent="0.25">
      <c r="A419" s="566" t="s">
        <v>640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hidden="1" customHeight="1" x14ac:dyDescent="0.25">
      <c r="A420" s="565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hidden="1" customHeight="1" x14ac:dyDescent="0.25">
      <c r="A421" s="54" t="s">
        <v>641</v>
      </c>
      <c r="B421" s="54" t="s">
        <v>642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/>
      <c r="M421" s="33" t="s">
        <v>103</v>
      </c>
      <c r="N421" s="33"/>
      <c r="O421" s="32">
        <v>60</v>
      </c>
      <c r="P421" s="85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104</v>
      </c>
      <c r="AG421" s="64"/>
      <c r="AJ421" s="68"/>
      <c r="AK421" s="68">
        <v>0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643</v>
      </c>
      <c r="B422" s="54" t="s">
        <v>644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103</v>
      </c>
      <c r="N422" s="33"/>
      <c r="O422" s="32">
        <v>60</v>
      </c>
      <c r="P422" s="6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645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646</v>
      </c>
      <c r="B423" s="54" t="s">
        <v>647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/>
      <c r="M423" s="33" t="s">
        <v>77</v>
      </c>
      <c r="N423" s="33"/>
      <c r="O423" s="32">
        <v>60</v>
      </c>
      <c r="P423" s="6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648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hidden="1" customHeight="1" x14ac:dyDescent="0.25">
      <c r="A424" s="54" t="s">
        <v>649</v>
      </c>
      <c r="B424" s="54" t="s">
        <v>650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103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651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652</v>
      </c>
      <c r="B425" s="54" t="s">
        <v>653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103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654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hidden="1" customHeight="1" x14ac:dyDescent="0.25">
      <c r="A426" s="54" t="s">
        <v>655</v>
      </c>
      <c r="B426" s="54" t="s">
        <v>656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/>
      <c r="M426" s="33" t="s">
        <v>103</v>
      </c>
      <c r="N426" s="33"/>
      <c r="O426" s="32">
        <v>60</v>
      </c>
      <c r="P426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0</v>
      </c>
      <c r="Y426" s="542">
        <f t="shared" si="42"/>
        <v>0</v>
      </c>
      <c r="Z426" s="36" t="str">
        <f t="shared" si="43"/>
        <v/>
      </c>
      <c r="AA426" s="56"/>
      <c r="AB426" s="57"/>
      <c r="AC426" s="471" t="s">
        <v>657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658</v>
      </c>
      <c r="B427" s="54" t="s">
        <v>659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660</v>
      </c>
      <c r="B428" s="54" t="s">
        <v>661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107</v>
      </c>
      <c r="L428" s="32"/>
      <c r="M428" s="33" t="s">
        <v>103</v>
      </c>
      <c r="N428" s="33"/>
      <c r="O428" s="32">
        <v>60</v>
      </c>
      <c r="P428" s="6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104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662</v>
      </c>
      <c r="B429" s="54" t="s">
        <v>663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107</v>
      </c>
      <c r="L429" s="32"/>
      <c r="M429" s="33" t="s">
        <v>103</v>
      </c>
      <c r="N429" s="33"/>
      <c r="O429" s="32">
        <v>60</v>
      </c>
      <c r="P429" s="67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645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664</v>
      </c>
      <c r="B430" s="54" t="s">
        <v>665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103</v>
      </c>
      <c r="N430" s="33"/>
      <c r="O430" s="32">
        <v>60</v>
      </c>
      <c r="P430" s="80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666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667</v>
      </c>
      <c r="B431" s="54" t="s">
        <v>668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107</v>
      </c>
      <c r="L431" s="32"/>
      <c r="M431" s="33" t="s">
        <v>103</v>
      </c>
      <c r="N431" s="33"/>
      <c r="O431" s="32">
        <v>60</v>
      </c>
      <c r="P431" s="6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657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idden="1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59" t="s">
        <v>71</v>
      </c>
      <c r="Q432" s="560"/>
      <c r="R432" s="560"/>
      <c r="S432" s="560"/>
      <c r="T432" s="560"/>
      <c r="U432" s="560"/>
      <c r="V432" s="56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544"/>
      <c r="AB432" s="544"/>
      <c r="AC432" s="544"/>
    </row>
    <row r="433" spans="1:68" hidden="1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9" t="s">
        <v>71</v>
      </c>
      <c r="Q433" s="560"/>
      <c r="R433" s="560"/>
      <c r="S433" s="560"/>
      <c r="T433" s="560"/>
      <c r="U433" s="560"/>
      <c r="V433" s="561"/>
      <c r="W433" s="37" t="s">
        <v>69</v>
      </c>
      <c r="X433" s="543">
        <f>IFERROR(SUM(X421:X431),"0")</f>
        <v>0</v>
      </c>
      <c r="Y433" s="543">
        <f>IFERROR(SUM(Y421:Y431),"0")</f>
        <v>0</v>
      </c>
      <c r="Z433" s="37"/>
      <c r="AA433" s="544"/>
      <c r="AB433" s="544"/>
      <c r="AC433" s="544"/>
    </row>
    <row r="434" spans="1:68" ht="14.25" hidden="1" customHeight="1" x14ac:dyDescent="0.25">
      <c r="A434" s="565" t="s">
        <v>132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hidden="1" customHeight="1" x14ac:dyDescent="0.25">
      <c r="A435" s="54" t="s">
        <v>669</v>
      </c>
      <c r="B435" s="54" t="s">
        <v>670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/>
      <c r="M435" s="33" t="s">
        <v>77</v>
      </c>
      <c r="N435" s="33"/>
      <c r="O435" s="32">
        <v>70</v>
      </c>
      <c r="P435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671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672</v>
      </c>
      <c r="B436" s="54" t="s">
        <v>673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671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674</v>
      </c>
      <c r="B437" s="54" t="s">
        <v>675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107</v>
      </c>
      <c r="L437" s="32"/>
      <c r="M437" s="33" t="s">
        <v>103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671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idden="1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59" t="s">
        <v>71</v>
      </c>
      <c r="Q438" s="560"/>
      <c r="R438" s="560"/>
      <c r="S438" s="560"/>
      <c r="T438" s="560"/>
      <c r="U438" s="560"/>
      <c r="V438" s="561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hidden="1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9" t="s">
        <v>71</v>
      </c>
      <c r="Q439" s="560"/>
      <c r="R439" s="560"/>
      <c r="S439" s="560"/>
      <c r="T439" s="560"/>
      <c r="U439" s="560"/>
      <c r="V439" s="561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hidden="1" customHeight="1" x14ac:dyDescent="0.25">
      <c r="A440" s="565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hidden="1" customHeight="1" x14ac:dyDescent="0.25">
      <c r="A441" s="54" t="s">
        <v>676</v>
      </c>
      <c r="B441" s="54" t="s">
        <v>677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/>
      <c r="M441" s="33" t="s">
        <v>103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678</v>
      </c>
      <c r="AG441" s="64"/>
      <c r="AJ441" s="68"/>
      <c r="AK441" s="68">
        <v>0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hidden="1" customHeight="1" x14ac:dyDescent="0.25">
      <c r="A442" s="54" t="s">
        <v>679</v>
      </c>
      <c r="B442" s="54" t="s">
        <v>680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/>
      <c r="M442" s="33" t="s">
        <v>68</v>
      </c>
      <c r="N442" s="33"/>
      <c r="O442" s="32">
        <v>70</v>
      </c>
      <c r="P442" s="6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681</v>
      </c>
      <c r="AG442" s="64"/>
      <c r="AJ442" s="68"/>
      <c r="AK442" s="68">
        <v>0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hidden="1" customHeight="1" x14ac:dyDescent="0.25">
      <c r="A443" s="54" t="s">
        <v>682</v>
      </c>
      <c r="B443" s="54" t="s">
        <v>683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/>
      <c r="M443" s="33" t="s">
        <v>68</v>
      </c>
      <c r="N443" s="33"/>
      <c r="O443" s="32">
        <v>70</v>
      </c>
      <c r="P443" s="6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684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685</v>
      </c>
      <c r="B444" s="54" t="s">
        <v>686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107</v>
      </c>
      <c r="L444" s="32"/>
      <c r="M444" s="33" t="s">
        <v>103</v>
      </c>
      <c r="N444" s="33"/>
      <c r="O444" s="32">
        <v>70</v>
      </c>
      <c r="P444" s="86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678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687</v>
      </c>
      <c r="B445" s="54" t="s">
        <v>688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107</v>
      </c>
      <c r="L445" s="32"/>
      <c r="M445" s="33" t="s">
        <v>68</v>
      </c>
      <c r="N445" s="33"/>
      <c r="O445" s="32">
        <v>70</v>
      </c>
      <c r="P445" s="60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681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689</v>
      </c>
      <c r="B446" s="54" t="s">
        <v>690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107</v>
      </c>
      <c r="L446" s="32"/>
      <c r="M446" s="33" t="s">
        <v>68</v>
      </c>
      <c r="N446" s="33"/>
      <c r="O446" s="32">
        <v>70</v>
      </c>
      <c r="P446" s="7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684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hidden="1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59" t="s">
        <v>71</v>
      </c>
      <c r="Q447" s="560"/>
      <c r="R447" s="560"/>
      <c r="S447" s="560"/>
      <c r="T447" s="560"/>
      <c r="U447" s="560"/>
      <c r="V447" s="561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hidden="1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9" t="s">
        <v>71</v>
      </c>
      <c r="Q448" s="560"/>
      <c r="R448" s="560"/>
      <c r="S448" s="560"/>
      <c r="T448" s="560"/>
      <c r="U448" s="560"/>
      <c r="V448" s="561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hidden="1" customHeight="1" x14ac:dyDescent="0.25">
      <c r="A449" s="565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hidden="1" customHeight="1" x14ac:dyDescent="0.25">
      <c r="A450" s="54" t="s">
        <v>691</v>
      </c>
      <c r="B450" s="54" t="s">
        <v>692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693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694</v>
      </c>
      <c r="B451" s="54" t="s">
        <v>695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57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696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697</v>
      </c>
      <c r="B452" s="54" t="s">
        <v>698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699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59" t="s">
        <v>71</v>
      </c>
      <c r="Q453" s="560"/>
      <c r="R453" s="560"/>
      <c r="S453" s="560"/>
      <c r="T453" s="560"/>
      <c r="U453" s="560"/>
      <c r="V453" s="56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9" t="s">
        <v>71</v>
      </c>
      <c r="Q454" s="560"/>
      <c r="R454" s="560"/>
      <c r="S454" s="560"/>
      <c r="T454" s="560"/>
      <c r="U454" s="560"/>
      <c r="V454" s="56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67" t="s">
        <v>700</v>
      </c>
      <c r="B455" s="668"/>
      <c r="C455" s="668"/>
      <c r="D455" s="668"/>
      <c r="E455" s="668"/>
      <c r="F455" s="668"/>
      <c r="G455" s="668"/>
      <c r="H455" s="668"/>
      <c r="I455" s="668"/>
      <c r="J455" s="668"/>
      <c r="K455" s="668"/>
      <c r="L455" s="668"/>
      <c r="M455" s="668"/>
      <c r="N455" s="668"/>
      <c r="O455" s="668"/>
      <c r="P455" s="668"/>
      <c r="Q455" s="668"/>
      <c r="R455" s="668"/>
      <c r="S455" s="668"/>
      <c r="T455" s="668"/>
      <c r="U455" s="668"/>
      <c r="V455" s="668"/>
      <c r="W455" s="668"/>
      <c r="X455" s="668"/>
      <c r="Y455" s="668"/>
      <c r="Z455" s="668"/>
      <c r="AA455" s="48"/>
      <c r="AB455" s="48"/>
      <c r="AC455" s="48"/>
    </row>
    <row r="456" spans="1:68" ht="16.5" hidden="1" customHeight="1" x14ac:dyDescent="0.25">
      <c r="A456" s="566" t="s">
        <v>700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hidden="1" customHeight="1" x14ac:dyDescent="0.25">
      <c r="A457" s="565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hidden="1" customHeight="1" x14ac:dyDescent="0.25">
      <c r="A458" s="54" t="s">
        <v>701</v>
      </c>
      <c r="B458" s="54" t="s">
        <v>702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1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703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704</v>
      </c>
      <c r="B459" s="54" t="s">
        <v>705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103</v>
      </c>
      <c r="N459" s="33"/>
      <c r="O459" s="32">
        <v>50</v>
      </c>
      <c r="P459" s="7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706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707</v>
      </c>
      <c r="B460" s="54" t="s">
        <v>708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103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709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710</v>
      </c>
      <c r="B461" s="54" t="s">
        <v>711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107</v>
      </c>
      <c r="L461" s="32"/>
      <c r="M461" s="33" t="s">
        <v>77</v>
      </c>
      <c r="N461" s="33"/>
      <c r="O461" s="32">
        <v>55</v>
      </c>
      <c r="P461" s="78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703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59" t="s">
        <v>71</v>
      </c>
      <c r="Q462" s="560"/>
      <c r="R462" s="560"/>
      <c r="S462" s="560"/>
      <c r="T462" s="560"/>
      <c r="U462" s="560"/>
      <c r="V462" s="56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9" t="s">
        <v>71</v>
      </c>
      <c r="Q463" s="560"/>
      <c r="R463" s="560"/>
      <c r="S463" s="560"/>
      <c r="T463" s="560"/>
      <c r="U463" s="560"/>
      <c r="V463" s="56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5" t="s">
        <v>132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hidden="1" customHeight="1" x14ac:dyDescent="0.25">
      <c r="A465" s="54" t="s">
        <v>712</v>
      </c>
      <c r="B465" s="54" t="s">
        <v>713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103</v>
      </c>
      <c r="N465" s="33"/>
      <c r="O465" s="32">
        <v>50</v>
      </c>
      <c r="P465" s="7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714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715</v>
      </c>
      <c r="B466" s="54" t="s">
        <v>716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103</v>
      </c>
      <c r="N466" s="33"/>
      <c r="O466" s="32">
        <v>50</v>
      </c>
      <c r="P466" s="64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717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718</v>
      </c>
      <c r="B467" s="54" t="s">
        <v>719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107</v>
      </c>
      <c r="L467" s="32"/>
      <c r="M467" s="33" t="s">
        <v>103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720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59" t="s">
        <v>71</v>
      </c>
      <c r="Q468" s="560"/>
      <c r="R468" s="560"/>
      <c r="S468" s="560"/>
      <c r="T468" s="560"/>
      <c r="U468" s="560"/>
      <c r="V468" s="56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9" t="s">
        <v>71</v>
      </c>
      <c r="Q469" s="560"/>
      <c r="R469" s="560"/>
      <c r="S469" s="560"/>
      <c r="T469" s="560"/>
      <c r="U469" s="560"/>
      <c r="V469" s="56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5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hidden="1" customHeight="1" x14ac:dyDescent="0.25">
      <c r="A471" s="54" t="s">
        <v>721</v>
      </c>
      <c r="B471" s="54" t="s">
        <v>722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107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723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724</v>
      </c>
      <c r="B472" s="54" t="s">
        <v>725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107</v>
      </c>
      <c r="L472" s="32"/>
      <c r="M472" s="33" t="s">
        <v>68</v>
      </c>
      <c r="N472" s="33"/>
      <c r="O472" s="32">
        <v>40</v>
      </c>
      <c r="P472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726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59" t="s">
        <v>71</v>
      </c>
      <c r="Q473" s="560"/>
      <c r="R473" s="560"/>
      <c r="S473" s="560"/>
      <c r="T473" s="560"/>
      <c r="U473" s="560"/>
      <c r="V473" s="561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9" t="s">
        <v>71</v>
      </c>
      <c r="Q474" s="560"/>
      <c r="R474" s="560"/>
      <c r="S474" s="560"/>
      <c r="T474" s="560"/>
      <c r="U474" s="560"/>
      <c r="V474" s="561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5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hidden="1" customHeight="1" x14ac:dyDescent="0.25">
      <c r="A476" s="54" t="s">
        <v>727</v>
      </c>
      <c r="B476" s="54" t="s">
        <v>728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/>
      <c r="M476" s="33" t="s">
        <v>84</v>
      </c>
      <c r="N476" s="33"/>
      <c r="O476" s="32">
        <v>45</v>
      </c>
      <c r="P476" s="6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729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59" t="s">
        <v>71</v>
      </c>
      <c r="Q477" s="560"/>
      <c r="R477" s="560"/>
      <c r="S477" s="560"/>
      <c r="T477" s="560"/>
      <c r="U477" s="560"/>
      <c r="V477" s="561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9" t="s">
        <v>71</v>
      </c>
      <c r="Q478" s="560"/>
      <c r="R478" s="560"/>
      <c r="S478" s="560"/>
      <c r="T478" s="560"/>
      <c r="U478" s="560"/>
      <c r="V478" s="561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65" t="s">
        <v>160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hidden="1" customHeight="1" x14ac:dyDescent="0.25">
      <c r="A480" s="54" t="s">
        <v>730</v>
      </c>
      <c r="B480" s="54" t="s">
        <v>731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8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732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733</v>
      </c>
      <c r="B481" s="54" t="s">
        <v>734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735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59" t="s">
        <v>71</v>
      </c>
      <c r="Q482" s="560"/>
      <c r="R482" s="560"/>
      <c r="S482" s="560"/>
      <c r="T482" s="560"/>
      <c r="U482" s="560"/>
      <c r="V482" s="56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9" t="s">
        <v>71</v>
      </c>
      <c r="Q483" s="560"/>
      <c r="R483" s="560"/>
      <c r="S483" s="560"/>
      <c r="T483" s="560"/>
      <c r="U483" s="560"/>
      <c r="V483" s="56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6" t="s">
        <v>736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hidden="1" customHeight="1" x14ac:dyDescent="0.25">
      <c r="A485" s="565" t="s">
        <v>132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hidden="1" customHeight="1" x14ac:dyDescent="0.25">
      <c r="A486" s="54" t="s">
        <v>737</v>
      </c>
      <c r="B486" s="54" t="s">
        <v>738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103</v>
      </c>
      <c r="N486" s="33"/>
      <c r="O486" s="32">
        <v>50</v>
      </c>
      <c r="P486" s="84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739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59" t="s">
        <v>71</v>
      </c>
      <c r="Q487" s="560"/>
      <c r="R487" s="560"/>
      <c r="S487" s="560"/>
      <c r="T487" s="560"/>
      <c r="U487" s="560"/>
      <c r="V487" s="56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9" t="s">
        <v>71</v>
      </c>
      <c r="Q488" s="560"/>
      <c r="R488" s="560"/>
      <c r="S488" s="560"/>
      <c r="T488" s="560"/>
      <c r="U488" s="560"/>
      <c r="V488" s="56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66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8"/>
      <c r="P489" s="663" t="s">
        <v>740</v>
      </c>
      <c r="Q489" s="593"/>
      <c r="R489" s="593"/>
      <c r="S489" s="593"/>
      <c r="T489" s="593"/>
      <c r="U489" s="593"/>
      <c r="V489" s="59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2633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2633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8"/>
      <c r="P490" s="663" t="s">
        <v>741</v>
      </c>
      <c r="Q490" s="593"/>
      <c r="R490" s="593"/>
      <c r="S490" s="593"/>
      <c r="T490" s="593"/>
      <c r="U490" s="593"/>
      <c r="V490" s="594"/>
      <c r="W490" s="37" t="s">
        <v>69</v>
      </c>
      <c r="X490" s="543">
        <f>IFERROR(SUM(BM22:BM486),"0")</f>
        <v>2793.136</v>
      </c>
      <c r="Y490" s="543">
        <f>IFERROR(SUM(BN22:BN486),"0")</f>
        <v>2793.136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8"/>
      <c r="P491" s="663" t="s">
        <v>742</v>
      </c>
      <c r="Q491" s="593"/>
      <c r="R491" s="593"/>
      <c r="S491" s="593"/>
      <c r="T491" s="593"/>
      <c r="U491" s="593"/>
      <c r="V491" s="594"/>
      <c r="W491" s="37" t="s">
        <v>743</v>
      </c>
      <c r="X491" s="38">
        <f>ROUNDUP(SUM(BO22:BO486),0)</f>
        <v>5</v>
      </c>
      <c r="Y491" s="38">
        <f>ROUNDUP(SUM(BP22:BP486),0)</f>
        <v>5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8"/>
      <c r="P492" s="663" t="s">
        <v>744</v>
      </c>
      <c r="Q492" s="593"/>
      <c r="R492" s="593"/>
      <c r="S492" s="593"/>
      <c r="T492" s="593"/>
      <c r="U492" s="593"/>
      <c r="V492" s="594"/>
      <c r="W492" s="37" t="s">
        <v>69</v>
      </c>
      <c r="X492" s="543">
        <f>GrossWeightTotal+PalletQtyTotal*25</f>
        <v>2918.136</v>
      </c>
      <c r="Y492" s="543">
        <f>GrossWeightTotalR+PalletQtyTotalR*25</f>
        <v>2918.136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8"/>
      <c r="P493" s="663" t="s">
        <v>745</v>
      </c>
      <c r="Q493" s="593"/>
      <c r="R493" s="593"/>
      <c r="S493" s="593"/>
      <c r="T493" s="593"/>
      <c r="U493" s="593"/>
      <c r="V493" s="594"/>
      <c r="W493" s="37" t="s">
        <v>743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748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748</v>
      </c>
      <c r="Z493" s="37"/>
      <c r="AA493" s="544"/>
      <c r="AB493" s="544"/>
      <c r="AC493" s="544"/>
    </row>
    <row r="494" spans="1:68" ht="14.25" hidden="1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8"/>
      <c r="P494" s="663" t="s">
        <v>746</v>
      </c>
      <c r="Q494" s="593"/>
      <c r="R494" s="593"/>
      <c r="S494" s="593"/>
      <c r="T494" s="593"/>
      <c r="U494" s="593"/>
      <c r="V494" s="594"/>
      <c r="W494" s="39" t="s">
        <v>747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5.7960800000000008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748</v>
      </c>
      <c r="B496" s="538" t="s">
        <v>63</v>
      </c>
      <c r="C496" s="605" t="s">
        <v>97</v>
      </c>
      <c r="D496" s="682"/>
      <c r="E496" s="682"/>
      <c r="F496" s="682"/>
      <c r="G496" s="682"/>
      <c r="H496" s="645"/>
      <c r="I496" s="605" t="s">
        <v>254</v>
      </c>
      <c r="J496" s="682"/>
      <c r="K496" s="682"/>
      <c r="L496" s="682"/>
      <c r="M496" s="682"/>
      <c r="N496" s="682"/>
      <c r="O496" s="682"/>
      <c r="P496" s="682"/>
      <c r="Q496" s="682"/>
      <c r="R496" s="645"/>
      <c r="S496" s="605" t="s">
        <v>537</v>
      </c>
      <c r="T496" s="645"/>
      <c r="U496" s="605" t="s">
        <v>589</v>
      </c>
      <c r="V496" s="682"/>
      <c r="W496" s="645"/>
      <c r="X496" s="538" t="s">
        <v>640</v>
      </c>
      <c r="Y496" s="605" t="s">
        <v>700</v>
      </c>
      <c r="Z496" s="645"/>
      <c r="AB496" s="52"/>
      <c r="AC496" s="52"/>
      <c r="AF496" s="539"/>
    </row>
    <row r="497" spans="1:32" ht="14.25" customHeight="1" thickTop="1" x14ac:dyDescent="0.2">
      <c r="A497" s="867" t="s">
        <v>749</v>
      </c>
      <c r="B497" s="605" t="s">
        <v>63</v>
      </c>
      <c r="C497" s="605" t="s">
        <v>98</v>
      </c>
      <c r="D497" s="605" t="s">
        <v>113</v>
      </c>
      <c r="E497" s="605" t="s">
        <v>167</v>
      </c>
      <c r="F497" s="605" t="s">
        <v>186</v>
      </c>
      <c r="G497" s="605" t="s">
        <v>219</v>
      </c>
      <c r="H497" s="605" t="s">
        <v>97</v>
      </c>
      <c r="I497" s="605" t="s">
        <v>255</v>
      </c>
      <c r="J497" s="605" t="s">
        <v>299</v>
      </c>
      <c r="K497" s="605" t="s">
        <v>360</v>
      </c>
      <c r="L497" s="605" t="s">
        <v>402</v>
      </c>
      <c r="M497" s="605" t="s">
        <v>418</v>
      </c>
      <c r="N497" s="539"/>
      <c r="O497" s="605" t="s">
        <v>429</v>
      </c>
      <c r="P497" s="605" t="s">
        <v>438</v>
      </c>
      <c r="Q497" s="605" t="s">
        <v>452</v>
      </c>
      <c r="R497" s="605" t="s">
        <v>527</v>
      </c>
      <c r="S497" s="605" t="s">
        <v>538</v>
      </c>
      <c r="T497" s="605" t="s">
        <v>573</v>
      </c>
      <c r="U497" s="605" t="s">
        <v>590</v>
      </c>
      <c r="V497" s="605" t="s">
        <v>621</v>
      </c>
      <c r="W497" s="605" t="s">
        <v>636</v>
      </c>
      <c r="X497" s="605" t="s">
        <v>640</v>
      </c>
      <c r="Y497" s="605" t="s">
        <v>700</v>
      </c>
      <c r="Z497" s="605" t="s">
        <v>736</v>
      </c>
      <c r="AB497" s="52"/>
      <c r="AC497" s="52"/>
      <c r="AF497" s="539"/>
    </row>
    <row r="498" spans="1:32" ht="13.5" customHeight="1" thickBot="1" x14ac:dyDescent="0.25">
      <c r="A498" s="868"/>
      <c r="B498" s="606"/>
      <c r="C498" s="606"/>
      <c r="D498" s="606"/>
      <c r="E498" s="606"/>
      <c r="F498" s="606"/>
      <c r="G498" s="606"/>
      <c r="H498" s="606"/>
      <c r="I498" s="606"/>
      <c r="J498" s="606"/>
      <c r="K498" s="606"/>
      <c r="L498" s="606"/>
      <c r="M498" s="606"/>
      <c r="N498" s="539"/>
      <c r="O498" s="606"/>
      <c r="P498" s="606"/>
      <c r="Q498" s="606"/>
      <c r="R498" s="606"/>
      <c r="S498" s="606"/>
      <c r="T498" s="606"/>
      <c r="U498" s="606"/>
      <c r="V498" s="606"/>
      <c r="W498" s="606"/>
      <c r="X498" s="606"/>
      <c r="Y498" s="606"/>
      <c r="Z498" s="606"/>
      <c r="AB498" s="52"/>
      <c r="AC498" s="52"/>
      <c r="AF498" s="539"/>
    </row>
    <row r="499" spans="1:32" ht="18" customHeight="1" thickTop="1" thickBot="1" x14ac:dyDescent="0.25">
      <c r="A499" s="40" t="s">
        <v>750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200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46">
        <f>IFERROR(Y85*1,"0")+IFERROR(Y86*1,"0")+IFERROR(Y87*1,"0")+IFERROR(Y91*1,"0")+IFERROR(Y92*1,"0")+IFERROR(Y93*1,"0")+IFERROR(Y94*1,"0")</f>
        <v>1036.8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675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531.6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39.6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0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150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ftSYgVPag7rKeC1hsu5/9elXmWI2wT0Ffj33JL8sXocMfJlj/3POKr3C2LhaidupYdjH4bPdZGriZcd5UWPPbA==" saltValue="o+4A8KB2RT2k/OX9V2vyI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34,00"/>
        <filter val="150,00"/>
        <filter val="184,00"/>
        <filter val="2 633,00"/>
        <filter val="2 793,14"/>
        <filter val="2 918,14"/>
        <filter val="20,00"/>
        <filter val="200,00"/>
        <filter val="201,60"/>
        <filter val="240,00"/>
        <filter val="361,80"/>
        <filter val="39,60"/>
        <filter val="441,60"/>
        <filter val="5"/>
        <filter val="50,00"/>
        <filter val="675,00"/>
        <filter val="748,00"/>
        <filter val="90,00"/>
      </filters>
    </filterColumn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T497:T498"/>
    <mergeCell ref="V497:V498"/>
    <mergeCell ref="D458:E458"/>
    <mergeCell ref="A489:O494"/>
    <mergeCell ref="A497:A498"/>
    <mergeCell ref="A447:O448"/>
    <mergeCell ref="P493:V493"/>
    <mergeCell ref="D452:E452"/>
    <mergeCell ref="U497:U498"/>
    <mergeCell ref="I496:R496"/>
    <mergeCell ref="W497:W49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D196:E196"/>
    <mergeCell ref="A126:O127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P368:T368"/>
    <mergeCell ref="A362:Z362"/>
    <mergeCell ref="A245:Z245"/>
    <mergeCell ref="P43:V43"/>
    <mergeCell ref="A39:Z39"/>
    <mergeCell ref="P85:T85"/>
    <mergeCell ref="P60:T60"/>
    <mergeCell ref="D291:E291"/>
    <mergeCell ref="D170:E170"/>
    <mergeCell ref="P132:V132"/>
    <mergeCell ref="P72:T72"/>
    <mergeCell ref="A31:O32"/>
    <mergeCell ref="A320:Z320"/>
    <mergeCell ref="P351:V351"/>
    <mergeCell ref="A314:Z314"/>
    <mergeCell ref="P124:T124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P200:T200"/>
    <mergeCell ref="P134:T134"/>
    <mergeCell ref="P371:V371"/>
    <mergeCell ref="P421:T421"/>
    <mergeCell ref="A411:O412"/>
    <mergeCell ref="P408:T408"/>
    <mergeCell ref="P137:V137"/>
    <mergeCell ref="D247:E247"/>
    <mergeCell ref="A487:O488"/>
    <mergeCell ref="D266:E266"/>
    <mergeCell ref="P410:T410"/>
    <mergeCell ref="P385:T385"/>
    <mergeCell ref="A260:O261"/>
    <mergeCell ref="A484:Z484"/>
    <mergeCell ref="P312:V312"/>
    <mergeCell ref="A289:Z289"/>
    <mergeCell ref="D430:E430"/>
    <mergeCell ref="P469:V469"/>
    <mergeCell ref="P486:T486"/>
    <mergeCell ref="D450:E450"/>
    <mergeCell ref="A455:Z455"/>
    <mergeCell ref="D385:E385"/>
    <mergeCell ref="P301:T301"/>
    <mergeCell ref="P483:V483"/>
    <mergeCell ref="P294:T294"/>
    <mergeCell ref="D293:E293"/>
    <mergeCell ref="A477:O478"/>
    <mergeCell ref="A440:Z440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P181:T181"/>
    <mergeCell ref="D29:E29"/>
    <mergeCell ref="P344:T344"/>
    <mergeCell ref="P354:T354"/>
    <mergeCell ref="D226:E226"/>
    <mergeCell ref="D164:E164"/>
    <mergeCell ref="P62:T62"/>
    <mergeCell ref="P176:T176"/>
    <mergeCell ref="P247:T247"/>
    <mergeCell ref="P114:T114"/>
    <mergeCell ref="P41:T41"/>
    <mergeCell ref="A157:Z157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A318:O319"/>
    <mergeCell ref="P47:V47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68:T68"/>
    <mergeCell ref="P82:V82"/>
    <mergeCell ref="D330:E330"/>
    <mergeCell ref="A98:Z98"/>
    <mergeCell ref="A396:Z396"/>
    <mergeCell ref="P239:V239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A305:O306"/>
    <mergeCell ref="P346:T346"/>
    <mergeCell ref="P446:T446"/>
    <mergeCell ref="P310:T310"/>
    <mergeCell ref="P264:T264"/>
    <mergeCell ref="A312:O313"/>
    <mergeCell ref="P353:T353"/>
    <mergeCell ref="D169:E169"/>
    <mergeCell ref="P204:V204"/>
    <mergeCell ref="P303:T303"/>
    <mergeCell ref="A357:Z357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A19:Z19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P246:T246"/>
    <mergeCell ref="P214:T214"/>
    <mergeCell ref="P432:V432"/>
    <mergeCell ref="D249:E249"/>
    <mergeCell ref="P436:T436"/>
    <mergeCell ref="A251:O252"/>
    <mergeCell ref="P292:T292"/>
    <mergeCell ref="A360:O361"/>
    <mergeCell ref="D257:E257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1 X114 X200 X210 X212 X336:X337 X410" xr:uid="{00000000-0002-0000-0000-000011000000}">
      <formula1>IF(AK101&gt;0,OR(X101=0,AND(IF(X101-AK101&gt;=0,TRUE,FALSE),X101&gt;0,IF(X101/H101=ROUND(X101/H101,0),TRUE,FALSE))),FALSE)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751</v>
      </c>
      <c r="H1" s="52"/>
    </row>
    <row r="3" spans="2:8" x14ac:dyDescent="0.2">
      <c r="B3" s="47" t="s">
        <v>752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753</v>
      </c>
      <c r="D6" s="47" t="s">
        <v>754</v>
      </c>
      <c r="E6" s="47"/>
    </row>
    <row r="8" spans="2:8" x14ac:dyDescent="0.2">
      <c r="B8" s="47" t="s">
        <v>19</v>
      </c>
      <c r="C8" s="47" t="s">
        <v>753</v>
      </c>
      <c r="D8" s="47"/>
      <c r="E8" s="47"/>
    </row>
    <row r="10" spans="2:8" x14ac:dyDescent="0.2">
      <c r="B10" s="47" t="s">
        <v>755</v>
      </c>
      <c r="C10" s="47"/>
      <c r="D10" s="47"/>
      <c r="E10" s="47"/>
    </row>
    <row r="11" spans="2:8" x14ac:dyDescent="0.2">
      <c r="B11" s="47" t="s">
        <v>756</v>
      </c>
      <c r="C11" s="47"/>
      <c r="D11" s="47"/>
      <c r="E11" s="47"/>
    </row>
    <row r="12" spans="2:8" x14ac:dyDescent="0.2">
      <c r="B12" s="47" t="s">
        <v>757</v>
      </c>
      <c r="C12" s="47"/>
      <c r="D12" s="47"/>
      <c r="E12" s="47"/>
    </row>
    <row r="13" spans="2:8" x14ac:dyDescent="0.2">
      <c r="B13" s="47" t="s">
        <v>758</v>
      </c>
      <c r="C13" s="47"/>
      <c r="D13" s="47"/>
      <c r="E13" s="47"/>
    </row>
    <row r="14" spans="2:8" x14ac:dyDescent="0.2">
      <c r="B14" s="47" t="s">
        <v>759</v>
      </c>
      <c r="C14" s="47"/>
      <c r="D14" s="47"/>
      <c r="E14" s="47"/>
    </row>
    <row r="15" spans="2:8" x14ac:dyDescent="0.2">
      <c r="B15" s="47" t="s">
        <v>760</v>
      </c>
      <c r="C15" s="47"/>
      <c r="D15" s="47"/>
      <c r="E15" s="47"/>
    </row>
    <row r="16" spans="2:8" x14ac:dyDescent="0.2">
      <c r="B16" s="47" t="s">
        <v>761</v>
      </c>
      <c r="C16" s="47"/>
      <c r="D16" s="47"/>
      <c r="E16" s="47"/>
    </row>
    <row r="17" spans="2:5" x14ac:dyDescent="0.2">
      <c r="B17" s="47" t="s">
        <v>762</v>
      </c>
      <c r="C17" s="47"/>
      <c r="D17" s="47"/>
      <c r="E17" s="47"/>
    </row>
    <row r="18" spans="2:5" x14ac:dyDescent="0.2">
      <c r="B18" s="47" t="s">
        <v>763</v>
      </c>
      <c r="C18" s="47"/>
      <c r="D18" s="47"/>
      <c r="E18" s="47"/>
    </row>
    <row r="19" spans="2:5" x14ac:dyDescent="0.2">
      <c r="B19" s="47" t="s">
        <v>764</v>
      </c>
      <c r="C19" s="47"/>
      <c r="D19" s="47"/>
      <c r="E19" s="47"/>
    </row>
    <row r="20" spans="2:5" x14ac:dyDescent="0.2">
      <c r="B20" s="47" t="s">
        <v>765</v>
      </c>
      <c r="C20" s="47"/>
      <c r="D20" s="47"/>
      <c r="E20" s="47"/>
    </row>
  </sheetData>
  <sheetProtection algorithmName="SHA-512" hashValue="BxjK4g5CO4axwhkn9ycotHgX6ORtj5GIz45PsDJuBq2bEo9a5ajf2Pgz8JAIWh/4SHyjw9dkKDT7Iqt0nO3GzQ==" saltValue="FEosl0XqwQD/22KjqIh1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2025-11-19T10:27:47Z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