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AD1D53-B70E-4D57-9E30-E7A030F3F69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BP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8" i="1" l="1"/>
  <c r="Y32" i="1"/>
  <c r="Z34" i="1"/>
  <c r="Z35" i="1" s="1"/>
  <c r="BN34" i="1"/>
  <c r="BP34" i="1"/>
  <c r="Y35" i="1"/>
  <c r="Z40" i="1"/>
  <c r="BN40" i="1"/>
  <c r="Z55" i="1"/>
  <c r="BN55" i="1"/>
  <c r="Z75" i="1"/>
  <c r="BN75" i="1"/>
  <c r="Z94" i="1"/>
  <c r="BN94" i="1"/>
  <c r="Z113" i="1"/>
  <c r="BN113" i="1"/>
  <c r="Z134" i="1"/>
  <c r="BN134" i="1"/>
  <c r="Z175" i="1"/>
  <c r="BN175" i="1"/>
  <c r="Z198" i="1"/>
  <c r="BN198" i="1"/>
  <c r="Z208" i="1"/>
  <c r="BN208" i="1"/>
  <c r="Z218" i="1"/>
  <c r="BN218" i="1"/>
  <c r="Z219" i="1"/>
  <c r="BN219" i="1"/>
  <c r="Z224" i="1"/>
  <c r="BN224" i="1"/>
  <c r="Z232" i="1"/>
  <c r="BN232" i="1"/>
  <c r="Z257" i="1"/>
  <c r="BN257" i="1"/>
  <c r="Z273" i="1"/>
  <c r="BN273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J9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Z79" i="1"/>
  <c r="BN79" i="1"/>
  <c r="BP79" i="1"/>
  <c r="Z92" i="1"/>
  <c r="BN92" i="1"/>
  <c r="Z99" i="1"/>
  <c r="BN99" i="1"/>
  <c r="Z107" i="1"/>
  <c r="BN107" i="1"/>
  <c r="Z115" i="1"/>
  <c r="BN115" i="1"/>
  <c r="Z130" i="1"/>
  <c r="BN130" i="1"/>
  <c r="Y136" i="1"/>
  <c r="Z141" i="1"/>
  <c r="BN141" i="1"/>
  <c r="Z145" i="1"/>
  <c r="BN145" i="1"/>
  <c r="Z164" i="1"/>
  <c r="BN164" i="1"/>
  <c r="Z165" i="1"/>
  <c r="BN165" i="1"/>
  <c r="Z169" i="1"/>
  <c r="BN169" i="1"/>
  <c r="Z186" i="1"/>
  <c r="BN186" i="1"/>
  <c r="Y192" i="1"/>
  <c r="Z196" i="1"/>
  <c r="BN196" i="1"/>
  <c r="Z200" i="1"/>
  <c r="BN200" i="1"/>
  <c r="Z206" i="1"/>
  <c r="BN206" i="1"/>
  <c r="BP206" i="1"/>
  <c r="Z210" i="1"/>
  <c r="BN210" i="1"/>
  <c r="Z214" i="1"/>
  <c r="BN214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Z278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Z410" i="1" s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8" i="1"/>
  <c r="Y317" i="1"/>
  <c r="Y379" i="1"/>
  <c r="Y453" i="1"/>
  <c r="Y452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24" i="1" l="1"/>
  <c r="Z177" i="1"/>
  <c r="Z88" i="1"/>
  <c r="Z63" i="1"/>
  <c r="X491" i="1"/>
  <c r="Z220" i="1"/>
  <c r="Y490" i="1"/>
  <c r="Z57" i="1"/>
  <c r="Z31" i="1"/>
  <c r="Z467" i="1"/>
  <c r="Z461" i="1"/>
  <c r="Z234" i="1"/>
  <c r="Z215" i="1"/>
  <c r="Z109" i="1"/>
  <c r="Y489" i="1"/>
  <c r="Y491" i="1" s="1"/>
  <c r="Z103" i="1"/>
  <c r="Z95" i="1"/>
  <c r="Y492" i="1"/>
  <c r="Z337" i="1"/>
  <c r="Z304" i="1"/>
  <c r="Z294" i="1"/>
  <c r="Z116" i="1"/>
  <c r="Z393" i="1"/>
  <c r="Z437" i="1"/>
  <c r="Z446" i="1"/>
  <c r="Z431" i="1"/>
  <c r="Z349" i="1"/>
  <c r="Z330" i="1"/>
  <c r="Z267" i="1"/>
  <c r="Z259" i="1"/>
  <c r="Z250" i="1"/>
  <c r="Z203" i="1"/>
  <c r="Z171" i="1"/>
  <c r="Z69" i="1"/>
  <c r="Y488" i="1"/>
  <c r="Z493" i="1" l="1"/>
</calcChain>
</file>

<file path=xl/sharedStrings.xml><?xml version="1.0" encoding="utf-8"?>
<sst xmlns="http://schemas.openxmlformats.org/spreadsheetml/2006/main" count="2247" uniqueCount="760">
  <si>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</si>
  <si>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</si>
  <si>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</si>
  <si>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</si>
  <si>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</si>
  <si>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</si>
  <si>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</si>
  <si>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</si>
  <si>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</si>
  <si>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</si>
  <si>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</si>
  <si>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</si>
  <si>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</si>
  <si>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</si>
  <si>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</si>
  <si>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</si>
  <si>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</si>
  <si>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</si>
  <si>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</si>
  <si>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</si>
  <si>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</si>
  <si>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</si>
  <si>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</si>
  <si>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</si>
  <si>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</si>
  <si>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</si>
  <si>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</si>
  <si>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</si>
  <si>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</si>
  <si>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</si>
  <si>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</si>
  <si>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</si>
  <si>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</si>
  <si>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</si>
  <si>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</si>
  <si>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</si>
  <si>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</si>
  <si>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</si>
  <si>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</si>
  <si>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</si>
  <si>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</si>
  <si>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</si>
  <si>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</si>
  <si>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</si>
  <si>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</si>
  <si>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</si>
  <si>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</si>
  <si>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</si>
  <si>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</si>
  <si>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</si>
  <si>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</si>
  <si>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</si>
  <si>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</si>
  <si>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</si>
  <si>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</si>
  <si>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</si>
  <si>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</si>
  <si>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</si>
  <si>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</si>
  <si>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</si>
  <si>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</si>
  <si>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</si>
  <si>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</si>
  <si>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</si>
  <si>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</si>
  <si>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</si>
  <si>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</si>
  <si>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</si>
  <si>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</si>
  <si>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</si>
  <si>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</si>
  <si>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</si>
  <si>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</si>
  <si>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</si>
  <si>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</si>
  <si>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</si>
  <si>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</si>
  <si>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</si>
  <si>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</si>
  <si>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</si>
  <si>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</si>
  <si>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</si>
  <si>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</si>
  <si>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</si>
  <si>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</si>
  <si>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</si>
  <si>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</si>
  <si>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</si>
  <si>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</si>
  <si>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</si>
  <si>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</si>
  <si>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</si>
  <si>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</si>
  <si>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</si>
  <si>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</si>
  <si>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</si>
  <si>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</si>
  <si>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</si>
  <si>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</si>
  <si>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</si>
  <si>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</si>
  <si>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</si>
  <si>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</si>
  <si>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</si>
  <si>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</si>
  <si>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</si>
  <si>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</si>
  <si>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</si>
  <si>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</si>
  <si>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</si>
  <si>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</si>
  <si>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</si>
  <si>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</si>
  <si>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</si>
  <si>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</si>
  <si>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</si>
  <si>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</si>
  <si>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</si>
  <si>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</si>
  <si>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</si>
  <si>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</si>
  <si>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</si>
  <si>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</si>
  <si>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</si>
  <si>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</si>
  <si>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</si>
  <si>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</si>
  <si>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</si>
  <si>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</si>
  <si>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</si>
  <si>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</si>
  <si>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</si>
  <si>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</si>
  <si>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</si>
  <si>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</si>
  <si>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</si>
  <si>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</si>
  <si>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</si>
  <si>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</si>
  <si>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</si>
  <si>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</si>
  <si>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</si>
  <si>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</si>
  <si>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</si>
  <si>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</si>
  <si>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</si>
  <si>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</si>
  <si>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</si>
  <si>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</si>
  <si>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</si>
  <si>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</si>
  <si>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</si>
  <si>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</si>
  <si>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</si>
  <si>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</si>
  <si>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</si>
  <si>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</si>
  <si>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</si>
  <si>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</si>
  <si>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</si>
  <si>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</si>
  <si>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</si>
  <si>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</si>
  <si>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</si>
  <si>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</si>
  <si>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</si>
  <si>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</si>
  <si>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</si>
  <si>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</si>
  <si>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</si>
  <si>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</si>
  <si>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</si>
  <si>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</si>
  <si>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</si>
  <si>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</si>
  <si>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</si>
  <si>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</si>
  <si>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</si>
  <si>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</si>
  <si>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</si>
  <si>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</si>
  <si>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</si>
  <si>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</si>
  <si>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</si>
  <si>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</si>
  <si>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</si>
  <si>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</si>
  <si>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</si>
  <si>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</si>
  <si>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</si>
  <si>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</si>
  <si>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</si>
  <si>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</si>
  <si>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</si>
  <si>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</si>
  <si>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</si>
  <si>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</si>
  <si>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</si>
  <si>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</si>
  <si>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</si>
  <si>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</si>
  <si>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</si>
  <si>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</si>
  <si>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</si>
  <si>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</si>
  <si>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</si>
  <si>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</si>
  <si>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</si>
  <si>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</si>
  <si>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</si>
  <si>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</si>
  <si>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</si>
  <si>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</si>
  <si>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</si>
  <si>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</si>
  <si>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</si>
  <si>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</si>
  <si>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</si>
  <si>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</si>
  <si>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</si>
  <si>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</si>
  <si>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</si>
  <si>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</si>
  <si>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</si>
  <si>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</si>
  <si>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</si>
  <si>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</si>
  <si>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</si>
  <si>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</si>
  <si>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</si>
  <si>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</si>
  <si>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</si>
  <si>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</si>
  <si>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</si>
  <si>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</si>
  <si>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</si>
  <si>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</si>
  <si>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</si>
  <si>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</si>
  <si>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</si>
  <si>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</si>
  <si>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</si>
  <si>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</si>
  <si>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</si>
  <si>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</si>
  <si>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</si>
  <si>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</si>
  <si>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</si>
  <si>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</si>
  <si>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</si>
  <si>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</si>
  <si>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</si>
  <si>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</si>
  <si>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</si>
  <si>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</si>
  <si>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</si>
  <si>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</si>
  <si>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</si>
  <si>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</si>
  <si>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</si>
  <si>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</si>
  <si>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</si>
  <si>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</si>
  <si>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</si>
  <si>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</si>
  <si>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</si>
  <si>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</si>
  <si>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</si>
  <si>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</si>
  <si>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</si>
  <si>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</si>
  <si>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</si>
  <si>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</si>
  <si>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</si>
  <si>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</si>
  <si>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</si>
  <si>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</si>
  <si>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</si>
  <si>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</si>
  <si>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</si>
  <si>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</si>
  <si>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</si>
  <si>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</si>
  <si>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</si>
  <si>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</si>
  <si>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</si>
  <si>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</si>
  <si>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</si>
  <si>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</si>
  <si>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</si>
  <si>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</si>
  <si>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</si>
  <si>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</si>
  <si>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</si>
  <si>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</si>
  <si>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</si>
  <si>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</si>
  <si>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</si>
  <si>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</si>
  <si>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</si>
  <si>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</si>
  <si>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</si>
  <si>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</si>
  <si>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</si>
  <si>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</si>
  <si>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</si>
  <si>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</si>
  <si>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</si>
  <si>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</si>
  <si>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</si>
  <si>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</si>
  <si>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</si>
  <si>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</si>
  <si>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</si>
  <si>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</si>
  <si>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</si>
  <si>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</si>
  <si>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</si>
  <si>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</si>
  <si>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</si>
  <si>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</si>
  <si>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</si>
  <si>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</si>
  <si>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</si>
  <si>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</si>
  <si>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</si>
  <si>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</si>
  <si>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</si>
  <si>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</si>
  <si>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</si>
  <si>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</si>
  <si>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</si>
  <si>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</si>
  <si>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</si>
  <si>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</si>
  <si>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</si>
  <si>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</si>
  <si>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</si>
  <si>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</si>
  <si>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</si>
  <si>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</si>
  <si>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</si>
  <si>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</si>
  <si>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</si>
  <si>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</si>
  <si>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</si>
  <si>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</si>
  <si>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</si>
  <si>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</si>
  <si>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</si>
  <si>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</si>
  <si>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</si>
  <si>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</si>
  <si>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</si>
  <si>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</si>
  <si>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</si>
  <si>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</si>
  <si>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</si>
  <si>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</si>
  <si>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</si>
  <si>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</si>
  <si>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</si>
  <si>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</si>
  <si>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</si>
  <si>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</si>
  <si>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</si>
  <si>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</si>
  <si>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</si>
  <si>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</si>
  <si>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</si>
  <si>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</si>
  <si>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</si>
  <si>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</si>
  <si>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</si>
  <si>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</si>
  <si>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</si>
  <si>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</si>
  <si>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</si>
  <si>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</si>
  <si>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</si>
  <si>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</si>
  <si>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</si>
  <si>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</si>
  <si>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</si>
  <si>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</si>
  <si>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</si>
  <si>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</si>
  <si>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</si>
  <si>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</si>
  <si>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</si>
  <si>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</si>
  <si>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</si>
  <si>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</si>
  <si>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</si>
  <si>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</si>
  <si>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</si>
  <si>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</si>
  <si>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</si>
  <si>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</si>
  <si>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</si>
  <si>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</si>
  <si>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</si>
  <si>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</si>
  <si>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</si>
  <si>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</si>
  <si>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</si>
  <si>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</si>
  <si>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</si>
  <si>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</si>
  <si>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</si>
  <si>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</si>
  <si>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</si>
  <si>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</si>
  <si>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</si>
  <si>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</si>
  <si>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</si>
  <si>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</si>
  <si>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</si>
  <si>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</si>
  <si>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</si>
  <si>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</si>
  <si>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</si>
  <si>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</si>
  <si>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</si>
  <si>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</si>
  <si>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</si>
  <si>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</si>
  <si>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</si>
  <si>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</si>
  <si>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</si>
  <si>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</si>
  <si>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</si>
  <si>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</si>
  <si>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</si>
  <si>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</si>
  <si>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</si>
  <si>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</si>
  <si>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</si>
  <si>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</si>
  <si>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</si>
  <si>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</si>
  <si>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</si>
  <si>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</si>
  <si>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</si>
  <si>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</si>
  <si>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</si>
  <si>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</si>
  <si>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</si>
  <si>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</si>
  <si>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</si>
  <si>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</si>
  <si>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</si>
  <si>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</si>
  <si>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</si>
  <si>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</si>
  <si>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</si>
  <si>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</si>
  <si>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</si>
  <si>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</si>
  <si>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</si>
  <si>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</si>
  <si>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</si>
  <si>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</si>
  <si>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</si>
  <si>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</si>
  <si>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</si>
  <si>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</si>
  <si>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</si>
  <si>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</si>
  <si>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</si>
  <si>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</si>
  <si>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</si>
  <si>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</si>
  <si>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</si>
  <si>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</si>
  <si>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</si>
  <si>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</si>
  <si>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</si>
  <si>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</si>
  <si>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</si>
  <si>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</si>
  <si>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</si>
  <si>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</si>
  <si>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</si>
  <si>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</si>
  <si>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</si>
  <si>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</si>
  <si>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</si>
  <si>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</si>
  <si>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</si>
  <si>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</si>
  <si>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</si>
  <si>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</si>
  <si>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</si>
  <si>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</si>
  <si>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</si>
  <si>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</si>
  <si>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</si>
  <si>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</si>
  <si>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</si>
  <si>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</si>
  <si>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</si>
  <si>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</si>
  <si>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</si>
  <si>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</si>
  <si>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</si>
  <si>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</si>
  <si>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</si>
  <si>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</si>
  <si>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</si>
  <si>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</si>
  <si>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</si>
  <si>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</si>
  <si>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</si>
  <si>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</si>
  <si>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</si>
  <si>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</si>
  <si>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</si>
  <si>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</si>
  <si>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</si>
  <si>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</si>
  <si>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</si>
  <si>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</si>
  <si>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</si>
  <si>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</si>
  <si>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</si>
  <si>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</si>
  <si>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</si>
  <si>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</si>
  <si>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</si>
  <si>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</si>
  <si>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</si>
  <si>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</si>
  <si>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</si>
  <si>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</si>
  <si>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</si>
  <si>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</si>
  <si>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</si>
  <si>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</si>
  <si>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</si>
  <si>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</si>
  <si>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</si>
  <si>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</si>
  <si>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</si>
  <si>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</si>
  <si>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</si>
  <si>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</si>
  <si>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</si>
  <si>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</si>
  <si>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</si>
  <si>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</si>
  <si>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</si>
  <si>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</si>
  <si>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</si>
  <si>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</si>
  <si>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</si>
  <si>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</si>
  <si>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</si>
  <si>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</si>
  <si>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</si>
  <si>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</si>
  <si>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</si>
  <si>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</si>
  <si>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</si>
  <si>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</si>
  <si>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</si>
  <si>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</si>
  <si>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</si>
  <si>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</si>
  <si>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</si>
  <si>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</si>
  <si>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</si>
  <si>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</si>
  <si>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</si>
  <si>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</si>
  <si>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</si>
  <si>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</si>
  <si>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</si>
  <si>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</si>
  <si>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</si>
  <si>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</si>
  <si>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</si>
  <si>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</si>
  <si>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</si>
  <si>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</si>
  <si>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</si>
  <si>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</si>
  <si>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</si>
  <si>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</si>
  <si>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</si>
  <si>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</si>
  <si>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</si>
  <si>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</si>
  <si>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</si>
  <si>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</si>
  <si>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</si>
  <si>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</si>
  <si>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</si>
  <si>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</si>
  <si>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</si>
  <si>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</si>
  <si>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</si>
  <si>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</si>
  <si>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</si>
  <si>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</si>
  <si>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</si>
  <si>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</si>
  <si>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</si>
  <si>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</si>
  <si>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</si>
  <si>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</si>
  <si>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</si>
  <si>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</si>
  <si>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</si>
  <si>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</si>
  <si>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</si>
  <si>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</si>
  <si>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</si>
  <si>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</si>
  <si>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</si>
  <si>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</si>
  <si>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</si>
  <si>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</si>
  <si>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</si>
  <si>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</si>
  <si>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</si>
  <si>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</si>
  <si>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</si>
  <si>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</si>
  <si>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</si>
  <si>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</si>
  <si>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</si>
  <si>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</si>
  <si>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</si>
  <si>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</si>
  <si>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</si>
  <si>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</si>
  <si>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</si>
  <si>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</si>
  <si>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</si>
  <si>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</si>
  <si>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</si>
  <si>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</si>
  <si>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</si>
  <si>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</si>
  <si>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</si>
  <si>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</si>
  <si>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</si>
  <si>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</si>
  <si>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</si>
  <si>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</si>
  <si>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</si>
  <si>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</si>
  <si>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</si>
  <si>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</si>
  <si>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</si>
  <si>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</si>
  <si>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</si>
  <si>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</si>
  <si>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</si>
  <si>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</si>
  <si>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</si>
  <si>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</si>
  <si>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</si>
  <si>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</si>
  <si>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</si>
  <si>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</si>
  <si>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</si>
  <si>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</si>
  <si>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</si>
  <si>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</si>
  <si>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</si>
  <si>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</si>
  <si>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</si>
  <si>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</si>
  <si>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</si>
  <si>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</si>
  <si>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</si>
  <si>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</si>
  <si>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</si>
  <si>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</si>
  <si>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</si>
  <si>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</si>
  <si>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</si>
  <si>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</si>
  <si>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</si>
  <si>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</si>
  <si>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</si>
  <si>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</si>
  <si>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</si>
  <si>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</si>
  <si>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</si>
  <si>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</si>
  <si>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</si>
  <si>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</si>
  <si>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</si>
  <si>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</si>
  <si>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</si>
  <si>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</si>
  <si>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</si>
  <si>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</si>
  <si>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</si>
  <si>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</si>
  <si>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</si>
  <si>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</si>
  <si>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</si>
  <si>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</si>
  <si>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</si>
  <si>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</si>
  <si>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</si>
  <si>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</si>
  <si>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</si>
  <si>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</si>
  <si>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</si>
  <si>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</si>
  <si>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</si>
  <si>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</si>
  <si>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</si>
  <si>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</si>
  <si>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</si>
  <si>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</si>
  <si>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</si>
  <si>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</si>
  <si>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</si>
  <si>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</si>
  <si>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</si>
  <si>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</si>
  <si>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</si>
  <si>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</si>
  <si>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</si>
  <si>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</si>
  <si>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</si>
  <si>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</si>
  <si>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</si>
  <si>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</si>
  <si>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</si>
  <si>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</si>
  <si>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</si>
  <si>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</si>
  <si>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</si>
  <si>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</si>
  <si>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</si>
  <si>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</si>
  <si>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</si>
  <si>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</si>
  <si>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</si>
  <si>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</si>
  <si>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</si>
  <si>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</si>
  <si>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</si>
  <si>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</si>
  <si>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</si>
  <si>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</si>
  <si>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</si>
  <si>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</si>
  <si>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</si>
  <si>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</si>
  <si>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</si>
  <si>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</si>
  <si>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18 европалет,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</si>
</sst>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45984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Воскресенье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0.45833333333333331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394</v>
      </c>
      <c r="Y40" s="540">
        <f>IFERROR(IF(X40="",0,CEILING((X40/$H40),1)*$H40),"")</f>
        <v>399.6</v>
      </c>
      <c r="Z40" s="36">
        <f>IFERROR(IF(Y40=0,"",ROUNDUP(Y40/H40,0)*0.01898),"")</f>
        <v>0.70226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408.95740740740746</v>
      </c>
      <c r="BN40" s="64">
        <f>IFERROR(Y40*I40/H40,"0")</f>
        <v>414.77000000000004</v>
      </c>
      <c r="BO40" s="64">
        <f>IFERROR(1/J40*(X40/H40),"0")</f>
        <v>0.57002314814814814</v>
      </c>
      <c r="BP40" s="64">
        <f>IFERROR(1/J40*(Y40/H40),"0")</f>
        <v>0.578125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111</v>
      </c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36.481481481481481</v>
      </c>
      <c r="Y43" s="541">
        <f>IFERROR(Y40/H40,"0")+IFERROR(Y41/H41,"0")+IFERROR(Y42/H42,"0")</f>
        <v>37</v>
      </c>
      <c r="Z43" s="541">
        <f>IFERROR(IF(Z40="",0,Z40),"0")+IFERROR(IF(Z41="",0,Z41),"0")+IFERROR(IF(Z42="",0,Z42),"0")</f>
        <v>0.70226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394</v>
      </c>
      <c r="Y44" s="541">
        <f>IFERROR(SUM(Y40:Y42),"0")</f>
        <v>399.6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67</v>
      </c>
      <c r="Y51" s="540">
        <f t="shared" ref="Y51:Y56" si="0">IFERROR(IF(X51="",0,CEILING((X51/$H51),1)*$H51),"")</f>
        <v>67.199999999999989</v>
      </c>
      <c r="Z51" s="36">
        <f>IFERROR(IF(Y51=0,"",ROUNDUP(Y51/H51,0)*0.01898),"")</f>
        <v>0.11388000000000001</v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69.452678571428578</v>
      </c>
      <c r="BN51" s="64">
        <f t="shared" ref="BN51:BN56" si="2">IFERROR(Y51*I51/H51,"0")</f>
        <v>69.659999999999982</v>
      </c>
      <c r="BO51" s="64">
        <f t="shared" ref="BO51:BO56" si="3">IFERROR(1/J51*(X51/H51),"0")</f>
        <v>9.3470982142857151E-2</v>
      </c>
      <c r="BP51" s="64">
        <f t="shared" ref="BP51:BP56" si="4">IFERROR(1/J51*(Y51/H51),"0")</f>
        <v>9.3749999999999986E-2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78</v>
      </c>
      <c r="Y52" s="540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80.961111111111123</v>
      </c>
      <c r="BN52" s="64">
        <f t="shared" si="2"/>
        <v>89.68</v>
      </c>
      <c r="BO52" s="64">
        <f t="shared" si="3"/>
        <v>0.11284722222222221</v>
      </c>
      <c r="BP52" s="64">
        <f t="shared" si="4"/>
        <v>0.125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111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26</v>
      </c>
      <c r="Y54" s="540">
        <f t="shared" si="0"/>
        <v>28</v>
      </c>
      <c r="Z54" s="36">
        <f>IFERROR(IF(Y54=0,"",ROUNDUP(Y54/H54,0)*0.00902),"")</f>
        <v>6.3140000000000002E-2</v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27.235000000000003</v>
      </c>
      <c r="BN54" s="64">
        <f t="shared" si="2"/>
        <v>29.330000000000002</v>
      </c>
      <c r="BO54" s="64">
        <f t="shared" si="3"/>
        <v>4.924242424242424E-2</v>
      </c>
      <c r="BP54" s="64">
        <f t="shared" si="4"/>
        <v>5.3030303030303032E-2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19.704365079365079</v>
      </c>
      <c r="Y57" s="541">
        <f>IFERROR(Y51/H51,"0")+IFERROR(Y52/H52,"0")+IFERROR(Y53/H53,"0")+IFERROR(Y54/H54,"0")+IFERROR(Y55/H55,"0")+IFERROR(Y56/H56,"0")</f>
        <v>21</v>
      </c>
      <c r="Z57" s="541">
        <f>IFERROR(IF(Z51="",0,Z51),"0")+IFERROR(IF(Z52="",0,Z52),"0")+IFERROR(IF(Z53="",0,Z53),"0")+IFERROR(IF(Z54="",0,Z54),"0")+IFERROR(IF(Z55="",0,Z55),"0")+IFERROR(IF(Z56="",0,Z56),"0")</f>
        <v>0.32886000000000004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171</v>
      </c>
      <c r="Y58" s="541">
        <f>IFERROR(SUM(Y51:Y56),"0")</f>
        <v>181.6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163</v>
      </c>
      <c r="Y60" s="540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169.18796296296298</v>
      </c>
      <c r="BN60" s="64">
        <f>IFERROR(Y60*I60/H60,"0")</f>
        <v>179.36</v>
      </c>
      <c r="BO60" s="64">
        <f>IFERROR(1/J60*(X60/H60),"0")</f>
        <v>0.23582175925925924</v>
      </c>
      <c r="BP60" s="64">
        <f>IFERROR(1/J60*(Y60/H60),"0")</f>
        <v>0.25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15.092592592592592</v>
      </c>
      <c r="Y63" s="541">
        <f>IFERROR(Y60/H60,"0")+IFERROR(Y61/H61,"0")+IFERROR(Y62/H62,"0")</f>
        <v>16</v>
      </c>
      <c r="Z63" s="541">
        <f>IFERROR(IF(Z60="",0,Z60),"0")+IFERROR(IF(Z61="",0,Z61),"0")+IFERROR(IF(Z62="",0,Z62),"0")</f>
        <v>0.30368000000000001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163</v>
      </c>
      <c r="Y64" s="541">
        <f>IFERROR(SUM(Y60:Y62),"0")</f>
        <v>172.8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115</v>
      </c>
      <c r="Y79" s="540">
        <f>IFERROR(IF(X79="",0,CEILING((X79/$H79),1)*$H79),"")</f>
        <v>117</v>
      </c>
      <c r="Z79" s="36">
        <f>IFERROR(IF(Y79=0,"",ROUNDUP(Y79/H79,0)*0.01898),"")</f>
        <v>0.28470000000000001</v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121.04487179487181</v>
      </c>
      <c r="BN79" s="64">
        <f>IFERROR(Y79*I79/H79,"0")</f>
        <v>123.15</v>
      </c>
      <c r="BO79" s="64">
        <f>IFERROR(1/J79*(X79/H79),"0")</f>
        <v>0.23036858974358976</v>
      </c>
      <c r="BP79" s="64">
        <f>IFERROR(1/J79*(Y79/H79),"0")</f>
        <v>0.234375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14.743589743589745</v>
      </c>
      <c r="Y81" s="541">
        <f>IFERROR(Y79/H79,"0")+IFERROR(Y80/H80,"0")</f>
        <v>15</v>
      </c>
      <c r="Z81" s="541">
        <f>IFERROR(IF(Z79="",0,Z79),"0")+IFERROR(IF(Z80="",0,Z80),"0")</f>
        <v>0.28470000000000001</v>
      </c>
      <c r="AA81" s="542"/>
      <c r="AB81" s="542"/>
      <c r="AC81" s="542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115</v>
      </c>
      <c r="Y82" s="541">
        <f>IFERROR(SUM(Y79:Y80),"0")</f>
        <v>117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445</v>
      </c>
      <c r="Y85" s="540">
        <f>IFERROR(IF(X85="",0,CEILING((X85/$H85),1)*$H85),"")</f>
        <v>453.6</v>
      </c>
      <c r="Z85" s="36">
        <f>IFERROR(IF(Y85=0,"",ROUNDUP(Y85/H85,0)*0.01898),"")</f>
        <v>0.79715999999999998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461.89351851851853</v>
      </c>
      <c r="BN85" s="64">
        <f>IFERROR(Y85*I85/H85,"0")</f>
        <v>470.82000000000005</v>
      </c>
      <c r="BO85" s="64">
        <f>IFERROR(1/J85*(X85/H85),"0")</f>
        <v>0.64380787037037035</v>
      </c>
      <c r="BP85" s="64">
        <f>IFERROR(1/J85*(Y85/H85),"0")</f>
        <v>0.65625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111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41.203703703703702</v>
      </c>
      <c r="Y88" s="541">
        <f>IFERROR(Y85/H85,"0")+IFERROR(Y86/H86,"0")+IFERROR(Y87/H87,"0")</f>
        <v>42</v>
      </c>
      <c r="Z88" s="541">
        <f>IFERROR(IF(Z85="",0,Z85),"0")+IFERROR(IF(Z86="",0,Z86),"0")+IFERROR(IF(Z87="",0,Z87),"0")</f>
        <v>0.79715999999999998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445</v>
      </c>
      <c r="Y89" s="541">
        <f>IFERROR(SUM(Y85:Y87),"0")</f>
        <v>453.6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239</v>
      </c>
      <c r="Y91" s="540">
        <f>IFERROR(IF(X91="",0,CEILING((X91/$H91),1)*$H91),"")</f>
        <v>243</v>
      </c>
      <c r="Z91" s="36">
        <f>IFERROR(IF(Y91=0,"",ROUNDUP(Y91/H91,0)*0.01898),"")</f>
        <v>0.56940000000000002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253.57604938271604</v>
      </c>
      <c r="BN91" s="64">
        <f>IFERROR(Y91*I91/H91,"0")</f>
        <v>257.82</v>
      </c>
      <c r="BO91" s="64">
        <f>IFERROR(1/J91*(X91/H91),"0")</f>
        <v>0.46103395061728397</v>
      </c>
      <c r="BP91" s="64">
        <f>IFERROR(1/J91*(Y91/H91),"0")</f>
        <v>0.46875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23</v>
      </c>
      <c r="Y93" s="540">
        <f>IFERROR(IF(X93="",0,CEILING((X93/$H93),1)*$H93),"")</f>
        <v>24.3</v>
      </c>
      <c r="Z93" s="36">
        <f>IFERROR(IF(Y93=0,"",ROUNDUP(Y93/H93,0)*0.00651),"")</f>
        <v>5.8590000000000003E-2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25.146666666666665</v>
      </c>
      <c r="BN93" s="64">
        <f>IFERROR(Y93*I93/H93,"0")</f>
        <v>26.567999999999998</v>
      </c>
      <c r="BO93" s="64">
        <f>IFERROR(1/J93*(X93/H93),"0")</f>
        <v>4.6805046805046803E-2</v>
      </c>
      <c r="BP93" s="64">
        <f>IFERROR(1/J93*(Y93/H93),"0")</f>
        <v>4.9450549450549455E-2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38.02469135802469</v>
      </c>
      <c r="Y95" s="541">
        <f>IFERROR(Y91/H91,"0")+IFERROR(Y92/H92,"0")+IFERROR(Y93/H93,"0")+IFERROR(Y94/H94,"0")</f>
        <v>39</v>
      </c>
      <c r="Z95" s="541">
        <f>IFERROR(IF(Z91="",0,Z91),"0")+IFERROR(IF(Z92="",0,Z92),"0")+IFERROR(IF(Z93="",0,Z93),"0")+IFERROR(IF(Z94="",0,Z94),"0")</f>
        <v>0.62799000000000005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262</v>
      </c>
      <c r="Y96" s="541">
        <f>IFERROR(SUM(Y91:Y94),"0")</f>
        <v>267.3</v>
      </c>
      <c r="Z96" s="37"/>
      <c r="AA96" s="542"/>
      <c r="AB96" s="542"/>
      <c r="AC96" s="542"/>
    </row>
    <row r="97" spans="1:68" ht="16.5" hidden="1" customHeight="1" x14ac:dyDescent="0.25">
      <c r="A97" s="553" t="s">
        <v>188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243</v>
      </c>
      <c r="Y99" s="540">
        <f>IFERROR(IF(X99="",0,CEILING((X99/$H99),1)*$H99),"")</f>
        <v>248.4</v>
      </c>
      <c r="Z99" s="36">
        <f>IFERROR(IF(Y99=0,"",ROUNDUP(Y99/H99,0)*0.01898),"")</f>
        <v>0.43653999999999998</v>
      </c>
      <c r="AA99" s="56"/>
      <c r="AB99" s="57"/>
      <c r="AC99" s="141" t="s">
        <v>191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252.22499999999999</v>
      </c>
      <c r="BN99" s="64">
        <f>IFERROR(Y99*I99/H99,"0")</f>
        <v>257.83</v>
      </c>
      <c r="BO99" s="64">
        <f>IFERROR(1/J99*(X99/H99),"0")</f>
        <v>0.3515625</v>
      </c>
      <c r="BP99" s="64">
        <f>IFERROR(1/J99*(Y99/H99),"0")</f>
        <v>0.359375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111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69</v>
      </c>
      <c r="Y101" s="540">
        <f>IFERROR(IF(X101="",0,CEILING((X101/$H101),1)*$H101),"")</f>
        <v>72</v>
      </c>
      <c r="Z101" s="36">
        <f>IFERROR(IF(Y101=0,"",ROUNDUP(Y101/H101,0)*0.00902),"")</f>
        <v>0.14432</v>
      </c>
      <c r="AA101" s="56"/>
      <c r="AB101" s="57"/>
      <c r="AC101" s="145" t="s">
        <v>191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71.913333333333341</v>
      </c>
      <c r="BN101" s="64">
        <f>IFERROR(Y101*I101/H101,"0")</f>
        <v>75.040000000000006</v>
      </c>
      <c r="BO101" s="64">
        <f>IFERROR(1/J101*(X101/H101),"0")</f>
        <v>0.11616161616161617</v>
      </c>
      <c r="BP101" s="64">
        <f>IFERROR(1/J101*(Y101/H101),"0")</f>
        <v>0.12121212121212122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37.833333333333336</v>
      </c>
      <c r="Y103" s="541">
        <f>IFERROR(Y99/H99,"0")+IFERROR(Y100/H100,"0")+IFERROR(Y101/H101,"0")+IFERROR(Y102/H102,"0")</f>
        <v>39</v>
      </c>
      <c r="Z103" s="541">
        <f>IFERROR(IF(Z99="",0,Z99),"0")+IFERROR(IF(Z100="",0,Z100),"0")+IFERROR(IF(Z101="",0,Z101),"0")+IFERROR(IF(Z102="",0,Z102),"0")</f>
        <v>0.58085999999999993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312</v>
      </c>
      <c r="Y104" s="541">
        <f>IFERROR(SUM(Y99:Y102),"0")</f>
        <v>320.39999999999998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198</v>
      </c>
      <c r="B106" s="54" t="s">
        <v>199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203</v>
      </c>
      <c r="B108" s="54" t="s">
        <v>204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205</v>
      </c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157</v>
      </c>
      <c r="Y112" s="540">
        <f>IFERROR(IF(X112="",0,CEILING((X112/$H112),1)*$H112),"")</f>
        <v>162</v>
      </c>
      <c r="Z112" s="36">
        <f>IFERROR(IF(Y112=0,"",ROUNDUP(Y112/H112,0)*0.01898),"")</f>
        <v>0.37959999999999999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166.45876543209874</v>
      </c>
      <c r="BN112" s="64">
        <f>IFERROR(Y112*I112/H112,"0")</f>
        <v>171.76</v>
      </c>
      <c r="BO112" s="64">
        <f>IFERROR(1/J112*(X112/H112),"0")</f>
        <v>0.30285493827160498</v>
      </c>
      <c r="BP112" s="64">
        <f>IFERROR(1/J112*(Y112/H112),"0")</f>
        <v>0.3125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205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16</v>
      </c>
      <c r="Y114" s="540">
        <f>IFERROR(IF(X114="",0,CEILING((X114/$H114),1)*$H114),"")</f>
        <v>16.200000000000003</v>
      </c>
      <c r="Z114" s="36">
        <f>IFERROR(IF(Y114=0,"",ROUNDUP(Y114/H114,0)*0.00651),"")</f>
        <v>3.9059999999999997E-2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17.493333333333332</v>
      </c>
      <c r="BN114" s="64">
        <f>IFERROR(Y114*I114/H114,"0")</f>
        <v>17.712000000000003</v>
      </c>
      <c r="BO114" s="64">
        <f>IFERROR(1/J114*(X114/H114),"0")</f>
        <v>3.2560032560032558E-2</v>
      </c>
      <c r="BP114" s="64">
        <f>IFERROR(1/J114*(Y114/H114),"0")</f>
        <v>3.2967032967032975E-2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25.308641975308646</v>
      </c>
      <c r="Y116" s="541">
        <f>IFERROR(Y112/H112,"0")+IFERROR(Y113/H113,"0")+IFERROR(Y114/H114,"0")+IFERROR(Y115/H115,"0")</f>
        <v>26</v>
      </c>
      <c r="Z116" s="541">
        <f>IFERROR(IF(Z112="",0,Z112),"0")+IFERROR(IF(Z113="",0,Z113),"0")+IFERROR(IF(Z114="",0,Z114),"0")+IFERROR(IF(Z115="",0,Z115),"0")</f>
        <v>0.41865999999999998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173</v>
      </c>
      <c r="Y117" s="541">
        <f>IFERROR(SUM(Y112:Y115),"0")</f>
        <v>178.2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111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10</v>
      </c>
      <c r="Y161" s="540">
        <f t="shared" ref="Y161:Y170" si="5">IFERROR(IF(X161="",0,CEILING((X161/$H161),1)*$H161),"")</f>
        <v>12.600000000000001</v>
      </c>
      <c r="Z161" s="36">
        <f>IFERROR(IF(Y161=0,"",ROUNDUP(Y161/H161,0)*0.00902),"")</f>
        <v>2.7060000000000001E-2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10.595238095238095</v>
      </c>
      <c r="BN161" s="64">
        <f t="shared" ref="BN161:BN170" si="7">IFERROR(Y161*I161/H161,"0")</f>
        <v>13.350000000000001</v>
      </c>
      <c r="BO161" s="64">
        <f t="shared" ref="BO161:BO170" si="8">IFERROR(1/J161*(X161/H161),"0")</f>
        <v>1.8037518037518036E-2</v>
      </c>
      <c r="BP161" s="64">
        <f t="shared" ref="BP161:BP170" si="9">IFERROR(1/J161*(Y161/H161),"0")</f>
        <v>2.2727272727272728E-2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111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81</v>
      </c>
      <c r="Y163" s="540">
        <f t="shared" si="5"/>
        <v>84</v>
      </c>
      <c r="Z163" s="36">
        <f>IFERROR(IF(Y163=0,"",ROUNDUP(Y163/H163,0)*0.00902),"")</f>
        <v>0.1804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84.664285714285711</v>
      </c>
      <c r="BN163" s="64">
        <f t="shared" si="7"/>
        <v>87.8</v>
      </c>
      <c r="BO163" s="64">
        <f t="shared" si="8"/>
        <v>0.1461038961038961</v>
      </c>
      <c r="BP163" s="64">
        <f t="shared" si="9"/>
        <v>0.15151515151515152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70</v>
      </c>
      <c r="Y164" s="540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36</v>
      </c>
      <c r="Y167" s="540">
        <f t="shared" si="5"/>
        <v>36</v>
      </c>
      <c r="Z167" s="36">
        <f>IFERROR(IF(Y167=0,"",ROUNDUP(Y167/H167,0)*0.00502),"")</f>
        <v>0.1004</v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38.6</v>
      </c>
      <c r="BN167" s="64">
        <f t="shared" si="7"/>
        <v>38.6</v>
      </c>
      <c r="BO167" s="64">
        <f t="shared" si="8"/>
        <v>8.5470085470085472E-2</v>
      </c>
      <c r="BP167" s="64">
        <f t="shared" si="9"/>
        <v>8.5470085470085472E-2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212</v>
      </c>
      <c r="Y168" s="540">
        <f t="shared" si="5"/>
        <v>212.10000000000002</v>
      </c>
      <c r="Z168" s="36">
        <f>IFERROR(IF(Y168=0,"",ROUNDUP(Y168/H168,0)*0.00502),"")</f>
        <v>0.50702000000000003</v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222.0952380952381</v>
      </c>
      <c r="BN168" s="64">
        <f t="shared" si="7"/>
        <v>222.20000000000002</v>
      </c>
      <c r="BO168" s="64">
        <f t="shared" si="8"/>
        <v>0.43142043142043146</v>
      </c>
      <c r="BP168" s="64">
        <f t="shared" si="9"/>
        <v>0.43162393162393164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175.95238095238096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178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0.98555999999999999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409</v>
      </c>
      <c r="Y172" s="541">
        <f>IFERROR(SUM(Y161:Y170),"0")</f>
        <v>416.1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4</v>
      </c>
      <c r="Y175" s="540">
        <f>IFERROR(IF(X175="",0,CEILING((X175/$H175),1)*$H175),"")</f>
        <v>5.04</v>
      </c>
      <c r="Z175" s="36">
        <f>IFERROR(IF(Y175=0,"",ROUNDUP(Y175/H175,0)*0.0059),"")</f>
        <v>2.3599999999999999E-2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4.6031746031746028</v>
      </c>
      <c r="BN175" s="64">
        <f>IFERROR(Y175*I175/H175,"0")</f>
        <v>5.8</v>
      </c>
      <c r="BO175" s="64">
        <f>IFERROR(1/J175*(X175/H175),"0")</f>
        <v>1.469723691945914E-2</v>
      </c>
      <c r="BP175" s="64">
        <f>IFERROR(1/J175*(Y175/H175),"0")</f>
        <v>1.8518518518518517E-2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3</v>
      </c>
      <c r="Y176" s="540">
        <f>IFERROR(IF(X176="",0,CEILING((X176/$H176),1)*$H176),"")</f>
        <v>3.7800000000000002</v>
      </c>
      <c r="Z176" s="36">
        <f>IFERROR(IF(Y176=0,"",ROUNDUP(Y176/H176,0)*0.0059),"")</f>
        <v>1.77E-2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3.4523809523809521</v>
      </c>
      <c r="BN176" s="64">
        <f>IFERROR(Y176*I176/H176,"0")</f>
        <v>4.3499999999999996</v>
      </c>
      <c r="BO176" s="64">
        <f>IFERROR(1/J176*(X176/H176),"0")</f>
        <v>1.1022927689594356E-2</v>
      </c>
      <c r="BP176" s="64">
        <f>IFERROR(1/J176*(Y176/H176),"0")</f>
        <v>1.3888888888888888E-2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5.5555555555555554</v>
      </c>
      <c r="Y177" s="541">
        <f>IFERROR(Y174/H174,"0")+IFERROR(Y175/H175,"0")+IFERROR(Y176/H176,"0")</f>
        <v>7</v>
      </c>
      <c r="Z177" s="541">
        <f>IFERROR(IF(Z174="",0,Z174),"0")+IFERROR(IF(Z175="",0,Z175),"0")+IFERROR(IF(Z176="",0,Z176),"0")</f>
        <v>4.1300000000000003E-2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7</v>
      </c>
      <c r="Y178" s="541">
        <f>IFERROR(SUM(Y174:Y176),"0")</f>
        <v>8.82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6</v>
      </c>
      <c r="Y180" s="540">
        <f>IFERROR(IF(X180="",0,CEILING((X180/$H180),1)*$H180),"")</f>
        <v>6.3</v>
      </c>
      <c r="Z180" s="36">
        <f>IFERROR(IF(Y180=0,"",ROUNDUP(Y180/H180,0)*0.0059),"")</f>
        <v>2.9499999999999998E-2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6.9047619047619042</v>
      </c>
      <c r="BN180" s="64">
        <f>IFERROR(Y180*I180/H180,"0")</f>
        <v>7.25</v>
      </c>
      <c r="BO180" s="64">
        <f>IFERROR(1/J180*(X180/H180),"0")</f>
        <v>2.2045855379188711E-2</v>
      </c>
      <c r="BP180" s="64">
        <f>IFERROR(1/J180*(Y180/H180),"0")</f>
        <v>2.3148148148148147E-2</v>
      </c>
    </row>
    <row r="181" spans="1:68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4.7619047619047619</v>
      </c>
      <c r="Y181" s="541">
        <f>IFERROR(Y180/H180,"0")</f>
        <v>5</v>
      </c>
      <c r="Z181" s="541">
        <f>IFERROR(IF(Z180="",0,Z180),"0")</f>
        <v>2.9499999999999998E-2</v>
      </c>
      <c r="AA181" s="542"/>
      <c r="AB181" s="542"/>
      <c r="AC181" s="542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6</v>
      </c>
      <c r="Y182" s="541">
        <f>IFERROR(SUM(Y180:Y180),"0")</f>
        <v>6.3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205</v>
      </c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111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117</v>
      </c>
      <c r="Y195" s="540">
        <f t="shared" ref="Y195:Y202" si="10">IFERROR(IF(X195="",0,CEILING((X195/$H195),1)*$H195),"")</f>
        <v>118.80000000000001</v>
      </c>
      <c r="Z195" s="36">
        <f>IFERROR(IF(Y195=0,"",ROUNDUP(Y195/H195,0)*0.00902),"")</f>
        <v>0.19844000000000001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121.11666666666666</v>
      </c>
      <c r="BN195" s="64">
        <f t="shared" ref="BN195:BN202" si="12">IFERROR(Y195*I195/H195,"0")</f>
        <v>122.98</v>
      </c>
      <c r="BO195" s="64">
        <f t="shared" ref="BO195:BO202" si="13">IFERROR(1/J195*(X195/H195),"0")</f>
        <v>0.16414141414141412</v>
      </c>
      <c r="BP195" s="64">
        <f t="shared" ref="BP195:BP202" si="14">IFERROR(1/J195*(Y195/H195),"0")</f>
        <v>0.16666666666666669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111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80</v>
      </c>
      <c r="Y196" s="540">
        <f t="shared" si="10"/>
        <v>81</v>
      </c>
      <c r="Z196" s="36">
        <f>IFERROR(IF(Y196=0,"",ROUNDUP(Y196/H196,0)*0.00902),"")</f>
        <v>0.1353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82.81481481481481</v>
      </c>
      <c r="BN196" s="64">
        <f t="shared" si="12"/>
        <v>83.85</v>
      </c>
      <c r="BO196" s="64">
        <f t="shared" si="13"/>
        <v>0.11223344556677889</v>
      </c>
      <c r="BP196" s="64">
        <f t="shared" si="14"/>
        <v>0.11363636363636363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111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193</v>
      </c>
      <c r="Y198" s="540">
        <f t="shared" si="10"/>
        <v>194.4</v>
      </c>
      <c r="Z198" s="36">
        <f>IFERROR(IF(Y198=0,"",ROUNDUP(Y198/H198,0)*0.00902),"")</f>
        <v>0.32472000000000001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199.79074074074072</v>
      </c>
      <c r="BN198" s="64">
        <f t="shared" si="12"/>
        <v>201.23999999999998</v>
      </c>
      <c r="BO198" s="64">
        <f t="shared" si="13"/>
        <v>0.27076318742985411</v>
      </c>
      <c r="BP198" s="64">
        <f t="shared" si="14"/>
        <v>0.27272727272727271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62</v>
      </c>
      <c r="Y199" s="540">
        <f t="shared" si="10"/>
        <v>63</v>
      </c>
      <c r="Z199" s="36">
        <f>IFERROR(IF(Y199=0,"",ROUNDUP(Y199/H199,0)*0.00502),"")</f>
        <v>0.1757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66.477777777777774</v>
      </c>
      <c r="BN199" s="64">
        <f t="shared" si="12"/>
        <v>67.55</v>
      </c>
      <c r="BO199" s="64">
        <f t="shared" si="13"/>
        <v>0.14719848053181386</v>
      </c>
      <c r="BP199" s="64">
        <f t="shared" si="14"/>
        <v>0.1495726495726496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61</v>
      </c>
      <c r="Y200" s="540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64.388888888888886</v>
      </c>
      <c r="BN200" s="64">
        <f t="shared" si="12"/>
        <v>64.599999999999994</v>
      </c>
      <c r="BO200" s="64">
        <f t="shared" si="13"/>
        <v>0.14482431149097816</v>
      </c>
      <c r="BP200" s="64">
        <f t="shared" si="14"/>
        <v>0.14529914529914531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39</v>
      </c>
      <c r="Y202" s="540">
        <f t="shared" si="10"/>
        <v>39.6</v>
      </c>
      <c r="Z202" s="36">
        <f>IFERROR(IF(Y202=0,"",ROUNDUP(Y202/H202,0)*0.00502),"")</f>
        <v>0.11044000000000001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41.166666666666664</v>
      </c>
      <c r="BN202" s="64">
        <f t="shared" si="12"/>
        <v>41.8</v>
      </c>
      <c r="BO202" s="64">
        <f t="shared" si="13"/>
        <v>9.2592592592592601E-2</v>
      </c>
      <c r="BP202" s="64">
        <f t="shared" si="14"/>
        <v>9.401709401709403E-2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162.2222222222222</v>
      </c>
      <c r="Y203" s="541">
        <f>IFERROR(Y195/H195,"0")+IFERROR(Y196/H196,"0")+IFERROR(Y197/H197,"0")+IFERROR(Y198/H198,"0")+IFERROR(Y199/H199,"0")+IFERROR(Y200/H200,"0")+IFERROR(Y201/H201,"0")+IFERROR(Y202/H202,"0")</f>
        <v>164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1.11528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552</v>
      </c>
      <c r="Y204" s="541">
        <f>IFERROR(SUM(Y195:Y202),"0")</f>
        <v>558.00000000000011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11</v>
      </c>
      <c r="Y207" s="540">
        <f t="shared" si="15"/>
        <v>16.2</v>
      </c>
      <c r="Z207" s="36">
        <f>IFERROR(IF(Y207=0,"",ROUNDUP(Y207/H207,0)*0.01898),"")</f>
        <v>3.7960000000000001E-2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11.646419753086422</v>
      </c>
      <c r="BN207" s="64">
        <f t="shared" si="17"/>
        <v>17.152000000000001</v>
      </c>
      <c r="BO207" s="64">
        <f t="shared" si="18"/>
        <v>2.1219135802469136E-2</v>
      </c>
      <c r="BP207" s="64">
        <f t="shared" si="19"/>
        <v>3.125E-2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267</v>
      </c>
      <c r="Y208" s="540">
        <f t="shared" si="15"/>
        <v>269.7</v>
      </c>
      <c r="Z208" s="36">
        <f>IFERROR(IF(Y208=0,"",ROUNDUP(Y208/H208,0)*0.01898),"")</f>
        <v>0.58838000000000001</v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282.16068965517246</v>
      </c>
      <c r="BN208" s="64">
        <f t="shared" si="17"/>
        <v>285.01400000000007</v>
      </c>
      <c r="BO208" s="64">
        <f t="shared" si="18"/>
        <v>0.47952586206896558</v>
      </c>
      <c r="BP208" s="64">
        <f t="shared" si="19"/>
        <v>0.484375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205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190</v>
      </c>
      <c r="Y209" s="540">
        <f t="shared" si="15"/>
        <v>192</v>
      </c>
      <c r="Z209" s="36">
        <f t="shared" ref="Z209:Z214" si="20">IFERROR(IF(Y209=0,"",ROUNDUP(Y209/H209,0)*0.00651),"")</f>
        <v>0.52080000000000004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211.375</v>
      </c>
      <c r="BN209" s="64">
        <f t="shared" si="17"/>
        <v>213.6</v>
      </c>
      <c r="BO209" s="64">
        <f t="shared" si="18"/>
        <v>0.43498168498168505</v>
      </c>
      <c r="BP209" s="64">
        <f t="shared" si="19"/>
        <v>0.43956043956043961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205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173</v>
      </c>
      <c r="Y211" s="540">
        <f t="shared" si="15"/>
        <v>175.2</v>
      </c>
      <c r="Z211" s="36">
        <f t="shared" si="20"/>
        <v>0.47522999999999999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191.16500000000002</v>
      </c>
      <c r="BN211" s="64">
        <f t="shared" si="17"/>
        <v>193.596</v>
      </c>
      <c r="BO211" s="64">
        <f t="shared" si="18"/>
        <v>0.39606227106227115</v>
      </c>
      <c r="BP211" s="64">
        <f t="shared" si="19"/>
        <v>0.40109890109890112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205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206</v>
      </c>
      <c r="Y212" s="540">
        <f t="shared" si="15"/>
        <v>206.4</v>
      </c>
      <c r="Z212" s="36">
        <f t="shared" si="20"/>
        <v>0.55986000000000002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227.63000000000002</v>
      </c>
      <c r="BN212" s="64">
        <f t="shared" si="17"/>
        <v>228.07200000000006</v>
      </c>
      <c r="BO212" s="64">
        <f t="shared" si="18"/>
        <v>0.47161172161172171</v>
      </c>
      <c r="BP212" s="64">
        <f t="shared" si="19"/>
        <v>0.47252747252747257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205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156</v>
      </c>
      <c r="Y213" s="540">
        <f t="shared" si="15"/>
        <v>156</v>
      </c>
      <c r="Z213" s="36">
        <f t="shared" si="20"/>
        <v>0.42315000000000003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172.38000000000002</v>
      </c>
      <c r="BN213" s="64">
        <f t="shared" si="17"/>
        <v>172.38000000000002</v>
      </c>
      <c r="BO213" s="64">
        <f t="shared" si="18"/>
        <v>0.35714285714285715</v>
      </c>
      <c r="BP213" s="64">
        <f t="shared" si="19"/>
        <v>0.35714285714285715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205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79</v>
      </c>
      <c r="Y214" s="540">
        <f t="shared" si="15"/>
        <v>79.2</v>
      </c>
      <c r="Z214" s="36">
        <f t="shared" si="20"/>
        <v>0.21482999999999999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87.492500000000007</v>
      </c>
      <c r="BN214" s="64">
        <f t="shared" si="17"/>
        <v>87.713999999999999</v>
      </c>
      <c r="BO214" s="64">
        <f t="shared" si="18"/>
        <v>0.18086080586080591</v>
      </c>
      <c r="BP214" s="64">
        <f t="shared" si="19"/>
        <v>0.18131868131868134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367.04767986377186</v>
      </c>
      <c r="Y215" s="541">
        <f>IFERROR(Y206/H206,"0")+IFERROR(Y207/H207,"0")+IFERROR(Y208/H208,"0")+IFERROR(Y209/H209,"0")+IFERROR(Y210/H210,"0")+IFERROR(Y211/H211,"0")+IFERROR(Y212/H212,"0")+IFERROR(Y213/H213,"0")+IFERROR(Y214/H214,"0")</f>
        <v>370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2.8202100000000003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1082</v>
      </c>
      <c r="Y216" s="541">
        <f>IFERROR(SUM(Y206:Y214),"0")</f>
        <v>1094.6999999999998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164</v>
      </c>
      <c r="Y218" s="540">
        <f>IFERROR(IF(X218="",0,CEILING((X218/$H218),1)*$H218),"")</f>
        <v>165.6</v>
      </c>
      <c r="Z218" s="36">
        <f>IFERROR(IF(Y218=0,"",ROUNDUP(Y218/H218,0)*0.00651),"")</f>
        <v>0.44919000000000003</v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181.22</v>
      </c>
      <c r="BN218" s="64">
        <f>IFERROR(Y218*I218/H218,"0")</f>
        <v>182.988</v>
      </c>
      <c r="BO218" s="64">
        <f>IFERROR(1/J218*(X218/H218),"0")</f>
        <v>0.37545787545787551</v>
      </c>
      <c r="BP218" s="64">
        <f>IFERROR(1/J218*(Y218/H218),"0")</f>
        <v>0.37912087912087916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205</v>
      </c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68.333333333333343</v>
      </c>
      <c r="Y220" s="541">
        <f>IFERROR(Y218/H218,"0")+IFERROR(Y219/H219,"0")</f>
        <v>69</v>
      </c>
      <c r="Z220" s="541">
        <f>IFERROR(IF(Z218="",0,Z218),"0")+IFERROR(IF(Z219="",0,Z219),"0")</f>
        <v>0.44919000000000003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164</v>
      </c>
      <c r="Y221" s="541">
        <f>IFERROR(SUM(Y218:Y219),"0")</f>
        <v>165.6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94</v>
      </c>
      <c r="Y224" s="540">
        <f t="shared" ref="Y224:Y233" si="21">IFERROR(IF(X224="",0,CEILING((X224/$H224),1)*$H224),"")</f>
        <v>104.39999999999999</v>
      </c>
      <c r="Z224" s="36">
        <f>IFERROR(IF(Y224=0,"",ROUNDUP(Y224/H224,0)*0.01898),"")</f>
        <v>0.17082</v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97.322413793103451</v>
      </c>
      <c r="BN224" s="64">
        <f t="shared" ref="BN224:BN233" si="23">IFERROR(Y224*I224/H224,"0")</f>
        <v>108.08999999999999</v>
      </c>
      <c r="BO224" s="64">
        <f t="shared" ref="BO224:BO233" si="24">IFERROR(1/J224*(X224/H224),"0")</f>
        <v>0.12661637931034483</v>
      </c>
      <c r="BP224" s="64">
        <f t="shared" ref="BP224:BP233" si="25">IFERROR(1/J224*(Y224/H224),"0")</f>
        <v>0.140625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8.1034482758620694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9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0.17082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94</v>
      </c>
      <c r="Y235" s="541">
        <f>IFERROR(SUM(Y224:Y233),"0")</f>
        <v>104.39999999999999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9</v>
      </c>
      <c r="Y241" s="540">
        <f>IFERROR(IF(X241="",0,CEILING((X241/$H241),1)*$H241),"")</f>
        <v>9</v>
      </c>
      <c r="Z241" s="36">
        <f>IFERROR(IF(Y241=0,"",ROUNDUP(Y241/H241,0)*0.0059),"")</f>
        <v>2.9499999999999998E-2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9.8750000000000018</v>
      </c>
      <c r="BN241" s="64">
        <f>IFERROR(Y241*I241/H241,"0")</f>
        <v>9.8750000000000018</v>
      </c>
      <c r="BO241" s="64">
        <f>IFERROR(1/J241*(X241/H241),"0")</f>
        <v>2.3148148148148147E-2</v>
      </c>
      <c r="BP241" s="64">
        <f>IFERROR(1/J241*(Y241/H241),"0")</f>
        <v>2.3148148148148147E-2</v>
      </c>
    </row>
    <row r="242" spans="1:68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5</v>
      </c>
      <c r="Y242" s="541">
        <f>IFERROR(Y241/H241,"0")</f>
        <v>5</v>
      </c>
      <c r="Z242" s="541">
        <f>IFERROR(IF(Z241="",0,Z241),"0")</f>
        <v>2.9499999999999998E-2</v>
      </c>
      <c r="AA242" s="542"/>
      <c r="AB242" s="542"/>
      <c r="AC242" s="542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9</v>
      </c>
      <c r="Y243" s="541">
        <f>IFERROR(SUM(Y241:Y241),"0")</f>
        <v>9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3</v>
      </c>
      <c r="Y248" s="540">
        <f>IFERROR(IF(X248="",0,CEILING((X248/$H248),1)*$H248),"")</f>
        <v>3.96</v>
      </c>
      <c r="Z248" s="36">
        <f>IFERROR(IF(Y248=0,"",ROUNDUP(Y248/H248,0)*0.0059),"")</f>
        <v>2.3599999999999999E-2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3.5757575757575757</v>
      </c>
      <c r="BN248" s="64">
        <f>IFERROR(Y248*I248/H248,"0")</f>
        <v>4.72</v>
      </c>
      <c r="BO248" s="64">
        <f>IFERROR(1/J248*(X248/H248),"0")</f>
        <v>1.4029180695847361E-2</v>
      </c>
      <c r="BP248" s="64">
        <f>IFERROR(1/J248*(Y248/H248),"0")</f>
        <v>1.8518518518518517E-2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4.1414141414141419</v>
      </c>
      <c r="Y250" s="541">
        <f>IFERROR(Y245/H245,"0")+IFERROR(Y246/H246,"0")+IFERROR(Y247/H247,"0")+IFERROR(Y248/H248,"0")+IFERROR(Y249/H249,"0")</f>
        <v>6</v>
      </c>
      <c r="Z250" s="541">
        <f>IFERROR(IF(Z245="",0,Z245),"0")+IFERROR(IF(Z246="",0,Z246),"0")+IFERROR(IF(Z247="",0,Z247),"0")+IFERROR(IF(Z248="",0,Z248),"0")+IFERROR(IF(Z249="",0,Z249),"0")</f>
        <v>3.5400000000000001E-2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4</v>
      </c>
      <c r="Y251" s="541">
        <f>IFERROR(SUM(Y245:Y249),"0")</f>
        <v>5.76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205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205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54</v>
      </c>
      <c r="Y273" s="540">
        <f>IFERROR(IF(X273="",0,CEILING((X273/$H273),1)*$H273),"")</f>
        <v>55.199999999999996</v>
      </c>
      <c r="Z273" s="36">
        <f>IFERROR(IF(Y273=0,"",ROUNDUP(Y273/H273,0)*0.00651),"")</f>
        <v>0.14973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58.05</v>
      </c>
      <c r="BN273" s="64">
        <f>IFERROR(Y273*I273/H273,"0")</f>
        <v>59.34</v>
      </c>
      <c r="BO273" s="64">
        <f>IFERROR(1/J273*(X273/H273),"0")</f>
        <v>0.12362637362637363</v>
      </c>
      <c r="BP273" s="64">
        <f>IFERROR(1/J273*(Y273/H273),"0")</f>
        <v>0.1263736263736264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22.5</v>
      </c>
      <c r="Y274" s="541">
        <f>IFERROR(Y271/H271,"0")+IFERROR(Y272/H272,"0")+IFERROR(Y273/H273,"0")</f>
        <v>23</v>
      </c>
      <c r="Z274" s="541">
        <f>IFERROR(IF(Z271="",0,Z271),"0")+IFERROR(IF(Z272="",0,Z272),"0")+IFERROR(IF(Z273="",0,Z273),"0")</f>
        <v>0.14973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54</v>
      </c>
      <c r="Y275" s="541">
        <f>IFERROR(SUM(Y271:Y273),"0")</f>
        <v>55.199999999999996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14</v>
      </c>
      <c r="Y303" s="540">
        <f t="shared" si="26"/>
        <v>14.4</v>
      </c>
      <c r="Z303" s="36">
        <f>IFERROR(IF(Y303=0,"",ROUNDUP(Y303/H303,0)*0.00651),"")</f>
        <v>5.2080000000000001E-2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15.773333333333333</v>
      </c>
      <c r="BN303" s="64">
        <f t="shared" si="28"/>
        <v>16.224</v>
      </c>
      <c r="BO303" s="64">
        <f t="shared" si="29"/>
        <v>4.2735042735042736E-2</v>
      </c>
      <c r="BP303" s="64">
        <f t="shared" si="30"/>
        <v>4.3956043956043959E-2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7.7777777777777777</v>
      </c>
      <c r="Y304" s="541">
        <f>IFERROR(Y297/H297,"0")+IFERROR(Y298/H298,"0")+IFERROR(Y299/H299,"0")+IFERROR(Y300/H300,"0")+IFERROR(Y301/H301,"0")+IFERROR(Y302/H302,"0")+IFERROR(Y303/H303,"0")</f>
        <v>8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5.2080000000000001E-2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14</v>
      </c>
      <c r="Y305" s="541">
        <f>IFERROR(SUM(Y297:Y303),"0")</f>
        <v>14.4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215</v>
      </c>
      <c r="Y314" s="540">
        <f>IFERROR(IF(X314="",0,CEILING((X314/$H314),1)*$H314),"")</f>
        <v>218.4</v>
      </c>
      <c r="Z314" s="36">
        <f>IFERROR(IF(Y314=0,"",ROUNDUP(Y314/H314,0)*0.01898),"")</f>
        <v>0.49348000000000003</v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227.64404761904763</v>
      </c>
      <c r="BN314" s="64">
        <f>IFERROR(Y314*I314/H314,"0")</f>
        <v>231.244</v>
      </c>
      <c r="BO314" s="64">
        <f>IFERROR(1/J314*(X314/H314),"0")</f>
        <v>0.39992559523809523</v>
      </c>
      <c r="BP314" s="64">
        <f>IFERROR(1/J314*(Y314/H314),"0")</f>
        <v>0.40625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427</v>
      </c>
      <c r="Y315" s="540">
        <f>IFERROR(IF(X315="",0,CEILING((X315/$H315),1)*$H315),"")</f>
        <v>429</v>
      </c>
      <c r="Z315" s="36">
        <f>IFERROR(IF(Y315=0,"",ROUNDUP(Y315/H315,0)*0.01898),"")</f>
        <v>1.0439000000000001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454.04333333333335</v>
      </c>
      <c r="BN315" s="64">
        <f>IFERROR(Y315*I315/H315,"0")</f>
        <v>456.17</v>
      </c>
      <c r="BO315" s="64">
        <f>IFERROR(1/J315*(X315/H315),"0")</f>
        <v>0.85536858974358976</v>
      </c>
      <c r="BP315" s="64">
        <f>IFERROR(1/J315*(Y315/H315),"0")</f>
        <v>0.859375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13</v>
      </c>
      <c r="Y316" s="540">
        <f>IFERROR(IF(X316="",0,CEILING((X316/$H316),1)*$H316),"")</f>
        <v>16.8</v>
      </c>
      <c r="Z316" s="36">
        <f>IFERROR(IF(Y316=0,"",ROUNDUP(Y316/H316,0)*0.01898),"")</f>
        <v>3.7960000000000001E-2</v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13.764523809523808</v>
      </c>
      <c r="BN316" s="64">
        <f>IFERROR(Y316*I316/H316,"0")</f>
        <v>17.788</v>
      </c>
      <c r="BO316" s="64">
        <f>IFERROR(1/J316*(X316/H316),"0")</f>
        <v>2.4181547619047616E-2</v>
      </c>
      <c r="BP316" s="64">
        <f>IFERROR(1/J316*(Y316/H316),"0")</f>
        <v>3.125E-2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81.88644688644689</v>
      </c>
      <c r="Y317" s="541">
        <f>IFERROR(Y314/H314,"0")+IFERROR(Y315/H315,"0")+IFERROR(Y316/H316,"0")</f>
        <v>83</v>
      </c>
      <c r="Z317" s="541">
        <f>IFERROR(IF(Z314="",0,Z314),"0")+IFERROR(IF(Z315="",0,Z315),"0")+IFERROR(IF(Z316="",0,Z316),"0")</f>
        <v>1.5753400000000002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655</v>
      </c>
      <c r="Y318" s="541">
        <f>IFERROR(SUM(Y314:Y316),"0")</f>
        <v>664.19999999999993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4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4</v>
      </c>
      <c r="Y321" s="540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4.3026315789473681</v>
      </c>
      <c r="BN321" s="64">
        <f>IFERROR(Y321*I321/H321,"0")</f>
        <v>6.5399999999999991</v>
      </c>
      <c r="BO321" s="64">
        <f>IFERROR(1/J321*(X321/H321),"0")</f>
        <v>9.9681020733652318E-3</v>
      </c>
      <c r="BP321" s="64">
        <f>IFERROR(1/J321*(Y321/H321),"0")</f>
        <v>1.5151515151515152E-2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205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28</v>
      </c>
      <c r="Y323" s="540">
        <f>IFERROR(IF(X323="",0,CEILING((X323/$H323),1)*$H323),"")</f>
        <v>28.049999999999997</v>
      </c>
      <c r="Z323" s="36">
        <f>IFERROR(IF(Y323=0,"",ROUNDUP(Y323/H323,0)*0.00651),"")</f>
        <v>7.1610000000000007E-2</v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31.623529411764707</v>
      </c>
      <c r="BN323" s="64">
        <f>IFERROR(Y323*I323/H323,"0")</f>
        <v>31.68</v>
      </c>
      <c r="BO323" s="64">
        <f>IFERROR(1/J323*(X323/H323),"0")</f>
        <v>6.0331825037707398E-2</v>
      </c>
      <c r="BP323" s="64">
        <f>IFERROR(1/J323*(Y323/H323),"0")</f>
        <v>6.0439560439560447E-2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13.611971104231166</v>
      </c>
      <c r="Y324" s="541">
        <f>IFERROR(Y320/H320,"0")+IFERROR(Y321/H321,"0")+IFERROR(Y322/H322,"0")+IFERROR(Y323/H323,"0")</f>
        <v>15</v>
      </c>
      <c r="Z324" s="541">
        <f>IFERROR(IF(Z320="",0,Z320),"0")+IFERROR(IF(Z321="",0,Z321),"0")+IFERROR(IF(Z322="",0,Z322),"0")+IFERROR(IF(Z323="",0,Z323),"0")</f>
        <v>0.10769000000000001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36</v>
      </c>
      <c r="Y325" s="541">
        <f>IFERROR(SUM(Y320:Y323),"0")</f>
        <v>40.209999999999994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7</v>
      </c>
      <c r="Y327" s="540">
        <f>IFERROR(IF(X327="",0,CEILING((X327/$H327),1)*$H327),"")</f>
        <v>8</v>
      </c>
      <c r="Z327" s="36">
        <f>IFERROR(IF(Y327=0,"",ROUNDUP(Y327/H327,0)*0.00474),"")</f>
        <v>1.8960000000000001E-2</v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7.8400000000000007</v>
      </c>
      <c r="BN327" s="64">
        <f>IFERROR(Y327*I327/H327,"0")</f>
        <v>8.9600000000000009</v>
      </c>
      <c r="BO327" s="64">
        <f>IFERROR(1/J327*(X327/H327),"0")</f>
        <v>1.4705882352941176E-2</v>
      </c>
      <c r="BP327" s="64">
        <f>IFERROR(1/J327*(Y327/H327),"0")</f>
        <v>1.680672268907563E-2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2</v>
      </c>
      <c r="Y328" s="540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2.2400000000000002</v>
      </c>
      <c r="BN328" s="64">
        <f>IFERROR(Y328*I328/H328,"0")</f>
        <v>2.2400000000000002</v>
      </c>
      <c r="BO328" s="64">
        <f>IFERROR(1/J328*(X328/H328),"0")</f>
        <v>4.2016806722689074E-3</v>
      </c>
      <c r="BP328" s="64">
        <f>IFERROR(1/J328*(Y328/H328),"0")</f>
        <v>4.2016806722689074E-3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11</v>
      </c>
      <c r="Y329" s="540">
        <f>IFERROR(IF(X329="",0,CEILING((X329/$H329),1)*$H329),"")</f>
        <v>12</v>
      </c>
      <c r="Z329" s="36">
        <f>IFERROR(IF(Y329=0,"",ROUNDUP(Y329/H329,0)*0.00474),"")</f>
        <v>2.844E-2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12.32</v>
      </c>
      <c r="BN329" s="64">
        <f>IFERROR(Y329*I329/H329,"0")</f>
        <v>13.440000000000001</v>
      </c>
      <c r="BO329" s="64">
        <f>IFERROR(1/J329*(X329/H329),"0")</f>
        <v>2.3109243697478989E-2</v>
      </c>
      <c r="BP329" s="64">
        <f>IFERROR(1/J329*(Y329/H329),"0")</f>
        <v>2.5210084033613446E-2</v>
      </c>
    </row>
    <row r="330" spans="1:68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10</v>
      </c>
      <c r="Y330" s="541">
        <f>IFERROR(Y327/H327,"0")+IFERROR(Y328/H328,"0")+IFERROR(Y329/H329,"0")</f>
        <v>11</v>
      </c>
      <c r="Z330" s="541">
        <f>IFERROR(IF(Z327="",0,Z327),"0")+IFERROR(IF(Z328="",0,Z328),"0")+IFERROR(IF(Z329="",0,Z329),"0")</f>
        <v>5.2140000000000006E-2</v>
      </c>
      <c r="AA330" s="542"/>
      <c r="AB330" s="542"/>
      <c r="AC330" s="542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20</v>
      </c>
      <c r="Y331" s="541">
        <f>IFERROR(SUM(Y327:Y329),"0")</f>
        <v>22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22</v>
      </c>
      <c r="Y334" s="540">
        <f>IFERROR(IF(X334="",0,CEILING((X334/$H334),1)*$H334),"")</f>
        <v>24.299999999999997</v>
      </c>
      <c r="Z334" s="36">
        <f>IFERROR(IF(Y334=0,"",ROUNDUP(Y334/H334,0)*0.01898),"")</f>
        <v>5.6940000000000004E-2</v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23.341728395061729</v>
      </c>
      <c r="BN334" s="64">
        <f>IFERROR(Y334*I334/H334,"0")</f>
        <v>25.781999999999996</v>
      </c>
      <c r="BO334" s="64">
        <f>IFERROR(1/J334*(X334/H334),"0")</f>
        <v>4.2438271604938273E-2</v>
      </c>
      <c r="BP334" s="64">
        <f>IFERROR(1/J334*(Y334/H334),"0")</f>
        <v>4.6875E-2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2.7160493827160495</v>
      </c>
      <c r="Y337" s="541">
        <f>IFERROR(Y334/H334,"0")+IFERROR(Y335/H335,"0")+IFERROR(Y336/H336,"0")</f>
        <v>3</v>
      </c>
      <c r="Z337" s="541">
        <f>IFERROR(IF(Z334="",0,Z334),"0")+IFERROR(IF(Z335="",0,Z335),"0")+IFERROR(IF(Z336="",0,Z336),"0")</f>
        <v>5.6940000000000004E-2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22</v>
      </c>
      <c r="Y338" s="541">
        <f>IFERROR(SUM(Y334:Y336),"0")</f>
        <v>24.299999999999997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169</v>
      </c>
      <c r="Y342" s="540">
        <f t="shared" ref="Y342:Y348" si="31">IFERROR(IF(X342="",0,CEILING((X342/$H342),1)*$H342),"")</f>
        <v>180</v>
      </c>
      <c r="Z342" s="36">
        <f>IFERROR(IF(Y342=0,"",ROUNDUP(Y342/H342,0)*0.02175),"")</f>
        <v>0.26100000000000001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174.29533333333336</v>
      </c>
      <c r="BN342" s="64">
        <f t="shared" ref="BN342:BN348" si="33">IFERROR(Y342*I342/H342,"0")</f>
        <v>185.64</v>
      </c>
      <c r="BO342" s="64">
        <f t="shared" ref="BO342:BO348" si="34">IFERROR(1/J342*(X342/H342),"0")</f>
        <v>0.23472222222222222</v>
      </c>
      <c r="BP342" s="64">
        <f t="shared" ref="BP342:BP348" si="35">IFERROR(1/J342*(Y342/H342),"0")</f>
        <v>0.25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767</v>
      </c>
      <c r="Y343" s="540">
        <f t="shared" si="31"/>
        <v>780</v>
      </c>
      <c r="Z343" s="36">
        <f>IFERROR(IF(Y343=0,"",ROUNDUP(Y343/H343,0)*0.02175),"")</f>
        <v>1.131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791.03266666666661</v>
      </c>
      <c r="BN343" s="64">
        <f t="shared" si="33"/>
        <v>804.44</v>
      </c>
      <c r="BO343" s="64">
        <f t="shared" si="34"/>
        <v>1.0652777777777778</v>
      </c>
      <c r="BP343" s="64">
        <f t="shared" si="35"/>
        <v>1.0833333333333333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123</v>
      </c>
      <c r="Y344" s="540">
        <f t="shared" si="31"/>
        <v>135</v>
      </c>
      <c r="Z344" s="36">
        <f>IFERROR(IF(Y344=0,"",ROUNDUP(Y344/H344,0)*0.02175),"")</f>
        <v>0.19574999999999998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126.85400000000001</v>
      </c>
      <c r="BN344" s="64">
        <f t="shared" si="33"/>
        <v>139.23000000000002</v>
      </c>
      <c r="BO344" s="64">
        <f t="shared" si="34"/>
        <v>0.17083333333333331</v>
      </c>
      <c r="BP344" s="64">
        <f t="shared" si="35"/>
        <v>0.1875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70.599999999999994</v>
      </c>
      <c r="Y349" s="541">
        <f>IFERROR(Y342/H342,"0")+IFERROR(Y343/H343,"0")+IFERROR(Y344/H344,"0")+IFERROR(Y345/H345,"0")+IFERROR(Y346/H346,"0")+IFERROR(Y347/H347,"0")+IFERROR(Y348/H348,"0")</f>
        <v>73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1.5877499999999998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1059</v>
      </c>
      <c r="Y350" s="541">
        <f>IFERROR(SUM(Y342:Y348),"0")</f>
        <v>1095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682</v>
      </c>
      <c r="Y352" s="540">
        <f>IFERROR(IF(X352="",0,CEILING((X352/$H352),1)*$H352),"")</f>
        <v>690</v>
      </c>
      <c r="Z352" s="36">
        <f>IFERROR(IF(Y352=0,"",ROUNDUP(Y352/H352,0)*0.02175),"")</f>
        <v>1.0004999999999999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703.36933333333343</v>
      </c>
      <c r="BN352" s="64">
        <f>IFERROR(Y352*I352/H352,"0")</f>
        <v>711.62000000000012</v>
      </c>
      <c r="BO352" s="64">
        <f>IFERROR(1/J352*(X352/H352),"0")</f>
        <v>0.94722222222222219</v>
      </c>
      <c r="BP352" s="64">
        <f>IFERROR(1/J352*(Y352/H352),"0")</f>
        <v>0.95833333333333326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45.466666666666669</v>
      </c>
      <c r="Y354" s="541">
        <f>IFERROR(Y352/H352,"0")+IFERROR(Y353/H353,"0")</f>
        <v>46</v>
      </c>
      <c r="Z354" s="541">
        <f>IFERROR(IF(Z352="",0,Z352),"0")+IFERROR(IF(Z353="",0,Z353),"0")</f>
        <v>1.0004999999999999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682</v>
      </c>
      <c r="Y355" s="541">
        <f>IFERROR(SUM(Y352:Y353),"0")</f>
        <v>690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7</v>
      </c>
      <c r="Y358" s="540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7.3842222222222222</v>
      </c>
      <c r="BN358" s="64">
        <f>IFERROR(Y358*I358/H358,"0")</f>
        <v>9.4939999999999998</v>
      </c>
      <c r="BO358" s="64">
        <f>IFERROR(1/J358*(X358/H358),"0")</f>
        <v>1.2152777777777778E-2</v>
      </c>
      <c r="BP358" s="64">
        <f>IFERROR(1/J358*(Y358/H358),"0")</f>
        <v>1.5625E-2</v>
      </c>
    </row>
    <row r="359" spans="1:68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0.77777777777777779</v>
      </c>
      <c r="Y359" s="541">
        <f>IFERROR(Y357/H357,"0")+IFERROR(Y358/H358,"0")</f>
        <v>1</v>
      </c>
      <c r="Z359" s="541">
        <f>IFERROR(IF(Z357="",0,Z357),"0")+IFERROR(IF(Z358="",0,Z358),"0")</f>
        <v>1.898E-2</v>
      </c>
      <c r="AA359" s="542"/>
      <c r="AB359" s="542"/>
      <c r="AC359" s="542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7</v>
      </c>
      <c r="Y360" s="541">
        <f>IFERROR(SUM(Y357:Y358),"0")</f>
        <v>9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216</v>
      </c>
      <c r="Y362" s="540">
        <f>IFERROR(IF(X362="",0,CEILING((X362/$H362),1)*$H362),"")</f>
        <v>216</v>
      </c>
      <c r="Z362" s="36">
        <f>IFERROR(IF(Y362=0,"",ROUNDUP(Y362/H362,0)*0.01898),"")</f>
        <v>0.45552000000000004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227.85599999999997</v>
      </c>
      <c r="BN362" s="64">
        <f>IFERROR(Y362*I362/H362,"0")</f>
        <v>227.85599999999997</v>
      </c>
      <c r="BO362" s="64">
        <f>IFERROR(1/J362*(X362/H362),"0")</f>
        <v>0.375</v>
      </c>
      <c r="BP362" s="64">
        <f>IFERROR(1/J362*(Y362/H362),"0")</f>
        <v>0.375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24</v>
      </c>
      <c r="Y363" s="541">
        <f>IFERROR(Y362/H362,"0")</f>
        <v>24</v>
      </c>
      <c r="Z363" s="541">
        <f>IFERROR(IF(Z362="",0,Z362),"0")</f>
        <v>0.45552000000000004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216</v>
      </c>
      <c r="Y364" s="541">
        <f>IFERROR(SUM(Y362:Y362),"0")</f>
        <v>216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14</v>
      </c>
      <c r="Y367" s="540">
        <f>IFERROR(IF(X367="",0,CEILING((X367/$H367),1)*$H367),"")</f>
        <v>24</v>
      </c>
      <c r="Z367" s="36">
        <f>IFERROR(IF(Y367=0,"",ROUNDUP(Y367/H367,0)*0.01898),"")</f>
        <v>3.7960000000000001E-2</v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14.478333333333333</v>
      </c>
      <c r="BN367" s="64">
        <f>IFERROR(Y367*I367/H367,"0")</f>
        <v>24.820000000000004</v>
      </c>
      <c r="BO367" s="64">
        <f>IFERROR(1/J367*(X367/H367),"0")</f>
        <v>1.8229166666666668E-2</v>
      </c>
      <c r="BP367" s="64">
        <f>IFERROR(1/J367*(Y367/H367),"0")</f>
        <v>3.125E-2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1.1666666666666667</v>
      </c>
      <c r="Y369" s="541">
        <f>IFERROR(Y367/H367,"0")+IFERROR(Y368/H368,"0")</f>
        <v>2</v>
      </c>
      <c r="Z369" s="541">
        <f>IFERROR(IF(Z367="",0,Z367),"0")+IFERROR(IF(Z368="",0,Z368),"0")</f>
        <v>3.7960000000000001E-2</v>
      </c>
      <c r="AA369" s="542"/>
      <c r="AB369" s="542"/>
      <c r="AC369" s="542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14</v>
      </c>
      <c r="Y370" s="541">
        <f>IFERROR(SUM(Y367:Y368),"0")</f>
        <v>24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1185</v>
      </c>
      <c r="Y377" s="540">
        <f>IFERROR(IF(X377="",0,CEILING((X377/$H377),1)*$H377),"")</f>
        <v>1188</v>
      </c>
      <c r="Z377" s="36">
        <f>IFERROR(IF(Y377=0,"",ROUNDUP(Y377/H377,0)*0.01898),"")</f>
        <v>2.50536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1250.0433333333333</v>
      </c>
      <c r="BN377" s="64">
        <f>IFERROR(Y377*I377/H377,"0")</f>
        <v>1253.2079999999999</v>
      </c>
      <c r="BO377" s="64">
        <f>IFERROR(1/J377*(X377/H377),"0")</f>
        <v>2.0572916666666665</v>
      </c>
      <c r="BP377" s="64">
        <f>IFERROR(1/J377*(Y377/H377),"0")</f>
        <v>2.0625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205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7</v>
      </c>
      <c r="Y378" s="540">
        <f>IFERROR(IF(X378="",0,CEILING((X378/$H378),1)*$H378),"")</f>
        <v>7.1999999999999993</v>
      </c>
      <c r="Z378" s="36">
        <f>IFERROR(IF(Y378=0,"",ROUNDUP(Y378/H378,0)*0.00651),"")</f>
        <v>1.9529999999999999E-2</v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7.7700000000000005</v>
      </c>
      <c r="BN378" s="64">
        <f>IFERROR(Y378*I378/H378,"0")</f>
        <v>7.9919999999999991</v>
      </c>
      <c r="BO378" s="64">
        <f>IFERROR(1/J378*(X378/H378),"0")</f>
        <v>1.6025641025641028E-2</v>
      </c>
      <c r="BP378" s="64">
        <f>IFERROR(1/J378*(Y378/H378),"0")</f>
        <v>1.6483516483516484E-2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134.58333333333331</v>
      </c>
      <c r="Y379" s="541">
        <f>IFERROR(Y377/H377,"0")+IFERROR(Y378/H378,"0")</f>
        <v>135</v>
      </c>
      <c r="Z379" s="541">
        <f>IFERROR(IF(Z377="",0,Z377),"0")+IFERROR(IF(Z378="",0,Z378),"0")</f>
        <v>2.5248900000000001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1192</v>
      </c>
      <c r="Y380" s="541">
        <f>IFERROR(SUM(Y377:Y378),"0")</f>
        <v>1195.2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34</v>
      </c>
      <c r="Y420" s="540">
        <f t="shared" ref="Y420:Y430" si="42">IFERROR(IF(X420="",0,CEILING((X420/$H420),1)*$H420),"")</f>
        <v>36.96</v>
      </c>
      <c r="Z420" s="36">
        <f t="shared" ref="Z420:Z425" si="43">IFERROR(IF(Y420=0,"",ROUNDUP(Y420/H420,0)*0.01196),"")</f>
        <v>8.3720000000000003E-2</v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36.253787878787875</v>
      </c>
      <c r="BN420" s="64">
        <f t="shared" ref="BN420:BN430" si="45">IFERROR(Y420*I420/H420,"0")</f>
        <v>39.409999999999997</v>
      </c>
      <c r="BO420" s="64">
        <f t="shared" ref="BO420:BO430" si="46">IFERROR(1/J420*(X420/H420),"0")</f>
        <v>6.1917249417249423E-2</v>
      </c>
      <c r="BP420" s="64">
        <f t="shared" ref="BP420:BP430" si="47">IFERROR(1/J420*(Y420/H420),"0")</f>
        <v>6.7307692307692318E-2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48</v>
      </c>
      <c r="Y422" s="540">
        <f t="shared" si="42"/>
        <v>52.800000000000004</v>
      </c>
      <c r="Z422" s="36">
        <f t="shared" si="43"/>
        <v>0.1196</v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51.18181818181818</v>
      </c>
      <c r="BN422" s="64">
        <f t="shared" si="45"/>
        <v>56.3</v>
      </c>
      <c r="BO422" s="64">
        <f t="shared" si="46"/>
        <v>8.7412587412587409E-2</v>
      </c>
      <c r="BP422" s="64">
        <f t="shared" si="47"/>
        <v>9.6153846153846159E-2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345</v>
      </c>
      <c r="Y423" s="540">
        <f t="shared" si="42"/>
        <v>348.48</v>
      </c>
      <c r="Z423" s="36">
        <f t="shared" si="43"/>
        <v>0.78936000000000006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367.86931818181813</v>
      </c>
      <c r="BN423" s="64">
        <f t="shared" si="45"/>
        <v>371.58</v>
      </c>
      <c r="BO423" s="64">
        <f t="shared" si="46"/>
        <v>0.62827797202797209</v>
      </c>
      <c r="BP423" s="64">
        <f t="shared" si="47"/>
        <v>0.63461538461538469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348</v>
      </c>
      <c r="Y425" s="540">
        <f t="shared" si="42"/>
        <v>348.48</v>
      </c>
      <c r="Z425" s="36">
        <f t="shared" si="43"/>
        <v>0.78936000000000006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371.06818181818181</v>
      </c>
      <c r="BN425" s="64">
        <f t="shared" si="45"/>
        <v>371.58</v>
      </c>
      <c r="BO425" s="64">
        <f t="shared" si="46"/>
        <v>0.63374125874125875</v>
      </c>
      <c r="BP425" s="64">
        <f t="shared" si="47"/>
        <v>0.63461538461538469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44</v>
      </c>
      <c r="Y427" s="540">
        <f t="shared" si="42"/>
        <v>48</v>
      </c>
      <c r="Z427" s="36">
        <f>IFERROR(IF(Y427=0,"",ROUNDUP(Y427/H427,0)*0.00902),"")</f>
        <v>9.0200000000000002E-2</v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63.341666666666676</v>
      </c>
      <c r="BN427" s="64">
        <f t="shared" si="45"/>
        <v>69.100000000000009</v>
      </c>
      <c r="BO427" s="64">
        <f t="shared" si="46"/>
        <v>6.9444444444444461E-2</v>
      </c>
      <c r="BP427" s="64">
        <f t="shared" si="47"/>
        <v>7.575757575757576E-2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155.94696969696969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159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1.8722400000000001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819</v>
      </c>
      <c r="Y432" s="541">
        <f>IFERROR(SUM(Y420:Y430),"0")</f>
        <v>834.72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206</v>
      </c>
      <c r="Y434" s="540">
        <f>IFERROR(IF(X434="",0,CEILING((X434/$H434),1)*$H434),"")</f>
        <v>211.20000000000002</v>
      </c>
      <c r="Z434" s="36">
        <f>IFERROR(IF(Y434=0,"",ROUNDUP(Y434/H434,0)*0.01196),"")</f>
        <v>0.47839999999999999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219.655303030303</v>
      </c>
      <c r="BN434" s="64">
        <f>IFERROR(Y434*I434/H434,"0")</f>
        <v>225.2</v>
      </c>
      <c r="BO434" s="64">
        <f>IFERROR(1/J434*(X434/H434),"0")</f>
        <v>0.37514568764568768</v>
      </c>
      <c r="BP434" s="64">
        <f>IFERROR(1/J434*(Y434/H434),"0")</f>
        <v>0.38461538461538464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111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18</v>
      </c>
      <c r="Y436" s="540">
        <f>IFERROR(IF(X436="",0,CEILING((X436/$H436),1)*$H436),"")</f>
        <v>19.2</v>
      </c>
      <c r="Z436" s="36">
        <f>IFERROR(IF(Y436=0,"",ROUNDUP(Y436/H436,0)*0.00902),"")</f>
        <v>3.6080000000000001E-2</v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25.912500000000001</v>
      </c>
      <c r="BN436" s="64">
        <f>IFERROR(Y436*I436/H436,"0")</f>
        <v>27.64</v>
      </c>
      <c r="BO436" s="64">
        <f>IFERROR(1/J436*(X436/H436),"0")</f>
        <v>2.8409090909090912E-2</v>
      </c>
      <c r="BP436" s="64">
        <f>IFERROR(1/J436*(Y436/H436),"0")</f>
        <v>3.0303030303030304E-2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42.765151515151516</v>
      </c>
      <c r="Y437" s="541">
        <f>IFERROR(Y434/H434,"0")+IFERROR(Y435/H435,"0")+IFERROR(Y436/H436,"0")</f>
        <v>44</v>
      </c>
      <c r="Z437" s="541">
        <f>IFERROR(IF(Z434="",0,Z434),"0")+IFERROR(IF(Z435="",0,Z435),"0")+IFERROR(IF(Z436="",0,Z436),"0")</f>
        <v>0.51448000000000005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224</v>
      </c>
      <c r="Y438" s="541">
        <f>IFERROR(SUM(Y434:Y436),"0")</f>
        <v>230.4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18</v>
      </c>
      <c r="Y440" s="540">
        <f t="shared" ref="Y440:Y445" si="48">IFERROR(IF(X440="",0,CEILING((X440/$H440),1)*$H440),"")</f>
        <v>21.12</v>
      </c>
      <c r="Z440" s="36">
        <f>IFERROR(IF(Y440=0,"",ROUNDUP(Y440/H440,0)*0.01196),"")</f>
        <v>4.7840000000000001E-2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19.193181818181817</v>
      </c>
      <c r="BN440" s="64">
        <f t="shared" ref="BN440:BN445" si="50">IFERROR(Y440*I440/H440,"0")</f>
        <v>22.52</v>
      </c>
      <c r="BO440" s="64">
        <f t="shared" ref="BO440:BO445" si="51">IFERROR(1/J440*(X440/H440),"0")</f>
        <v>3.277972027972028E-2</v>
      </c>
      <c r="BP440" s="64">
        <f t="shared" ref="BP440:BP445" si="52">IFERROR(1/J440*(Y440/H440),"0")</f>
        <v>3.8461538461538464E-2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132</v>
      </c>
      <c r="Y441" s="540">
        <f t="shared" si="48"/>
        <v>132</v>
      </c>
      <c r="Z441" s="36">
        <f>IFERROR(IF(Y441=0,"",ROUNDUP(Y441/H441,0)*0.01196),"")</f>
        <v>0.29899999999999999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140.75</v>
      </c>
      <c r="BN441" s="64">
        <f t="shared" si="50"/>
        <v>140.75</v>
      </c>
      <c r="BO441" s="64">
        <f t="shared" si="51"/>
        <v>0.24038461538461539</v>
      </c>
      <c r="BP441" s="64">
        <f t="shared" si="52"/>
        <v>0.24038461538461539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343</v>
      </c>
      <c r="Y442" s="540">
        <f t="shared" si="48"/>
        <v>343.2</v>
      </c>
      <c r="Z442" s="36">
        <f>IFERROR(IF(Y442=0,"",ROUNDUP(Y442/H442,0)*0.01196),"")</f>
        <v>0.77739999999999998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365.73674242424238</v>
      </c>
      <c r="BN442" s="64">
        <f t="shared" si="50"/>
        <v>365.95</v>
      </c>
      <c r="BO442" s="64">
        <f t="shared" si="51"/>
        <v>0.62463578088578087</v>
      </c>
      <c r="BP442" s="64">
        <f t="shared" si="52"/>
        <v>0.625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93.37121212121211</v>
      </c>
      <c r="Y446" s="541">
        <f>IFERROR(Y440/H440,"0")+IFERROR(Y441/H441,"0")+IFERROR(Y442/H442,"0")+IFERROR(Y443/H443,"0")+IFERROR(Y444/H444,"0")+IFERROR(Y445/H445,"0")</f>
        <v>94</v>
      </c>
      <c r="Z446" s="541">
        <f>IFERROR(IF(Z440="",0,Z440),"0")+IFERROR(IF(Z441="",0,Z441),"0")+IFERROR(IF(Z442="",0,Z442),"0")+IFERROR(IF(Z443="",0,Z443),"0")+IFERROR(IF(Z444="",0,Z444),"0")+IFERROR(IF(Z445="",0,Z445),"0")</f>
        <v>1.1242399999999999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493</v>
      </c>
      <c r="Y447" s="541">
        <f>IFERROR(SUM(Y440:Y445),"0")</f>
        <v>496.32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111</v>
      </c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111</v>
      </c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/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9869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10070.129999999999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10442.947671517779</v>
      </c>
      <c r="Y489" s="541">
        <f>IFERROR(SUM(BN22:BN485),"0")</f>
        <v>10656.429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18</v>
      </c>
      <c r="Y490" s="38">
        <f>ROUNDUP(SUM(BP22:BP485),0)</f>
        <v>18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10892.947671517779</v>
      </c>
      <c r="Y491" s="541">
        <f>GrossWeightTotalR+PalletQtyTotalR*25</f>
        <v>11106.429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1736.6803613027935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1769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20.851410000000001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188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399.6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471.4</v>
      </c>
      <c r="E498" s="46">
        <f>IFERROR(Y85*1,"0")+IFERROR(Y86*1,"0")+IFERROR(Y87*1,"0")+IFERROR(Y91*1,"0")+IFERROR(Y92*1,"0")+IFERROR(Y93*1,"0")+IFERROR(Y94*1,"0")</f>
        <v>720.9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498.59999999999997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431.22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1818.3000000000002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119.15999999999998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55.199999999999996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740.81</v>
      </c>
      <c r="R498" s="46">
        <f>IFERROR(Y334*1,"0")+IFERROR(Y335*1,"0")+IFERROR(Y336*1,"0")</f>
        <v>24.299999999999997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2010</v>
      </c>
      <c r="T498" s="46">
        <f>IFERROR(Y367*1,"0")+IFERROR(Y368*1,"0")+IFERROR(Y372*1,"0")+IFERROR(Y373*1,"0")+IFERROR(Y377*1,"0")+IFERROR(Y378*1,"0")</f>
        <v>1219.2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1561.44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hN27Qks6R5GZDn894hiwAC6pxPtL3TD1iz+kA0JzTEcW54nSvBqJbJUM15hFoTLpwS6VBRx0A5HLjs4q4265ow==" saltValue="G/0/sdqDXwvcrN2FQuAor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8"/>
        <filter val="1 059,00"/>
        <filter val="1 082,00"/>
        <filter val="1 185,00"/>
        <filter val="1 192,00"/>
        <filter val="1 736,68"/>
        <filter val="1,00"/>
        <filter val="1,17"/>
        <filter val="10 442,95"/>
        <filter val="10 892,95"/>
        <filter val="10,00"/>
        <filter val="11,00"/>
        <filter val="115,00"/>
        <filter val="117,00"/>
        <filter val="123,00"/>
        <filter val="13,00"/>
        <filter val="13,61"/>
        <filter val="132,00"/>
        <filter val="134,58"/>
        <filter val="14,00"/>
        <filter val="14,74"/>
        <filter val="15,09"/>
        <filter val="155,95"/>
        <filter val="156,00"/>
        <filter val="157,00"/>
        <filter val="16,00"/>
        <filter val="162,22"/>
        <filter val="163,00"/>
        <filter val="164,00"/>
        <filter val="169,00"/>
        <filter val="171,00"/>
        <filter val="173,00"/>
        <filter val="175,95"/>
        <filter val="18"/>
        <filter val="18,00"/>
        <filter val="19,70"/>
        <filter val="190,00"/>
        <filter val="193,00"/>
        <filter val="2,00"/>
        <filter val="2,72"/>
        <filter val="20,00"/>
        <filter val="206,00"/>
        <filter val="212,00"/>
        <filter val="215,00"/>
        <filter val="216,00"/>
        <filter val="22,00"/>
        <filter val="22,50"/>
        <filter val="224,00"/>
        <filter val="23,00"/>
        <filter val="239,00"/>
        <filter val="24,00"/>
        <filter val="243,00"/>
        <filter val="25,31"/>
        <filter val="26,00"/>
        <filter val="262,00"/>
        <filter val="267,00"/>
        <filter val="28,00"/>
        <filter val="3,00"/>
        <filter val="312,00"/>
        <filter val="34,00"/>
        <filter val="343,00"/>
        <filter val="345,00"/>
        <filter val="348,00"/>
        <filter val="36,00"/>
        <filter val="36,48"/>
        <filter val="367,05"/>
        <filter val="37,83"/>
        <filter val="38,02"/>
        <filter val="39,00"/>
        <filter val="394,00"/>
        <filter val="4,00"/>
        <filter val="4,14"/>
        <filter val="4,76"/>
        <filter val="409,00"/>
        <filter val="41,20"/>
        <filter val="42,77"/>
        <filter val="427,00"/>
        <filter val="44,00"/>
        <filter val="445,00"/>
        <filter val="45,47"/>
        <filter val="48,00"/>
        <filter val="493,00"/>
        <filter val="5,00"/>
        <filter val="5,56"/>
        <filter val="54,00"/>
        <filter val="552,00"/>
        <filter val="6,00"/>
        <filter val="61,00"/>
        <filter val="62,00"/>
        <filter val="655,00"/>
        <filter val="67,00"/>
        <filter val="68,33"/>
        <filter val="682,00"/>
        <filter val="69,00"/>
        <filter val="7,00"/>
        <filter val="7,78"/>
        <filter val="70,00"/>
        <filter val="70,60"/>
        <filter val="767,00"/>
        <filter val="78,00"/>
        <filter val="79,00"/>
        <filter val="8,10"/>
        <filter val="80,00"/>
        <filter val="81,00"/>
        <filter val="81,89"/>
        <filter val="819,00"/>
        <filter val="9 869,00"/>
        <filter val="9,00"/>
        <filter val="93,37"/>
        <filter val="94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0 X422:X423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xTDxBxv3x/1RW9W2AnrBfs9+gCWEfd0a9DFwuHKg4lcTsoVRHZCQ4xqH5pe/lmudEVMeNsxt2unYnn4+BohwPw==" saltValue="t4bjI3lqeEdF2lpZKhxR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2025-11-21T10:55:17Z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