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3B806C-97F7-4B08-8D19-5EBE34DF1FF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Z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P62" i="1"/>
  <c r="BO61" i="1"/>
  <c r="BM61" i="1"/>
  <c r="Y61" i="1"/>
  <c r="P61" i="1"/>
  <c r="BO60" i="1"/>
  <c r="BM60" i="1"/>
  <c r="Y60" i="1"/>
  <c r="BP60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BO22" i="1"/>
  <c r="X491" i="1" s="1"/>
  <c r="BM22" i="1"/>
  <c r="Y22" i="1"/>
  <c r="B499" i="1" s="1"/>
  <c r="P22" i="1"/>
  <c r="H10" i="1"/>
  <c r="A9" i="1"/>
  <c r="A10" i="1" s="1"/>
  <c r="D7" i="1"/>
  <c r="Q6" i="1"/>
  <c r="P2" i="1"/>
  <c r="BP74" i="1" l="1"/>
  <c r="BN74" i="1"/>
  <c r="Z74" i="1"/>
  <c r="BP108" i="1"/>
  <c r="BN108" i="1"/>
  <c r="Z108" i="1"/>
  <c r="BP170" i="1"/>
  <c r="BN170" i="1"/>
  <c r="Z170" i="1"/>
  <c r="BP199" i="1"/>
  <c r="BN199" i="1"/>
  <c r="Z199" i="1"/>
  <c r="BP227" i="1"/>
  <c r="BN227" i="1"/>
  <c r="Z227" i="1"/>
  <c r="BP256" i="1"/>
  <c r="BN256" i="1"/>
  <c r="Z256" i="1"/>
  <c r="BP293" i="1"/>
  <c r="BN293" i="1"/>
  <c r="Z293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Z29" i="1"/>
  <c r="BN29" i="1"/>
  <c r="BP52" i="1"/>
  <c r="BN52" i="1"/>
  <c r="BP62" i="1"/>
  <c r="BN62" i="1"/>
  <c r="Z62" i="1"/>
  <c r="BP93" i="1"/>
  <c r="BN93" i="1"/>
  <c r="Z93" i="1"/>
  <c r="BP125" i="1"/>
  <c r="BN125" i="1"/>
  <c r="Z125" i="1"/>
  <c r="BP129" i="1"/>
  <c r="BN129" i="1"/>
  <c r="Z129" i="1"/>
  <c r="Y182" i="1"/>
  <c r="Y181" i="1"/>
  <c r="BP180" i="1"/>
  <c r="BN180" i="1"/>
  <c r="Z180" i="1"/>
  <c r="Z181" i="1" s="1"/>
  <c r="BP185" i="1"/>
  <c r="BN185" i="1"/>
  <c r="Z185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309" i="1"/>
  <c r="BN309" i="1"/>
  <c r="Z309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BP87" i="1"/>
  <c r="BN87" i="1"/>
  <c r="Z87" i="1"/>
  <c r="Y110" i="1"/>
  <c r="BP106" i="1"/>
  <c r="BN106" i="1"/>
  <c r="Z106" i="1"/>
  <c r="BP161" i="1"/>
  <c r="BN161" i="1"/>
  <c r="Z161" i="1"/>
  <c r="Y178" i="1"/>
  <c r="BP174" i="1"/>
  <c r="BN174" i="1"/>
  <c r="Z174" i="1"/>
  <c r="BP197" i="1"/>
  <c r="BN197" i="1"/>
  <c r="Z197" i="1"/>
  <c r="BP210" i="1"/>
  <c r="BN210" i="1"/>
  <c r="Z210" i="1"/>
  <c r="BP225" i="1"/>
  <c r="BN225" i="1"/>
  <c r="Z225" i="1"/>
  <c r="BP233" i="1"/>
  <c r="BN233" i="1"/>
  <c r="Z233" i="1"/>
  <c r="Y260" i="1"/>
  <c r="BP254" i="1"/>
  <c r="BN254" i="1"/>
  <c r="Z254" i="1"/>
  <c r="BP265" i="1"/>
  <c r="BN265" i="1"/>
  <c r="Z265" i="1"/>
  <c r="BP80" i="1"/>
  <c r="BN80" i="1"/>
  <c r="BP91" i="1"/>
  <c r="BN91" i="1"/>
  <c r="Z91" i="1"/>
  <c r="BP135" i="1"/>
  <c r="BN135" i="1"/>
  <c r="Z135" i="1"/>
  <c r="Y153" i="1"/>
  <c r="Y152" i="1"/>
  <c r="BP151" i="1"/>
  <c r="BN151" i="1"/>
  <c r="Z151" i="1"/>
  <c r="Z152" i="1" s="1"/>
  <c r="Y158" i="1"/>
  <c r="BP157" i="1"/>
  <c r="BN157" i="1"/>
  <c r="Z157" i="1"/>
  <c r="Z158" i="1" s="1"/>
  <c r="X490" i="1"/>
  <c r="X492" i="1" s="1"/>
  <c r="X493" i="1"/>
  <c r="Z27" i="1"/>
  <c r="BN27" i="1"/>
  <c r="Z41" i="1"/>
  <c r="BN41" i="1"/>
  <c r="D499" i="1"/>
  <c r="Z54" i="1"/>
  <c r="BN54" i="1"/>
  <c r="Z60" i="1"/>
  <c r="BN60" i="1"/>
  <c r="Y63" i="1"/>
  <c r="Z66" i="1"/>
  <c r="BN66" i="1"/>
  <c r="Y69" i="1"/>
  <c r="Z72" i="1"/>
  <c r="BN72" i="1"/>
  <c r="BP72" i="1"/>
  <c r="Z80" i="1"/>
  <c r="Y88" i="1"/>
  <c r="BP100" i="1"/>
  <c r="BN100" i="1"/>
  <c r="Z100" i="1"/>
  <c r="Y109" i="1"/>
  <c r="BP114" i="1"/>
  <c r="BN114" i="1"/>
  <c r="Z114" i="1"/>
  <c r="BP146" i="1"/>
  <c r="BN146" i="1"/>
  <c r="Z146" i="1"/>
  <c r="BP168" i="1"/>
  <c r="BN168" i="1"/>
  <c r="Z168" i="1"/>
  <c r="Y177" i="1"/>
  <c r="BP191" i="1"/>
  <c r="BN191" i="1"/>
  <c r="Z191" i="1"/>
  <c r="BP201" i="1"/>
  <c r="BN201" i="1"/>
  <c r="Z201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6" i="1"/>
  <c r="Y171" i="1"/>
  <c r="Y203" i="1"/>
  <c r="Y251" i="1"/>
  <c r="BP272" i="1"/>
  <c r="BN272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19" i="1"/>
  <c r="Y318" i="1"/>
  <c r="Y380" i="1"/>
  <c r="Y454" i="1"/>
  <c r="Y453" i="1"/>
  <c r="F9" i="1"/>
  <c r="J9" i="1"/>
  <c r="F10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Y64" i="1"/>
  <c r="Z61" i="1"/>
  <c r="BN61" i="1"/>
  <c r="BP61" i="1"/>
  <c r="Y70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Z109" i="1" s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8" i="1"/>
  <c r="BP145" i="1"/>
  <c r="BN145" i="1"/>
  <c r="Z145" i="1"/>
  <c r="Y172" i="1"/>
  <c r="BP164" i="1"/>
  <c r="BN164" i="1"/>
  <c r="Z164" i="1"/>
  <c r="BP167" i="1"/>
  <c r="BN167" i="1"/>
  <c r="Z167" i="1"/>
  <c r="BP175" i="1"/>
  <c r="BN175" i="1"/>
  <c r="Z175" i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H9" i="1"/>
  <c r="Y24" i="1"/>
  <c r="Y44" i="1"/>
  <c r="Y57" i="1"/>
  <c r="Z63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U499" i="1"/>
  <c r="BP391" i="1"/>
  <c r="BN391" i="1"/>
  <c r="Z391" i="1"/>
  <c r="BP408" i="1"/>
  <c r="BN408" i="1"/>
  <c r="Z408" i="1"/>
  <c r="Y412" i="1"/>
  <c r="BP423" i="1"/>
  <c r="BN423" i="1"/>
  <c r="Z423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Z318" i="1" s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473" i="1"/>
  <c r="Z350" i="1"/>
  <c r="Z331" i="1"/>
  <c r="Z325" i="1"/>
  <c r="Z312" i="1"/>
  <c r="Z267" i="1"/>
  <c r="Z259" i="1"/>
  <c r="Z177" i="1"/>
  <c r="Z462" i="1"/>
  <c r="Z295" i="1"/>
  <c r="Z438" i="1"/>
  <c r="Z447" i="1"/>
  <c r="Z394" i="1"/>
  <c r="Z338" i="1"/>
  <c r="Z234" i="1"/>
  <c r="Y489" i="1"/>
  <c r="Z305" i="1"/>
  <c r="Z274" i="1"/>
  <c r="Z203" i="1"/>
  <c r="Z148" i="1"/>
  <c r="Z103" i="1"/>
  <c r="Z57" i="1"/>
  <c r="Z43" i="1"/>
  <c r="Z31" i="1"/>
  <c r="Y493" i="1"/>
  <c r="Y490" i="1"/>
  <c r="Z432" i="1"/>
  <c r="Z215" i="1"/>
  <c r="Z494" i="1" s="1"/>
  <c r="Z76" i="1"/>
  <c r="Y491" i="1"/>
  <c r="Y492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<sst xmlns="http://schemas.openxmlformats.org/spreadsheetml/2006/main" count="2338" uniqueCount="764">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</sst>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343" sqref="AA343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45984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Воскресенье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0.41666666666666669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hidden="1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8000</v>
      </c>
      <c r="Y343" s="542">
        <f t="shared" ref="Y343:Y349" si="36">IFERROR(IF(X343="",0,CEILING((X343/$H343),1)*$H343),"")</f>
        <v>8010</v>
      </c>
      <c r="Z343" s="36">
        <f>IFERROR(IF(Y343=0,"",ROUNDUP(Y343/H343,0)*0.02175),"")</f>
        <v>11.6145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8250.6666666666661</v>
      </c>
      <c r="BN343" s="64">
        <f t="shared" ref="BN343:BN349" si="38">IFERROR(Y343*I343/H343,"0")</f>
        <v>8260.9800000000014</v>
      </c>
      <c r="BO343" s="64">
        <f t="shared" ref="BO343:BO349" si="39">IFERROR(1/J343*(X343/H343),"0")</f>
        <v>11.111111111111111</v>
      </c>
      <c r="BP343" s="64">
        <f t="shared" ref="BP343:BP349" si="40">IFERROR(1/J343*(Y343/H343),"0")</f>
        <v>11.125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4000</v>
      </c>
      <c r="Y344" s="542">
        <f t="shared" si="36"/>
        <v>4005</v>
      </c>
      <c r="Z344" s="36">
        <f>IFERROR(IF(Y344=0,"",ROUNDUP(Y344/H344,0)*0.02175),"")</f>
        <v>5.8072499999999998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4125.333333333333</v>
      </c>
      <c r="BN344" s="64">
        <f t="shared" si="38"/>
        <v>4130.4900000000007</v>
      </c>
      <c r="BO344" s="64">
        <f t="shared" si="39"/>
        <v>5.5555555555555554</v>
      </c>
      <c r="BP344" s="64">
        <f t="shared" si="40"/>
        <v>5.5625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6000</v>
      </c>
      <c r="Y346" s="542">
        <f t="shared" si="36"/>
        <v>6000</v>
      </c>
      <c r="Z346" s="36">
        <f>IFERROR(IF(Y346=0,"",ROUNDUP(Y346/H346,0)*0.02175),"")</f>
        <v>8.6999999999999993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6188</v>
      </c>
      <c r="BN346" s="64">
        <f t="shared" si="38"/>
        <v>6188</v>
      </c>
      <c r="BO346" s="64">
        <f t="shared" si="39"/>
        <v>8.3333333333333321</v>
      </c>
      <c r="BP346" s="64">
        <f t="shared" si="40"/>
        <v>8.3333333333333321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1200</v>
      </c>
      <c r="Y350" s="543">
        <f>IFERROR(Y343/H343,"0")+IFERROR(Y344/H344,"0")+IFERROR(Y345/H345,"0")+IFERROR(Y346/H346,"0")+IFERROR(Y347/H347,"0")+IFERROR(Y348/H348,"0")+IFERROR(Y349/H349,"0")</f>
        <v>1201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26.121749999999999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18000</v>
      </c>
      <c r="Y351" s="543">
        <f>IFERROR(SUM(Y343:Y349),"0")</f>
        <v>18015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hidden="1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hidden="1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idden="1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hidden="1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hidden="1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idden="1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18000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18015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18564</v>
      </c>
      <c r="Y490" s="543">
        <f>IFERROR(SUM(BN22:BN486),"0")</f>
        <v>18579.47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25</v>
      </c>
      <c r="Y491" s="38">
        <f>ROUNDUP(SUM(BP22:BP486),0)</f>
        <v>26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19189</v>
      </c>
      <c r="Y492" s="543">
        <f>GrossWeightTotalR+PalletQtyTotalR*25</f>
        <v>19229.47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1200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1201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26.121749999999999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18015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8 000,00"/>
        <filter val="18 564,00"/>
        <filter val="19 189,00"/>
        <filter val="25"/>
        <filter val="4 000,00"/>
        <filter val="6 000,00"/>
        <filter val="8 000,0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2025-11-21T09:40:14Z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