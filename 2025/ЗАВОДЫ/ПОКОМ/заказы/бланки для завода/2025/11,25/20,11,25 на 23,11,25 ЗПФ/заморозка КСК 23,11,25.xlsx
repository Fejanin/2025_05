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E604E9F-30C4-4161-9108-C409EB89778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BP122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Z114" i="1" s="1"/>
  <c r="Y113" i="1"/>
  <c r="Y115" i="1" s="1"/>
  <c r="P113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O57" i="1"/>
  <c r="BM57" i="1"/>
  <c r="Z57" i="1"/>
  <c r="Y57" i="1"/>
  <c r="P57" i="1"/>
  <c r="X55" i="1"/>
  <c r="X54" i="1"/>
  <c r="BO53" i="1"/>
  <c r="BM53" i="1"/>
  <c r="Z53" i="1"/>
  <c r="Z54" i="1" s="1"/>
  <c r="Y53" i="1"/>
  <c r="Y55" i="1" s="1"/>
  <c r="P53" i="1"/>
  <c r="X51" i="1"/>
  <c r="X50" i="1"/>
  <c r="BO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Y41" i="1"/>
  <c r="P41" i="1"/>
  <c r="X38" i="1"/>
  <c r="X37" i="1"/>
  <c r="BO36" i="1"/>
  <c r="BM36" i="1"/>
  <c r="Z36" i="1"/>
  <c r="Y36" i="1"/>
  <c r="BP36" i="1" s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X24" i="1"/>
  <c r="X23" i="1"/>
  <c r="BO22" i="1"/>
  <c r="BM22" i="1"/>
  <c r="Z22" i="1"/>
  <c r="Z23" i="1" s="1"/>
  <c r="Y22" i="1"/>
  <c r="Y24" i="1" s="1"/>
  <c r="P22" i="1"/>
  <c r="H10" i="1"/>
  <c r="F10" i="1"/>
  <c r="F9" i="1"/>
  <c r="A9" i="1"/>
  <c r="A10" i="1" s="1"/>
  <c r="D7" i="1"/>
  <c r="Q6" i="1"/>
  <c r="P2" i="1"/>
  <c r="BN22" i="1" l="1"/>
  <c r="BP22" i="1"/>
  <c r="Y23" i="1"/>
  <c r="Z30" i="1"/>
  <c r="BN28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Z92" i="1"/>
  <c r="Z98" i="1"/>
  <c r="BN96" i="1"/>
  <c r="Z110" i="1"/>
  <c r="BN113" i="1"/>
  <c r="BP113" i="1"/>
  <c r="Y114" i="1"/>
  <c r="BN117" i="1"/>
  <c r="BP117" i="1"/>
  <c r="Y118" i="1"/>
  <c r="Z124" i="1"/>
  <c r="BN122" i="1"/>
  <c r="Z130" i="1"/>
  <c r="BN134" i="1"/>
  <c r="BN135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Z171" i="1"/>
  <c r="BN174" i="1"/>
  <c r="BP174" i="1"/>
  <c r="Y175" i="1"/>
  <c r="BN180" i="1"/>
  <c r="BP180" i="1"/>
  <c r="Y181" i="1"/>
  <c r="Z188" i="1"/>
  <c r="BN184" i="1"/>
  <c r="BN185" i="1"/>
  <c r="BN187" i="1"/>
  <c r="Y172" i="1"/>
  <c r="Y213" i="1"/>
  <c r="Y260" i="1"/>
  <c r="J9" i="1"/>
  <c r="X275" i="1"/>
  <c r="X274" i="1"/>
  <c r="Y30" i="1"/>
  <c r="X276" i="1"/>
  <c r="Y37" i="1"/>
  <c r="Z37" i="1"/>
  <c r="BN35" i="1"/>
  <c r="Z45" i="1"/>
  <c r="BN49" i="1"/>
  <c r="BP49" i="1"/>
  <c r="Y50" i="1"/>
  <c r="BN53" i="1"/>
  <c r="BP53" i="1"/>
  <c r="Y54" i="1"/>
  <c r="Z59" i="1"/>
  <c r="BN57" i="1"/>
  <c r="BP57" i="1"/>
  <c r="Y72" i="1"/>
  <c r="BN70" i="1"/>
  <c r="Y82" i="1"/>
  <c r="Y93" i="1"/>
  <c r="BN87" i="1"/>
  <c r="BN89" i="1"/>
  <c r="BN91" i="1"/>
  <c r="Y98" i="1"/>
  <c r="Y111" i="1"/>
  <c r="BN103" i="1"/>
  <c r="BN105" i="1"/>
  <c r="BN107" i="1"/>
  <c r="BN109" i="1"/>
  <c r="Y124" i="1"/>
  <c r="Y131" i="1"/>
  <c r="BN129" i="1"/>
  <c r="BN169" i="1"/>
  <c r="Z196" i="1"/>
  <c r="BN192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Y31" i="1"/>
  <c r="Y38" i="1"/>
  <c r="Y45" i="1"/>
  <c r="Y60" i="1"/>
  <c r="Y66" i="1"/>
  <c r="Y71" i="1"/>
  <c r="Y83" i="1"/>
  <c r="Y92" i="1"/>
  <c r="Y99" i="1"/>
  <c r="Y110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X277" i="1" l="1"/>
  <c r="Y276" i="1"/>
  <c r="Y275" i="1"/>
  <c r="Y278" i="1"/>
  <c r="Y274" i="1"/>
  <c r="Y277" i="1" l="1"/>
  <c r="C287" i="1"/>
  <c r="A287" i="1"/>
  <c r="B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<sst xmlns="http://schemas.openxmlformats.org/spreadsheetml/2006/main" count="1229" uniqueCount="397">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</sst>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5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0" t="s">
        <v>8</v>
      </c>
      <c r="B5" s="318"/>
      <c r="C5" s="319"/>
      <c r="D5" s="325"/>
      <c r="E5" s="326"/>
      <c r="F5" s="437" t="s">
        <v>9</v>
      </c>
      <c r="G5" s="319"/>
      <c r="H5" s="325"/>
      <c r="I5" s="382"/>
      <c r="J5" s="382"/>
      <c r="K5" s="382"/>
      <c r="L5" s="382"/>
      <c r="M5" s="326"/>
      <c r="N5" s="61"/>
      <c r="P5" s="24" t="s">
        <v>10</v>
      </c>
      <c r="Q5" s="443">
        <v>45984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30" t="s">
        <v>13</v>
      </c>
      <c r="B6" s="318"/>
      <c r="C6" s="319"/>
      <c r="D6" s="452" t="s">
        <v>14</v>
      </c>
      <c r="E6" s="453"/>
      <c r="F6" s="453"/>
      <c r="G6" s="453"/>
      <c r="H6" s="453"/>
      <c r="I6" s="453"/>
      <c r="J6" s="453"/>
      <c r="K6" s="453"/>
      <c r="L6" s="453"/>
      <c r="M6" s="349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Воскресенье</v>
      </c>
      <c r="R6" s="285"/>
      <c r="T6" s="383" t="s">
        <v>16</v>
      </c>
      <c r="U6" s="372"/>
      <c r="V6" s="377" t="s">
        <v>17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3"/>
      <c r="U7" s="372"/>
      <c r="V7" s="378"/>
      <c r="W7" s="379"/>
      <c r="AB7" s="51"/>
      <c r="AC7" s="51"/>
      <c r="AD7" s="51"/>
      <c r="AE7" s="51"/>
    </row>
    <row r="8" spans="1:32" s="262" customFormat="1" ht="25.5" customHeight="1" x14ac:dyDescent="0.2">
      <c r="A8" s="450" t="s">
        <v>18</v>
      </c>
      <c r="B8" s="277"/>
      <c r="C8" s="278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3">
        <v>0.375</v>
      </c>
      <c r="R8" s="307"/>
      <c r="T8" s="283"/>
      <c r="U8" s="372"/>
      <c r="V8" s="378"/>
      <c r="W8" s="379"/>
      <c r="AB8" s="51"/>
      <c r="AC8" s="51"/>
      <c r="AD8" s="51"/>
      <c r="AE8" s="51"/>
    </row>
    <row r="9" spans="1:32" s="262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75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21</v>
      </c>
      <c r="Q9" s="328"/>
      <c r="R9" s="329"/>
      <c r="T9" s="283"/>
      <c r="U9" s="372"/>
      <c r="V9" s="380"/>
      <c r="W9" s="38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75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4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22</v>
      </c>
      <c r="Q10" s="384"/>
      <c r="R10" s="385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39" t="s">
        <v>28</v>
      </c>
      <c r="W11" s="329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3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3"/>
      <c r="R12" s="307"/>
      <c r="S12" s="23"/>
      <c r="U12" s="24"/>
      <c r="V12" s="293"/>
      <c r="W12" s="283"/>
      <c r="AB12" s="51"/>
      <c r="AC12" s="51"/>
      <c r="AD12" s="51"/>
      <c r="AE12" s="51"/>
    </row>
    <row r="13" spans="1:32" s="262" customFormat="1" ht="23.25" customHeight="1" x14ac:dyDescent="0.2">
      <c r="A13" s="363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39"/>
      <c r="R13" s="3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3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7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8"/>
      <c r="Q16" s="368"/>
      <c r="R16" s="368"/>
      <c r="S16" s="368"/>
      <c r="T16" s="36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7" t="s">
        <v>38</v>
      </c>
      <c r="D17" s="297" t="s">
        <v>39</v>
      </c>
      <c r="E17" s="338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7"/>
      <c r="R17" s="337"/>
      <c r="S17" s="337"/>
      <c r="T17" s="338"/>
      <c r="U17" s="449" t="s">
        <v>51</v>
      </c>
      <c r="V17" s="319"/>
      <c r="W17" s="297" t="s">
        <v>52</v>
      </c>
      <c r="X17" s="297" t="s">
        <v>53</v>
      </c>
      <c r="Y17" s="365" t="s">
        <v>54</v>
      </c>
      <c r="Z17" s="409" t="s">
        <v>55</v>
      </c>
      <c r="AA17" s="402" t="s">
        <v>56</v>
      </c>
      <c r="AB17" s="402" t="s">
        <v>57</v>
      </c>
      <c r="AC17" s="402" t="s">
        <v>58</v>
      </c>
      <c r="AD17" s="402" t="s">
        <v>59</v>
      </c>
      <c r="AE17" s="432"/>
      <c r="AF17" s="433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9"/>
      <c r="E18" s="341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9"/>
      <c r="Q18" s="340"/>
      <c r="R18" s="340"/>
      <c r="S18" s="340"/>
      <c r="T18" s="341"/>
      <c r="U18" s="70" t="s">
        <v>61</v>
      </c>
      <c r="V18" s="70" t="s">
        <v>62</v>
      </c>
      <c r="W18" s="298"/>
      <c r="X18" s="298"/>
      <c r="Y18" s="366"/>
      <c r="Z18" s="410"/>
      <c r="AA18" s="403"/>
      <c r="AB18" s="403"/>
      <c r="AC18" s="403"/>
      <c r="AD18" s="434"/>
      <c r="AE18" s="435"/>
      <c r="AF18" s="436"/>
      <c r="AG18" s="69"/>
      <c r="BD18" s="68"/>
    </row>
    <row r="19" spans="1:68" ht="27.75" hidden="1" customHeight="1" x14ac:dyDescent="0.2">
      <c r="A19" s="320" t="s">
        <v>63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82" t="s">
        <v>63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hidden="1" customHeight="1" x14ac:dyDescent="0.25">
      <c r="A21" s="304" t="s">
        <v>64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0"/>
      <c r="R22" s="280"/>
      <c r="S22" s="280"/>
      <c r="T22" s="281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82" t="s">
        <v>76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hidden="1" customHeight="1" x14ac:dyDescent="0.25">
      <c r="A27" s="304" t="s">
        <v>77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0"/>
      <c r="R28" s="280"/>
      <c r="S28" s="280"/>
      <c r="T28" s="281"/>
      <c r="U28" s="34"/>
      <c r="V28" s="34"/>
      <c r="W28" s="35" t="s">
        <v>70</v>
      </c>
      <c r="X28" s="268">
        <v>126</v>
      </c>
      <c r="Y28" s="269">
        <f>IFERROR(IF(X28="","",X28),"")</f>
        <v>126</v>
      </c>
      <c r="Z28" s="36">
        <f>IFERROR(IF(X28="","",X28*0.00941),"")</f>
        <v>1.1856599999999999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242.14679999999998</v>
      </c>
      <c r="BN28" s="67">
        <f>IFERROR(Y28*I28,"0")</f>
        <v>242.14679999999998</v>
      </c>
      <c r="BO28" s="67">
        <f>IFERROR(X28/J28,"0")</f>
        <v>0.9</v>
      </c>
      <c r="BP28" s="67">
        <f>IFERROR(Y28/J28,"0")</f>
        <v>0.9</v>
      </c>
    </row>
    <row r="29" spans="1:68" ht="27" hidden="1" customHeight="1" x14ac:dyDescent="0.25">
      <c r="A29" s="54" t="s">
        <v>85</v>
      </c>
      <c r="B29" s="54" t="s">
        <v>86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0"/>
      <c r="R29" s="280"/>
      <c r="S29" s="280"/>
      <c r="T29" s="281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0">
        <f>IFERROR(SUM(X28:X29),"0")</f>
        <v>126</v>
      </c>
      <c r="Y30" s="270">
        <f>IFERROR(SUM(Y28:Y29),"0")</f>
        <v>126</v>
      </c>
      <c r="Z30" s="270">
        <f>IFERROR(IF(Z28="",0,Z28),"0")+IFERROR(IF(Z29="",0,Z29),"0")</f>
        <v>1.1856599999999999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0">
        <f>IFERROR(SUMPRODUCT(X28:X29*H28:H29),"0")</f>
        <v>189</v>
      </c>
      <c r="Y31" s="270">
        <f>IFERROR(SUMPRODUCT(Y28:Y29*H28:H29),"0")</f>
        <v>189</v>
      </c>
      <c r="Z31" s="37"/>
      <c r="AA31" s="271"/>
      <c r="AB31" s="271"/>
      <c r="AC31" s="271"/>
    </row>
    <row r="32" spans="1:68" ht="16.5" hidden="1" customHeight="1" x14ac:dyDescent="0.25">
      <c r="A32" s="282" t="s">
        <v>87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hidden="1" customHeight="1" x14ac:dyDescent="0.25">
      <c r="A33" s="304" t="s">
        <v>64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hidden="1" customHeight="1" x14ac:dyDescent="0.25">
      <c r="A34" s="54" t="s">
        <v>88</v>
      </c>
      <c r="B34" s="54" t="s">
        <v>89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0"/>
      <c r="R34" s="280"/>
      <c r="S34" s="280"/>
      <c r="T34" s="281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0"/>
      <c r="R35" s="280"/>
      <c r="S35" s="280"/>
      <c r="T35" s="281"/>
      <c r="U35" s="34"/>
      <c r="V35" s="34"/>
      <c r="W35" s="35" t="s">
        <v>70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hidden="1" customHeight="1" x14ac:dyDescent="0.25">
      <c r="A36" s="54" t="s">
        <v>96</v>
      </c>
      <c r="B36" s="54" t="s">
        <v>97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39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0"/>
      <c r="R36" s="280"/>
      <c r="S36" s="280"/>
      <c r="T36" s="281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0">
        <f>IFERROR(SUM(X34:X36),"0")</f>
        <v>12</v>
      </c>
      <c r="Y37" s="270">
        <f>IFERROR(SUM(Y34:Y36),"0")</f>
        <v>12</v>
      </c>
      <c r="Z37" s="270">
        <f>IFERROR(IF(Z34="",0,Z34),"0")+IFERROR(IF(Z35="",0,Z35),"0")+IFERROR(IF(Z36="",0,Z36),"0")</f>
        <v>0.186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0">
        <f>IFERROR(SUMPRODUCT(X34:X36*H34:H36),"0")</f>
        <v>67.199999999999989</v>
      </c>
      <c r="Y38" s="270">
        <f>IFERROR(SUMPRODUCT(Y34:Y36*H34:H36),"0")</f>
        <v>67.199999999999989</v>
      </c>
      <c r="Z38" s="37"/>
      <c r="AA38" s="271"/>
      <c r="AB38" s="271"/>
      <c r="AC38" s="271"/>
    </row>
    <row r="39" spans="1:68" ht="16.5" hidden="1" customHeight="1" x14ac:dyDescent="0.25">
      <c r="A39" s="282" t="s">
        <v>99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hidden="1" customHeight="1" x14ac:dyDescent="0.25">
      <c r="A40" s="304" t="s">
        <v>64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0"/>
      <c r="R41" s="280"/>
      <c r="S41" s="280"/>
      <c r="T41" s="281"/>
      <c r="U41" s="34"/>
      <c r="V41" s="34"/>
      <c r="W41" s="35" t="s">
        <v>70</v>
      </c>
      <c r="X41" s="268">
        <v>48</v>
      </c>
      <c r="Y41" s="269">
        <f>IFERROR(IF(X41="","",X41),"")</f>
        <v>48</v>
      </c>
      <c r="Z41" s="36">
        <f>IFERROR(IF(X41="","",X41*0.0155),"")</f>
        <v>0.74399999999999999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350.4</v>
      </c>
      <c r="BN41" s="67">
        <f>IFERROR(Y41*I41,"0")</f>
        <v>350.4</v>
      </c>
      <c r="BO41" s="67">
        <f>IFERROR(X41/J41,"0")</f>
        <v>0.5714285714285714</v>
      </c>
      <c r="BP41" s="67">
        <f>IFERROR(Y41/J41,"0")</f>
        <v>0.5714285714285714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0"/>
      <c r="R42" s="280"/>
      <c r="S42" s="280"/>
      <c r="T42" s="281"/>
      <c r="U42" s="34"/>
      <c r="V42" s="34"/>
      <c r="W42" s="35" t="s">
        <v>70</v>
      </c>
      <c r="X42" s="268">
        <v>60</v>
      </c>
      <c r="Y42" s="269">
        <f>IFERROR(IF(X42="","",X42),"")</f>
        <v>60</v>
      </c>
      <c r="Z42" s="36">
        <f>IFERROR(IF(X42="","",X42*0.0155),"")</f>
        <v>0.92999999999999994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437.15999999999997</v>
      </c>
      <c r="BN42" s="67">
        <f>IFERROR(Y42*I42,"0")</f>
        <v>437.15999999999997</v>
      </c>
      <c r="BO42" s="67">
        <f>IFERROR(X42/J42,"0")</f>
        <v>0.7142857142857143</v>
      </c>
      <c r="BP42" s="67">
        <f>IFERROR(Y42/J42,"0")</f>
        <v>0.7142857142857143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0"/>
      <c r="R43" s="280"/>
      <c r="S43" s="280"/>
      <c r="T43" s="281"/>
      <c r="U43" s="34"/>
      <c r="V43" s="34"/>
      <c r="W43" s="35" t="s">
        <v>70</v>
      </c>
      <c r="X43" s="268">
        <v>12</v>
      </c>
      <c r="Y43" s="269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80.635199999999998</v>
      </c>
      <c r="BN43" s="67">
        <f>IFERROR(Y43*I43,"0")</f>
        <v>80.635199999999998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0"/>
      <c r="R44" s="280"/>
      <c r="S44" s="280"/>
      <c r="T44" s="281"/>
      <c r="U44" s="34"/>
      <c r="V44" s="34"/>
      <c r="W44" s="35" t="s">
        <v>70</v>
      </c>
      <c r="X44" s="268">
        <v>60</v>
      </c>
      <c r="Y44" s="269">
        <f>IFERROR(IF(X44="","",X44),"")</f>
        <v>60</v>
      </c>
      <c r="Z44" s="36">
        <f>IFERROR(IF(X44="","",X44*0.0155),"")</f>
        <v>0.92999999999999994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438</v>
      </c>
      <c r="BN44" s="67">
        <f>IFERROR(Y44*I44,"0")</f>
        <v>438</v>
      </c>
      <c r="BO44" s="67">
        <f>IFERROR(X44/J44,"0")</f>
        <v>0.7142857142857143</v>
      </c>
      <c r="BP44" s="67">
        <f>IFERROR(Y44/J44,"0")</f>
        <v>0.7142857142857143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0">
        <f>IFERROR(SUM(X41:X44),"0")</f>
        <v>180</v>
      </c>
      <c r="Y45" s="270">
        <f>IFERROR(SUM(Y41:Y44),"0")</f>
        <v>180</v>
      </c>
      <c r="Z45" s="270">
        <f>IFERROR(IF(Z41="",0,Z41),"0")+IFERROR(IF(Z42="",0,Z42),"0")+IFERROR(IF(Z43="",0,Z43),"0")+IFERROR(IF(Z44="",0,Z44),"0")</f>
        <v>2.79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0">
        <f>IFERROR(SUMPRODUCT(X41:X44*H41:H44),"0")</f>
        <v>1252.8</v>
      </c>
      <c r="Y46" s="270">
        <f>IFERROR(SUMPRODUCT(Y41:Y44*H41:H44),"0")</f>
        <v>1252.8</v>
      </c>
      <c r="Z46" s="37"/>
      <c r="AA46" s="271"/>
      <c r="AB46" s="271"/>
      <c r="AC46" s="271"/>
    </row>
    <row r="47" spans="1:68" ht="16.5" hidden="1" customHeight="1" x14ac:dyDescent="0.25">
      <c r="A47" s="282" t="s">
        <v>110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hidden="1" customHeight="1" x14ac:dyDescent="0.25">
      <c r="A48" s="304" t="s">
        <v>64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hidden="1" customHeight="1" x14ac:dyDescent="0.25">
      <c r="A49" s="54" t="s">
        <v>111</v>
      </c>
      <c r="B49" s="54" t="s">
        <v>112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0"/>
      <c r="R49" s="280"/>
      <c r="S49" s="280"/>
      <c r="T49" s="281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hidden="1" customHeight="1" x14ac:dyDescent="0.25">
      <c r="A53" s="54" t="s">
        <v>114</v>
      </c>
      <c r="B53" s="54" t="s">
        <v>115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0"/>
      <c r="R53" s="280"/>
      <c r="S53" s="280"/>
      <c r="T53" s="281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117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hidden="1" customHeight="1" x14ac:dyDescent="0.25">
      <c r="A57" s="54" t="s">
        <v>118</v>
      </c>
      <c r="B57" s="54" t="s">
        <v>119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0"/>
      <c r="R57" s="280"/>
      <c r="S57" s="280"/>
      <c r="T57" s="281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121</v>
      </c>
      <c r="B58" s="54" t="s">
        <v>122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0"/>
      <c r="R58" s="280"/>
      <c r="S58" s="280"/>
      <c r="T58" s="281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123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hidden="1" customHeight="1" x14ac:dyDescent="0.25">
      <c r="A62" s="54" t="s">
        <v>124</v>
      </c>
      <c r="B62" s="54" t="s">
        <v>125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0"/>
      <c r="R62" s="280"/>
      <c r="S62" s="280"/>
      <c r="T62" s="281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0"/>
      <c r="R63" s="280"/>
      <c r="S63" s="280"/>
      <c r="T63" s="281"/>
      <c r="U63" s="34"/>
      <c r="V63" s="34"/>
      <c r="W63" s="35" t="s">
        <v>70</v>
      </c>
      <c r="X63" s="268">
        <v>28</v>
      </c>
      <c r="Y63" s="269">
        <f>IFERROR(IF(X63="","",X63),"")</f>
        <v>28</v>
      </c>
      <c r="Z63" s="36">
        <f>IFERROR(IF(X63="","",X63*0.00941),"")</f>
        <v>0.26347999999999999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43.68</v>
      </c>
      <c r="BN63" s="67">
        <f>IFERROR(Y63*I63,"0")</f>
        <v>43.68</v>
      </c>
      <c r="BO63" s="67">
        <f>IFERROR(X63/J63,"0")</f>
        <v>0.2</v>
      </c>
      <c r="BP63" s="67">
        <f>IFERROR(Y63/J63,"0")</f>
        <v>0.2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70</v>
      </c>
      <c r="X64" s="268">
        <v>28</v>
      </c>
      <c r="Y64" s="269">
        <f>IFERROR(IF(X64="","",X64),"")</f>
        <v>28</v>
      </c>
      <c r="Z64" s="36">
        <f>IFERROR(IF(X64="","",X64*0.00941),"")</f>
        <v>0.26347999999999999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0">
        <f>IFERROR(SUM(X62:X64),"0")</f>
        <v>56</v>
      </c>
      <c r="Y65" s="270">
        <f>IFERROR(SUM(Y62:Y64),"0")</f>
        <v>56</v>
      </c>
      <c r="Z65" s="270">
        <f>IFERROR(IF(Z62="",0,Z62),"0")+IFERROR(IF(Z63="",0,Z63),"0")+IFERROR(IF(Z64="",0,Z64),"0")</f>
        <v>0.52695999999999998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0">
        <f>IFERROR(SUMPRODUCT(X62:X64*H62:H64),"0")</f>
        <v>67.2</v>
      </c>
      <c r="Y66" s="270">
        <f>IFERROR(SUMPRODUCT(Y62:Y64*H62:H64),"0")</f>
        <v>67.2</v>
      </c>
      <c r="Z66" s="37"/>
      <c r="AA66" s="271"/>
      <c r="AB66" s="271"/>
      <c r="AC66" s="271"/>
    </row>
    <row r="67" spans="1:68" ht="16.5" hidden="1" customHeight="1" x14ac:dyDescent="0.25">
      <c r="A67" s="282" t="s">
        <v>131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hidden="1" customHeight="1" x14ac:dyDescent="0.25">
      <c r="A68" s="304" t="s">
        <v>64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hidden="1" customHeight="1" x14ac:dyDescent="0.25">
      <c r="A69" s="54" t="s">
        <v>132</v>
      </c>
      <c r="B69" s="54" t="s">
        <v>133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0"/>
      <c r="R69" s="280"/>
      <c r="S69" s="280"/>
      <c r="T69" s="281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0"/>
      <c r="R70" s="280"/>
      <c r="S70" s="280"/>
      <c r="T70" s="281"/>
      <c r="U70" s="34"/>
      <c r="V70" s="34"/>
      <c r="W70" s="35" t="s">
        <v>70</v>
      </c>
      <c r="X70" s="268">
        <v>204</v>
      </c>
      <c r="Y70" s="269">
        <f>IFERROR(IF(X70="","",X70),"")</f>
        <v>204</v>
      </c>
      <c r="Z70" s="36">
        <f>IFERROR(IF(X70="","",X70*0.00866),"")</f>
        <v>1.7666399999999998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1063.4928</v>
      </c>
      <c r="BN70" s="67">
        <f>IFERROR(Y70*I70,"0")</f>
        <v>1063.4928</v>
      </c>
      <c r="BO70" s="67">
        <f>IFERROR(X70/J70,"0")</f>
        <v>1.4166666666666667</v>
      </c>
      <c r="BP70" s="67">
        <f>IFERROR(Y70/J70,"0")</f>
        <v>1.4166666666666667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0">
        <f>IFERROR(SUM(X69:X70),"0")</f>
        <v>204</v>
      </c>
      <c r="Y71" s="270">
        <f>IFERROR(SUM(Y69:Y70),"0")</f>
        <v>204</v>
      </c>
      <c r="Z71" s="270">
        <f>IFERROR(IF(Z69="",0,Z69),"0")+IFERROR(IF(Z70="",0,Z70),"0")</f>
        <v>1.7666399999999998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0">
        <f>IFERROR(SUMPRODUCT(X69:X70*H69:H70),"0")</f>
        <v>1020</v>
      </c>
      <c r="Y72" s="270">
        <f>IFERROR(SUMPRODUCT(Y69:Y70*H69:H70),"0")</f>
        <v>1020</v>
      </c>
      <c r="Z72" s="37"/>
      <c r="AA72" s="271"/>
      <c r="AB72" s="271"/>
      <c r="AC72" s="271"/>
    </row>
    <row r="73" spans="1:68" ht="16.5" hidden="1" customHeight="1" x14ac:dyDescent="0.25">
      <c r="A73" s="282" t="s">
        <v>138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hidden="1" customHeight="1" x14ac:dyDescent="0.25">
      <c r="A74" s="304" t="s">
        <v>123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0"/>
      <c r="R75" s="280"/>
      <c r="S75" s="280"/>
      <c r="T75" s="281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hidden="1" customHeight="1" x14ac:dyDescent="0.25">
      <c r="A78" s="282" t="s">
        <v>142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hidden="1" customHeight="1" x14ac:dyDescent="0.25">
      <c r="A79" s="304" t="s">
        <v>143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0"/>
      <c r="R80" s="280"/>
      <c r="S80" s="280"/>
      <c r="T80" s="281"/>
      <c r="U80" s="34"/>
      <c r="V80" s="34"/>
      <c r="W80" s="35" t="s">
        <v>70</v>
      </c>
      <c r="X80" s="268">
        <v>42</v>
      </c>
      <c r="Y80" s="269">
        <f>IFERROR(IF(X80="","",X80),"")</f>
        <v>42</v>
      </c>
      <c r="Z80" s="36">
        <f>IFERROR(IF(X80="","",X80*0.01788),"")</f>
        <v>0.75095999999999996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180.75120000000001</v>
      </c>
      <c r="BN80" s="67">
        <f>IFERROR(Y80*I80,"0")</f>
        <v>180.75120000000001</v>
      </c>
      <c r="BO80" s="67">
        <f>IFERROR(X80/J80,"0")</f>
        <v>0.6</v>
      </c>
      <c r="BP80" s="67">
        <f>IFERROR(Y80/J80,"0")</f>
        <v>0.6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0"/>
      <c r="R81" s="280"/>
      <c r="S81" s="280"/>
      <c r="T81" s="281"/>
      <c r="U81" s="34"/>
      <c r="V81" s="34"/>
      <c r="W81" s="35" t="s">
        <v>70</v>
      </c>
      <c r="X81" s="268">
        <v>28</v>
      </c>
      <c r="Y81" s="269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0">
        <f>IFERROR(SUM(X80:X81),"0")</f>
        <v>70</v>
      </c>
      <c r="Y82" s="270">
        <f>IFERROR(SUM(Y80:Y81),"0")</f>
        <v>70</v>
      </c>
      <c r="Z82" s="270">
        <f>IFERROR(IF(Z80="",0,Z80),"0")+IFERROR(IF(Z81="",0,Z81),"0")</f>
        <v>1.2515999999999998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0">
        <f>IFERROR(SUMPRODUCT(X80:X81*H80:H81),"0")</f>
        <v>252</v>
      </c>
      <c r="Y83" s="270">
        <f>IFERROR(SUMPRODUCT(Y80:Y81*H80:H81),"0")</f>
        <v>252</v>
      </c>
      <c r="Z83" s="37"/>
      <c r="AA83" s="271"/>
      <c r="AB83" s="271"/>
      <c r="AC83" s="271"/>
    </row>
    <row r="84" spans="1:68" ht="16.5" hidden="1" customHeight="1" x14ac:dyDescent="0.25">
      <c r="A84" s="282" t="s">
        <v>150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hidden="1" customHeight="1" x14ac:dyDescent="0.25">
      <c r="A85" s="304" t="s">
        <v>123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0"/>
      <c r="R86" s="280"/>
      <c r="S86" s="280"/>
      <c r="T86" s="281"/>
      <c r="U86" s="34"/>
      <c r="V86" s="34"/>
      <c r="W86" s="35" t="s">
        <v>70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9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0"/>
      <c r="R87" s="280"/>
      <c r="S87" s="280"/>
      <c r="T87" s="281"/>
      <c r="U87" s="34"/>
      <c r="V87" s="34"/>
      <c r="W87" s="35" t="s">
        <v>70</v>
      </c>
      <c r="X87" s="268">
        <v>70</v>
      </c>
      <c r="Y87" s="269">
        <f t="shared" si="0"/>
        <v>70</v>
      </c>
      <c r="Z87" s="36">
        <f t="shared" si="1"/>
        <v>1.2516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0"/>
      <c r="R88" s="280"/>
      <c r="S88" s="280"/>
      <c r="T88" s="281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0"/>
      <c r="R89" s="280"/>
      <c r="S89" s="280"/>
      <c r="T89" s="281"/>
      <c r="U89" s="34"/>
      <c r="V89" s="34"/>
      <c r="W89" s="35" t="s">
        <v>70</v>
      </c>
      <c r="X89" s="268">
        <v>70</v>
      </c>
      <c r="Y89" s="269">
        <f t="shared" si="0"/>
        <v>70</v>
      </c>
      <c r="Z89" s="36">
        <f t="shared" si="1"/>
        <v>1.2516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hidden="1" customHeight="1" x14ac:dyDescent="0.25">
      <c r="A90" s="54" t="s">
        <v>160</v>
      </c>
      <c r="B90" s="54" t="s">
        <v>161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0"/>
      <c r="R90" s="280"/>
      <c r="S90" s="280"/>
      <c r="T90" s="281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0"/>
      <c r="R91" s="280"/>
      <c r="S91" s="280"/>
      <c r="T91" s="281"/>
      <c r="U91" s="34"/>
      <c r="V91" s="34"/>
      <c r="W91" s="35" t="s">
        <v>70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0">
        <f>IFERROR(SUM(X86:X91),"0")</f>
        <v>182</v>
      </c>
      <c r="Y92" s="270">
        <f>IFERROR(SUM(Y86:Y91),"0")</f>
        <v>182</v>
      </c>
      <c r="Z92" s="270">
        <f>IFERROR(IF(Z86="",0,Z86),"0")+IFERROR(IF(Z87="",0,Z87),"0")+IFERROR(IF(Z88="",0,Z88),"0")+IFERROR(IF(Z89="",0,Z89),"0")+IFERROR(IF(Z90="",0,Z90),"0")+IFERROR(IF(Z91="",0,Z91),"0")</f>
        <v>3.2541600000000002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0">
        <f>IFERROR(SUMPRODUCT(X86:X91*H86:H91),"0")</f>
        <v>542.64</v>
      </c>
      <c r="Y93" s="270">
        <f>IFERROR(SUMPRODUCT(Y86:Y91*H86:H91),"0")</f>
        <v>542.64</v>
      </c>
      <c r="Z93" s="37"/>
      <c r="AA93" s="271"/>
      <c r="AB93" s="271"/>
      <c r="AC93" s="271"/>
    </row>
    <row r="94" spans="1:68" ht="16.5" hidden="1" customHeight="1" x14ac:dyDescent="0.25">
      <c r="A94" s="282" t="s">
        <v>165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hidden="1" customHeight="1" x14ac:dyDescent="0.25">
      <c r="A95" s="304" t="s">
        <v>117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hidden="1" customHeight="1" x14ac:dyDescent="0.25">
      <c r="A96" s="54" t="s">
        <v>166</v>
      </c>
      <c r="B96" s="54" t="s">
        <v>167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0"/>
      <c r="R96" s="280"/>
      <c r="S96" s="280"/>
      <c r="T96" s="281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169</v>
      </c>
      <c r="B97" s="54" t="s">
        <v>170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0"/>
      <c r="R97" s="280"/>
      <c r="S97" s="280"/>
      <c r="T97" s="281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82" t="s">
        <v>171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hidden="1" customHeight="1" x14ac:dyDescent="0.25">
      <c r="A101" s="304" t="s">
        <v>64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36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0"/>
      <c r="R102" s="280"/>
      <c r="S102" s="280"/>
      <c r="T102" s="281"/>
      <c r="U102" s="34"/>
      <c r="V102" s="34"/>
      <c r="W102" s="35" t="s">
        <v>70</v>
      </c>
      <c r="X102" s="268">
        <v>48</v>
      </c>
      <c r="Y102" s="269">
        <f t="shared" ref="Y102:Y109" si="6">IFERROR(IF(X102="","",X102),"")</f>
        <v>48</v>
      </c>
      <c r="Z102" s="36">
        <f t="shared" ref="Z102:Z109" si="7">IFERROR(IF(X102="","",X102*0.0155),"")</f>
        <v>0.74399999999999999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349.44</v>
      </c>
      <c r="BN102" s="67">
        <f t="shared" ref="BN102:BN109" si="9">IFERROR(Y102*I102,"0")</f>
        <v>349.44</v>
      </c>
      <c r="BO102" s="67">
        <f t="shared" ref="BO102:BO109" si="10">IFERROR(X102/J102,"0")</f>
        <v>0.5714285714285714</v>
      </c>
      <c r="BP102" s="67">
        <f t="shared" ref="BP102:BP109" si="11">IFERROR(Y102/J102,"0")</f>
        <v>0.5714285714285714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0"/>
      <c r="R103" s="280"/>
      <c r="S103" s="280"/>
      <c r="T103" s="281"/>
      <c r="U103" s="34"/>
      <c r="V103" s="34"/>
      <c r="W103" s="35" t="s">
        <v>70</v>
      </c>
      <c r="X103" s="268">
        <v>36</v>
      </c>
      <c r="Y103" s="269">
        <f t="shared" si="6"/>
        <v>36</v>
      </c>
      <c r="Z103" s="36">
        <f t="shared" si="7"/>
        <v>0.55800000000000005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0"/>
      <c r="R104" s="280"/>
      <c r="S104" s="280"/>
      <c r="T104" s="281"/>
      <c r="U104" s="34"/>
      <c r="V104" s="34"/>
      <c r="W104" s="35" t="s">
        <v>70</v>
      </c>
      <c r="X104" s="268">
        <v>108</v>
      </c>
      <c r="Y104" s="269">
        <f t="shared" si="6"/>
        <v>108</v>
      </c>
      <c r="Z104" s="36">
        <f t="shared" si="7"/>
        <v>1.6739999999999999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788.4</v>
      </c>
      <c r="BN104" s="67">
        <f t="shared" si="9"/>
        <v>788.4</v>
      </c>
      <c r="BO104" s="67">
        <f t="shared" si="10"/>
        <v>1.2857142857142858</v>
      </c>
      <c r="BP104" s="67">
        <f t="shared" si="11"/>
        <v>1.2857142857142858</v>
      </c>
    </row>
    <row r="105" spans="1:68" ht="27" hidden="1" customHeight="1" x14ac:dyDescent="0.25">
      <c r="A105" s="54" t="s">
        <v>179</v>
      </c>
      <c r="B105" s="54" t="s">
        <v>180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0"/>
      <c r="R105" s="280"/>
      <c r="S105" s="280"/>
      <c r="T105" s="281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5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0"/>
      <c r="R106" s="280"/>
      <c r="S106" s="280"/>
      <c r="T106" s="281"/>
      <c r="U106" s="34"/>
      <c r="V106" s="34"/>
      <c r="W106" s="35" t="s">
        <v>70</v>
      </c>
      <c r="X106" s="268">
        <v>36</v>
      </c>
      <c r="Y106" s="269">
        <f t="shared" si="6"/>
        <v>36</v>
      </c>
      <c r="Z106" s="36">
        <f t="shared" si="7"/>
        <v>0.55800000000000005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241.90559999999999</v>
      </c>
      <c r="BN106" s="67">
        <f t="shared" si="9"/>
        <v>241.90559999999999</v>
      </c>
      <c r="BO106" s="67">
        <f t="shared" si="10"/>
        <v>0.42857142857142855</v>
      </c>
      <c r="BP106" s="67">
        <f t="shared" si="11"/>
        <v>0.42857142857142855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0"/>
      <c r="R107" s="280"/>
      <c r="S107" s="280"/>
      <c r="T107" s="281"/>
      <c r="U107" s="34"/>
      <c r="V107" s="34"/>
      <c r="W107" s="35" t="s">
        <v>70</v>
      </c>
      <c r="X107" s="268">
        <v>156</v>
      </c>
      <c r="Y107" s="269">
        <f t="shared" si="6"/>
        <v>156</v>
      </c>
      <c r="Z107" s="36">
        <f t="shared" si="7"/>
        <v>2.4180000000000001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1138.8</v>
      </c>
      <c r="BN107" s="67">
        <f t="shared" si="9"/>
        <v>1138.8</v>
      </c>
      <c r="BO107" s="67">
        <f t="shared" si="10"/>
        <v>1.8571428571428572</v>
      </c>
      <c r="BP107" s="67">
        <f t="shared" si="11"/>
        <v>1.8571428571428572</v>
      </c>
    </row>
    <row r="108" spans="1:68" ht="27" hidden="1" customHeight="1" x14ac:dyDescent="0.25">
      <c r="A108" s="54" t="s">
        <v>186</v>
      </c>
      <c r="B108" s="54" t="s">
        <v>187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0"/>
      <c r="R108" s="280"/>
      <c r="S108" s="280"/>
      <c r="T108" s="281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84">
        <v>4620207491102</v>
      </c>
      <c r="E109" s="285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0"/>
      <c r="R109" s="280"/>
      <c r="S109" s="280"/>
      <c r="T109" s="281"/>
      <c r="U109" s="34"/>
      <c r="V109" s="34"/>
      <c r="W109" s="35" t="s">
        <v>70</v>
      </c>
      <c r="X109" s="268">
        <v>48</v>
      </c>
      <c r="Y109" s="269">
        <f t="shared" si="6"/>
        <v>48</v>
      </c>
      <c r="Z109" s="36">
        <f t="shared" si="7"/>
        <v>0.74399999999999999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347.04</v>
      </c>
      <c r="BN109" s="67">
        <f t="shared" si="9"/>
        <v>347.04</v>
      </c>
      <c r="BO109" s="67">
        <f t="shared" si="10"/>
        <v>0.5714285714285714</v>
      </c>
      <c r="BP109" s="67">
        <f t="shared" si="11"/>
        <v>0.5714285714285714</v>
      </c>
    </row>
    <row r="110" spans="1:68" x14ac:dyDescent="0.2">
      <c r="A110" s="286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0">
        <f>IFERROR(SUM(X102:X109),"0")</f>
        <v>432</v>
      </c>
      <c r="Y110" s="270">
        <f>IFERROR(SUM(Y102:Y109),"0")</f>
        <v>432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6.6959999999999997</v>
      </c>
      <c r="AA110" s="271"/>
      <c r="AB110" s="271"/>
      <c r="AC110" s="271"/>
    </row>
    <row r="111" spans="1:68" x14ac:dyDescent="0.2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7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0">
        <f>IFERROR(SUMPRODUCT(X102:X109*H102:H109),"0")</f>
        <v>2980.8</v>
      </c>
      <c r="Y111" s="270">
        <f>IFERROR(SUMPRODUCT(Y102:Y109*H102:H109),"0")</f>
        <v>2980.8</v>
      </c>
      <c r="Z111" s="37"/>
      <c r="AA111" s="271"/>
      <c r="AB111" s="271"/>
      <c r="AC111" s="271"/>
    </row>
    <row r="112" spans="1:68" ht="14.25" hidden="1" customHeight="1" x14ac:dyDescent="0.25">
      <c r="A112" s="304" t="s">
        <v>123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64"/>
      <c r="AB112" s="264"/>
      <c r="AC112" s="264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0"/>
      <c r="R113" s="280"/>
      <c r="S113" s="280"/>
      <c r="T113" s="281"/>
      <c r="U113" s="34"/>
      <c r="V113" s="34"/>
      <c r="W113" s="35" t="s">
        <v>70</v>
      </c>
      <c r="X113" s="268">
        <v>14</v>
      </c>
      <c r="Y113" s="269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6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0">
        <f>IFERROR(SUM(X113:X113),"0")</f>
        <v>14</v>
      </c>
      <c r="Y114" s="270">
        <f>IFERROR(SUM(Y113:Y113),"0")</f>
        <v>14</v>
      </c>
      <c r="Z114" s="270">
        <f>IFERROR(IF(Z113="",0,Z113),"0")</f>
        <v>0.25031999999999999</v>
      </c>
      <c r="AA114" s="271"/>
      <c r="AB114" s="271"/>
      <c r="AC114" s="271"/>
    </row>
    <row r="115" spans="1:68" x14ac:dyDescent="0.2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7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0">
        <f>IFERROR(SUMPRODUCT(X113:X113*H113:H113),"0")</f>
        <v>36.96</v>
      </c>
      <c r="Y115" s="270">
        <f>IFERROR(SUMPRODUCT(Y113:Y113*H113:H113),"0")</f>
        <v>36.96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195</v>
      </c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64"/>
      <c r="AB116" s="264"/>
      <c r="AC116" s="264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0"/>
      <c r="R117" s="280"/>
      <c r="S117" s="280"/>
      <c r="T117" s="281"/>
      <c r="U117" s="34"/>
      <c r="V117" s="34"/>
      <c r="W117" s="35" t="s">
        <v>70</v>
      </c>
      <c r="X117" s="268">
        <v>12</v>
      </c>
      <c r="Y117" s="269">
        <f>IFERROR(IF(X117="","",X117),"")</f>
        <v>12</v>
      </c>
      <c r="Z117" s="36">
        <f>IFERROR(IF(X117="","",X117*0.0155),"")</f>
        <v>0.186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75.36</v>
      </c>
      <c r="BN117" s="67">
        <f>IFERROR(Y117*I117,"0")</f>
        <v>75.36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286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0">
        <f>IFERROR(SUM(X117:X117),"0")</f>
        <v>12</v>
      </c>
      <c r="Y118" s="270">
        <f>IFERROR(SUM(Y117:Y117),"0")</f>
        <v>12</v>
      </c>
      <c r="Z118" s="270">
        <f>IFERROR(IF(Z117="",0,Z117),"0")</f>
        <v>0.186</v>
      </c>
      <c r="AA118" s="271"/>
      <c r="AB118" s="271"/>
      <c r="AC118" s="271"/>
    </row>
    <row r="119" spans="1:68" x14ac:dyDescent="0.2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7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0">
        <f>IFERROR(SUMPRODUCT(X117:X117*H117:H117),"0")</f>
        <v>72</v>
      </c>
      <c r="Y119" s="270">
        <f>IFERROR(SUMPRODUCT(Y117:Y117*H117:H117),"0")</f>
        <v>72</v>
      </c>
      <c r="Z119" s="37"/>
      <c r="AA119" s="271"/>
      <c r="AB119" s="271"/>
      <c r="AC119" s="271"/>
    </row>
    <row r="120" spans="1:68" ht="16.5" hidden="1" customHeight="1" x14ac:dyDescent="0.25">
      <c r="A120" s="282" t="s">
        <v>199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3"/>
      <c r="AB120" s="263"/>
      <c r="AC120" s="263"/>
    </row>
    <row r="121" spans="1:68" ht="14.25" hidden="1" customHeight="1" x14ac:dyDescent="0.25">
      <c r="A121" s="304" t="s">
        <v>123</v>
      </c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8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0"/>
      <c r="R122" s="280"/>
      <c r="S122" s="280"/>
      <c r="T122" s="281"/>
      <c r="U122" s="34"/>
      <c r="V122" s="34"/>
      <c r="W122" s="35" t="s">
        <v>70</v>
      </c>
      <c r="X122" s="268">
        <v>112</v>
      </c>
      <c r="Y122" s="269">
        <f>IFERROR(IF(X122="","",X122),"")</f>
        <v>112</v>
      </c>
      <c r="Z122" s="36">
        <f>IFERROR(IF(X122="","",X122*0.01788),"")</f>
        <v>2.0025599999999999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414.80319999999995</v>
      </c>
      <c r="BN122" s="67">
        <f>IFERROR(Y122*I122,"0")</f>
        <v>414.80319999999995</v>
      </c>
      <c r="BO122" s="67">
        <f>IFERROR(X122/J122,"0")</f>
        <v>1.6</v>
      </c>
      <c r="BP122" s="67">
        <f>IFERROR(Y122/J122,"0")</f>
        <v>1.6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0"/>
      <c r="R123" s="280"/>
      <c r="S123" s="280"/>
      <c r="T123" s="281"/>
      <c r="U123" s="34"/>
      <c r="V123" s="34"/>
      <c r="W123" s="35" t="s">
        <v>70</v>
      </c>
      <c r="X123" s="268">
        <v>182</v>
      </c>
      <c r="Y123" s="269">
        <f>IFERROR(IF(X123="","",X123),"")</f>
        <v>182</v>
      </c>
      <c r="Z123" s="36">
        <f>IFERROR(IF(X123="","",X123*0.01788),"")</f>
        <v>3.2541600000000002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674.05520000000001</v>
      </c>
      <c r="BN123" s="67">
        <f>IFERROR(Y123*I123,"0")</f>
        <v>674.05520000000001</v>
      </c>
      <c r="BO123" s="67">
        <f>IFERROR(X123/J123,"0")</f>
        <v>2.6</v>
      </c>
      <c r="BP123" s="67">
        <f>IFERROR(Y123/J123,"0")</f>
        <v>2.6</v>
      </c>
    </row>
    <row r="124" spans="1:68" x14ac:dyDescent="0.2">
      <c r="A124" s="286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0">
        <f>IFERROR(SUM(X122:X123),"0")</f>
        <v>294</v>
      </c>
      <c r="Y124" s="270">
        <f>IFERROR(SUM(Y122:Y123),"0")</f>
        <v>294</v>
      </c>
      <c r="Z124" s="270">
        <f>IFERROR(IF(Z122="",0,Z122),"0")+IFERROR(IF(Z123="",0,Z123),"0")</f>
        <v>5.2567199999999996</v>
      </c>
      <c r="AA124" s="271"/>
      <c r="AB124" s="271"/>
      <c r="AC124" s="271"/>
    </row>
    <row r="125" spans="1:68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7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0">
        <f>IFERROR(SUMPRODUCT(X122:X123*H122:H123),"0")</f>
        <v>882</v>
      </c>
      <c r="Y125" s="270">
        <f>IFERROR(SUMPRODUCT(Y122:Y123*H122:H123),"0")</f>
        <v>882</v>
      </c>
      <c r="Z125" s="37"/>
      <c r="AA125" s="271"/>
      <c r="AB125" s="271"/>
      <c r="AC125" s="271"/>
    </row>
    <row r="126" spans="1:68" ht="16.5" hidden="1" customHeight="1" x14ac:dyDescent="0.25">
      <c r="A126" s="282" t="s">
        <v>205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3"/>
      <c r="AB126" s="263"/>
      <c r="AC126" s="263"/>
    </row>
    <row r="127" spans="1:68" ht="14.25" hidden="1" customHeight="1" x14ac:dyDescent="0.25">
      <c r="A127" s="304" t="s">
        <v>123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2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0"/>
      <c r="R128" s="280"/>
      <c r="S128" s="280"/>
      <c r="T128" s="281"/>
      <c r="U128" s="34"/>
      <c r="V128" s="34"/>
      <c r="W128" s="35" t="s">
        <v>70</v>
      </c>
      <c r="X128" s="268">
        <v>28</v>
      </c>
      <c r="Y128" s="269">
        <f>IFERROR(IF(X128="","",X128),"")</f>
        <v>28</v>
      </c>
      <c r="Z128" s="36">
        <f>IFERROR(IF(X128="","",X128*0.01788),"")</f>
        <v>0.50063999999999997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104.944</v>
      </c>
      <c r="BN128" s="67">
        <f>IFERROR(Y128*I128,"0")</f>
        <v>104.944</v>
      </c>
      <c r="BO128" s="67">
        <f>IFERROR(X128/J128,"0")</f>
        <v>0.4</v>
      </c>
      <c r="BP128" s="67">
        <f>IFERROR(Y128/J128,"0")</f>
        <v>0.4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0"/>
      <c r="R129" s="280"/>
      <c r="S129" s="280"/>
      <c r="T129" s="281"/>
      <c r="U129" s="34"/>
      <c r="V129" s="34"/>
      <c r="W129" s="35" t="s">
        <v>70</v>
      </c>
      <c r="X129" s="268">
        <v>84</v>
      </c>
      <c r="Y129" s="269">
        <f>IFERROR(IF(X129="","",X129),"")</f>
        <v>84</v>
      </c>
      <c r="Z129" s="36">
        <f>IFERROR(IF(X129="","",X129*0.01788),"")</f>
        <v>1.5019199999999999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311.10239999999999</v>
      </c>
      <c r="BN129" s="67">
        <f>IFERROR(Y129*I129,"0")</f>
        <v>311.10239999999999</v>
      </c>
      <c r="BO129" s="67">
        <f>IFERROR(X129/J129,"0")</f>
        <v>1.2</v>
      </c>
      <c r="BP129" s="67">
        <f>IFERROR(Y129/J129,"0")</f>
        <v>1.2</v>
      </c>
    </row>
    <row r="130" spans="1:68" x14ac:dyDescent="0.2">
      <c r="A130" s="286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0">
        <f>IFERROR(SUM(X128:X129),"0")</f>
        <v>112</v>
      </c>
      <c r="Y130" s="270">
        <f>IFERROR(SUM(Y128:Y129),"0")</f>
        <v>112</v>
      </c>
      <c r="Z130" s="270">
        <f>IFERROR(IF(Z128="",0,Z128),"0")+IFERROR(IF(Z129="",0,Z129),"0")</f>
        <v>2.0025599999999999</v>
      </c>
      <c r="AA130" s="271"/>
      <c r="AB130" s="271"/>
      <c r="AC130" s="271"/>
    </row>
    <row r="131" spans="1:68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7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0">
        <f>IFERROR(SUMPRODUCT(X128:X129*H128:H129),"0")</f>
        <v>336</v>
      </c>
      <c r="Y131" s="270">
        <f>IFERROR(SUMPRODUCT(Y128:Y129*H128:H129),"0")</f>
        <v>336</v>
      </c>
      <c r="Z131" s="37"/>
      <c r="AA131" s="271"/>
      <c r="AB131" s="271"/>
      <c r="AC131" s="271"/>
    </row>
    <row r="132" spans="1:68" ht="16.5" hidden="1" customHeight="1" x14ac:dyDescent="0.25">
      <c r="A132" s="282" t="s">
        <v>212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3"/>
      <c r="AB132" s="263"/>
      <c r="AC132" s="263"/>
    </row>
    <row r="133" spans="1:68" ht="14.25" hidden="1" customHeight="1" x14ac:dyDescent="0.25">
      <c r="A133" s="304" t="s">
        <v>123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0"/>
      <c r="R134" s="280"/>
      <c r="S134" s="280"/>
      <c r="T134" s="281"/>
      <c r="U134" s="34"/>
      <c r="V134" s="34"/>
      <c r="W134" s="35" t="s">
        <v>70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0"/>
      <c r="R135" s="280"/>
      <c r="S135" s="280"/>
      <c r="T135" s="281"/>
      <c r="U135" s="34"/>
      <c r="V135" s="34"/>
      <c r="W135" s="35" t="s">
        <v>70</v>
      </c>
      <c r="X135" s="268">
        <v>56</v>
      </c>
      <c r="Y135" s="269">
        <f>IFERROR(IF(X135="","",X135),"")</f>
        <v>56</v>
      </c>
      <c r="Z135" s="36">
        <f>IFERROR(IF(X135="","",X135*0.01788),"")</f>
        <v>1.0012799999999999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150.08000000000001</v>
      </c>
      <c r="BN135" s="67">
        <f>IFERROR(Y135*I135,"0")</f>
        <v>150.08000000000001</v>
      </c>
      <c r="BO135" s="67">
        <f>IFERROR(X135/J135,"0")</f>
        <v>0.8</v>
      </c>
      <c r="BP135" s="67">
        <f>IFERROR(Y135/J135,"0")</f>
        <v>0.8</v>
      </c>
    </row>
    <row r="136" spans="1:68" x14ac:dyDescent="0.2">
      <c r="A136" s="286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0">
        <f>IFERROR(SUM(X134:X135),"0")</f>
        <v>98</v>
      </c>
      <c r="Y136" s="270">
        <f>IFERROR(SUM(Y134:Y135),"0")</f>
        <v>98</v>
      </c>
      <c r="Z136" s="270">
        <f>IFERROR(IF(Z134="",0,Z134),"0")+IFERROR(IF(Z135="",0,Z135),"0")</f>
        <v>1.75224</v>
      </c>
      <c r="AA136" s="271"/>
      <c r="AB136" s="271"/>
      <c r="AC136" s="27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7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0">
        <f>IFERROR(SUMPRODUCT(X134:X135*H134:H135),"0")</f>
        <v>235.2</v>
      </c>
      <c r="Y137" s="270">
        <f>IFERROR(SUMPRODUCT(Y134:Y135*H134:H135),"0")</f>
        <v>235.2</v>
      </c>
      <c r="Z137" s="37"/>
      <c r="AA137" s="271"/>
      <c r="AB137" s="271"/>
      <c r="AC137" s="271"/>
    </row>
    <row r="138" spans="1:68" ht="16.5" hidden="1" customHeight="1" x14ac:dyDescent="0.25">
      <c r="A138" s="282" t="s">
        <v>217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3"/>
      <c r="AB138" s="263"/>
      <c r="AC138" s="263"/>
    </row>
    <row r="139" spans="1:68" ht="14.25" hidden="1" customHeight="1" x14ac:dyDescent="0.25">
      <c r="A139" s="304" t="s">
        <v>123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64"/>
      <c r="AB139" s="264"/>
      <c r="AC139" s="264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0"/>
      <c r="R140" s="280"/>
      <c r="S140" s="280"/>
      <c r="T140" s="281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6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0">
        <f>IFERROR(SUM(X140:X140),"0")</f>
        <v>28</v>
      </c>
      <c r="Y141" s="270">
        <f>IFERROR(SUM(Y140:Y140),"0")</f>
        <v>28</v>
      </c>
      <c r="Z141" s="270">
        <f>IFERROR(IF(Z140="",0,Z140),"0")</f>
        <v>0.50063999999999997</v>
      </c>
      <c r="AA141" s="271"/>
      <c r="AB141" s="271"/>
      <c r="AC141" s="271"/>
    </row>
    <row r="142" spans="1:68" x14ac:dyDescent="0.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7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0">
        <f>IFERROR(SUMPRODUCT(X140:X140*H140:H140),"0")</f>
        <v>84</v>
      </c>
      <c r="Y142" s="270">
        <f>IFERROR(SUMPRODUCT(Y140:Y140*H140:H140),"0")</f>
        <v>84</v>
      </c>
      <c r="Z142" s="37"/>
      <c r="AA142" s="271"/>
      <c r="AB142" s="271"/>
      <c r="AC142" s="271"/>
    </row>
    <row r="143" spans="1:68" ht="16.5" hidden="1" customHeight="1" x14ac:dyDescent="0.25">
      <c r="A143" s="282" t="s">
        <v>221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3"/>
      <c r="AB143" s="263"/>
      <c r="AC143" s="263"/>
    </row>
    <row r="144" spans="1:68" ht="14.25" hidden="1" customHeight="1" x14ac:dyDescent="0.25">
      <c r="A144" s="304" t="s">
        <v>123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64"/>
      <c r="AB144" s="264"/>
      <c r="AC144" s="264"/>
    </row>
    <row r="145" spans="1:68" ht="16.5" hidden="1" customHeight="1" x14ac:dyDescent="0.25">
      <c r="A145" s="54" t="s">
        <v>222</v>
      </c>
      <c r="B145" s="54" t="s">
        <v>223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0"/>
      <c r="R145" s="280"/>
      <c r="S145" s="280"/>
      <c r="T145" s="281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7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82" t="s">
        <v>224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3"/>
      <c r="AB148" s="263"/>
      <c r="AC148" s="263"/>
    </row>
    <row r="149" spans="1:68" ht="14.25" hidden="1" customHeight="1" x14ac:dyDescent="0.25">
      <c r="A149" s="304" t="s">
        <v>195</v>
      </c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64"/>
      <c r="AB149" s="264"/>
      <c r="AC149" s="264"/>
    </row>
    <row r="150" spans="1:68" ht="27" hidden="1" customHeight="1" x14ac:dyDescent="0.25">
      <c r="A150" s="54" t="s">
        <v>225</v>
      </c>
      <c r="B150" s="54" t="s">
        <v>226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0"/>
      <c r="R150" s="280"/>
      <c r="S150" s="280"/>
      <c r="T150" s="281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7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82" t="s">
        <v>229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3"/>
      <c r="AB153" s="263"/>
      <c r="AC153" s="263"/>
    </row>
    <row r="154" spans="1:68" ht="14.25" hidden="1" customHeight="1" x14ac:dyDescent="0.25">
      <c r="A154" s="304" t="s">
        <v>123</v>
      </c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64"/>
      <c r="AB154" s="264"/>
      <c r="AC154" s="264"/>
    </row>
    <row r="155" spans="1:68" ht="27" hidden="1" customHeight="1" x14ac:dyDescent="0.25">
      <c r="A155" s="54" t="s">
        <v>230</v>
      </c>
      <c r="B155" s="54" t="s">
        <v>231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7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0"/>
      <c r="R155" s="280"/>
      <c r="S155" s="280"/>
      <c r="T155" s="281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6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hidden="1" x14ac:dyDescent="0.2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7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hidden="1" customHeight="1" x14ac:dyDescent="0.2">
      <c r="A158" s="320" t="s">
        <v>233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82" t="s">
        <v>234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3"/>
      <c r="AB159" s="263"/>
      <c r="AC159" s="263"/>
    </row>
    <row r="160" spans="1:68" ht="14.25" hidden="1" customHeight="1" x14ac:dyDescent="0.25">
      <c r="A160" s="304" t="s">
        <v>64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64"/>
      <c r="AB160" s="264"/>
      <c r="AC160" s="264"/>
    </row>
    <row r="161" spans="1:68" ht="16.5" hidden="1" customHeight="1" x14ac:dyDescent="0.25">
      <c r="A161" s="54" t="s">
        <v>235</v>
      </c>
      <c r="B161" s="54" t="s">
        <v>236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0"/>
      <c r="R161" s="280"/>
      <c r="S161" s="280"/>
      <c r="T161" s="281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0"/>
      <c r="R162" s="280"/>
      <c r="S162" s="280"/>
      <c r="T162" s="281"/>
      <c r="U162" s="34"/>
      <c r="V162" s="34"/>
      <c r="W162" s="35" t="s">
        <v>70</v>
      </c>
      <c r="X162" s="268">
        <v>60</v>
      </c>
      <c r="Y162" s="269">
        <f>IFERROR(IF(X162="","",X162),"")</f>
        <v>60</v>
      </c>
      <c r="Z162" s="36">
        <f>IFERROR(IF(X162="","",X162*0.00866),"")</f>
        <v>0.51959999999999995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312.79199999999997</v>
      </c>
      <c r="BN162" s="67">
        <f>IFERROR(Y162*I162,"0")</f>
        <v>312.79199999999997</v>
      </c>
      <c r="BO162" s="67">
        <f>IFERROR(X162/J162,"0")</f>
        <v>0.41666666666666669</v>
      </c>
      <c r="BP162" s="67">
        <f>IFERROR(Y162/J162,"0")</f>
        <v>0.41666666666666669</v>
      </c>
    </row>
    <row r="163" spans="1:68" x14ac:dyDescent="0.2">
      <c r="A163" s="286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0">
        <f>IFERROR(SUM(X161:X162),"0")</f>
        <v>60</v>
      </c>
      <c r="Y163" s="270">
        <f>IFERROR(SUM(Y161:Y162),"0")</f>
        <v>60</v>
      </c>
      <c r="Z163" s="270">
        <f>IFERROR(IF(Z161="",0,Z161),"0")+IFERROR(IF(Z162="",0,Z162),"0")</f>
        <v>0.51959999999999995</v>
      </c>
      <c r="AA163" s="271"/>
      <c r="AB163" s="271"/>
      <c r="AC163" s="271"/>
    </row>
    <row r="164" spans="1:68" x14ac:dyDescent="0.2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7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0">
        <f>IFERROR(SUMPRODUCT(X161:X162*H161:H162),"0")</f>
        <v>300</v>
      </c>
      <c r="Y164" s="270">
        <f>IFERROR(SUMPRODUCT(Y161:Y162*H161:H162),"0")</f>
        <v>300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241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82" t="s">
        <v>242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3"/>
      <c r="AB166" s="263"/>
      <c r="AC166" s="263"/>
    </row>
    <row r="167" spans="1:68" ht="14.25" hidden="1" customHeight="1" x14ac:dyDescent="0.25">
      <c r="A167" s="304" t="s">
        <v>77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0"/>
      <c r="R168" s="280"/>
      <c r="S168" s="280"/>
      <c r="T168" s="281"/>
      <c r="U168" s="34"/>
      <c r="V168" s="34"/>
      <c r="W168" s="35" t="s">
        <v>70</v>
      </c>
      <c r="X168" s="268">
        <v>98</v>
      </c>
      <c r="Y168" s="269">
        <f>IFERROR(IF(X168="","",X168),"")</f>
        <v>98</v>
      </c>
      <c r="Z168" s="36">
        <f>IFERROR(IF(X168="","",X168*0.01788),"")</f>
        <v>1.75224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332.024</v>
      </c>
      <c r="BN168" s="67">
        <f>IFERROR(Y168*I168,"0")</f>
        <v>332.024</v>
      </c>
      <c r="BO168" s="67">
        <f>IFERROR(X168/J168,"0")</f>
        <v>1.4</v>
      </c>
      <c r="BP168" s="67">
        <f>IFERROR(Y168/J168,"0")</f>
        <v>1.4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0"/>
      <c r="R169" s="280"/>
      <c r="S169" s="280"/>
      <c r="T169" s="281"/>
      <c r="U169" s="34"/>
      <c r="V169" s="34"/>
      <c r="W169" s="35" t="s">
        <v>70</v>
      </c>
      <c r="X169" s="268">
        <v>98</v>
      </c>
      <c r="Y169" s="269">
        <f>IFERROR(IF(X169="","",X169),"")</f>
        <v>98</v>
      </c>
      <c r="Z169" s="36">
        <f>IFERROR(IF(X169="","",X169*0.01788),"")</f>
        <v>1.75224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332.024</v>
      </c>
      <c r="BN169" s="67">
        <f>IFERROR(Y169*I169,"0")</f>
        <v>332.024</v>
      </c>
      <c r="BO169" s="67">
        <f>IFERROR(X169/J169,"0")</f>
        <v>1.4</v>
      </c>
      <c r="BP169" s="67">
        <f>IFERROR(Y169/J169,"0")</f>
        <v>1.4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0"/>
      <c r="R170" s="280"/>
      <c r="S170" s="280"/>
      <c r="T170" s="281"/>
      <c r="U170" s="34"/>
      <c r="V170" s="34"/>
      <c r="W170" s="35" t="s">
        <v>70</v>
      </c>
      <c r="X170" s="268">
        <v>70</v>
      </c>
      <c r="Y170" s="269">
        <f>IFERROR(IF(X170="","",X170),"")</f>
        <v>70</v>
      </c>
      <c r="Z170" s="36">
        <f>IFERROR(IF(X170="","",X170*0.01788),"")</f>
        <v>1.2516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261.52000000000004</v>
      </c>
      <c r="BN170" s="67">
        <f>IFERROR(Y170*I170,"0")</f>
        <v>261.52000000000004</v>
      </c>
      <c r="BO170" s="67">
        <f>IFERROR(X170/J170,"0")</f>
        <v>1</v>
      </c>
      <c r="BP170" s="67">
        <f>IFERROR(Y170/J170,"0")</f>
        <v>1</v>
      </c>
    </row>
    <row r="171" spans="1:68" x14ac:dyDescent="0.2">
      <c r="A171" s="286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0">
        <f>IFERROR(SUM(X168:X170),"0")</f>
        <v>266</v>
      </c>
      <c r="Y171" s="270">
        <f>IFERROR(SUM(Y168:Y170),"0")</f>
        <v>266</v>
      </c>
      <c r="Z171" s="270">
        <f>IFERROR(IF(Z168="",0,Z168),"0")+IFERROR(IF(Z169="",0,Z169),"0")+IFERROR(IF(Z170="",0,Z170),"0")</f>
        <v>4.7560799999999999</v>
      </c>
      <c r="AA171" s="271"/>
      <c r="AB171" s="271"/>
      <c r="AC171" s="271"/>
    </row>
    <row r="172" spans="1:68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7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0">
        <f>IFERROR(SUMPRODUCT(X168:X170*H168:H170),"0")</f>
        <v>798</v>
      </c>
      <c r="Y172" s="270">
        <f>IFERROR(SUMPRODUCT(Y168:Y170*H168:H170),"0")</f>
        <v>798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252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64"/>
      <c r="AB173" s="264"/>
      <c r="AC173" s="264"/>
    </row>
    <row r="174" spans="1:68" ht="27" hidden="1" customHeight="1" x14ac:dyDescent="0.25">
      <c r="A174" s="54" t="s">
        <v>253</v>
      </c>
      <c r="B174" s="54" t="s">
        <v>254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6" t="s">
        <v>257</v>
      </c>
      <c r="Q174" s="280"/>
      <c r="R174" s="280"/>
      <c r="S174" s="280"/>
      <c r="T174" s="281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7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260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82" t="s">
        <v>261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3"/>
      <c r="AB178" s="263"/>
      <c r="AC178" s="263"/>
    </row>
    <row r="179" spans="1:68" ht="14.25" hidden="1" customHeight="1" x14ac:dyDescent="0.25">
      <c r="A179" s="304" t="s">
        <v>77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64"/>
      <c r="AB179" s="264"/>
      <c r="AC179" s="264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0"/>
      <c r="R180" s="280"/>
      <c r="S180" s="280"/>
      <c r="T180" s="281"/>
      <c r="U180" s="34"/>
      <c r="V180" s="34"/>
      <c r="W180" s="35" t="s">
        <v>70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7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64"/>
      <c r="AB183" s="264"/>
      <c r="AC183" s="264"/>
    </row>
    <row r="184" spans="1:68" ht="27" hidden="1" customHeight="1" x14ac:dyDescent="0.25">
      <c r="A184" s="54" t="s">
        <v>265</v>
      </c>
      <c r="B184" s="54" t="s">
        <v>266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0"/>
      <c r="R184" s="280"/>
      <c r="S184" s="280"/>
      <c r="T184" s="281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70" t="s">
        <v>270</v>
      </c>
      <c r="Q185" s="280"/>
      <c r="R185" s="280"/>
      <c r="S185" s="280"/>
      <c r="T185" s="281"/>
      <c r="U185" s="34"/>
      <c r="V185" s="34"/>
      <c r="W185" s="35" t="s">
        <v>70</v>
      </c>
      <c r="X185" s="268">
        <v>14</v>
      </c>
      <c r="Y185" s="269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43.450400000000002</v>
      </c>
      <c r="BN185" s="67">
        <f>IFERROR(Y185*I185,"0")</f>
        <v>43.450400000000002</v>
      </c>
      <c r="BO185" s="67">
        <f>IFERROR(X185/J185,"0")</f>
        <v>0.2</v>
      </c>
      <c r="BP185" s="67">
        <f>IFERROR(Y185/J185,"0")</f>
        <v>0.2</v>
      </c>
    </row>
    <row r="186" spans="1:68" ht="27" hidden="1" customHeight="1" x14ac:dyDescent="0.25">
      <c r="A186" s="54" t="s">
        <v>272</v>
      </c>
      <c r="B186" s="54" t="s">
        <v>273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0"/>
      <c r="R186" s="280"/>
      <c r="S186" s="280"/>
      <c r="T186" s="281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274</v>
      </c>
      <c r="B187" s="54" t="s">
        <v>275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0"/>
      <c r="R187" s="280"/>
      <c r="S187" s="280"/>
      <c r="T187" s="281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0">
        <f>IFERROR(SUM(X184:X187),"0")</f>
        <v>14</v>
      </c>
      <c r="Y188" s="270">
        <f>IFERROR(SUM(Y184:Y187),"0")</f>
        <v>14</v>
      </c>
      <c r="Z188" s="270">
        <f>IFERROR(IF(Z184="",0,Z184),"0")+IFERROR(IF(Z185="",0,Z185),"0")+IFERROR(IF(Z186="",0,Z186),"0")+IFERROR(IF(Z187="",0,Z187),"0")</f>
        <v>0.25031999999999999</v>
      </c>
      <c r="AA188" s="271"/>
      <c r="AB188" s="271"/>
      <c r="AC188" s="271"/>
    </row>
    <row r="189" spans="1:68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7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0">
        <f>IFERROR(SUMPRODUCT(X184:X187*H184:H187),"0")</f>
        <v>33.6</v>
      </c>
      <c r="Y189" s="270">
        <f>IFERROR(SUMPRODUCT(Y184:Y187*H184:H187),"0")</f>
        <v>33.6</v>
      </c>
      <c r="Z189" s="37"/>
      <c r="AA189" s="271"/>
      <c r="AB189" s="271"/>
      <c r="AC189" s="271"/>
    </row>
    <row r="190" spans="1:68" ht="16.5" hidden="1" customHeight="1" x14ac:dyDescent="0.25">
      <c r="A190" s="282" t="s">
        <v>277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3"/>
      <c r="AB190" s="263"/>
      <c r="AC190" s="263"/>
    </row>
    <row r="191" spans="1:68" ht="14.25" hidden="1" customHeight="1" x14ac:dyDescent="0.25">
      <c r="A191" s="304" t="s">
        <v>64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64"/>
      <c r="AB191" s="264"/>
      <c r="AC191" s="264"/>
    </row>
    <row r="192" spans="1:68" ht="27" hidden="1" customHeight="1" x14ac:dyDescent="0.25">
      <c r="A192" s="54" t="s">
        <v>278</v>
      </c>
      <c r="B192" s="54" t="s">
        <v>279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0"/>
      <c r="R192" s="280"/>
      <c r="S192" s="280"/>
      <c r="T192" s="281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0"/>
      <c r="R193" s="280"/>
      <c r="S193" s="280"/>
      <c r="T193" s="281"/>
      <c r="U193" s="34"/>
      <c r="V193" s="34"/>
      <c r="W193" s="35" t="s">
        <v>70</v>
      </c>
      <c r="X193" s="268">
        <v>48</v>
      </c>
      <c r="Y193" s="269">
        <f>IFERROR(IF(X193="","",X193),"")</f>
        <v>48</v>
      </c>
      <c r="Z193" s="36">
        <f>IFERROR(IF(X193="","",X193*0.0155),"")</f>
        <v>0.74399999999999999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358.56</v>
      </c>
      <c r="BN193" s="67">
        <f>IFERROR(Y193*I193,"0")</f>
        <v>358.56</v>
      </c>
      <c r="BO193" s="67">
        <f>IFERROR(X193/J193,"0")</f>
        <v>0.5714285714285714</v>
      </c>
      <c r="BP193" s="67">
        <f>IFERROR(Y193/J193,"0")</f>
        <v>0.5714285714285714</v>
      </c>
    </row>
    <row r="194" spans="1:68" ht="27" hidden="1" customHeight="1" x14ac:dyDescent="0.25">
      <c r="A194" s="54" t="s">
        <v>283</v>
      </c>
      <c r="B194" s="54" t="s">
        <v>284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0"/>
      <c r="R194" s="280"/>
      <c r="S194" s="280"/>
      <c r="T194" s="281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285</v>
      </c>
      <c r="B195" s="54" t="s">
        <v>286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6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0"/>
      <c r="R195" s="280"/>
      <c r="S195" s="280"/>
      <c r="T195" s="281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6" t="s">
        <v>73</v>
      </c>
      <c r="Q196" s="277"/>
      <c r="R196" s="277"/>
      <c r="S196" s="277"/>
      <c r="T196" s="277"/>
      <c r="U196" s="277"/>
      <c r="V196" s="278"/>
      <c r="W196" s="37" t="s">
        <v>70</v>
      </c>
      <c r="X196" s="270">
        <f>IFERROR(SUM(X192:X195),"0")</f>
        <v>48</v>
      </c>
      <c r="Y196" s="270">
        <f>IFERROR(SUM(Y192:Y195),"0")</f>
        <v>48</v>
      </c>
      <c r="Z196" s="270">
        <f>IFERROR(IF(Z192="",0,Z192),"0")+IFERROR(IF(Z193="",0,Z193),"0")+IFERROR(IF(Z194="",0,Z194),"0")+IFERROR(IF(Z195="",0,Z195),"0")</f>
        <v>0.74399999999999999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6" t="s">
        <v>73</v>
      </c>
      <c r="Q197" s="277"/>
      <c r="R197" s="277"/>
      <c r="S197" s="277"/>
      <c r="T197" s="277"/>
      <c r="U197" s="277"/>
      <c r="V197" s="278"/>
      <c r="W197" s="37" t="s">
        <v>74</v>
      </c>
      <c r="X197" s="270">
        <f>IFERROR(SUMPRODUCT(X192:X195*H192:H195),"0")</f>
        <v>345.6</v>
      </c>
      <c r="Y197" s="270">
        <f>IFERROR(SUMPRODUCT(Y192:Y195*H192:H195),"0")</f>
        <v>345.6</v>
      </c>
      <c r="Z197" s="37"/>
      <c r="AA197" s="271"/>
      <c r="AB197" s="271"/>
      <c r="AC197" s="271"/>
    </row>
    <row r="198" spans="1:68" ht="16.5" hidden="1" customHeight="1" x14ac:dyDescent="0.25">
      <c r="A198" s="282" t="s">
        <v>287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hidden="1" customHeight="1" x14ac:dyDescent="0.25">
      <c r="A199" s="304" t="s">
        <v>64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93</v>
      </c>
      <c r="M200" s="33" t="s">
        <v>69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0"/>
      <c r="R200" s="280"/>
      <c r="S200" s="280"/>
      <c r="T200" s="281"/>
      <c r="U200" s="34"/>
      <c r="V200" s="34"/>
      <c r="W200" s="35" t="s">
        <v>70</v>
      </c>
      <c r="X200" s="268">
        <v>72</v>
      </c>
      <c r="Y200" s="269">
        <f>IFERROR(IF(X200="","",X200),"")</f>
        <v>72</v>
      </c>
      <c r="Z200" s="36">
        <f>IFERROR(IF(X200="","",X200*0.0155),"")</f>
        <v>1.1160000000000001</v>
      </c>
      <c r="AA200" s="56"/>
      <c r="AB200" s="57"/>
      <c r="AC200" s="202" t="s">
        <v>290</v>
      </c>
      <c r="AG200" s="67"/>
      <c r="AJ200" s="71" t="s">
        <v>95</v>
      </c>
      <c r="AK200" s="71">
        <v>12</v>
      </c>
      <c r="BB200" s="203" t="s">
        <v>1</v>
      </c>
      <c r="BM200" s="67">
        <f>IFERROR(X200*I200,"0")</f>
        <v>376.56000000000006</v>
      </c>
      <c r="BN200" s="67">
        <f>IFERROR(Y200*I200,"0")</f>
        <v>376.56000000000006</v>
      </c>
      <c r="BO200" s="67">
        <f>IFERROR(X200/J200,"0")</f>
        <v>0.8571428571428571</v>
      </c>
      <c r="BP200" s="67">
        <f>IFERROR(Y200/J200,"0")</f>
        <v>0.8571428571428571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6" t="s">
        <v>73</v>
      </c>
      <c r="Q201" s="277"/>
      <c r="R201" s="277"/>
      <c r="S201" s="277"/>
      <c r="T201" s="277"/>
      <c r="U201" s="277"/>
      <c r="V201" s="278"/>
      <c r="W201" s="37" t="s">
        <v>70</v>
      </c>
      <c r="X201" s="270">
        <f>IFERROR(SUM(X200:X200),"0")</f>
        <v>72</v>
      </c>
      <c r="Y201" s="270">
        <f>IFERROR(SUM(Y200:Y200),"0")</f>
        <v>72</v>
      </c>
      <c r="Z201" s="270">
        <f>IFERROR(IF(Z200="",0,Z200),"0")</f>
        <v>1.1160000000000001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6" t="s">
        <v>73</v>
      </c>
      <c r="Q202" s="277"/>
      <c r="R202" s="277"/>
      <c r="S202" s="277"/>
      <c r="T202" s="277"/>
      <c r="U202" s="277"/>
      <c r="V202" s="278"/>
      <c r="W202" s="37" t="s">
        <v>74</v>
      </c>
      <c r="X202" s="270">
        <f>IFERROR(SUMPRODUCT(X200:X200*H200:H200),"0")</f>
        <v>360</v>
      </c>
      <c r="Y202" s="270">
        <f>IFERROR(SUMPRODUCT(Y200:Y200*H200:H200),"0")</f>
        <v>360</v>
      </c>
      <c r="Z202" s="37"/>
      <c r="AA202" s="271"/>
      <c r="AB202" s="271"/>
      <c r="AC202" s="271"/>
    </row>
    <row r="203" spans="1:68" ht="16.5" hidden="1" customHeight="1" x14ac:dyDescent="0.25">
      <c r="A203" s="282" t="s">
        <v>291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hidden="1" customHeight="1" x14ac:dyDescent="0.25">
      <c r="A204" s="304" t="s">
        <v>64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hidden="1" customHeight="1" x14ac:dyDescent="0.25">
      <c r="A205" s="54" t="s">
        <v>292</v>
      </c>
      <c r="B205" s="54" t="s">
        <v>293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0"/>
      <c r="R205" s="280"/>
      <c r="S205" s="280"/>
      <c r="T205" s="281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6" t="s">
        <v>73</v>
      </c>
      <c r="Q206" s="277"/>
      <c r="R206" s="277"/>
      <c r="S206" s="277"/>
      <c r="T206" s="277"/>
      <c r="U206" s="277"/>
      <c r="V206" s="278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6" t="s">
        <v>73</v>
      </c>
      <c r="Q207" s="277"/>
      <c r="R207" s="277"/>
      <c r="S207" s="277"/>
      <c r="T207" s="277"/>
      <c r="U207" s="277"/>
      <c r="V207" s="278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123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295</v>
      </c>
      <c r="B209" s="54" t="s">
        <v>296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457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0"/>
      <c r="R209" s="280"/>
      <c r="S209" s="280"/>
      <c r="T209" s="281"/>
      <c r="U209" s="34"/>
      <c r="V209" s="34"/>
      <c r="W209" s="35" t="s">
        <v>70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hidden="1" customHeight="1" x14ac:dyDescent="0.25">
      <c r="A210" s="54" t="s">
        <v>298</v>
      </c>
      <c r="B210" s="54" t="s">
        <v>299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0"/>
      <c r="R210" s="280"/>
      <c r="S210" s="280"/>
      <c r="T210" s="281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0"/>
      <c r="R211" s="280"/>
      <c r="S211" s="280"/>
      <c r="T211" s="281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6" t="s">
        <v>73</v>
      </c>
      <c r="Q212" s="277"/>
      <c r="R212" s="277"/>
      <c r="S212" s="277"/>
      <c r="T212" s="277"/>
      <c r="U212" s="277"/>
      <c r="V212" s="278"/>
      <c r="W212" s="37" t="s">
        <v>70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6" t="s">
        <v>73</v>
      </c>
      <c r="Q213" s="277"/>
      <c r="R213" s="277"/>
      <c r="S213" s="277"/>
      <c r="T213" s="277"/>
      <c r="U213" s="277"/>
      <c r="V213" s="278"/>
      <c r="W213" s="37" t="s">
        <v>74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hidden="1" customHeight="1" x14ac:dyDescent="0.25">
      <c r="A214" s="282" t="s">
        <v>302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hidden="1" customHeight="1" x14ac:dyDescent="0.25">
      <c r="A215" s="304" t="s">
        <v>64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hidden="1" customHeight="1" x14ac:dyDescent="0.25">
      <c r="A216" s="54" t="s">
        <v>303</v>
      </c>
      <c r="B216" s="54" t="s">
        <v>304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92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0"/>
      <c r="R216" s="280"/>
      <c r="S216" s="280"/>
      <c r="T216" s="281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306</v>
      </c>
      <c r="B217" s="54" t="s">
        <v>307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24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0"/>
      <c r="R217" s="280"/>
      <c r="S217" s="280"/>
      <c r="T217" s="281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6" t="s">
        <v>73</v>
      </c>
      <c r="Q218" s="277"/>
      <c r="R218" s="277"/>
      <c r="S218" s="277"/>
      <c r="T218" s="277"/>
      <c r="U218" s="277"/>
      <c r="V218" s="278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6" t="s">
        <v>73</v>
      </c>
      <c r="Q219" s="277"/>
      <c r="R219" s="277"/>
      <c r="S219" s="277"/>
      <c r="T219" s="277"/>
      <c r="U219" s="277"/>
      <c r="V219" s="278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82" t="s">
        <v>309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hidden="1" customHeight="1" x14ac:dyDescent="0.25">
      <c r="A222" s="304" t="s">
        <v>64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hidden="1" customHeight="1" x14ac:dyDescent="0.25">
      <c r="A223" s="54" t="s">
        <v>310</v>
      </c>
      <c r="B223" s="54" t="s">
        <v>311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0"/>
      <c r="R223" s="280"/>
      <c r="S223" s="280"/>
      <c r="T223" s="281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6" t="s">
        <v>73</v>
      </c>
      <c r="Q224" s="277"/>
      <c r="R224" s="277"/>
      <c r="S224" s="277"/>
      <c r="T224" s="277"/>
      <c r="U224" s="277"/>
      <c r="V224" s="278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6" t="s">
        <v>73</v>
      </c>
      <c r="Q225" s="277"/>
      <c r="R225" s="277"/>
      <c r="S225" s="277"/>
      <c r="T225" s="277"/>
      <c r="U225" s="277"/>
      <c r="V225" s="278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82" t="s">
        <v>314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hidden="1" customHeight="1" x14ac:dyDescent="0.25">
      <c r="A228" s="304" t="s">
        <v>64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0"/>
      <c r="R229" s="280"/>
      <c r="S229" s="280"/>
      <c r="T229" s="281"/>
      <c r="U229" s="34"/>
      <c r="V229" s="34"/>
      <c r="W229" s="35" t="s">
        <v>70</v>
      </c>
      <c r="X229" s="268">
        <v>108</v>
      </c>
      <c r="Y229" s="269">
        <f>IFERROR(IF(X229="","",X229),"")</f>
        <v>108</v>
      </c>
      <c r="Z229" s="36">
        <f>IFERROR(IF(X229="","",X229*0.0155),"")</f>
        <v>1.6739999999999999</v>
      </c>
      <c r="AA229" s="56"/>
      <c r="AB229" s="57"/>
      <c r="AC229" s="218" t="s">
        <v>240</v>
      </c>
      <c r="AG229" s="67"/>
      <c r="AJ229" s="71" t="s">
        <v>83</v>
      </c>
      <c r="AK229" s="71">
        <v>84</v>
      </c>
      <c r="BB229" s="219" t="s">
        <v>1</v>
      </c>
      <c r="BM229" s="67">
        <f>IFERROR(X229*I229,"0")</f>
        <v>568.29599999999994</v>
      </c>
      <c r="BN229" s="67">
        <f>IFERROR(Y229*I229,"0")</f>
        <v>568.29599999999994</v>
      </c>
      <c r="BO229" s="67">
        <f>IFERROR(X229/J229,"0")</f>
        <v>1.2857142857142858</v>
      </c>
      <c r="BP229" s="67">
        <f>IFERROR(Y229/J229,"0")</f>
        <v>1.2857142857142858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6" t="s">
        <v>73</v>
      </c>
      <c r="Q230" s="277"/>
      <c r="R230" s="277"/>
      <c r="S230" s="277"/>
      <c r="T230" s="277"/>
      <c r="U230" s="277"/>
      <c r="V230" s="278"/>
      <c r="W230" s="37" t="s">
        <v>70</v>
      </c>
      <c r="X230" s="270">
        <f>IFERROR(SUM(X229:X229),"0")</f>
        <v>108</v>
      </c>
      <c r="Y230" s="270">
        <f>IFERROR(SUM(Y229:Y229),"0")</f>
        <v>108</v>
      </c>
      <c r="Z230" s="270">
        <f>IFERROR(IF(Z229="",0,Z229),"0")</f>
        <v>1.6739999999999999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6" t="s">
        <v>73</v>
      </c>
      <c r="Q231" s="277"/>
      <c r="R231" s="277"/>
      <c r="S231" s="277"/>
      <c r="T231" s="277"/>
      <c r="U231" s="277"/>
      <c r="V231" s="278"/>
      <c r="W231" s="37" t="s">
        <v>74</v>
      </c>
      <c r="X231" s="270">
        <f>IFERROR(SUMPRODUCT(X229:X229*H229:H229),"0")</f>
        <v>540</v>
      </c>
      <c r="Y231" s="270">
        <f>IFERROR(SUMPRODUCT(Y229:Y229*H229:H229),"0")</f>
        <v>540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317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82" t="s">
        <v>318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hidden="1" customHeight="1" x14ac:dyDescent="0.25">
      <c r="A234" s="304" t="s">
        <v>319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hidden="1" customHeight="1" x14ac:dyDescent="0.25">
      <c r="A235" s="54" t="s">
        <v>320</v>
      </c>
      <c r="B235" s="54" t="s">
        <v>321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7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0"/>
      <c r="R235" s="280"/>
      <c r="S235" s="280"/>
      <c r="T235" s="281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6" t="s">
        <v>73</v>
      </c>
      <c r="Q236" s="277"/>
      <c r="R236" s="277"/>
      <c r="S236" s="277"/>
      <c r="T236" s="277"/>
      <c r="U236" s="277"/>
      <c r="V236" s="278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6" t="s">
        <v>73</v>
      </c>
      <c r="Q237" s="277"/>
      <c r="R237" s="277"/>
      <c r="S237" s="277"/>
      <c r="T237" s="277"/>
      <c r="U237" s="277"/>
      <c r="V237" s="278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123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hidden="1" customHeight="1" x14ac:dyDescent="0.25">
      <c r="A239" s="54" t="s">
        <v>323</v>
      </c>
      <c r="B239" s="54" t="s">
        <v>324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0"/>
      <c r="R239" s="280"/>
      <c r="S239" s="280"/>
      <c r="T239" s="281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6" t="s">
        <v>73</v>
      </c>
      <c r="Q240" s="277"/>
      <c r="R240" s="277"/>
      <c r="S240" s="277"/>
      <c r="T240" s="277"/>
      <c r="U240" s="277"/>
      <c r="V240" s="278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6" t="s">
        <v>73</v>
      </c>
      <c r="Q241" s="277"/>
      <c r="R241" s="277"/>
      <c r="S241" s="277"/>
      <c r="T241" s="277"/>
      <c r="U241" s="277"/>
      <c r="V241" s="278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82" t="s">
        <v>325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hidden="1" customHeight="1" x14ac:dyDescent="0.25">
      <c r="A244" s="304" t="s">
        <v>64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hidden="1" customHeight="1" x14ac:dyDescent="0.25">
      <c r="A245" s="54" t="s">
        <v>326</v>
      </c>
      <c r="B245" s="54" t="s">
        <v>327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0"/>
      <c r="R245" s="280"/>
      <c r="S245" s="280"/>
      <c r="T245" s="281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329</v>
      </c>
      <c r="B246" s="54" t="s">
        <v>330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0"/>
      <c r="R246" s="280"/>
      <c r="S246" s="280"/>
      <c r="T246" s="281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331</v>
      </c>
      <c r="B247" s="54" t="s">
        <v>332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0"/>
      <c r="R247" s="280"/>
      <c r="S247" s="280"/>
      <c r="T247" s="281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6" t="s">
        <v>73</v>
      </c>
      <c r="Q248" s="277"/>
      <c r="R248" s="277"/>
      <c r="S248" s="277"/>
      <c r="T248" s="277"/>
      <c r="U248" s="277"/>
      <c r="V248" s="278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6" t="s">
        <v>73</v>
      </c>
      <c r="Q249" s="277"/>
      <c r="R249" s="277"/>
      <c r="S249" s="277"/>
      <c r="T249" s="277"/>
      <c r="U249" s="277"/>
      <c r="V249" s="278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304" t="s">
        <v>77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40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0"/>
      <c r="R251" s="280"/>
      <c r="S251" s="280"/>
      <c r="T251" s="281"/>
      <c r="U251" s="34"/>
      <c r="V251" s="34"/>
      <c r="W251" s="35" t="s">
        <v>70</v>
      </c>
      <c r="X251" s="268">
        <v>168</v>
      </c>
      <c r="Y251" s="269">
        <f>IFERROR(IF(X251="","",X251),"")</f>
        <v>168</v>
      </c>
      <c r="Z251" s="36">
        <f>IFERROR(IF(X251="","",X251*0.0155),"")</f>
        <v>2.6040000000000001</v>
      </c>
      <c r="AA251" s="56"/>
      <c r="AB251" s="57"/>
      <c r="AC251" s="230" t="s">
        <v>336</v>
      </c>
      <c r="AG251" s="67"/>
      <c r="AJ251" s="71" t="s">
        <v>83</v>
      </c>
      <c r="AK251" s="71">
        <v>84</v>
      </c>
      <c r="BB251" s="231" t="s">
        <v>84</v>
      </c>
      <c r="BM251" s="67">
        <f>IFERROR(X251*I251,"0")</f>
        <v>1051.68</v>
      </c>
      <c r="BN251" s="67">
        <f>IFERROR(Y251*I251,"0")</f>
        <v>1051.68</v>
      </c>
      <c r="BO251" s="67">
        <f>IFERROR(X251/J251,"0")</f>
        <v>2</v>
      </c>
      <c r="BP251" s="67">
        <f>IFERROR(Y251/J251,"0")</f>
        <v>2</v>
      </c>
    </row>
    <row r="252" spans="1:68" ht="27" hidden="1" customHeight="1" x14ac:dyDescent="0.25">
      <c r="A252" s="54" t="s">
        <v>337</v>
      </c>
      <c r="B252" s="54" t="s">
        <v>338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93</v>
      </c>
      <c r="M252" s="33" t="s">
        <v>69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0"/>
      <c r="R252" s="280"/>
      <c r="S252" s="280"/>
      <c r="T252" s="281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95</v>
      </c>
      <c r="AK252" s="71">
        <v>18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6" t="s">
        <v>73</v>
      </c>
      <c r="Q253" s="277"/>
      <c r="R253" s="277"/>
      <c r="S253" s="277"/>
      <c r="T253" s="277"/>
      <c r="U253" s="277"/>
      <c r="V253" s="278"/>
      <c r="W253" s="37" t="s">
        <v>70</v>
      </c>
      <c r="X253" s="270">
        <f>IFERROR(SUM(X251:X252),"0")</f>
        <v>168</v>
      </c>
      <c r="Y253" s="270">
        <f>IFERROR(SUM(Y251:Y252),"0")</f>
        <v>168</v>
      </c>
      <c r="Z253" s="270">
        <f>IFERROR(IF(Z251="",0,Z251),"0")+IFERROR(IF(Z252="",0,Z252),"0")</f>
        <v>2.6040000000000001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6" t="s">
        <v>73</v>
      </c>
      <c r="Q254" s="277"/>
      <c r="R254" s="277"/>
      <c r="S254" s="277"/>
      <c r="T254" s="277"/>
      <c r="U254" s="277"/>
      <c r="V254" s="278"/>
      <c r="W254" s="37" t="s">
        <v>74</v>
      </c>
      <c r="X254" s="270">
        <f>IFERROR(SUMPRODUCT(X251:X252*H251:H252),"0")</f>
        <v>1008</v>
      </c>
      <c r="Y254" s="270">
        <f>IFERROR(SUMPRODUCT(Y251:Y252*H251:H252),"0")</f>
        <v>1008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117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hidden="1" customHeight="1" x14ac:dyDescent="0.25">
      <c r="A256" s="54" t="s">
        <v>339</v>
      </c>
      <c r="B256" s="54" t="s">
        <v>340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93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0"/>
      <c r="R256" s="280"/>
      <c r="S256" s="280"/>
      <c r="T256" s="281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95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0"/>
      <c r="R257" s="280"/>
      <c r="S257" s="280"/>
      <c r="T257" s="281"/>
      <c r="U257" s="34"/>
      <c r="V257" s="34"/>
      <c r="W257" s="35" t="s">
        <v>70</v>
      </c>
      <c r="X257" s="268">
        <v>120</v>
      </c>
      <c r="Y257" s="269">
        <f>IFERROR(IF(X257="","",X257),"")</f>
        <v>120</v>
      </c>
      <c r="Z257" s="36">
        <f>IFERROR(IF(X257="","",X257*0.0155),"")</f>
        <v>1.8599999999999999</v>
      </c>
      <c r="AA257" s="56"/>
      <c r="AB257" s="57"/>
      <c r="AC257" s="236" t="s">
        <v>341</v>
      </c>
      <c r="AG257" s="67"/>
      <c r="AJ257" s="71" t="s">
        <v>83</v>
      </c>
      <c r="AK257" s="71">
        <v>84</v>
      </c>
      <c r="BB257" s="237" t="s">
        <v>84</v>
      </c>
      <c r="BM257" s="67">
        <f>IFERROR(X257*I257,"0")</f>
        <v>628.20000000000005</v>
      </c>
      <c r="BN257" s="67">
        <f>IFERROR(Y257*I257,"0")</f>
        <v>628.20000000000005</v>
      </c>
      <c r="BO257" s="67">
        <f>IFERROR(X257/J257,"0")</f>
        <v>1.4285714285714286</v>
      </c>
      <c r="BP257" s="67">
        <f>IFERROR(Y257/J257,"0")</f>
        <v>1.4285714285714286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93</v>
      </c>
      <c r="M258" s="33" t="s">
        <v>69</v>
      </c>
      <c r="N258" s="33"/>
      <c r="O258" s="32">
        <v>180</v>
      </c>
      <c r="P258" s="3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0"/>
      <c r="R258" s="280"/>
      <c r="S258" s="280"/>
      <c r="T258" s="281"/>
      <c r="U258" s="34"/>
      <c r="V258" s="34"/>
      <c r="W258" s="35" t="s">
        <v>70</v>
      </c>
      <c r="X258" s="268">
        <v>42</v>
      </c>
      <c r="Y258" s="269">
        <f>IFERROR(IF(X258="","",X258),"")</f>
        <v>42</v>
      </c>
      <c r="Z258" s="36">
        <f>IFERROR(IF(X258="","",X258*0.00936),"")</f>
        <v>0.39312000000000002</v>
      </c>
      <c r="AA258" s="56"/>
      <c r="AB258" s="57"/>
      <c r="AC258" s="238" t="s">
        <v>341</v>
      </c>
      <c r="AG258" s="67"/>
      <c r="AJ258" s="71" t="s">
        <v>95</v>
      </c>
      <c r="AK258" s="71">
        <v>14</v>
      </c>
      <c r="BB258" s="239" t="s">
        <v>84</v>
      </c>
      <c r="BM258" s="67">
        <f>IFERROR(X258*I258,"0")</f>
        <v>102.14399999999999</v>
      </c>
      <c r="BN258" s="67">
        <f>IFERROR(Y258*I258,"0")</f>
        <v>102.14399999999999</v>
      </c>
      <c r="BO258" s="67">
        <f>IFERROR(X258/J258,"0")</f>
        <v>0.33333333333333331</v>
      </c>
      <c r="BP258" s="67">
        <f>IFERROR(Y258/J258,"0")</f>
        <v>0.33333333333333331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6" t="s">
        <v>73</v>
      </c>
      <c r="Q259" s="277"/>
      <c r="R259" s="277"/>
      <c r="S259" s="277"/>
      <c r="T259" s="277"/>
      <c r="U259" s="277"/>
      <c r="V259" s="278"/>
      <c r="W259" s="37" t="s">
        <v>70</v>
      </c>
      <c r="X259" s="270">
        <f>IFERROR(SUM(X256:X258),"0")</f>
        <v>162</v>
      </c>
      <c r="Y259" s="270">
        <f>IFERROR(SUM(Y256:Y258),"0")</f>
        <v>162</v>
      </c>
      <c r="Z259" s="270">
        <f>IFERROR(IF(Z256="",0,Z256),"0")+IFERROR(IF(Z257="",0,Z257),"0")+IFERROR(IF(Z258="",0,Z258),"0")</f>
        <v>2.25312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6" t="s">
        <v>73</v>
      </c>
      <c r="Q260" s="277"/>
      <c r="R260" s="277"/>
      <c r="S260" s="277"/>
      <c r="T260" s="277"/>
      <c r="U260" s="277"/>
      <c r="V260" s="278"/>
      <c r="W260" s="37" t="s">
        <v>74</v>
      </c>
      <c r="X260" s="270">
        <f>IFERROR(SUMPRODUCT(X256:X258*H256:H258),"0")</f>
        <v>694.08</v>
      </c>
      <c r="Y260" s="270">
        <f>IFERROR(SUMPRODUCT(Y256:Y258*H256:H258),"0")</f>
        <v>694.08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123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hidden="1" customHeight="1" x14ac:dyDescent="0.25">
      <c r="A262" s="54" t="s">
        <v>346</v>
      </c>
      <c r="B262" s="54" t="s">
        <v>347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0"/>
      <c r="R262" s="280"/>
      <c r="S262" s="280"/>
      <c r="T262" s="281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93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0"/>
      <c r="R263" s="280"/>
      <c r="S263" s="280"/>
      <c r="T263" s="281"/>
      <c r="U263" s="34"/>
      <c r="V263" s="34"/>
      <c r="W263" s="35" t="s">
        <v>70</v>
      </c>
      <c r="X263" s="268">
        <v>56</v>
      </c>
      <c r="Y263" s="269">
        <f t="shared" si="12"/>
        <v>56</v>
      </c>
      <c r="Z263" s="36">
        <f>IFERROR(IF(X263="","",X263*0.00936),"")</f>
        <v>0.52415999999999996</v>
      </c>
      <c r="AA263" s="56"/>
      <c r="AB263" s="57"/>
      <c r="AC263" s="242" t="s">
        <v>351</v>
      </c>
      <c r="AG263" s="67"/>
      <c r="AJ263" s="71" t="s">
        <v>95</v>
      </c>
      <c r="AK263" s="71">
        <v>14</v>
      </c>
      <c r="BB263" s="243" t="s">
        <v>84</v>
      </c>
      <c r="BM263" s="67">
        <f t="shared" si="13"/>
        <v>217.952</v>
      </c>
      <c r="BN263" s="67">
        <f t="shared" si="14"/>
        <v>217.952</v>
      </c>
      <c r="BO263" s="67">
        <f t="shared" si="15"/>
        <v>0.44444444444444442</v>
      </c>
      <c r="BP263" s="67">
        <f t="shared" si="16"/>
        <v>0.44444444444444442</v>
      </c>
    </row>
    <row r="264" spans="1:68" ht="27" hidden="1" customHeight="1" x14ac:dyDescent="0.25">
      <c r="A264" s="54" t="s">
        <v>352</v>
      </c>
      <c r="B264" s="54" t="s">
        <v>353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93</v>
      </c>
      <c r="M264" s="33" t="s">
        <v>69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0"/>
      <c r="R264" s="280"/>
      <c r="S264" s="280"/>
      <c r="T264" s="281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95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93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0"/>
      <c r="R265" s="280"/>
      <c r="S265" s="280"/>
      <c r="T265" s="281"/>
      <c r="U265" s="34"/>
      <c r="V265" s="34"/>
      <c r="W265" s="35" t="s">
        <v>70</v>
      </c>
      <c r="X265" s="268">
        <v>98</v>
      </c>
      <c r="Y265" s="269">
        <f t="shared" si="12"/>
        <v>98</v>
      </c>
      <c r="Z265" s="36">
        <f t="shared" ref="Z265:Z270" si="17">IFERROR(IF(X265="","",X265*0.00936),"")</f>
        <v>0.91727999999999998</v>
      </c>
      <c r="AA265" s="56"/>
      <c r="AB265" s="57"/>
      <c r="AC265" s="246" t="s">
        <v>351</v>
      </c>
      <c r="AG265" s="67"/>
      <c r="AJ265" s="71" t="s">
        <v>95</v>
      </c>
      <c r="AK265" s="71">
        <v>14</v>
      </c>
      <c r="BB265" s="247" t="s">
        <v>84</v>
      </c>
      <c r="BM265" s="67">
        <f t="shared" si="13"/>
        <v>312.81600000000003</v>
      </c>
      <c r="BN265" s="67">
        <f t="shared" si="14"/>
        <v>312.81600000000003</v>
      </c>
      <c r="BO265" s="67">
        <f t="shared" si="15"/>
        <v>0.77777777777777779</v>
      </c>
      <c r="BP265" s="67">
        <f t="shared" si="16"/>
        <v>0.77777777777777779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0"/>
      <c r="R266" s="280"/>
      <c r="S266" s="280"/>
      <c r="T266" s="281"/>
      <c r="U266" s="34"/>
      <c r="V266" s="34"/>
      <c r="W266" s="35" t="s">
        <v>70</v>
      </c>
      <c r="X266" s="268">
        <v>28</v>
      </c>
      <c r="Y266" s="269">
        <f t="shared" si="12"/>
        <v>28</v>
      </c>
      <c r="Z266" s="36">
        <f t="shared" si="17"/>
        <v>0.26207999999999998</v>
      </c>
      <c r="AA266" s="56"/>
      <c r="AB266" s="57"/>
      <c r="AC266" s="248" t="s">
        <v>348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108.976</v>
      </c>
      <c r="BN266" s="67">
        <f t="shared" si="14"/>
        <v>108.976</v>
      </c>
      <c r="BO266" s="67">
        <f t="shared" si="15"/>
        <v>0.22222222222222221</v>
      </c>
      <c r="BP266" s="67">
        <f t="shared" si="16"/>
        <v>0.22222222222222221</v>
      </c>
    </row>
    <row r="267" spans="1:68" ht="37.5" hidden="1" customHeight="1" x14ac:dyDescent="0.25">
      <c r="A267" s="54" t="s">
        <v>358</v>
      </c>
      <c r="B267" s="54" t="s">
        <v>359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0"/>
      <c r="R267" s="280"/>
      <c r="S267" s="280"/>
      <c r="T267" s="281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360</v>
      </c>
      <c r="B268" s="54" t="s">
        <v>361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0"/>
      <c r="R268" s="280"/>
      <c r="S268" s="280"/>
      <c r="T268" s="281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362</v>
      </c>
      <c r="B269" s="54" t="s">
        <v>363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364</v>
      </c>
      <c r="B270" s="54" t="s">
        <v>365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3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0"/>
      <c r="R270" s="280"/>
      <c r="S270" s="280"/>
      <c r="T270" s="281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0"/>
      <c r="R271" s="280"/>
      <c r="S271" s="280"/>
      <c r="T271" s="281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6" t="s">
        <v>73</v>
      </c>
      <c r="Q272" s="277"/>
      <c r="R272" s="277"/>
      <c r="S272" s="277"/>
      <c r="T272" s="277"/>
      <c r="U272" s="277"/>
      <c r="V272" s="278"/>
      <c r="W272" s="37" t="s">
        <v>70</v>
      </c>
      <c r="X272" s="270">
        <f>IFERROR(SUM(X262:X271),"0")</f>
        <v>182</v>
      </c>
      <c r="Y272" s="270">
        <f>IFERROR(SUM(Y262:Y271),"0")</f>
        <v>182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1.7035200000000001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6" t="s">
        <v>73</v>
      </c>
      <c r="Q273" s="277"/>
      <c r="R273" s="277"/>
      <c r="S273" s="277"/>
      <c r="T273" s="277"/>
      <c r="U273" s="277"/>
      <c r="V273" s="278"/>
      <c r="W273" s="37" t="s">
        <v>74</v>
      </c>
      <c r="X273" s="270">
        <f>IFERROR(SUMPRODUCT(X262:X271*H262:H271),"0")</f>
        <v>604.80000000000007</v>
      </c>
      <c r="Y273" s="270">
        <f>IFERROR(SUMPRODUCT(Y262:Y271*H262:H271),"0")</f>
        <v>604.80000000000007</v>
      </c>
      <c r="Z273" s="37"/>
      <c r="AA273" s="271"/>
      <c r="AB273" s="271"/>
      <c r="AC273" s="271"/>
    </row>
    <row r="274" spans="1:32" ht="15" customHeight="1" x14ac:dyDescent="0.2">
      <c r="A274" s="431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72"/>
      <c r="P274" s="317" t="s">
        <v>368</v>
      </c>
      <c r="Q274" s="318"/>
      <c r="R274" s="318"/>
      <c r="S274" s="318"/>
      <c r="T274" s="318"/>
      <c r="U274" s="318"/>
      <c r="V274" s="319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12824.52</v>
      </c>
      <c r="Y274" s="270">
        <f>IFERROR(Y24+Y31+Y38+Y46+Y51+Y55+Y60+Y66+Y72+Y77+Y83+Y93+Y99+Y111+Y115+Y119+Y125+Y131+Y137+Y142+Y147+Y152+Y157+Y164+Y172+Y176+Y182+Y189+Y197+Y202+Y207+Y213+Y219+Y225+Y231+Y237+Y241+Y249+Y254+Y260+Y273,"0")</f>
        <v>12824.52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72"/>
      <c r="P275" s="317" t="s">
        <v>369</v>
      </c>
      <c r="Q275" s="318"/>
      <c r="R275" s="318"/>
      <c r="S275" s="318"/>
      <c r="T275" s="318"/>
      <c r="U275" s="318"/>
      <c r="V275" s="319"/>
      <c r="W275" s="37" t="s">
        <v>74</v>
      </c>
      <c r="X275" s="270">
        <f>IFERROR(SUM(BM22:BM271),"0")</f>
        <v>13989.662799999998</v>
      </c>
      <c r="Y275" s="270">
        <f>IFERROR(SUM(BN22:BN271),"0")</f>
        <v>13989.662799999998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72"/>
      <c r="P276" s="317" t="s">
        <v>370</v>
      </c>
      <c r="Q276" s="318"/>
      <c r="R276" s="318"/>
      <c r="S276" s="318"/>
      <c r="T276" s="318"/>
      <c r="U276" s="318"/>
      <c r="V276" s="319"/>
      <c r="W276" s="37" t="s">
        <v>371</v>
      </c>
      <c r="X276" s="38">
        <f>ROUNDUP(SUM(BO22:BO271),0)</f>
        <v>35</v>
      </c>
      <c r="Y276" s="38">
        <f>ROUNDUP(SUM(BP22:BP271),0)</f>
        <v>35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72"/>
      <c r="P277" s="317" t="s">
        <v>372</v>
      </c>
      <c r="Q277" s="318"/>
      <c r="R277" s="318"/>
      <c r="S277" s="318"/>
      <c r="T277" s="318"/>
      <c r="U277" s="318"/>
      <c r="V277" s="319"/>
      <c r="W277" s="37" t="s">
        <v>74</v>
      </c>
      <c r="X277" s="270">
        <f>GrossWeightTotal+PalletQtyTotal*25</f>
        <v>14864.662799999998</v>
      </c>
      <c r="Y277" s="270">
        <f>GrossWeightTotalR+PalletQtyTotalR*25</f>
        <v>14864.662799999998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72"/>
      <c r="P278" s="317" t="s">
        <v>373</v>
      </c>
      <c r="Q278" s="318"/>
      <c r="R278" s="318"/>
      <c r="S278" s="318"/>
      <c r="T278" s="318"/>
      <c r="U278" s="318"/>
      <c r="V278" s="319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2942</v>
      </c>
      <c r="Y278" s="270">
        <f>IFERROR(Y23+Y30+Y37+Y45+Y50+Y54+Y59+Y65+Y71+Y76+Y82+Y92+Y98+Y110+Y114+Y118+Y124+Y130+Y136+Y141+Y146+Y151+Y156+Y163+Y171+Y175+Y181+Y188+Y196+Y201+Y206+Y212+Y218+Y224+Y230+Y236+Y240+Y248+Y253+Y259+Y272,"0")</f>
        <v>2942</v>
      </c>
      <c r="Z278" s="37"/>
      <c r="AA278" s="271"/>
      <c r="AB278" s="271"/>
      <c r="AC278" s="271"/>
    </row>
    <row r="279" spans="1:32" ht="14.25" hidden="1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72"/>
      <c r="P279" s="317" t="s">
        <v>374</v>
      </c>
      <c r="Q279" s="318"/>
      <c r="R279" s="318"/>
      <c r="S279" s="318"/>
      <c r="T279" s="318"/>
      <c r="U279" s="318"/>
      <c r="V279" s="319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43.9771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2" t="s">
        <v>75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5" t="s">
        <v>233</v>
      </c>
      <c r="V281" s="265" t="s">
        <v>241</v>
      </c>
      <c r="W281" s="272" t="s">
        <v>260</v>
      </c>
      <c r="X281" s="308"/>
      <c r="Y281" s="308"/>
      <c r="Z281" s="308"/>
      <c r="AA281" s="309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290" t="s">
        <v>377</v>
      </c>
      <c r="B282" s="272" t="s">
        <v>63</v>
      </c>
      <c r="C282" s="272" t="s">
        <v>76</v>
      </c>
      <c r="D282" s="272" t="s">
        <v>87</v>
      </c>
      <c r="E282" s="272" t="s">
        <v>99</v>
      </c>
      <c r="F282" s="272" t="s">
        <v>110</v>
      </c>
      <c r="G282" s="272" t="s">
        <v>131</v>
      </c>
      <c r="H282" s="272" t="s">
        <v>138</v>
      </c>
      <c r="I282" s="272" t="s">
        <v>142</v>
      </c>
      <c r="J282" s="272" t="s">
        <v>150</v>
      </c>
      <c r="K282" s="272" t="s">
        <v>165</v>
      </c>
      <c r="L282" s="272" t="s">
        <v>171</v>
      </c>
      <c r="M282" s="272" t="s">
        <v>199</v>
      </c>
      <c r="N282" s="266"/>
      <c r="O282" s="272" t="s">
        <v>205</v>
      </c>
      <c r="P282" s="272" t="s">
        <v>212</v>
      </c>
      <c r="Q282" s="272" t="s">
        <v>217</v>
      </c>
      <c r="R282" s="272" t="s">
        <v>221</v>
      </c>
      <c r="S282" s="272" t="s">
        <v>224</v>
      </c>
      <c r="T282" s="272" t="s">
        <v>229</v>
      </c>
      <c r="U282" s="272" t="s">
        <v>234</v>
      </c>
      <c r="V282" s="272" t="s">
        <v>242</v>
      </c>
      <c r="W282" s="272" t="s">
        <v>261</v>
      </c>
      <c r="X282" s="272" t="s">
        <v>277</v>
      </c>
      <c r="Y282" s="272" t="s">
        <v>287</v>
      </c>
      <c r="Z282" s="272" t="s">
        <v>291</v>
      </c>
      <c r="AA282" s="272" t="s">
        <v>302</v>
      </c>
      <c r="AB282" s="272" t="s">
        <v>309</v>
      </c>
      <c r="AC282" s="272" t="s">
        <v>314</v>
      </c>
      <c r="AD282" s="272" t="s">
        <v>318</v>
      </c>
      <c r="AE282" s="272" t="s">
        <v>325</v>
      </c>
      <c r="AF282" s="266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189</v>
      </c>
      <c r="D284" s="46">
        <f>IFERROR(X34*H34,"0")+IFERROR(X35*H35,"0")+IFERROR(X36*H36,"0")</f>
        <v>67.199999999999989</v>
      </c>
      <c r="E284" s="46">
        <f>IFERROR(X41*H41,"0")+IFERROR(X42*H42,"0")+IFERROR(X43*H43,"0")+IFERROR(X44*H44,"0")</f>
        <v>1252.8</v>
      </c>
      <c r="F284" s="46">
        <f>IFERROR(X49*H49,"0")+IFERROR(X53*H53,"0")+IFERROR(X57*H57,"0")+IFERROR(X58*H58,"0")+IFERROR(X62*H62,"0")+IFERROR(X63*H63,"0")+IFERROR(X64*H64,"0")</f>
        <v>67.2</v>
      </c>
      <c r="G284" s="46">
        <f>IFERROR(X69*H69,"0")+IFERROR(X70*H70,"0")</f>
        <v>1020</v>
      </c>
      <c r="H284" s="46">
        <f>IFERROR(X75*H75,"0")</f>
        <v>50.4</v>
      </c>
      <c r="I284" s="46">
        <f>IFERROR(X80*H80,"0")+IFERROR(X81*H81,"0")</f>
        <v>252</v>
      </c>
      <c r="J284" s="46">
        <f>IFERROR(X86*H86,"0")+IFERROR(X87*H87,"0")+IFERROR(X88*H88,"0")+IFERROR(X89*H89,"0")+IFERROR(X90*H90,"0")+IFERROR(X91*H91,"0")</f>
        <v>542.64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3089.76</v>
      </c>
      <c r="M284" s="46">
        <f>IFERROR(X122*H122,"0")+IFERROR(X123*H123,"0")</f>
        <v>882</v>
      </c>
      <c r="N284" s="266"/>
      <c r="O284" s="46">
        <f>IFERROR(X128*H128,"0")+IFERROR(X129*H129,"0")</f>
        <v>336</v>
      </c>
      <c r="P284" s="46">
        <f>IFERROR(X134*H134,"0")+IFERROR(X135*H135,"0")</f>
        <v>235.2</v>
      </c>
      <c r="Q284" s="46">
        <f>IFERROR(X140*H140,"0")</f>
        <v>84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300</v>
      </c>
      <c r="V284" s="46">
        <f>IFERROR(X168*H168,"0")+IFERROR(X169*H169,"0")+IFERROR(X170*H170,"0")+IFERROR(X174*H174,"0")</f>
        <v>798</v>
      </c>
      <c r="W284" s="46">
        <f>IFERROR(X180*H180,"0")+IFERROR(X184*H184,"0")+IFERROR(X185*H185,"0")+IFERROR(X186*H186,"0")+IFERROR(X187*H187,"0")</f>
        <v>72.240000000000009</v>
      </c>
      <c r="X284" s="46">
        <f>IFERROR(X192*H192,"0")+IFERROR(X193*H193,"0")+IFERROR(X194*H194,"0")+IFERROR(X195*H195,"0")</f>
        <v>345.6</v>
      </c>
      <c r="Y284" s="46">
        <f>IFERROR(X200*H200,"0")</f>
        <v>360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540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2306.8799999999997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6866.4000000000005</v>
      </c>
      <c r="B287" s="60">
        <f>SUMPRODUCT(--(BB:BB="ПГП"),--(W:W="кор"),H:H,Y:Y)+SUMPRODUCT(--(BB:BB="ПГП"),--(W:W="кг"),Y:Y)</f>
        <v>5958.12</v>
      </c>
      <c r="C287" s="60">
        <f>SUMPRODUCT(--(BB:BB="КИЗ"),--(W:W="кор"),H:H,Y:Y)+SUMPRODUCT(--(BB:BB="КИЗ"),--(W:W="кг"),Y:Y)</f>
        <v>0</v>
      </c>
    </row>
  </sheetData>
  <sheetProtection algorithmName="SHA-512" hashValue="yIqxCzd2s94so1CbFBpX0MQFodaaOoAzXSQSWPI/LetP31azlqWE6MO8nmnSyoqEkOV/DNYWF6eHAj0RlJGuXw==" saltValue="a3ewhNqi+NreI/nc/ZCJsw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20,00"/>
        <filter val="1 252,80"/>
        <filter val="108,00"/>
        <filter val="112,00"/>
        <filter val="12 824,52"/>
        <filter val="12,00"/>
        <filter val="120,00"/>
        <filter val="126,00"/>
        <filter val="13 989,66"/>
        <filter val="14 864,66"/>
        <filter val="14,00"/>
        <filter val="156,00"/>
        <filter val="162,00"/>
        <filter val="168,00"/>
        <filter val="180,00"/>
        <filter val="182,00"/>
        <filter val="189,00"/>
        <filter val="2 942,00"/>
        <filter val="2 980,80"/>
        <filter val="204,00"/>
        <filter val="235,20"/>
        <filter val="252,00"/>
        <filter val="266,00"/>
        <filter val="28,00"/>
        <filter val="294,00"/>
        <filter val="300,00"/>
        <filter val="33,60"/>
        <filter val="336,00"/>
        <filter val="345,60"/>
        <filter val="35"/>
        <filter val="36,00"/>
        <filter val="36,96"/>
        <filter val="360,00"/>
        <filter val="38,64"/>
        <filter val="42,00"/>
        <filter val="432,00"/>
        <filter val="48,00"/>
        <filter val="50,40"/>
        <filter val="540,00"/>
        <filter val="542,64"/>
        <filter val="56,00"/>
        <filter val="60,00"/>
        <filter val="604,80"/>
        <filter val="67,20"/>
        <filter val="694,08"/>
        <filter val="70,00"/>
        <filter val="72,00"/>
        <filter val="798,00"/>
        <filter val="84,00"/>
        <filter val="882,00"/>
        <filter val="98,00"/>
      </filters>
    </filterColumn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D251:E251"/>
    <mergeCell ref="D106:E106"/>
    <mergeCell ref="A146:O147"/>
    <mergeCell ref="P209:T209"/>
    <mergeCell ref="D174:E174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D6:M6"/>
    <mergeCell ref="P162:T162"/>
    <mergeCell ref="A85:Z85"/>
    <mergeCell ref="P106:T106"/>
    <mergeCell ref="D256:E256"/>
    <mergeCell ref="A9:C9"/>
    <mergeCell ref="Q13:R13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71:O72"/>
    <mergeCell ref="A179:Z179"/>
    <mergeCell ref="D58:E58"/>
    <mergeCell ref="A236:O237"/>
    <mergeCell ref="A116:Z116"/>
    <mergeCell ref="D267:E267"/>
    <mergeCell ref="P96:T96"/>
    <mergeCell ref="H17:H18"/>
    <mergeCell ref="P90:T90"/>
    <mergeCell ref="P161:T161"/>
    <mergeCell ref="P217:T217"/>
    <mergeCell ref="D269:E269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D264:E264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P72:V72"/>
    <mergeCell ref="P122:T122"/>
    <mergeCell ref="P43:T43"/>
    <mergeCell ref="P65:V65"/>
    <mergeCell ref="P136:V136"/>
    <mergeCell ref="A126:Z126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D262:E262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93:V93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P38:V38"/>
    <mergeCell ref="B282:B283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W17:W18"/>
    <mergeCell ref="A144:Z1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5 X187 X192:X195 X205 X209:X211 X216:X217 X223 X235 X239 X245:X247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29 X251 X257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 X186 X200 X252 X256 X258 X263:X266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33a/GfMZvYU8radWRVgw1mblus+eqHOs0/v1k1rJSRSAbVZ7mKX3Ztwptx02at9wWxAV5N+vsaZy1tYgvcEw==" saltValue="DFCWgkMRrbrd7Osw7TG8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2025-11-20T09:46:55Z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