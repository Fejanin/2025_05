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7A7F0D1-8B89-4F53-B2CB-C2346EB724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O214" i="1"/>
  <c r="BM214" i="1"/>
  <c r="Y214" i="1"/>
  <c r="Z214" i="1" s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P135" i="1"/>
  <c r="BO135" i="1"/>
  <c r="BN135" i="1"/>
  <c r="BM135" i="1"/>
  <c r="Z135" i="1"/>
  <c r="Y135" i="1"/>
  <c r="P135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100" i="1" l="1"/>
  <c r="BN100" i="1"/>
  <c r="Z100" i="1"/>
  <c r="BP148" i="1"/>
  <c r="BN148" i="1"/>
  <c r="Z148" i="1"/>
  <c r="BP171" i="1"/>
  <c r="BN171" i="1"/>
  <c r="Z171" i="1"/>
  <c r="BP208" i="1"/>
  <c r="BN208" i="1"/>
  <c r="Z208" i="1"/>
  <c r="BP230" i="1"/>
  <c r="BN230" i="1"/>
  <c r="Z230" i="1"/>
  <c r="BP264" i="1"/>
  <c r="BN264" i="1"/>
  <c r="Z264" i="1"/>
  <c r="BP301" i="1"/>
  <c r="BN301" i="1"/>
  <c r="Z301" i="1"/>
  <c r="BP324" i="1"/>
  <c r="BN324" i="1"/>
  <c r="Z324" i="1"/>
  <c r="BP379" i="1"/>
  <c r="BN379" i="1"/>
  <c r="Z379" i="1"/>
  <c r="BP425" i="1"/>
  <c r="BN425" i="1"/>
  <c r="Z425" i="1"/>
  <c r="BP451" i="1"/>
  <c r="BN451" i="1"/>
  <c r="Z451" i="1"/>
  <c r="X490" i="1"/>
  <c r="Y32" i="1"/>
  <c r="Z34" i="1"/>
  <c r="Z35" i="1" s="1"/>
  <c r="BN34" i="1"/>
  <c r="BP34" i="1"/>
  <c r="Y35" i="1"/>
  <c r="Z40" i="1"/>
  <c r="BN40" i="1"/>
  <c r="Z55" i="1"/>
  <c r="BN55" i="1"/>
  <c r="Z74" i="1"/>
  <c r="BN74" i="1"/>
  <c r="BP80" i="1"/>
  <c r="BN80" i="1"/>
  <c r="Z80" i="1"/>
  <c r="BP116" i="1"/>
  <c r="BN116" i="1"/>
  <c r="Z116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92" i="1"/>
  <c r="BN192" i="1"/>
  <c r="Z192" i="1"/>
  <c r="BP196" i="1"/>
  <c r="BN196" i="1"/>
  <c r="Z196" i="1"/>
  <c r="BP215" i="1"/>
  <c r="BN215" i="1"/>
  <c r="Z215" i="1"/>
  <c r="BP248" i="1"/>
  <c r="BN248" i="1"/>
  <c r="Z248" i="1"/>
  <c r="Y286" i="1"/>
  <c r="Y285" i="1"/>
  <c r="BP284" i="1"/>
  <c r="BN284" i="1"/>
  <c r="Z284" i="1"/>
  <c r="Z285" i="1" s="1"/>
  <c r="BP289" i="1"/>
  <c r="BN289" i="1"/>
  <c r="Z289" i="1"/>
  <c r="BP317" i="1"/>
  <c r="BN317" i="1"/>
  <c r="Z317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BP76" i="1"/>
  <c r="BN76" i="1"/>
  <c r="Z76" i="1"/>
  <c r="BP95" i="1"/>
  <c r="BN95" i="1"/>
  <c r="Z95" i="1"/>
  <c r="BP114" i="1"/>
  <c r="BN114" i="1"/>
  <c r="Z114" i="1"/>
  <c r="BP142" i="1"/>
  <c r="BN142" i="1"/>
  <c r="Z142" i="1"/>
  <c r="J9" i="1"/>
  <c r="BP72" i="1"/>
  <c r="BN72" i="1"/>
  <c r="Z72" i="1"/>
  <c r="BP87" i="1"/>
  <c r="BN87" i="1"/>
  <c r="Z87" i="1"/>
  <c r="BP102" i="1"/>
  <c r="BN102" i="1"/>
  <c r="Z102" i="1"/>
  <c r="Y122" i="1"/>
  <c r="Y121" i="1"/>
  <c r="BP120" i="1"/>
  <c r="BN120" i="1"/>
  <c r="Z120" i="1"/>
  <c r="Z121" i="1" s="1"/>
  <c r="BP125" i="1"/>
  <c r="BN125" i="1"/>
  <c r="Z125" i="1"/>
  <c r="Y70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0" i="1"/>
  <c r="BN210" i="1"/>
  <c r="Z219" i="1"/>
  <c r="BN219" i="1"/>
  <c r="BP219" i="1"/>
  <c r="Z228" i="1"/>
  <c r="BN228" i="1"/>
  <c r="Z232" i="1"/>
  <c r="BN232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Z250" i="1"/>
  <c r="BN250" i="1"/>
  <c r="Z257" i="1"/>
  <c r="BN257" i="1"/>
  <c r="BP259" i="1"/>
  <c r="BN259" i="1"/>
  <c r="Z259" i="1"/>
  <c r="BP280" i="1"/>
  <c r="BN280" i="1"/>
  <c r="Z280" i="1"/>
  <c r="BP299" i="1"/>
  <c r="BN299" i="1"/>
  <c r="Z299" i="1"/>
  <c r="BP311" i="1"/>
  <c r="BN311" i="1"/>
  <c r="Z311" i="1"/>
  <c r="BP345" i="1"/>
  <c r="BN345" i="1"/>
  <c r="Z345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BP266" i="1"/>
  <c r="BN266" i="1"/>
  <c r="Z266" i="1"/>
  <c r="BP291" i="1"/>
  <c r="BN291" i="1"/>
  <c r="Z291" i="1"/>
  <c r="BP303" i="1"/>
  <c r="BN303" i="1"/>
  <c r="Z303" i="1"/>
  <c r="BP330" i="1"/>
  <c r="BN330" i="1"/>
  <c r="Z330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Q500" i="1"/>
  <c r="Y381" i="1"/>
  <c r="Y455" i="1"/>
  <c r="Y454" i="1"/>
  <c r="Y31" i="1"/>
  <c r="Y43" i="1"/>
  <c r="Y58" i="1"/>
  <c r="Y64" i="1"/>
  <c r="BP73" i="1"/>
  <c r="BN73" i="1"/>
  <c r="Z73" i="1"/>
  <c r="Y77" i="1"/>
  <c r="BP81" i="1"/>
  <c r="BN81" i="1"/>
  <c r="Z81" i="1"/>
  <c r="Z82" i="1" s="1"/>
  <c r="Y83" i="1"/>
  <c r="E500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500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0" i="1"/>
  <c r="Y260" i="1"/>
  <c r="BP265" i="1"/>
  <c r="BN265" i="1"/>
  <c r="Z265" i="1"/>
  <c r="Y269" i="1"/>
  <c r="BP274" i="1"/>
  <c r="BN274" i="1"/>
  <c r="Z274" i="1"/>
  <c r="Y276" i="1"/>
  <c r="P500" i="1"/>
  <c r="Y282" i="1"/>
  <c r="BP279" i="1"/>
  <c r="BN279" i="1"/>
  <c r="Z279" i="1"/>
  <c r="Z281" i="1" s="1"/>
  <c r="Y281" i="1"/>
  <c r="D500" i="1"/>
  <c r="H9" i="1"/>
  <c r="B500" i="1"/>
  <c r="X491" i="1"/>
  <c r="X492" i="1"/>
  <c r="X494" i="1"/>
  <c r="Y24" i="1"/>
  <c r="Z27" i="1"/>
  <c r="BN27" i="1"/>
  <c r="Z29" i="1"/>
  <c r="BN29" i="1"/>
  <c r="C500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Y69" i="1"/>
  <c r="Y78" i="1"/>
  <c r="BP75" i="1"/>
  <c r="BN75" i="1"/>
  <c r="Z75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Y204" i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11" i="1"/>
  <c r="BN211" i="1"/>
  <c r="Z211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Y320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Y340" i="1"/>
  <c r="BP346" i="1"/>
  <c r="BN346" i="1"/>
  <c r="Z346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Y474" i="1"/>
  <c r="U500" i="1"/>
  <c r="F500" i="1"/>
  <c r="Y104" i="1"/>
  <c r="G500" i="1"/>
  <c r="Y127" i="1"/>
  <c r="I500" i="1"/>
  <c r="Y161" i="1"/>
  <c r="J500" i="1"/>
  <c r="Y188" i="1"/>
  <c r="BP214" i="1"/>
  <c r="BN214" i="1"/>
  <c r="BP220" i="1"/>
  <c r="BN220" i="1"/>
  <c r="Z220" i="1"/>
  <c r="Z221" i="1" s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Y261" i="1"/>
  <c r="BP258" i="1"/>
  <c r="BN258" i="1"/>
  <c r="Z258" i="1"/>
  <c r="BP267" i="1"/>
  <c r="BN267" i="1"/>
  <c r="Z267" i="1"/>
  <c r="O500" i="1"/>
  <c r="Y275" i="1"/>
  <c r="BP272" i="1"/>
  <c r="BN272" i="1"/>
  <c r="Z272" i="1"/>
  <c r="Z275" i="1" s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BP318" i="1"/>
  <c r="BN318" i="1"/>
  <c r="Z318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S500" i="1"/>
  <c r="Y351" i="1"/>
  <c r="BP344" i="1"/>
  <c r="BN344" i="1"/>
  <c r="Z344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M500" i="1"/>
  <c r="Y268" i="1"/>
  <c r="Y295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Z454" i="1"/>
  <c r="BP452" i="1"/>
  <c r="BN452" i="1"/>
  <c r="Z452" i="1"/>
  <c r="Y463" i="1"/>
  <c r="BP462" i="1"/>
  <c r="BN462" i="1"/>
  <c r="Z462" i="1"/>
  <c r="Y469" i="1"/>
  <c r="BP466" i="1"/>
  <c r="BN466" i="1"/>
  <c r="Z466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63" i="1" l="1"/>
  <c r="Z268" i="1"/>
  <c r="Z474" i="1"/>
  <c r="Z193" i="1"/>
  <c r="Z63" i="1"/>
  <c r="Z260" i="1"/>
  <c r="Y492" i="1"/>
  <c r="Z57" i="1"/>
  <c r="Y491" i="1"/>
  <c r="Z31" i="1"/>
  <c r="X493" i="1"/>
  <c r="Z251" i="1"/>
  <c r="Z77" i="1"/>
  <c r="Z305" i="1"/>
  <c r="Z295" i="1"/>
  <c r="Z204" i="1"/>
  <c r="Z172" i="1"/>
  <c r="Y494" i="1"/>
  <c r="Y493" i="1"/>
  <c r="Z448" i="1"/>
  <c r="Z433" i="1"/>
  <c r="Z339" i="1"/>
  <c r="Z89" i="1"/>
  <c r="Z469" i="1"/>
  <c r="Z395" i="1"/>
  <c r="Z351" i="1"/>
  <c r="Z332" i="1"/>
  <c r="Z326" i="1"/>
  <c r="Z235" i="1"/>
  <c r="Z319" i="1"/>
  <c r="Z313" i="1"/>
  <c r="Z216" i="1"/>
  <c r="Z150" i="1"/>
  <c r="Z117" i="1"/>
  <c r="Z104" i="1"/>
  <c r="Z69" i="1"/>
  <c r="Y490" i="1"/>
  <c r="Z144" i="1"/>
  <c r="Z110" i="1"/>
  <c r="Z495" i="1" l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<sst xmlns="http://schemas.openxmlformats.org/spreadsheetml/2006/main" count="2356" uniqueCount="767">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</sst>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9" t="s">
        <v>0</v>
      </c>
      <c r="E1" s="569"/>
      <c r="F1" s="569"/>
      <c r="G1" s="12" t="s">
        <v>1</v>
      </c>
      <c r="H1" s="799" t="s">
        <v>2</v>
      </c>
      <c r="I1" s="569"/>
      <c r="J1" s="569"/>
      <c r="K1" s="569"/>
      <c r="L1" s="569"/>
      <c r="M1" s="569"/>
      <c r="N1" s="569"/>
      <c r="O1" s="569"/>
      <c r="P1" s="569"/>
      <c r="Q1" s="569"/>
      <c r="R1" s="850" t="s">
        <v>3</v>
      </c>
      <c r="S1" s="569"/>
      <c r="T1" s="5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66" t="s">
        <v>8</v>
      </c>
      <c r="B5" s="592"/>
      <c r="C5" s="579"/>
      <c r="D5" s="664"/>
      <c r="E5" s="666"/>
      <c r="F5" s="629" t="s">
        <v>9</v>
      </c>
      <c r="G5" s="579"/>
      <c r="H5" s="664" t="s">
        <v>766</v>
      </c>
      <c r="I5" s="665"/>
      <c r="J5" s="665"/>
      <c r="K5" s="665"/>
      <c r="L5" s="665"/>
      <c r="M5" s="666"/>
      <c r="N5" s="58"/>
      <c r="P5" s="24" t="s">
        <v>10</v>
      </c>
      <c r="Q5" s="580">
        <v>45967</v>
      </c>
      <c r="R5" s="581"/>
      <c r="T5" s="741" t="s">
        <v>11</v>
      </c>
      <c r="U5" s="732"/>
      <c r="V5" s="743" t="s">
        <v>12</v>
      </c>
      <c r="W5" s="581"/>
      <c r="AB5" s="51"/>
      <c r="AC5" s="51"/>
      <c r="AD5" s="51"/>
      <c r="AE5" s="51"/>
    </row>
    <row r="6" spans="1:32" s="537" customFormat="1" ht="24" customHeight="1" x14ac:dyDescent="0.2">
      <c r="A6" s="766" t="s">
        <v>13</v>
      </c>
      <c r="B6" s="592"/>
      <c r="C6" s="579"/>
      <c r="D6" s="669" t="s">
        <v>14</v>
      </c>
      <c r="E6" s="670"/>
      <c r="F6" s="670"/>
      <c r="G6" s="670"/>
      <c r="H6" s="670"/>
      <c r="I6" s="670"/>
      <c r="J6" s="670"/>
      <c r="K6" s="670"/>
      <c r="L6" s="670"/>
      <c r="M6" s="581"/>
      <c r="N6" s="59"/>
      <c r="P6" s="24" t="s">
        <v>15</v>
      </c>
      <c r="Q6" s="589" t="str">
        <f>IF(Q5=0," ",CHOOSE(WEEKDAY(Q5,2),"Понедельник","Вторник","Среда","Четверг","Пятница","Суббота","Воскресенье"))</f>
        <v>Четверг</v>
      </c>
      <c r="R6" s="561"/>
      <c r="T6" s="731" t="s">
        <v>16</v>
      </c>
      <c r="U6" s="732"/>
      <c r="V6" s="677" t="s">
        <v>17</v>
      </c>
      <c r="W6" s="678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23" t="str">
        <f>IFERROR(VLOOKUP(DeliveryAddress,Table,3,0),1)</f>
        <v>1</v>
      </c>
      <c r="E7" s="824"/>
      <c r="F7" s="824"/>
      <c r="G7" s="824"/>
      <c r="H7" s="824"/>
      <c r="I7" s="824"/>
      <c r="J7" s="824"/>
      <c r="K7" s="824"/>
      <c r="L7" s="824"/>
      <c r="M7" s="747"/>
      <c r="N7" s="60"/>
      <c r="P7" s="24"/>
      <c r="Q7" s="42"/>
      <c r="R7" s="42"/>
      <c r="T7" s="555"/>
      <c r="U7" s="732"/>
      <c r="V7" s="679"/>
      <c r="W7" s="680"/>
      <c r="AB7" s="51"/>
      <c r="AC7" s="51"/>
      <c r="AD7" s="51"/>
      <c r="AE7" s="51"/>
    </row>
    <row r="8" spans="1:32" s="537" customFormat="1" ht="25.5" customHeight="1" x14ac:dyDescent="0.2">
      <c r="A8" s="547" t="s">
        <v>18</v>
      </c>
      <c r="B8" s="548"/>
      <c r="C8" s="549"/>
      <c r="D8" s="831" t="s">
        <v>19</v>
      </c>
      <c r="E8" s="832"/>
      <c r="F8" s="832"/>
      <c r="G8" s="832"/>
      <c r="H8" s="832"/>
      <c r="I8" s="832"/>
      <c r="J8" s="832"/>
      <c r="K8" s="832"/>
      <c r="L8" s="832"/>
      <c r="M8" s="833"/>
      <c r="N8" s="61"/>
      <c r="P8" s="24" t="s">
        <v>20</v>
      </c>
      <c r="Q8" s="746">
        <v>0.5</v>
      </c>
      <c r="R8" s="747"/>
      <c r="T8" s="555"/>
      <c r="U8" s="732"/>
      <c r="V8" s="679"/>
      <c r="W8" s="680"/>
      <c r="AB8" s="51"/>
      <c r="AC8" s="51"/>
      <c r="AD8" s="51"/>
      <c r="AE8" s="51"/>
    </row>
    <row r="9" spans="1:32" s="537" customFormat="1" ht="39.950000000000003" customHeight="1" x14ac:dyDescent="0.2">
      <c r="A9" s="5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4"/>
      <c r="E9" s="625"/>
      <c r="F9" s="5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14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7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535"/>
      <c r="P9" s="26" t="s">
        <v>21</v>
      </c>
      <c r="Q9" s="779"/>
      <c r="R9" s="631"/>
      <c r="T9" s="555"/>
      <c r="U9" s="732"/>
      <c r="V9" s="681"/>
      <c r="W9" s="682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4"/>
      <c r="E10" s="625"/>
      <c r="F10" s="5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93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33"/>
      <c r="R10" s="734"/>
      <c r="U10" s="24" t="s">
        <v>23</v>
      </c>
      <c r="V10" s="867" t="s">
        <v>24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1"/>
      <c r="R11" s="581"/>
      <c r="U11" s="24" t="s">
        <v>27</v>
      </c>
      <c r="V11" s="630" t="s">
        <v>28</v>
      </c>
      <c r="W11" s="631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22" t="s">
        <v>29</v>
      </c>
      <c r="B12" s="592"/>
      <c r="C12" s="592"/>
      <c r="D12" s="592"/>
      <c r="E12" s="592"/>
      <c r="F12" s="592"/>
      <c r="G12" s="592"/>
      <c r="H12" s="592"/>
      <c r="I12" s="592"/>
      <c r="J12" s="592"/>
      <c r="K12" s="592"/>
      <c r="L12" s="592"/>
      <c r="M12" s="579"/>
      <c r="N12" s="62"/>
      <c r="P12" s="24" t="s">
        <v>30</v>
      </c>
      <c r="Q12" s="746"/>
      <c r="R12" s="747"/>
      <c r="S12" s="23"/>
      <c r="U12" s="24"/>
      <c r="V12" s="569"/>
      <c r="W12" s="555"/>
      <c r="AB12" s="51"/>
      <c r="AC12" s="51"/>
      <c r="AD12" s="51"/>
      <c r="AE12" s="51"/>
    </row>
    <row r="13" spans="1:32" s="537" customFormat="1" ht="23.25" customHeight="1" x14ac:dyDescent="0.2">
      <c r="A13" s="722" t="s">
        <v>31</v>
      </c>
      <c r="B13" s="592"/>
      <c r="C13" s="592"/>
      <c r="D13" s="592"/>
      <c r="E13" s="592"/>
      <c r="F13" s="592"/>
      <c r="G13" s="592"/>
      <c r="H13" s="592"/>
      <c r="I13" s="592"/>
      <c r="J13" s="592"/>
      <c r="K13" s="592"/>
      <c r="L13" s="592"/>
      <c r="M13" s="579"/>
      <c r="N13" s="62"/>
      <c r="O13" s="26"/>
      <c r="P13" s="26" t="s">
        <v>32</v>
      </c>
      <c r="Q13" s="630"/>
      <c r="R13" s="6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22" t="s">
        <v>33</v>
      </c>
      <c r="B14" s="592"/>
      <c r="C14" s="592"/>
      <c r="D14" s="592"/>
      <c r="E14" s="592"/>
      <c r="F14" s="592"/>
      <c r="G14" s="592"/>
      <c r="H14" s="592"/>
      <c r="I14" s="592"/>
      <c r="J14" s="592"/>
      <c r="K14" s="592"/>
      <c r="L14" s="592"/>
      <c r="M14" s="5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4" t="s">
        <v>34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79"/>
      <c r="N15" s="63"/>
      <c r="P15" s="759" t="s">
        <v>35</v>
      </c>
      <c r="Q15" s="569"/>
      <c r="R15" s="569"/>
      <c r="S15" s="569"/>
      <c r="T15" s="5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0"/>
      <c r="Q16" s="760"/>
      <c r="R16" s="760"/>
      <c r="S16" s="760"/>
      <c r="T16" s="76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768" t="s">
        <v>38</v>
      </c>
      <c r="D17" s="563" t="s">
        <v>39</v>
      </c>
      <c r="E17" s="564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801"/>
      <c r="R17" s="801"/>
      <c r="S17" s="801"/>
      <c r="T17" s="564"/>
      <c r="U17" s="578" t="s">
        <v>51</v>
      </c>
      <c r="V17" s="579"/>
      <c r="W17" s="563" t="s">
        <v>52</v>
      </c>
      <c r="X17" s="563" t="s">
        <v>53</v>
      </c>
      <c r="Y17" s="576" t="s">
        <v>54</v>
      </c>
      <c r="Z17" s="690" t="s">
        <v>55</v>
      </c>
      <c r="AA17" s="609" t="s">
        <v>56</v>
      </c>
      <c r="AB17" s="609" t="s">
        <v>57</v>
      </c>
      <c r="AC17" s="609" t="s">
        <v>58</v>
      </c>
      <c r="AD17" s="609" t="s">
        <v>59</v>
      </c>
      <c r="AE17" s="610"/>
      <c r="AF17" s="611"/>
      <c r="AG17" s="66"/>
      <c r="BD17" s="65" t="s">
        <v>60</v>
      </c>
    </row>
    <row r="18" spans="1:68" ht="14.25" customHeight="1" x14ac:dyDescent="0.2">
      <c r="A18" s="568"/>
      <c r="B18" s="568"/>
      <c r="C18" s="568"/>
      <c r="D18" s="565"/>
      <c r="E18" s="566"/>
      <c r="F18" s="568"/>
      <c r="G18" s="568"/>
      <c r="H18" s="568"/>
      <c r="I18" s="568"/>
      <c r="J18" s="568"/>
      <c r="K18" s="568"/>
      <c r="L18" s="568"/>
      <c r="M18" s="568"/>
      <c r="N18" s="568"/>
      <c r="O18" s="568"/>
      <c r="P18" s="565"/>
      <c r="Q18" s="802"/>
      <c r="R18" s="802"/>
      <c r="S18" s="802"/>
      <c r="T18" s="566"/>
      <c r="U18" s="67" t="s">
        <v>61</v>
      </c>
      <c r="V18" s="67" t="s">
        <v>62</v>
      </c>
      <c r="W18" s="568"/>
      <c r="X18" s="568"/>
      <c r="Y18" s="577"/>
      <c r="Z18" s="691"/>
      <c r="AA18" s="663"/>
      <c r="AB18" s="663"/>
      <c r="AC18" s="663"/>
      <c r="AD18" s="612"/>
      <c r="AE18" s="613"/>
      <c r="AF18" s="614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9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hidden="1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60">
        <v>4680115886643</v>
      </c>
      <c r="E22" s="56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3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3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60">
        <v>4680115885912</v>
      </c>
      <c r="E26" s="56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60">
        <v>4607091388237</v>
      </c>
      <c r="E27" s="56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0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60">
        <v>4680115887350</v>
      </c>
      <c r="E28" s="56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60">
        <v>4680115885905</v>
      </c>
      <c r="E29" s="56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60">
        <v>4607091388244</v>
      </c>
      <c r="E30" s="56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3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3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60">
        <v>4607091388503</v>
      </c>
      <c r="E34" s="56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3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3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647" t="s">
        <v>99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9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hidden="1" customHeight="1" x14ac:dyDescent="0.25">
      <c r="A39" s="559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60">
        <v>4607091385670</v>
      </c>
      <c r="E40" s="561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8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3">
        <v>500</v>
      </c>
      <c r="Y40" s="544">
        <f>IFERROR(IF(X40="",0,CEILING((X40/$H40),1)*$H40),"")</f>
        <v>507.6</v>
      </c>
      <c r="Z40" s="36">
        <f>IFERROR(IF(Y40=0,"",ROUNDUP(Y40/H40,0)*0.01898),"")</f>
        <v>0.89205999999999996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520.1388888888888</v>
      </c>
      <c r="BN40" s="64">
        <f>IFERROR(Y40*I40/H40,"0")</f>
        <v>528.04499999999996</v>
      </c>
      <c r="BO40" s="64">
        <f>IFERROR(1/J40*(X40/H40),"0")</f>
        <v>0.72337962962962954</v>
      </c>
      <c r="BP40" s="64">
        <f>IFERROR(1/J40*(Y40/H40),"0")</f>
        <v>0.734375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60">
        <v>4607091385687</v>
      </c>
      <c r="E41" s="561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60">
        <v>4680115882539</v>
      </c>
      <c r="E42" s="561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3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5">
        <f>IFERROR(X40/H40,"0")+IFERROR(X41/H41,"0")+IFERROR(X42/H42,"0")</f>
        <v>46.296296296296291</v>
      </c>
      <c r="Y43" s="545">
        <f>IFERROR(Y40/H40,"0")+IFERROR(Y41/H41,"0")+IFERROR(Y42/H42,"0")</f>
        <v>47</v>
      </c>
      <c r="Z43" s="545">
        <f>IFERROR(IF(Z40="",0,Z40),"0")+IFERROR(IF(Z41="",0,Z41),"0")+IFERROR(IF(Z42="",0,Z42),"0")</f>
        <v>0.89205999999999996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3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5">
        <f>IFERROR(SUM(X40:X42),"0")</f>
        <v>500</v>
      </c>
      <c r="Y44" s="545">
        <f>IFERROR(SUM(Y40:Y42),"0")</f>
        <v>507.6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60">
        <v>4680115884915</v>
      </c>
      <c r="E46" s="56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0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3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3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9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hidden="1" customHeight="1" x14ac:dyDescent="0.25">
      <c r="A50" s="559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60">
        <v>4680115885882</v>
      </c>
      <c r="E51" s="561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60">
        <v>4680115881426</v>
      </c>
      <c r="E52" s="561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60">
        <v>4680115880283</v>
      </c>
      <c r="E53" s="561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60">
        <v>4680115881525</v>
      </c>
      <c r="E54" s="561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60">
        <v>4680115885899</v>
      </c>
      <c r="E55" s="56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60">
        <v>4680115881419</v>
      </c>
      <c r="E56" s="561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3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3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60">
        <v>4680115881440</v>
      </c>
      <c r="E60" s="561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60">
        <v>4680115885950</v>
      </c>
      <c r="E61" s="56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60">
        <v>4680115881433</v>
      </c>
      <c r="E62" s="56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5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3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hidden="1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3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60">
        <v>4680115885073</v>
      </c>
      <c r="E66" s="56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60">
        <v>4680115885059</v>
      </c>
      <c r="E67" s="56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60">
        <v>4680115885097</v>
      </c>
      <c r="E68" s="56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7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3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3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60">
        <v>4680115881891</v>
      </c>
      <c r="E72" s="561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60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60">
        <v>4680115885769</v>
      </c>
      <c r="E73" s="561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8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60">
        <v>4680115884311</v>
      </c>
      <c r="E74" s="561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60">
        <v>4680115885929</v>
      </c>
      <c r="E75" s="561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61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60">
        <v>4680115884403</v>
      </c>
      <c r="E76" s="561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1"/>
      <c r="R76" s="551"/>
      <c r="S76" s="551"/>
      <c r="T76" s="552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4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3" t="s">
        <v>71</v>
      </c>
      <c r="Q77" s="548"/>
      <c r="R77" s="548"/>
      <c r="S77" s="548"/>
      <c r="T77" s="548"/>
      <c r="U77" s="548"/>
      <c r="V77" s="549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5"/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6"/>
      <c r="P78" s="553" t="s">
        <v>71</v>
      </c>
      <c r="Q78" s="548"/>
      <c r="R78" s="548"/>
      <c r="S78" s="548"/>
      <c r="T78" s="548"/>
      <c r="U78" s="548"/>
      <c r="V78" s="549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59" t="s">
        <v>166</v>
      </c>
      <c r="B79" s="555"/>
      <c r="C79" s="555"/>
      <c r="D79" s="555"/>
      <c r="E79" s="555"/>
      <c r="F79" s="555"/>
      <c r="G79" s="555"/>
      <c r="H79" s="555"/>
      <c r="I79" s="555"/>
      <c r="J79" s="555"/>
      <c r="K79" s="555"/>
      <c r="L79" s="555"/>
      <c r="M79" s="555"/>
      <c r="N79" s="555"/>
      <c r="O79" s="555"/>
      <c r="P79" s="555"/>
      <c r="Q79" s="555"/>
      <c r="R79" s="555"/>
      <c r="S79" s="555"/>
      <c r="T79" s="555"/>
      <c r="U79" s="555"/>
      <c r="V79" s="555"/>
      <c r="W79" s="555"/>
      <c r="X79" s="555"/>
      <c r="Y79" s="555"/>
      <c r="Z79" s="555"/>
      <c r="AA79" s="539"/>
      <c r="AB79" s="539"/>
      <c r="AC79" s="539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60">
        <v>4680115881532</v>
      </c>
      <c r="E80" s="561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6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60">
        <v>4680115881464</v>
      </c>
      <c r="E81" s="561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8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1"/>
      <c r="R81" s="551"/>
      <c r="S81" s="551"/>
      <c r="T81" s="552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4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3" t="s">
        <v>71</v>
      </c>
      <c r="Q82" s="548"/>
      <c r="R82" s="548"/>
      <c r="S82" s="548"/>
      <c r="T82" s="548"/>
      <c r="U82" s="548"/>
      <c r="V82" s="549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5"/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6"/>
      <c r="P83" s="553" t="s">
        <v>71</v>
      </c>
      <c r="Q83" s="548"/>
      <c r="R83" s="548"/>
      <c r="S83" s="548"/>
      <c r="T83" s="548"/>
      <c r="U83" s="548"/>
      <c r="V83" s="549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99" t="s">
        <v>173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8"/>
      <c r="AB84" s="538"/>
      <c r="AC84" s="538"/>
    </row>
    <row r="85" spans="1:68" ht="14.25" hidden="1" customHeight="1" x14ac:dyDescent="0.25">
      <c r="A85" s="559" t="s">
        <v>101</v>
      </c>
      <c r="B85" s="555"/>
      <c r="C85" s="555"/>
      <c r="D85" s="555"/>
      <c r="E85" s="555"/>
      <c r="F85" s="555"/>
      <c r="G85" s="555"/>
      <c r="H85" s="555"/>
      <c r="I85" s="555"/>
      <c r="J85" s="555"/>
      <c r="K85" s="555"/>
      <c r="L85" s="555"/>
      <c r="M85" s="555"/>
      <c r="N85" s="555"/>
      <c r="O85" s="555"/>
      <c r="P85" s="555"/>
      <c r="Q85" s="555"/>
      <c r="R85" s="555"/>
      <c r="S85" s="555"/>
      <c r="T85" s="555"/>
      <c r="U85" s="555"/>
      <c r="V85" s="555"/>
      <c r="W85" s="555"/>
      <c r="X85" s="555"/>
      <c r="Y85" s="555"/>
      <c r="Z85" s="555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60">
        <v>4680115881327</v>
      </c>
      <c r="E86" s="561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8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1"/>
      <c r="R86" s="551"/>
      <c r="S86" s="551"/>
      <c r="T86" s="552"/>
      <c r="U86" s="34"/>
      <c r="V86" s="34"/>
      <c r="W86" s="35" t="s">
        <v>69</v>
      </c>
      <c r="X86" s="543">
        <v>650</v>
      </c>
      <c r="Y86" s="544">
        <f>IFERROR(IF(X86="",0,CEILING((X86/$H86),1)*$H86),"")</f>
        <v>658.80000000000007</v>
      </c>
      <c r="Z86" s="36">
        <f>IFERROR(IF(Y86=0,"",ROUNDUP(Y86/H86,0)*0.01898),"")</f>
        <v>1.15778</v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676.18055555555554</v>
      </c>
      <c r="BN86" s="64">
        <f>IFERROR(Y86*I86/H86,"0")</f>
        <v>685.33500000000004</v>
      </c>
      <c r="BO86" s="64">
        <f>IFERROR(1/J86*(X86/H86),"0")</f>
        <v>0.94039351851851849</v>
      </c>
      <c r="BP86" s="64">
        <f>IFERROR(1/J86*(Y86/H86),"0")</f>
        <v>0.953125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3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1"/>
      <c r="R87" s="551"/>
      <c r="S87" s="551"/>
      <c r="T87" s="552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5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1"/>
      <c r="R88" s="551"/>
      <c r="S88" s="551"/>
      <c r="T88" s="552"/>
      <c r="U88" s="34"/>
      <c r="V88" s="34"/>
      <c r="W88" s="35" t="s">
        <v>69</v>
      </c>
      <c r="X88" s="543">
        <v>36</v>
      </c>
      <c r="Y88" s="544">
        <f>IFERROR(IF(X88="",0,CEILING((X88/$H88),1)*$H88),"")</f>
        <v>36</v>
      </c>
      <c r="Z88" s="36">
        <f>IFERROR(IF(Y88=0,"",ROUNDUP(Y88/H88,0)*0.00902),"")</f>
        <v>7.2160000000000002E-2</v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37.68</v>
      </c>
      <c r="BN88" s="64">
        <f>IFERROR(Y88*I88/H88,"0")</f>
        <v>37.68</v>
      </c>
      <c r="BO88" s="64">
        <f>IFERROR(1/J88*(X88/H88),"0")</f>
        <v>6.0606060606060608E-2</v>
      </c>
      <c r="BP88" s="64">
        <f>IFERROR(1/J88*(Y88/H88),"0")</f>
        <v>6.0606060606060608E-2</v>
      </c>
    </row>
    <row r="89" spans="1:68" x14ac:dyDescent="0.2">
      <c r="A89" s="554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3" t="s">
        <v>71</v>
      </c>
      <c r="Q89" s="548"/>
      <c r="R89" s="548"/>
      <c r="S89" s="548"/>
      <c r="T89" s="548"/>
      <c r="U89" s="548"/>
      <c r="V89" s="549"/>
      <c r="W89" s="37" t="s">
        <v>72</v>
      </c>
      <c r="X89" s="545">
        <f>IFERROR(X86/H86,"0")+IFERROR(X87/H87,"0")+IFERROR(X88/H88,"0")</f>
        <v>68.18518518518519</v>
      </c>
      <c r="Y89" s="545">
        <f>IFERROR(Y86/H86,"0")+IFERROR(Y87/H87,"0")+IFERROR(Y88/H88,"0")</f>
        <v>69</v>
      </c>
      <c r="Z89" s="545">
        <f>IFERROR(IF(Z86="",0,Z86),"0")+IFERROR(IF(Z87="",0,Z87),"0")+IFERROR(IF(Z88="",0,Z88),"0")</f>
        <v>1.22994</v>
      </c>
      <c r="AA89" s="546"/>
      <c r="AB89" s="546"/>
      <c r="AC89" s="546"/>
    </row>
    <row r="90" spans="1:68" x14ac:dyDescent="0.2">
      <c r="A90" s="555"/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6"/>
      <c r="P90" s="553" t="s">
        <v>71</v>
      </c>
      <c r="Q90" s="548"/>
      <c r="R90" s="548"/>
      <c r="S90" s="548"/>
      <c r="T90" s="548"/>
      <c r="U90" s="548"/>
      <c r="V90" s="549"/>
      <c r="W90" s="37" t="s">
        <v>69</v>
      </c>
      <c r="X90" s="545">
        <f>IFERROR(SUM(X86:X88),"0")</f>
        <v>686</v>
      </c>
      <c r="Y90" s="545">
        <f>IFERROR(SUM(Y86:Y88),"0")</f>
        <v>694.80000000000007</v>
      </c>
      <c r="Z90" s="37"/>
      <c r="AA90" s="546"/>
      <c r="AB90" s="546"/>
      <c r="AC90" s="546"/>
    </row>
    <row r="91" spans="1:68" ht="14.25" hidden="1" customHeight="1" x14ac:dyDescent="0.25">
      <c r="A91" s="559" t="s">
        <v>73</v>
      </c>
      <c r="B91" s="55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N91" s="555"/>
      <c r="O91" s="555"/>
      <c r="P91" s="555"/>
      <c r="Q91" s="555"/>
      <c r="R91" s="555"/>
      <c r="S91" s="555"/>
      <c r="T91" s="555"/>
      <c r="U91" s="555"/>
      <c r="V91" s="555"/>
      <c r="W91" s="555"/>
      <c r="X91" s="555"/>
      <c r="Y91" s="555"/>
      <c r="Z91" s="555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82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3">
        <v>276</v>
      </c>
      <c r="Y92" s="544">
        <f>IFERROR(IF(X92="",0,CEILING((X92/$H92),1)*$H92),"")</f>
        <v>283.5</v>
      </c>
      <c r="Z92" s="36">
        <f>IFERROR(IF(Y92=0,"",ROUNDUP(Y92/H92,0)*0.01898),"")</f>
        <v>0.6643</v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293.68444444444447</v>
      </c>
      <c r="BN92" s="64">
        <f>IFERROR(Y92*I92/H92,"0")</f>
        <v>301.66500000000002</v>
      </c>
      <c r="BO92" s="64">
        <f>IFERROR(1/J92*(X92/H92),"0")</f>
        <v>0.53240740740740744</v>
      </c>
      <c r="BP92" s="64">
        <f>IFERROR(1/J92*(Y92/H92),"0")</f>
        <v>0.546875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6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0">
        <v>4607091385731</v>
      </c>
      <c r="E94" s="561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8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1"/>
      <c r="R94" s="551"/>
      <c r="S94" s="551"/>
      <c r="T94" s="552"/>
      <c r="U94" s="34"/>
      <c r="V94" s="34"/>
      <c r="W94" s="35" t="s">
        <v>69</v>
      </c>
      <c r="X94" s="543">
        <v>54</v>
      </c>
      <c r="Y94" s="544">
        <f>IFERROR(IF(X94="",0,CEILING((X94/$H94),1)*$H94),"")</f>
        <v>54</v>
      </c>
      <c r="Z94" s="36">
        <f>IFERROR(IF(Y94=0,"",ROUNDUP(Y94/H94,0)*0.00651),"")</f>
        <v>0.13020000000000001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59.039999999999992</v>
      </c>
      <c r="BN94" s="64">
        <f>IFERROR(Y94*I94/H94,"0")</f>
        <v>59.039999999999992</v>
      </c>
      <c r="BO94" s="64">
        <f>IFERROR(1/J94*(X94/H94),"0")</f>
        <v>0.1098901098901099</v>
      </c>
      <c r="BP94" s="64">
        <f>IFERROR(1/J94*(Y94/H94),"0")</f>
        <v>0.1098901098901099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83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1"/>
      <c r="R95" s="551"/>
      <c r="S95" s="551"/>
      <c r="T95" s="552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4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3" t="s">
        <v>71</v>
      </c>
      <c r="Q96" s="548"/>
      <c r="R96" s="548"/>
      <c r="S96" s="548"/>
      <c r="T96" s="548"/>
      <c r="U96" s="548"/>
      <c r="V96" s="549"/>
      <c r="W96" s="37" t="s">
        <v>72</v>
      </c>
      <c r="X96" s="545">
        <f>IFERROR(X92/H92,"0")+IFERROR(X93/H93,"0")+IFERROR(X94/H94,"0")+IFERROR(X95/H95,"0")</f>
        <v>54.074074074074076</v>
      </c>
      <c r="Y96" s="545">
        <f>IFERROR(Y92/H92,"0")+IFERROR(Y93/H93,"0")+IFERROR(Y94/H94,"0")+IFERROR(Y95/H95,"0")</f>
        <v>55</v>
      </c>
      <c r="Z96" s="545">
        <f>IFERROR(IF(Z92="",0,Z92),"0")+IFERROR(IF(Z93="",0,Z93),"0")+IFERROR(IF(Z94="",0,Z94),"0")+IFERROR(IF(Z95="",0,Z95),"0")</f>
        <v>0.79449999999999998</v>
      </c>
      <c r="AA96" s="546"/>
      <c r="AB96" s="546"/>
      <c r="AC96" s="546"/>
    </row>
    <row r="97" spans="1:68" x14ac:dyDescent="0.2">
      <c r="A97" s="555"/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6"/>
      <c r="P97" s="553" t="s">
        <v>71</v>
      </c>
      <c r="Q97" s="548"/>
      <c r="R97" s="548"/>
      <c r="S97" s="548"/>
      <c r="T97" s="548"/>
      <c r="U97" s="548"/>
      <c r="V97" s="549"/>
      <c r="W97" s="37" t="s">
        <v>69</v>
      </c>
      <c r="X97" s="545">
        <f>IFERROR(SUM(X92:X95),"0")</f>
        <v>330</v>
      </c>
      <c r="Y97" s="545">
        <f>IFERROR(SUM(Y92:Y95),"0")</f>
        <v>337.5</v>
      </c>
      <c r="Z97" s="37"/>
      <c r="AA97" s="546"/>
      <c r="AB97" s="546"/>
      <c r="AC97" s="546"/>
    </row>
    <row r="98" spans="1:68" ht="16.5" hidden="1" customHeight="1" x14ac:dyDescent="0.25">
      <c r="A98" s="599" t="s">
        <v>192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8"/>
      <c r="AB98" s="538"/>
      <c r="AC98" s="538"/>
    </row>
    <row r="99" spans="1:68" ht="14.25" hidden="1" customHeight="1" x14ac:dyDescent="0.25">
      <c r="A99" s="559" t="s">
        <v>101</v>
      </c>
      <c r="B99" s="555"/>
      <c r="C99" s="555"/>
      <c r="D99" s="555"/>
      <c r="E99" s="555"/>
      <c r="F99" s="555"/>
      <c r="G99" s="555"/>
      <c r="H99" s="555"/>
      <c r="I99" s="555"/>
      <c r="J99" s="555"/>
      <c r="K99" s="555"/>
      <c r="L99" s="555"/>
      <c r="M99" s="555"/>
      <c r="N99" s="555"/>
      <c r="O99" s="555"/>
      <c r="P99" s="555"/>
      <c r="Q99" s="555"/>
      <c r="R99" s="555"/>
      <c r="S99" s="555"/>
      <c r="T99" s="555"/>
      <c r="U99" s="555"/>
      <c r="V99" s="555"/>
      <c r="W99" s="555"/>
      <c r="X99" s="555"/>
      <c r="Y99" s="555"/>
      <c r="Z99" s="555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2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1"/>
      <c r="R100" s="551"/>
      <c r="S100" s="551"/>
      <c r="T100" s="552"/>
      <c r="U100" s="34"/>
      <c r="V100" s="34"/>
      <c r="W100" s="35" t="s">
        <v>69</v>
      </c>
      <c r="X100" s="543">
        <v>210</v>
      </c>
      <c r="Y100" s="544">
        <f>IFERROR(IF(X100="",0,CEILING((X100/$H100),1)*$H100),"")</f>
        <v>216</v>
      </c>
      <c r="Z100" s="36">
        <f>IFERROR(IF(Y100=0,"",ROUNDUP(Y100/H100,0)*0.01898),"")</f>
        <v>0.37959999999999999</v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218.45833333333331</v>
      </c>
      <c r="BN100" s="64">
        <f>IFERROR(Y100*I100/H100,"0")</f>
        <v>224.69999999999996</v>
      </c>
      <c r="BO100" s="64">
        <f>IFERROR(1/J100*(X100/H100),"0")</f>
        <v>0.30381944444444442</v>
      </c>
      <c r="BP100" s="64">
        <f>IFERROR(1/J100*(Y100/H100),"0")</f>
        <v>0.3125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60">
        <v>4680115880269</v>
      </c>
      <c r="E101" s="561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60">
        <v>4680115880429</v>
      </c>
      <c r="E102" s="561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3">
        <v>45</v>
      </c>
      <c r="Y102" s="544">
        <f>IFERROR(IF(X102="",0,CEILING((X102/$H102),1)*$H102),"")</f>
        <v>45</v>
      </c>
      <c r="Z102" s="36">
        <f>IFERROR(IF(Y102=0,"",ROUNDUP(Y102/H102,0)*0.00902),"")</f>
        <v>9.0200000000000002E-2</v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47.099999999999994</v>
      </c>
      <c r="BN102" s="64">
        <f>IFERROR(Y102*I102/H102,"0")</f>
        <v>47.099999999999994</v>
      </c>
      <c r="BO102" s="64">
        <f>IFERROR(1/J102*(X102/H102),"0")</f>
        <v>7.575757575757576E-2</v>
      </c>
      <c r="BP102" s="64">
        <f>IFERROR(1/J102*(Y102/H102),"0")</f>
        <v>7.575757575757576E-2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60">
        <v>4680115881457</v>
      </c>
      <c r="E103" s="561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81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1"/>
      <c r="R103" s="551"/>
      <c r="S103" s="551"/>
      <c r="T103" s="552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4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3" t="s">
        <v>71</v>
      </c>
      <c r="Q104" s="548"/>
      <c r="R104" s="548"/>
      <c r="S104" s="548"/>
      <c r="T104" s="548"/>
      <c r="U104" s="548"/>
      <c r="V104" s="549"/>
      <c r="W104" s="37" t="s">
        <v>72</v>
      </c>
      <c r="X104" s="545">
        <f>IFERROR(X100/H100,"0")+IFERROR(X101/H101,"0")+IFERROR(X102/H102,"0")+IFERROR(X103/H103,"0")</f>
        <v>29.444444444444443</v>
      </c>
      <c r="Y104" s="545">
        <f>IFERROR(Y100/H100,"0")+IFERROR(Y101/H101,"0")+IFERROR(Y102/H102,"0")+IFERROR(Y103/H103,"0")</f>
        <v>30</v>
      </c>
      <c r="Z104" s="545">
        <f>IFERROR(IF(Z100="",0,Z100),"0")+IFERROR(IF(Z101="",0,Z101),"0")+IFERROR(IF(Z102="",0,Z102),"0")+IFERROR(IF(Z103="",0,Z103),"0")</f>
        <v>0.4698</v>
      </c>
      <c r="AA104" s="546"/>
      <c r="AB104" s="546"/>
      <c r="AC104" s="546"/>
    </row>
    <row r="105" spans="1:68" x14ac:dyDescent="0.2">
      <c r="A105" s="555"/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6"/>
      <c r="P105" s="553" t="s">
        <v>71</v>
      </c>
      <c r="Q105" s="548"/>
      <c r="R105" s="548"/>
      <c r="S105" s="548"/>
      <c r="T105" s="548"/>
      <c r="U105" s="548"/>
      <c r="V105" s="549"/>
      <c r="W105" s="37" t="s">
        <v>69</v>
      </c>
      <c r="X105" s="545">
        <f>IFERROR(SUM(X100:X103),"0")</f>
        <v>255</v>
      </c>
      <c r="Y105" s="545">
        <f>IFERROR(SUM(Y100:Y103),"0")</f>
        <v>261</v>
      </c>
      <c r="Z105" s="37"/>
      <c r="AA105" s="546"/>
      <c r="AB105" s="546"/>
      <c r="AC105" s="546"/>
    </row>
    <row r="106" spans="1:68" ht="14.25" hidden="1" customHeight="1" x14ac:dyDescent="0.25">
      <c r="A106" s="559" t="s">
        <v>136</v>
      </c>
      <c r="B106" s="555"/>
      <c r="C106" s="555"/>
      <c r="D106" s="555"/>
      <c r="E106" s="555"/>
      <c r="F106" s="555"/>
      <c r="G106" s="555"/>
      <c r="H106" s="555"/>
      <c r="I106" s="555"/>
      <c r="J106" s="555"/>
      <c r="K106" s="555"/>
      <c r="L106" s="555"/>
      <c r="M106" s="555"/>
      <c r="N106" s="555"/>
      <c r="O106" s="555"/>
      <c r="P106" s="555"/>
      <c r="Q106" s="555"/>
      <c r="R106" s="555"/>
      <c r="S106" s="555"/>
      <c r="T106" s="555"/>
      <c r="U106" s="555"/>
      <c r="V106" s="555"/>
      <c r="W106" s="555"/>
      <c r="X106" s="555"/>
      <c r="Y106" s="555"/>
      <c r="Z106" s="555"/>
      <c r="AA106" s="539"/>
      <c r="AB106" s="539"/>
      <c r="AC106" s="539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60">
        <v>4680115881488</v>
      </c>
      <c r="E107" s="561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6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60">
        <v>4680115882775</v>
      </c>
      <c r="E108" s="561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6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60">
        <v>4680115880658</v>
      </c>
      <c r="E109" s="561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6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1"/>
      <c r="R109" s="551"/>
      <c r="S109" s="551"/>
      <c r="T109" s="552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4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3" t="s">
        <v>71</v>
      </c>
      <c r="Q110" s="548"/>
      <c r="R110" s="548"/>
      <c r="S110" s="548"/>
      <c r="T110" s="548"/>
      <c r="U110" s="548"/>
      <c r="V110" s="549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5"/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6"/>
      <c r="P111" s="553" t="s">
        <v>71</v>
      </c>
      <c r="Q111" s="548"/>
      <c r="R111" s="548"/>
      <c r="S111" s="548"/>
      <c r="T111" s="548"/>
      <c r="U111" s="548"/>
      <c r="V111" s="549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59" t="s">
        <v>73</v>
      </c>
      <c r="B112" s="555"/>
      <c r="C112" s="555"/>
      <c r="D112" s="555"/>
      <c r="E112" s="555"/>
      <c r="F112" s="555"/>
      <c r="G112" s="555"/>
      <c r="H112" s="555"/>
      <c r="I112" s="555"/>
      <c r="J112" s="555"/>
      <c r="K112" s="555"/>
      <c r="L112" s="555"/>
      <c r="M112" s="555"/>
      <c r="N112" s="555"/>
      <c r="O112" s="555"/>
      <c r="P112" s="555"/>
      <c r="Q112" s="555"/>
      <c r="R112" s="555"/>
      <c r="S112" s="555"/>
      <c r="T112" s="555"/>
      <c r="U112" s="555"/>
      <c r="V112" s="555"/>
      <c r="W112" s="555"/>
      <c r="X112" s="555"/>
      <c r="Y112" s="555"/>
      <c r="Z112" s="555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60">
        <v>4607091385168</v>
      </c>
      <c r="E113" s="561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3">
        <v>890</v>
      </c>
      <c r="Y113" s="544">
        <f>IFERROR(IF(X113="",0,CEILING((X113/$H113),1)*$H113),"")</f>
        <v>891</v>
      </c>
      <c r="Z113" s="36">
        <f>IFERROR(IF(Y113=0,"",ROUNDUP(Y113/H113,0)*0.01898),"")</f>
        <v>2.0878000000000001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946.36666666666667</v>
      </c>
      <c r="BN113" s="64">
        <f>IFERROR(Y113*I113/H113,"0")</f>
        <v>947.43000000000006</v>
      </c>
      <c r="BO113" s="64">
        <f>IFERROR(1/J113*(X113/H113),"0")</f>
        <v>1.716820987654321</v>
      </c>
      <c r="BP113" s="64">
        <f>IFERROR(1/J113*(Y113/H113),"0")</f>
        <v>1.71875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60">
        <v>4607091383256</v>
      </c>
      <c r="E114" s="561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60">
        <v>4607091385748</v>
      </c>
      <c r="E115" s="561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2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3">
        <v>105.3</v>
      </c>
      <c r="Y115" s="544">
        <f>IFERROR(IF(X115="",0,CEILING((X115/$H115),1)*$H115),"")</f>
        <v>105.30000000000001</v>
      </c>
      <c r="Z115" s="36">
        <f>IFERROR(IF(Y115=0,"",ROUNDUP(Y115/H115,0)*0.00651),"")</f>
        <v>0.25389</v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115.12799999999999</v>
      </c>
      <c r="BN115" s="64">
        <f>IFERROR(Y115*I115/H115,"0")</f>
        <v>115.12800000000001</v>
      </c>
      <c r="BO115" s="64">
        <f>IFERROR(1/J115*(X115/H115),"0")</f>
        <v>0.21428571428571427</v>
      </c>
      <c r="BP115" s="64">
        <f>IFERROR(1/J115*(Y115/H115),"0")</f>
        <v>0.2142857142857143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60">
        <v>4680115884533</v>
      </c>
      <c r="E116" s="561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81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1"/>
      <c r="R116" s="551"/>
      <c r="S116" s="551"/>
      <c r="T116" s="552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4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3" t="s">
        <v>71</v>
      </c>
      <c r="Q117" s="548"/>
      <c r="R117" s="548"/>
      <c r="S117" s="548"/>
      <c r="T117" s="548"/>
      <c r="U117" s="548"/>
      <c r="V117" s="549"/>
      <c r="W117" s="37" t="s">
        <v>72</v>
      </c>
      <c r="X117" s="545">
        <f>IFERROR(X113/H113,"0")+IFERROR(X114/H114,"0")+IFERROR(X115/H115,"0")+IFERROR(X116/H116,"0")</f>
        <v>148.87654320987653</v>
      </c>
      <c r="Y117" s="545">
        <f>IFERROR(Y113/H113,"0")+IFERROR(Y114/H114,"0")+IFERROR(Y115/H115,"0")+IFERROR(Y116/H116,"0")</f>
        <v>149</v>
      </c>
      <c r="Z117" s="545">
        <f>IFERROR(IF(Z113="",0,Z113),"0")+IFERROR(IF(Z114="",0,Z114),"0")+IFERROR(IF(Z115="",0,Z115),"0")+IFERROR(IF(Z116="",0,Z116),"0")</f>
        <v>2.3416900000000003</v>
      </c>
      <c r="AA117" s="546"/>
      <c r="AB117" s="546"/>
      <c r="AC117" s="546"/>
    </row>
    <row r="118" spans="1:68" x14ac:dyDescent="0.2">
      <c r="A118" s="555"/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6"/>
      <c r="P118" s="553" t="s">
        <v>71</v>
      </c>
      <c r="Q118" s="548"/>
      <c r="R118" s="548"/>
      <c r="S118" s="548"/>
      <c r="T118" s="548"/>
      <c r="U118" s="548"/>
      <c r="V118" s="549"/>
      <c r="W118" s="37" t="s">
        <v>69</v>
      </c>
      <c r="X118" s="545">
        <f>IFERROR(SUM(X113:X116),"0")</f>
        <v>995.3</v>
      </c>
      <c r="Y118" s="545">
        <f>IFERROR(SUM(Y113:Y116),"0")</f>
        <v>996.3</v>
      </c>
      <c r="Z118" s="37"/>
      <c r="AA118" s="546"/>
      <c r="AB118" s="546"/>
      <c r="AC118" s="546"/>
    </row>
    <row r="119" spans="1:68" ht="14.25" hidden="1" customHeight="1" x14ac:dyDescent="0.25">
      <c r="A119" s="559" t="s">
        <v>166</v>
      </c>
      <c r="B119" s="555"/>
      <c r="C119" s="555"/>
      <c r="D119" s="555"/>
      <c r="E119" s="555"/>
      <c r="F119" s="555"/>
      <c r="G119" s="555"/>
      <c r="H119" s="555"/>
      <c r="I119" s="555"/>
      <c r="J119" s="555"/>
      <c r="K119" s="555"/>
      <c r="L119" s="555"/>
      <c r="M119" s="555"/>
      <c r="N119" s="555"/>
      <c r="O119" s="555"/>
      <c r="P119" s="555"/>
      <c r="Q119" s="555"/>
      <c r="R119" s="555"/>
      <c r="S119" s="555"/>
      <c r="T119" s="555"/>
      <c r="U119" s="555"/>
      <c r="V119" s="555"/>
      <c r="W119" s="555"/>
      <c r="X119" s="555"/>
      <c r="Y119" s="555"/>
      <c r="Z119" s="555"/>
      <c r="AA119" s="539"/>
      <c r="AB119" s="539"/>
      <c r="AC119" s="539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60">
        <v>4680115880238</v>
      </c>
      <c r="E120" s="561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81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1"/>
      <c r="R120" s="551"/>
      <c r="S120" s="551"/>
      <c r="T120" s="552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4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3" t="s">
        <v>71</v>
      </c>
      <c r="Q121" s="548"/>
      <c r="R121" s="548"/>
      <c r="S121" s="548"/>
      <c r="T121" s="548"/>
      <c r="U121" s="548"/>
      <c r="V121" s="549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5"/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6"/>
      <c r="P122" s="553" t="s">
        <v>71</v>
      </c>
      <c r="Q122" s="548"/>
      <c r="R122" s="548"/>
      <c r="S122" s="548"/>
      <c r="T122" s="548"/>
      <c r="U122" s="548"/>
      <c r="V122" s="549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99" t="s">
        <v>222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8"/>
      <c r="AB123" s="538"/>
      <c r="AC123" s="538"/>
    </row>
    <row r="124" spans="1:68" ht="14.25" hidden="1" customHeight="1" x14ac:dyDescent="0.25">
      <c r="A124" s="559" t="s">
        <v>101</v>
      </c>
      <c r="B124" s="555"/>
      <c r="C124" s="555"/>
      <c r="D124" s="555"/>
      <c r="E124" s="555"/>
      <c r="F124" s="555"/>
      <c r="G124" s="555"/>
      <c r="H124" s="555"/>
      <c r="I124" s="555"/>
      <c r="J124" s="555"/>
      <c r="K124" s="555"/>
      <c r="L124" s="555"/>
      <c r="M124" s="555"/>
      <c r="N124" s="555"/>
      <c r="O124" s="555"/>
      <c r="P124" s="555"/>
      <c r="Q124" s="555"/>
      <c r="R124" s="555"/>
      <c r="S124" s="555"/>
      <c r="T124" s="555"/>
      <c r="U124" s="555"/>
      <c r="V124" s="555"/>
      <c r="W124" s="555"/>
      <c r="X124" s="555"/>
      <c r="Y124" s="555"/>
      <c r="Z124" s="555"/>
      <c r="AA124" s="539"/>
      <c r="AB124" s="539"/>
      <c r="AC124" s="539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60">
        <v>4680115882577</v>
      </c>
      <c r="E125" s="56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1"/>
      <c r="R125" s="551"/>
      <c r="S125" s="551"/>
      <c r="T125" s="552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60">
        <v>4680115882577</v>
      </c>
      <c r="E126" s="561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5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1"/>
      <c r="R126" s="551"/>
      <c r="S126" s="551"/>
      <c r="T126" s="552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4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3" t="s">
        <v>71</v>
      </c>
      <c r="Q127" s="548"/>
      <c r="R127" s="548"/>
      <c r="S127" s="548"/>
      <c r="T127" s="548"/>
      <c r="U127" s="548"/>
      <c r="V127" s="549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5"/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6"/>
      <c r="P128" s="553" t="s">
        <v>71</v>
      </c>
      <c r="Q128" s="548"/>
      <c r="R128" s="548"/>
      <c r="S128" s="548"/>
      <c r="T128" s="548"/>
      <c r="U128" s="548"/>
      <c r="V128" s="549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59" t="s">
        <v>64</v>
      </c>
      <c r="B129" s="555"/>
      <c r="C129" s="555"/>
      <c r="D129" s="555"/>
      <c r="E129" s="555"/>
      <c r="F129" s="555"/>
      <c r="G129" s="555"/>
      <c r="H129" s="555"/>
      <c r="I129" s="555"/>
      <c r="J129" s="555"/>
      <c r="K129" s="555"/>
      <c r="L129" s="555"/>
      <c r="M129" s="555"/>
      <c r="N129" s="555"/>
      <c r="O129" s="555"/>
      <c r="P129" s="555"/>
      <c r="Q129" s="555"/>
      <c r="R129" s="555"/>
      <c r="S129" s="555"/>
      <c r="T129" s="555"/>
      <c r="U129" s="555"/>
      <c r="V129" s="555"/>
      <c r="W129" s="555"/>
      <c r="X129" s="555"/>
      <c r="Y129" s="555"/>
      <c r="Z129" s="555"/>
      <c r="AA129" s="539"/>
      <c r="AB129" s="539"/>
      <c r="AC129" s="539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60">
        <v>4680115883444</v>
      </c>
      <c r="E130" s="56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60">
        <v>4680115883444</v>
      </c>
      <c r="E131" s="561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7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1"/>
      <c r="R131" s="551"/>
      <c r="S131" s="551"/>
      <c r="T131" s="552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4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3" t="s">
        <v>71</v>
      </c>
      <c r="Q132" s="548"/>
      <c r="R132" s="548"/>
      <c r="S132" s="548"/>
      <c r="T132" s="548"/>
      <c r="U132" s="548"/>
      <c r="V132" s="549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5"/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6"/>
      <c r="P133" s="553" t="s">
        <v>71</v>
      </c>
      <c r="Q133" s="548"/>
      <c r="R133" s="548"/>
      <c r="S133" s="548"/>
      <c r="T133" s="548"/>
      <c r="U133" s="548"/>
      <c r="V133" s="549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59" t="s">
        <v>73</v>
      </c>
      <c r="B134" s="555"/>
      <c r="C134" s="555"/>
      <c r="D134" s="555"/>
      <c r="E134" s="555"/>
      <c r="F134" s="555"/>
      <c r="G134" s="555"/>
      <c r="H134" s="555"/>
      <c r="I134" s="555"/>
      <c r="J134" s="555"/>
      <c r="K134" s="555"/>
      <c r="L134" s="555"/>
      <c r="M134" s="555"/>
      <c r="N134" s="555"/>
      <c r="O134" s="555"/>
      <c r="P134" s="555"/>
      <c r="Q134" s="555"/>
      <c r="R134" s="555"/>
      <c r="S134" s="555"/>
      <c r="T134" s="555"/>
      <c r="U134" s="555"/>
      <c r="V134" s="555"/>
      <c r="W134" s="555"/>
      <c r="X134" s="555"/>
      <c r="Y134" s="555"/>
      <c r="Z134" s="555"/>
      <c r="AA134" s="539"/>
      <c r="AB134" s="539"/>
      <c r="AC134" s="539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60">
        <v>4680115882584</v>
      </c>
      <c r="E135" s="56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62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1"/>
      <c r="R135" s="551"/>
      <c r="S135" s="551"/>
      <c r="T135" s="552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60">
        <v>4680115882584</v>
      </c>
      <c r="E136" s="561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5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1"/>
      <c r="R136" s="551"/>
      <c r="S136" s="551"/>
      <c r="T136" s="552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4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3" t="s">
        <v>71</v>
      </c>
      <c r="Q137" s="548"/>
      <c r="R137" s="548"/>
      <c r="S137" s="548"/>
      <c r="T137" s="548"/>
      <c r="U137" s="548"/>
      <c r="V137" s="549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5"/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6"/>
      <c r="P138" s="553" t="s">
        <v>71</v>
      </c>
      <c r="Q138" s="548"/>
      <c r="R138" s="548"/>
      <c r="S138" s="548"/>
      <c r="T138" s="548"/>
      <c r="U138" s="548"/>
      <c r="V138" s="549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9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8"/>
      <c r="AB139" s="538"/>
      <c r="AC139" s="538"/>
    </row>
    <row r="140" spans="1:68" ht="14.25" hidden="1" customHeight="1" x14ac:dyDescent="0.25">
      <c r="A140" s="559" t="s">
        <v>101</v>
      </c>
      <c r="B140" s="555"/>
      <c r="C140" s="555"/>
      <c r="D140" s="555"/>
      <c r="E140" s="555"/>
      <c r="F140" s="555"/>
      <c r="G140" s="555"/>
      <c r="H140" s="555"/>
      <c r="I140" s="555"/>
      <c r="J140" s="555"/>
      <c r="K140" s="555"/>
      <c r="L140" s="555"/>
      <c r="M140" s="555"/>
      <c r="N140" s="555"/>
      <c r="O140" s="555"/>
      <c r="P140" s="555"/>
      <c r="Q140" s="555"/>
      <c r="R140" s="555"/>
      <c r="S140" s="555"/>
      <c r="T140" s="555"/>
      <c r="U140" s="555"/>
      <c r="V140" s="555"/>
      <c r="W140" s="555"/>
      <c r="X140" s="555"/>
      <c r="Y140" s="555"/>
      <c r="Z140" s="555"/>
      <c r="AA140" s="539"/>
      <c r="AB140" s="539"/>
      <c r="AC140" s="539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60">
        <v>4680115887374</v>
      </c>
      <c r="E141" s="561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1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60">
        <v>4607091384604</v>
      </c>
      <c r="E142" s="561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7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60">
        <v>4680115886810</v>
      </c>
      <c r="E143" s="561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1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1"/>
      <c r="R143" s="551"/>
      <c r="S143" s="551"/>
      <c r="T143" s="552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4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3" t="s">
        <v>71</v>
      </c>
      <c r="Q144" s="548"/>
      <c r="R144" s="548"/>
      <c r="S144" s="548"/>
      <c r="T144" s="548"/>
      <c r="U144" s="548"/>
      <c r="V144" s="549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hidden="1" x14ac:dyDescent="0.2">
      <c r="A145" s="555"/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6"/>
      <c r="P145" s="553" t="s">
        <v>71</v>
      </c>
      <c r="Q145" s="548"/>
      <c r="R145" s="548"/>
      <c r="S145" s="548"/>
      <c r="T145" s="548"/>
      <c r="U145" s="548"/>
      <c r="V145" s="549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hidden="1" customHeight="1" x14ac:dyDescent="0.25">
      <c r="A146" s="559" t="s">
        <v>64</v>
      </c>
      <c r="B146" s="555"/>
      <c r="C146" s="555"/>
      <c r="D146" s="555"/>
      <c r="E146" s="555"/>
      <c r="F146" s="555"/>
      <c r="G146" s="555"/>
      <c r="H146" s="555"/>
      <c r="I146" s="555"/>
      <c r="J146" s="555"/>
      <c r="K146" s="555"/>
      <c r="L146" s="555"/>
      <c r="M146" s="555"/>
      <c r="N146" s="555"/>
      <c r="O146" s="555"/>
      <c r="P146" s="555"/>
      <c r="Q146" s="555"/>
      <c r="R146" s="555"/>
      <c r="S146" s="555"/>
      <c r="T146" s="555"/>
      <c r="U146" s="555"/>
      <c r="V146" s="555"/>
      <c r="W146" s="555"/>
      <c r="X146" s="555"/>
      <c r="Y146" s="555"/>
      <c r="Z146" s="555"/>
      <c r="AA146" s="539"/>
      <c r="AB146" s="539"/>
      <c r="AC146" s="539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60">
        <v>4607091387667</v>
      </c>
      <c r="E147" s="561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8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60">
        <v>4607091387636</v>
      </c>
      <c r="E148" s="561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7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60">
        <v>4607091382426</v>
      </c>
      <c r="E149" s="561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57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1"/>
      <c r="R149" s="551"/>
      <c r="S149" s="551"/>
      <c r="T149" s="552"/>
      <c r="U149" s="34"/>
      <c r="V149" s="34"/>
      <c r="W149" s="35" t="s">
        <v>69</v>
      </c>
      <c r="X149" s="543">
        <v>30</v>
      </c>
      <c r="Y149" s="544">
        <f>IFERROR(IF(X149="",0,CEILING((X149/$H149),1)*$H149),"")</f>
        <v>36</v>
      </c>
      <c r="Z149" s="36">
        <f>IFERROR(IF(Y149=0,"",ROUNDUP(Y149/H149,0)*0.01898),"")</f>
        <v>7.5920000000000001E-2</v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31.950000000000003</v>
      </c>
      <c r="BN149" s="64">
        <f>IFERROR(Y149*I149/H149,"0")</f>
        <v>38.340000000000003</v>
      </c>
      <c r="BO149" s="64">
        <f>IFERROR(1/J149*(X149/H149),"0")</f>
        <v>5.2083333333333336E-2</v>
      </c>
      <c r="BP149" s="64">
        <f>IFERROR(1/J149*(Y149/H149),"0")</f>
        <v>6.25E-2</v>
      </c>
    </row>
    <row r="150" spans="1:68" x14ac:dyDescent="0.2">
      <c r="A150" s="554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3" t="s">
        <v>71</v>
      </c>
      <c r="Q150" s="548"/>
      <c r="R150" s="548"/>
      <c r="S150" s="548"/>
      <c r="T150" s="548"/>
      <c r="U150" s="548"/>
      <c r="V150" s="549"/>
      <c r="W150" s="37" t="s">
        <v>72</v>
      </c>
      <c r="X150" s="545">
        <f>IFERROR(X147/H147,"0")+IFERROR(X148/H148,"0")+IFERROR(X149/H149,"0")</f>
        <v>3.3333333333333335</v>
      </c>
      <c r="Y150" s="545">
        <f>IFERROR(Y147/H147,"0")+IFERROR(Y148/H148,"0")+IFERROR(Y149/H149,"0")</f>
        <v>4</v>
      </c>
      <c r="Z150" s="545">
        <f>IFERROR(IF(Z147="",0,Z147),"0")+IFERROR(IF(Z148="",0,Z148),"0")+IFERROR(IF(Z149="",0,Z149),"0")</f>
        <v>7.5920000000000001E-2</v>
      </c>
      <c r="AA150" s="546"/>
      <c r="AB150" s="546"/>
      <c r="AC150" s="546"/>
    </row>
    <row r="151" spans="1:68" x14ac:dyDescent="0.2">
      <c r="A151" s="555"/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6"/>
      <c r="P151" s="553" t="s">
        <v>71</v>
      </c>
      <c r="Q151" s="548"/>
      <c r="R151" s="548"/>
      <c r="S151" s="548"/>
      <c r="T151" s="548"/>
      <c r="U151" s="548"/>
      <c r="V151" s="549"/>
      <c r="W151" s="37" t="s">
        <v>69</v>
      </c>
      <c r="X151" s="545">
        <f>IFERROR(SUM(X147:X149),"0")</f>
        <v>30</v>
      </c>
      <c r="Y151" s="545">
        <f>IFERROR(SUM(Y147:Y149),"0")</f>
        <v>36</v>
      </c>
      <c r="Z151" s="37"/>
      <c r="AA151" s="546"/>
      <c r="AB151" s="546"/>
      <c r="AC151" s="546"/>
    </row>
    <row r="152" spans="1:68" ht="14.25" hidden="1" customHeight="1" x14ac:dyDescent="0.25">
      <c r="A152" s="559" t="s">
        <v>73</v>
      </c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5"/>
      <c r="P152" s="555"/>
      <c r="Q152" s="555"/>
      <c r="R152" s="555"/>
      <c r="S152" s="555"/>
      <c r="T152" s="555"/>
      <c r="U152" s="555"/>
      <c r="V152" s="555"/>
      <c r="W152" s="555"/>
      <c r="X152" s="555"/>
      <c r="Y152" s="555"/>
      <c r="Z152" s="555"/>
      <c r="AA152" s="539"/>
      <c r="AB152" s="539"/>
      <c r="AC152" s="539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60">
        <v>4680115887459</v>
      </c>
      <c r="E153" s="561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650" t="s">
        <v>255</v>
      </c>
      <c r="Q153" s="551"/>
      <c r="R153" s="551"/>
      <c r="S153" s="551"/>
      <c r="T153" s="552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4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3" t="s">
        <v>71</v>
      </c>
      <c r="Q154" s="548"/>
      <c r="R154" s="548"/>
      <c r="S154" s="548"/>
      <c r="T154" s="548"/>
      <c r="U154" s="548"/>
      <c r="V154" s="549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5"/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6"/>
      <c r="P155" s="553" t="s">
        <v>71</v>
      </c>
      <c r="Q155" s="548"/>
      <c r="R155" s="548"/>
      <c r="S155" s="548"/>
      <c r="T155" s="548"/>
      <c r="U155" s="548"/>
      <c r="V155" s="549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647" t="s">
        <v>257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48"/>
      <c r="AB156" s="48"/>
      <c r="AC156" s="48"/>
    </row>
    <row r="157" spans="1:68" ht="16.5" hidden="1" customHeight="1" x14ac:dyDescent="0.25">
      <c r="A157" s="599" t="s">
        <v>258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8"/>
      <c r="AB157" s="538"/>
      <c r="AC157" s="538"/>
    </row>
    <row r="158" spans="1:68" ht="14.25" hidden="1" customHeight="1" x14ac:dyDescent="0.25">
      <c r="A158" s="559" t="s">
        <v>136</v>
      </c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5"/>
      <c r="P158" s="555"/>
      <c r="Q158" s="555"/>
      <c r="R158" s="555"/>
      <c r="S158" s="555"/>
      <c r="T158" s="555"/>
      <c r="U158" s="555"/>
      <c r="V158" s="555"/>
      <c r="W158" s="555"/>
      <c r="X158" s="555"/>
      <c r="Y158" s="555"/>
      <c r="Z158" s="555"/>
      <c r="AA158" s="539"/>
      <c r="AB158" s="539"/>
      <c r="AC158" s="539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60">
        <v>4680115886223</v>
      </c>
      <c r="E159" s="561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1"/>
      <c r="R159" s="551"/>
      <c r="S159" s="551"/>
      <c r="T159" s="552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4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3" t="s">
        <v>71</v>
      </c>
      <c r="Q160" s="548"/>
      <c r="R160" s="548"/>
      <c r="S160" s="548"/>
      <c r="T160" s="548"/>
      <c r="U160" s="548"/>
      <c r="V160" s="549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5"/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6"/>
      <c r="P161" s="553" t="s">
        <v>71</v>
      </c>
      <c r="Q161" s="548"/>
      <c r="R161" s="548"/>
      <c r="S161" s="548"/>
      <c r="T161" s="548"/>
      <c r="U161" s="548"/>
      <c r="V161" s="549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59" t="s">
        <v>64</v>
      </c>
      <c r="B162" s="555"/>
      <c r="C162" s="555"/>
      <c r="D162" s="555"/>
      <c r="E162" s="555"/>
      <c r="F162" s="555"/>
      <c r="G162" s="555"/>
      <c r="H162" s="555"/>
      <c r="I162" s="555"/>
      <c r="J162" s="555"/>
      <c r="K162" s="555"/>
      <c r="L162" s="555"/>
      <c r="M162" s="555"/>
      <c r="N162" s="555"/>
      <c r="O162" s="555"/>
      <c r="P162" s="555"/>
      <c r="Q162" s="555"/>
      <c r="R162" s="555"/>
      <c r="S162" s="555"/>
      <c r="T162" s="555"/>
      <c r="U162" s="555"/>
      <c r="V162" s="555"/>
      <c r="W162" s="555"/>
      <c r="X162" s="555"/>
      <c r="Y162" s="555"/>
      <c r="Z162" s="555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60">
        <v>4680115880993</v>
      </c>
      <c r="E163" s="561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5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1"/>
      <c r="R163" s="551"/>
      <c r="S163" s="551"/>
      <c r="T163" s="552"/>
      <c r="U163" s="34"/>
      <c r="V163" s="34"/>
      <c r="W163" s="35" t="s">
        <v>69</v>
      </c>
      <c r="X163" s="543">
        <v>50</v>
      </c>
      <c r="Y163" s="544">
        <f t="shared" ref="Y163:Y171" si="5">IFERROR(IF(X163="",0,CEILING((X163/$H163),1)*$H163),"")</f>
        <v>50.400000000000006</v>
      </c>
      <c r="Z163" s="36">
        <f>IFERROR(IF(Y163=0,"",ROUNDUP(Y163/H163,0)*0.00902),"")</f>
        <v>0.10824</v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53.214285714285715</v>
      </c>
      <c r="BN163" s="64">
        <f t="shared" ref="BN163:BN171" si="7">IFERROR(Y163*I163/H163,"0")</f>
        <v>53.64</v>
      </c>
      <c r="BO163" s="64">
        <f t="shared" ref="BO163:BO171" si="8">IFERROR(1/J163*(X163/H163),"0")</f>
        <v>9.0187590187590191E-2</v>
      </c>
      <c r="BP163" s="64">
        <f t="shared" ref="BP163:BP171" si="9">IFERROR(1/J163*(Y163/H163),"0")</f>
        <v>9.0909090909090912E-2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60">
        <v>4680115881761</v>
      </c>
      <c r="E164" s="561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60">
        <v>4680115881563</v>
      </c>
      <c r="E165" s="561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8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1"/>
      <c r="R165" s="551"/>
      <c r="S165" s="551"/>
      <c r="T165" s="552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60">
        <v>4680115880986</v>
      </c>
      <c r="E166" s="56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80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1"/>
      <c r="R166" s="551"/>
      <c r="S166" s="551"/>
      <c r="T166" s="552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60">
        <v>4680115881785</v>
      </c>
      <c r="E167" s="56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7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1"/>
      <c r="R167" s="551"/>
      <c r="S167" s="551"/>
      <c r="T167" s="552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60">
        <v>4680115886537</v>
      </c>
      <c r="E168" s="56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1"/>
      <c r="R168" s="551"/>
      <c r="S168" s="551"/>
      <c r="T168" s="552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60">
        <v>4680115881679</v>
      </c>
      <c r="E169" s="56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60">
        <v>4680115880191</v>
      </c>
      <c r="E170" s="56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7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1"/>
      <c r="R170" s="551"/>
      <c r="S170" s="551"/>
      <c r="T170" s="552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60">
        <v>4680115883963</v>
      </c>
      <c r="E171" s="56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2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1"/>
      <c r="R171" s="551"/>
      <c r="S171" s="551"/>
      <c r="T171" s="552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3" t="s">
        <v>71</v>
      </c>
      <c r="Q172" s="548"/>
      <c r="R172" s="548"/>
      <c r="S172" s="548"/>
      <c r="T172" s="548"/>
      <c r="U172" s="548"/>
      <c r="V172" s="549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11.904761904761905</v>
      </c>
      <c r="Y172" s="545">
        <f>IFERROR(Y163/H163,"0")+IFERROR(Y164/H164,"0")+IFERROR(Y165/H165,"0")+IFERROR(Y166/H166,"0")+IFERROR(Y167/H167,"0")+IFERROR(Y168/H168,"0")+IFERROR(Y169/H169,"0")+IFERROR(Y170/H170,"0")+IFERROR(Y171/H171,"0")</f>
        <v>12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0.10824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3" t="s">
        <v>71</v>
      </c>
      <c r="Q173" s="548"/>
      <c r="R173" s="548"/>
      <c r="S173" s="548"/>
      <c r="T173" s="548"/>
      <c r="U173" s="548"/>
      <c r="V173" s="549"/>
      <c r="W173" s="37" t="s">
        <v>69</v>
      </c>
      <c r="X173" s="545">
        <f>IFERROR(SUM(X163:X171),"0")</f>
        <v>50</v>
      </c>
      <c r="Y173" s="545">
        <f>IFERROR(SUM(Y163:Y171),"0")</f>
        <v>50.400000000000006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60">
        <v>4680115886780</v>
      </c>
      <c r="E175" s="56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60">
        <v>4680115886742</v>
      </c>
      <c r="E176" s="56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6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60">
        <v>4680115886766</v>
      </c>
      <c r="E177" s="56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6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1"/>
      <c r="R177" s="551"/>
      <c r="S177" s="551"/>
      <c r="T177" s="552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3" t="s">
        <v>71</v>
      </c>
      <c r="Q178" s="548"/>
      <c r="R178" s="548"/>
      <c r="S178" s="548"/>
      <c r="T178" s="548"/>
      <c r="U178" s="548"/>
      <c r="V178" s="549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3" t="s">
        <v>71</v>
      </c>
      <c r="Q179" s="548"/>
      <c r="R179" s="548"/>
      <c r="S179" s="548"/>
      <c r="T179" s="548"/>
      <c r="U179" s="548"/>
      <c r="V179" s="549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296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60">
        <v>4680115886797</v>
      </c>
      <c r="E181" s="56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6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1"/>
      <c r="R181" s="551"/>
      <c r="S181" s="551"/>
      <c r="T181" s="552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3" t="s">
        <v>71</v>
      </c>
      <c r="Q182" s="548"/>
      <c r="R182" s="548"/>
      <c r="S182" s="548"/>
      <c r="T182" s="548"/>
      <c r="U182" s="548"/>
      <c r="V182" s="549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3" t="s">
        <v>71</v>
      </c>
      <c r="Q183" s="548"/>
      <c r="R183" s="548"/>
      <c r="S183" s="548"/>
      <c r="T183" s="548"/>
      <c r="U183" s="548"/>
      <c r="V183" s="549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99" t="s">
        <v>299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60">
        <v>4680115881402</v>
      </c>
      <c r="E186" s="561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1"/>
      <c r="R186" s="551"/>
      <c r="S186" s="551"/>
      <c r="T186" s="552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60">
        <v>4680115881396</v>
      </c>
      <c r="E187" s="56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7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1"/>
      <c r="R187" s="551"/>
      <c r="S187" s="551"/>
      <c r="T187" s="552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3" t="s">
        <v>71</v>
      </c>
      <c r="Q188" s="548"/>
      <c r="R188" s="548"/>
      <c r="S188" s="548"/>
      <c r="T188" s="548"/>
      <c r="U188" s="548"/>
      <c r="V188" s="549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3" t="s">
        <v>71</v>
      </c>
      <c r="Q189" s="548"/>
      <c r="R189" s="548"/>
      <c r="S189" s="548"/>
      <c r="T189" s="548"/>
      <c r="U189" s="548"/>
      <c r="V189" s="549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60">
        <v>4680115882935</v>
      </c>
      <c r="E191" s="561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1"/>
      <c r="R191" s="551"/>
      <c r="S191" s="551"/>
      <c r="T191" s="552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60">
        <v>4680115880764</v>
      </c>
      <c r="E192" s="56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1"/>
      <c r="R192" s="551"/>
      <c r="S192" s="551"/>
      <c r="T192" s="552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3" t="s">
        <v>71</v>
      </c>
      <c r="Q193" s="548"/>
      <c r="R193" s="548"/>
      <c r="S193" s="548"/>
      <c r="T193" s="548"/>
      <c r="U193" s="548"/>
      <c r="V193" s="549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3" t="s">
        <v>71</v>
      </c>
      <c r="Q194" s="548"/>
      <c r="R194" s="548"/>
      <c r="S194" s="548"/>
      <c r="T194" s="548"/>
      <c r="U194" s="548"/>
      <c r="V194" s="549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60">
        <v>4680115882683</v>
      </c>
      <c r="E196" s="561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3">
        <v>100</v>
      </c>
      <c r="Y196" s="544">
        <f t="shared" ref="Y196:Y203" si="10">IFERROR(IF(X196="",0,CEILING((X196/$H196),1)*$H196),"")</f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103.88888888888889</v>
      </c>
      <c r="BN196" s="64">
        <f t="shared" ref="BN196:BN203" si="12">IFERROR(Y196*I196/H196,"0")</f>
        <v>106.59000000000002</v>
      </c>
      <c r="BO196" s="64">
        <f t="shared" ref="BO196:BO203" si="13">IFERROR(1/J196*(X196/H196),"0")</f>
        <v>0.14029180695847362</v>
      </c>
      <c r="BP196" s="64">
        <f t="shared" ref="BP196:BP203" si="14">IFERROR(1/J196*(Y196/H196),"0")</f>
        <v>0.14393939393939395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60">
        <v>4680115882690</v>
      </c>
      <c r="E197" s="561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3">
        <v>130</v>
      </c>
      <c r="Y197" s="544">
        <f t="shared" si="10"/>
        <v>135</v>
      </c>
      <c r="Z197" s="36">
        <f>IFERROR(IF(Y197=0,"",ROUNDUP(Y197/H197,0)*0.00902),"")</f>
        <v>0.22550000000000001</v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135.05555555555557</v>
      </c>
      <c r="BN197" s="64">
        <f t="shared" si="12"/>
        <v>140.25</v>
      </c>
      <c r="BO197" s="64">
        <f t="shared" si="13"/>
        <v>0.18237934904601572</v>
      </c>
      <c r="BP197" s="64">
        <f t="shared" si="14"/>
        <v>0.18939393939393939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60">
        <v>4680115882669</v>
      </c>
      <c r="E198" s="561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3">
        <v>60</v>
      </c>
      <c r="Y198" s="544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62.333333333333336</v>
      </c>
      <c r="BN198" s="64">
        <f t="shared" si="12"/>
        <v>67.320000000000007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60">
        <v>4680115882676</v>
      </c>
      <c r="E199" s="561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58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3">
        <v>130</v>
      </c>
      <c r="Y199" s="544">
        <f t="shared" si="10"/>
        <v>135</v>
      </c>
      <c r="Z199" s="36">
        <f>IFERROR(IF(Y199=0,"",ROUNDUP(Y199/H199,0)*0.00902),"")</f>
        <v>0.22550000000000001</v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135.05555555555557</v>
      </c>
      <c r="BN199" s="64">
        <f t="shared" si="12"/>
        <v>140.25</v>
      </c>
      <c r="BO199" s="64">
        <f t="shared" si="13"/>
        <v>0.18237934904601572</v>
      </c>
      <c r="BP199" s="64">
        <f t="shared" si="14"/>
        <v>0.18939393939393939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60">
        <v>4680115884014</v>
      </c>
      <c r="E200" s="56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60">
        <v>4680115884007</v>
      </c>
      <c r="E201" s="56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63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60">
        <v>4680115884038</v>
      </c>
      <c r="E202" s="56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60">
        <v>4680115884021</v>
      </c>
      <c r="E203" s="56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1"/>
      <c r="R203" s="551"/>
      <c r="S203" s="551"/>
      <c r="T203" s="552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3" t="s">
        <v>71</v>
      </c>
      <c r="Q204" s="548"/>
      <c r="R204" s="548"/>
      <c r="S204" s="548"/>
      <c r="T204" s="548"/>
      <c r="U204" s="548"/>
      <c r="V204" s="549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77.777777777777786</v>
      </c>
      <c r="Y204" s="545">
        <f>IFERROR(Y196/H196,"0")+IFERROR(Y197/H197,"0")+IFERROR(Y198/H198,"0")+IFERROR(Y199/H199,"0")+IFERROR(Y200/H200,"0")+IFERROR(Y201/H201,"0")+IFERROR(Y202/H202,"0")+IFERROR(Y203/H203,"0")</f>
        <v>81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0.73062000000000005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3" t="s">
        <v>71</v>
      </c>
      <c r="Q205" s="548"/>
      <c r="R205" s="548"/>
      <c r="S205" s="548"/>
      <c r="T205" s="548"/>
      <c r="U205" s="548"/>
      <c r="V205" s="549"/>
      <c r="W205" s="37" t="s">
        <v>69</v>
      </c>
      <c r="X205" s="545">
        <f>IFERROR(SUM(X196:X203),"0")</f>
        <v>420</v>
      </c>
      <c r="Y205" s="545">
        <f>IFERROR(SUM(Y196:Y203),"0")</f>
        <v>437.40000000000003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60">
        <v>4680115881594</v>
      </c>
      <c r="E207" s="561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1"/>
      <c r="R207" s="551"/>
      <c r="S207" s="551"/>
      <c r="T207" s="552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60">
        <v>4680115881617</v>
      </c>
      <c r="E208" s="561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1"/>
      <c r="R208" s="551"/>
      <c r="S208" s="551"/>
      <c r="T208" s="552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60">
        <v>4680115880573</v>
      </c>
      <c r="E209" s="561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8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60">
        <v>4680115882195</v>
      </c>
      <c r="E210" s="56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6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60">
        <v>4680115882607</v>
      </c>
      <c r="E211" s="56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60">
        <v>4680115880092</v>
      </c>
      <c r="E212" s="56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3">
        <v>28</v>
      </c>
      <c r="Y212" s="544">
        <f t="shared" si="15"/>
        <v>28.799999999999997</v>
      </c>
      <c r="Z212" s="36">
        <f t="shared" si="20"/>
        <v>7.8119999999999995E-2</v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30.94</v>
      </c>
      <c r="BN212" s="64">
        <f t="shared" si="17"/>
        <v>31.824000000000002</v>
      </c>
      <c r="BO212" s="64">
        <f t="shared" si="18"/>
        <v>6.4102564102564111E-2</v>
      </c>
      <c r="BP212" s="64">
        <f t="shared" si="19"/>
        <v>6.5934065934065936E-2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60">
        <v>4680115880221</v>
      </c>
      <c r="E213" s="56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8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1"/>
      <c r="R213" s="551"/>
      <c r="S213" s="551"/>
      <c r="T213" s="552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60">
        <v>4680115880504</v>
      </c>
      <c r="E214" s="56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6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1"/>
      <c r="R214" s="551"/>
      <c r="S214" s="551"/>
      <c r="T214" s="552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351</v>
      </c>
      <c r="B215" s="54" t="s">
        <v>352</v>
      </c>
      <c r="C215" s="31">
        <v>4301051410</v>
      </c>
      <c r="D215" s="560">
        <v>4680115882164</v>
      </c>
      <c r="E215" s="56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8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1"/>
      <c r="R215" s="551"/>
      <c r="S215" s="551"/>
      <c r="T215" s="552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3" t="s">
        <v>71</v>
      </c>
      <c r="Q216" s="548"/>
      <c r="R216" s="548"/>
      <c r="S216" s="548"/>
      <c r="T216" s="548"/>
      <c r="U216" s="548"/>
      <c r="V216" s="549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11.666666666666668</v>
      </c>
      <c r="Y216" s="545">
        <f>IFERROR(Y207/H207,"0")+IFERROR(Y208/H208,"0")+IFERROR(Y209/H209,"0")+IFERROR(Y210/H210,"0")+IFERROR(Y211/H211,"0")+IFERROR(Y212/H212,"0")+IFERROR(Y213/H213,"0")+IFERROR(Y214/H214,"0")+IFERROR(Y215/H215,"0")</f>
        <v>12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7.8119999999999995E-2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3" t="s">
        <v>71</v>
      </c>
      <c r="Q217" s="548"/>
      <c r="R217" s="548"/>
      <c r="S217" s="548"/>
      <c r="T217" s="548"/>
      <c r="U217" s="548"/>
      <c r="V217" s="549"/>
      <c r="W217" s="37" t="s">
        <v>69</v>
      </c>
      <c r="X217" s="545">
        <f>IFERROR(SUM(X207:X215),"0")</f>
        <v>28</v>
      </c>
      <c r="Y217" s="545">
        <f>IFERROR(SUM(Y207:Y215),"0")</f>
        <v>28.799999999999997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166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60">
        <v>4680115880818</v>
      </c>
      <c r="E219" s="56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60">
        <v>4680115880801</v>
      </c>
      <c r="E220" s="56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8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1"/>
      <c r="R220" s="551"/>
      <c r="S220" s="551"/>
      <c r="T220" s="552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3" t="s">
        <v>71</v>
      </c>
      <c r="Q221" s="548"/>
      <c r="R221" s="548"/>
      <c r="S221" s="548"/>
      <c r="T221" s="548"/>
      <c r="U221" s="548"/>
      <c r="V221" s="549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3" t="s">
        <v>71</v>
      </c>
      <c r="Q222" s="548"/>
      <c r="R222" s="548"/>
      <c r="S222" s="548"/>
      <c r="T222" s="548"/>
      <c r="U222" s="548"/>
      <c r="V222" s="549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99" t="s">
        <v>359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60">
        <v>4680115884137</v>
      </c>
      <c r="E225" s="561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60">
        <v>4680115884236</v>
      </c>
      <c r="E226" s="561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60">
        <v>4680115884175</v>
      </c>
      <c r="E227" s="561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60">
        <v>4680115884144</v>
      </c>
      <c r="E228" s="561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5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60">
        <v>4680115884144</v>
      </c>
      <c r="E229" s="561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60">
        <v>4680115886551</v>
      </c>
      <c r="E230" s="561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1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60">
        <v>4680115884182</v>
      </c>
      <c r="E231" s="561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1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60">
        <v>4680115887282</v>
      </c>
      <c r="E232" s="56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60">
        <v>4680115884205</v>
      </c>
      <c r="E233" s="561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60">
        <v>4680115884205</v>
      </c>
      <c r="E234" s="561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1"/>
      <c r="R234" s="551"/>
      <c r="S234" s="551"/>
      <c r="T234" s="552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3" t="s">
        <v>71</v>
      </c>
      <c r="Q235" s="548"/>
      <c r="R235" s="548"/>
      <c r="S235" s="548"/>
      <c r="T235" s="548"/>
      <c r="U235" s="548"/>
      <c r="V235" s="549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3" t="s">
        <v>71</v>
      </c>
      <c r="Q236" s="548"/>
      <c r="R236" s="548"/>
      <c r="S236" s="548"/>
      <c r="T236" s="548"/>
      <c r="U236" s="548"/>
      <c r="V236" s="549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60">
        <v>4680115885981</v>
      </c>
      <c r="E238" s="56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1"/>
      <c r="R238" s="551"/>
      <c r="S238" s="551"/>
      <c r="T238" s="552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3" t="s">
        <v>71</v>
      </c>
      <c r="Q239" s="548"/>
      <c r="R239" s="548"/>
      <c r="S239" s="548"/>
      <c r="T239" s="548"/>
      <c r="U239" s="548"/>
      <c r="V239" s="549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3" t="s">
        <v>71</v>
      </c>
      <c r="Q240" s="548"/>
      <c r="R240" s="548"/>
      <c r="S240" s="548"/>
      <c r="T240" s="548"/>
      <c r="U240" s="548"/>
      <c r="V240" s="549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385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60">
        <v>4680115886803</v>
      </c>
      <c r="E242" s="56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1"/>
      <c r="R242" s="551"/>
      <c r="S242" s="551"/>
      <c r="T242" s="552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3" t="s">
        <v>71</v>
      </c>
      <c r="Q243" s="548"/>
      <c r="R243" s="548"/>
      <c r="S243" s="548"/>
      <c r="T243" s="548"/>
      <c r="U243" s="548"/>
      <c r="V243" s="549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3" t="s">
        <v>71</v>
      </c>
      <c r="Q244" s="548"/>
      <c r="R244" s="548"/>
      <c r="S244" s="548"/>
      <c r="T244" s="548"/>
      <c r="U244" s="548"/>
      <c r="V244" s="549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389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60">
        <v>4680115886704</v>
      </c>
      <c r="E246" s="56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77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60">
        <v>4680115886681</v>
      </c>
      <c r="E247" s="56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6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60">
        <v>4680115886735</v>
      </c>
      <c r="E248" s="56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60">
        <v>4680115886728</v>
      </c>
      <c r="E249" s="56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86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60">
        <v>4680115886711</v>
      </c>
      <c r="E250" s="56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7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1"/>
      <c r="R250" s="551"/>
      <c r="S250" s="551"/>
      <c r="T250" s="552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3" t="s">
        <v>71</v>
      </c>
      <c r="Q251" s="548"/>
      <c r="R251" s="548"/>
      <c r="S251" s="548"/>
      <c r="T251" s="548"/>
      <c r="U251" s="548"/>
      <c r="V251" s="549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3" t="s">
        <v>71</v>
      </c>
      <c r="Q252" s="548"/>
      <c r="R252" s="548"/>
      <c r="S252" s="548"/>
      <c r="T252" s="548"/>
      <c r="U252" s="548"/>
      <c r="V252" s="549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99" t="s">
        <v>401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60">
        <v>4680115885837</v>
      </c>
      <c r="E255" s="561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60">
        <v>4680115885851</v>
      </c>
      <c r="E256" s="561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60">
        <v>4680115885806</v>
      </c>
      <c r="E257" s="561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68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60">
        <v>4680115885844</v>
      </c>
      <c r="E258" s="561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60">
        <v>4680115885820</v>
      </c>
      <c r="E259" s="561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1"/>
      <c r="R259" s="551"/>
      <c r="S259" s="551"/>
      <c r="T259" s="552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3" t="s">
        <v>71</v>
      </c>
      <c r="Q260" s="548"/>
      <c r="R260" s="548"/>
      <c r="S260" s="548"/>
      <c r="T260" s="548"/>
      <c r="U260" s="548"/>
      <c r="V260" s="549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3" t="s">
        <v>71</v>
      </c>
      <c r="Q261" s="548"/>
      <c r="R261" s="548"/>
      <c r="S261" s="548"/>
      <c r="T261" s="548"/>
      <c r="U261" s="548"/>
      <c r="V261" s="549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99" t="s">
        <v>417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60">
        <v>4607091383423</v>
      </c>
      <c r="E264" s="561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81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1"/>
      <c r="R264" s="551"/>
      <c r="S264" s="551"/>
      <c r="T264" s="552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60">
        <v>4680115886957</v>
      </c>
      <c r="E265" s="561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82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60">
        <v>4680115885660</v>
      </c>
      <c r="E266" s="561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83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60">
        <v>4680115886773</v>
      </c>
      <c r="E267" s="561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1"/>
      <c r="R267" s="551"/>
      <c r="S267" s="551"/>
      <c r="T267" s="552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3" t="s">
        <v>71</v>
      </c>
      <c r="Q268" s="548"/>
      <c r="R268" s="548"/>
      <c r="S268" s="548"/>
      <c r="T268" s="548"/>
      <c r="U268" s="548"/>
      <c r="V268" s="549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3" t="s">
        <v>71</v>
      </c>
      <c r="Q269" s="548"/>
      <c r="R269" s="548"/>
      <c r="S269" s="548"/>
      <c r="T269" s="548"/>
      <c r="U269" s="548"/>
      <c r="V269" s="549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99" t="s">
        <v>428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60">
        <v>4680115886186</v>
      </c>
      <c r="E272" s="56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6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60">
        <v>4680115881228</v>
      </c>
      <c r="E273" s="56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8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1"/>
      <c r="R273" s="551"/>
      <c r="S273" s="551"/>
      <c r="T273" s="552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60">
        <v>4680115881211</v>
      </c>
      <c r="E274" s="56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1"/>
      <c r="R274" s="551"/>
      <c r="S274" s="551"/>
      <c r="T274" s="552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3" t="s">
        <v>71</v>
      </c>
      <c r="Q275" s="548"/>
      <c r="R275" s="548"/>
      <c r="S275" s="548"/>
      <c r="T275" s="548"/>
      <c r="U275" s="548"/>
      <c r="V275" s="549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3" t="s">
        <v>71</v>
      </c>
      <c r="Q276" s="548"/>
      <c r="R276" s="548"/>
      <c r="S276" s="548"/>
      <c r="T276" s="548"/>
      <c r="U276" s="548"/>
      <c r="V276" s="549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99" t="s">
        <v>437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60">
        <v>4680115880344</v>
      </c>
      <c r="E279" s="56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1"/>
      <c r="R279" s="551"/>
      <c r="S279" s="551"/>
      <c r="T279" s="552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60">
        <v>4680115886919</v>
      </c>
      <c r="E280" s="56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1"/>
      <c r="R280" s="551"/>
      <c r="S280" s="551"/>
      <c r="T280" s="552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3" t="s">
        <v>71</v>
      </c>
      <c r="Q281" s="548"/>
      <c r="R281" s="548"/>
      <c r="S281" s="548"/>
      <c r="T281" s="548"/>
      <c r="U281" s="548"/>
      <c r="V281" s="549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3" t="s">
        <v>71</v>
      </c>
      <c r="Q282" s="548"/>
      <c r="R282" s="548"/>
      <c r="S282" s="548"/>
      <c r="T282" s="548"/>
      <c r="U282" s="548"/>
      <c r="V282" s="549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60">
        <v>4680115884618</v>
      </c>
      <c r="E284" s="561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7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1"/>
      <c r="R284" s="551"/>
      <c r="S284" s="551"/>
      <c r="T284" s="552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53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3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99" t="s">
        <v>447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8"/>
      <c r="AB287" s="538"/>
      <c r="AC287" s="538"/>
    </row>
    <row r="288" spans="1:68" ht="14.25" hidden="1" customHeight="1" x14ac:dyDescent="0.25">
      <c r="A288" s="559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9"/>
      <c r="AB288" s="539"/>
      <c r="AC288" s="539"/>
    </row>
    <row r="289" spans="1:68" ht="27" hidden="1" customHeight="1" x14ac:dyDescent="0.25">
      <c r="A289" s="54" t="s">
        <v>448</v>
      </c>
      <c r="B289" s="54" t="s">
        <v>449</v>
      </c>
      <c r="C289" s="31">
        <v>4301012126</v>
      </c>
      <c r="D289" s="560">
        <v>4607091386004</v>
      </c>
      <c r="E289" s="561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8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1"/>
      <c r="R289" s="551"/>
      <c r="S289" s="551"/>
      <c r="T289" s="552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4301012024</v>
      </c>
      <c r="D290" s="560">
        <v>4680115885615</v>
      </c>
      <c r="E290" s="561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454</v>
      </c>
      <c r="B291" s="54" t="s">
        <v>455</v>
      </c>
      <c r="C291" s="31">
        <v>4301011858</v>
      </c>
      <c r="D291" s="560">
        <v>4680115885646</v>
      </c>
      <c r="E291" s="561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8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4301012016</v>
      </c>
      <c r="D292" s="560">
        <v>4680115885554</v>
      </c>
      <c r="E292" s="561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4301011857</v>
      </c>
      <c r="D293" s="560">
        <v>4680115885622</v>
      </c>
      <c r="E293" s="561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8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4301011859</v>
      </c>
      <c r="D294" s="560">
        <v>4680115885608</v>
      </c>
      <c r="E294" s="561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1"/>
      <c r="R294" s="551"/>
      <c r="S294" s="551"/>
      <c r="T294" s="552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53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3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59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60">
        <v>4607091387193</v>
      </c>
      <c r="E298" s="561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3">
        <v>120</v>
      </c>
      <c r="Y298" s="544">
        <f t="shared" ref="Y298:Y304" si="31">IFERROR(IF(X298="",0,CEILING((X298/$H298),1)*$H298),"")</f>
        <v>121.80000000000001</v>
      </c>
      <c r="Z298" s="36">
        <f>IFERROR(IF(Y298=0,"",ROUNDUP(Y298/H298,0)*0.00902),"")</f>
        <v>0.26158000000000003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127.71428571428571</v>
      </c>
      <c r="BN298" s="64">
        <f t="shared" ref="BN298:BN304" si="33">IFERROR(Y298*I298/H298,"0")</f>
        <v>129.63</v>
      </c>
      <c r="BO298" s="64">
        <f t="shared" ref="BO298:BO304" si="34">IFERROR(1/J298*(X298/H298),"0")</f>
        <v>0.21645021645021645</v>
      </c>
      <c r="BP298" s="64">
        <f t="shared" ref="BP298:BP304" si="35">IFERROR(1/J298*(Y298/H298),"0")</f>
        <v>0.2196969696969697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60">
        <v>4607091387230</v>
      </c>
      <c r="E299" s="561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3">
        <v>50</v>
      </c>
      <c r="Y299" s="544">
        <f t="shared" si="31"/>
        <v>50.400000000000006</v>
      </c>
      <c r="Z299" s="36">
        <f>IFERROR(IF(Y299=0,"",ROUNDUP(Y299/H299,0)*0.00902),"")</f>
        <v>0.10824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53.214285714285715</v>
      </c>
      <c r="BN299" s="64">
        <f t="shared" si="33"/>
        <v>53.64</v>
      </c>
      <c r="BO299" s="64">
        <f t="shared" si="34"/>
        <v>9.0187590187590191E-2</v>
      </c>
      <c r="BP299" s="64">
        <f t="shared" si="35"/>
        <v>9.0909090909090912E-2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60">
        <v>4607091387292</v>
      </c>
      <c r="E300" s="561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4301031152</v>
      </c>
      <c r="D301" s="560">
        <v>4607091387285</v>
      </c>
      <c r="E301" s="561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6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4301031305</v>
      </c>
      <c r="D302" s="560">
        <v>4607091389845</v>
      </c>
      <c r="E302" s="561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8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1"/>
      <c r="R302" s="551"/>
      <c r="S302" s="551"/>
      <c r="T302" s="552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60">
        <v>4680115882881</v>
      </c>
      <c r="E303" s="561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1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1"/>
      <c r="R303" s="551"/>
      <c r="S303" s="551"/>
      <c r="T303" s="552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60">
        <v>4607091383836</v>
      </c>
      <c r="E304" s="561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1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1"/>
      <c r="R304" s="551"/>
      <c r="S304" s="551"/>
      <c r="T304" s="552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53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5">
        <f>IFERROR(X298/H298,"0")+IFERROR(X299/H299,"0")+IFERROR(X300/H300,"0")+IFERROR(X301/H301,"0")+IFERROR(X302/H302,"0")+IFERROR(X303/H303,"0")+IFERROR(X304/H304,"0")</f>
        <v>40.476190476190474</v>
      </c>
      <c r="Y305" s="545">
        <f>IFERROR(Y298/H298,"0")+IFERROR(Y299/H299,"0")+IFERROR(Y300/H300,"0")+IFERROR(Y301/H301,"0")+IFERROR(Y302/H302,"0")+IFERROR(Y303/H303,"0")+IFERROR(Y304/H304,"0")</f>
        <v>41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0.36982000000000004</v>
      </c>
      <c r="AA305" s="546"/>
      <c r="AB305" s="546"/>
      <c r="AC305" s="546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3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5">
        <f>IFERROR(SUM(X298:X304),"0")</f>
        <v>170</v>
      </c>
      <c r="Y306" s="545">
        <f>IFERROR(SUM(Y298:Y304),"0")</f>
        <v>172.20000000000002</v>
      </c>
      <c r="Z306" s="37"/>
      <c r="AA306" s="546"/>
      <c r="AB306" s="546"/>
      <c r="AC306" s="546"/>
    </row>
    <row r="307" spans="1:68" ht="14.25" hidden="1" customHeight="1" x14ac:dyDescent="0.25">
      <c r="A307" s="559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9"/>
      <c r="AB307" s="539"/>
      <c r="AC307" s="539"/>
    </row>
    <row r="308" spans="1:68" ht="27" hidden="1" customHeight="1" x14ac:dyDescent="0.25">
      <c r="A308" s="54" t="s">
        <v>484</v>
      </c>
      <c r="B308" s="54" t="s">
        <v>485</v>
      </c>
      <c r="C308" s="31">
        <v>4301051100</v>
      </c>
      <c r="D308" s="560">
        <v>4607091387766</v>
      </c>
      <c r="E308" s="561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1"/>
      <c r="R308" s="551"/>
      <c r="S308" s="551"/>
      <c r="T308" s="552"/>
      <c r="U308" s="34"/>
      <c r="V308" s="34"/>
      <c r="W308" s="35" t="s">
        <v>69</v>
      </c>
      <c r="X308" s="543">
        <v>0</v>
      </c>
      <c r="Y308" s="544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60">
        <v>4607091387957</v>
      </c>
      <c r="E309" s="561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60">
        <v>4607091387964</v>
      </c>
      <c r="E310" s="561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1"/>
      <c r="R310" s="551"/>
      <c r="S310" s="551"/>
      <c r="T310" s="552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60">
        <v>4680115884588</v>
      </c>
      <c r="E311" s="561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1"/>
      <c r="R311" s="551"/>
      <c r="S311" s="551"/>
      <c r="T311" s="552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60">
        <v>4607091387513</v>
      </c>
      <c r="E312" s="561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78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1"/>
      <c r="R312" s="551"/>
      <c r="S312" s="551"/>
      <c r="T312" s="552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3" t="s">
        <v>71</v>
      </c>
      <c r="Q313" s="548"/>
      <c r="R313" s="548"/>
      <c r="S313" s="548"/>
      <c r="T313" s="548"/>
      <c r="U313" s="548"/>
      <c r="V313" s="549"/>
      <c r="W313" s="37" t="s">
        <v>72</v>
      </c>
      <c r="X313" s="545">
        <f>IFERROR(X308/H308,"0")+IFERROR(X309/H309,"0")+IFERROR(X310/H310,"0")+IFERROR(X311/H311,"0")+IFERROR(X312/H312,"0")</f>
        <v>0</v>
      </c>
      <c r="Y313" s="545">
        <f>IFERROR(Y308/H308,"0")+IFERROR(Y309/H309,"0")+IFERROR(Y310/H310,"0")+IFERROR(Y311/H311,"0")+IFERROR(Y312/H312,"0")</f>
        <v>0</v>
      </c>
      <c r="Z313" s="545">
        <f>IFERROR(IF(Z308="",0,Z308),"0")+IFERROR(IF(Z309="",0,Z309),"0")+IFERROR(IF(Z310="",0,Z310),"0")+IFERROR(IF(Z311="",0,Z311),"0")+IFERROR(IF(Z312="",0,Z312),"0")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3" t="s">
        <v>71</v>
      </c>
      <c r="Q314" s="548"/>
      <c r="R314" s="548"/>
      <c r="S314" s="548"/>
      <c r="T314" s="548"/>
      <c r="U314" s="548"/>
      <c r="V314" s="549"/>
      <c r="W314" s="37" t="s">
        <v>69</v>
      </c>
      <c r="X314" s="545">
        <f>IFERROR(SUM(X308:X312),"0")</f>
        <v>0</v>
      </c>
      <c r="Y314" s="545">
        <f>IFERROR(SUM(Y308:Y312),"0")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166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hidden="1" customHeight="1" x14ac:dyDescent="0.25">
      <c r="A316" s="54" t="s">
        <v>499</v>
      </c>
      <c r="B316" s="54" t="s">
        <v>500</v>
      </c>
      <c r="C316" s="31">
        <v>4301060387</v>
      </c>
      <c r="D316" s="560">
        <v>4607091380880</v>
      </c>
      <c r="E316" s="561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60">
        <v>4607091384482</v>
      </c>
      <c r="E317" s="561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3">
        <v>850</v>
      </c>
      <c r="Y317" s="544">
        <f>IFERROR(IF(X317="",0,CEILING((X317/$H317),1)*$H317),"")</f>
        <v>850.19999999999993</v>
      </c>
      <c r="Z317" s="36">
        <f>IFERROR(IF(Y317=0,"",ROUNDUP(Y317/H317,0)*0.01898),"")</f>
        <v>2.0688200000000001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906.55769230769238</v>
      </c>
      <c r="BN317" s="64">
        <f>IFERROR(Y317*I317/H317,"0")</f>
        <v>906.77099999999996</v>
      </c>
      <c r="BO317" s="64">
        <f>IFERROR(1/J317*(X317/H317),"0")</f>
        <v>1.702724358974359</v>
      </c>
      <c r="BP317" s="64">
        <f>IFERROR(1/J317*(Y317/H317),"0")</f>
        <v>1.703125</v>
      </c>
    </row>
    <row r="318" spans="1:68" ht="16.5" hidden="1" customHeight="1" x14ac:dyDescent="0.25">
      <c r="A318" s="54" t="s">
        <v>505</v>
      </c>
      <c r="B318" s="54" t="s">
        <v>506</v>
      </c>
      <c r="C318" s="31">
        <v>4301060484</v>
      </c>
      <c r="D318" s="560">
        <v>4607091380897</v>
      </c>
      <c r="E318" s="561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67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1"/>
      <c r="R318" s="551"/>
      <c r="S318" s="551"/>
      <c r="T318" s="552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3" t="s">
        <v>71</v>
      </c>
      <c r="Q319" s="548"/>
      <c r="R319" s="548"/>
      <c r="S319" s="548"/>
      <c r="T319" s="548"/>
      <c r="U319" s="548"/>
      <c r="V319" s="549"/>
      <c r="W319" s="37" t="s">
        <v>72</v>
      </c>
      <c r="X319" s="545">
        <f>IFERROR(X316/H316,"0")+IFERROR(X317/H317,"0")+IFERROR(X318/H318,"0")</f>
        <v>108.97435897435898</v>
      </c>
      <c r="Y319" s="545">
        <f>IFERROR(Y316/H316,"0")+IFERROR(Y317/H317,"0")+IFERROR(Y318/H318,"0")</f>
        <v>109</v>
      </c>
      <c r="Z319" s="545">
        <f>IFERROR(IF(Z316="",0,Z316),"0")+IFERROR(IF(Z317="",0,Z317),"0")+IFERROR(IF(Z318="",0,Z318),"0")</f>
        <v>2.0688200000000001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3" t="s">
        <v>71</v>
      </c>
      <c r="Q320" s="548"/>
      <c r="R320" s="548"/>
      <c r="S320" s="548"/>
      <c r="T320" s="548"/>
      <c r="U320" s="548"/>
      <c r="V320" s="549"/>
      <c r="W320" s="37" t="s">
        <v>69</v>
      </c>
      <c r="X320" s="545">
        <f>IFERROR(SUM(X316:X318),"0")</f>
        <v>850</v>
      </c>
      <c r="Y320" s="545">
        <f>IFERROR(SUM(Y316:Y318),"0")</f>
        <v>850.19999999999993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hidden="1" customHeight="1" x14ac:dyDescent="0.25">
      <c r="A322" s="54" t="s">
        <v>508</v>
      </c>
      <c r="B322" s="54" t="s">
        <v>509</v>
      </c>
      <c r="C322" s="31">
        <v>4301030235</v>
      </c>
      <c r="D322" s="560">
        <v>4607091388381</v>
      </c>
      <c r="E322" s="561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1"/>
      <c r="R322" s="551"/>
      <c r="S322" s="551"/>
      <c r="T322" s="552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4301030232</v>
      </c>
      <c r="D323" s="560">
        <v>4607091388374</v>
      </c>
      <c r="E323" s="561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6" t="s">
        <v>513</v>
      </c>
      <c r="Q323" s="551"/>
      <c r="R323" s="551"/>
      <c r="S323" s="551"/>
      <c r="T323" s="552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60">
        <v>4607091383102</v>
      </c>
      <c r="E324" s="56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517</v>
      </c>
      <c r="B325" s="54" t="s">
        <v>518</v>
      </c>
      <c r="C325" s="31">
        <v>4301030233</v>
      </c>
      <c r="D325" s="560">
        <v>4607091388404</v>
      </c>
      <c r="E325" s="56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0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1"/>
      <c r="R325" s="551"/>
      <c r="S325" s="551"/>
      <c r="T325" s="552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3" t="s">
        <v>71</v>
      </c>
      <c r="Q326" s="548"/>
      <c r="R326" s="548"/>
      <c r="S326" s="548"/>
      <c r="T326" s="548"/>
      <c r="U326" s="548"/>
      <c r="V326" s="549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3" t="s">
        <v>71</v>
      </c>
      <c r="Q327" s="548"/>
      <c r="R327" s="548"/>
      <c r="S327" s="548"/>
      <c r="T327" s="548"/>
      <c r="U327" s="548"/>
      <c r="V327" s="549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519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60">
        <v>4680115881808</v>
      </c>
      <c r="E329" s="56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60">
        <v>4680115881822</v>
      </c>
      <c r="E330" s="56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6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1"/>
      <c r="R330" s="551"/>
      <c r="S330" s="551"/>
      <c r="T330" s="552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60">
        <v>4680115880016</v>
      </c>
      <c r="E331" s="56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8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1"/>
      <c r="R331" s="551"/>
      <c r="S331" s="551"/>
      <c r="T331" s="552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3" t="s">
        <v>71</v>
      </c>
      <c r="Q332" s="548"/>
      <c r="R332" s="548"/>
      <c r="S332" s="548"/>
      <c r="T332" s="548"/>
      <c r="U332" s="548"/>
      <c r="V332" s="549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3" t="s">
        <v>71</v>
      </c>
      <c r="Q333" s="548"/>
      <c r="R333" s="548"/>
      <c r="S333" s="548"/>
      <c r="T333" s="548"/>
      <c r="U333" s="548"/>
      <c r="V333" s="549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99" t="s">
        <v>528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60">
        <v>4607091387919</v>
      </c>
      <c r="E336" s="561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6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1"/>
      <c r="R336" s="551"/>
      <c r="S336" s="551"/>
      <c r="T336" s="552"/>
      <c r="U336" s="34"/>
      <c r="V336" s="34"/>
      <c r="W336" s="35" t="s">
        <v>69</v>
      </c>
      <c r="X336" s="543">
        <v>120</v>
      </c>
      <c r="Y336" s="544">
        <f>IFERROR(IF(X336="",0,CEILING((X336/$H336),1)*$H336),"")</f>
        <v>121.5</v>
      </c>
      <c r="Z336" s="36">
        <f>IFERROR(IF(Y336=0,"",ROUNDUP(Y336/H336,0)*0.01898),"")</f>
        <v>0.28470000000000001</v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127.6888888888889</v>
      </c>
      <c r="BN336" s="64">
        <f>IFERROR(Y336*I336/H336,"0")</f>
        <v>129.285</v>
      </c>
      <c r="BO336" s="64">
        <f>IFERROR(1/J336*(X336/H336),"0")</f>
        <v>0.23148148148148148</v>
      </c>
      <c r="BP336" s="64">
        <f>IFERROR(1/J336*(Y336/H336),"0")</f>
        <v>0.234375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4301051461</v>
      </c>
      <c r="D337" s="560">
        <v>4680115883604</v>
      </c>
      <c r="E337" s="56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535</v>
      </c>
      <c r="B338" s="54" t="s">
        <v>536</v>
      </c>
      <c r="C338" s="31">
        <v>4301051864</v>
      </c>
      <c r="D338" s="560">
        <v>4680115883567</v>
      </c>
      <c r="E338" s="56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5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1"/>
      <c r="R338" s="551"/>
      <c r="S338" s="551"/>
      <c r="T338" s="552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3" t="s">
        <v>71</v>
      </c>
      <c r="Q339" s="548"/>
      <c r="R339" s="548"/>
      <c r="S339" s="548"/>
      <c r="T339" s="548"/>
      <c r="U339" s="548"/>
      <c r="V339" s="549"/>
      <c r="W339" s="37" t="s">
        <v>72</v>
      </c>
      <c r="X339" s="545">
        <f>IFERROR(X336/H336,"0")+IFERROR(X337/H337,"0")+IFERROR(X338/H338,"0")</f>
        <v>14.814814814814815</v>
      </c>
      <c r="Y339" s="545">
        <f>IFERROR(Y336/H336,"0")+IFERROR(Y337/H337,"0")+IFERROR(Y338/H338,"0")</f>
        <v>15</v>
      </c>
      <c r="Z339" s="545">
        <f>IFERROR(IF(Z336="",0,Z336),"0")+IFERROR(IF(Z337="",0,Z337),"0")+IFERROR(IF(Z338="",0,Z338),"0")</f>
        <v>0.28470000000000001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3" t="s">
        <v>71</v>
      </c>
      <c r="Q340" s="548"/>
      <c r="R340" s="548"/>
      <c r="S340" s="548"/>
      <c r="T340" s="548"/>
      <c r="U340" s="548"/>
      <c r="V340" s="549"/>
      <c r="W340" s="37" t="s">
        <v>69</v>
      </c>
      <c r="X340" s="545">
        <f>IFERROR(SUM(X336:X338),"0")</f>
        <v>120</v>
      </c>
      <c r="Y340" s="545">
        <f>IFERROR(SUM(Y336:Y338),"0")</f>
        <v>121.5</v>
      </c>
      <c r="Z340" s="37"/>
      <c r="AA340" s="546"/>
      <c r="AB340" s="546"/>
      <c r="AC340" s="546"/>
    </row>
    <row r="341" spans="1:68" ht="27.75" hidden="1" customHeight="1" x14ac:dyDescent="0.2">
      <c r="A341" s="647" t="s">
        <v>538</v>
      </c>
      <c r="B341" s="648"/>
      <c r="C341" s="648"/>
      <c r="D341" s="648"/>
      <c r="E341" s="648"/>
      <c r="F341" s="648"/>
      <c r="G341" s="648"/>
      <c r="H341" s="648"/>
      <c r="I341" s="648"/>
      <c r="J341" s="648"/>
      <c r="K341" s="648"/>
      <c r="L341" s="648"/>
      <c r="M341" s="648"/>
      <c r="N341" s="648"/>
      <c r="O341" s="648"/>
      <c r="P341" s="648"/>
      <c r="Q341" s="648"/>
      <c r="R341" s="648"/>
      <c r="S341" s="648"/>
      <c r="T341" s="648"/>
      <c r="U341" s="648"/>
      <c r="V341" s="648"/>
      <c r="W341" s="648"/>
      <c r="X341" s="648"/>
      <c r="Y341" s="648"/>
      <c r="Z341" s="648"/>
      <c r="AA341" s="48"/>
      <c r="AB341" s="48"/>
      <c r="AC341" s="48"/>
    </row>
    <row r="342" spans="1:68" ht="16.5" hidden="1" customHeight="1" x14ac:dyDescent="0.25">
      <c r="A342" s="599" t="s">
        <v>539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60">
        <v>4680115884847</v>
      </c>
      <c r="E344" s="561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1"/>
      <c r="R344" s="551"/>
      <c r="S344" s="551"/>
      <c r="T344" s="552"/>
      <c r="U344" s="34"/>
      <c r="V344" s="34"/>
      <c r="W344" s="35" t="s">
        <v>69</v>
      </c>
      <c r="X344" s="543">
        <v>1220</v>
      </c>
      <c r="Y344" s="544">
        <f t="shared" ref="Y344:Y350" si="36">IFERROR(IF(X344="",0,CEILING((X344/$H344),1)*$H344),"")</f>
        <v>1230</v>
      </c>
      <c r="Z344" s="36">
        <f>IFERROR(IF(Y344=0,"",ROUNDUP(Y344/H344,0)*0.02175),"")</f>
        <v>1.7834999999999999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1259.0400000000002</v>
      </c>
      <c r="BN344" s="64">
        <f t="shared" ref="BN344:BN350" si="38">IFERROR(Y344*I344/H344,"0")</f>
        <v>1269.3600000000001</v>
      </c>
      <c r="BO344" s="64">
        <f t="shared" ref="BO344:BO350" si="39">IFERROR(1/J344*(X344/H344),"0")</f>
        <v>1.6944444444444442</v>
      </c>
      <c r="BP344" s="64">
        <f t="shared" ref="BP344:BP350" si="40">IFERROR(1/J344*(Y344/H344),"0")</f>
        <v>1.7083333333333333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60">
        <v>4680115884854</v>
      </c>
      <c r="E345" s="561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3">
        <v>745</v>
      </c>
      <c r="Y345" s="544">
        <f t="shared" si="36"/>
        <v>750</v>
      </c>
      <c r="Z345" s="36">
        <f>IFERROR(IF(Y345=0,"",ROUNDUP(Y345/H345,0)*0.02175),"")</f>
        <v>1.0874999999999999</v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768.84</v>
      </c>
      <c r="BN345" s="64">
        <f t="shared" si="38"/>
        <v>774</v>
      </c>
      <c r="BO345" s="64">
        <f t="shared" si="39"/>
        <v>1.0347222222222221</v>
      </c>
      <c r="BP345" s="64">
        <f t="shared" si="40"/>
        <v>1.0416666666666665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4301011832</v>
      </c>
      <c r="D346" s="560">
        <v>4607091383997</v>
      </c>
      <c r="E346" s="561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1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1"/>
      <c r="R346" s="551"/>
      <c r="S346" s="551"/>
      <c r="T346" s="552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60">
        <v>4680115884830</v>
      </c>
      <c r="E347" s="561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6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1"/>
      <c r="R347" s="551"/>
      <c r="S347" s="551"/>
      <c r="T347" s="552"/>
      <c r="U347" s="34"/>
      <c r="V347" s="34"/>
      <c r="W347" s="35" t="s">
        <v>69</v>
      </c>
      <c r="X347" s="543">
        <v>1200</v>
      </c>
      <c r="Y347" s="544">
        <f t="shared" si="36"/>
        <v>1200</v>
      </c>
      <c r="Z347" s="36">
        <f>IFERROR(IF(Y347=0,"",ROUNDUP(Y347/H347,0)*0.02175),"")</f>
        <v>1.7399999999999998</v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1238.4000000000001</v>
      </c>
      <c r="BN347" s="64">
        <f t="shared" si="38"/>
        <v>1238.4000000000001</v>
      </c>
      <c r="BO347" s="64">
        <f t="shared" si="39"/>
        <v>1.6666666666666665</v>
      </c>
      <c r="BP347" s="64">
        <f t="shared" si="40"/>
        <v>1.6666666666666665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60">
        <v>4680115882638</v>
      </c>
      <c r="E348" s="561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4301011952</v>
      </c>
      <c r="D349" s="560">
        <v>4680115884922</v>
      </c>
      <c r="E349" s="561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557</v>
      </c>
      <c r="B350" s="54" t="s">
        <v>558</v>
      </c>
      <c r="C350" s="31">
        <v>4301011868</v>
      </c>
      <c r="D350" s="560">
        <v>4680115884861</v>
      </c>
      <c r="E350" s="561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1"/>
      <c r="R350" s="551"/>
      <c r="S350" s="551"/>
      <c r="T350" s="552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3" t="s">
        <v>71</v>
      </c>
      <c r="Q351" s="548"/>
      <c r="R351" s="548"/>
      <c r="S351" s="548"/>
      <c r="T351" s="548"/>
      <c r="U351" s="548"/>
      <c r="V351" s="549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211</v>
      </c>
      <c r="Y351" s="545">
        <f>IFERROR(Y344/H344,"0")+IFERROR(Y345/H345,"0")+IFERROR(Y346/H346,"0")+IFERROR(Y347/H347,"0")+IFERROR(Y348/H348,"0")+IFERROR(Y349/H349,"0")+IFERROR(Y350/H350,"0")</f>
        <v>212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4.6109999999999989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3" t="s">
        <v>71</v>
      </c>
      <c r="Q352" s="548"/>
      <c r="R352" s="548"/>
      <c r="S352" s="548"/>
      <c r="T352" s="548"/>
      <c r="U352" s="548"/>
      <c r="V352" s="549"/>
      <c r="W352" s="37" t="s">
        <v>69</v>
      </c>
      <c r="X352" s="545">
        <f>IFERROR(SUM(X344:X350),"0")</f>
        <v>3165</v>
      </c>
      <c r="Y352" s="545">
        <f>IFERROR(SUM(Y344:Y350),"0")</f>
        <v>3180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60">
        <v>4607091383980</v>
      </c>
      <c r="E354" s="561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6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1"/>
      <c r="R354" s="551"/>
      <c r="S354" s="551"/>
      <c r="T354" s="552"/>
      <c r="U354" s="34"/>
      <c r="V354" s="34"/>
      <c r="W354" s="35" t="s">
        <v>69</v>
      </c>
      <c r="X354" s="543">
        <v>540</v>
      </c>
      <c r="Y354" s="544">
        <f>IFERROR(IF(X354="",0,CEILING((X354/$H354),1)*$H354),"")</f>
        <v>540</v>
      </c>
      <c r="Z354" s="36">
        <f>IFERROR(IF(Y354=0,"",ROUNDUP(Y354/H354,0)*0.02175),"")</f>
        <v>0.78299999999999992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557.28000000000009</v>
      </c>
      <c r="BN354" s="64">
        <f>IFERROR(Y354*I354/H354,"0")</f>
        <v>557.28000000000009</v>
      </c>
      <c r="BO354" s="64">
        <f>IFERROR(1/J354*(X354/H354),"0")</f>
        <v>0.75</v>
      </c>
      <c r="BP354" s="64">
        <f>IFERROR(1/J354*(Y354/H354),"0")</f>
        <v>0.75</v>
      </c>
    </row>
    <row r="355" spans="1:68" ht="16.5" hidden="1" customHeight="1" x14ac:dyDescent="0.25">
      <c r="A355" s="54" t="s">
        <v>562</v>
      </c>
      <c r="B355" s="54" t="s">
        <v>563</v>
      </c>
      <c r="C355" s="31">
        <v>4301020179</v>
      </c>
      <c r="D355" s="560">
        <v>4607091384178</v>
      </c>
      <c r="E355" s="561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1"/>
      <c r="R355" s="551"/>
      <c r="S355" s="551"/>
      <c r="T355" s="552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3" t="s">
        <v>71</v>
      </c>
      <c r="Q356" s="548"/>
      <c r="R356" s="548"/>
      <c r="S356" s="548"/>
      <c r="T356" s="548"/>
      <c r="U356" s="548"/>
      <c r="V356" s="549"/>
      <c r="W356" s="37" t="s">
        <v>72</v>
      </c>
      <c r="X356" s="545">
        <f>IFERROR(X354/H354,"0")+IFERROR(X355/H355,"0")</f>
        <v>36</v>
      </c>
      <c r="Y356" s="545">
        <f>IFERROR(Y354/H354,"0")+IFERROR(Y355/H355,"0")</f>
        <v>36</v>
      </c>
      <c r="Z356" s="545">
        <f>IFERROR(IF(Z354="",0,Z354),"0")+IFERROR(IF(Z355="",0,Z355),"0")</f>
        <v>0.78299999999999992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3" t="s">
        <v>71</v>
      </c>
      <c r="Q357" s="548"/>
      <c r="R357" s="548"/>
      <c r="S357" s="548"/>
      <c r="T357" s="548"/>
      <c r="U357" s="548"/>
      <c r="V357" s="549"/>
      <c r="W357" s="37" t="s">
        <v>69</v>
      </c>
      <c r="X357" s="545">
        <f>IFERROR(SUM(X354:X355),"0")</f>
        <v>540</v>
      </c>
      <c r="Y357" s="545">
        <f>IFERROR(SUM(Y354:Y355),"0")</f>
        <v>540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60">
        <v>4607091383928</v>
      </c>
      <c r="E359" s="561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3">
        <v>500</v>
      </c>
      <c r="Y359" s="544">
        <f>IFERROR(IF(X359="",0,CEILING((X359/$H359),1)*$H359),"")</f>
        <v>504</v>
      </c>
      <c r="Z359" s="36">
        <f>IFERROR(IF(Y359=0,"",ROUNDUP(Y359/H359,0)*0.01898),"")</f>
        <v>1.06288</v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529.16666666666663</v>
      </c>
      <c r="BN359" s="64">
        <f>IFERROR(Y359*I359/H359,"0")</f>
        <v>533.40000000000009</v>
      </c>
      <c r="BO359" s="64">
        <f>IFERROR(1/J359*(X359/H359),"0")</f>
        <v>0.86805555555555558</v>
      </c>
      <c r="BP359" s="64">
        <f>IFERROR(1/J359*(Y359/H359),"0")</f>
        <v>0.875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60">
        <v>4607091384260</v>
      </c>
      <c r="E360" s="561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55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1"/>
      <c r="R360" s="551"/>
      <c r="S360" s="551"/>
      <c r="T360" s="552"/>
      <c r="U360" s="34"/>
      <c r="V360" s="34"/>
      <c r="W360" s="35" t="s">
        <v>69</v>
      </c>
      <c r="X360" s="543">
        <v>108</v>
      </c>
      <c r="Y360" s="544">
        <f>IFERROR(IF(X360="",0,CEILING((X360/$H360),1)*$H360),"")</f>
        <v>108</v>
      </c>
      <c r="Z360" s="36">
        <f>IFERROR(IF(Y360=0,"",ROUNDUP(Y360/H360,0)*0.01898),"")</f>
        <v>0.22776000000000002</v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114.22799999999999</v>
      </c>
      <c r="BN360" s="64">
        <f>IFERROR(Y360*I360/H360,"0")</f>
        <v>114.22799999999999</v>
      </c>
      <c r="BO360" s="64">
        <f>IFERROR(1/J360*(X360/H360),"0")</f>
        <v>0.1875</v>
      </c>
      <c r="BP360" s="64">
        <f>IFERROR(1/J360*(Y360/H360),"0")</f>
        <v>0.1875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3" t="s">
        <v>71</v>
      </c>
      <c r="Q361" s="548"/>
      <c r="R361" s="548"/>
      <c r="S361" s="548"/>
      <c r="T361" s="548"/>
      <c r="U361" s="548"/>
      <c r="V361" s="549"/>
      <c r="W361" s="37" t="s">
        <v>72</v>
      </c>
      <c r="X361" s="545">
        <f>IFERROR(X359/H359,"0")+IFERROR(X360/H360,"0")</f>
        <v>67.555555555555557</v>
      </c>
      <c r="Y361" s="545">
        <f>IFERROR(Y359/H359,"0")+IFERROR(Y360/H360,"0")</f>
        <v>68</v>
      </c>
      <c r="Z361" s="545">
        <f>IFERROR(IF(Z359="",0,Z359),"0")+IFERROR(IF(Z360="",0,Z360),"0")</f>
        <v>1.29064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3" t="s">
        <v>71</v>
      </c>
      <c r="Q362" s="548"/>
      <c r="R362" s="548"/>
      <c r="S362" s="548"/>
      <c r="T362" s="548"/>
      <c r="U362" s="548"/>
      <c r="V362" s="549"/>
      <c r="W362" s="37" t="s">
        <v>69</v>
      </c>
      <c r="X362" s="545">
        <f>IFERROR(SUM(X359:X360),"0")</f>
        <v>608</v>
      </c>
      <c r="Y362" s="545">
        <f>IFERROR(SUM(Y359:Y360),"0")</f>
        <v>612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166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hidden="1" customHeight="1" x14ac:dyDescent="0.25">
      <c r="A364" s="54" t="s">
        <v>570</v>
      </c>
      <c r="B364" s="54" t="s">
        <v>571</v>
      </c>
      <c r="C364" s="31">
        <v>4301060524</v>
      </c>
      <c r="D364" s="560">
        <v>4607091384673</v>
      </c>
      <c r="E364" s="561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6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1"/>
      <c r="R364" s="551"/>
      <c r="S364" s="551"/>
      <c r="T364" s="552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3" t="s">
        <v>71</v>
      </c>
      <c r="Q365" s="548"/>
      <c r="R365" s="548"/>
      <c r="S365" s="548"/>
      <c r="T365" s="548"/>
      <c r="U365" s="548"/>
      <c r="V365" s="549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3" t="s">
        <v>71</v>
      </c>
      <c r="Q366" s="548"/>
      <c r="R366" s="548"/>
      <c r="S366" s="548"/>
      <c r="T366" s="548"/>
      <c r="U366" s="548"/>
      <c r="V366" s="549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99" t="s">
        <v>573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hidden="1" customHeight="1" x14ac:dyDescent="0.25">
      <c r="A369" s="54" t="s">
        <v>574</v>
      </c>
      <c r="B369" s="54" t="s">
        <v>575</v>
      </c>
      <c r="C369" s="31">
        <v>4301011875</v>
      </c>
      <c r="D369" s="560">
        <v>4680115884885</v>
      </c>
      <c r="E369" s="561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60">
        <v>4680115884908</v>
      </c>
      <c r="E370" s="561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58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1"/>
      <c r="R370" s="551"/>
      <c r="S370" s="551"/>
      <c r="T370" s="552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3" t="s">
        <v>71</v>
      </c>
      <c r="Q371" s="548"/>
      <c r="R371" s="548"/>
      <c r="S371" s="548"/>
      <c r="T371" s="548"/>
      <c r="U371" s="548"/>
      <c r="V371" s="549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3" t="s">
        <v>71</v>
      </c>
      <c r="Q372" s="548"/>
      <c r="R372" s="548"/>
      <c r="S372" s="548"/>
      <c r="T372" s="548"/>
      <c r="U372" s="548"/>
      <c r="V372" s="549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hidden="1" customHeight="1" x14ac:dyDescent="0.25">
      <c r="A374" s="54" t="s">
        <v>579</v>
      </c>
      <c r="B374" s="54" t="s">
        <v>580</v>
      </c>
      <c r="C374" s="31">
        <v>4301031303</v>
      </c>
      <c r="D374" s="560">
        <v>4607091384802</v>
      </c>
      <c r="E374" s="561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1"/>
      <c r="R374" s="551"/>
      <c r="S374" s="551"/>
      <c r="T374" s="552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60">
        <v>4607091384802</v>
      </c>
      <c r="E375" s="561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1"/>
      <c r="R375" s="551"/>
      <c r="S375" s="551"/>
      <c r="T375" s="552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3" t="s">
        <v>71</v>
      </c>
      <c r="Q376" s="548"/>
      <c r="R376" s="548"/>
      <c r="S376" s="548"/>
      <c r="T376" s="548"/>
      <c r="U376" s="548"/>
      <c r="V376" s="549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3" t="s">
        <v>71</v>
      </c>
      <c r="Q377" s="548"/>
      <c r="R377" s="548"/>
      <c r="S377" s="548"/>
      <c r="T377" s="548"/>
      <c r="U377" s="548"/>
      <c r="V377" s="549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60">
        <v>4607091384246</v>
      </c>
      <c r="E379" s="561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8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3">
        <v>2840</v>
      </c>
      <c r="Y379" s="544">
        <f>IFERROR(IF(X379="",0,CEILING((X379/$H379),1)*$H379),"")</f>
        <v>2844</v>
      </c>
      <c r="Z379" s="36">
        <f>IFERROR(IF(Y379=0,"",ROUNDUP(Y379/H379,0)*0.01898),"")</f>
        <v>5.9976799999999999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3003.7733333333331</v>
      </c>
      <c r="BN379" s="64">
        <f>IFERROR(Y379*I379/H379,"0")</f>
        <v>3008.0039999999999</v>
      </c>
      <c r="BO379" s="64">
        <f>IFERROR(1/J379*(X379/H379),"0")</f>
        <v>4.9305555555555554</v>
      </c>
      <c r="BP379" s="64">
        <f>IFERROR(1/J379*(Y379/H379),"0")</f>
        <v>4.9375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4301051660</v>
      </c>
      <c r="D380" s="560">
        <v>4607091384253</v>
      </c>
      <c r="E380" s="56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1"/>
      <c r="R380" s="551"/>
      <c r="S380" s="551"/>
      <c r="T380" s="552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3" t="s">
        <v>71</v>
      </c>
      <c r="Q381" s="548"/>
      <c r="R381" s="548"/>
      <c r="S381" s="548"/>
      <c r="T381" s="548"/>
      <c r="U381" s="548"/>
      <c r="V381" s="549"/>
      <c r="W381" s="37" t="s">
        <v>72</v>
      </c>
      <c r="X381" s="545">
        <f>IFERROR(X379/H379,"0")+IFERROR(X380/H380,"0")</f>
        <v>315.55555555555554</v>
      </c>
      <c r="Y381" s="545">
        <f>IFERROR(Y379/H379,"0")+IFERROR(Y380/H380,"0")</f>
        <v>316</v>
      </c>
      <c r="Z381" s="545">
        <f>IFERROR(IF(Z379="",0,Z379),"0")+IFERROR(IF(Z380="",0,Z380),"0")</f>
        <v>5.9976799999999999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3" t="s">
        <v>71</v>
      </c>
      <c r="Q382" s="548"/>
      <c r="R382" s="548"/>
      <c r="S382" s="548"/>
      <c r="T382" s="548"/>
      <c r="U382" s="548"/>
      <c r="V382" s="549"/>
      <c r="W382" s="37" t="s">
        <v>69</v>
      </c>
      <c r="X382" s="545">
        <f>IFERROR(SUM(X379:X380),"0")</f>
        <v>2840</v>
      </c>
      <c r="Y382" s="545">
        <f>IFERROR(SUM(Y379:Y380),"0")</f>
        <v>2844</v>
      </c>
      <c r="Z382" s="37"/>
      <c r="AA382" s="546"/>
      <c r="AB382" s="546"/>
      <c r="AC382" s="546"/>
    </row>
    <row r="383" spans="1:68" ht="27.75" hidden="1" customHeight="1" x14ac:dyDescent="0.2">
      <c r="A383" s="647" t="s">
        <v>589</v>
      </c>
      <c r="B383" s="648"/>
      <c r="C383" s="648"/>
      <c r="D383" s="648"/>
      <c r="E383" s="648"/>
      <c r="F383" s="648"/>
      <c r="G383" s="648"/>
      <c r="H383" s="648"/>
      <c r="I383" s="648"/>
      <c r="J383" s="648"/>
      <c r="K383" s="648"/>
      <c r="L383" s="648"/>
      <c r="M383" s="648"/>
      <c r="N383" s="648"/>
      <c r="O383" s="648"/>
      <c r="P383" s="648"/>
      <c r="Q383" s="648"/>
      <c r="R383" s="648"/>
      <c r="S383" s="648"/>
      <c r="T383" s="648"/>
      <c r="U383" s="648"/>
      <c r="V383" s="648"/>
      <c r="W383" s="648"/>
      <c r="X383" s="648"/>
      <c r="Y383" s="648"/>
      <c r="Z383" s="648"/>
      <c r="AA383" s="48"/>
      <c r="AB383" s="48"/>
      <c r="AC383" s="48"/>
    </row>
    <row r="384" spans="1:68" ht="16.5" hidden="1" customHeight="1" x14ac:dyDescent="0.25">
      <c r="A384" s="599" t="s">
        <v>590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60">
        <v>4680115886100</v>
      </c>
      <c r="E386" s="561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3">
        <v>160</v>
      </c>
      <c r="Y386" s="544">
        <f t="shared" ref="Y386:Y394" si="41">IFERROR(IF(X386="",0,CEILING((X386/$H386),1)*$H386),"")</f>
        <v>162</v>
      </c>
      <c r="Z386" s="36">
        <f>IFERROR(IF(Y386=0,"",ROUNDUP(Y386/H386,0)*0.00902),"")</f>
        <v>0.27060000000000001</v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166.22222222222223</v>
      </c>
      <c r="BN386" s="64">
        <f t="shared" ref="BN386:BN394" si="43">IFERROR(Y386*I386/H386,"0")</f>
        <v>168.3</v>
      </c>
      <c r="BO386" s="64">
        <f t="shared" ref="BO386:BO394" si="44">IFERROR(1/J386*(X386/H386),"0")</f>
        <v>0.22446689113355778</v>
      </c>
      <c r="BP386" s="64">
        <f t="shared" ref="BP386:BP394" si="45">IFERROR(1/J386*(Y386/H386),"0")</f>
        <v>0.22727272727272727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4301031406</v>
      </c>
      <c r="D387" s="560">
        <v>4680115886117</v>
      </c>
      <c r="E387" s="561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60">
        <v>4680115886124</v>
      </c>
      <c r="E388" s="561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3">
        <v>95</v>
      </c>
      <c r="Y388" s="544">
        <f t="shared" si="41"/>
        <v>97.2</v>
      </c>
      <c r="Z388" s="36">
        <f>IFERROR(IF(Y388=0,"",ROUNDUP(Y388/H388,0)*0.00902),"")</f>
        <v>0.16236</v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98.694444444444443</v>
      </c>
      <c r="BN388" s="64">
        <f t="shared" si="43"/>
        <v>100.98</v>
      </c>
      <c r="BO388" s="64">
        <f t="shared" si="44"/>
        <v>0.13327721661054995</v>
      </c>
      <c r="BP388" s="64">
        <f t="shared" si="45"/>
        <v>0.13636363636363635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60">
        <v>4680115883147</v>
      </c>
      <c r="E389" s="56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1"/>
      <c r="R389" s="551"/>
      <c r="S389" s="551"/>
      <c r="T389" s="552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4301031362</v>
      </c>
      <c r="D390" s="560">
        <v>4607091384338</v>
      </c>
      <c r="E390" s="56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60">
        <v>4607091389524</v>
      </c>
      <c r="E391" s="56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1"/>
      <c r="R391" s="551"/>
      <c r="S391" s="551"/>
      <c r="T391" s="552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60">
        <v>4680115883161</v>
      </c>
      <c r="E392" s="56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1"/>
      <c r="R392" s="551"/>
      <c r="S392" s="551"/>
      <c r="T392" s="552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60">
        <v>4607091389531</v>
      </c>
      <c r="E393" s="56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60">
        <v>4607091384345</v>
      </c>
      <c r="E394" s="56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1"/>
      <c r="R394" s="551"/>
      <c r="S394" s="551"/>
      <c r="T394" s="552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3" t="s">
        <v>71</v>
      </c>
      <c r="Q395" s="548"/>
      <c r="R395" s="548"/>
      <c r="S395" s="548"/>
      <c r="T395" s="548"/>
      <c r="U395" s="548"/>
      <c r="V395" s="549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47.222222222222214</v>
      </c>
      <c r="Y395" s="545">
        <f>IFERROR(Y386/H386,"0")+IFERROR(Y387/H387,"0")+IFERROR(Y388/H388,"0")+IFERROR(Y389/H389,"0")+IFERROR(Y390/H390,"0")+IFERROR(Y391/H391,"0")+IFERROR(Y392/H392,"0")+IFERROR(Y393/H393,"0")+IFERROR(Y394/H394,"0")</f>
        <v>48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0.43296000000000001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3" t="s">
        <v>71</v>
      </c>
      <c r="Q396" s="548"/>
      <c r="R396" s="548"/>
      <c r="S396" s="548"/>
      <c r="T396" s="548"/>
      <c r="U396" s="548"/>
      <c r="V396" s="549"/>
      <c r="W396" s="37" t="s">
        <v>69</v>
      </c>
      <c r="X396" s="545">
        <f>IFERROR(SUM(X386:X394),"0")</f>
        <v>255</v>
      </c>
      <c r="Y396" s="545">
        <f>IFERROR(SUM(Y386:Y394),"0")</f>
        <v>259.2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60">
        <v>4607091384352</v>
      </c>
      <c r="E398" s="561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6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60">
        <v>4607091389654</v>
      </c>
      <c r="E399" s="56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6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1"/>
      <c r="R399" s="551"/>
      <c r="S399" s="551"/>
      <c r="T399" s="552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3" t="s">
        <v>71</v>
      </c>
      <c r="Q400" s="548"/>
      <c r="R400" s="548"/>
      <c r="S400" s="548"/>
      <c r="T400" s="548"/>
      <c r="U400" s="548"/>
      <c r="V400" s="549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3" t="s">
        <v>71</v>
      </c>
      <c r="Q401" s="548"/>
      <c r="R401" s="548"/>
      <c r="S401" s="548"/>
      <c r="T401" s="548"/>
      <c r="U401" s="548"/>
      <c r="V401" s="549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99" t="s">
        <v>621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60">
        <v>4680115885240</v>
      </c>
      <c r="E404" s="56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1"/>
      <c r="R404" s="551"/>
      <c r="S404" s="551"/>
      <c r="T404" s="552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3" t="s">
        <v>71</v>
      </c>
      <c r="Q405" s="548"/>
      <c r="R405" s="548"/>
      <c r="S405" s="548"/>
      <c r="T405" s="548"/>
      <c r="U405" s="548"/>
      <c r="V405" s="549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3" t="s">
        <v>71</v>
      </c>
      <c r="Q406" s="548"/>
      <c r="R406" s="548"/>
      <c r="S406" s="548"/>
      <c r="T406" s="548"/>
      <c r="U406" s="548"/>
      <c r="V406" s="549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60">
        <v>4680115886094</v>
      </c>
      <c r="E408" s="561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6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3">
        <v>220</v>
      </c>
      <c r="Y408" s="544">
        <f>IFERROR(IF(X408="",0,CEILING((X408/$H408),1)*$H408),"")</f>
        <v>221.4</v>
      </c>
      <c r="Z408" s="36">
        <f>IFERROR(IF(Y408=0,"",ROUNDUP(Y408/H408,0)*0.00902),"")</f>
        <v>0.36982000000000004</v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228.55555555555554</v>
      </c>
      <c r="BN408" s="64">
        <f>IFERROR(Y408*I408/H408,"0")</f>
        <v>230.01</v>
      </c>
      <c r="BO408" s="64">
        <f>IFERROR(1/J408*(X408/H408),"0")</f>
        <v>0.30864197530864196</v>
      </c>
      <c r="BP408" s="64">
        <f>IFERROR(1/J408*(Y408/H408),"0")</f>
        <v>0.31060606060606061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60">
        <v>4607091389425</v>
      </c>
      <c r="E409" s="56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0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1"/>
      <c r="R409" s="551"/>
      <c r="S409" s="551"/>
      <c r="T409" s="552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60">
        <v>4680115880771</v>
      </c>
      <c r="E410" s="56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6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60">
        <v>4607091389500</v>
      </c>
      <c r="E411" s="56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1"/>
      <c r="R411" s="551"/>
      <c r="S411" s="551"/>
      <c r="T411" s="552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3" t="s">
        <v>71</v>
      </c>
      <c r="Q412" s="548"/>
      <c r="R412" s="548"/>
      <c r="S412" s="548"/>
      <c r="T412" s="548"/>
      <c r="U412" s="548"/>
      <c r="V412" s="549"/>
      <c r="W412" s="37" t="s">
        <v>72</v>
      </c>
      <c r="X412" s="545">
        <f>IFERROR(X408/H408,"0")+IFERROR(X409/H409,"0")+IFERROR(X410/H410,"0")+IFERROR(X411/H411,"0")</f>
        <v>40.74074074074074</v>
      </c>
      <c r="Y412" s="545">
        <f>IFERROR(Y408/H408,"0")+IFERROR(Y409/H409,"0")+IFERROR(Y410/H410,"0")+IFERROR(Y411/H411,"0")</f>
        <v>41</v>
      </c>
      <c r="Z412" s="545">
        <f>IFERROR(IF(Z408="",0,Z408),"0")+IFERROR(IF(Z409="",0,Z409),"0")+IFERROR(IF(Z410="",0,Z410),"0")+IFERROR(IF(Z411="",0,Z411),"0")</f>
        <v>0.36982000000000004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3" t="s">
        <v>71</v>
      </c>
      <c r="Q413" s="548"/>
      <c r="R413" s="548"/>
      <c r="S413" s="548"/>
      <c r="T413" s="548"/>
      <c r="U413" s="548"/>
      <c r="V413" s="549"/>
      <c r="W413" s="37" t="s">
        <v>69</v>
      </c>
      <c r="X413" s="545">
        <f>IFERROR(SUM(X408:X411),"0")</f>
        <v>220</v>
      </c>
      <c r="Y413" s="545">
        <f>IFERROR(SUM(Y408:Y411),"0")</f>
        <v>221.4</v>
      </c>
      <c r="Z413" s="37"/>
      <c r="AA413" s="546"/>
      <c r="AB413" s="546"/>
      <c r="AC413" s="546"/>
    </row>
    <row r="414" spans="1:68" ht="16.5" hidden="1" customHeight="1" x14ac:dyDescent="0.25">
      <c r="A414" s="599" t="s">
        <v>636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60">
        <v>4680115885110</v>
      </c>
      <c r="E416" s="56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1"/>
      <c r="R416" s="551"/>
      <c r="S416" s="551"/>
      <c r="T416" s="552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3" t="s">
        <v>71</v>
      </c>
      <c r="Q417" s="548"/>
      <c r="R417" s="548"/>
      <c r="S417" s="548"/>
      <c r="T417" s="548"/>
      <c r="U417" s="548"/>
      <c r="V417" s="549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3" t="s">
        <v>71</v>
      </c>
      <c r="Q418" s="548"/>
      <c r="R418" s="548"/>
      <c r="S418" s="548"/>
      <c r="T418" s="548"/>
      <c r="U418" s="548"/>
      <c r="V418" s="549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647" t="s">
        <v>640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48"/>
      <c r="AB419" s="48"/>
      <c r="AC419" s="48"/>
    </row>
    <row r="420" spans="1:68" ht="16.5" hidden="1" customHeight="1" x14ac:dyDescent="0.25">
      <c r="A420" s="599" t="s">
        <v>640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60">
        <v>4607091389067</v>
      </c>
      <c r="E422" s="561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1"/>
      <c r="R422" s="551"/>
      <c r="S422" s="551"/>
      <c r="T422" s="552"/>
      <c r="U422" s="34"/>
      <c r="V422" s="34"/>
      <c r="W422" s="35" t="s">
        <v>69</v>
      </c>
      <c r="X422" s="543">
        <v>360</v>
      </c>
      <c r="Y422" s="544">
        <f t="shared" ref="Y422:Y432" si="47">IFERROR(IF(X422="",0,CEILING((X422/$H422),1)*$H422),"")</f>
        <v>364.32</v>
      </c>
      <c r="Z422" s="36">
        <f t="shared" ref="Z422:Z427" si="48">IFERROR(IF(Y422=0,"",ROUNDUP(Y422/H422,0)*0.01196),"")</f>
        <v>0.82523999999999997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384.5454545454545</v>
      </c>
      <c r="BN422" s="64">
        <f t="shared" ref="BN422:BN432" si="50">IFERROR(Y422*I422/H422,"0")</f>
        <v>389.15999999999997</v>
      </c>
      <c r="BO422" s="64">
        <f t="shared" ref="BO422:BO432" si="51">IFERROR(1/J422*(X422/H422),"0")</f>
        <v>0.65559440559440552</v>
      </c>
      <c r="BP422" s="64">
        <f t="shared" ref="BP422:BP432" si="52">IFERROR(1/J422*(Y422/H422),"0")</f>
        <v>0.66346153846153855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60">
        <v>4680115885271</v>
      </c>
      <c r="E423" s="561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8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3">
        <v>125</v>
      </c>
      <c r="Y423" s="544">
        <f t="shared" si="47"/>
        <v>126.72</v>
      </c>
      <c r="Z423" s="36">
        <f t="shared" si="48"/>
        <v>0.28704000000000002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133.52272727272728</v>
      </c>
      <c r="BN423" s="64">
        <f t="shared" si="50"/>
        <v>135.35999999999999</v>
      </c>
      <c r="BO423" s="64">
        <f t="shared" si="51"/>
        <v>0.22763694638694637</v>
      </c>
      <c r="BP423" s="64">
        <f t="shared" si="52"/>
        <v>0.23076923076923078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60">
        <v>4680115885226</v>
      </c>
      <c r="E424" s="561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1"/>
      <c r="R424" s="551"/>
      <c r="S424" s="551"/>
      <c r="T424" s="552"/>
      <c r="U424" s="34"/>
      <c r="V424" s="34"/>
      <c r="W424" s="35" t="s">
        <v>69</v>
      </c>
      <c r="X424" s="543">
        <v>510</v>
      </c>
      <c r="Y424" s="544">
        <f t="shared" si="47"/>
        <v>512.16</v>
      </c>
      <c r="Z424" s="36">
        <f t="shared" si="48"/>
        <v>1.16012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544.77272727272714</v>
      </c>
      <c r="BN424" s="64">
        <f t="shared" si="50"/>
        <v>547.07999999999993</v>
      </c>
      <c r="BO424" s="64">
        <f t="shared" si="51"/>
        <v>0.92875874125874125</v>
      </c>
      <c r="BP424" s="64">
        <f t="shared" si="52"/>
        <v>0.9326923076923076</v>
      </c>
    </row>
    <row r="425" spans="1:68" ht="27" hidden="1" customHeight="1" x14ac:dyDescent="0.25">
      <c r="A425" s="54" t="s">
        <v>649</v>
      </c>
      <c r="B425" s="54" t="s">
        <v>650</v>
      </c>
      <c r="C425" s="31">
        <v>4301012145</v>
      </c>
      <c r="D425" s="560">
        <v>4607091383522</v>
      </c>
      <c r="E425" s="561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5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1"/>
      <c r="R425" s="551"/>
      <c r="S425" s="551"/>
      <c r="T425" s="552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60">
        <v>4680115884502</v>
      </c>
      <c r="E426" s="561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60">
        <v>4607091389104</v>
      </c>
      <c r="E427" s="561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6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1"/>
      <c r="R427" s="551"/>
      <c r="S427" s="551"/>
      <c r="T427" s="552"/>
      <c r="U427" s="34"/>
      <c r="V427" s="34"/>
      <c r="W427" s="35" t="s">
        <v>69</v>
      </c>
      <c r="X427" s="543">
        <v>1955</v>
      </c>
      <c r="Y427" s="544">
        <f t="shared" si="47"/>
        <v>1958.88</v>
      </c>
      <c r="Z427" s="36">
        <f t="shared" si="48"/>
        <v>4.4371600000000004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2088.295454545454</v>
      </c>
      <c r="BN427" s="64">
        <f t="shared" si="50"/>
        <v>2092.4399999999996</v>
      </c>
      <c r="BO427" s="64">
        <f t="shared" si="51"/>
        <v>3.5602418414918415</v>
      </c>
      <c r="BP427" s="64">
        <f t="shared" si="52"/>
        <v>3.5673076923076925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60">
        <v>4680115886391</v>
      </c>
      <c r="E428" s="56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7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1"/>
      <c r="R428" s="551"/>
      <c r="S428" s="551"/>
      <c r="T428" s="552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4301012035</v>
      </c>
      <c r="D429" s="560">
        <v>4680115880603</v>
      </c>
      <c r="E429" s="561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9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60">
        <v>4680115882782</v>
      </c>
      <c r="E430" s="56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60">
        <v>4680115885479</v>
      </c>
      <c r="E431" s="56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60">
        <v>4607091389982</v>
      </c>
      <c r="E432" s="561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1"/>
      <c r="R432" s="551"/>
      <c r="S432" s="551"/>
      <c r="T432" s="552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3" t="s">
        <v>71</v>
      </c>
      <c r="Q433" s="548"/>
      <c r="R433" s="548"/>
      <c r="S433" s="548"/>
      <c r="T433" s="548"/>
      <c r="U433" s="548"/>
      <c r="V433" s="549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558.71212121212125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561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6.7095600000000006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3" t="s">
        <v>71</v>
      </c>
      <c r="Q434" s="548"/>
      <c r="R434" s="548"/>
      <c r="S434" s="548"/>
      <c r="T434" s="548"/>
      <c r="U434" s="548"/>
      <c r="V434" s="549"/>
      <c r="W434" s="37" t="s">
        <v>69</v>
      </c>
      <c r="X434" s="545">
        <f>IFERROR(SUM(X422:X432),"0")</f>
        <v>2950</v>
      </c>
      <c r="Y434" s="545">
        <f>IFERROR(SUM(Y422:Y432),"0")</f>
        <v>2962.08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60">
        <v>4607091388930</v>
      </c>
      <c r="E436" s="561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1"/>
      <c r="R436" s="551"/>
      <c r="S436" s="551"/>
      <c r="T436" s="552"/>
      <c r="U436" s="34"/>
      <c r="V436" s="34"/>
      <c r="W436" s="35" t="s">
        <v>69</v>
      </c>
      <c r="X436" s="543">
        <v>1080</v>
      </c>
      <c r="Y436" s="544">
        <f>IFERROR(IF(X436="",0,CEILING((X436/$H436),1)*$H436),"")</f>
        <v>1082.4000000000001</v>
      </c>
      <c r="Z436" s="36">
        <f>IFERROR(IF(Y436=0,"",ROUNDUP(Y436/H436,0)*0.01196),"")</f>
        <v>2.4518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1153.6363636363635</v>
      </c>
      <c r="BN436" s="64">
        <f>IFERROR(Y436*I436/H436,"0")</f>
        <v>1156.1999999999998</v>
      </c>
      <c r="BO436" s="64">
        <f>IFERROR(1/J436*(X436/H436),"0")</f>
        <v>1.9667832167832167</v>
      </c>
      <c r="BP436" s="64">
        <f>IFERROR(1/J436*(Y436/H436),"0")</f>
        <v>1.9711538461538463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60">
        <v>4680115886407</v>
      </c>
      <c r="E437" s="56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81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1"/>
      <c r="R437" s="551"/>
      <c r="S437" s="551"/>
      <c r="T437" s="552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60">
        <v>4680115880054</v>
      </c>
      <c r="E438" s="561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4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1"/>
      <c r="R438" s="551"/>
      <c r="S438" s="551"/>
      <c r="T438" s="552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3" t="s">
        <v>71</v>
      </c>
      <c r="Q439" s="548"/>
      <c r="R439" s="548"/>
      <c r="S439" s="548"/>
      <c r="T439" s="548"/>
      <c r="U439" s="548"/>
      <c r="V439" s="549"/>
      <c r="W439" s="37" t="s">
        <v>72</v>
      </c>
      <c r="X439" s="545">
        <f>IFERROR(X436/H436,"0")+IFERROR(X437/H437,"0")+IFERROR(X438/H438,"0")</f>
        <v>204.54545454545453</v>
      </c>
      <c r="Y439" s="545">
        <f>IFERROR(Y436/H436,"0")+IFERROR(Y437/H437,"0")+IFERROR(Y438/H438,"0")</f>
        <v>205</v>
      </c>
      <c r="Z439" s="545">
        <f>IFERROR(IF(Z436="",0,Z436),"0")+IFERROR(IF(Z437="",0,Z437),"0")+IFERROR(IF(Z438="",0,Z438),"0")</f>
        <v>2.4518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3" t="s">
        <v>71</v>
      </c>
      <c r="Q440" s="548"/>
      <c r="R440" s="548"/>
      <c r="S440" s="548"/>
      <c r="T440" s="548"/>
      <c r="U440" s="548"/>
      <c r="V440" s="549"/>
      <c r="W440" s="37" t="s">
        <v>69</v>
      </c>
      <c r="X440" s="545">
        <f>IFERROR(SUM(X436:X438),"0")</f>
        <v>1080</v>
      </c>
      <c r="Y440" s="545">
        <f>IFERROR(SUM(Y436:Y438),"0")</f>
        <v>1082.4000000000001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60">
        <v>4680115883116</v>
      </c>
      <c r="E442" s="561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3">
        <v>300</v>
      </c>
      <c r="Y442" s="544">
        <f t="shared" ref="Y442:Y447" si="53">IFERROR(IF(X442="",0,CEILING((X442/$H442),1)*$H442),"")</f>
        <v>300.96000000000004</v>
      </c>
      <c r="Z442" s="36">
        <f>IFERROR(IF(Y442=0,"",ROUNDUP(Y442/H442,0)*0.01196),"")</f>
        <v>0.68171999999999999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320.45454545454544</v>
      </c>
      <c r="BN442" s="64">
        <f t="shared" ref="BN442:BN447" si="55">IFERROR(Y442*I442/H442,"0")</f>
        <v>321.48</v>
      </c>
      <c r="BO442" s="64">
        <f t="shared" ref="BO442:BO447" si="56">IFERROR(1/J442*(X442/H442),"0")</f>
        <v>0.54632867132867136</v>
      </c>
      <c r="BP442" s="64">
        <f t="shared" ref="BP442:BP447" si="57">IFERROR(1/J442*(Y442/H442),"0")</f>
        <v>0.54807692307692313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60">
        <v>4680115883093</v>
      </c>
      <c r="E443" s="561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3">
        <v>545</v>
      </c>
      <c r="Y443" s="544">
        <f t="shared" si="53"/>
        <v>549.12</v>
      </c>
      <c r="Z443" s="36">
        <f>IFERROR(IF(Y443=0,"",ROUNDUP(Y443/H443,0)*0.01196),"")</f>
        <v>1.2438400000000001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582.15909090909088</v>
      </c>
      <c r="BN443" s="64">
        <f t="shared" si="55"/>
        <v>586.55999999999995</v>
      </c>
      <c r="BO443" s="64">
        <f t="shared" si="56"/>
        <v>0.99249708624708632</v>
      </c>
      <c r="BP443" s="64">
        <f t="shared" si="57"/>
        <v>1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60">
        <v>4680115883109</v>
      </c>
      <c r="E444" s="561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60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3">
        <v>880</v>
      </c>
      <c r="Y444" s="544">
        <f t="shared" si="53"/>
        <v>881.76</v>
      </c>
      <c r="Z444" s="36">
        <f>IFERROR(IF(Y444=0,"",ROUNDUP(Y444/H444,0)*0.01196),"")</f>
        <v>1.99732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939.99999999999989</v>
      </c>
      <c r="BN444" s="64">
        <f t="shared" si="55"/>
        <v>941.88</v>
      </c>
      <c r="BO444" s="64">
        <f t="shared" si="56"/>
        <v>1.6025641025641026</v>
      </c>
      <c r="BP444" s="64">
        <f t="shared" si="57"/>
        <v>1.6057692307692308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4301031419</v>
      </c>
      <c r="D445" s="560">
        <v>4680115882072</v>
      </c>
      <c r="E445" s="561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1"/>
      <c r="R445" s="551"/>
      <c r="S445" s="551"/>
      <c r="T445" s="552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60">
        <v>4680115882102</v>
      </c>
      <c r="E446" s="561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60">
        <v>4680115882096</v>
      </c>
      <c r="E447" s="561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6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1"/>
      <c r="R447" s="551"/>
      <c r="S447" s="551"/>
      <c r="T447" s="552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3" t="s">
        <v>71</v>
      </c>
      <c r="Q448" s="548"/>
      <c r="R448" s="548"/>
      <c r="S448" s="548"/>
      <c r="T448" s="548"/>
      <c r="U448" s="548"/>
      <c r="V448" s="549"/>
      <c r="W448" s="37" t="s">
        <v>72</v>
      </c>
      <c r="X448" s="545">
        <f>IFERROR(X442/H442,"0")+IFERROR(X443/H443,"0")+IFERROR(X444/H444,"0")+IFERROR(X445/H445,"0")+IFERROR(X446/H446,"0")+IFERROR(X447/H447,"0")</f>
        <v>326.70454545454544</v>
      </c>
      <c r="Y448" s="545">
        <f>IFERROR(Y442/H442,"0")+IFERROR(Y443/H443,"0")+IFERROR(Y444/H444,"0")+IFERROR(Y445/H445,"0")+IFERROR(Y446/H446,"0")+IFERROR(Y447/H447,"0")</f>
        <v>328</v>
      </c>
      <c r="Z448" s="545">
        <f>IFERROR(IF(Z442="",0,Z442),"0")+IFERROR(IF(Z443="",0,Z443),"0")+IFERROR(IF(Z444="",0,Z444),"0")+IFERROR(IF(Z445="",0,Z445),"0")+IFERROR(IF(Z446="",0,Z446),"0")+IFERROR(IF(Z447="",0,Z447),"0")</f>
        <v>3.9228800000000001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3" t="s">
        <v>71</v>
      </c>
      <c r="Q449" s="548"/>
      <c r="R449" s="548"/>
      <c r="S449" s="548"/>
      <c r="T449" s="548"/>
      <c r="U449" s="548"/>
      <c r="V449" s="549"/>
      <c r="W449" s="37" t="s">
        <v>69</v>
      </c>
      <c r="X449" s="545">
        <f>IFERROR(SUM(X442:X447),"0")</f>
        <v>1725</v>
      </c>
      <c r="Y449" s="545">
        <f>IFERROR(SUM(Y442:Y447),"0")</f>
        <v>1731.8400000000001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60">
        <v>4607091383409</v>
      </c>
      <c r="E451" s="561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60">
        <v>4607091383416</v>
      </c>
      <c r="E452" s="561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86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60">
        <v>4680115883536</v>
      </c>
      <c r="E453" s="56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84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1"/>
      <c r="R453" s="551"/>
      <c r="S453" s="551"/>
      <c r="T453" s="552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3" t="s">
        <v>71</v>
      </c>
      <c r="Q454" s="548"/>
      <c r="R454" s="548"/>
      <c r="S454" s="548"/>
      <c r="T454" s="548"/>
      <c r="U454" s="548"/>
      <c r="V454" s="549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3" t="s">
        <v>71</v>
      </c>
      <c r="Q455" s="548"/>
      <c r="R455" s="548"/>
      <c r="S455" s="548"/>
      <c r="T455" s="548"/>
      <c r="U455" s="548"/>
      <c r="V455" s="549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47" t="s">
        <v>700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99" t="s">
        <v>700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60">
        <v>4640242181011</v>
      </c>
      <c r="E459" s="561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60">
        <v>4640242180441</v>
      </c>
      <c r="E460" s="561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7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60">
        <v>4640242180564</v>
      </c>
      <c r="E461" s="561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3">
        <v>110</v>
      </c>
      <c r="Y461" s="544">
        <f>IFERROR(IF(X461="",0,CEILING((X461/$H461),1)*$H461),"")</f>
        <v>120</v>
      </c>
      <c r="Z461" s="36">
        <f>IFERROR(IF(Y461=0,"",ROUNDUP(Y461/H461,0)*0.01898),"")</f>
        <v>0.1898</v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113.98750000000001</v>
      </c>
      <c r="BN461" s="64">
        <f>IFERROR(Y461*I461/H461,"0")</f>
        <v>124.35000000000001</v>
      </c>
      <c r="BO461" s="64">
        <f>IFERROR(1/J461*(X461/H461),"0")</f>
        <v>0.14322916666666666</v>
      </c>
      <c r="BP461" s="64">
        <f>IFERROR(1/J461*(Y461/H461),"0")</f>
        <v>0.15625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60">
        <v>4640242181189</v>
      </c>
      <c r="E462" s="561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6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1"/>
      <c r="R462" s="551"/>
      <c r="S462" s="551"/>
      <c r="T462" s="552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3" t="s">
        <v>71</v>
      </c>
      <c r="Q463" s="548"/>
      <c r="R463" s="548"/>
      <c r="S463" s="548"/>
      <c r="T463" s="548"/>
      <c r="U463" s="548"/>
      <c r="V463" s="549"/>
      <c r="W463" s="37" t="s">
        <v>72</v>
      </c>
      <c r="X463" s="545">
        <f>IFERROR(X459/H459,"0")+IFERROR(X460/H460,"0")+IFERROR(X461/H461,"0")+IFERROR(X462/H462,"0")</f>
        <v>9.1666666666666661</v>
      </c>
      <c r="Y463" s="545">
        <f>IFERROR(Y459/H459,"0")+IFERROR(Y460/H460,"0")+IFERROR(Y461/H461,"0")+IFERROR(Y462/H462,"0")</f>
        <v>10</v>
      </c>
      <c r="Z463" s="545">
        <f>IFERROR(IF(Z459="",0,Z459),"0")+IFERROR(IF(Z460="",0,Z460),"0")+IFERROR(IF(Z461="",0,Z461),"0")+IFERROR(IF(Z462="",0,Z462),"0")</f>
        <v>0.1898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3" t="s">
        <v>71</v>
      </c>
      <c r="Q464" s="548"/>
      <c r="R464" s="548"/>
      <c r="S464" s="548"/>
      <c r="T464" s="548"/>
      <c r="U464" s="548"/>
      <c r="V464" s="549"/>
      <c r="W464" s="37" t="s">
        <v>69</v>
      </c>
      <c r="X464" s="545">
        <f>IFERROR(SUM(X459:X462),"0")</f>
        <v>110</v>
      </c>
      <c r="Y464" s="545">
        <f>IFERROR(SUM(Y459:Y462),"0")</f>
        <v>120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60">
        <v>4640242180519</v>
      </c>
      <c r="E466" s="561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1"/>
      <c r="R466" s="551"/>
      <c r="S466" s="551"/>
      <c r="T466" s="552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60">
        <v>4640242180526</v>
      </c>
      <c r="E467" s="561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8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1"/>
      <c r="R467" s="551"/>
      <c r="S467" s="551"/>
      <c r="T467" s="552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60">
        <v>4640242181363</v>
      </c>
      <c r="E468" s="561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1"/>
      <c r="R468" s="551"/>
      <c r="S468" s="551"/>
      <c r="T468" s="552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3" t="s">
        <v>71</v>
      </c>
      <c r="Q469" s="548"/>
      <c r="R469" s="548"/>
      <c r="S469" s="548"/>
      <c r="T469" s="548"/>
      <c r="U469" s="548"/>
      <c r="V469" s="549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3" t="s">
        <v>71</v>
      </c>
      <c r="Q470" s="548"/>
      <c r="R470" s="548"/>
      <c r="S470" s="548"/>
      <c r="T470" s="548"/>
      <c r="U470" s="548"/>
      <c r="V470" s="549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hidden="1" customHeight="1" x14ac:dyDescent="0.25">
      <c r="A472" s="54" t="s">
        <v>721</v>
      </c>
      <c r="B472" s="54" t="s">
        <v>722</v>
      </c>
      <c r="C472" s="31">
        <v>4301031280</v>
      </c>
      <c r="D472" s="560">
        <v>4640242180816</v>
      </c>
      <c r="E472" s="561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724</v>
      </c>
      <c r="B473" s="54" t="s">
        <v>725</v>
      </c>
      <c r="C473" s="31">
        <v>4301031244</v>
      </c>
      <c r="D473" s="560">
        <v>4640242180595</v>
      </c>
      <c r="E473" s="561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84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1"/>
      <c r="R473" s="551"/>
      <c r="S473" s="551"/>
      <c r="T473" s="552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3" t="s">
        <v>71</v>
      </c>
      <c r="Q474" s="548"/>
      <c r="R474" s="548"/>
      <c r="S474" s="548"/>
      <c r="T474" s="548"/>
      <c r="U474" s="548"/>
      <c r="V474" s="549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3" t="s">
        <v>71</v>
      </c>
      <c r="Q475" s="548"/>
      <c r="R475" s="548"/>
      <c r="S475" s="548"/>
      <c r="T475" s="548"/>
      <c r="U475" s="548"/>
      <c r="V475" s="549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hidden="1" customHeight="1" x14ac:dyDescent="0.25">
      <c r="A477" s="54" t="s">
        <v>727</v>
      </c>
      <c r="B477" s="54" t="s">
        <v>728</v>
      </c>
      <c r="C477" s="31">
        <v>4301052046</v>
      </c>
      <c r="D477" s="560">
        <v>4640242180533</v>
      </c>
      <c r="E477" s="561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1"/>
      <c r="R477" s="551"/>
      <c r="S477" s="551"/>
      <c r="T477" s="552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3" t="s">
        <v>71</v>
      </c>
      <c r="Q478" s="548"/>
      <c r="R478" s="548"/>
      <c r="S478" s="548"/>
      <c r="T478" s="548"/>
      <c r="U478" s="548"/>
      <c r="V478" s="549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3" t="s">
        <v>71</v>
      </c>
      <c r="Q479" s="548"/>
      <c r="R479" s="548"/>
      <c r="S479" s="548"/>
      <c r="T479" s="548"/>
      <c r="U479" s="548"/>
      <c r="V479" s="549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166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60">
        <v>4640242180120</v>
      </c>
      <c r="E481" s="561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80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60">
        <v>4640242180137</v>
      </c>
      <c r="E482" s="561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81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1"/>
      <c r="R482" s="551"/>
      <c r="S482" s="551"/>
      <c r="T482" s="552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3" t="s">
        <v>71</v>
      </c>
      <c r="Q483" s="548"/>
      <c r="R483" s="548"/>
      <c r="S483" s="548"/>
      <c r="T483" s="548"/>
      <c r="U483" s="548"/>
      <c r="V483" s="549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3" t="s">
        <v>71</v>
      </c>
      <c r="Q484" s="548"/>
      <c r="R484" s="548"/>
      <c r="S484" s="548"/>
      <c r="T484" s="548"/>
      <c r="U484" s="548"/>
      <c r="V484" s="549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99" t="s">
        <v>736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60">
        <v>4640242180090</v>
      </c>
      <c r="E487" s="561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1"/>
      <c r="R487" s="551"/>
      <c r="S487" s="551"/>
      <c r="T487" s="552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3" t="s">
        <v>71</v>
      </c>
      <c r="Q488" s="548"/>
      <c r="R488" s="548"/>
      <c r="S488" s="548"/>
      <c r="T488" s="548"/>
      <c r="U488" s="548"/>
      <c r="V488" s="549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3" t="s">
        <v>71</v>
      </c>
      <c r="Q489" s="548"/>
      <c r="R489" s="548"/>
      <c r="S489" s="548"/>
      <c r="T489" s="548"/>
      <c r="U489" s="548"/>
      <c r="V489" s="549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3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32"/>
      <c r="P490" s="591" t="s">
        <v>740</v>
      </c>
      <c r="Q490" s="592"/>
      <c r="R490" s="592"/>
      <c r="S490" s="592"/>
      <c r="T490" s="592"/>
      <c r="U490" s="592"/>
      <c r="V490" s="579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17927.3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18046.620000000003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32"/>
      <c r="P491" s="591" t="s">
        <v>741</v>
      </c>
      <c r="Q491" s="592"/>
      <c r="R491" s="592"/>
      <c r="S491" s="592"/>
      <c r="T491" s="592"/>
      <c r="U491" s="592"/>
      <c r="V491" s="579"/>
      <c r="W491" s="37" t="s">
        <v>69</v>
      </c>
      <c r="X491" s="545">
        <f>IFERROR(SUM(BM22:BM487),"0")</f>
        <v>18906.963746420242</v>
      </c>
      <c r="Y491" s="545">
        <f>IFERROR(SUM(BN22:BN487),"0")</f>
        <v>19032.134999999998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32"/>
      <c r="P492" s="591" t="s">
        <v>742</v>
      </c>
      <c r="Q492" s="592"/>
      <c r="R492" s="592"/>
      <c r="S492" s="592"/>
      <c r="T492" s="592"/>
      <c r="U492" s="592"/>
      <c r="V492" s="579"/>
      <c r="W492" s="37" t="s">
        <v>743</v>
      </c>
      <c r="X492" s="38">
        <f>ROUNDUP(SUM(BO22:BO487),0)</f>
        <v>31</v>
      </c>
      <c r="Y492" s="38">
        <f>ROUNDUP(SUM(BP22:BP487),0)</f>
        <v>31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32"/>
      <c r="P493" s="591" t="s">
        <v>744</v>
      </c>
      <c r="Q493" s="592"/>
      <c r="R493" s="592"/>
      <c r="S493" s="592"/>
      <c r="T493" s="592"/>
      <c r="U493" s="592"/>
      <c r="V493" s="579"/>
      <c r="W493" s="37" t="s">
        <v>69</v>
      </c>
      <c r="X493" s="545">
        <f>GrossWeightTotal+PalletQtyTotal*25</f>
        <v>19681.963746420242</v>
      </c>
      <c r="Y493" s="545">
        <f>GrossWeightTotalR+PalletQtyTotalR*25</f>
        <v>19807.134999999998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32"/>
      <c r="P494" s="591" t="s">
        <v>745</v>
      </c>
      <c r="Q494" s="592"/>
      <c r="R494" s="592"/>
      <c r="S494" s="592"/>
      <c r="T494" s="592"/>
      <c r="U494" s="592"/>
      <c r="V494" s="579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2433.0273091106424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2449</v>
      </c>
      <c r="Z494" s="37"/>
      <c r="AA494" s="546"/>
      <c r="AB494" s="546"/>
      <c r="AC494" s="546"/>
    </row>
    <row r="495" spans="1:68" ht="14.25" hidden="1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32"/>
      <c r="P495" s="591" t="s">
        <v>746</v>
      </c>
      <c r="Q495" s="592"/>
      <c r="R495" s="592"/>
      <c r="S495" s="592"/>
      <c r="T495" s="592"/>
      <c r="U495" s="592"/>
      <c r="V495" s="579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36.20337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3" t="s">
        <v>99</v>
      </c>
      <c r="D497" s="597"/>
      <c r="E497" s="597"/>
      <c r="F497" s="597"/>
      <c r="G497" s="597"/>
      <c r="H497" s="598"/>
      <c r="I497" s="593" t="s">
        <v>257</v>
      </c>
      <c r="J497" s="597"/>
      <c r="K497" s="597"/>
      <c r="L497" s="597"/>
      <c r="M497" s="597"/>
      <c r="N497" s="597"/>
      <c r="O497" s="597"/>
      <c r="P497" s="597"/>
      <c r="Q497" s="597"/>
      <c r="R497" s="598"/>
      <c r="S497" s="593" t="s">
        <v>538</v>
      </c>
      <c r="T497" s="598"/>
      <c r="U497" s="593" t="s">
        <v>589</v>
      </c>
      <c r="V497" s="597"/>
      <c r="W497" s="598"/>
      <c r="X497" s="540" t="s">
        <v>640</v>
      </c>
      <c r="Y497" s="593" t="s">
        <v>700</v>
      </c>
      <c r="Z497" s="598"/>
      <c r="AB497" s="52"/>
      <c r="AC497" s="52"/>
      <c r="AF497" s="541"/>
    </row>
    <row r="498" spans="1:32" ht="14.25" customHeight="1" thickTop="1" x14ac:dyDescent="0.2">
      <c r="A498" s="845" t="s">
        <v>749</v>
      </c>
      <c r="B498" s="593" t="s">
        <v>63</v>
      </c>
      <c r="C498" s="593" t="s">
        <v>100</v>
      </c>
      <c r="D498" s="593" t="s">
        <v>117</v>
      </c>
      <c r="E498" s="593" t="s">
        <v>173</v>
      </c>
      <c r="F498" s="593" t="s">
        <v>192</v>
      </c>
      <c r="G498" s="593" t="s">
        <v>222</v>
      </c>
      <c r="H498" s="593" t="s">
        <v>99</v>
      </c>
      <c r="I498" s="593" t="s">
        <v>258</v>
      </c>
      <c r="J498" s="593" t="s">
        <v>299</v>
      </c>
      <c r="K498" s="593" t="s">
        <v>359</v>
      </c>
      <c r="L498" s="593" t="s">
        <v>401</v>
      </c>
      <c r="M498" s="593" t="s">
        <v>417</v>
      </c>
      <c r="N498" s="541"/>
      <c r="O498" s="593" t="s">
        <v>428</v>
      </c>
      <c r="P498" s="593" t="s">
        <v>437</v>
      </c>
      <c r="Q498" s="593" t="s">
        <v>447</v>
      </c>
      <c r="R498" s="593" t="s">
        <v>528</v>
      </c>
      <c r="S498" s="593" t="s">
        <v>539</v>
      </c>
      <c r="T498" s="593" t="s">
        <v>573</v>
      </c>
      <c r="U498" s="593" t="s">
        <v>590</v>
      </c>
      <c r="V498" s="593" t="s">
        <v>621</v>
      </c>
      <c r="W498" s="593" t="s">
        <v>636</v>
      </c>
      <c r="X498" s="593" t="s">
        <v>640</v>
      </c>
      <c r="Y498" s="593" t="s">
        <v>700</v>
      </c>
      <c r="Z498" s="593" t="s">
        <v>736</v>
      </c>
      <c r="AB498" s="52"/>
      <c r="AC498" s="52"/>
      <c r="AF498" s="541"/>
    </row>
    <row r="499" spans="1:32" ht="13.5" customHeight="1" thickBot="1" x14ac:dyDescent="0.25">
      <c r="A499" s="846"/>
      <c r="B499" s="594"/>
      <c r="C499" s="594"/>
      <c r="D499" s="594"/>
      <c r="E499" s="594"/>
      <c r="F499" s="594"/>
      <c r="G499" s="594"/>
      <c r="H499" s="594"/>
      <c r="I499" s="594"/>
      <c r="J499" s="594"/>
      <c r="K499" s="594"/>
      <c r="L499" s="594"/>
      <c r="M499" s="594"/>
      <c r="N499" s="541"/>
      <c r="O499" s="594"/>
      <c r="P499" s="594"/>
      <c r="Q499" s="594"/>
      <c r="R499" s="594"/>
      <c r="S499" s="594"/>
      <c r="T499" s="594"/>
      <c r="U499" s="594"/>
      <c r="V499" s="594"/>
      <c r="W499" s="594"/>
      <c r="X499" s="594"/>
      <c r="Y499" s="594"/>
      <c r="Z499" s="594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507.6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0</v>
      </c>
      <c r="E500" s="46">
        <f>IFERROR(Y86*1,"0")+IFERROR(Y87*1,"0")+IFERROR(Y88*1,"0")+IFERROR(Y92*1,"0")+IFERROR(Y93*1,"0")+IFERROR(Y94*1,"0")+IFERROR(Y95*1,"0")</f>
        <v>1032.3000000000002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1257.3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36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50.400000000000006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466.20000000000005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1022.4</v>
      </c>
      <c r="R500" s="46">
        <f>IFERROR(Y336*1,"0")+IFERROR(Y337*1,"0")+IFERROR(Y338*1,"0")</f>
        <v>121.5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4332</v>
      </c>
      <c r="T500" s="46">
        <f>IFERROR(Y369*1,"0")+IFERROR(Y370*1,"0")+IFERROR(Y374*1,"0")+IFERROR(Y375*1,"0")+IFERROR(Y379*1,"0")+IFERROR(Y380*1,"0")</f>
        <v>2844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259.2</v>
      </c>
      <c r="V500" s="46">
        <f>IFERROR(Y404*1,"0")+IFERROR(Y408*1,"0")+IFERROR(Y409*1,"0")+IFERROR(Y410*1,"0")+IFERROR(Y411*1,"0")</f>
        <v>221.4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5776.3200000000006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120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200,00"/>
        <filter val="1 220,00"/>
        <filter val="1 725,00"/>
        <filter val="1 955,00"/>
        <filter val="100,00"/>
        <filter val="105,30"/>
        <filter val="108,00"/>
        <filter val="108,97"/>
        <filter val="11,67"/>
        <filter val="11,90"/>
        <filter val="110,00"/>
        <filter val="120,00"/>
        <filter val="125,00"/>
        <filter val="130,00"/>
        <filter val="14,81"/>
        <filter val="148,88"/>
        <filter val="160,00"/>
        <filter val="17 927,30"/>
        <filter val="170,00"/>
        <filter val="18 906,96"/>
        <filter val="19 681,96"/>
        <filter val="2 433,03"/>
        <filter val="2 840,00"/>
        <filter val="2 950,00"/>
        <filter val="204,55"/>
        <filter val="210,00"/>
        <filter val="211,00"/>
        <filter val="220,00"/>
        <filter val="255,00"/>
        <filter val="276,00"/>
        <filter val="28,00"/>
        <filter val="29,44"/>
        <filter val="3 165,00"/>
        <filter val="3,33"/>
        <filter val="30,00"/>
        <filter val="300,00"/>
        <filter val="31"/>
        <filter val="315,56"/>
        <filter val="326,70"/>
        <filter val="330,00"/>
        <filter val="36,00"/>
        <filter val="360,00"/>
        <filter val="40,48"/>
        <filter val="40,74"/>
        <filter val="420,00"/>
        <filter val="45,00"/>
        <filter val="46,30"/>
        <filter val="47,22"/>
        <filter val="50,00"/>
        <filter val="500,00"/>
        <filter val="510,00"/>
        <filter val="54,00"/>
        <filter val="54,07"/>
        <filter val="540,00"/>
        <filter val="545,00"/>
        <filter val="558,71"/>
        <filter val="60,00"/>
        <filter val="608,00"/>
        <filter val="650,00"/>
        <filter val="67,56"/>
        <filter val="68,19"/>
        <filter val="686,00"/>
        <filter val="745,00"/>
        <filter val="77,78"/>
        <filter val="850,00"/>
        <filter val="880,00"/>
        <filter val="890,00"/>
        <filter val="9,17"/>
        <filter val="95,00"/>
        <filter val="995,30"/>
      </filters>
    </filterColumn>
    <filterColumn colId="29" showButton="0"/>
    <filterColumn colId="30" showButton="0"/>
  </autoFilter>
  <mergeCells count="876"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A415:Z415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D447:E447"/>
    <mergeCell ref="A127:O128"/>
    <mergeCell ref="P301:T301"/>
    <mergeCell ref="P34:T3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374:E374"/>
    <mergeCell ref="P396:V396"/>
    <mergeCell ref="A395:O396"/>
    <mergeCell ref="P259:T259"/>
    <mergeCell ref="P32:V32"/>
    <mergeCell ref="A400:O401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P492:V492"/>
    <mergeCell ref="P286:V286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D191:E191"/>
    <mergeCell ref="L498:L499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D102:E102"/>
    <mergeCell ref="P181:T181"/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2025-11-04T09:32:51Z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