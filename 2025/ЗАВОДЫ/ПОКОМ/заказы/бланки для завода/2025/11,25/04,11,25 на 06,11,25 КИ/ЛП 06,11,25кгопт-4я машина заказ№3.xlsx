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9CE77C1-780C-4013-AF5C-64BEE431DC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BP215" i="1" s="1"/>
  <c r="P215" i="1"/>
  <c r="BO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BP163" i="1" s="1"/>
  <c r="P163" i="1"/>
  <c r="X161" i="1"/>
  <c r="X160" i="1"/>
  <c r="BO159" i="1"/>
  <c r="BM159" i="1"/>
  <c r="Y159" i="1"/>
  <c r="Y160" i="1" s="1"/>
  <c r="P159" i="1"/>
  <c r="X155" i="1"/>
  <c r="X154" i="1"/>
  <c r="BO153" i="1"/>
  <c r="BM153" i="1"/>
  <c r="Y153" i="1"/>
  <c r="Y155" i="1" s="1"/>
  <c r="X151" i="1"/>
  <c r="X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BP135" i="1" s="1"/>
  <c r="P135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F10" i="1"/>
  <c r="F9" i="1"/>
  <c r="A9" i="1"/>
  <c r="A10" i="1" s="1"/>
  <c r="D7" i="1"/>
  <c r="Q6" i="1"/>
  <c r="P2" i="1"/>
  <c r="Y23" i="1" l="1"/>
  <c r="BP22" i="1"/>
  <c r="BP26" i="1"/>
  <c r="BN26" i="1"/>
  <c r="Z26" i="1"/>
  <c r="BP61" i="1"/>
  <c r="BN61" i="1"/>
  <c r="Z61" i="1"/>
  <c r="BP95" i="1"/>
  <c r="BN95" i="1"/>
  <c r="Z95" i="1"/>
  <c r="BP142" i="1"/>
  <c r="BN142" i="1"/>
  <c r="Z142" i="1"/>
  <c r="BP175" i="1"/>
  <c r="BN175" i="1"/>
  <c r="Z175" i="1"/>
  <c r="BP210" i="1"/>
  <c r="BN210" i="1"/>
  <c r="Z210" i="1"/>
  <c r="BP232" i="1"/>
  <c r="BN232" i="1"/>
  <c r="Z232" i="1"/>
  <c r="BP264" i="1"/>
  <c r="BN264" i="1"/>
  <c r="Z264" i="1"/>
  <c r="BP301" i="1"/>
  <c r="BN301" i="1"/>
  <c r="Z301" i="1"/>
  <c r="BP324" i="1"/>
  <c r="BN324" i="1"/>
  <c r="Z324" i="1"/>
  <c r="BP379" i="1"/>
  <c r="BN379" i="1"/>
  <c r="Z379" i="1"/>
  <c r="BP425" i="1"/>
  <c r="BN425" i="1"/>
  <c r="Z425" i="1"/>
  <c r="BP451" i="1"/>
  <c r="BN451" i="1"/>
  <c r="Z451" i="1"/>
  <c r="Z22" i="1"/>
  <c r="Z23" i="1" s="1"/>
  <c r="BN22" i="1"/>
  <c r="BP42" i="1"/>
  <c r="BN42" i="1"/>
  <c r="Z42" i="1"/>
  <c r="BP76" i="1"/>
  <c r="BN76" i="1"/>
  <c r="Z76" i="1"/>
  <c r="BP114" i="1"/>
  <c r="BN114" i="1"/>
  <c r="Z114" i="1"/>
  <c r="BP165" i="1"/>
  <c r="BN165" i="1"/>
  <c r="Z165" i="1"/>
  <c r="BP198" i="1"/>
  <c r="BN198" i="1"/>
  <c r="Z198" i="1"/>
  <c r="BP219" i="1"/>
  <c r="BN219" i="1"/>
  <c r="Z219" i="1"/>
  <c r="BP250" i="1"/>
  <c r="BN250" i="1"/>
  <c r="Z250" i="1"/>
  <c r="Y286" i="1"/>
  <c r="Y285" i="1"/>
  <c r="BP284" i="1"/>
  <c r="BN284" i="1"/>
  <c r="Z284" i="1"/>
  <c r="Z285" i="1" s="1"/>
  <c r="BP289" i="1"/>
  <c r="BN289" i="1"/>
  <c r="Z289" i="1"/>
  <c r="BP317" i="1"/>
  <c r="BN317" i="1"/>
  <c r="Z317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Y57" i="1"/>
  <c r="BP259" i="1"/>
  <c r="BN259" i="1"/>
  <c r="Z259" i="1"/>
  <c r="BP280" i="1"/>
  <c r="BN280" i="1"/>
  <c r="Z280" i="1"/>
  <c r="BP299" i="1"/>
  <c r="BN299" i="1"/>
  <c r="Z299" i="1"/>
  <c r="BP311" i="1"/>
  <c r="BN311" i="1"/>
  <c r="Z311" i="1"/>
  <c r="BP345" i="1"/>
  <c r="BN345" i="1"/>
  <c r="Z345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J9" i="1"/>
  <c r="X490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4" i="1"/>
  <c r="BN74" i="1"/>
  <c r="Z80" i="1"/>
  <c r="BN80" i="1"/>
  <c r="Z93" i="1"/>
  <c r="BN93" i="1"/>
  <c r="Z100" i="1"/>
  <c r="BN100" i="1"/>
  <c r="Z108" i="1"/>
  <c r="BN108" i="1"/>
  <c r="Z116" i="1"/>
  <c r="BN116" i="1"/>
  <c r="Z131" i="1"/>
  <c r="BN131" i="1"/>
  <c r="Z135" i="1"/>
  <c r="BN135" i="1"/>
  <c r="Z148" i="1"/>
  <c r="BN148" i="1"/>
  <c r="Z153" i="1"/>
  <c r="Z154" i="1" s="1"/>
  <c r="BN153" i="1"/>
  <c r="BP153" i="1"/>
  <c r="Y154" i="1"/>
  <c r="Z159" i="1"/>
  <c r="Z160" i="1" s="1"/>
  <c r="BN159" i="1"/>
  <c r="BP159" i="1"/>
  <c r="Z163" i="1"/>
  <c r="BN163" i="1"/>
  <c r="Z167" i="1"/>
  <c r="BN167" i="1"/>
  <c r="Z171" i="1"/>
  <c r="BN171" i="1"/>
  <c r="Z177" i="1"/>
  <c r="BN177" i="1"/>
  <c r="Z192" i="1"/>
  <c r="BN192" i="1"/>
  <c r="Z196" i="1"/>
  <c r="BN196" i="1"/>
  <c r="Z200" i="1"/>
  <c r="BN200" i="1"/>
  <c r="Z208" i="1"/>
  <c r="BN208" i="1"/>
  <c r="Z212" i="1"/>
  <c r="BN212" i="1"/>
  <c r="Z215" i="1"/>
  <c r="BN215" i="1"/>
  <c r="Y221" i="1"/>
  <c r="Z226" i="1"/>
  <c r="BN226" i="1"/>
  <c r="Z230" i="1"/>
  <c r="BN230" i="1"/>
  <c r="Z234" i="1"/>
  <c r="BN234" i="1"/>
  <c r="Z248" i="1"/>
  <c r="BN248" i="1"/>
  <c r="Z255" i="1"/>
  <c r="BN255" i="1"/>
  <c r="BP266" i="1"/>
  <c r="BN266" i="1"/>
  <c r="Z266" i="1"/>
  <c r="BP291" i="1"/>
  <c r="BN291" i="1"/>
  <c r="Z291" i="1"/>
  <c r="BP303" i="1"/>
  <c r="BN303" i="1"/>
  <c r="Z303" i="1"/>
  <c r="BP330" i="1"/>
  <c r="BN330" i="1"/>
  <c r="Z330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Q500" i="1"/>
  <c r="Y381" i="1"/>
  <c r="Y455" i="1"/>
  <c r="Y454" i="1"/>
  <c r="Y31" i="1"/>
  <c r="Y43" i="1"/>
  <c r="Y58" i="1"/>
  <c r="Y64" i="1"/>
  <c r="BP73" i="1"/>
  <c r="BN73" i="1"/>
  <c r="Z73" i="1"/>
  <c r="Y77" i="1"/>
  <c r="BP81" i="1"/>
  <c r="BN81" i="1"/>
  <c r="Z81" i="1"/>
  <c r="Z82" i="1" s="1"/>
  <c r="Y83" i="1"/>
  <c r="E500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500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0" i="1"/>
  <c r="Y260" i="1"/>
  <c r="BP265" i="1"/>
  <c r="BN265" i="1"/>
  <c r="Z265" i="1"/>
  <c r="Y269" i="1"/>
  <c r="BP274" i="1"/>
  <c r="BN274" i="1"/>
  <c r="Z274" i="1"/>
  <c r="Y276" i="1"/>
  <c r="P500" i="1"/>
  <c r="Y282" i="1"/>
  <c r="BP279" i="1"/>
  <c r="BN279" i="1"/>
  <c r="Z279" i="1"/>
  <c r="Y281" i="1"/>
  <c r="D500" i="1"/>
  <c r="H9" i="1"/>
  <c r="B500" i="1"/>
  <c r="X491" i="1"/>
  <c r="X493" i="1" s="1"/>
  <c r="X492" i="1"/>
  <c r="X494" i="1"/>
  <c r="Y24" i="1"/>
  <c r="Z27" i="1"/>
  <c r="BN27" i="1"/>
  <c r="Z29" i="1"/>
  <c r="BN29" i="1"/>
  <c r="C500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Y69" i="1"/>
  <c r="Y78" i="1"/>
  <c r="BP75" i="1"/>
  <c r="BN75" i="1"/>
  <c r="Z75" i="1"/>
  <c r="Y82" i="1"/>
  <c r="BP88" i="1"/>
  <c r="BN88" i="1"/>
  <c r="Z88" i="1"/>
  <c r="Y90" i="1"/>
  <c r="Y97" i="1"/>
  <c r="BP92" i="1"/>
  <c r="BN92" i="1"/>
  <c r="Z92" i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11" i="1"/>
  <c r="BN211" i="1"/>
  <c r="Z211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Y320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Y340" i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Z463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4" i="1"/>
  <c r="G500" i="1"/>
  <c r="Y127" i="1"/>
  <c r="I500" i="1"/>
  <c r="Y161" i="1"/>
  <c r="J500" i="1"/>
  <c r="Y188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Z260" i="1" s="1"/>
  <c r="BP267" i="1"/>
  <c r="BN267" i="1"/>
  <c r="Z267" i="1"/>
  <c r="O500" i="1"/>
  <c r="Y275" i="1"/>
  <c r="BP272" i="1"/>
  <c r="BN272" i="1"/>
  <c r="Z272" i="1"/>
  <c r="Z275" i="1" s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BP338" i="1"/>
  <c r="BN338" i="1"/>
  <c r="Z338" i="1"/>
  <c r="S500" i="1"/>
  <c r="Y351" i="1"/>
  <c r="BP344" i="1"/>
  <c r="BN344" i="1"/>
  <c r="Z344" i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Y376" i="1"/>
  <c r="M500" i="1"/>
  <c r="Y268" i="1"/>
  <c r="Y295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96" i="1" l="1"/>
  <c r="Z43" i="1"/>
  <c r="Z281" i="1"/>
  <c r="Z448" i="1"/>
  <c r="Y492" i="1"/>
  <c r="Z57" i="1"/>
  <c r="Y491" i="1"/>
  <c r="Z31" i="1"/>
  <c r="Z251" i="1"/>
  <c r="Z77" i="1"/>
  <c r="Z376" i="1"/>
  <c r="Z305" i="1"/>
  <c r="Z295" i="1"/>
  <c r="Z268" i="1"/>
  <c r="Z204" i="1"/>
  <c r="Z172" i="1"/>
  <c r="Y494" i="1"/>
  <c r="Y493" i="1"/>
  <c r="Z433" i="1"/>
  <c r="Z339" i="1"/>
  <c r="Z89" i="1"/>
  <c r="Z469" i="1"/>
  <c r="Z395" i="1"/>
  <c r="Z351" i="1"/>
  <c r="Z332" i="1"/>
  <c r="Z326" i="1"/>
  <c r="Z235" i="1"/>
  <c r="Z319" i="1"/>
  <c r="Z313" i="1"/>
  <c r="Z216" i="1"/>
  <c r="Z150" i="1"/>
  <c r="Z117" i="1"/>
  <c r="Z104" i="1"/>
  <c r="Z69" i="1"/>
  <c r="Y490" i="1"/>
  <c r="Z144" i="1"/>
  <c r="Z110" i="1"/>
  <c r="Z495" i="1" l="1"/>
</calcChain>
</file>

<file path=xl/sharedStrings.xml><?xml version="1.0" encoding="utf-8"?>
<sst xmlns="http://schemas.openxmlformats.org/spreadsheetml/2006/main" count="2356" uniqueCount="767">
  <si>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</si>
  <si>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</si>
  <si>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</si>
  <si>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</si>
  <si>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</si>
  <si>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</si>
  <si>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</si>
  <si>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</si>
  <si>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</si>
  <si>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</si>
  <si>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</si>
  <si>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</si>
  <si>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</si>
  <si>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</si>
  <si>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</si>
  <si>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</si>
  <si>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</si>
  <si>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</si>
  <si>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</si>
  <si>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</si>
  <si>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</si>
  <si>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</si>
  <si>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</si>
  <si>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</si>
  <si>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</si>
  <si>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</si>
  <si>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</si>
  <si>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</si>
  <si>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</si>
  <si>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</si>
  <si>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</si>
  <si>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</si>
  <si>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</si>
  <si>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</si>
  <si>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</si>
  <si>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</si>
  <si>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</si>
  <si>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</si>
  <si>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</si>
  <si>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</si>
  <si>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</si>
  <si>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</si>
  <si>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</si>
  <si>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</si>
  <si>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</si>
  <si>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</si>
  <si>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</si>
  <si>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</si>
  <si>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</si>
  <si>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</si>
  <si>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</si>
  <si>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</si>
  <si>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</si>
  <si>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</si>
  <si>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</si>
  <si>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</si>
  <si>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</si>
  <si>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</si>
  <si>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</si>
  <si>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</si>
  <si>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</si>
  <si>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</si>
  <si>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</si>
  <si>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</si>
  <si>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</si>
  <si>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</si>
  <si>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</si>
  <si>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</si>
  <si>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</si>
  <si>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</si>
  <si>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</si>
  <si>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</si>
  <si>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</si>
  <si>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</si>
  <si>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</si>
  <si>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</si>
  <si>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</si>
  <si>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</si>
  <si>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</si>
  <si>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</si>
  <si>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</si>
  <si>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</si>
  <si>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</si>
  <si>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</si>
  <si>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</si>
  <si>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</si>
  <si>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</si>
  <si>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</si>
  <si>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</si>
  <si>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</si>
  <si>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</si>
  <si>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</si>
  <si>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</si>
  <si>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</si>
  <si>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</si>
  <si>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</si>
  <si>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</si>
  <si>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</si>
  <si>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</si>
  <si>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</si>
  <si>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</si>
  <si>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</si>
  <si>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</si>
  <si>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</si>
  <si>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</si>
  <si>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</si>
  <si>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</si>
  <si>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</si>
  <si>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</si>
  <si>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</si>
  <si>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</si>
  <si>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</si>
  <si>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</si>
  <si>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</si>
  <si>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</si>
  <si>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</si>
  <si>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</si>
  <si>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</si>
  <si>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</si>
  <si>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</si>
  <si>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</si>
  <si>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</si>
  <si>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</si>
  <si>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</si>
  <si>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</si>
  <si>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</si>
  <si>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</si>
  <si>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</si>
  <si>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</si>
  <si>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</si>
  <si>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</si>
  <si>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</si>
  <si>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</si>
  <si>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</si>
  <si>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</si>
  <si>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</si>
  <si>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</si>
  <si>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</si>
  <si>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</si>
  <si>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</si>
  <si>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</si>
  <si>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</si>
  <si>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</si>
  <si>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</si>
  <si>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</si>
  <si>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</si>
  <si>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</si>
  <si>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</si>
  <si>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</si>
  <si>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</si>
  <si>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</si>
  <si>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</si>
  <si>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</si>
  <si>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</si>
  <si>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</si>
  <si>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</si>
  <si>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</si>
  <si>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</si>
  <si>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</si>
  <si>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</si>
  <si>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</si>
  <si>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</si>
  <si>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</si>
  <si>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</si>
  <si>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</si>
  <si>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</si>
  <si>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</si>
  <si>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</si>
  <si>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</si>
  <si>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</si>
  <si>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</si>
  <si>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</si>
  <si>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</si>
  <si>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</si>
  <si>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</si>
  <si>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</si>
  <si>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</si>
  <si>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</si>
  <si>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</si>
  <si>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</si>
  <si>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</si>
  <si>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</si>
  <si>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</si>
  <si>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</si>
  <si>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</si>
  <si>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</si>
  <si>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</si>
  <si>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</si>
  <si>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</si>
  <si>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</si>
  <si>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</si>
  <si>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</si>
  <si>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</si>
  <si>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</si>
  <si>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</si>
  <si>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</si>
  <si>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</si>
  <si>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</si>
  <si>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</si>
  <si>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</si>
  <si>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</si>
  <si>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</si>
  <si>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</si>
  <si>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</si>
  <si>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</si>
  <si>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</si>
  <si>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</si>
  <si>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</si>
  <si>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</si>
  <si>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</si>
  <si>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</si>
  <si>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</si>
  <si>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</si>
  <si>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</si>
  <si>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</si>
  <si>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</si>
  <si>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</si>
  <si>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</si>
  <si>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</si>
  <si>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</si>
  <si>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</si>
  <si>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</si>
  <si>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</si>
  <si>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</si>
  <si>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</si>
  <si>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</si>
  <si>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</si>
  <si>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</si>
  <si>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</si>
  <si>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</si>
  <si>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</si>
  <si>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</si>
  <si>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</si>
  <si>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</si>
  <si>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</si>
  <si>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</si>
  <si>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</si>
  <si>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</si>
  <si>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</si>
  <si>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</si>
  <si>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</si>
  <si>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</si>
  <si>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</si>
  <si>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</si>
  <si>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</si>
  <si>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</si>
  <si>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</si>
  <si>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</si>
  <si>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</si>
  <si>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</si>
  <si>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</si>
  <si>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</si>
  <si>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</si>
  <si>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</si>
  <si>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</si>
  <si>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</si>
  <si>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</si>
  <si>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</si>
  <si>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</si>
  <si>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</si>
  <si>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</si>
  <si>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</si>
  <si>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</si>
  <si>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</si>
  <si>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</si>
  <si>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</si>
  <si>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</si>
  <si>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</si>
  <si>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</si>
  <si>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</si>
  <si>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</si>
  <si>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</si>
  <si>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</si>
  <si>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</si>
  <si>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</si>
  <si>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</si>
  <si>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</si>
  <si>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</si>
  <si>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</si>
  <si>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</si>
  <si>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</si>
  <si>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</si>
  <si>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</si>
  <si>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</si>
  <si>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</si>
  <si>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</si>
  <si>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</si>
  <si>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</si>
  <si>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</si>
  <si>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</si>
  <si>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</si>
  <si>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</si>
  <si>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</si>
  <si>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</si>
  <si>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</si>
  <si>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</si>
  <si>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</si>
  <si>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</si>
  <si>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</si>
  <si>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</si>
  <si>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</si>
  <si>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</si>
  <si>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</si>
  <si>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</si>
  <si>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</si>
  <si>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</si>
  <si>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</si>
  <si>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</si>
  <si>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</si>
  <si>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</si>
  <si>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</si>
  <si>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</si>
  <si>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</si>
  <si>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</si>
  <si>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</si>
  <si>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</si>
  <si>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</si>
  <si>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</si>
  <si>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</si>
  <si>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</si>
  <si>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</si>
  <si>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</si>
  <si>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</si>
  <si>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</si>
  <si>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</si>
  <si>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</si>
  <si>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</si>
  <si>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</si>
  <si>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</si>
  <si>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</si>
  <si>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</si>
  <si>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</si>
  <si>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</si>
  <si>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</si>
  <si>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</si>
  <si>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</si>
  <si>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</si>
  <si>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</si>
  <si>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</si>
  <si>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</si>
  <si>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</si>
  <si>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</si>
  <si>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</si>
  <si>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</si>
  <si>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</si>
  <si>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</si>
  <si>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</si>
  <si>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</si>
  <si>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</si>
  <si>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</si>
  <si>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</si>
  <si>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</si>
  <si>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</si>
  <si>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</si>
  <si>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</si>
  <si>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</si>
  <si>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</si>
  <si>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</si>
  <si>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</si>
  <si>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</si>
  <si>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</si>
  <si>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</si>
  <si>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</si>
  <si>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</si>
  <si>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</si>
  <si>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</si>
  <si>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</si>
  <si>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</si>
  <si>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</si>
  <si>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</si>
  <si>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</si>
  <si>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</si>
  <si>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</si>
  <si>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</si>
  <si>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</si>
  <si>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</si>
  <si>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</si>
  <si>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</si>
  <si>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</si>
  <si>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</si>
  <si>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</si>
  <si>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</si>
  <si>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</si>
  <si>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</si>
  <si>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</si>
  <si>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</si>
  <si>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</si>
  <si>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</si>
  <si>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</si>
  <si>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</si>
  <si>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</si>
  <si>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</si>
  <si>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</si>
  <si>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</si>
  <si>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</si>
  <si>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</si>
  <si>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</si>
  <si>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</si>
  <si>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</si>
  <si>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</si>
  <si>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</si>
  <si>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</si>
  <si>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</si>
  <si>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</si>
  <si>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</si>
  <si>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</si>
  <si>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</si>
  <si>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</si>
  <si>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</si>
  <si>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</si>
  <si>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</si>
  <si>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</si>
  <si>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</si>
  <si>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</si>
  <si>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</si>
  <si>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</si>
  <si>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</si>
  <si>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</si>
  <si>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</si>
  <si>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</si>
  <si>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</si>
  <si>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</si>
  <si>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</si>
  <si>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</si>
  <si>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</si>
  <si>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</si>
  <si>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</si>
  <si>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</si>
  <si>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</si>
  <si>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</si>
  <si>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</si>
  <si>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</si>
  <si>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</si>
  <si>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</si>
  <si>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</si>
  <si>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</si>
  <si>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</si>
  <si>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</si>
  <si>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</si>
  <si>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</si>
  <si>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</si>
  <si>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</si>
  <si>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</si>
  <si>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</si>
  <si>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</si>
  <si>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</si>
  <si>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</si>
  <si>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</si>
  <si>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</si>
  <si>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</si>
  <si>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</si>
  <si>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</si>
  <si>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</si>
  <si>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</si>
  <si>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</si>
  <si>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</si>
  <si>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</si>
  <si>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</si>
  <si>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</si>
  <si>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</si>
  <si>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</si>
  <si>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</si>
  <si>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</si>
  <si>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</si>
  <si>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</si>
  <si>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</si>
  <si>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</si>
  <si>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</si>
  <si>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</si>
  <si>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</si>
  <si>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</si>
  <si>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</si>
  <si>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</si>
  <si>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</si>
  <si>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</si>
  <si>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</si>
  <si>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</si>
  <si>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</si>
  <si>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</si>
  <si>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</si>
  <si>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</si>
  <si>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</si>
  <si>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</si>
  <si>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</si>
  <si>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</si>
  <si>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</si>
  <si>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</si>
  <si>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</si>
  <si>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</si>
  <si>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</si>
  <si>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</si>
  <si>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</si>
  <si>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</si>
  <si>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</si>
  <si>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</si>
  <si>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</si>
  <si>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</si>
  <si>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</si>
  <si>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</si>
  <si>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</si>
  <si>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</si>
  <si>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</si>
  <si>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</si>
  <si>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</si>
  <si>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</si>
  <si>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</si>
  <si>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</si>
  <si>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</si>
  <si>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</si>
  <si>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</si>
  <si>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</si>
  <si>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</si>
  <si>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</si>
  <si>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</si>
  <si>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</si>
  <si>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</si>
  <si>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</si>
  <si>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</si>
  <si>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</si>
  <si>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</si>
  <si>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</si>
  <si>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</si>
  <si>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</si>
  <si>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</si>
  <si>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</si>
  <si>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</si>
  <si>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</si>
  <si>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</si>
  <si>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</si>
  <si>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</si>
  <si>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</si>
  <si>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</si>
  <si>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</si>
  <si>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</si>
  <si>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</si>
  <si>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</si>
  <si>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</si>
  <si>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</si>
  <si>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</si>
  <si>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</si>
  <si>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</si>
  <si>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</si>
  <si>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</si>
  <si>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</si>
  <si>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</si>
  <si>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</si>
  <si>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</si>
  <si>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</si>
  <si>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</si>
  <si>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</si>
  <si>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</si>
  <si>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</si>
  <si>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</si>
  <si>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</si>
  <si>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</si>
  <si>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</si>
  <si>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</si>
  <si>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</si>
  <si>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</si>
  <si>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</si>
  <si>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</si>
  <si>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</si>
  <si>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</si>
  <si>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</si>
  <si>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</si>
  <si>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</si>
  <si>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</si>
  <si>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</si>
  <si>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</si>
  <si>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</si>
  <si>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</si>
  <si>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</si>
  <si>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</si>
  <si>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</si>
  <si>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</si>
  <si>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</si>
  <si>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</si>
  <si>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</si>
  <si>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</si>
  <si>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</si>
  <si>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</si>
  <si>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</si>
  <si>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</si>
  <si>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</si>
  <si>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</si>
  <si>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</si>
  <si>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</si>
  <si>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</si>
  <si>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</si>
  <si>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</si>
  <si>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</si>
  <si>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</si>
  <si>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</si>
  <si>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</si>
  <si>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</si>
  <si>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</si>
  <si>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</si>
  <si>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</si>
  <si>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</si>
  <si>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</si>
  <si>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</si>
  <si>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</si>
  <si>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</si>
  <si>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</si>
  <si>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</si>
  <si>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</si>
  <si>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</si>
  <si>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</si>
  <si>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</si>
  <si>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</si>
  <si>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</si>
  <si>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</si>
  <si>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</si>
  <si>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</si>
  <si>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</si>
  <si>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</si>
  <si>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</si>
  <si>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</si>
  <si>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</si>
  <si>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</si>
  <si>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</si>
  <si>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</si>
  <si>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</si>
  <si>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</si>
  <si>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</si>
  <si>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</si>
  <si>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</si>
  <si>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</si>
  <si>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</si>
  <si>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</si>
  <si>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</si>
  <si>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</si>
  <si>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</si>
  <si>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</si>
  <si>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</si>
  <si>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</si>
  <si>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</si>
  <si>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</si>
  <si>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</si>
  <si>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</si>
  <si>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</si>
  <si>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</si>
  <si>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</si>
  <si>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</si>
  <si>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</si>
  <si>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</si>
  <si>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</si>
  <si>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</si>
  <si>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</si>
  <si>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</si>
  <si>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</si>
  <si>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</si>
  <si>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</si>
  <si>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</si>
  <si>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</si>
  <si>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</si>
  <si>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</si>
  <si>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</si>
  <si>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</si>
  <si>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</si>
  <si>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</si>
  <si>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</si>
  <si>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</si>
  <si>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</si>
  <si>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</si>
  <si>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</si>
  <si>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</si>
  <si>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</si>
  <si>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</si>
  <si>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</si>
  <si>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</si>
  <si>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</si>
  <si>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</si>
  <si>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</si>
  <si>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</si>
  <si>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</si>
  <si>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</si>
  <si>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</si>
  <si>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</si>
  <si>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</si>
  <si>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</si>
  <si>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</si>
  <si>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</si>
  <si>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</si>
  <si>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</si>
  <si>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</si>
  <si>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</si>
  <si>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</si>
  <si>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</si>
  <si>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</si>
  <si>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</si>
  <si>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</si>
  <si>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</si>
  <si>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</si>
  <si>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</si>
  <si>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</si>
  <si>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</si>
  <si>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</si>
  <si>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</si>
  <si>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</si>
  <si>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</si>
  <si>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</si>
  <si>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</si>
  <si>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</si>
  <si>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</si>
  <si>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</si>
  <si>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</si>
  <si>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</si>
  <si>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</si>
  <si>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</si>
  <si>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</si>
  <si>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</si>
  <si>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</si>
  <si>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</si>
  <si>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</si>
  <si>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</si>
  <si>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</si>
  <si>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</si>
  <si>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</si>
  <si>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</si>
  <si>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</si>
  <si>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</si>
  <si>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</si>
  <si>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</si>
  <si>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</si>
  <si>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</si>
  <si>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</si>
  <si>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</si>
  <si>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</si>
  <si>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</si>
  <si>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</si>
  <si>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</si>
  <si>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</si>
  <si>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</si>
  <si>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</si>
  <si>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</si>
  <si>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</si>
  <si>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</si>
  <si>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</si>
  <si>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</si>
  <si>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</si>
  <si>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</si>
  <si>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</si>
  <si>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</si>
  <si>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</si>
  <si>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</si>
  <si>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</si>
  <si>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</si>
  <si>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</si>
  <si>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</si>
  <si>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</si>
  <si>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</si>
  <si>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</si>
  <si>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</si>
  <si>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</si>
  <si>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</si>
  <si>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</si>
  <si>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</si>
  <si>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</si>
  <si>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</si>
  <si>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</si>
  <si>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</si>
  <si>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</si>
  <si>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</si>
  <si>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</si>
  <si>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</si>
  <si>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8 европалеит,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</si>
</sst>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1" t="s">
        <v>0</v>
      </c>
      <c r="E1" s="578"/>
      <c r="F1" s="578"/>
      <c r="G1" s="12" t="s">
        <v>1</v>
      </c>
      <c r="H1" s="621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0"/>
      <c r="R2" s="550"/>
      <c r="S2" s="550"/>
      <c r="T2" s="550"/>
      <c r="U2" s="550"/>
      <c r="V2" s="550"/>
      <c r="W2" s="550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0"/>
      <c r="Q3" s="550"/>
      <c r="R3" s="550"/>
      <c r="S3" s="550"/>
      <c r="T3" s="550"/>
      <c r="U3" s="550"/>
      <c r="V3" s="550"/>
      <c r="W3" s="550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7" t="s">
        <v>8</v>
      </c>
      <c r="B5" s="651"/>
      <c r="C5" s="652"/>
      <c r="D5" s="625"/>
      <c r="E5" s="626"/>
      <c r="F5" s="827" t="s">
        <v>9</v>
      </c>
      <c r="G5" s="652"/>
      <c r="H5" s="625" t="s">
        <v>766</v>
      </c>
      <c r="I5" s="781"/>
      <c r="J5" s="781"/>
      <c r="K5" s="781"/>
      <c r="L5" s="781"/>
      <c r="M5" s="626"/>
      <c r="N5" s="58"/>
      <c r="P5" s="24" t="s">
        <v>10</v>
      </c>
      <c r="Q5" s="851">
        <v>45967</v>
      </c>
      <c r="R5" s="668"/>
      <c r="T5" s="706" t="s">
        <v>11</v>
      </c>
      <c r="U5" s="707"/>
      <c r="V5" s="709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77" t="s">
        <v>13</v>
      </c>
      <c r="B6" s="651"/>
      <c r="C6" s="652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8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6" t="s">
        <v>16</v>
      </c>
      <c r="U6" s="707"/>
      <c r="V6" s="766" t="s">
        <v>17</v>
      </c>
      <c r="W6" s="57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50"/>
      <c r="U7" s="707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7" t="s">
        <v>18</v>
      </c>
      <c r="B8" s="553"/>
      <c r="C8" s="554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83">
        <v>0.54166666666666663</v>
      </c>
      <c r="R8" s="610"/>
      <c r="T8" s="550"/>
      <c r="U8" s="707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0"/>
      <c r="C9" s="550"/>
      <c r="D9" s="671"/>
      <c r="E9" s="561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0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4"/>
      <c r="R9" s="665"/>
      <c r="T9" s="550"/>
      <c r="U9" s="707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0"/>
      <c r="C10" s="550"/>
      <c r="D10" s="671"/>
      <c r="E10" s="561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0"/>
      <c r="H10" s="753" t="str">
        <f>IFERROR(VLOOKUP($D$10,Proxy,2,FALSE),"")</f>
        <v/>
      </c>
      <c r="I10" s="550"/>
      <c r="J10" s="550"/>
      <c r="K10" s="550"/>
      <c r="L10" s="550"/>
      <c r="M10" s="550"/>
      <c r="N10" s="536"/>
      <c r="P10" s="26" t="s">
        <v>22</v>
      </c>
      <c r="Q10" s="717"/>
      <c r="R10" s="718"/>
      <c r="U10" s="24" t="s">
        <v>23</v>
      </c>
      <c r="V10" s="574" t="s">
        <v>24</v>
      </c>
      <c r="W10" s="57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8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2"/>
      <c r="N12" s="62"/>
      <c r="P12" s="24" t="s">
        <v>30</v>
      </c>
      <c r="Q12" s="683"/>
      <c r="R12" s="610"/>
      <c r="S12" s="23"/>
      <c r="U12" s="24"/>
      <c r="V12" s="578"/>
      <c r="W12" s="550"/>
      <c r="AB12" s="51"/>
      <c r="AC12" s="51"/>
      <c r="AD12" s="51"/>
      <c r="AE12" s="51"/>
    </row>
    <row r="13" spans="1:32" s="537" customFormat="1" ht="23.25" customHeight="1" x14ac:dyDescent="0.2">
      <c r="A13" s="698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52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8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7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2"/>
      <c r="N15" s="63"/>
      <c r="P15" s="69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8" t="s">
        <v>38</v>
      </c>
      <c r="D17" s="587" t="s">
        <v>39</v>
      </c>
      <c r="E17" s="642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1"/>
      <c r="R17" s="641"/>
      <c r="S17" s="641"/>
      <c r="T17" s="642"/>
      <c r="U17" s="850" t="s">
        <v>51</v>
      </c>
      <c r="V17" s="652"/>
      <c r="W17" s="587" t="s">
        <v>52</v>
      </c>
      <c r="X17" s="587" t="s">
        <v>53</v>
      </c>
      <c r="Y17" s="848" t="s">
        <v>54</v>
      </c>
      <c r="Z17" s="778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3"/>
      <c r="E18" s="645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88"/>
      <c r="X18" s="588"/>
      <c r="Y18" s="849"/>
      <c r="Z18" s="779"/>
      <c r="AA18" s="752"/>
      <c r="AB18" s="752"/>
      <c r="AC18" s="752"/>
      <c r="AD18" s="832"/>
      <c r="AE18" s="833"/>
      <c r="AF18" s="834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51" t="s">
        <v>63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38"/>
      <c r="AB20" s="538"/>
      <c r="AC20" s="538"/>
    </row>
    <row r="21" spans="1:68" ht="14.25" hidden="1" customHeight="1" x14ac:dyDescent="0.25">
      <c r="A21" s="549" t="s">
        <v>64</v>
      </c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7"/>
      <c r="B23" s="550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68"/>
      <c r="P23" s="552" t="s">
        <v>71</v>
      </c>
      <c r="Q23" s="553"/>
      <c r="R23" s="553"/>
      <c r="S23" s="553"/>
      <c r="T23" s="553"/>
      <c r="U23" s="553"/>
      <c r="V23" s="55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0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68"/>
      <c r="P24" s="552" t="s">
        <v>71</v>
      </c>
      <c r="Q24" s="553"/>
      <c r="R24" s="553"/>
      <c r="S24" s="553"/>
      <c r="T24" s="553"/>
      <c r="U24" s="553"/>
      <c r="V24" s="55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49" t="s">
        <v>73</v>
      </c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6"/>
      <c r="R26" s="556"/>
      <c r="S26" s="556"/>
      <c r="T26" s="557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6"/>
      <c r="R27" s="556"/>
      <c r="S27" s="556"/>
      <c r="T27" s="557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6"/>
      <c r="R28" s="556"/>
      <c r="S28" s="556"/>
      <c r="T28" s="557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6"/>
      <c r="R30" s="556"/>
      <c r="S30" s="556"/>
      <c r="T30" s="557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7"/>
      <c r="B31" s="550"/>
      <c r="C31" s="550"/>
      <c r="D31" s="550"/>
      <c r="E31" s="550"/>
      <c r="F31" s="550"/>
      <c r="G31" s="550"/>
      <c r="H31" s="550"/>
      <c r="I31" s="550"/>
      <c r="J31" s="550"/>
      <c r="K31" s="550"/>
      <c r="L31" s="550"/>
      <c r="M31" s="550"/>
      <c r="N31" s="550"/>
      <c r="O31" s="568"/>
      <c r="P31" s="552" t="s">
        <v>71</v>
      </c>
      <c r="Q31" s="553"/>
      <c r="R31" s="553"/>
      <c r="S31" s="553"/>
      <c r="T31" s="553"/>
      <c r="U31" s="553"/>
      <c r="V31" s="55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0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68"/>
      <c r="P32" s="552" t="s">
        <v>71</v>
      </c>
      <c r="Q32" s="553"/>
      <c r="R32" s="553"/>
      <c r="S32" s="553"/>
      <c r="T32" s="553"/>
      <c r="U32" s="553"/>
      <c r="V32" s="55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49" t="s">
        <v>93</v>
      </c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550"/>
      <c r="Y33" s="550"/>
      <c r="Z33" s="550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7"/>
      <c r="B35" s="550"/>
      <c r="C35" s="550"/>
      <c r="D35" s="550"/>
      <c r="E35" s="550"/>
      <c r="F35" s="550"/>
      <c r="G35" s="550"/>
      <c r="H35" s="550"/>
      <c r="I35" s="550"/>
      <c r="J35" s="550"/>
      <c r="K35" s="550"/>
      <c r="L35" s="550"/>
      <c r="M35" s="550"/>
      <c r="N35" s="550"/>
      <c r="O35" s="568"/>
      <c r="P35" s="552" t="s">
        <v>71</v>
      </c>
      <c r="Q35" s="553"/>
      <c r="R35" s="553"/>
      <c r="S35" s="553"/>
      <c r="T35" s="553"/>
      <c r="U35" s="553"/>
      <c r="V35" s="55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0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68"/>
      <c r="P36" s="552" t="s">
        <v>71</v>
      </c>
      <c r="Q36" s="553"/>
      <c r="R36" s="553"/>
      <c r="S36" s="553"/>
      <c r="T36" s="553"/>
      <c r="U36" s="553"/>
      <c r="V36" s="55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3" t="s">
        <v>99</v>
      </c>
      <c r="B37" s="564"/>
      <c r="C37" s="564"/>
      <c r="D37" s="564"/>
      <c r="E37" s="564"/>
      <c r="F37" s="564"/>
      <c r="G37" s="564"/>
      <c r="H37" s="564"/>
      <c r="I37" s="564"/>
      <c r="J37" s="564"/>
      <c r="K37" s="564"/>
      <c r="L37" s="564"/>
      <c r="M37" s="564"/>
      <c r="N37" s="564"/>
      <c r="O37" s="564"/>
      <c r="P37" s="564"/>
      <c r="Q37" s="564"/>
      <c r="R37" s="564"/>
      <c r="S37" s="564"/>
      <c r="T37" s="564"/>
      <c r="U37" s="564"/>
      <c r="V37" s="564"/>
      <c r="W37" s="564"/>
      <c r="X37" s="564"/>
      <c r="Y37" s="564"/>
      <c r="Z37" s="564"/>
      <c r="AA37" s="48"/>
      <c r="AB37" s="48"/>
      <c r="AC37" s="48"/>
    </row>
    <row r="38" spans="1:68" ht="16.5" hidden="1" customHeight="1" x14ac:dyDescent="0.25">
      <c r="A38" s="551" t="s">
        <v>100</v>
      </c>
      <c r="B38" s="550"/>
      <c r="C38" s="550"/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U38" s="550"/>
      <c r="V38" s="550"/>
      <c r="W38" s="550"/>
      <c r="X38" s="550"/>
      <c r="Y38" s="550"/>
      <c r="Z38" s="550"/>
      <c r="AA38" s="538"/>
      <c r="AB38" s="538"/>
      <c r="AC38" s="538"/>
    </row>
    <row r="39" spans="1:68" ht="14.25" hidden="1" customHeight="1" x14ac:dyDescent="0.25">
      <c r="A39" s="549" t="s">
        <v>101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43">
        <v>180</v>
      </c>
      <c r="Y40" s="544">
        <f>IFERROR(IF(X40="",0,CEILING((X40/$H40),1)*$H40),"")</f>
        <v>183.60000000000002</v>
      </c>
      <c r="Z40" s="36">
        <f>IFERROR(IF(Y40=0,"",ROUNDUP(Y40/H40,0)*0.01898),"")</f>
        <v>0.32266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187.24999999999997</v>
      </c>
      <c r="BN40" s="64">
        <f>IFERROR(Y40*I40/H40,"0")</f>
        <v>190.995</v>
      </c>
      <c r="BO40" s="64">
        <f>IFERROR(1/J40*(X40/H40),"0")</f>
        <v>0.26041666666666663</v>
      </c>
      <c r="BP40" s="64">
        <f>IFERROR(1/J40*(Y40/H40),"0")</f>
        <v>0.265625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0"/>
      <c r="C43" s="550"/>
      <c r="D43" s="550"/>
      <c r="E43" s="550"/>
      <c r="F43" s="550"/>
      <c r="G43" s="550"/>
      <c r="H43" s="550"/>
      <c r="I43" s="550"/>
      <c r="J43" s="550"/>
      <c r="K43" s="550"/>
      <c r="L43" s="550"/>
      <c r="M43" s="550"/>
      <c r="N43" s="550"/>
      <c r="O43" s="568"/>
      <c r="P43" s="552" t="s">
        <v>71</v>
      </c>
      <c r="Q43" s="553"/>
      <c r="R43" s="553"/>
      <c r="S43" s="553"/>
      <c r="T43" s="553"/>
      <c r="U43" s="553"/>
      <c r="V43" s="554"/>
      <c r="W43" s="37" t="s">
        <v>72</v>
      </c>
      <c r="X43" s="545">
        <f>IFERROR(X40/H40,"0")+IFERROR(X41/H41,"0")+IFERROR(X42/H42,"0")</f>
        <v>16.666666666666664</v>
      </c>
      <c r="Y43" s="545">
        <f>IFERROR(Y40/H40,"0")+IFERROR(Y41/H41,"0")+IFERROR(Y42/H42,"0")</f>
        <v>17</v>
      </c>
      <c r="Z43" s="545">
        <f>IFERROR(IF(Z40="",0,Z40),"0")+IFERROR(IF(Z41="",0,Z41),"0")+IFERROR(IF(Z42="",0,Z42),"0")</f>
        <v>0.32266</v>
      </c>
      <c r="AA43" s="546"/>
      <c r="AB43" s="546"/>
      <c r="AC43" s="546"/>
    </row>
    <row r="44" spans="1:68" x14ac:dyDescent="0.2">
      <c r="A44" s="550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68"/>
      <c r="P44" s="552" t="s">
        <v>71</v>
      </c>
      <c r="Q44" s="553"/>
      <c r="R44" s="553"/>
      <c r="S44" s="553"/>
      <c r="T44" s="553"/>
      <c r="U44" s="553"/>
      <c r="V44" s="554"/>
      <c r="W44" s="37" t="s">
        <v>69</v>
      </c>
      <c r="X44" s="545">
        <f>IFERROR(SUM(X40:X42),"0")</f>
        <v>180</v>
      </c>
      <c r="Y44" s="545">
        <f>IFERROR(SUM(Y40:Y42),"0")</f>
        <v>183.60000000000002</v>
      </c>
      <c r="Z44" s="37"/>
      <c r="AA44" s="546"/>
      <c r="AB44" s="546"/>
      <c r="AC44" s="546"/>
    </row>
    <row r="45" spans="1:68" ht="14.25" hidden="1" customHeight="1" x14ac:dyDescent="0.25">
      <c r="A45" s="549" t="s">
        <v>73</v>
      </c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50"/>
      <c r="P45" s="550"/>
      <c r="Q45" s="550"/>
      <c r="R45" s="550"/>
      <c r="S45" s="550"/>
      <c r="T45" s="550"/>
      <c r="U45" s="550"/>
      <c r="V45" s="550"/>
      <c r="W45" s="550"/>
      <c r="X45" s="550"/>
      <c r="Y45" s="550"/>
      <c r="Z45" s="550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7"/>
      <c r="B47" s="550"/>
      <c r="C47" s="550"/>
      <c r="D47" s="550"/>
      <c r="E47" s="550"/>
      <c r="F47" s="550"/>
      <c r="G47" s="550"/>
      <c r="H47" s="550"/>
      <c r="I47" s="550"/>
      <c r="J47" s="550"/>
      <c r="K47" s="550"/>
      <c r="L47" s="550"/>
      <c r="M47" s="550"/>
      <c r="N47" s="550"/>
      <c r="O47" s="568"/>
      <c r="P47" s="552" t="s">
        <v>71</v>
      </c>
      <c r="Q47" s="553"/>
      <c r="R47" s="553"/>
      <c r="S47" s="553"/>
      <c r="T47" s="553"/>
      <c r="U47" s="553"/>
      <c r="V47" s="55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0"/>
      <c r="B48" s="550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68"/>
      <c r="P48" s="552" t="s">
        <v>71</v>
      </c>
      <c r="Q48" s="553"/>
      <c r="R48" s="553"/>
      <c r="S48" s="553"/>
      <c r="T48" s="553"/>
      <c r="U48" s="553"/>
      <c r="V48" s="55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1" t="s">
        <v>117</v>
      </c>
      <c r="B49" s="550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50"/>
      <c r="P49" s="550"/>
      <c r="Q49" s="550"/>
      <c r="R49" s="550"/>
      <c r="S49" s="550"/>
      <c r="T49" s="550"/>
      <c r="U49" s="550"/>
      <c r="V49" s="550"/>
      <c r="W49" s="550"/>
      <c r="X49" s="550"/>
      <c r="Y49" s="550"/>
      <c r="Z49" s="550"/>
      <c r="AA49" s="538"/>
      <c r="AB49" s="538"/>
      <c r="AC49" s="538"/>
    </row>
    <row r="50" spans="1:68" ht="14.25" hidden="1" customHeight="1" x14ac:dyDescent="0.25">
      <c r="A50" s="549" t="s">
        <v>101</v>
      </c>
      <c r="B50" s="550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43">
        <v>20</v>
      </c>
      <c r="Y52" s="544">
        <f t="shared" si="0"/>
        <v>21.6</v>
      </c>
      <c r="Z52" s="36">
        <f>IFERROR(IF(Y52=0,"",ROUNDUP(Y52/H52,0)*0.01898),"")</f>
        <v>3.7960000000000001E-2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20.805555555555554</v>
      </c>
      <c r="BN52" s="64">
        <f t="shared" si="2"/>
        <v>22.47</v>
      </c>
      <c r="BO52" s="64">
        <f t="shared" si="3"/>
        <v>2.8935185185185182E-2</v>
      </c>
      <c r="BP52" s="64">
        <f t="shared" si="4"/>
        <v>3.125E-2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0"/>
      <c r="C57" s="550"/>
      <c r="D57" s="550"/>
      <c r="E57" s="550"/>
      <c r="F57" s="550"/>
      <c r="G57" s="550"/>
      <c r="H57" s="550"/>
      <c r="I57" s="550"/>
      <c r="J57" s="550"/>
      <c r="K57" s="550"/>
      <c r="L57" s="550"/>
      <c r="M57" s="550"/>
      <c r="N57" s="550"/>
      <c r="O57" s="568"/>
      <c r="P57" s="552" t="s">
        <v>71</v>
      </c>
      <c r="Q57" s="553"/>
      <c r="R57" s="553"/>
      <c r="S57" s="553"/>
      <c r="T57" s="553"/>
      <c r="U57" s="553"/>
      <c r="V57" s="554"/>
      <c r="W57" s="37" t="s">
        <v>72</v>
      </c>
      <c r="X57" s="545">
        <f>IFERROR(X51/H51,"0")+IFERROR(X52/H52,"0")+IFERROR(X53/H53,"0")+IFERROR(X54/H54,"0")+IFERROR(X55/H55,"0")+IFERROR(X56/H56,"0")</f>
        <v>1.8518518518518516</v>
      </c>
      <c r="Y57" s="545">
        <f>IFERROR(Y51/H51,"0")+IFERROR(Y52/H52,"0")+IFERROR(Y53/H53,"0")+IFERROR(Y54/H54,"0")+IFERROR(Y55/H55,"0")+IFERROR(Y56/H56,"0")</f>
        <v>2</v>
      </c>
      <c r="Z57" s="545">
        <f>IFERROR(IF(Z51="",0,Z51),"0")+IFERROR(IF(Z52="",0,Z52),"0")+IFERROR(IF(Z53="",0,Z53),"0")+IFERROR(IF(Z54="",0,Z54),"0")+IFERROR(IF(Z55="",0,Z55),"0")+IFERROR(IF(Z56="",0,Z56),"0")</f>
        <v>3.7960000000000001E-2</v>
      </c>
      <c r="AA57" s="546"/>
      <c r="AB57" s="546"/>
      <c r="AC57" s="546"/>
    </row>
    <row r="58" spans="1:68" x14ac:dyDescent="0.2">
      <c r="A58" s="550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68"/>
      <c r="P58" s="552" t="s">
        <v>71</v>
      </c>
      <c r="Q58" s="553"/>
      <c r="R58" s="553"/>
      <c r="S58" s="553"/>
      <c r="T58" s="553"/>
      <c r="U58" s="553"/>
      <c r="V58" s="554"/>
      <c r="W58" s="37" t="s">
        <v>69</v>
      </c>
      <c r="X58" s="545">
        <f>IFERROR(SUM(X51:X56),"0")</f>
        <v>20</v>
      </c>
      <c r="Y58" s="545">
        <f>IFERROR(SUM(Y51:Y56),"0")</f>
        <v>21.6</v>
      </c>
      <c r="Z58" s="37"/>
      <c r="AA58" s="546"/>
      <c r="AB58" s="546"/>
      <c r="AC58" s="546"/>
    </row>
    <row r="59" spans="1:68" ht="14.25" hidden="1" customHeight="1" x14ac:dyDescent="0.25">
      <c r="A59" s="549" t="s">
        <v>136</v>
      </c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50"/>
      <c r="P59" s="550"/>
      <c r="Q59" s="550"/>
      <c r="R59" s="550"/>
      <c r="S59" s="550"/>
      <c r="T59" s="550"/>
      <c r="U59" s="550"/>
      <c r="V59" s="550"/>
      <c r="W59" s="550"/>
      <c r="X59" s="550"/>
      <c r="Y59" s="550"/>
      <c r="Z59" s="550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43">
        <v>200</v>
      </c>
      <c r="Y60" s="544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208.05555555555554</v>
      </c>
      <c r="BN60" s="64">
        <f>IFERROR(Y60*I60/H60,"0")</f>
        <v>213.46499999999997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0"/>
      <c r="C63" s="550"/>
      <c r="D63" s="550"/>
      <c r="E63" s="550"/>
      <c r="F63" s="550"/>
      <c r="G63" s="550"/>
      <c r="H63" s="550"/>
      <c r="I63" s="550"/>
      <c r="J63" s="550"/>
      <c r="K63" s="550"/>
      <c r="L63" s="550"/>
      <c r="M63" s="550"/>
      <c r="N63" s="550"/>
      <c r="O63" s="568"/>
      <c r="P63" s="552" t="s">
        <v>71</v>
      </c>
      <c r="Q63" s="553"/>
      <c r="R63" s="553"/>
      <c r="S63" s="553"/>
      <c r="T63" s="553"/>
      <c r="U63" s="553"/>
      <c r="V63" s="554"/>
      <c r="W63" s="37" t="s">
        <v>72</v>
      </c>
      <c r="X63" s="545">
        <f>IFERROR(X60/H60,"0")+IFERROR(X61/H61,"0")+IFERROR(X62/H62,"0")</f>
        <v>18.518518518518519</v>
      </c>
      <c r="Y63" s="545">
        <f>IFERROR(Y60/H60,"0")+IFERROR(Y61/H61,"0")+IFERROR(Y62/H62,"0")</f>
        <v>19</v>
      </c>
      <c r="Z63" s="545">
        <f>IFERROR(IF(Z60="",0,Z60),"0")+IFERROR(IF(Z61="",0,Z61),"0")+IFERROR(IF(Z62="",0,Z62),"0")</f>
        <v>0.36062</v>
      </c>
      <c r="AA63" s="546"/>
      <c r="AB63" s="546"/>
      <c r="AC63" s="546"/>
    </row>
    <row r="64" spans="1:68" x14ac:dyDescent="0.2">
      <c r="A64" s="550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50"/>
      <c r="M64" s="550"/>
      <c r="N64" s="550"/>
      <c r="O64" s="568"/>
      <c r="P64" s="552" t="s">
        <v>71</v>
      </c>
      <c r="Q64" s="553"/>
      <c r="R64" s="553"/>
      <c r="S64" s="553"/>
      <c r="T64" s="553"/>
      <c r="U64" s="553"/>
      <c r="V64" s="554"/>
      <c r="W64" s="37" t="s">
        <v>69</v>
      </c>
      <c r="X64" s="545">
        <f>IFERROR(SUM(X60:X62),"0")</f>
        <v>200</v>
      </c>
      <c r="Y64" s="545">
        <f>IFERROR(SUM(Y60:Y62),"0")</f>
        <v>205.20000000000002</v>
      </c>
      <c r="Z64" s="37"/>
      <c r="AA64" s="546"/>
      <c r="AB64" s="546"/>
      <c r="AC64" s="546"/>
    </row>
    <row r="65" spans="1:68" ht="14.25" hidden="1" customHeight="1" x14ac:dyDescent="0.25">
      <c r="A65" s="549" t="s">
        <v>64</v>
      </c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Y65" s="550"/>
      <c r="Z65" s="550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6"/>
      <c r="R68" s="556"/>
      <c r="S68" s="556"/>
      <c r="T68" s="557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7"/>
      <c r="B69" s="550"/>
      <c r="C69" s="550"/>
      <c r="D69" s="550"/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68"/>
      <c r="P69" s="552" t="s">
        <v>71</v>
      </c>
      <c r="Q69" s="553"/>
      <c r="R69" s="553"/>
      <c r="S69" s="553"/>
      <c r="T69" s="553"/>
      <c r="U69" s="553"/>
      <c r="V69" s="55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0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68"/>
      <c r="P70" s="552" t="s">
        <v>71</v>
      </c>
      <c r="Q70" s="553"/>
      <c r="R70" s="553"/>
      <c r="S70" s="553"/>
      <c r="T70" s="553"/>
      <c r="U70" s="553"/>
      <c r="V70" s="55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49" t="s">
        <v>73</v>
      </c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50"/>
      <c r="P71" s="550"/>
      <c r="Q71" s="550"/>
      <c r="R71" s="550"/>
      <c r="S71" s="550"/>
      <c r="T71" s="550"/>
      <c r="U71" s="550"/>
      <c r="V71" s="550"/>
      <c r="W71" s="550"/>
      <c r="X71" s="550"/>
      <c r="Y71" s="550"/>
      <c r="Z71" s="550"/>
      <c r="AA71" s="539"/>
      <c r="AB71" s="539"/>
      <c r="AC71" s="539"/>
    </row>
    <row r="72" spans="1:68" ht="16.5" hidden="1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60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6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6"/>
      <c r="R75" s="556"/>
      <c r="S75" s="556"/>
      <c r="T75" s="557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6"/>
      <c r="R76" s="556"/>
      <c r="S76" s="556"/>
      <c r="T76" s="557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68"/>
      <c r="P77" s="552" t="s">
        <v>71</v>
      </c>
      <c r="Q77" s="553"/>
      <c r="R77" s="553"/>
      <c r="S77" s="553"/>
      <c r="T77" s="553"/>
      <c r="U77" s="553"/>
      <c r="V77" s="55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68"/>
      <c r="P78" s="552" t="s">
        <v>71</v>
      </c>
      <c r="Q78" s="553"/>
      <c r="R78" s="553"/>
      <c r="S78" s="553"/>
      <c r="T78" s="553"/>
      <c r="U78" s="553"/>
      <c r="V78" s="55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hidden="1" customHeight="1" x14ac:dyDescent="0.25">
      <c r="A79" s="549" t="s">
        <v>166</v>
      </c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39"/>
      <c r="AB79" s="539"/>
      <c r="AC79" s="539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6"/>
      <c r="R80" s="556"/>
      <c r="S80" s="556"/>
      <c r="T80" s="557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6"/>
      <c r="R81" s="556"/>
      <c r="S81" s="556"/>
      <c r="T81" s="557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68"/>
      <c r="P82" s="552" t="s">
        <v>71</v>
      </c>
      <c r="Q82" s="553"/>
      <c r="R82" s="553"/>
      <c r="S82" s="553"/>
      <c r="T82" s="553"/>
      <c r="U82" s="553"/>
      <c r="V82" s="55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68"/>
      <c r="P83" s="552" t="s">
        <v>71</v>
      </c>
      <c r="Q83" s="553"/>
      <c r="R83" s="553"/>
      <c r="S83" s="553"/>
      <c r="T83" s="553"/>
      <c r="U83" s="553"/>
      <c r="V83" s="55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51" t="s">
        <v>173</v>
      </c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38"/>
      <c r="AB84" s="538"/>
      <c r="AC84" s="538"/>
    </row>
    <row r="85" spans="1:68" ht="14.25" hidden="1" customHeight="1" x14ac:dyDescent="0.25">
      <c r="A85" s="549" t="s">
        <v>101</v>
      </c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0"/>
      <c r="V85" s="550"/>
      <c r="W85" s="550"/>
      <c r="X85" s="550"/>
      <c r="Y85" s="550"/>
      <c r="Z85" s="550"/>
      <c r="AA85" s="539"/>
      <c r="AB85" s="539"/>
      <c r="AC85" s="539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6"/>
      <c r="R86" s="556"/>
      <c r="S86" s="556"/>
      <c r="T86" s="557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6"/>
      <c r="R87" s="556"/>
      <c r="S87" s="556"/>
      <c r="T87" s="557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0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6"/>
      <c r="R88" s="556"/>
      <c r="S88" s="556"/>
      <c r="T88" s="557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7"/>
      <c r="B89" s="550"/>
      <c r="C89" s="550"/>
      <c r="D89" s="550"/>
      <c r="E89" s="550"/>
      <c r="F89" s="550"/>
      <c r="G89" s="550"/>
      <c r="H89" s="550"/>
      <c r="I89" s="550"/>
      <c r="J89" s="550"/>
      <c r="K89" s="550"/>
      <c r="L89" s="550"/>
      <c r="M89" s="550"/>
      <c r="N89" s="550"/>
      <c r="O89" s="568"/>
      <c r="P89" s="552" t="s">
        <v>71</v>
      </c>
      <c r="Q89" s="553"/>
      <c r="R89" s="553"/>
      <c r="S89" s="553"/>
      <c r="T89" s="553"/>
      <c r="U89" s="553"/>
      <c r="V89" s="554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hidden="1" x14ac:dyDescent="0.2">
      <c r="A90" s="550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68"/>
      <c r="P90" s="552" t="s">
        <v>71</v>
      </c>
      <c r="Q90" s="553"/>
      <c r="R90" s="553"/>
      <c r="S90" s="553"/>
      <c r="T90" s="553"/>
      <c r="U90" s="553"/>
      <c r="V90" s="554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hidden="1" customHeight="1" x14ac:dyDescent="0.25">
      <c r="A91" s="549" t="s">
        <v>73</v>
      </c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50"/>
      <c r="P91" s="550"/>
      <c r="Q91" s="550"/>
      <c r="R91" s="550"/>
      <c r="S91" s="550"/>
      <c r="T91" s="550"/>
      <c r="U91" s="550"/>
      <c r="V91" s="550"/>
      <c r="W91" s="550"/>
      <c r="X91" s="550"/>
      <c r="Y91" s="550"/>
      <c r="Z91" s="550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43">
        <v>40</v>
      </c>
      <c r="Y92" s="544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42.562962962962963</v>
      </c>
      <c r="BN92" s="64">
        <f>IFERROR(Y92*I92/H92,"0")</f>
        <v>43.095000000000006</v>
      </c>
      <c r="BO92" s="64">
        <f>IFERROR(1/J92*(X92/H92),"0")</f>
        <v>7.7160493827160503E-2</v>
      </c>
      <c r="BP92" s="64">
        <f>IFERROR(1/J92*(Y92/H92),"0")</f>
        <v>7.8125E-2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6"/>
      <c r="R94" s="556"/>
      <c r="S94" s="556"/>
      <c r="T94" s="557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6"/>
      <c r="R95" s="556"/>
      <c r="S95" s="556"/>
      <c r="T95" s="557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7"/>
      <c r="B96" s="550"/>
      <c r="C96" s="550"/>
      <c r="D96" s="550"/>
      <c r="E96" s="550"/>
      <c r="F96" s="550"/>
      <c r="G96" s="550"/>
      <c r="H96" s="550"/>
      <c r="I96" s="550"/>
      <c r="J96" s="550"/>
      <c r="K96" s="550"/>
      <c r="L96" s="550"/>
      <c r="M96" s="550"/>
      <c r="N96" s="550"/>
      <c r="O96" s="568"/>
      <c r="P96" s="552" t="s">
        <v>71</v>
      </c>
      <c r="Q96" s="553"/>
      <c r="R96" s="553"/>
      <c r="S96" s="553"/>
      <c r="T96" s="553"/>
      <c r="U96" s="553"/>
      <c r="V96" s="554"/>
      <c r="W96" s="37" t="s">
        <v>72</v>
      </c>
      <c r="X96" s="545">
        <f>IFERROR(X92/H92,"0")+IFERROR(X93/H93,"0")+IFERROR(X94/H94,"0")+IFERROR(X95/H95,"0")</f>
        <v>4.9382716049382722</v>
      </c>
      <c r="Y96" s="545">
        <f>IFERROR(Y92/H92,"0")+IFERROR(Y93/H93,"0")+IFERROR(Y94/H94,"0")+IFERROR(Y95/H95,"0")</f>
        <v>5</v>
      </c>
      <c r="Z96" s="545">
        <f>IFERROR(IF(Z92="",0,Z92),"0")+IFERROR(IF(Z93="",0,Z93),"0")+IFERROR(IF(Z94="",0,Z94),"0")+IFERROR(IF(Z95="",0,Z95),"0")</f>
        <v>9.4899999999999998E-2</v>
      </c>
      <c r="AA96" s="546"/>
      <c r="AB96" s="546"/>
      <c r="AC96" s="546"/>
    </row>
    <row r="97" spans="1:68" x14ac:dyDescent="0.2">
      <c r="A97" s="550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68"/>
      <c r="P97" s="552" t="s">
        <v>71</v>
      </c>
      <c r="Q97" s="553"/>
      <c r="R97" s="553"/>
      <c r="S97" s="553"/>
      <c r="T97" s="553"/>
      <c r="U97" s="553"/>
      <c r="V97" s="554"/>
      <c r="W97" s="37" t="s">
        <v>69</v>
      </c>
      <c r="X97" s="545">
        <f>IFERROR(SUM(X92:X95),"0")</f>
        <v>40</v>
      </c>
      <c r="Y97" s="545">
        <f>IFERROR(SUM(Y92:Y95),"0")</f>
        <v>40.5</v>
      </c>
      <c r="Z97" s="37"/>
      <c r="AA97" s="546"/>
      <c r="AB97" s="546"/>
      <c r="AC97" s="546"/>
    </row>
    <row r="98" spans="1:68" ht="16.5" hidden="1" customHeight="1" x14ac:dyDescent="0.25">
      <c r="A98" s="551" t="s">
        <v>192</v>
      </c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50"/>
      <c r="P98" s="550"/>
      <c r="Q98" s="550"/>
      <c r="R98" s="550"/>
      <c r="S98" s="550"/>
      <c r="T98" s="550"/>
      <c r="U98" s="550"/>
      <c r="V98" s="550"/>
      <c r="W98" s="550"/>
      <c r="X98" s="550"/>
      <c r="Y98" s="550"/>
      <c r="Z98" s="550"/>
      <c r="AA98" s="538"/>
      <c r="AB98" s="538"/>
      <c r="AC98" s="538"/>
    </row>
    <row r="99" spans="1:68" ht="14.25" hidden="1" customHeight="1" x14ac:dyDescent="0.25">
      <c r="A99" s="549" t="s">
        <v>101</v>
      </c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39"/>
      <c r="AB99" s="539"/>
      <c r="AC99" s="53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7"/>
      <c r="B104" s="550"/>
      <c r="C104" s="550"/>
      <c r="D104" s="550"/>
      <c r="E104" s="550"/>
      <c r="F104" s="550"/>
      <c r="G104" s="550"/>
      <c r="H104" s="550"/>
      <c r="I104" s="550"/>
      <c r="J104" s="550"/>
      <c r="K104" s="550"/>
      <c r="L104" s="550"/>
      <c r="M104" s="550"/>
      <c r="N104" s="550"/>
      <c r="O104" s="568"/>
      <c r="P104" s="552" t="s">
        <v>71</v>
      </c>
      <c r="Q104" s="553"/>
      <c r="R104" s="553"/>
      <c r="S104" s="553"/>
      <c r="T104" s="553"/>
      <c r="U104" s="553"/>
      <c r="V104" s="554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hidden="1" x14ac:dyDescent="0.2">
      <c r="A105" s="550"/>
      <c r="B105" s="550"/>
      <c r="C105" s="550"/>
      <c r="D105" s="550"/>
      <c r="E105" s="550"/>
      <c r="F105" s="550"/>
      <c r="G105" s="550"/>
      <c r="H105" s="550"/>
      <c r="I105" s="550"/>
      <c r="J105" s="550"/>
      <c r="K105" s="550"/>
      <c r="L105" s="550"/>
      <c r="M105" s="550"/>
      <c r="N105" s="550"/>
      <c r="O105" s="568"/>
      <c r="P105" s="552" t="s">
        <v>71</v>
      </c>
      <c r="Q105" s="553"/>
      <c r="R105" s="553"/>
      <c r="S105" s="553"/>
      <c r="T105" s="553"/>
      <c r="U105" s="553"/>
      <c r="V105" s="554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hidden="1" customHeight="1" x14ac:dyDescent="0.25">
      <c r="A106" s="549" t="s">
        <v>136</v>
      </c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  <c r="O106" s="550"/>
      <c r="P106" s="550"/>
      <c r="Q106" s="550"/>
      <c r="R106" s="550"/>
      <c r="S106" s="550"/>
      <c r="T106" s="550"/>
      <c r="U106" s="550"/>
      <c r="V106" s="550"/>
      <c r="W106" s="550"/>
      <c r="X106" s="550"/>
      <c r="Y106" s="550"/>
      <c r="Z106" s="550"/>
      <c r="AA106" s="539"/>
      <c r="AB106" s="539"/>
      <c r="AC106" s="539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7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67"/>
      <c r="B110" s="550"/>
      <c r="C110" s="550"/>
      <c r="D110" s="550"/>
      <c r="E110" s="550"/>
      <c r="F110" s="550"/>
      <c r="G110" s="550"/>
      <c r="H110" s="550"/>
      <c r="I110" s="550"/>
      <c r="J110" s="550"/>
      <c r="K110" s="550"/>
      <c r="L110" s="550"/>
      <c r="M110" s="550"/>
      <c r="N110" s="550"/>
      <c r="O110" s="568"/>
      <c r="P110" s="552" t="s">
        <v>71</v>
      </c>
      <c r="Q110" s="553"/>
      <c r="R110" s="553"/>
      <c r="S110" s="553"/>
      <c r="T110" s="553"/>
      <c r="U110" s="553"/>
      <c r="V110" s="55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0"/>
      <c r="B111" s="550"/>
      <c r="C111" s="550"/>
      <c r="D111" s="550"/>
      <c r="E111" s="550"/>
      <c r="F111" s="550"/>
      <c r="G111" s="550"/>
      <c r="H111" s="550"/>
      <c r="I111" s="550"/>
      <c r="J111" s="550"/>
      <c r="K111" s="550"/>
      <c r="L111" s="550"/>
      <c r="M111" s="550"/>
      <c r="N111" s="550"/>
      <c r="O111" s="568"/>
      <c r="P111" s="552" t="s">
        <v>71</v>
      </c>
      <c r="Q111" s="553"/>
      <c r="R111" s="553"/>
      <c r="S111" s="553"/>
      <c r="T111" s="553"/>
      <c r="U111" s="553"/>
      <c r="V111" s="55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49" t="s">
        <v>73</v>
      </c>
      <c r="B112" s="550"/>
      <c r="C112" s="550"/>
      <c r="D112" s="550"/>
      <c r="E112" s="550"/>
      <c r="F112" s="550"/>
      <c r="G112" s="550"/>
      <c r="H112" s="550"/>
      <c r="I112" s="550"/>
      <c r="J112" s="550"/>
      <c r="K112" s="550"/>
      <c r="L112" s="550"/>
      <c r="M112" s="550"/>
      <c r="N112" s="550"/>
      <c r="O112" s="550"/>
      <c r="P112" s="550"/>
      <c r="Q112" s="550"/>
      <c r="R112" s="550"/>
      <c r="S112" s="550"/>
      <c r="T112" s="550"/>
      <c r="U112" s="550"/>
      <c r="V112" s="550"/>
      <c r="W112" s="550"/>
      <c r="X112" s="550"/>
      <c r="Y112" s="550"/>
      <c r="Z112" s="550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6"/>
      <c r="R113" s="556"/>
      <c r="S113" s="556"/>
      <c r="T113" s="557"/>
      <c r="U113" s="34"/>
      <c r="V113" s="34"/>
      <c r="W113" s="35" t="s">
        <v>69</v>
      </c>
      <c r="X113" s="543">
        <v>130</v>
      </c>
      <c r="Y113" s="544">
        <f>IFERROR(IF(X113="",0,CEILING((X113/$H113),1)*$H113),"")</f>
        <v>137.69999999999999</v>
      </c>
      <c r="Z113" s="36">
        <f>IFERROR(IF(Y113=0,"",ROUNDUP(Y113/H113,0)*0.01898),"")</f>
        <v>0.32266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138.23333333333335</v>
      </c>
      <c r="BN113" s="64">
        <f>IFERROR(Y113*I113/H113,"0")</f>
        <v>146.42099999999996</v>
      </c>
      <c r="BO113" s="64">
        <f>IFERROR(1/J113*(X113/H113),"0")</f>
        <v>0.25077160493827161</v>
      </c>
      <c r="BP113" s="64">
        <f>IFERROR(1/J113*(Y113/H113),"0")</f>
        <v>0.265625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2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2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7"/>
      <c r="B117" s="550"/>
      <c r="C117" s="550"/>
      <c r="D117" s="550"/>
      <c r="E117" s="550"/>
      <c r="F117" s="550"/>
      <c r="G117" s="550"/>
      <c r="H117" s="550"/>
      <c r="I117" s="550"/>
      <c r="J117" s="550"/>
      <c r="K117" s="550"/>
      <c r="L117" s="550"/>
      <c r="M117" s="550"/>
      <c r="N117" s="550"/>
      <c r="O117" s="568"/>
      <c r="P117" s="552" t="s">
        <v>71</v>
      </c>
      <c r="Q117" s="553"/>
      <c r="R117" s="553"/>
      <c r="S117" s="553"/>
      <c r="T117" s="553"/>
      <c r="U117" s="553"/>
      <c r="V117" s="554"/>
      <c r="W117" s="37" t="s">
        <v>72</v>
      </c>
      <c r="X117" s="545">
        <f>IFERROR(X113/H113,"0")+IFERROR(X114/H114,"0")+IFERROR(X115/H115,"0")+IFERROR(X116/H116,"0")</f>
        <v>16.049382716049383</v>
      </c>
      <c r="Y117" s="545">
        <f>IFERROR(Y113/H113,"0")+IFERROR(Y114/H114,"0")+IFERROR(Y115/H115,"0")+IFERROR(Y116/H116,"0")</f>
        <v>17</v>
      </c>
      <c r="Z117" s="545">
        <f>IFERROR(IF(Z113="",0,Z113),"0")+IFERROR(IF(Z114="",0,Z114),"0")+IFERROR(IF(Z115="",0,Z115),"0")+IFERROR(IF(Z116="",0,Z116),"0")</f>
        <v>0.32266</v>
      </c>
      <c r="AA117" s="546"/>
      <c r="AB117" s="546"/>
      <c r="AC117" s="546"/>
    </row>
    <row r="118" spans="1:68" x14ac:dyDescent="0.2">
      <c r="A118" s="550"/>
      <c r="B118" s="550"/>
      <c r="C118" s="550"/>
      <c r="D118" s="550"/>
      <c r="E118" s="550"/>
      <c r="F118" s="550"/>
      <c r="G118" s="550"/>
      <c r="H118" s="550"/>
      <c r="I118" s="550"/>
      <c r="J118" s="550"/>
      <c r="K118" s="550"/>
      <c r="L118" s="550"/>
      <c r="M118" s="550"/>
      <c r="N118" s="550"/>
      <c r="O118" s="568"/>
      <c r="P118" s="552" t="s">
        <v>71</v>
      </c>
      <c r="Q118" s="553"/>
      <c r="R118" s="553"/>
      <c r="S118" s="553"/>
      <c r="T118" s="553"/>
      <c r="U118" s="553"/>
      <c r="V118" s="554"/>
      <c r="W118" s="37" t="s">
        <v>69</v>
      </c>
      <c r="X118" s="545">
        <f>IFERROR(SUM(X113:X116),"0")</f>
        <v>130</v>
      </c>
      <c r="Y118" s="545">
        <f>IFERROR(SUM(Y113:Y116),"0")</f>
        <v>137.69999999999999</v>
      </c>
      <c r="Z118" s="37"/>
      <c r="AA118" s="546"/>
      <c r="AB118" s="546"/>
      <c r="AC118" s="546"/>
    </row>
    <row r="119" spans="1:68" ht="14.25" hidden="1" customHeight="1" x14ac:dyDescent="0.25">
      <c r="A119" s="549" t="s">
        <v>166</v>
      </c>
      <c r="B119" s="550"/>
      <c r="C119" s="550"/>
      <c r="D119" s="550"/>
      <c r="E119" s="550"/>
      <c r="F119" s="550"/>
      <c r="G119" s="550"/>
      <c r="H119" s="550"/>
      <c r="I119" s="550"/>
      <c r="J119" s="550"/>
      <c r="K119" s="550"/>
      <c r="L119" s="550"/>
      <c r="M119" s="550"/>
      <c r="N119" s="550"/>
      <c r="O119" s="550"/>
      <c r="P119" s="550"/>
      <c r="Q119" s="550"/>
      <c r="R119" s="550"/>
      <c r="S119" s="550"/>
      <c r="T119" s="550"/>
      <c r="U119" s="550"/>
      <c r="V119" s="550"/>
      <c r="W119" s="550"/>
      <c r="X119" s="550"/>
      <c r="Y119" s="550"/>
      <c r="Z119" s="550"/>
      <c r="AA119" s="539"/>
      <c r="AB119" s="539"/>
      <c r="AC119" s="539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6"/>
      <c r="R120" s="556"/>
      <c r="S120" s="556"/>
      <c r="T120" s="557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67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68"/>
      <c r="P121" s="552" t="s">
        <v>71</v>
      </c>
      <c r="Q121" s="553"/>
      <c r="R121" s="553"/>
      <c r="S121" s="553"/>
      <c r="T121" s="553"/>
      <c r="U121" s="553"/>
      <c r="V121" s="55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0"/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68"/>
      <c r="P122" s="552" t="s">
        <v>71</v>
      </c>
      <c r="Q122" s="553"/>
      <c r="R122" s="553"/>
      <c r="S122" s="553"/>
      <c r="T122" s="553"/>
      <c r="U122" s="553"/>
      <c r="V122" s="55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1" t="s">
        <v>222</v>
      </c>
      <c r="B123" s="550"/>
      <c r="C123" s="550"/>
      <c r="D123" s="550"/>
      <c r="E123" s="550"/>
      <c r="F123" s="550"/>
      <c r="G123" s="550"/>
      <c r="H123" s="550"/>
      <c r="I123" s="550"/>
      <c r="J123" s="550"/>
      <c r="K123" s="550"/>
      <c r="L123" s="550"/>
      <c r="M123" s="550"/>
      <c r="N123" s="550"/>
      <c r="O123" s="550"/>
      <c r="P123" s="550"/>
      <c r="Q123" s="550"/>
      <c r="R123" s="550"/>
      <c r="S123" s="550"/>
      <c r="T123" s="550"/>
      <c r="U123" s="550"/>
      <c r="V123" s="550"/>
      <c r="W123" s="550"/>
      <c r="X123" s="550"/>
      <c r="Y123" s="550"/>
      <c r="Z123" s="550"/>
      <c r="AA123" s="538"/>
      <c r="AB123" s="538"/>
      <c r="AC123" s="538"/>
    </row>
    <row r="124" spans="1:68" ht="14.25" hidden="1" customHeight="1" x14ac:dyDescent="0.25">
      <c r="A124" s="549" t="s">
        <v>101</v>
      </c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550"/>
      <c r="O124" s="550"/>
      <c r="P124" s="550"/>
      <c r="Q124" s="550"/>
      <c r="R124" s="550"/>
      <c r="S124" s="550"/>
      <c r="T124" s="550"/>
      <c r="U124" s="550"/>
      <c r="V124" s="550"/>
      <c r="W124" s="550"/>
      <c r="X124" s="550"/>
      <c r="Y124" s="550"/>
      <c r="Z124" s="550"/>
      <c r="AA124" s="539"/>
      <c r="AB124" s="539"/>
      <c r="AC124" s="539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6"/>
      <c r="R125" s="556"/>
      <c r="S125" s="556"/>
      <c r="T125" s="557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67"/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550"/>
      <c r="O127" s="568"/>
      <c r="P127" s="552" t="s">
        <v>71</v>
      </c>
      <c r="Q127" s="553"/>
      <c r="R127" s="553"/>
      <c r="S127" s="553"/>
      <c r="T127" s="553"/>
      <c r="U127" s="553"/>
      <c r="V127" s="55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0"/>
      <c r="B128" s="550"/>
      <c r="C128" s="550"/>
      <c r="D128" s="550"/>
      <c r="E128" s="550"/>
      <c r="F128" s="550"/>
      <c r="G128" s="550"/>
      <c r="H128" s="550"/>
      <c r="I128" s="550"/>
      <c r="J128" s="550"/>
      <c r="K128" s="550"/>
      <c r="L128" s="550"/>
      <c r="M128" s="550"/>
      <c r="N128" s="550"/>
      <c r="O128" s="568"/>
      <c r="P128" s="552" t="s">
        <v>71</v>
      </c>
      <c r="Q128" s="553"/>
      <c r="R128" s="553"/>
      <c r="S128" s="553"/>
      <c r="T128" s="553"/>
      <c r="U128" s="553"/>
      <c r="V128" s="55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49" t="s">
        <v>64</v>
      </c>
      <c r="B129" s="550"/>
      <c r="C129" s="550"/>
      <c r="D129" s="550"/>
      <c r="E129" s="550"/>
      <c r="F129" s="550"/>
      <c r="G129" s="550"/>
      <c r="H129" s="550"/>
      <c r="I129" s="550"/>
      <c r="J129" s="550"/>
      <c r="K129" s="550"/>
      <c r="L129" s="550"/>
      <c r="M129" s="550"/>
      <c r="N129" s="550"/>
      <c r="O129" s="550"/>
      <c r="P129" s="550"/>
      <c r="Q129" s="550"/>
      <c r="R129" s="550"/>
      <c r="S129" s="550"/>
      <c r="T129" s="550"/>
      <c r="U129" s="550"/>
      <c r="V129" s="550"/>
      <c r="W129" s="550"/>
      <c r="X129" s="550"/>
      <c r="Y129" s="550"/>
      <c r="Z129" s="550"/>
      <c r="AA129" s="539"/>
      <c r="AB129" s="539"/>
      <c r="AC129" s="539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6"/>
      <c r="R130" s="556"/>
      <c r="S130" s="556"/>
      <c r="T130" s="557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67"/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550"/>
      <c r="O132" s="568"/>
      <c r="P132" s="552" t="s">
        <v>71</v>
      </c>
      <c r="Q132" s="553"/>
      <c r="R132" s="553"/>
      <c r="S132" s="553"/>
      <c r="T132" s="553"/>
      <c r="U132" s="553"/>
      <c r="V132" s="55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0"/>
      <c r="B133" s="550"/>
      <c r="C133" s="550"/>
      <c r="D133" s="550"/>
      <c r="E133" s="550"/>
      <c r="F133" s="550"/>
      <c r="G133" s="550"/>
      <c r="H133" s="550"/>
      <c r="I133" s="550"/>
      <c r="J133" s="550"/>
      <c r="K133" s="550"/>
      <c r="L133" s="550"/>
      <c r="M133" s="550"/>
      <c r="N133" s="550"/>
      <c r="O133" s="568"/>
      <c r="P133" s="552" t="s">
        <v>71</v>
      </c>
      <c r="Q133" s="553"/>
      <c r="R133" s="553"/>
      <c r="S133" s="553"/>
      <c r="T133" s="553"/>
      <c r="U133" s="553"/>
      <c r="V133" s="55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49" t="s">
        <v>73</v>
      </c>
      <c r="B134" s="550"/>
      <c r="C134" s="550"/>
      <c r="D134" s="550"/>
      <c r="E134" s="550"/>
      <c r="F134" s="550"/>
      <c r="G134" s="550"/>
      <c r="H134" s="550"/>
      <c r="I134" s="550"/>
      <c r="J134" s="550"/>
      <c r="K134" s="550"/>
      <c r="L134" s="550"/>
      <c r="M134" s="550"/>
      <c r="N134" s="550"/>
      <c r="O134" s="550"/>
      <c r="P134" s="550"/>
      <c r="Q134" s="550"/>
      <c r="R134" s="550"/>
      <c r="S134" s="550"/>
      <c r="T134" s="550"/>
      <c r="U134" s="550"/>
      <c r="V134" s="550"/>
      <c r="W134" s="550"/>
      <c r="X134" s="550"/>
      <c r="Y134" s="550"/>
      <c r="Z134" s="550"/>
      <c r="AA134" s="539"/>
      <c r="AB134" s="539"/>
      <c r="AC134" s="539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6"/>
      <c r="R135" s="556"/>
      <c r="S135" s="556"/>
      <c r="T135" s="557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6"/>
      <c r="R136" s="556"/>
      <c r="S136" s="556"/>
      <c r="T136" s="557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67"/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550"/>
      <c r="O137" s="568"/>
      <c r="P137" s="552" t="s">
        <v>71</v>
      </c>
      <c r="Q137" s="553"/>
      <c r="R137" s="553"/>
      <c r="S137" s="553"/>
      <c r="T137" s="553"/>
      <c r="U137" s="553"/>
      <c r="V137" s="55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0"/>
      <c r="B138" s="550"/>
      <c r="C138" s="550"/>
      <c r="D138" s="550"/>
      <c r="E138" s="550"/>
      <c r="F138" s="550"/>
      <c r="G138" s="550"/>
      <c r="H138" s="550"/>
      <c r="I138" s="550"/>
      <c r="J138" s="550"/>
      <c r="K138" s="550"/>
      <c r="L138" s="550"/>
      <c r="M138" s="550"/>
      <c r="N138" s="550"/>
      <c r="O138" s="568"/>
      <c r="P138" s="552" t="s">
        <v>71</v>
      </c>
      <c r="Q138" s="553"/>
      <c r="R138" s="553"/>
      <c r="S138" s="553"/>
      <c r="T138" s="553"/>
      <c r="U138" s="553"/>
      <c r="V138" s="55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1" t="s">
        <v>99</v>
      </c>
      <c r="B139" s="550"/>
      <c r="C139" s="550"/>
      <c r="D139" s="550"/>
      <c r="E139" s="550"/>
      <c r="F139" s="550"/>
      <c r="G139" s="550"/>
      <c r="H139" s="550"/>
      <c r="I139" s="550"/>
      <c r="J139" s="550"/>
      <c r="K139" s="550"/>
      <c r="L139" s="550"/>
      <c r="M139" s="550"/>
      <c r="N139" s="550"/>
      <c r="O139" s="550"/>
      <c r="P139" s="550"/>
      <c r="Q139" s="550"/>
      <c r="R139" s="550"/>
      <c r="S139" s="550"/>
      <c r="T139" s="550"/>
      <c r="U139" s="550"/>
      <c r="V139" s="550"/>
      <c r="W139" s="550"/>
      <c r="X139" s="550"/>
      <c r="Y139" s="550"/>
      <c r="Z139" s="550"/>
      <c r="AA139" s="538"/>
      <c r="AB139" s="538"/>
      <c r="AC139" s="538"/>
    </row>
    <row r="140" spans="1:68" ht="14.25" hidden="1" customHeight="1" x14ac:dyDescent="0.25">
      <c r="A140" s="549" t="s">
        <v>101</v>
      </c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550"/>
      <c r="O140" s="550"/>
      <c r="P140" s="550"/>
      <c r="Q140" s="550"/>
      <c r="R140" s="550"/>
      <c r="S140" s="550"/>
      <c r="T140" s="550"/>
      <c r="U140" s="550"/>
      <c r="V140" s="550"/>
      <c r="W140" s="550"/>
      <c r="X140" s="550"/>
      <c r="Y140" s="550"/>
      <c r="Z140" s="550"/>
      <c r="AA140" s="539"/>
      <c r="AB140" s="539"/>
      <c r="AC140" s="539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6"/>
      <c r="R141" s="556"/>
      <c r="S141" s="556"/>
      <c r="T141" s="557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3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7"/>
      <c r="B144" s="550"/>
      <c r="C144" s="550"/>
      <c r="D144" s="550"/>
      <c r="E144" s="550"/>
      <c r="F144" s="550"/>
      <c r="G144" s="550"/>
      <c r="H144" s="550"/>
      <c r="I144" s="550"/>
      <c r="J144" s="550"/>
      <c r="K144" s="550"/>
      <c r="L144" s="550"/>
      <c r="M144" s="550"/>
      <c r="N144" s="550"/>
      <c r="O144" s="568"/>
      <c r="P144" s="552" t="s">
        <v>71</v>
      </c>
      <c r="Q144" s="553"/>
      <c r="R144" s="553"/>
      <c r="S144" s="553"/>
      <c r="T144" s="553"/>
      <c r="U144" s="553"/>
      <c r="V144" s="55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hidden="1" x14ac:dyDescent="0.2">
      <c r="A145" s="550"/>
      <c r="B145" s="550"/>
      <c r="C145" s="550"/>
      <c r="D145" s="550"/>
      <c r="E145" s="550"/>
      <c r="F145" s="550"/>
      <c r="G145" s="550"/>
      <c r="H145" s="550"/>
      <c r="I145" s="550"/>
      <c r="J145" s="550"/>
      <c r="K145" s="550"/>
      <c r="L145" s="550"/>
      <c r="M145" s="550"/>
      <c r="N145" s="550"/>
      <c r="O145" s="568"/>
      <c r="P145" s="552" t="s">
        <v>71</v>
      </c>
      <c r="Q145" s="553"/>
      <c r="R145" s="553"/>
      <c r="S145" s="553"/>
      <c r="T145" s="553"/>
      <c r="U145" s="553"/>
      <c r="V145" s="55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hidden="1" customHeight="1" x14ac:dyDescent="0.25">
      <c r="A146" s="549" t="s">
        <v>64</v>
      </c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50"/>
      <c r="P146" s="550"/>
      <c r="Q146" s="550"/>
      <c r="R146" s="550"/>
      <c r="S146" s="550"/>
      <c r="T146" s="550"/>
      <c r="U146" s="550"/>
      <c r="V146" s="550"/>
      <c r="W146" s="550"/>
      <c r="X146" s="550"/>
      <c r="Y146" s="550"/>
      <c r="Z146" s="550"/>
      <c r="AA146" s="539"/>
      <c r="AB146" s="539"/>
      <c r="AC146" s="539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5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6"/>
      <c r="R148" s="556"/>
      <c r="S148" s="556"/>
      <c r="T148" s="557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67"/>
      <c r="B150" s="550"/>
      <c r="C150" s="550"/>
      <c r="D150" s="550"/>
      <c r="E150" s="550"/>
      <c r="F150" s="550"/>
      <c r="G150" s="550"/>
      <c r="H150" s="550"/>
      <c r="I150" s="550"/>
      <c r="J150" s="550"/>
      <c r="K150" s="550"/>
      <c r="L150" s="550"/>
      <c r="M150" s="550"/>
      <c r="N150" s="550"/>
      <c r="O150" s="568"/>
      <c r="P150" s="552" t="s">
        <v>71</v>
      </c>
      <c r="Q150" s="553"/>
      <c r="R150" s="553"/>
      <c r="S150" s="553"/>
      <c r="T150" s="553"/>
      <c r="U150" s="553"/>
      <c r="V150" s="554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hidden="1" x14ac:dyDescent="0.2">
      <c r="A151" s="550"/>
      <c r="B151" s="550"/>
      <c r="C151" s="550"/>
      <c r="D151" s="550"/>
      <c r="E151" s="550"/>
      <c r="F151" s="550"/>
      <c r="G151" s="550"/>
      <c r="H151" s="550"/>
      <c r="I151" s="550"/>
      <c r="J151" s="550"/>
      <c r="K151" s="550"/>
      <c r="L151" s="550"/>
      <c r="M151" s="550"/>
      <c r="N151" s="550"/>
      <c r="O151" s="568"/>
      <c r="P151" s="552" t="s">
        <v>71</v>
      </c>
      <c r="Q151" s="553"/>
      <c r="R151" s="553"/>
      <c r="S151" s="553"/>
      <c r="T151" s="553"/>
      <c r="U151" s="553"/>
      <c r="V151" s="554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hidden="1" customHeight="1" x14ac:dyDescent="0.25">
      <c r="A152" s="549" t="s">
        <v>73</v>
      </c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550"/>
      <c r="O152" s="550"/>
      <c r="P152" s="550"/>
      <c r="Q152" s="550"/>
      <c r="R152" s="550"/>
      <c r="S152" s="550"/>
      <c r="T152" s="550"/>
      <c r="U152" s="550"/>
      <c r="V152" s="550"/>
      <c r="W152" s="550"/>
      <c r="X152" s="550"/>
      <c r="Y152" s="550"/>
      <c r="Z152" s="550"/>
      <c r="AA152" s="539"/>
      <c r="AB152" s="539"/>
      <c r="AC152" s="539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802" t="s">
        <v>255</v>
      </c>
      <c r="Q153" s="556"/>
      <c r="R153" s="556"/>
      <c r="S153" s="556"/>
      <c r="T153" s="557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67"/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68"/>
      <c r="P154" s="552" t="s">
        <v>71</v>
      </c>
      <c r="Q154" s="553"/>
      <c r="R154" s="553"/>
      <c r="S154" s="553"/>
      <c r="T154" s="553"/>
      <c r="U154" s="553"/>
      <c r="V154" s="55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hidden="1" x14ac:dyDescent="0.2">
      <c r="A155" s="550"/>
      <c r="B155" s="550"/>
      <c r="C155" s="550"/>
      <c r="D155" s="550"/>
      <c r="E155" s="550"/>
      <c r="F155" s="550"/>
      <c r="G155" s="550"/>
      <c r="H155" s="550"/>
      <c r="I155" s="550"/>
      <c r="J155" s="550"/>
      <c r="K155" s="550"/>
      <c r="L155" s="550"/>
      <c r="M155" s="550"/>
      <c r="N155" s="550"/>
      <c r="O155" s="568"/>
      <c r="P155" s="552" t="s">
        <v>71</v>
      </c>
      <c r="Q155" s="553"/>
      <c r="R155" s="553"/>
      <c r="S155" s="553"/>
      <c r="T155" s="553"/>
      <c r="U155" s="553"/>
      <c r="V155" s="55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hidden="1" customHeight="1" x14ac:dyDescent="0.2">
      <c r="A156" s="563" t="s">
        <v>257</v>
      </c>
      <c r="B156" s="564"/>
      <c r="C156" s="564"/>
      <c r="D156" s="564"/>
      <c r="E156" s="564"/>
      <c r="F156" s="564"/>
      <c r="G156" s="564"/>
      <c r="H156" s="564"/>
      <c r="I156" s="564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  <c r="AA156" s="48"/>
      <c r="AB156" s="48"/>
      <c r="AC156" s="48"/>
    </row>
    <row r="157" spans="1:68" ht="16.5" hidden="1" customHeight="1" x14ac:dyDescent="0.25">
      <c r="A157" s="551" t="s">
        <v>258</v>
      </c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0"/>
      <c r="O157" s="550"/>
      <c r="P157" s="550"/>
      <c r="Q157" s="550"/>
      <c r="R157" s="550"/>
      <c r="S157" s="550"/>
      <c r="T157" s="550"/>
      <c r="U157" s="550"/>
      <c r="V157" s="550"/>
      <c r="W157" s="550"/>
      <c r="X157" s="550"/>
      <c r="Y157" s="550"/>
      <c r="Z157" s="550"/>
      <c r="AA157" s="538"/>
      <c r="AB157" s="538"/>
      <c r="AC157" s="538"/>
    </row>
    <row r="158" spans="1:68" ht="14.25" hidden="1" customHeight="1" x14ac:dyDescent="0.25">
      <c r="A158" s="549" t="s">
        <v>136</v>
      </c>
      <c r="B158" s="550"/>
      <c r="C158" s="550"/>
      <c r="D158" s="550"/>
      <c r="E158" s="550"/>
      <c r="F158" s="550"/>
      <c r="G158" s="550"/>
      <c r="H158" s="550"/>
      <c r="I158" s="550"/>
      <c r="J158" s="550"/>
      <c r="K158" s="550"/>
      <c r="L158" s="550"/>
      <c r="M158" s="550"/>
      <c r="N158" s="550"/>
      <c r="O158" s="550"/>
      <c r="P158" s="550"/>
      <c r="Q158" s="550"/>
      <c r="R158" s="550"/>
      <c r="S158" s="550"/>
      <c r="T158" s="550"/>
      <c r="U158" s="550"/>
      <c r="V158" s="550"/>
      <c r="W158" s="550"/>
      <c r="X158" s="550"/>
      <c r="Y158" s="550"/>
      <c r="Z158" s="550"/>
      <c r="AA158" s="539"/>
      <c r="AB158" s="539"/>
      <c r="AC158" s="539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6"/>
      <c r="R159" s="556"/>
      <c r="S159" s="556"/>
      <c r="T159" s="557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67"/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550"/>
      <c r="O160" s="568"/>
      <c r="P160" s="552" t="s">
        <v>71</v>
      </c>
      <c r="Q160" s="553"/>
      <c r="R160" s="553"/>
      <c r="S160" s="553"/>
      <c r="T160" s="553"/>
      <c r="U160" s="553"/>
      <c r="V160" s="55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hidden="1" x14ac:dyDescent="0.2">
      <c r="A161" s="550"/>
      <c r="B161" s="550"/>
      <c r="C161" s="550"/>
      <c r="D161" s="550"/>
      <c r="E161" s="550"/>
      <c r="F161" s="550"/>
      <c r="G161" s="550"/>
      <c r="H161" s="550"/>
      <c r="I161" s="550"/>
      <c r="J161" s="550"/>
      <c r="K161" s="550"/>
      <c r="L161" s="550"/>
      <c r="M161" s="550"/>
      <c r="N161" s="550"/>
      <c r="O161" s="568"/>
      <c r="P161" s="552" t="s">
        <v>71</v>
      </c>
      <c r="Q161" s="553"/>
      <c r="R161" s="553"/>
      <c r="S161" s="553"/>
      <c r="T161" s="553"/>
      <c r="U161" s="553"/>
      <c r="V161" s="55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hidden="1" customHeight="1" x14ac:dyDescent="0.25">
      <c r="A162" s="549" t="s">
        <v>64</v>
      </c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550"/>
      <c r="O162" s="550"/>
      <c r="P162" s="550"/>
      <c r="Q162" s="550"/>
      <c r="R162" s="550"/>
      <c r="S162" s="550"/>
      <c r="T162" s="550"/>
      <c r="U162" s="550"/>
      <c r="V162" s="550"/>
      <c r="W162" s="550"/>
      <c r="X162" s="550"/>
      <c r="Y162" s="550"/>
      <c r="Z162" s="550"/>
      <c r="AA162" s="539"/>
      <c r="AB162" s="539"/>
      <c r="AC162" s="539"/>
    </row>
    <row r="163" spans="1:68" ht="27" hidden="1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6"/>
      <c r="R163" s="556"/>
      <c r="S163" s="556"/>
      <c r="T163" s="557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6"/>
      <c r="R164" s="556"/>
      <c r="S164" s="556"/>
      <c r="T164" s="557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6"/>
      <c r="R165" s="556"/>
      <c r="S165" s="556"/>
      <c r="T165" s="557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6"/>
      <c r="R166" s="556"/>
      <c r="S166" s="556"/>
      <c r="T166" s="557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6"/>
      <c r="R168" s="556"/>
      <c r="S168" s="556"/>
      <c r="T168" s="557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6"/>
      <c r="R169" s="556"/>
      <c r="S169" s="556"/>
      <c r="T169" s="557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6"/>
      <c r="R170" s="556"/>
      <c r="S170" s="556"/>
      <c r="T170" s="557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67"/>
      <c r="B172" s="550"/>
      <c r="C172" s="550"/>
      <c r="D172" s="550"/>
      <c r="E172" s="550"/>
      <c r="F172" s="550"/>
      <c r="G172" s="550"/>
      <c r="H172" s="550"/>
      <c r="I172" s="550"/>
      <c r="J172" s="550"/>
      <c r="K172" s="550"/>
      <c r="L172" s="550"/>
      <c r="M172" s="550"/>
      <c r="N172" s="550"/>
      <c r="O172" s="568"/>
      <c r="P172" s="552" t="s">
        <v>71</v>
      </c>
      <c r="Q172" s="553"/>
      <c r="R172" s="553"/>
      <c r="S172" s="553"/>
      <c r="T172" s="553"/>
      <c r="U172" s="553"/>
      <c r="V172" s="55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0"/>
      <c r="B173" s="550"/>
      <c r="C173" s="550"/>
      <c r="D173" s="550"/>
      <c r="E173" s="550"/>
      <c r="F173" s="550"/>
      <c r="G173" s="550"/>
      <c r="H173" s="550"/>
      <c r="I173" s="550"/>
      <c r="J173" s="550"/>
      <c r="K173" s="550"/>
      <c r="L173" s="550"/>
      <c r="M173" s="550"/>
      <c r="N173" s="550"/>
      <c r="O173" s="568"/>
      <c r="P173" s="552" t="s">
        <v>71</v>
      </c>
      <c r="Q173" s="553"/>
      <c r="R173" s="553"/>
      <c r="S173" s="553"/>
      <c r="T173" s="553"/>
      <c r="U173" s="553"/>
      <c r="V173" s="55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49" t="s">
        <v>93</v>
      </c>
      <c r="B174" s="550"/>
      <c r="C174" s="550"/>
      <c r="D174" s="550"/>
      <c r="E174" s="550"/>
      <c r="F174" s="550"/>
      <c r="G174" s="550"/>
      <c r="H174" s="550"/>
      <c r="I174" s="550"/>
      <c r="J174" s="550"/>
      <c r="K174" s="550"/>
      <c r="L174" s="550"/>
      <c r="M174" s="550"/>
      <c r="N174" s="550"/>
      <c r="O174" s="550"/>
      <c r="P174" s="550"/>
      <c r="Q174" s="550"/>
      <c r="R174" s="550"/>
      <c r="S174" s="550"/>
      <c r="T174" s="550"/>
      <c r="U174" s="550"/>
      <c r="V174" s="550"/>
      <c r="W174" s="550"/>
      <c r="X174" s="550"/>
      <c r="Y174" s="550"/>
      <c r="Z174" s="550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6"/>
      <c r="R177" s="556"/>
      <c r="S177" s="556"/>
      <c r="T177" s="557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67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550"/>
      <c r="O178" s="568"/>
      <c r="P178" s="552" t="s">
        <v>71</v>
      </c>
      <c r="Q178" s="553"/>
      <c r="R178" s="553"/>
      <c r="S178" s="553"/>
      <c r="T178" s="553"/>
      <c r="U178" s="553"/>
      <c r="V178" s="55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0"/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550"/>
      <c r="O179" s="568"/>
      <c r="P179" s="552" t="s">
        <v>71</v>
      </c>
      <c r="Q179" s="553"/>
      <c r="R179" s="553"/>
      <c r="S179" s="553"/>
      <c r="T179" s="553"/>
      <c r="U179" s="553"/>
      <c r="V179" s="55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49" t="s">
        <v>296</v>
      </c>
      <c r="B180" s="550"/>
      <c r="C180" s="550"/>
      <c r="D180" s="550"/>
      <c r="E180" s="550"/>
      <c r="F180" s="550"/>
      <c r="G180" s="550"/>
      <c r="H180" s="550"/>
      <c r="I180" s="550"/>
      <c r="J180" s="550"/>
      <c r="K180" s="550"/>
      <c r="L180" s="550"/>
      <c r="M180" s="550"/>
      <c r="N180" s="550"/>
      <c r="O180" s="550"/>
      <c r="P180" s="550"/>
      <c r="Q180" s="550"/>
      <c r="R180" s="550"/>
      <c r="S180" s="550"/>
      <c r="T180" s="550"/>
      <c r="U180" s="550"/>
      <c r="V180" s="550"/>
      <c r="W180" s="550"/>
      <c r="X180" s="550"/>
      <c r="Y180" s="550"/>
      <c r="Z180" s="550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6"/>
      <c r="R181" s="556"/>
      <c r="S181" s="556"/>
      <c r="T181" s="557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67"/>
      <c r="B182" s="550"/>
      <c r="C182" s="550"/>
      <c r="D182" s="550"/>
      <c r="E182" s="550"/>
      <c r="F182" s="550"/>
      <c r="G182" s="550"/>
      <c r="H182" s="550"/>
      <c r="I182" s="550"/>
      <c r="J182" s="550"/>
      <c r="K182" s="550"/>
      <c r="L182" s="550"/>
      <c r="M182" s="550"/>
      <c r="N182" s="550"/>
      <c r="O182" s="568"/>
      <c r="P182" s="552" t="s">
        <v>71</v>
      </c>
      <c r="Q182" s="553"/>
      <c r="R182" s="553"/>
      <c r="S182" s="553"/>
      <c r="T182" s="553"/>
      <c r="U182" s="553"/>
      <c r="V182" s="55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0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0"/>
      <c r="O183" s="568"/>
      <c r="P183" s="552" t="s">
        <v>71</v>
      </c>
      <c r="Q183" s="553"/>
      <c r="R183" s="553"/>
      <c r="S183" s="553"/>
      <c r="T183" s="553"/>
      <c r="U183" s="553"/>
      <c r="V183" s="55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1" t="s">
        <v>299</v>
      </c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550"/>
      <c r="O184" s="550"/>
      <c r="P184" s="550"/>
      <c r="Q184" s="550"/>
      <c r="R184" s="550"/>
      <c r="S184" s="550"/>
      <c r="T184" s="550"/>
      <c r="U184" s="550"/>
      <c r="V184" s="550"/>
      <c r="W184" s="550"/>
      <c r="X184" s="550"/>
      <c r="Y184" s="550"/>
      <c r="Z184" s="550"/>
      <c r="AA184" s="538"/>
      <c r="AB184" s="538"/>
      <c r="AC184" s="538"/>
    </row>
    <row r="185" spans="1:68" ht="14.25" hidden="1" customHeight="1" x14ac:dyDescent="0.25">
      <c r="A185" s="549" t="s">
        <v>101</v>
      </c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550"/>
      <c r="O185" s="550"/>
      <c r="P185" s="550"/>
      <c r="Q185" s="550"/>
      <c r="R185" s="550"/>
      <c r="S185" s="550"/>
      <c r="T185" s="550"/>
      <c r="U185" s="550"/>
      <c r="V185" s="550"/>
      <c r="W185" s="550"/>
      <c r="X185" s="550"/>
      <c r="Y185" s="550"/>
      <c r="Z185" s="550"/>
      <c r="AA185" s="539"/>
      <c r="AB185" s="539"/>
      <c r="AC185" s="539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6"/>
      <c r="R186" s="556"/>
      <c r="S186" s="556"/>
      <c r="T186" s="557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6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6"/>
      <c r="R187" s="556"/>
      <c r="S187" s="556"/>
      <c r="T187" s="557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67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550"/>
      <c r="O188" s="568"/>
      <c r="P188" s="552" t="s">
        <v>71</v>
      </c>
      <c r="Q188" s="553"/>
      <c r="R188" s="553"/>
      <c r="S188" s="553"/>
      <c r="T188" s="553"/>
      <c r="U188" s="553"/>
      <c r="V188" s="55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0"/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550"/>
      <c r="O189" s="568"/>
      <c r="P189" s="552" t="s">
        <v>71</v>
      </c>
      <c r="Q189" s="553"/>
      <c r="R189" s="553"/>
      <c r="S189" s="553"/>
      <c r="T189" s="553"/>
      <c r="U189" s="553"/>
      <c r="V189" s="55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49" t="s">
        <v>136</v>
      </c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6"/>
      <c r="R191" s="556"/>
      <c r="S191" s="556"/>
      <c r="T191" s="557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6"/>
      <c r="R192" s="556"/>
      <c r="S192" s="556"/>
      <c r="T192" s="557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68"/>
      <c r="P193" s="552" t="s">
        <v>71</v>
      </c>
      <c r="Q193" s="553"/>
      <c r="R193" s="553"/>
      <c r="S193" s="553"/>
      <c r="T193" s="553"/>
      <c r="U193" s="553"/>
      <c r="V193" s="55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550"/>
      <c r="O194" s="568"/>
      <c r="P194" s="552" t="s">
        <v>71</v>
      </c>
      <c r="Q194" s="553"/>
      <c r="R194" s="553"/>
      <c r="S194" s="553"/>
      <c r="T194" s="553"/>
      <c r="U194" s="553"/>
      <c r="V194" s="55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49" t="s">
        <v>64</v>
      </c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39"/>
      <c r="AB195" s="539"/>
      <c r="AC195" s="539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6"/>
      <c r="R196" s="556"/>
      <c r="S196" s="556"/>
      <c r="T196" s="557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6"/>
      <c r="R197" s="556"/>
      <c r="S197" s="556"/>
      <c r="T197" s="557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6"/>
      <c r="R198" s="556"/>
      <c r="S198" s="556"/>
      <c r="T198" s="557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6"/>
      <c r="R200" s="556"/>
      <c r="S200" s="556"/>
      <c r="T200" s="557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6"/>
      <c r="R201" s="556"/>
      <c r="S201" s="556"/>
      <c r="T201" s="557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6"/>
      <c r="R202" s="556"/>
      <c r="S202" s="556"/>
      <c r="T202" s="557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6"/>
      <c r="R203" s="556"/>
      <c r="S203" s="556"/>
      <c r="T203" s="557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67"/>
      <c r="B204" s="550"/>
      <c r="C204" s="550"/>
      <c r="D204" s="550"/>
      <c r="E204" s="550"/>
      <c r="F204" s="550"/>
      <c r="G204" s="550"/>
      <c r="H204" s="550"/>
      <c r="I204" s="550"/>
      <c r="J204" s="550"/>
      <c r="K204" s="550"/>
      <c r="L204" s="550"/>
      <c r="M204" s="550"/>
      <c r="N204" s="550"/>
      <c r="O204" s="568"/>
      <c r="P204" s="552" t="s">
        <v>71</v>
      </c>
      <c r="Q204" s="553"/>
      <c r="R204" s="553"/>
      <c r="S204" s="553"/>
      <c r="T204" s="553"/>
      <c r="U204" s="553"/>
      <c r="V204" s="55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0"/>
      <c r="B205" s="550"/>
      <c r="C205" s="550"/>
      <c r="D205" s="550"/>
      <c r="E205" s="550"/>
      <c r="F205" s="550"/>
      <c r="G205" s="550"/>
      <c r="H205" s="550"/>
      <c r="I205" s="550"/>
      <c r="J205" s="550"/>
      <c r="K205" s="550"/>
      <c r="L205" s="550"/>
      <c r="M205" s="550"/>
      <c r="N205" s="550"/>
      <c r="O205" s="568"/>
      <c r="P205" s="552" t="s">
        <v>71</v>
      </c>
      <c r="Q205" s="553"/>
      <c r="R205" s="553"/>
      <c r="S205" s="553"/>
      <c r="T205" s="553"/>
      <c r="U205" s="553"/>
      <c r="V205" s="554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49" t="s">
        <v>73</v>
      </c>
      <c r="B206" s="550"/>
      <c r="C206" s="550"/>
      <c r="D206" s="550"/>
      <c r="E206" s="550"/>
      <c r="F206" s="550"/>
      <c r="G206" s="550"/>
      <c r="H206" s="550"/>
      <c r="I206" s="550"/>
      <c r="J206" s="550"/>
      <c r="K206" s="550"/>
      <c r="L206" s="550"/>
      <c r="M206" s="550"/>
      <c r="N206" s="550"/>
      <c r="O206" s="550"/>
      <c r="P206" s="550"/>
      <c r="Q206" s="550"/>
      <c r="R206" s="550"/>
      <c r="S206" s="550"/>
      <c r="T206" s="550"/>
      <c r="U206" s="550"/>
      <c r="V206" s="550"/>
      <c r="W206" s="550"/>
      <c r="X206" s="550"/>
      <c r="Y206" s="550"/>
      <c r="Z206" s="550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6"/>
      <c r="R208" s="556"/>
      <c r="S208" s="556"/>
      <c r="T208" s="557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59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6"/>
      <c r="R212" s="556"/>
      <c r="S212" s="556"/>
      <c r="T212" s="557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6"/>
      <c r="R213" s="556"/>
      <c r="S213" s="556"/>
      <c r="T213" s="557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7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6"/>
      <c r="R214" s="556"/>
      <c r="S214" s="556"/>
      <c r="T214" s="557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67"/>
      <c r="B216" s="550"/>
      <c r="C216" s="550"/>
      <c r="D216" s="550"/>
      <c r="E216" s="550"/>
      <c r="F216" s="550"/>
      <c r="G216" s="550"/>
      <c r="H216" s="550"/>
      <c r="I216" s="550"/>
      <c r="J216" s="550"/>
      <c r="K216" s="550"/>
      <c r="L216" s="550"/>
      <c r="M216" s="550"/>
      <c r="N216" s="550"/>
      <c r="O216" s="568"/>
      <c r="P216" s="552" t="s">
        <v>71</v>
      </c>
      <c r="Q216" s="553"/>
      <c r="R216" s="553"/>
      <c r="S216" s="553"/>
      <c r="T216" s="553"/>
      <c r="U216" s="553"/>
      <c r="V216" s="55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0"/>
      <c r="B217" s="550"/>
      <c r="C217" s="550"/>
      <c r="D217" s="550"/>
      <c r="E217" s="550"/>
      <c r="F217" s="550"/>
      <c r="G217" s="550"/>
      <c r="H217" s="550"/>
      <c r="I217" s="550"/>
      <c r="J217" s="550"/>
      <c r="K217" s="550"/>
      <c r="L217" s="550"/>
      <c r="M217" s="550"/>
      <c r="N217" s="550"/>
      <c r="O217" s="568"/>
      <c r="P217" s="552" t="s">
        <v>71</v>
      </c>
      <c r="Q217" s="553"/>
      <c r="R217" s="553"/>
      <c r="S217" s="553"/>
      <c r="T217" s="553"/>
      <c r="U217" s="553"/>
      <c r="V217" s="554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49" t="s">
        <v>166</v>
      </c>
      <c r="B218" s="550"/>
      <c r="C218" s="550"/>
      <c r="D218" s="550"/>
      <c r="E218" s="550"/>
      <c r="F218" s="550"/>
      <c r="G218" s="550"/>
      <c r="H218" s="550"/>
      <c r="I218" s="550"/>
      <c r="J218" s="550"/>
      <c r="K218" s="550"/>
      <c r="L218" s="550"/>
      <c r="M218" s="550"/>
      <c r="N218" s="550"/>
      <c r="O218" s="550"/>
      <c r="P218" s="550"/>
      <c r="Q218" s="550"/>
      <c r="R218" s="550"/>
      <c r="S218" s="550"/>
      <c r="T218" s="550"/>
      <c r="U218" s="550"/>
      <c r="V218" s="550"/>
      <c r="W218" s="550"/>
      <c r="X218" s="550"/>
      <c r="Y218" s="550"/>
      <c r="Z218" s="550"/>
      <c r="AA218" s="539"/>
      <c r="AB218" s="539"/>
      <c r="AC218" s="539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67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550"/>
      <c r="O221" s="568"/>
      <c r="P221" s="552" t="s">
        <v>71</v>
      </c>
      <c r="Q221" s="553"/>
      <c r="R221" s="553"/>
      <c r="S221" s="553"/>
      <c r="T221" s="553"/>
      <c r="U221" s="553"/>
      <c r="V221" s="55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550"/>
      <c r="O222" s="568"/>
      <c r="P222" s="552" t="s">
        <v>71</v>
      </c>
      <c r="Q222" s="553"/>
      <c r="R222" s="553"/>
      <c r="S222" s="553"/>
      <c r="T222" s="553"/>
      <c r="U222" s="553"/>
      <c r="V222" s="55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1" t="s">
        <v>359</v>
      </c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550"/>
      <c r="O223" s="550"/>
      <c r="P223" s="550"/>
      <c r="Q223" s="550"/>
      <c r="R223" s="550"/>
      <c r="S223" s="550"/>
      <c r="T223" s="550"/>
      <c r="U223" s="550"/>
      <c r="V223" s="550"/>
      <c r="W223" s="550"/>
      <c r="X223" s="550"/>
      <c r="Y223" s="550"/>
      <c r="Z223" s="550"/>
      <c r="AA223" s="538"/>
      <c r="AB223" s="538"/>
      <c r="AC223" s="538"/>
    </row>
    <row r="224" spans="1:68" ht="14.25" hidden="1" customHeight="1" x14ac:dyDescent="0.25">
      <c r="A224" s="549" t="s">
        <v>101</v>
      </c>
      <c r="B224" s="550"/>
      <c r="C224" s="550"/>
      <c r="D224" s="550"/>
      <c r="E224" s="550"/>
      <c r="F224" s="550"/>
      <c r="G224" s="550"/>
      <c r="H224" s="550"/>
      <c r="I224" s="550"/>
      <c r="J224" s="550"/>
      <c r="K224" s="550"/>
      <c r="L224" s="550"/>
      <c r="M224" s="550"/>
      <c r="N224" s="550"/>
      <c r="O224" s="550"/>
      <c r="P224" s="550"/>
      <c r="Q224" s="550"/>
      <c r="R224" s="550"/>
      <c r="S224" s="550"/>
      <c r="T224" s="550"/>
      <c r="U224" s="550"/>
      <c r="V224" s="550"/>
      <c r="W224" s="550"/>
      <c r="X224" s="550"/>
      <c r="Y224" s="550"/>
      <c r="Z224" s="550"/>
      <c r="AA224" s="539"/>
      <c r="AB224" s="539"/>
      <c r="AC224" s="539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6"/>
      <c r="R225" s="556"/>
      <c r="S225" s="556"/>
      <c r="T225" s="557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6"/>
      <c r="R226" s="556"/>
      <c r="S226" s="556"/>
      <c r="T226" s="557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6"/>
      <c r="R229" s="556"/>
      <c r="S229" s="556"/>
      <c r="T229" s="557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6"/>
      <c r="R230" s="556"/>
      <c r="S230" s="556"/>
      <c r="T230" s="557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6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6"/>
      <c r="R231" s="556"/>
      <c r="S231" s="556"/>
      <c r="T231" s="557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6"/>
      <c r="R232" s="556"/>
      <c r="S232" s="556"/>
      <c r="T232" s="557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67"/>
      <c r="B235" s="550"/>
      <c r="C235" s="550"/>
      <c r="D235" s="550"/>
      <c r="E235" s="550"/>
      <c r="F235" s="550"/>
      <c r="G235" s="550"/>
      <c r="H235" s="550"/>
      <c r="I235" s="550"/>
      <c r="J235" s="550"/>
      <c r="K235" s="550"/>
      <c r="L235" s="550"/>
      <c r="M235" s="550"/>
      <c r="N235" s="550"/>
      <c r="O235" s="568"/>
      <c r="P235" s="552" t="s">
        <v>71</v>
      </c>
      <c r="Q235" s="553"/>
      <c r="R235" s="553"/>
      <c r="S235" s="553"/>
      <c r="T235" s="553"/>
      <c r="U235" s="553"/>
      <c r="V235" s="55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0"/>
      <c r="B236" s="550"/>
      <c r="C236" s="550"/>
      <c r="D236" s="550"/>
      <c r="E236" s="550"/>
      <c r="F236" s="550"/>
      <c r="G236" s="550"/>
      <c r="H236" s="550"/>
      <c r="I236" s="550"/>
      <c r="J236" s="550"/>
      <c r="K236" s="550"/>
      <c r="L236" s="550"/>
      <c r="M236" s="550"/>
      <c r="N236" s="550"/>
      <c r="O236" s="568"/>
      <c r="P236" s="552" t="s">
        <v>71</v>
      </c>
      <c r="Q236" s="553"/>
      <c r="R236" s="553"/>
      <c r="S236" s="553"/>
      <c r="T236" s="553"/>
      <c r="U236" s="553"/>
      <c r="V236" s="55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49" t="s">
        <v>136</v>
      </c>
      <c r="B237" s="550"/>
      <c r="C237" s="550"/>
      <c r="D237" s="550"/>
      <c r="E237" s="550"/>
      <c r="F237" s="550"/>
      <c r="G237" s="550"/>
      <c r="H237" s="550"/>
      <c r="I237" s="550"/>
      <c r="J237" s="550"/>
      <c r="K237" s="550"/>
      <c r="L237" s="550"/>
      <c r="M237" s="550"/>
      <c r="N237" s="550"/>
      <c r="O237" s="550"/>
      <c r="P237" s="550"/>
      <c r="Q237" s="550"/>
      <c r="R237" s="550"/>
      <c r="S237" s="550"/>
      <c r="T237" s="550"/>
      <c r="U237" s="550"/>
      <c r="V237" s="550"/>
      <c r="W237" s="550"/>
      <c r="X237" s="550"/>
      <c r="Y237" s="550"/>
      <c r="Z237" s="550"/>
      <c r="AA237" s="539"/>
      <c r="AB237" s="539"/>
      <c r="AC237" s="539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67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550"/>
      <c r="O239" s="568"/>
      <c r="P239" s="552" t="s">
        <v>71</v>
      </c>
      <c r="Q239" s="553"/>
      <c r="R239" s="553"/>
      <c r="S239" s="553"/>
      <c r="T239" s="553"/>
      <c r="U239" s="553"/>
      <c r="V239" s="55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550"/>
      <c r="O240" s="568"/>
      <c r="P240" s="552" t="s">
        <v>71</v>
      </c>
      <c r="Q240" s="553"/>
      <c r="R240" s="553"/>
      <c r="S240" s="553"/>
      <c r="T240" s="553"/>
      <c r="U240" s="553"/>
      <c r="V240" s="55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49" t="s">
        <v>385</v>
      </c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550"/>
      <c r="O241" s="550"/>
      <c r="P241" s="550"/>
      <c r="Q241" s="550"/>
      <c r="R241" s="550"/>
      <c r="S241" s="550"/>
      <c r="T241" s="550"/>
      <c r="U241" s="550"/>
      <c r="V241" s="550"/>
      <c r="W241" s="550"/>
      <c r="X241" s="550"/>
      <c r="Y241" s="550"/>
      <c r="Z241" s="550"/>
      <c r="AA241" s="539"/>
      <c r="AB241" s="539"/>
      <c r="AC241" s="539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6"/>
      <c r="R242" s="556"/>
      <c r="S242" s="556"/>
      <c r="T242" s="557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550"/>
      <c r="O243" s="568"/>
      <c r="P243" s="552" t="s">
        <v>71</v>
      </c>
      <c r="Q243" s="553"/>
      <c r="R243" s="553"/>
      <c r="S243" s="553"/>
      <c r="T243" s="553"/>
      <c r="U243" s="553"/>
      <c r="V243" s="55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550"/>
      <c r="O244" s="568"/>
      <c r="P244" s="552" t="s">
        <v>71</v>
      </c>
      <c r="Q244" s="553"/>
      <c r="R244" s="553"/>
      <c r="S244" s="553"/>
      <c r="T244" s="553"/>
      <c r="U244" s="553"/>
      <c r="V244" s="55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49" t="s">
        <v>389</v>
      </c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550"/>
      <c r="O245" s="550"/>
      <c r="P245" s="550"/>
      <c r="Q245" s="550"/>
      <c r="R245" s="550"/>
      <c r="S245" s="550"/>
      <c r="T245" s="550"/>
      <c r="U245" s="550"/>
      <c r="V245" s="550"/>
      <c r="W245" s="550"/>
      <c r="X245" s="550"/>
      <c r="Y245" s="550"/>
      <c r="Z245" s="550"/>
      <c r="AA245" s="539"/>
      <c r="AB245" s="539"/>
      <c r="AC245" s="539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6"/>
      <c r="R246" s="556"/>
      <c r="S246" s="556"/>
      <c r="T246" s="557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6"/>
      <c r="R247" s="556"/>
      <c r="S247" s="556"/>
      <c r="T247" s="557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6"/>
      <c r="R248" s="556"/>
      <c r="S248" s="556"/>
      <c r="T248" s="557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6"/>
      <c r="R250" s="556"/>
      <c r="S250" s="556"/>
      <c r="T250" s="557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7"/>
      <c r="B251" s="550"/>
      <c r="C251" s="550"/>
      <c r="D251" s="550"/>
      <c r="E251" s="550"/>
      <c r="F251" s="550"/>
      <c r="G251" s="550"/>
      <c r="H251" s="550"/>
      <c r="I251" s="550"/>
      <c r="J251" s="550"/>
      <c r="K251" s="550"/>
      <c r="L251" s="550"/>
      <c r="M251" s="550"/>
      <c r="N251" s="550"/>
      <c r="O251" s="568"/>
      <c r="P251" s="552" t="s">
        <v>71</v>
      </c>
      <c r="Q251" s="553"/>
      <c r="R251" s="553"/>
      <c r="S251" s="553"/>
      <c r="T251" s="553"/>
      <c r="U251" s="553"/>
      <c r="V251" s="55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0"/>
      <c r="B252" s="550"/>
      <c r="C252" s="550"/>
      <c r="D252" s="550"/>
      <c r="E252" s="550"/>
      <c r="F252" s="550"/>
      <c r="G252" s="550"/>
      <c r="H252" s="550"/>
      <c r="I252" s="550"/>
      <c r="J252" s="550"/>
      <c r="K252" s="550"/>
      <c r="L252" s="550"/>
      <c r="M252" s="550"/>
      <c r="N252" s="550"/>
      <c r="O252" s="568"/>
      <c r="P252" s="552" t="s">
        <v>71</v>
      </c>
      <c r="Q252" s="553"/>
      <c r="R252" s="553"/>
      <c r="S252" s="553"/>
      <c r="T252" s="553"/>
      <c r="U252" s="553"/>
      <c r="V252" s="55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1" t="s">
        <v>401</v>
      </c>
      <c r="B253" s="550"/>
      <c r="C253" s="550"/>
      <c r="D253" s="550"/>
      <c r="E253" s="550"/>
      <c r="F253" s="550"/>
      <c r="G253" s="550"/>
      <c r="H253" s="550"/>
      <c r="I253" s="550"/>
      <c r="J253" s="550"/>
      <c r="K253" s="550"/>
      <c r="L253" s="550"/>
      <c r="M253" s="550"/>
      <c r="N253" s="550"/>
      <c r="O253" s="550"/>
      <c r="P253" s="550"/>
      <c r="Q253" s="550"/>
      <c r="R253" s="550"/>
      <c r="S253" s="550"/>
      <c r="T253" s="550"/>
      <c r="U253" s="550"/>
      <c r="V253" s="550"/>
      <c r="W253" s="550"/>
      <c r="X253" s="550"/>
      <c r="Y253" s="550"/>
      <c r="Z253" s="550"/>
      <c r="AA253" s="538"/>
      <c r="AB253" s="538"/>
      <c r="AC253" s="538"/>
    </row>
    <row r="254" spans="1:68" ht="14.25" hidden="1" customHeight="1" x14ac:dyDescent="0.25">
      <c r="A254" s="549" t="s">
        <v>101</v>
      </c>
      <c r="B254" s="550"/>
      <c r="C254" s="550"/>
      <c r="D254" s="550"/>
      <c r="E254" s="550"/>
      <c r="F254" s="550"/>
      <c r="G254" s="550"/>
      <c r="H254" s="550"/>
      <c r="I254" s="550"/>
      <c r="J254" s="550"/>
      <c r="K254" s="550"/>
      <c r="L254" s="550"/>
      <c r="M254" s="550"/>
      <c r="N254" s="550"/>
      <c r="O254" s="550"/>
      <c r="P254" s="550"/>
      <c r="Q254" s="550"/>
      <c r="R254" s="550"/>
      <c r="S254" s="550"/>
      <c r="T254" s="550"/>
      <c r="U254" s="550"/>
      <c r="V254" s="550"/>
      <c r="W254" s="550"/>
      <c r="X254" s="550"/>
      <c r="Y254" s="550"/>
      <c r="Z254" s="550"/>
      <c r="AA254" s="539"/>
      <c r="AB254" s="539"/>
      <c r="AC254" s="539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6"/>
      <c r="R258" s="556"/>
      <c r="S258" s="556"/>
      <c r="T258" s="557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6"/>
      <c r="R259" s="556"/>
      <c r="S259" s="556"/>
      <c r="T259" s="557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67"/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68"/>
      <c r="P260" s="552" t="s">
        <v>71</v>
      </c>
      <c r="Q260" s="553"/>
      <c r="R260" s="553"/>
      <c r="S260" s="553"/>
      <c r="T260" s="553"/>
      <c r="U260" s="553"/>
      <c r="V260" s="55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0"/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68"/>
      <c r="P261" s="552" t="s">
        <v>71</v>
      </c>
      <c r="Q261" s="553"/>
      <c r="R261" s="553"/>
      <c r="S261" s="553"/>
      <c r="T261" s="553"/>
      <c r="U261" s="553"/>
      <c r="V261" s="55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1" t="s">
        <v>417</v>
      </c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  <c r="Z262" s="550"/>
      <c r="AA262" s="538"/>
      <c r="AB262" s="538"/>
      <c r="AC262" s="538"/>
    </row>
    <row r="263" spans="1:68" ht="14.25" hidden="1" customHeight="1" x14ac:dyDescent="0.25">
      <c r="A263" s="549" t="s">
        <v>101</v>
      </c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  <c r="Z263" s="550"/>
      <c r="AA263" s="539"/>
      <c r="AB263" s="539"/>
      <c r="AC263" s="539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6"/>
      <c r="R264" s="556"/>
      <c r="S264" s="556"/>
      <c r="T264" s="557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0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6"/>
      <c r="R267" s="556"/>
      <c r="S267" s="556"/>
      <c r="T267" s="557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7"/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68"/>
      <c r="P268" s="552" t="s">
        <v>71</v>
      </c>
      <c r="Q268" s="553"/>
      <c r="R268" s="553"/>
      <c r="S268" s="553"/>
      <c r="T268" s="553"/>
      <c r="U268" s="553"/>
      <c r="V268" s="55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0"/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68"/>
      <c r="P269" s="552" t="s">
        <v>71</v>
      </c>
      <c r="Q269" s="553"/>
      <c r="R269" s="553"/>
      <c r="S269" s="553"/>
      <c r="T269" s="553"/>
      <c r="U269" s="553"/>
      <c r="V269" s="55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1" t="s">
        <v>428</v>
      </c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  <c r="Z270" s="550"/>
      <c r="AA270" s="538"/>
      <c r="AB270" s="538"/>
      <c r="AC270" s="538"/>
    </row>
    <row r="271" spans="1:68" ht="14.25" hidden="1" customHeight="1" x14ac:dyDescent="0.25">
      <c r="A271" s="549" t="s">
        <v>73</v>
      </c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  <c r="Z271" s="550"/>
      <c r="AA271" s="539"/>
      <c r="AB271" s="539"/>
      <c r="AC271" s="539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6"/>
      <c r="R274" s="556"/>
      <c r="S274" s="556"/>
      <c r="T274" s="557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7"/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68"/>
      <c r="P275" s="552" t="s">
        <v>71</v>
      </c>
      <c r="Q275" s="553"/>
      <c r="R275" s="553"/>
      <c r="S275" s="553"/>
      <c r="T275" s="553"/>
      <c r="U275" s="553"/>
      <c r="V275" s="55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0"/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68"/>
      <c r="P276" s="552" t="s">
        <v>71</v>
      </c>
      <c r="Q276" s="553"/>
      <c r="R276" s="553"/>
      <c r="S276" s="553"/>
      <c r="T276" s="553"/>
      <c r="U276" s="553"/>
      <c r="V276" s="55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1" t="s">
        <v>437</v>
      </c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  <c r="Z277" s="550"/>
      <c r="AA277" s="538"/>
      <c r="AB277" s="538"/>
      <c r="AC277" s="538"/>
    </row>
    <row r="278" spans="1:68" ht="14.25" hidden="1" customHeight="1" x14ac:dyDescent="0.25">
      <c r="A278" s="549" t="s">
        <v>64</v>
      </c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  <c r="Z278" s="550"/>
      <c r="AA278" s="539"/>
      <c r="AB278" s="539"/>
      <c r="AC278" s="539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6"/>
      <c r="R279" s="556"/>
      <c r="S279" s="556"/>
      <c r="T279" s="557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7"/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68"/>
      <c r="P281" s="552" t="s">
        <v>71</v>
      </c>
      <c r="Q281" s="553"/>
      <c r="R281" s="553"/>
      <c r="S281" s="553"/>
      <c r="T281" s="553"/>
      <c r="U281" s="553"/>
      <c r="V281" s="55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0"/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68"/>
      <c r="P282" s="552" t="s">
        <v>71</v>
      </c>
      <c r="Q282" s="553"/>
      <c r="R282" s="553"/>
      <c r="S282" s="553"/>
      <c r="T282" s="553"/>
      <c r="U282" s="553"/>
      <c r="V282" s="55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49" t="s">
        <v>73</v>
      </c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  <c r="Z283" s="550"/>
      <c r="AA283" s="539"/>
      <c r="AB283" s="539"/>
      <c r="AC283" s="539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6"/>
      <c r="R284" s="556"/>
      <c r="S284" s="556"/>
      <c r="T284" s="557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68"/>
      <c r="P285" s="552" t="s">
        <v>71</v>
      </c>
      <c r="Q285" s="553"/>
      <c r="R285" s="553"/>
      <c r="S285" s="553"/>
      <c r="T285" s="553"/>
      <c r="U285" s="553"/>
      <c r="V285" s="55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hidden="1" x14ac:dyDescent="0.2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68"/>
      <c r="P286" s="552" t="s">
        <v>71</v>
      </c>
      <c r="Q286" s="553"/>
      <c r="R286" s="553"/>
      <c r="S286" s="553"/>
      <c r="T286" s="553"/>
      <c r="U286" s="553"/>
      <c r="V286" s="55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1" t="s">
        <v>447</v>
      </c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  <c r="Z287" s="550"/>
      <c r="AA287" s="538"/>
      <c r="AB287" s="538"/>
      <c r="AC287" s="538"/>
    </row>
    <row r="288" spans="1:68" ht="14.25" hidden="1" customHeight="1" x14ac:dyDescent="0.25">
      <c r="A288" s="549" t="s">
        <v>101</v>
      </c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  <c r="Z288" s="550"/>
      <c r="AA288" s="539"/>
      <c r="AB288" s="539"/>
      <c r="AC288" s="539"/>
    </row>
    <row r="289" spans="1:68" ht="27" hidden="1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6"/>
      <c r="R289" s="556"/>
      <c r="S289" s="556"/>
      <c r="T289" s="557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6"/>
      <c r="R290" s="556"/>
      <c r="S290" s="556"/>
      <c r="T290" s="557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43">
        <v>30</v>
      </c>
      <c r="Y292" s="544">
        <f t="shared" si="26"/>
        <v>32.400000000000006</v>
      </c>
      <c r="Z292" s="36">
        <f>IFERROR(IF(Y292=0,"",ROUNDUP(Y292/H292,0)*0.01898),"")</f>
        <v>5.6940000000000004E-2</v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31.208333333333329</v>
      </c>
      <c r="BN292" s="64">
        <f t="shared" si="28"/>
        <v>33.705000000000005</v>
      </c>
      <c r="BO292" s="64">
        <f t="shared" si="29"/>
        <v>4.3402777777777776E-2</v>
      </c>
      <c r="BP292" s="64">
        <f t="shared" si="30"/>
        <v>4.6875000000000007E-2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6"/>
      <c r="R293" s="556"/>
      <c r="S293" s="556"/>
      <c r="T293" s="557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6"/>
      <c r="R294" s="556"/>
      <c r="S294" s="556"/>
      <c r="T294" s="557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67"/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68"/>
      <c r="P295" s="552" t="s">
        <v>71</v>
      </c>
      <c r="Q295" s="553"/>
      <c r="R295" s="553"/>
      <c r="S295" s="553"/>
      <c r="T295" s="553"/>
      <c r="U295" s="553"/>
      <c r="V295" s="554"/>
      <c r="W295" s="37" t="s">
        <v>72</v>
      </c>
      <c r="X295" s="545">
        <f>IFERROR(X289/H289,"0")+IFERROR(X290/H290,"0")+IFERROR(X291/H291,"0")+IFERROR(X292/H292,"0")+IFERROR(X293/H293,"0")+IFERROR(X294/H294,"0")</f>
        <v>2.7777777777777777</v>
      </c>
      <c r="Y295" s="545">
        <f>IFERROR(Y289/H289,"0")+IFERROR(Y290/H290,"0")+IFERROR(Y291/H291,"0")+IFERROR(Y292/H292,"0")+IFERROR(Y293/H293,"0")+IFERROR(Y294/H294,"0")</f>
        <v>3.0000000000000004</v>
      </c>
      <c r="Z295" s="545">
        <f>IFERROR(IF(Z289="",0,Z289),"0")+IFERROR(IF(Z290="",0,Z290),"0")+IFERROR(IF(Z291="",0,Z291),"0")+IFERROR(IF(Z292="",0,Z292),"0")+IFERROR(IF(Z293="",0,Z293),"0")+IFERROR(IF(Z294="",0,Z294),"0")</f>
        <v>5.6940000000000004E-2</v>
      </c>
      <c r="AA295" s="546"/>
      <c r="AB295" s="546"/>
      <c r="AC295" s="546"/>
    </row>
    <row r="296" spans="1:68" x14ac:dyDescent="0.2">
      <c r="A296" s="550"/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68"/>
      <c r="P296" s="552" t="s">
        <v>71</v>
      </c>
      <c r="Q296" s="553"/>
      <c r="R296" s="553"/>
      <c r="S296" s="553"/>
      <c r="T296" s="553"/>
      <c r="U296" s="553"/>
      <c r="V296" s="554"/>
      <c r="W296" s="37" t="s">
        <v>69</v>
      </c>
      <c r="X296" s="545">
        <f>IFERROR(SUM(X289:X294),"0")</f>
        <v>30</v>
      </c>
      <c r="Y296" s="545">
        <f>IFERROR(SUM(Y289:Y294),"0")</f>
        <v>32.400000000000006</v>
      </c>
      <c r="Z296" s="37"/>
      <c r="AA296" s="546"/>
      <c r="AB296" s="546"/>
      <c r="AC296" s="546"/>
    </row>
    <row r="297" spans="1:68" ht="14.25" hidden="1" customHeight="1" x14ac:dyDescent="0.25">
      <c r="A297" s="549" t="s">
        <v>64</v>
      </c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  <c r="Z297" s="550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6"/>
      <c r="R298" s="556"/>
      <c r="S298" s="556"/>
      <c r="T298" s="557"/>
      <c r="U298" s="34"/>
      <c r="V298" s="34"/>
      <c r="W298" s="35" t="s">
        <v>69</v>
      </c>
      <c r="X298" s="543">
        <v>150</v>
      </c>
      <c r="Y298" s="544">
        <f t="shared" ref="Y298:Y304" si="31">IFERROR(IF(X298="",0,CEILING((X298/$H298),1)*$H298),"")</f>
        <v>151.20000000000002</v>
      </c>
      <c r="Z298" s="36">
        <f>IFERROR(IF(Y298=0,"",ROUNDUP(Y298/H298,0)*0.00902),"")</f>
        <v>0.32472000000000001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159.64285714285714</v>
      </c>
      <c r="BN298" s="64">
        <f t="shared" ref="BN298:BN304" si="33">IFERROR(Y298*I298/H298,"0")</f>
        <v>160.91999999999999</v>
      </c>
      <c r="BO298" s="64">
        <f t="shared" ref="BO298:BO304" si="34">IFERROR(1/J298*(X298/H298),"0")</f>
        <v>0.27056277056277056</v>
      </c>
      <c r="BP298" s="64">
        <f t="shared" ref="BP298:BP304" si="35">IFERROR(1/J298*(Y298/H298),"0")</f>
        <v>0.27272727272727271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6"/>
      <c r="R299" s="556"/>
      <c r="S299" s="556"/>
      <c r="T299" s="557"/>
      <c r="U299" s="34"/>
      <c r="V299" s="34"/>
      <c r="W299" s="35" t="s">
        <v>69</v>
      </c>
      <c r="X299" s="543">
        <v>140</v>
      </c>
      <c r="Y299" s="544">
        <f t="shared" si="31"/>
        <v>142.80000000000001</v>
      </c>
      <c r="Z299" s="36">
        <f>IFERROR(IF(Y299=0,"",ROUNDUP(Y299/H299,0)*0.00902),"")</f>
        <v>0.30668000000000001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148.99999999999997</v>
      </c>
      <c r="BN299" s="64">
        <f t="shared" si="33"/>
        <v>151.97999999999999</v>
      </c>
      <c r="BO299" s="64">
        <f t="shared" si="34"/>
        <v>0.25252525252525249</v>
      </c>
      <c r="BP299" s="64">
        <f t="shared" si="35"/>
        <v>0.25757575757575757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6"/>
      <c r="R300" s="556"/>
      <c r="S300" s="556"/>
      <c r="T300" s="557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6"/>
      <c r="R301" s="556"/>
      <c r="S301" s="556"/>
      <c r="T301" s="557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6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6"/>
      <c r="R302" s="556"/>
      <c r="S302" s="556"/>
      <c r="T302" s="557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4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6"/>
      <c r="R303" s="556"/>
      <c r="S303" s="556"/>
      <c r="T303" s="557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6"/>
      <c r="R304" s="556"/>
      <c r="S304" s="556"/>
      <c r="T304" s="557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67"/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68"/>
      <c r="P305" s="552" t="s">
        <v>71</v>
      </c>
      <c r="Q305" s="553"/>
      <c r="R305" s="553"/>
      <c r="S305" s="553"/>
      <c r="T305" s="553"/>
      <c r="U305" s="553"/>
      <c r="V305" s="55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69.047619047619037</v>
      </c>
      <c r="Y305" s="545">
        <f>IFERROR(Y298/H298,"0")+IFERROR(Y299/H299,"0")+IFERROR(Y300/H300,"0")+IFERROR(Y301/H301,"0")+IFERROR(Y302/H302,"0")+IFERROR(Y303/H303,"0")+IFERROR(Y304/H304,"0")</f>
        <v>70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0.63139999999999996</v>
      </c>
      <c r="AA305" s="546"/>
      <c r="AB305" s="546"/>
      <c r="AC305" s="546"/>
    </row>
    <row r="306" spans="1:68" x14ac:dyDescent="0.2">
      <c r="A306" s="550"/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68"/>
      <c r="P306" s="552" t="s">
        <v>71</v>
      </c>
      <c r="Q306" s="553"/>
      <c r="R306" s="553"/>
      <c r="S306" s="553"/>
      <c r="T306" s="553"/>
      <c r="U306" s="553"/>
      <c r="V306" s="554"/>
      <c r="W306" s="37" t="s">
        <v>69</v>
      </c>
      <c r="X306" s="545">
        <f>IFERROR(SUM(X298:X304),"0")</f>
        <v>290</v>
      </c>
      <c r="Y306" s="545">
        <f>IFERROR(SUM(Y298:Y304),"0")</f>
        <v>294</v>
      </c>
      <c r="Z306" s="37"/>
      <c r="AA306" s="546"/>
      <c r="AB306" s="546"/>
      <c r="AC306" s="546"/>
    </row>
    <row r="307" spans="1:68" ht="14.25" hidden="1" customHeight="1" x14ac:dyDescent="0.25">
      <c r="A307" s="549" t="s">
        <v>73</v>
      </c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  <c r="Z307" s="550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6"/>
      <c r="R308" s="556"/>
      <c r="S308" s="556"/>
      <c r="T308" s="557"/>
      <c r="U308" s="34"/>
      <c r="V308" s="34"/>
      <c r="W308" s="35" t="s">
        <v>69</v>
      </c>
      <c r="X308" s="543">
        <v>900</v>
      </c>
      <c r="Y308" s="544">
        <f>IFERROR(IF(X308="",0,CEILING((X308/$H308),1)*$H308),"")</f>
        <v>904.8</v>
      </c>
      <c r="Z308" s="36">
        <f>IFERROR(IF(Y308=0,"",ROUNDUP(Y308/H308,0)*0.01898),"")</f>
        <v>2.2016800000000001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959.19230769230785</v>
      </c>
      <c r="BN308" s="64">
        <f>IFERROR(Y308*I308/H308,"0")</f>
        <v>964.30799999999999</v>
      </c>
      <c r="BO308" s="64">
        <f>IFERROR(1/J308*(X308/H308),"0")</f>
        <v>1.8028846153846154</v>
      </c>
      <c r="BP308" s="64">
        <f>IFERROR(1/J308*(Y308/H308),"0")</f>
        <v>1.8125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6"/>
      <c r="R311" s="556"/>
      <c r="S311" s="556"/>
      <c r="T311" s="557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6"/>
      <c r="R312" s="556"/>
      <c r="S312" s="556"/>
      <c r="T312" s="557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67"/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68"/>
      <c r="P313" s="552" t="s">
        <v>71</v>
      </c>
      <c r="Q313" s="553"/>
      <c r="R313" s="553"/>
      <c r="S313" s="553"/>
      <c r="T313" s="553"/>
      <c r="U313" s="553"/>
      <c r="V313" s="554"/>
      <c r="W313" s="37" t="s">
        <v>72</v>
      </c>
      <c r="X313" s="545">
        <f>IFERROR(X308/H308,"0")+IFERROR(X309/H309,"0")+IFERROR(X310/H310,"0")+IFERROR(X311/H311,"0")+IFERROR(X312/H312,"0")</f>
        <v>115.38461538461539</v>
      </c>
      <c r="Y313" s="545">
        <f>IFERROR(Y308/H308,"0")+IFERROR(Y309/H309,"0")+IFERROR(Y310/H310,"0")+IFERROR(Y311/H311,"0")+IFERROR(Y312/H312,"0")</f>
        <v>116</v>
      </c>
      <c r="Z313" s="545">
        <f>IFERROR(IF(Z308="",0,Z308),"0")+IFERROR(IF(Z309="",0,Z309),"0")+IFERROR(IF(Z310="",0,Z310),"0")+IFERROR(IF(Z311="",0,Z311),"0")+IFERROR(IF(Z312="",0,Z312),"0")</f>
        <v>2.2016800000000001</v>
      </c>
      <c r="AA313" s="546"/>
      <c r="AB313" s="546"/>
      <c r="AC313" s="546"/>
    </row>
    <row r="314" spans="1:68" x14ac:dyDescent="0.2">
      <c r="A314" s="550"/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68"/>
      <c r="P314" s="552" t="s">
        <v>71</v>
      </c>
      <c r="Q314" s="553"/>
      <c r="R314" s="553"/>
      <c r="S314" s="553"/>
      <c r="T314" s="553"/>
      <c r="U314" s="553"/>
      <c r="V314" s="554"/>
      <c r="W314" s="37" t="s">
        <v>69</v>
      </c>
      <c r="X314" s="545">
        <f>IFERROR(SUM(X308:X312),"0")</f>
        <v>900</v>
      </c>
      <c r="Y314" s="545">
        <f>IFERROR(SUM(Y308:Y312),"0")</f>
        <v>904.8</v>
      </c>
      <c r="Z314" s="37"/>
      <c r="AA314" s="546"/>
      <c r="AB314" s="546"/>
      <c r="AC314" s="546"/>
    </row>
    <row r="315" spans="1:68" ht="14.25" hidden="1" customHeight="1" x14ac:dyDescent="0.25">
      <c r="A315" s="549" t="s">
        <v>166</v>
      </c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  <c r="Z315" s="550"/>
      <c r="AA315" s="539"/>
      <c r="AB315" s="539"/>
      <c r="AC315" s="539"/>
    </row>
    <row r="316" spans="1:68" ht="27" hidden="1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6"/>
      <c r="R316" s="556"/>
      <c r="S316" s="556"/>
      <c r="T316" s="557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6"/>
      <c r="R317" s="556"/>
      <c r="S317" s="556"/>
      <c r="T317" s="557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hidden="1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7"/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68"/>
      <c r="P319" s="552" t="s">
        <v>71</v>
      </c>
      <c r="Q319" s="553"/>
      <c r="R319" s="553"/>
      <c r="S319" s="553"/>
      <c r="T319" s="553"/>
      <c r="U319" s="553"/>
      <c r="V319" s="554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hidden="1" x14ac:dyDescent="0.2">
      <c r="A320" s="550"/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68"/>
      <c r="P320" s="552" t="s">
        <v>71</v>
      </c>
      <c r="Q320" s="553"/>
      <c r="R320" s="553"/>
      <c r="S320" s="553"/>
      <c r="T320" s="553"/>
      <c r="U320" s="553"/>
      <c r="V320" s="554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hidden="1" customHeight="1" x14ac:dyDescent="0.25">
      <c r="A321" s="549" t="s">
        <v>93</v>
      </c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  <c r="Z321" s="550"/>
      <c r="AA321" s="539"/>
      <c r="AB321" s="539"/>
      <c r="AC321" s="539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6"/>
      <c r="R322" s="556"/>
      <c r="S322" s="556"/>
      <c r="T322" s="557"/>
      <c r="U322" s="34"/>
      <c r="V322" s="34"/>
      <c r="W322" s="35" t="s">
        <v>69</v>
      </c>
      <c r="X322" s="543">
        <v>12</v>
      </c>
      <c r="Y322" s="544">
        <f>IFERROR(IF(X322="",0,CEILING((X322/$H322),1)*$H322),"")</f>
        <v>12.16</v>
      </c>
      <c r="Z322" s="36">
        <f>IFERROR(IF(Y322=0,"",ROUNDUP(Y322/H322,0)*0.00902),"")</f>
        <v>3.6080000000000001E-2</v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13.144736842105264</v>
      </c>
      <c r="BN322" s="64">
        <f>IFERROR(Y322*I322/H322,"0")</f>
        <v>13.32</v>
      </c>
      <c r="BO322" s="64">
        <f>IFERROR(1/J322*(X322/H322),"0")</f>
        <v>2.9904306220095694E-2</v>
      </c>
      <c r="BP322" s="64">
        <f>IFERROR(1/J322*(Y322/H322),"0")</f>
        <v>3.0303030303030304E-2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0" t="s">
        <v>513</v>
      </c>
      <c r="Q323" s="556"/>
      <c r="R323" s="556"/>
      <c r="S323" s="556"/>
      <c r="T323" s="557"/>
      <c r="U323" s="34"/>
      <c r="V323" s="34"/>
      <c r="W323" s="35" t="s">
        <v>69</v>
      </c>
      <c r="X323" s="543">
        <v>12</v>
      </c>
      <c r="Y323" s="544">
        <f>IFERROR(IF(X323="",0,CEILING((X323/$H323),1)*$H323),"")</f>
        <v>12.16</v>
      </c>
      <c r="Z323" s="36">
        <f>IFERROR(IF(Y323=0,"",ROUNDUP(Y323/H323,0)*0.00902),"")</f>
        <v>3.6080000000000001E-2</v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12.986842105263159</v>
      </c>
      <c r="BN323" s="64">
        <f>IFERROR(Y323*I323/H323,"0")</f>
        <v>13.16</v>
      </c>
      <c r="BO323" s="64">
        <f>IFERROR(1/J323*(X323/H323),"0")</f>
        <v>2.9904306220095694E-2</v>
      </c>
      <c r="BP323" s="64">
        <f>IFERROR(1/J323*(Y323/H323),"0")</f>
        <v>3.0303030303030304E-2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6"/>
      <c r="R324" s="556"/>
      <c r="S324" s="556"/>
      <c r="T324" s="557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6"/>
      <c r="R325" s="556"/>
      <c r="S325" s="556"/>
      <c r="T325" s="557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67"/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68"/>
      <c r="P326" s="552" t="s">
        <v>71</v>
      </c>
      <c r="Q326" s="553"/>
      <c r="R326" s="553"/>
      <c r="S326" s="553"/>
      <c r="T326" s="553"/>
      <c r="U326" s="553"/>
      <c r="V326" s="554"/>
      <c r="W326" s="37" t="s">
        <v>72</v>
      </c>
      <c r="X326" s="545">
        <f>IFERROR(X322/H322,"0")+IFERROR(X323/H323,"0")+IFERROR(X324/H324,"0")+IFERROR(X325/H325,"0")</f>
        <v>7.8947368421052628</v>
      </c>
      <c r="Y326" s="545">
        <f>IFERROR(Y322/H322,"0")+IFERROR(Y323/H323,"0")+IFERROR(Y324/H324,"0")+IFERROR(Y325/H325,"0")</f>
        <v>8</v>
      </c>
      <c r="Z326" s="545">
        <f>IFERROR(IF(Z322="",0,Z322),"0")+IFERROR(IF(Z323="",0,Z323),"0")+IFERROR(IF(Z324="",0,Z324),"0")+IFERROR(IF(Z325="",0,Z325),"0")</f>
        <v>7.2160000000000002E-2</v>
      </c>
      <c r="AA326" s="546"/>
      <c r="AB326" s="546"/>
      <c r="AC326" s="546"/>
    </row>
    <row r="327" spans="1:68" x14ac:dyDescent="0.2">
      <c r="A327" s="550"/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68"/>
      <c r="P327" s="552" t="s">
        <v>71</v>
      </c>
      <c r="Q327" s="553"/>
      <c r="R327" s="553"/>
      <c r="S327" s="553"/>
      <c r="T327" s="553"/>
      <c r="U327" s="553"/>
      <c r="V327" s="554"/>
      <c r="W327" s="37" t="s">
        <v>69</v>
      </c>
      <c r="X327" s="545">
        <f>IFERROR(SUM(X322:X325),"0")</f>
        <v>24</v>
      </c>
      <c r="Y327" s="545">
        <f>IFERROR(SUM(Y322:Y325),"0")</f>
        <v>24.32</v>
      </c>
      <c r="Z327" s="37"/>
      <c r="AA327" s="546"/>
      <c r="AB327" s="546"/>
      <c r="AC327" s="546"/>
    </row>
    <row r="328" spans="1:68" ht="14.25" hidden="1" customHeight="1" x14ac:dyDescent="0.25">
      <c r="A328" s="549" t="s">
        <v>519</v>
      </c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  <c r="Z328" s="550"/>
      <c r="AA328" s="539"/>
      <c r="AB328" s="539"/>
      <c r="AC328" s="539"/>
    </row>
    <row r="329" spans="1:68" ht="16.5" hidden="1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6"/>
      <c r="R329" s="556"/>
      <c r="S329" s="556"/>
      <c r="T329" s="557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6"/>
      <c r="R330" s="556"/>
      <c r="S330" s="556"/>
      <c r="T330" s="557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7"/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68"/>
      <c r="P332" s="552" t="s">
        <v>71</v>
      </c>
      <c r="Q332" s="553"/>
      <c r="R332" s="553"/>
      <c r="S332" s="553"/>
      <c r="T332" s="553"/>
      <c r="U332" s="553"/>
      <c r="V332" s="55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0"/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68"/>
      <c r="P333" s="552" t="s">
        <v>71</v>
      </c>
      <c r="Q333" s="553"/>
      <c r="R333" s="553"/>
      <c r="S333" s="553"/>
      <c r="T333" s="553"/>
      <c r="U333" s="553"/>
      <c r="V333" s="55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1" t="s">
        <v>528</v>
      </c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  <c r="Z334" s="550"/>
      <c r="AA334" s="538"/>
      <c r="AB334" s="538"/>
      <c r="AC334" s="538"/>
    </row>
    <row r="335" spans="1:68" ht="14.25" hidden="1" customHeight="1" x14ac:dyDescent="0.25">
      <c r="A335" s="549" t="s">
        <v>73</v>
      </c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  <c r="Z335" s="550"/>
      <c r="AA335" s="539"/>
      <c r="AB335" s="539"/>
      <c r="AC335" s="539"/>
    </row>
    <row r="336" spans="1:68" ht="27" hidden="1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6"/>
      <c r="R336" s="556"/>
      <c r="S336" s="556"/>
      <c r="T336" s="557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6"/>
      <c r="R337" s="556"/>
      <c r="S337" s="556"/>
      <c r="T337" s="557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6"/>
      <c r="R338" s="556"/>
      <c r="S338" s="556"/>
      <c r="T338" s="557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67"/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68"/>
      <c r="P339" s="552" t="s">
        <v>71</v>
      </c>
      <c r="Q339" s="553"/>
      <c r="R339" s="553"/>
      <c r="S339" s="553"/>
      <c r="T339" s="553"/>
      <c r="U339" s="553"/>
      <c r="V339" s="554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hidden="1" x14ac:dyDescent="0.2">
      <c r="A340" s="550"/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68"/>
      <c r="P340" s="552" t="s">
        <v>71</v>
      </c>
      <c r="Q340" s="553"/>
      <c r="R340" s="553"/>
      <c r="S340" s="553"/>
      <c r="T340" s="553"/>
      <c r="U340" s="553"/>
      <c r="V340" s="554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hidden="1" customHeight="1" x14ac:dyDescent="0.2">
      <c r="A341" s="563" t="s">
        <v>538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48"/>
      <c r="AB341" s="48"/>
      <c r="AC341" s="48"/>
    </row>
    <row r="342" spans="1:68" ht="16.5" hidden="1" customHeight="1" x14ac:dyDescent="0.25">
      <c r="A342" s="551" t="s">
        <v>539</v>
      </c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  <c r="Z342" s="550"/>
      <c r="AA342" s="538"/>
      <c r="AB342" s="538"/>
      <c r="AC342" s="538"/>
    </row>
    <row r="343" spans="1:68" ht="14.25" hidden="1" customHeight="1" x14ac:dyDescent="0.25">
      <c r="A343" s="549" t="s">
        <v>101</v>
      </c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  <c r="Z343" s="550"/>
      <c r="AA343" s="539"/>
      <c r="AB343" s="539"/>
      <c r="AC343" s="539"/>
    </row>
    <row r="344" spans="1:68" ht="37.5" hidden="1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6"/>
      <c r="R344" s="556"/>
      <c r="S344" s="556"/>
      <c r="T344" s="557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6"/>
      <c r="R345" s="556"/>
      <c r="S345" s="556"/>
      <c r="T345" s="557"/>
      <c r="U345" s="34"/>
      <c r="V345" s="34"/>
      <c r="W345" s="35" t="s">
        <v>69</v>
      </c>
      <c r="X345" s="543">
        <v>30</v>
      </c>
      <c r="Y345" s="544">
        <f t="shared" si="36"/>
        <v>30</v>
      </c>
      <c r="Z345" s="36">
        <f>IFERROR(IF(Y345=0,"",ROUNDUP(Y345/H345,0)*0.02175),"")</f>
        <v>4.3499999999999997E-2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30.96</v>
      </c>
      <c r="BN345" s="64">
        <f t="shared" si="38"/>
        <v>30.96</v>
      </c>
      <c r="BO345" s="64">
        <f t="shared" si="39"/>
        <v>4.1666666666666664E-2</v>
      </c>
      <c r="BP345" s="64">
        <f t="shared" si="40"/>
        <v>4.1666666666666664E-2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4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6"/>
      <c r="R346" s="556"/>
      <c r="S346" s="556"/>
      <c r="T346" s="557"/>
      <c r="U346" s="34"/>
      <c r="V346" s="34"/>
      <c r="W346" s="35" t="s">
        <v>69</v>
      </c>
      <c r="X346" s="543">
        <v>1000</v>
      </c>
      <c r="Y346" s="544">
        <f t="shared" si="36"/>
        <v>1005</v>
      </c>
      <c r="Z346" s="36">
        <f>IFERROR(IF(Y346=0,"",ROUNDUP(Y346/H346,0)*0.02175),"")</f>
        <v>1.4572499999999999</v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1032</v>
      </c>
      <c r="BN346" s="64">
        <f t="shared" si="38"/>
        <v>1037.1600000000001</v>
      </c>
      <c r="BO346" s="64">
        <f t="shared" si="39"/>
        <v>1.3888888888888888</v>
      </c>
      <c r="BP346" s="64">
        <f t="shared" si="40"/>
        <v>1.3958333333333333</v>
      </c>
    </row>
    <row r="347" spans="1:68" ht="37.5" hidden="1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6"/>
      <c r="R347" s="556"/>
      <c r="S347" s="556"/>
      <c r="T347" s="557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6"/>
      <c r="R348" s="556"/>
      <c r="S348" s="556"/>
      <c r="T348" s="557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6"/>
      <c r="R349" s="556"/>
      <c r="S349" s="556"/>
      <c r="T349" s="557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4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67"/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68"/>
      <c r="P351" s="552" t="s">
        <v>71</v>
      </c>
      <c r="Q351" s="553"/>
      <c r="R351" s="553"/>
      <c r="S351" s="553"/>
      <c r="T351" s="553"/>
      <c r="U351" s="553"/>
      <c r="V351" s="55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68.666666666666671</v>
      </c>
      <c r="Y351" s="545">
        <f>IFERROR(Y344/H344,"0")+IFERROR(Y345/H345,"0")+IFERROR(Y346/H346,"0")+IFERROR(Y347/H347,"0")+IFERROR(Y348/H348,"0")+IFERROR(Y349/H349,"0")+IFERROR(Y350/H350,"0")</f>
        <v>69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1.50075</v>
      </c>
      <c r="AA351" s="546"/>
      <c r="AB351" s="546"/>
      <c r="AC351" s="546"/>
    </row>
    <row r="352" spans="1:68" x14ac:dyDescent="0.2">
      <c r="A352" s="550"/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68"/>
      <c r="P352" s="552" t="s">
        <v>71</v>
      </c>
      <c r="Q352" s="553"/>
      <c r="R352" s="553"/>
      <c r="S352" s="553"/>
      <c r="T352" s="553"/>
      <c r="U352" s="553"/>
      <c r="V352" s="554"/>
      <c r="W352" s="37" t="s">
        <v>69</v>
      </c>
      <c r="X352" s="545">
        <f>IFERROR(SUM(X344:X350),"0")</f>
        <v>1030</v>
      </c>
      <c r="Y352" s="545">
        <f>IFERROR(SUM(Y344:Y350),"0")</f>
        <v>1035</v>
      </c>
      <c r="Z352" s="37"/>
      <c r="AA352" s="546"/>
      <c r="AB352" s="546"/>
      <c r="AC352" s="546"/>
    </row>
    <row r="353" spans="1:68" ht="14.25" hidden="1" customHeight="1" x14ac:dyDescent="0.25">
      <c r="A353" s="549" t="s">
        <v>136</v>
      </c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  <c r="Z353" s="550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6"/>
      <c r="R354" s="556"/>
      <c r="S354" s="556"/>
      <c r="T354" s="557"/>
      <c r="U354" s="34"/>
      <c r="V354" s="34"/>
      <c r="W354" s="35" t="s">
        <v>69</v>
      </c>
      <c r="X354" s="543">
        <v>400</v>
      </c>
      <c r="Y354" s="544">
        <f>IFERROR(IF(X354="",0,CEILING((X354/$H354),1)*$H354),"")</f>
        <v>405</v>
      </c>
      <c r="Z354" s="36">
        <f>IFERROR(IF(Y354=0,"",ROUNDUP(Y354/H354,0)*0.02175),"")</f>
        <v>0.58724999999999994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412.8</v>
      </c>
      <c r="BN354" s="64">
        <f>IFERROR(Y354*I354/H354,"0")</f>
        <v>417.96000000000004</v>
      </c>
      <c r="BO354" s="64">
        <f>IFERROR(1/J354*(X354/H354),"0")</f>
        <v>0.55555555555555558</v>
      </c>
      <c r="BP354" s="64">
        <f>IFERROR(1/J354*(Y354/H354),"0")</f>
        <v>0.5625</v>
      </c>
    </row>
    <row r="355" spans="1:68" ht="16.5" hidden="1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6"/>
      <c r="R355" s="556"/>
      <c r="S355" s="556"/>
      <c r="T355" s="557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67"/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68"/>
      <c r="P356" s="552" t="s">
        <v>71</v>
      </c>
      <c r="Q356" s="553"/>
      <c r="R356" s="553"/>
      <c r="S356" s="553"/>
      <c r="T356" s="553"/>
      <c r="U356" s="553"/>
      <c r="V356" s="554"/>
      <c r="W356" s="37" t="s">
        <v>72</v>
      </c>
      <c r="X356" s="545">
        <f>IFERROR(X354/H354,"0")+IFERROR(X355/H355,"0")</f>
        <v>26.666666666666668</v>
      </c>
      <c r="Y356" s="545">
        <f>IFERROR(Y354/H354,"0")+IFERROR(Y355/H355,"0")</f>
        <v>27</v>
      </c>
      <c r="Z356" s="545">
        <f>IFERROR(IF(Z354="",0,Z354),"0")+IFERROR(IF(Z355="",0,Z355),"0")</f>
        <v>0.58724999999999994</v>
      </c>
      <c r="AA356" s="546"/>
      <c r="AB356" s="546"/>
      <c r="AC356" s="546"/>
    </row>
    <row r="357" spans="1:68" x14ac:dyDescent="0.2">
      <c r="A357" s="550"/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68"/>
      <c r="P357" s="552" t="s">
        <v>71</v>
      </c>
      <c r="Q357" s="553"/>
      <c r="R357" s="553"/>
      <c r="S357" s="553"/>
      <c r="T357" s="553"/>
      <c r="U357" s="553"/>
      <c r="V357" s="554"/>
      <c r="W357" s="37" t="s">
        <v>69</v>
      </c>
      <c r="X357" s="545">
        <f>IFERROR(SUM(X354:X355),"0")</f>
        <v>400</v>
      </c>
      <c r="Y357" s="545">
        <f>IFERROR(SUM(Y354:Y355),"0")</f>
        <v>405</v>
      </c>
      <c r="Z357" s="37"/>
      <c r="AA357" s="546"/>
      <c r="AB357" s="546"/>
      <c r="AC357" s="546"/>
    </row>
    <row r="358" spans="1:68" ht="14.25" hidden="1" customHeight="1" x14ac:dyDescent="0.25">
      <c r="A358" s="549" t="s">
        <v>73</v>
      </c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  <c r="Z358" s="550"/>
      <c r="AA358" s="539"/>
      <c r="AB358" s="539"/>
      <c r="AC358" s="539"/>
    </row>
    <row r="359" spans="1:68" ht="27" hidden="1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6"/>
      <c r="R359" s="556"/>
      <c r="S359" s="556"/>
      <c r="T359" s="557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6"/>
      <c r="R360" s="556"/>
      <c r="S360" s="556"/>
      <c r="T360" s="557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67"/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68"/>
      <c r="P361" s="552" t="s">
        <v>71</v>
      </c>
      <c r="Q361" s="553"/>
      <c r="R361" s="553"/>
      <c r="S361" s="553"/>
      <c r="T361" s="553"/>
      <c r="U361" s="553"/>
      <c r="V361" s="55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0"/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68"/>
      <c r="P362" s="552" t="s">
        <v>71</v>
      </c>
      <c r="Q362" s="553"/>
      <c r="R362" s="553"/>
      <c r="S362" s="553"/>
      <c r="T362" s="553"/>
      <c r="U362" s="553"/>
      <c r="V362" s="55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49" t="s">
        <v>166</v>
      </c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  <c r="Z363" s="550"/>
      <c r="AA363" s="539"/>
      <c r="AB363" s="539"/>
      <c r="AC363" s="539"/>
    </row>
    <row r="364" spans="1:68" ht="16.5" hidden="1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6"/>
      <c r="R364" s="556"/>
      <c r="S364" s="556"/>
      <c r="T364" s="557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7"/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68"/>
      <c r="P365" s="552" t="s">
        <v>71</v>
      </c>
      <c r="Q365" s="553"/>
      <c r="R365" s="553"/>
      <c r="S365" s="553"/>
      <c r="T365" s="553"/>
      <c r="U365" s="553"/>
      <c r="V365" s="55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0"/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68"/>
      <c r="P366" s="552" t="s">
        <v>71</v>
      </c>
      <c r="Q366" s="553"/>
      <c r="R366" s="553"/>
      <c r="S366" s="553"/>
      <c r="T366" s="553"/>
      <c r="U366" s="553"/>
      <c r="V366" s="55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1" t="s">
        <v>573</v>
      </c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  <c r="Z367" s="550"/>
      <c r="AA367" s="538"/>
      <c r="AB367" s="538"/>
      <c r="AC367" s="538"/>
    </row>
    <row r="368" spans="1:68" ht="14.25" hidden="1" customHeight="1" x14ac:dyDescent="0.25">
      <c r="A368" s="549" t="s">
        <v>101</v>
      </c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  <c r="Z368" s="550"/>
      <c r="AA368" s="539"/>
      <c r="AB368" s="539"/>
      <c r="AC368" s="539"/>
    </row>
    <row r="369" spans="1:68" ht="37.5" hidden="1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6"/>
      <c r="R369" s="556"/>
      <c r="S369" s="556"/>
      <c r="T369" s="557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7"/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68"/>
      <c r="P371" s="552" t="s">
        <v>71</v>
      </c>
      <c r="Q371" s="553"/>
      <c r="R371" s="553"/>
      <c r="S371" s="553"/>
      <c r="T371" s="553"/>
      <c r="U371" s="553"/>
      <c r="V371" s="55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0"/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68"/>
      <c r="P372" s="552" t="s">
        <v>71</v>
      </c>
      <c r="Q372" s="553"/>
      <c r="R372" s="553"/>
      <c r="S372" s="553"/>
      <c r="T372" s="553"/>
      <c r="U372" s="553"/>
      <c r="V372" s="55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49" t="s">
        <v>64</v>
      </c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  <c r="Z373" s="550"/>
      <c r="AA373" s="539"/>
      <c r="AB373" s="539"/>
      <c r="AC373" s="539"/>
    </row>
    <row r="374" spans="1:68" ht="27" hidden="1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6"/>
      <c r="R374" s="556"/>
      <c r="S374" s="556"/>
      <c r="T374" s="557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7"/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68"/>
      <c r="P376" s="552" t="s">
        <v>71</v>
      </c>
      <c r="Q376" s="553"/>
      <c r="R376" s="553"/>
      <c r="S376" s="553"/>
      <c r="T376" s="553"/>
      <c r="U376" s="553"/>
      <c r="V376" s="55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0"/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68"/>
      <c r="P377" s="552" t="s">
        <v>71</v>
      </c>
      <c r="Q377" s="553"/>
      <c r="R377" s="553"/>
      <c r="S377" s="553"/>
      <c r="T377" s="553"/>
      <c r="U377" s="553"/>
      <c r="V377" s="55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49" t="s">
        <v>73</v>
      </c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  <c r="Z378" s="550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6"/>
      <c r="R379" s="556"/>
      <c r="S379" s="556"/>
      <c r="T379" s="557"/>
      <c r="U379" s="34"/>
      <c r="V379" s="34"/>
      <c r="W379" s="35" t="s">
        <v>69</v>
      </c>
      <c r="X379" s="543">
        <v>300</v>
      </c>
      <c r="Y379" s="544">
        <f>IFERROR(IF(X379="",0,CEILING((X379/$H379),1)*$H379),"")</f>
        <v>306</v>
      </c>
      <c r="Z379" s="36">
        <f>IFERROR(IF(Y379=0,"",ROUNDUP(Y379/H379,0)*0.01898),"")</f>
        <v>0.64532</v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317.29999999999995</v>
      </c>
      <c r="BN379" s="64">
        <f>IFERROR(Y379*I379/H379,"0")</f>
        <v>323.64599999999996</v>
      </c>
      <c r="BO379" s="64">
        <f>IFERROR(1/J379*(X379/H379),"0")</f>
        <v>0.52083333333333337</v>
      </c>
      <c r="BP379" s="64">
        <f>IFERROR(1/J379*(Y379/H379),"0")</f>
        <v>0.53125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2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6"/>
      <c r="R380" s="556"/>
      <c r="S380" s="556"/>
      <c r="T380" s="557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7"/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68"/>
      <c r="P381" s="552" t="s">
        <v>71</v>
      </c>
      <c r="Q381" s="553"/>
      <c r="R381" s="553"/>
      <c r="S381" s="553"/>
      <c r="T381" s="553"/>
      <c r="U381" s="553"/>
      <c r="V381" s="554"/>
      <c r="W381" s="37" t="s">
        <v>72</v>
      </c>
      <c r="X381" s="545">
        <f>IFERROR(X379/H379,"0")+IFERROR(X380/H380,"0")</f>
        <v>33.333333333333336</v>
      </c>
      <c r="Y381" s="545">
        <f>IFERROR(Y379/H379,"0")+IFERROR(Y380/H380,"0")</f>
        <v>34</v>
      </c>
      <c r="Z381" s="545">
        <f>IFERROR(IF(Z379="",0,Z379),"0")+IFERROR(IF(Z380="",0,Z380),"0")</f>
        <v>0.64532</v>
      </c>
      <c r="AA381" s="546"/>
      <c r="AB381" s="546"/>
      <c r="AC381" s="546"/>
    </row>
    <row r="382" spans="1:68" x14ac:dyDescent="0.2">
      <c r="A382" s="550"/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68"/>
      <c r="P382" s="552" t="s">
        <v>71</v>
      </c>
      <c r="Q382" s="553"/>
      <c r="R382" s="553"/>
      <c r="S382" s="553"/>
      <c r="T382" s="553"/>
      <c r="U382" s="553"/>
      <c r="V382" s="554"/>
      <c r="W382" s="37" t="s">
        <v>69</v>
      </c>
      <c r="X382" s="545">
        <f>IFERROR(SUM(X379:X380),"0")</f>
        <v>300</v>
      </c>
      <c r="Y382" s="545">
        <f>IFERROR(SUM(Y379:Y380),"0")</f>
        <v>306</v>
      </c>
      <c r="Z382" s="37"/>
      <c r="AA382" s="546"/>
      <c r="AB382" s="546"/>
      <c r="AC382" s="546"/>
    </row>
    <row r="383" spans="1:68" ht="27.75" hidden="1" customHeight="1" x14ac:dyDescent="0.2">
      <c r="A383" s="563" t="s">
        <v>589</v>
      </c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4"/>
      <c r="P383" s="564"/>
      <c r="Q383" s="564"/>
      <c r="R383" s="564"/>
      <c r="S383" s="564"/>
      <c r="T383" s="564"/>
      <c r="U383" s="564"/>
      <c r="V383" s="564"/>
      <c r="W383" s="564"/>
      <c r="X383" s="564"/>
      <c r="Y383" s="564"/>
      <c r="Z383" s="564"/>
      <c r="AA383" s="48"/>
      <c r="AB383" s="48"/>
      <c r="AC383" s="48"/>
    </row>
    <row r="384" spans="1:68" ht="16.5" hidden="1" customHeight="1" x14ac:dyDescent="0.25">
      <c r="A384" s="551" t="s">
        <v>590</v>
      </c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  <c r="Z384" s="550"/>
      <c r="AA384" s="538"/>
      <c r="AB384" s="538"/>
      <c r="AC384" s="538"/>
    </row>
    <row r="385" spans="1:68" ht="14.25" hidden="1" customHeight="1" x14ac:dyDescent="0.25">
      <c r="A385" s="549" t="s">
        <v>64</v>
      </c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  <c r="Z385" s="550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6"/>
      <c r="R386" s="556"/>
      <c r="S386" s="556"/>
      <c r="T386" s="557"/>
      <c r="U386" s="34"/>
      <c r="V386" s="34"/>
      <c r="W386" s="35" t="s">
        <v>69</v>
      </c>
      <c r="X386" s="543">
        <v>30</v>
      </c>
      <c r="Y386" s="544">
        <f t="shared" ref="Y386:Y394" si="41">IFERROR(IF(X386="",0,CEILING((X386/$H386),1)*$H386),"")</f>
        <v>32.400000000000006</v>
      </c>
      <c r="Z386" s="36">
        <f>IFERROR(IF(Y386=0,"",ROUNDUP(Y386/H386,0)*0.00902),"")</f>
        <v>5.4120000000000001E-2</v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31.166666666666668</v>
      </c>
      <c r="BN386" s="64">
        <f t="shared" ref="BN386:BN394" si="43">IFERROR(Y386*I386/H386,"0")</f>
        <v>33.660000000000004</v>
      </c>
      <c r="BO386" s="64">
        <f t="shared" ref="BO386:BO394" si="44">IFERROR(1/J386*(X386/H386),"0")</f>
        <v>4.208754208754209E-2</v>
      </c>
      <c r="BP386" s="64">
        <f t="shared" ref="BP386:BP394" si="45">IFERROR(1/J386*(Y386/H386),"0")</f>
        <v>4.5454545454545463E-2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6"/>
      <c r="R387" s="556"/>
      <c r="S387" s="556"/>
      <c r="T387" s="557"/>
      <c r="U387" s="34"/>
      <c r="V387" s="34"/>
      <c r="W387" s="35" t="s">
        <v>69</v>
      </c>
      <c r="X387" s="543">
        <v>8</v>
      </c>
      <c r="Y387" s="544">
        <f t="shared" si="41"/>
        <v>10.8</v>
      </c>
      <c r="Z387" s="36">
        <f>IFERROR(IF(Y387=0,"",ROUNDUP(Y387/H387,0)*0.00902),"")</f>
        <v>1.804E-2</v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8.3111111111111118</v>
      </c>
      <c r="BN387" s="64">
        <f t="shared" si="43"/>
        <v>11.22</v>
      </c>
      <c r="BO387" s="64">
        <f t="shared" si="44"/>
        <v>1.1223344556677889E-2</v>
      </c>
      <c r="BP387" s="64">
        <f t="shared" si="45"/>
        <v>1.5151515151515152E-2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6"/>
      <c r="R388" s="556"/>
      <c r="S388" s="556"/>
      <c r="T388" s="557"/>
      <c r="U388" s="34"/>
      <c r="V388" s="34"/>
      <c r="W388" s="35" t="s">
        <v>69</v>
      </c>
      <c r="X388" s="543">
        <v>4</v>
      </c>
      <c r="Y388" s="544">
        <f t="shared" si="41"/>
        <v>5.4</v>
      </c>
      <c r="Z388" s="36">
        <f>IFERROR(IF(Y388=0,"",ROUNDUP(Y388/H388,0)*0.00902),"")</f>
        <v>9.0200000000000002E-3</v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4.1555555555555559</v>
      </c>
      <c r="BN388" s="64">
        <f t="shared" si="43"/>
        <v>5.61</v>
      </c>
      <c r="BO388" s="64">
        <f t="shared" si="44"/>
        <v>5.6116722783389446E-3</v>
      </c>
      <c r="BP388" s="64">
        <f t="shared" si="45"/>
        <v>7.575757575757576E-3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6"/>
      <c r="R389" s="556"/>
      <c r="S389" s="556"/>
      <c r="T389" s="557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6"/>
      <c r="R390" s="556"/>
      <c r="S390" s="556"/>
      <c r="T390" s="557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6"/>
      <c r="R391" s="556"/>
      <c r="S391" s="556"/>
      <c r="T391" s="557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6"/>
      <c r="R392" s="556"/>
      <c r="S392" s="556"/>
      <c r="T392" s="557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80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6"/>
      <c r="R393" s="556"/>
      <c r="S393" s="556"/>
      <c r="T393" s="557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6"/>
      <c r="R394" s="556"/>
      <c r="S394" s="556"/>
      <c r="T394" s="557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67"/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68"/>
      <c r="P395" s="552" t="s">
        <v>71</v>
      </c>
      <c r="Q395" s="553"/>
      <c r="R395" s="553"/>
      <c r="S395" s="553"/>
      <c r="T395" s="553"/>
      <c r="U395" s="553"/>
      <c r="V395" s="55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7.7777777777777768</v>
      </c>
      <c r="Y395" s="545">
        <f>IFERROR(Y386/H386,"0")+IFERROR(Y387/H387,"0")+IFERROR(Y388/H388,"0")+IFERROR(Y389/H389,"0")+IFERROR(Y390/H390,"0")+IFERROR(Y391/H391,"0")+IFERROR(Y392/H392,"0")+IFERROR(Y393/H393,"0")+IFERROR(Y394/H394,"0")</f>
        <v>9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8.1180000000000002E-2</v>
      </c>
      <c r="AA395" s="546"/>
      <c r="AB395" s="546"/>
      <c r="AC395" s="546"/>
    </row>
    <row r="396" spans="1:68" x14ac:dyDescent="0.2">
      <c r="A396" s="550"/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68"/>
      <c r="P396" s="552" t="s">
        <v>71</v>
      </c>
      <c r="Q396" s="553"/>
      <c r="R396" s="553"/>
      <c r="S396" s="553"/>
      <c r="T396" s="553"/>
      <c r="U396" s="553"/>
      <c r="V396" s="554"/>
      <c r="W396" s="37" t="s">
        <v>69</v>
      </c>
      <c r="X396" s="545">
        <f>IFERROR(SUM(X386:X394),"0")</f>
        <v>42</v>
      </c>
      <c r="Y396" s="545">
        <f>IFERROR(SUM(Y386:Y394),"0")</f>
        <v>48.6</v>
      </c>
      <c r="Z396" s="37"/>
      <c r="AA396" s="546"/>
      <c r="AB396" s="546"/>
      <c r="AC396" s="546"/>
    </row>
    <row r="397" spans="1:68" ht="14.25" hidden="1" customHeight="1" x14ac:dyDescent="0.25">
      <c r="A397" s="549" t="s">
        <v>73</v>
      </c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  <c r="Z397" s="550"/>
      <c r="AA397" s="539"/>
      <c r="AB397" s="539"/>
      <c r="AC397" s="539"/>
    </row>
    <row r="398" spans="1:68" ht="27" hidden="1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6"/>
      <c r="R399" s="556"/>
      <c r="S399" s="556"/>
      <c r="T399" s="557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67"/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68"/>
      <c r="P400" s="552" t="s">
        <v>71</v>
      </c>
      <c r="Q400" s="553"/>
      <c r="R400" s="553"/>
      <c r="S400" s="553"/>
      <c r="T400" s="553"/>
      <c r="U400" s="553"/>
      <c r="V400" s="55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0"/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68"/>
      <c r="P401" s="552" t="s">
        <v>71</v>
      </c>
      <c r="Q401" s="553"/>
      <c r="R401" s="553"/>
      <c r="S401" s="553"/>
      <c r="T401" s="553"/>
      <c r="U401" s="553"/>
      <c r="V401" s="55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1" t="s">
        <v>621</v>
      </c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  <c r="Z402" s="550"/>
      <c r="AA402" s="538"/>
      <c r="AB402" s="538"/>
      <c r="AC402" s="538"/>
    </row>
    <row r="403" spans="1:68" ht="14.25" hidden="1" customHeight="1" x14ac:dyDescent="0.25">
      <c r="A403" s="549" t="s">
        <v>136</v>
      </c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  <c r="Z403" s="550"/>
      <c r="AA403" s="539"/>
      <c r="AB403" s="539"/>
      <c r="AC403" s="539"/>
    </row>
    <row r="404" spans="1:68" ht="27" hidden="1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6"/>
      <c r="R404" s="556"/>
      <c r="S404" s="556"/>
      <c r="T404" s="557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7"/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68"/>
      <c r="P405" s="552" t="s">
        <v>71</v>
      </c>
      <c r="Q405" s="553"/>
      <c r="R405" s="553"/>
      <c r="S405" s="553"/>
      <c r="T405" s="553"/>
      <c r="U405" s="553"/>
      <c r="V405" s="55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0"/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68"/>
      <c r="P406" s="552" t="s">
        <v>71</v>
      </c>
      <c r="Q406" s="553"/>
      <c r="R406" s="553"/>
      <c r="S406" s="553"/>
      <c r="T406" s="553"/>
      <c r="U406" s="553"/>
      <c r="V406" s="55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49" t="s">
        <v>64</v>
      </c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  <c r="Z407" s="550"/>
      <c r="AA407" s="539"/>
      <c r="AB407" s="539"/>
      <c r="AC407" s="539"/>
    </row>
    <row r="408" spans="1:68" ht="27" hidden="1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6"/>
      <c r="R408" s="556"/>
      <c r="S408" s="556"/>
      <c r="T408" s="557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6"/>
      <c r="R409" s="556"/>
      <c r="S409" s="556"/>
      <c r="T409" s="557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6"/>
      <c r="R410" s="556"/>
      <c r="S410" s="556"/>
      <c r="T410" s="557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6"/>
      <c r="R411" s="556"/>
      <c r="S411" s="556"/>
      <c r="T411" s="557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7"/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68"/>
      <c r="P412" s="552" t="s">
        <v>71</v>
      </c>
      <c r="Q412" s="553"/>
      <c r="R412" s="553"/>
      <c r="S412" s="553"/>
      <c r="T412" s="553"/>
      <c r="U412" s="553"/>
      <c r="V412" s="55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0"/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68"/>
      <c r="P413" s="552" t="s">
        <v>71</v>
      </c>
      <c r="Q413" s="553"/>
      <c r="R413" s="553"/>
      <c r="S413" s="553"/>
      <c r="T413" s="553"/>
      <c r="U413" s="553"/>
      <c r="V413" s="55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1" t="s">
        <v>636</v>
      </c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  <c r="Z414" s="550"/>
      <c r="AA414" s="538"/>
      <c r="AB414" s="538"/>
      <c r="AC414" s="538"/>
    </row>
    <row r="415" spans="1:68" ht="14.25" hidden="1" customHeight="1" x14ac:dyDescent="0.25">
      <c r="A415" s="549" t="s">
        <v>64</v>
      </c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  <c r="Z415" s="550"/>
      <c r="AA415" s="539"/>
      <c r="AB415" s="539"/>
      <c r="AC415" s="539"/>
    </row>
    <row r="416" spans="1:68" ht="27" hidden="1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7"/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68"/>
      <c r="P417" s="552" t="s">
        <v>71</v>
      </c>
      <c r="Q417" s="553"/>
      <c r="R417" s="553"/>
      <c r="S417" s="553"/>
      <c r="T417" s="553"/>
      <c r="U417" s="553"/>
      <c r="V417" s="55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0"/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68"/>
      <c r="P418" s="552" t="s">
        <v>71</v>
      </c>
      <c r="Q418" s="553"/>
      <c r="R418" s="553"/>
      <c r="S418" s="553"/>
      <c r="T418" s="553"/>
      <c r="U418" s="553"/>
      <c r="V418" s="55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3" t="s">
        <v>640</v>
      </c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  <c r="AA419" s="48"/>
      <c r="AB419" s="48"/>
      <c r="AC419" s="48"/>
    </row>
    <row r="420" spans="1:68" ht="16.5" hidden="1" customHeight="1" x14ac:dyDescent="0.25">
      <c r="A420" s="551" t="s">
        <v>640</v>
      </c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  <c r="Z420" s="550"/>
      <c r="AA420" s="538"/>
      <c r="AB420" s="538"/>
      <c r="AC420" s="538"/>
    </row>
    <row r="421" spans="1:68" ht="14.25" hidden="1" customHeight="1" x14ac:dyDescent="0.25">
      <c r="A421" s="549" t="s">
        <v>101</v>
      </c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  <c r="Z421" s="550"/>
      <c r="AA421" s="539"/>
      <c r="AB421" s="539"/>
      <c r="AC421" s="539"/>
    </row>
    <row r="422" spans="1:68" ht="27" hidden="1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6"/>
      <c r="R422" s="556"/>
      <c r="S422" s="556"/>
      <c r="T422" s="557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6"/>
      <c r="R423" s="556"/>
      <c r="S423" s="556"/>
      <c r="T423" s="557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6"/>
      <c r="R424" s="556"/>
      <c r="S424" s="556"/>
      <c r="T424" s="557"/>
      <c r="U424" s="34"/>
      <c r="V424" s="34"/>
      <c r="W424" s="35" t="s">
        <v>69</v>
      </c>
      <c r="X424" s="543">
        <v>20</v>
      </c>
      <c r="Y424" s="544">
        <f t="shared" si="47"/>
        <v>21.12</v>
      </c>
      <c r="Z424" s="36">
        <f t="shared" si="48"/>
        <v>4.7840000000000001E-2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21.363636363636363</v>
      </c>
      <c r="BN424" s="64">
        <f t="shared" si="50"/>
        <v>22.56</v>
      </c>
      <c r="BO424" s="64">
        <f t="shared" si="51"/>
        <v>3.6421911421911424E-2</v>
      </c>
      <c r="BP424" s="64">
        <f t="shared" si="52"/>
        <v>3.8461538461538464E-2</v>
      </c>
    </row>
    <row r="425" spans="1:68" ht="27" hidden="1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6"/>
      <c r="R425" s="556"/>
      <c r="S425" s="556"/>
      <c r="T425" s="557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6"/>
      <c r="R426" s="556"/>
      <c r="S426" s="556"/>
      <c r="T426" s="557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6"/>
      <c r="R427" s="556"/>
      <c r="S427" s="556"/>
      <c r="T427" s="557"/>
      <c r="U427" s="34"/>
      <c r="V427" s="34"/>
      <c r="W427" s="35" t="s">
        <v>69</v>
      </c>
      <c r="X427" s="543">
        <v>100</v>
      </c>
      <c r="Y427" s="544">
        <f t="shared" si="47"/>
        <v>100.32000000000001</v>
      </c>
      <c r="Z427" s="36">
        <f t="shared" si="48"/>
        <v>0.22724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106.81818181818181</v>
      </c>
      <c r="BN427" s="64">
        <f t="shared" si="50"/>
        <v>107.16</v>
      </c>
      <c r="BO427" s="64">
        <f t="shared" si="51"/>
        <v>0.18210955710955709</v>
      </c>
      <c r="BP427" s="64">
        <f t="shared" si="52"/>
        <v>0.18269230769230771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6"/>
      <c r="R428" s="556"/>
      <c r="S428" s="556"/>
      <c r="T428" s="557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6"/>
      <c r="R429" s="556"/>
      <c r="S429" s="556"/>
      <c r="T429" s="557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6"/>
      <c r="R430" s="556"/>
      <c r="S430" s="556"/>
      <c r="T430" s="557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6"/>
      <c r="R431" s="556"/>
      <c r="S431" s="556"/>
      <c r="T431" s="557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67"/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68"/>
      <c r="P433" s="552" t="s">
        <v>71</v>
      </c>
      <c r="Q433" s="553"/>
      <c r="R433" s="553"/>
      <c r="S433" s="553"/>
      <c r="T433" s="553"/>
      <c r="U433" s="553"/>
      <c r="V433" s="55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22.727272727272727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23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0.27507999999999999</v>
      </c>
      <c r="AA433" s="546"/>
      <c r="AB433" s="546"/>
      <c r="AC433" s="546"/>
    </row>
    <row r="434" spans="1:68" x14ac:dyDescent="0.2">
      <c r="A434" s="550"/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68"/>
      <c r="P434" s="552" t="s">
        <v>71</v>
      </c>
      <c r="Q434" s="553"/>
      <c r="R434" s="553"/>
      <c r="S434" s="553"/>
      <c r="T434" s="553"/>
      <c r="U434" s="553"/>
      <c r="V434" s="554"/>
      <c r="W434" s="37" t="s">
        <v>69</v>
      </c>
      <c r="X434" s="545">
        <f>IFERROR(SUM(X422:X432),"0")</f>
        <v>120</v>
      </c>
      <c r="Y434" s="545">
        <f>IFERROR(SUM(Y422:Y432),"0")</f>
        <v>121.44000000000001</v>
      </c>
      <c r="Z434" s="37"/>
      <c r="AA434" s="546"/>
      <c r="AB434" s="546"/>
      <c r="AC434" s="546"/>
    </row>
    <row r="435" spans="1:68" ht="14.25" hidden="1" customHeight="1" x14ac:dyDescent="0.25">
      <c r="A435" s="549" t="s">
        <v>136</v>
      </c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  <c r="Z435" s="550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6"/>
      <c r="R436" s="556"/>
      <c r="S436" s="556"/>
      <c r="T436" s="557"/>
      <c r="U436" s="34"/>
      <c r="V436" s="34"/>
      <c r="W436" s="35" t="s">
        <v>69</v>
      </c>
      <c r="X436" s="543">
        <v>100</v>
      </c>
      <c r="Y436" s="544">
        <f>IFERROR(IF(X436="",0,CEILING((X436/$H436),1)*$H436),"")</f>
        <v>100.32000000000001</v>
      </c>
      <c r="Z436" s="36">
        <f>IFERROR(IF(Y436=0,"",ROUNDUP(Y436/H436,0)*0.01196),"")</f>
        <v>0.22724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106.81818181818181</v>
      </c>
      <c r="BN436" s="64">
        <f>IFERROR(Y436*I436/H436,"0")</f>
        <v>107.16</v>
      </c>
      <c r="BO436" s="64">
        <f>IFERROR(1/J436*(X436/H436),"0")</f>
        <v>0.18210955710955709</v>
      </c>
      <c r="BP436" s="64">
        <f>IFERROR(1/J436*(Y436/H436),"0")</f>
        <v>0.18269230769230771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6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6"/>
      <c r="R437" s="556"/>
      <c r="S437" s="556"/>
      <c r="T437" s="557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7"/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68"/>
      <c r="P439" s="552" t="s">
        <v>71</v>
      </c>
      <c r="Q439" s="553"/>
      <c r="R439" s="553"/>
      <c r="S439" s="553"/>
      <c r="T439" s="553"/>
      <c r="U439" s="553"/>
      <c r="V439" s="554"/>
      <c r="W439" s="37" t="s">
        <v>72</v>
      </c>
      <c r="X439" s="545">
        <f>IFERROR(X436/H436,"0")+IFERROR(X437/H437,"0")+IFERROR(X438/H438,"0")</f>
        <v>18.939393939393938</v>
      </c>
      <c r="Y439" s="545">
        <f>IFERROR(Y436/H436,"0")+IFERROR(Y437/H437,"0")+IFERROR(Y438/H438,"0")</f>
        <v>19</v>
      </c>
      <c r="Z439" s="545">
        <f>IFERROR(IF(Z436="",0,Z436),"0")+IFERROR(IF(Z437="",0,Z437),"0")+IFERROR(IF(Z438="",0,Z438),"0")</f>
        <v>0.22724</v>
      </c>
      <c r="AA439" s="546"/>
      <c r="AB439" s="546"/>
      <c r="AC439" s="546"/>
    </row>
    <row r="440" spans="1:68" x14ac:dyDescent="0.2">
      <c r="A440" s="550"/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68"/>
      <c r="P440" s="552" t="s">
        <v>71</v>
      </c>
      <c r="Q440" s="553"/>
      <c r="R440" s="553"/>
      <c r="S440" s="553"/>
      <c r="T440" s="553"/>
      <c r="U440" s="553"/>
      <c r="V440" s="554"/>
      <c r="W440" s="37" t="s">
        <v>69</v>
      </c>
      <c r="X440" s="545">
        <f>IFERROR(SUM(X436:X438),"0")</f>
        <v>100</v>
      </c>
      <c r="Y440" s="545">
        <f>IFERROR(SUM(Y436:Y438),"0")</f>
        <v>100.32000000000001</v>
      </c>
      <c r="Z440" s="37"/>
      <c r="AA440" s="546"/>
      <c r="AB440" s="546"/>
      <c r="AC440" s="546"/>
    </row>
    <row r="441" spans="1:68" ht="14.25" hidden="1" customHeight="1" x14ac:dyDescent="0.25">
      <c r="A441" s="549" t="s">
        <v>64</v>
      </c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  <c r="Z441" s="550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6"/>
      <c r="R442" s="556"/>
      <c r="S442" s="556"/>
      <c r="T442" s="557"/>
      <c r="U442" s="34"/>
      <c r="V442" s="34"/>
      <c r="W442" s="35" t="s">
        <v>69</v>
      </c>
      <c r="X442" s="543">
        <v>70</v>
      </c>
      <c r="Y442" s="544">
        <f t="shared" ref="Y442:Y447" si="53">IFERROR(IF(X442="",0,CEILING((X442/$H442),1)*$H442),"")</f>
        <v>73.92</v>
      </c>
      <c r="Z442" s="36">
        <f>IFERROR(IF(Y442=0,"",ROUNDUP(Y442/H442,0)*0.01196),"")</f>
        <v>0.16744000000000001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74.772727272727266</v>
      </c>
      <c r="BN442" s="64">
        <f t="shared" ref="BN442:BN447" si="55">IFERROR(Y442*I442/H442,"0")</f>
        <v>78.959999999999994</v>
      </c>
      <c r="BO442" s="64">
        <f t="shared" ref="BO442:BO447" si="56">IFERROR(1/J442*(X442/H442),"0")</f>
        <v>0.12747668997668998</v>
      </c>
      <c r="BP442" s="64">
        <f t="shared" ref="BP442:BP447" si="57">IFERROR(1/J442*(Y442/H442),"0")</f>
        <v>0.13461538461538464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6"/>
      <c r="R443" s="556"/>
      <c r="S443" s="556"/>
      <c r="T443" s="557"/>
      <c r="U443" s="34"/>
      <c r="V443" s="34"/>
      <c r="W443" s="35" t="s">
        <v>69</v>
      </c>
      <c r="X443" s="543">
        <v>10</v>
      </c>
      <c r="Y443" s="544">
        <f t="shared" si="53"/>
        <v>10.56</v>
      </c>
      <c r="Z443" s="36">
        <f>IFERROR(IF(Y443=0,"",ROUNDUP(Y443/H443,0)*0.01196),"")</f>
        <v>2.392E-2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10.681818181818182</v>
      </c>
      <c r="BN443" s="64">
        <f t="shared" si="55"/>
        <v>11.28</v>
      </c>
      <c r="BO443" s="64">
        <f t="shared" si="56"/>
        <v>1.8210955710955712E-2</v>
      </c>
      <c r="BP443" s="64">
        <f t="shared" si="57"/>
        <v>1.9230769230769232E-2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6"/>
      <c r="R444" s="556"/>
      <c r="S444" s="556"/>
      <c r="T444" s="557"/>
      <c r="U444" s="34"/>
      <c r="V444" s="34"/>
      <c r="W444" s="35" t="s">
        <v>69</v>
      </c>
      <c r="X444" s="543">
        <v>140</v>
      </c>
      <c r="Y444" s="544">
        <f t="shared" si="53"/>
        <v>142.56</v>
      </c>
      <c r="Z444" s="36">
        <f>IFERROR(IF(Y444=0,"",ROUNDUP(Y444/H444,0)*0.01196),"")</f>
        <v>0.32291999999999998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149.54545454545453</v>
      </c>
      <c r="BN444" s="64">
        <f t="shared" si="55"/>
        <v>152.27999999999997</v>
      </c>
      <c r="BO444" s="64">
        <f t="shared" si="56"/>
        <v>0.25495337995337997</v>
      </c>
      <c r="BP444" s="64">
        <f t="shared" si="57"/>
        <v>0.25961538461538464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59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6"/>
      <c r="R445" s="556"/>
      <c r="S445" s="556"/>
      <c r="T445" s="557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6"/>
      <c r="R446" s="556"/>
      <c r="S446" s="556"/>
      <c r="T446" s="557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6"/>
      <c r="R447" s="556"/>
      <c r="S447" s="556"/>
      <c r="T447" s="557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67"/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68"/>
      <c r="P448" s="552" t="s">
        <v>71</v>
      </c>
      <c r="Q448" s="553"/>
      <c r="R448" s="553"/>
      <c r="S448" s="553"/>
      <c r="T448" s="553"/>
      <c r="U448" s="553"/>
      <c r="V448" s="554"/>
      <c r="W448" s="37" t="s">
        <v>72</v>
      </c>
      <c r="X448" s="545">
        <f>IFERROR(X442/H442,"0")+IFERROR(X443/H443,"0")+IFERROR(X444/H444,"0")+IFERROR(X445/H445,"0")+IFERROR(X446/H446,"0")+IFERROR(X447/H447,"0")</f>
        <v>41.666666666666671</v>
      </c>
      <c r="Y448" s="545">
        <f>IFERROR(Y442/H442,"0")+IFERROR(Y443/H443,"0")+IFERROR(Y444/H444,"0")+IFERROR(Y445/H445,"0")+IFERROR(Y446/H446,"0")+IFERROR(Y447/H447,"0")</f>
        <v>43</v>
      </c>
      <c r="Z448" s="545">
        <f>IFERROR(IF(Z442="",0,Z442),"0")+IFERROR(IF(Z443="",0,Z443),"0")+IFERROR(IF(Z444="",0,Z444),"0")+IFERROR(IF(Z445="",0,Z445),"0")+IFERROR(IF(Z446="",0,Z446),"0")+IFERROR(IF(Z447="",0,Z447),"0")</f>
        <v>0.51427999999999996</v>
      </c>
      <c r="AA448" s="546"/>
      <c r="AB448" s="546"/>
      <c r="AC448" s="546"/>
    </row>
    <row r="449" spans="1:68" x14ac:dyDescent="0.2">
      <c r="A449" s="550"/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68"/>
      <c r="P449" s="552" t="s">
        <v>71</v>
      </c>
      <c r="Q449" s="553"/>
      <c r="R449" s="553"/>
      <c r="S449" s="553"/>
      <c r="T449" s="553"/>
      <c r="U449" s="553"/>
      <c r="V449" s="554"/>
      <c r="W449" s="37" t="s">
        <v>69</v>
      </c>
      <c r="X449" s="545">
        <f>IFERROR(SUM(X442:X447),"0")</f>
        <v>220</v>
      </c>
      <c r="Y449" s="545">
        <f>IFERROR(SUM(Y442:Y447),"0")</f>
        <v>227.04000000000002</v>
      </c>
      <c r="Z449" s="37"/>
      <c r="AA449" s="546"/>
      <c r="AB449" s="546"/>
      <c r="AC449" s="546"/>
    </row>
    <row r="450" spans="1:68" ht="14.25" hidden="1" customHeight="1" x14ac:dyDescent="0.25">
      <c r="A450" s="549" t="s">
        <v>73</v>
      </c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  <c r="Z450" s="550"/>
      <c r="AA450" s="539"/>
      <c r="AB450" s="539"/>
      <c r="AC450" s="539"/>
    </row>
    <row r="451" spans="1:68" ht="16.5" hidden="1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5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67"/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68"/>
      <c r="P454" s="552" t="s">
        <v>71</v>
      </c>
      <c r="Q454" s="553"/>
      <c r="R454" s="553"/>
      <c r="S454" s="553"/>
      <c r="T454" s="553"/>
      <c r="U454" s="553"/>
      <c r="V454" s="55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0"/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68"/>
      <c r="P455" s="552" t="s">
        <v>71</v>
      </c>
      <c r="Q455" s="553"/>
      <c r="R455" s="553"/>
      <c r="S455" s="553"/>
      <c r="T455" s="553"/>
      <c r="U455" s="553"/>
      <c r="V455" s="55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3" t="s">
        <v>700</v>
      </c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  <c r="AA456" s="48"/>
      <c r="AB456" s="48"/>
      <c r="AC456" s="48"/>
    </row>
    <row r="457" spans="1:68" ht="16.5" hidden="1" customHeight="1" x14ac:dyDescent="0.25">
      <c r="A457" s="551" t="s">
        <v>700</v>
      </c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  <c r="Z457" s="550"/>
      <c r="AA457" s="538"/>
      <c r="AB457" s="538"/>
      <c r="AC457" s="538"/>
    </row>
    <row r="458" spans="1:68" ht="14.25" hidden="1" customHeight="1" x14ac:dyDescent="0.25">
      <c r="A458" s="549" t="s">
        <v>101</v>
      </c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  <c r="Z458" s="550"/>
      <c r="AA458" s="539"/>
      <c r="AB458" s="539"/>
      <c r="AC458" s="539"/>
    </row>
    <row r="459" spans="1:68" ht="27" hidden="1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6"/>
      <c r="R459" s="556"/>
      <c r="S459" s="556"/>
      <c r="T459" s="557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6"/>
      <c r="R460" s="556"/>
      <c r="S460" s="556"/>
      <c r="T460" s="557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6"/>
      <c r="R461" s="556"/>
      <c r="S461" s="556"/>
      <c r="T461" s="557"/>
      <c r="U461" s="34"/>
      <c r="V461" s="34"/>
      <c r="W461" s="35" t="s">
        <v>69</v>
      </c>
      <c r="X461" s="543">
        <v>200</v>
      </c>
      <c r="Y461" s="544">
        <f>IFERROR(IF(X461="",0,CEILING((X461/$H461),1)*$H461),"")</f>
        <v>204</v>
      </c>
      <c r="Z461" s="36">
        <f>IFERROR(IF(Y461=0,"",ROUNDUP(Y461/H461,0)*0.01898),"")</f>
        <v>0.32266</v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207.25</v>
      </c>
      <c r="BN461" s="64">
        <f>IFERROR(Y461*I461/H461,"0")</f>
        <v>211.39500000000001</v>
      </c>
      <c r="BO461" s="64">
        <f>IFERROR(1/J461*(X461/H461),"0")</f>
        <v>0.26041666666666669</v>
      </c>
      <c r="BP461" s="64">
        <f>IFERROR(1/J461*(Y461/H461),"0")</f>
        <v>0.265625</v>
      </c>
    </row>
    <row r="462" spans="1:68" ht="27" hidden="1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6"/>
      <c r="R462" s="556"/>
      <c r="S462" s="556"/>
      <c r="T462" s="557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7"/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68"/>
      <c r="P463" s="552" t="s">
        <v>71</v>
      </c>
      <c r="Q463" s="553"/>
      <c r="R463" s="553"/>
      <c r="S463" s="553"/>
      <c r="T463" s="553"/>
      <c r="U463" s="553"/>
      <c r="V463" s="554"/>
      <c r="W463" s="37" t="s">
        <v>72</v>
      </c>
      <c r="X463" s="545">
        <f>IFERROR(X459/H459,"0")+IFERROR(X460/H460,"0")+IFERROR(X461/H461,"0")+IFERROR(X462/H462,"0")</f>
        <v>16.666666666666668</v>
      </c>
      <c r="Y463" s="545">
        <f>IFERROR(Y459/H459,"0")+IFERROR(Y460/H460,"0")+IFERROR(Y461/H461,"0")+IFERROR(Y462/H462,"0")</f>
        <v>17</v>
      </c>
      <c r="Z463" s="545">
        <f>IFERROR(IF(Z459="",0,Z459),"0")+IFERROR(IF(Z460="",0,Z460),"0")+IFERROR(IF(Z461="",0,Z461),"0")+IFERROR(IF(Z462="",0,Z462),"0")</f>
        <v>0.32266</v>
      </c>
      <c r="AA463" s="546"/>
      <c r="AB463" s="546"/>
      <c r="AC463" s="546"/>
    </row>
    <row r="464" spans="1:68" x14ac:dyDescent="0.2">
      <c r="A464" s="550"/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68"/>
      <c r="P464" s="552" t="s">
        <v>71</v>
      </c>
      <c r="Q464" s="553"/>
      <c r="R464" s="553"/>
      <c r="S464" s="553"/>
      <c r="T464" s="553"/>
      <c r="U464" s="553"/>
      <c r="V464" s="554"/>
      <c r="W464" s="37" t="s">
        <v>69</v>
      </c>
      <c r="X464" s="545">
        <f>IFERROR(SUM(X459:X462),"0")</f>
        <v>200</v>
      </c>
      <c r="Y464" s="545">
        <f>IFERROR(SUM(Y459:Y462),"0")</f>
        <v>204</v>
      </c>
      <c r="Z464" s="37"/>
      <c r="AA464" s="546"/>
      <c r="AB464" s="546"/>
      <c r="AC464" s="546"/>
    </row>
    <row r="465" spans="1:68" ht="14.25" hidden="1" customHeight="1" x14ac:dyDescent="0.25">
      <c r="A465" s="549" t="s">
        <v>136</v>
      </c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  <c r="Z465" s="550"/>
      <c r="AA465" s="539"/>
      <c r="AB465" s="539"/>
      <c r="AC465" s="539"/>
    </row>
    <row r="466" spans="1:68" ht="27" hidden="1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6"/>
      <c r="R466" s="556"/>
      <c r="S466" s="556"/>
      <c r="T466" s="557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6"/>
      <c r="R467" s="556"/>
      <c r="S467" s="556"/>
      <c r="T467" s="557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5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7"/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68"/>
      <c r="P469" s="552" t="s">
        <v>71</v>
      </c>
      <c r="Q469" s="553"/>
      <c r="R469" s="553"/>
      <c r="S469" s="553"/>
      <c r="T469" s="553"/>
      <c r="U469" s="553"/>
      <c r="V469" s="55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0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68"/>
      <c r="P470" s="552" t="s">
        <v>71</v>
      </c>
      <c r="Q470" s="553"/>
      <c r="R470" s="553"/>
      <c r="S470" s="553"/>
      <c r="T470" s="553"/>
      <c r="U470" s="553"/>
      <c r="V470" s="55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49" t="s">
        <v>64</v>
      </c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  <c r="Z471" s="550"/>
      <c r="AA471" s="539"/>
      <c r="AB471" s="539"/>
      <c r="AC471" s="539"/>
    </row>
    <row r="472" spans="1:68" ht="27" hidden="1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6"/>
      <c r="R472" s="556"/>
      <c r="S472" s="556"/>
      <c r="T472" s="557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59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6"/>
      <c r="R473" s="556"/>
      <c r="S473" s="556"/>
      <c r="T473" s="557"/>
      <c r="U473" s="34"/>
      <c r="V473" s="34"/>
      <c r="W473" s="35" t="s">
        <v>69</v>
      </c>
      <c r="X473" s="543">
        <v>60</v>
      </c>
      <c r="Y473" s="544">
        <f>IFERROR(IF(X473="",0,CEILING((X473/$H473),1)*$H473),"")</f>
        <v>63</v>
      </c>
      <c r="Z473" s="36">
        <f>IFERROR(IF(Y473=0,"",ROUNDUP(Y473/H473,0)*0.00902),"")</f>
        <v>0.1353</v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63.857142857142854</v>
      </c>
      <c r="BN473" s="64">
        <f>IFERROR(Y473*I473/H473,"0")</f>
        <v>67.049999999999983</v>
      </c>
      <c r="BO473" s="64">
        <f>IFERROR(1/J473*(X473/H473),"0")</f>
        <v>0.10822510822510822</v>
      </c>
      <c r="BP473" s="64">
        <f>IFERROR(1/J473*(Y473/H473),"0")</f>
        <v>0.11363636363636365</v>
      </c>
    </row>
    <row r="474" spans="1:68" x14ac:dyDescent="0.2">
      <c r="A474" s="567"/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68"/>
      <c r="P474" s="552" t="s">
        <v>71</v>
      </c>
      <c r="Q474" s="553"/>
      <c r="R474" s="553"/>
      <c r="S474" s="553"/>
      <c r="T474" s="553"/>
      <c r="U474" s="553"/>
      <c r="V474" s="554"/>
      <c r="W474" s="37" t="s">
        <v>72</v>
      </c>
      <c r="X474" s="545">
        <f>IFERROR(X472/H472,"0")+IFERROR(X473/H473,"0")</f>
        <v>14.285714285714285</v>
      </c>
      <c r="Y474" s="545">
        <f>IFERROR(Y472/H472,"0")+IFERROR(Y473/H473,"0")</f>
        <v>15</v>
      </c>
      <c r="Z474" s="545">
        <f>IFERROR(IF(Z472="",0,Z472),"0")+IFERROR(IF(Z473="",0,Z473),"0")</f>
        <v>0.1353</v>
      </c>
      <c r="AA474" s="546"/>
      <c r="AB474" s="546"/>
      <c r="AC474" s="546"/>
    </row>
    <row r="475" spans="1:68" x14ac:dyDescent="0.2">
      <c r="A475" s="550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68"/>
      <c r="P475" s="552" t="s">
        <v>71</v>
      </c>
      <c r="Q475" s="553"/>
      <c r="R475" s="553"/>
      <c r="S475" s="553"/>
      <c r="T475" s="553"/>
      <c r="U475" s="553"/>
      <c r="V475" s="554"/>
      <c r="W475" s="37" t="s">
        <v>69</v>
      </c>
      <c r="X475" s="545">
        <f>IFERROR(SUM(X472:X473),"0")</f>
        <v>60</v>
      </c>
      <c r="Y475" s="545">
        <f>IFERROR(SUM(Y472:Y473),"0")</f>
        <v>63</v>
      </c>
      <c r="Z475" s="37"/>
      <c r="AA475" s="546"/>
      <c r="AB475" s="546"/>
      <c r="AC475" s="546"/>
    </row>
    <row r="476" spans="1:68" ht="14.25" hidden="1" customHeight="1" x14ac:dyDescent="0.25">
      <c r="A476" s="549" t="s">
        <v>73</v>
      </c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  <c r="Z476" s="550"/>
      <c r="AA476" s="539"/>
      <c r="AB476" s="539"/>
      <c r="AC476" s="539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43">
        <v>16</v>
      </c>
      <c r="Y477" s="544">
        <f>IFERROR(IF(X477="",0,CEILING((X477/$H477),1)*$H477),"")</f>
        <v>18</v>
      </c>
      <c r="Z477" s="36">
        <f>IFERROR(IF(Y477=0,"",ROUNDUP(Y477/H477,0)*0.01898),"")</f>
        <v>3.7960000000000001E-2</v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16.922666666666668</v>
      </c>
      <c r="BN477" s="64">
        <f>IFERROR(Y477*I477/H477,"0")</f>
        <v>19.038</v>
      </c>
      <c r="BO477" s="64">
        <f>IFERROR(1/J477*(X477/H477),"0")</f>
        <v>2.7777777777777776E-2</v>
      </c>
      <c r="BP477" s="64">
        <f>IFERROR(1/J477*(Y477/H477),"0")</f>
        <v>3.125E-2</v>
      </c>
    </row>
    <row r="478" spans="1:68" x14ac:dyDescent="0.2">
      <c r="A478" s="567"/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68"/>
      <c r="P478" s="552" t="s">
        <v>71</v>
      </c>
      <c r="Q478" s="553"/>
      <c r="R478" s="553"/>
      <c r="S478" s="553"/>
      <c r="T478" s="553"/>
      <c r="U478" s="553"/>
      <c r="V478" s="554"/>
      <c r="W478" s="37" t="s">
        <v>72</v>
      </c>
      <c r="X478" s="545">
        <f>IFERROR(X477/H477,"0")</f>
        <v>1.7777777777777777</v>
      </c>
      <c r="Y478" s="545">
        <f>IFERROR(Y477/H477,"0")</f>
        <v>2</v>
      </c>
      <c r="Z478" s="545">
        <f>IFERROR(IF(Z477="",0,Z477),"0")</f>
        <v>3.7960000000000001E-2</v>
      </c>
      <c r="AA478" s="546"/>
      <c r="AB478" s="546"/>
      <c r="AC478" s="546"/>
    </row>
    <row r="479" spans="1:68" x14ac:dyDescent="0.2">
      <c r="A479" s="550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68"/>
      <c r="P479" s="552" t="s">
        <v>71</v>
      </c>
      <c r="Q479" s="553"/>
      <c r="R479" s="553"/>
      <c r="S479" s="553"/>
      <c r="T479" s="553"/>
      <c r="U479" s="553"/>
      <c r="V479" s="554"/>
      <c r="W479" s="37" t="s">
        <v>69</v>
      </c>
      <c r="X479" s="545">
        <f>IFERROR(SUM(X477:X477),"0")</f>
        <v>16</v>
      </c>
      <c r="Y479" s="545">
        <f>IFERROR(SUM(Y477:Y477),"0")</f>
        <v>18</v>
      </c>
      <c r="Z479" s="37"/>
      <c r="AA479" s="546"/>
      <c r="AB479" s="546"/>
      <c r="AC479" s="546"/>
    </row>
    <row r="480" spans="1:68" ht="14.25" hidden="1" customHeight="1" x14ac:dyDescent="0.25">
      <c r="A480" s="549" t="s">
        <v>166</v>
      </c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  <c r="Z480" s="550"/>
      <c r="AA480" s="539"/>
      <c r="AB480" s="539"/>
      <c r="AC480" s="539"/>
    </row>
    <row r="481" spans="1:68" ht="27" hidden="1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2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6"/>
      <c r="R482" s="556"/>
      <c r="S482" s="556"/>
      <c r="T482" s="557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7"/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68"/>
      <c r="P483" s="552" t="s">
        <v>71</v>
      </c>
      <c r="Q483" s="553"/>
      <c r="R483" s="553"/>
      <c r="S483" s="553"/>
      <c r="T483" s="553"/>
      <c r="U483" s="553"/>
      <c r="V483" s="55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0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68"/>
      <c r="P484" s="552" t="s">
        <v>71</v>
      </c>
      <c r="Q484" s="553"/>
      <c r="R484" s="553"/>
      <c r="S484" s="553"/>
      <c r="T484" s="553"/>
      <c r="U484" s="553"/>
      <c r="V484" s="55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1" t="s">
        <v>736</v>
      </c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  <c r="Z485" s="550"/>
      <c r="AA485" s="538"/>
      <c r="AB485" s="538"/>
      <c r="AC485" s="538"/>
    </row>
    <row r="486" spans="1:68" ht="14.25" hidden="1" customHeight="1" x14ac:dyDescent="0.25">
      <c r="A486" s="549" t="s">
        <v>136</v>
      </c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  <c r="Z486" s="550"/>
      <c r="AA486" s="539"/>
      <c r="AB486" s="539"/>
      <c r="AC486" s="539"/>
    </row>
    <row r="487" spans="1:68" ht="27" hidden="1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6"/>
      <c r="R487" s="556"/>
      <c r="S487" s="556"/>
      <c r="T487" s="557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7"/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68"/>
      <c r="P488" s="552" t="s">
        <v>71</v>
      </c>
      <c r="Q488" s="553"/>
      <c r="R488" s="553"/>
      <c r="S488" s="553"/>
      <c r="T488" s="553"/>
      <c r="U488" s="553"/>
      <c r="V488" s="55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0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68"/>
      <c r="P489" s="552" t="s">
        <v>71</v>
      </c>
      <c r="Q489" s="553"/>
      <c r="R489" s="553"/>
      <c r="S489" s="553"/>
      <c r="T489" s="553"/>
      <c r="U489" s="553"/>
      <c r="V489" s="55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9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707"/>
      <c r="P490" s="650" t="s">
        <v>740</v>
      </c>
      <c r="Q490" s="651"/>
      <c r="R490" s="651"/>
      <c r="S490" s="651"/>
      <c r="T490" s="651"/>
      <c r="U490" s="651"/>
      <c r="V490" s="652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4302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4372.5200000000004</v>
      </c>
      <c r="Z490" s="37"/>
      <c r="AA490" s="546"/>
      <c r="AB490" s="546"/>
      <c r="AC490" s="546"/>
    </row>
    <row r="491" spans="1:68" x14ac:dyDescent="0.2">
      <c r="A491" s="55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707"/>
      <c r="P491" s="650" t="s">
        <v>741</v>
      </c>
      <c r="Q491" s="651"/>
      <c r="R491" s="651"/>
      <c r="S491" s="651"/>
      <c r="T491" s="651"/>
      <c r="U491" s="651"/>
      <c r="V491" s="652"/>
      <c r="W491" s="37" t="s">
        <v>69</v>
      </c>
      <c r="X491" s="545">
        <f>IFERROR(SUM(BM22:BM487),"0")</f>
        <v>4516.8056273804177</v>
      </c>
      <c r="Y491" s="545">
        <f>IFERROR(SUM(BN22:BN487),"0")</f>
        <v>4590.9379999999983</v>
      </c>
      <c r="Z491" s="37"/>
      <c r="AA491" s="546"/>
      <c r="AB491" s="546"/>
      <c r="AC491" s="546"/>
    </row>
    <row r="492" spans="1:68" x14ac:dyDescent="0.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707"/>
      <c r="P492" s="650" t="s">
        <v>742</v>
      </c>
      <c r="Q492" s="651"/>
      <c r="R492" s="651"/>
      <c r="S492" s="651"/>
      <c r="T492" s="651"/>
      <c r="U492" s="651"/>
      <c r="V492" s="652"/>
      <c r="W492" s="37" t="s">
        <v>743</v>
      </c>
      <c r="X492" s="38">
        <f>ROUNDUP(SUM(BO22:BO487),0)</f>
        <v>8</v>
      </c>
      <c r="Y492" s="38">
        <f>ROUNDUP(SUM(BP22:BP487),0)</f>
        <v>8</v>
      </c>
      <c r="Z492" s="37"/>
      <c r="AA492" s="546"/>
      <c r="AB492" s="546"/>
      <c r="AC492" s="546"/>
    </row>
    <row r="493" spans="1:68" x14ac:dyDescent="0.2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707"/>
      <c r="P493" s="650" t="s">
        <v>744</v>
      </c>
      <c r="Q493" s="651"/>
      <c r="R493" s="651"/>
      <c r="S493" s="651"/>
      <c r="T493" s="651"/>
      <c r="U493" s="651"/>
      <c r="V493" s="652"/>
      <c r="W493" s="37" t="s">
        <v>69</v>
      </c>
      <c r="X493" s="545">
        <f>GrossWeightTotal+PalletQtyTotal*25</f>
        <v>4716.8056273804177</v>
      </c>
      <c r="Y493" s="545">
        <f>GrossWeightTotalR+PalletQtyTotalR*25</f>
        <v>4790.9379999999983</v>
      </c>
      <c r="Z493" s="37"/>
      <c r="AA493" s="546"/>
      <c r="AB493" s="546"/>
      <c r="AC493" s="546"/>
    </row>
    <row r="494" spans="1:68" x14ac:dyDescent="0.2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707"/>
      <c r="P494" s="650" t="s">
        <v>745</v>
      </c>
      <c r="Q494" s="651"/>
      <c r="R494" s="651"/>
      <c r="S494" s="651"/>
      <c r="T494" s="651"/>
      <c r="U494" s="651"/>
      <c r="V494" s="652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505.6373769180787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515</v>
      </c>
      <c r="Z494" s="37"/>
      <c r="AA494" s="546"/>
      <c r="AB494" s="546"/>
      <c r="AC494" s="546"/>
    </row>
    <row r="495" spans="1:68" ht="14.25" hidden="1" customHeight="1" x14ac:dyDescent="0.2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707"/>
      <c r="P495" s="650" t="s">
        <v>746</v>
      </c>
      <c r="Q495" s="651"/>
      <c r="R495" s="651"/>
      <c r="S495" s="651"/>
      <c r="T495" s="651"/>
      <c r="U495" s="651"/>
      <c r="V495" s="652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8.4280000000000008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89" t="s">
        <v>99</v>
      </c>
      <c r="D497" s="592"/>
      <c r="E497" s="592"/>
      <c r="F497" s="592"/>
      <c r="G497" s="592"/>
      <c r="H497" s="593"/>
      <c r="I497" s="589" t="s">
        <v>257</v>
      </c>
      <c r="J497" s="592"/>
      <c r="K497" s="592"/>
      <c r="L497" s="592"/>
      <c r="M497" s="592"/>
      <c r="N497" s="592"/>
      <c r="O497" s="592"/>
      <c r="P497" s="592"/>
      <c r="Q497" s="592"/>
      <c r="R497" s="593"/>
      <c r="S497" s="589" t="s">
        <v>538</v>
      </c>
      <c r="T497" s="593"/>
      <c r="U497" s="589" t="s">
        <v>589</v>
      </c>
      <c r="V497" s="592"/>
      <c r="W497" s="593"/>
      <c r="X497" s="540" t="s">
        <v>640</v>
      </c>
      <c r="Y497" s="589" t="s">
        <v>700</v>
      </c>
      <c r="Z497" s="593"/>
      <c r="AB497" s="52"/>
      <c r="AC497" s="52"/>
      <c r="AF497" s="541"/>
    </row>
    <row r="498" spans="1:32" ht="14.25" customHeight="1" thickTop="1" x14ac:dyDescent="0.2">
      <c r="A498" s="597" t="s">
        <v>749</v>
      </c>
      <c r="B498" s="589" t="s">
        <v>63</v>
      </c>
      <c r="C498" s="589" t="s">
        <v>100</v>
      </c>
      <c r="D498" s="589" t="s">
        <v>117</v>
      </c>
      <c r="E498" s="589" t="s">
        <v>173</v>
      </c>
      <c r="F498" s="589" t="s">
        <v>192</v>
      </c>
      <c r="G498" s="589" t="s">
        <v>222</v>
      </c>
      <c r="H498" s="589" t="s">
        <v>99</v>
      </c>
      <c r="I498" s="589" t="s">
        <v>258</v>
      </c>
      <c r="J498" s="589" t="s">
        <v>299</v>
      </c>
      <c r="K498" s="589" t="s">
        <v>359</v>
      </c>
      <c r="L498" s="589" t="s">
        <v>401</v>
      </c>
      <c r="M498" s="589" t="s">
        <v>417</v>
      </c>
      <c r="N498" s="541"/>
      <c r="O498" s="589" t="s">
        <v>428</v>
      </c>
      <c r="P498" s="589" t="s">
        <v>437</v>
      </c>
      <c r="Q498" s="589" t="s">
        <v>447</v>
      </c>
      <c r="R498" s="589" t="s">
        <v>528</v>
      </c>
      <c r="S498" s="589" t="s">
        <v>539</v>
      </c>
      <c r="T498" s="589" t="s">
        <v>573</v>
      </c>
      <c r="U498" s="589" t="s">
        <v>590</v>
      </c>
      <c r="V498" s="589" t="s">
        <v>621</v>
      </c>
      <c r="W498" s="589" t="s">
        <v>636</v>
      </c>
      <c r="X498" s="589" t="s">
        <v>640</v>
      </c>
      <c r="Y498" s="589" t="s">
        <v>700</v>
      </c>
      <c r="Z498" s="589" t="s">
        <v>736</v>
      </c>
      <c r="AB498" s="52"/>
      <c r="AC498" s="52"/>
      <c r="AF498" s="541"/>
    </row>
    <row r="499" spans="1:32" ht="13.5" customHeight="1" thickBot="1" x14ac:dyDescent="0.25">
      <c r="A499" s="598"/>
      <c r="B499" s="590"/>
      <c r="C499" s="590"/>
      <c r="D499" s="590"/>
      <c r="E499" s="590"/>
      <c r="F499" s="590"/>
      <c r="G499" s="590"/>
      <c r="H499" s="590"/>
      <c r="I499" s="590"/>
      <c r="J499" s="590"/>
      <c r="K499" s="590"/>
      <c r="L499" s="590"/>
      <c r="M499" s="590"/>
      <c r="N499" s="541"/>
      <c r="O499" s="590"/>
      <c r="P499" s="590"/>
      <c r="Q499" s="590"/>
      <c r="R499" s="590"/>
      <c r="S499" s="590"/>
      <c r="T499" s="590"/>
      <c r="U499" s="590"/>
      <c r="V499" s="590"/>
      <c r="W499" s="590"/>
      <c r="X499" s="590"/>
      <c r="Y499" s="590"/>
      <c r="Z499" s="590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183.60000000000002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226.8</v>
      </c>
      <c r="E500" s="46">
        <f>IFERROR(Y86*1,"0")+IFERROR(Y87*1,"0")+IFERROR(Y88*1,"0")+IFERROR(Y92*1,"0")+IFERROR(Y93*1,"0")+IFERROR(Y94*1,"0")+IFERROR(Y95*1,"0")</f>
        <v>40.5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137.69999999999999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1255.5200000000002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1440</v>
      </c>
      <c r="T500" s="46">
        <f>IFERROR(Y369*1,"0")+IFERROR(Y370*1,"0")+IFERROR(Y374*1,"0")+IFERROR(Y375*1,"0")+IFERROR(Y379*1,"0")+IFERROR(Y380*1,"0")</f>
        <v>306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48.6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448.8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285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0,00"/>
        <filter val="1,78"/>
        <filter val="1,85"/>
        <filter val="10,00"/>
        <filter val="100,00"/>
        <filter val="115,38"/>
        <filter val="12,00"/>
        <filter val="120,00"/>
        <filter val="130,00"/>
        <filter val="14,29"/>
        <filter val="140,00"/>
        <filter val="150,00"/>
        <filter val="16,00"/>
        <filter val="16,05"/>
        <filter val="16,67"/>
        <filter val="18,52"/>
        <filter val="18,94"/>
        <filter val="180,00"/>
        <filter val="2,78"/>
        <filter val="20,00"/>
        <filter val="200,00"/>
        <filter val="22,73"/>
        <filter val="220,00"/>
        <filter val="24,00"/>
        <filter val="26,67"/>
        <filter val="290,00"/>
        <filter val="30,00"/>
        <filter val="300,00"/>
        <filter val="33,33"/>
        <filter val="4 302,00"/>
        <filter val="4 516,81"/>
        <filter val="4 716,81"/>
        <filter val="4,00"/>
        <filter val="4,94"/>
        <filter val="40,00"/>
        <filter val="400,00"/>
        <filter val="41,67"/>
        <filter val="42,00"/>
        <filter val="505,64"/>
        <filter val="60,00"/>
        <filter val="68,67"/>
        <filter val="69,05"/>
        <filter val="7,78"/>
        <filter val="7,89"/>
        <filter val="70,00"/>
        <filter val="8"/>
        <filter val="8,00"/>
        <filter val="900,00"/>
      </filters>
    </filterColumn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D191:E191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D374:E374"/>
    <mergeCell ref="P396:V396"/>
    <mergeCell ref="A395:O396"/>
    <mergeCell ref="P259:T259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A415:Z41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2025-11-04T11:08:28Z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