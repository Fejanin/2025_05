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A140C84-9F90-4779-B4C9-2ED2EE3DDDF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BP399" i="1" s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Y382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X366" i="1"/>
  <c r="X365" i="1"/>
  <c r="BO364" i="1"/>
  <c r="BM364" i="1"/>
  <c r="Y364" i="1"/>
  <c r="Y365" i="1" s="1"/>
  <c r="P364" i="1"/>
  <c r="X362" i="1"/>
  <c r="X361" i="1"/>
  <c r="BO360" i="1"/>
  <c r="BM360" i="1"/>
  <c r="Y360" i="1"/>
  <c r="BP360" i="1" s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Y357" i="1" s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BP324" i="1" s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P322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Y285" i="1" s="1"/>
  <c r="P284" i="1"/>
  <c r="X282" i="1"/>
  <c r="X281" i="1"/>
  <c r="BO280" i="1"/>
  <c r="BM280" i="1"/>
  <c r="Y280" i="1"/>
  <c r="BP280" i="1" s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M500" i="1" s="1"/>
  <c r="P264" i="1"/>
  <c r="X261" i="1"/>
  <c r="X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L50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Z176" i="1" s="1"/>
  <c r="P176" i="1"/>
  <c r="BO175" i="1"/>
  <c r="BM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Y128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N80" i="1"/>
  <c r="BM80" i="1"/>
  <c r="Z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8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50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BP95" i="1" l="1"/>
  <c r="BN95" i="1"/>
  <c r="Z95" i="1"/>
  <c r="BP135" i="1"/>
  <c r="BN135" i="1"/>
  <c r="Z135" i="1"/>
  <c r="BP177" i="1"/>
  <c r="BN177" i="1"/>
  <c r="Z177" i="1"/>
  <c r="BP210" i="1"/>
  <c r="BN210" i="1"/>
  <c r="Z210" i="1"/>
  <c r="BP233" i="1"/>
  <c r="BN233" i="1"/>
  <c r="Z233" i="1"/>
  <c r="BP274" i="1"/>
  <c r="BN274" i="1"/>
  <c r="Z274" i="1"/>
  <c r="BP304" i="1"/>
  <c r="BN304" i="1"/>
  <c r="Z304" i="1"/>
  <c r="BP329" i="1"/>
  <c r="BN329" i="1"/>
  <c r="Z329" i="1"/>
  <c r="BP359" i="1"/>
  <c r="BN359" i="1"/>
  <c r="Z359" i="1"/>
  <c r="BP394" i="1"/>
  <c r="BN394" i="1"/>
  <c r="Z394" i="1"/>
  <c r="BP430" i="1"/>
  <c r="BN430" i="1"/>
  <c r="Z430" i="1"/>
  <c r="BP460" i="1"/>
  <c r="BN460" i="1"/>
  <c r="Z460" i="1"/>
  <c r="B500" i="1"/>
  <c r="X492" i="1"/>
  <c r="X490" i="1"/>
  <c r="Y32" i="1"/>
  <c r="Z52" i="1"/>
  <c r="BN52" i="1"/>
  <c r="Z62" i="1"/>
  <c r="BN62" i="1"/>
  <c r="Z74" i="1"/>
  <c r="BN74" i="1"/>
  <c r="BP114" i="1"/>
  <c r="BN114" i="1"/>
  <c r="Z114" i="1"/>
  <c r="BP167" i="1"/>
  <c r="BN167" i="1"/>
  <c r="Z167" i="1"/>
  <c r="BP198" i="1"/>
  <c r="BN198" i="1"/>
  <c r="Z198" i="1"/>
  <c r="BP225" i="1"/>
  <c r="BN225" i="1"/>
  <c r="Z225" i="1"/>
  <c r="BP258" i="1"/>
  <c r="BN258" i="1"/>
  <c r="Z258" i="1"/>
  <c r="BP294" i="1"/>
  <c r="BN294" i="1"/>
  <c r="Z294" i="1"/>
  <c r="BP316" i="1"/>
  <c r="BN316" i="1"/>
  <c r="Z316" i="1"/>
  <c r="BN344" i="1"/>
  <c r="Z344" i="1"/>
  <c r="BP345" i="1"/>
  <c r="BN345" i="1"/>
  <c r="Z345" i="1"/>
  <c r="BP386" i="1"/>
  <c r="BN386" i="1"/>
  <c r="Z386" i="1"/>
  <c r="Y417" i="1"/>
  <c r="BP416" i="1"/>
  <c r="BN416" i="1"/>
  <c r="Z416" i="1"/>
  <c r="Z417" i="1" s="1"/>
  <c r="BP422" i="1"/>
  <c r="BN422" i="1"/>
  <c r="Z422" i="1"/>
  <c r="BP442" i="1"/>
  <c r="BN442" i="1"/>
  <c r="Z442" i="1"/>
  <c r="BP472" i="1"/>
  <c r="BN472" i="1"/>
  <c r="Z472" i="1"/>
  <c r="Y83" i="1"/>
  <c r="E500" i="1"/>
  <c r="Y96" i="1"/>
  <c r="Y138" i="1"/>
  <c r="T500" i="1"/>
  <c r="Y433" i="1"/>
  <c r="BP108" i="1"/>
  <c r="BN108" i="1"/>
  <c r="Z108" i="1"/>
  <c r="BP131" i="1"/>
  <c r="BN131" i="1"/>
  <c r="Z131" i="1"/>
  <c r="BP165" i="1"/>
  <c r="BN165" i="1"/>
  <c r="Z165" i="1"/>
  <c r="BP175" i="1"/>
  <c r="BN175" i="1"/>
  <c r="Z175" i="1"/>
  <c r="Y204" i="1"/>
  <c r="BP196" i="1"/>
  <c r="BN196" i="1"/>
  <c r="Z196" i="1"/>
  <c r="BP208" i="1"/>
  <c r="BN208" i="1"/>
  <c r="Z208" i="1"/>
  <c r="BP220" i="1"/>
  <c r="BN220" i="1"/>
  <c r="Z220" i="1"/>
  <c r="BP231" i="1"/>
  <c r="BN231" i="1"/>
  <c r="Z231" i="1"/>
  <c r="BP256" i="1"/>
  <c r="BN256" i="1"/>
  <c r="Z256" i="1"/>
  <c r="BP272" i="1"/>
  <c r="BN272" i="1"/>
  <c r="Z272" i="1"/>
  <c r="BP292" i="1"/>
  <c r="BN292" i="1"/>
  <c r="Z292" i="1"/>
  <c r="X491" i="1"/>
  <c r="X494" i="1"/>
  <c r="Z27" i="1"/>
  <c r="BN27" i="1"/>
  <c r="Z41" i="1"/>
  <c r="BN41" i="1"/>
  <c r="D500" i="1"/>
  <c r="Z54" i="1"/>
  <c r="BN54" i="1"/>
  <c r="Z60" i="1"/>
  <c r="BN60" i="1"/>
  <c r="BP60" i="1"/>
  <c r="Y63" i="1"/>
  <c r="Z66" i="1"/>
  <c r="BN66" i="1"/>
  <c r="BP66" i="1"/>
  <c r="Y69" i="1"/>
  <c r="Z72" i="1"/>
  <c r="BN72" i="1"/>
  <c r="BP72" i="1"/>
  <c r="Y77" i="1"/>
  <c r="Z76" i="1"/>
  <c r="BN76" i="1"/>
  <c r="Y82" i="1"/>
  <c r="Z87" i="1"/>
  <c r="BN87" i="1"/>
  <c r="BP93" i="1"/>
  <c r="BN93" i="1"/>
  <c r="BP100" i="1"/>
  <c r="BN100" i="1"/>
  <c r="Z100" i="1"/>
  <c r="BP116" i="1"/>
  <c r="BN116" i="1"/>
  <c r="Z116" i="1"/>
  <c r="H500" i="1"/>
  <c r="BP142" i="1"/>
  <c r="BN142" i="1"/>
  <c r="Z142" i="1"/>
  <c r="BP169" i="1"/>
  <c r="BN169" i="1"/>
  <c r="Z169" i="1"/>
  <c r="Y183" i="1"/>
  <c r="Y182" i="1"/>
  <c r="BP181" i="1"/>
  <c r="BN181" i="1"/>
  <c r="Z181" i="1"/>
  <c r="Z182" i="1" s="1"/>
  <c r="BP186" i="1"/>
  <c r="BN186" i="1"/>
  <c r="Z186" i="1"/>
  <c r="BP200" i="1"/>
  <c r="BN200" i="1"/>
  <c r="Z200" i="1"/>
  <c r="BP212" i="1"/>
  <c r="BN212" i="1"/>
  <c r="Z212" i="1"/>
  <c r="BP227" i="1"/>
  <c r="BN227" i="1"/>
  <c r="Z227" i="1"/>
  <c r="Y251" i="1"/>
  <c r="BP247" i="1"/>
  <c r="BN247" i="1"/>
  <c r="Z247" i="1"/>
  <c r="BP265" i="1"/>
  <c r="BN265" i="1"/>
  <c r="Z265" i="1"/>
  <c r="BP279" i="1"/>
  <c r="BN279" i="1"/>
  <c r="Z279" i="1"/>
  <c r="Y306" i="1"/>
  <c r="BP298" i="1"/>
  <c r="BN298" i="1"/>
  <c r="Z298" i="1"/>
  <c r="Y314" i="1"/>
  <c r="BP308" i="1"/>
  <c r="BN308" i="1"/>
  <c r="Z308" i="1"/>
  <c r="BP318" i="1"/>
  <c r="BN318" i="1"/>
  <c r="Z318" i="1"/>
  <c r="BP331" i="1"/>
  <c r="BN331" i="1"/>
  <c r="Z331" i="1"/>
  <c r="BP347" i="1"/>
  <c r="BN347" i="1"/>
  <c r="Z347" i="1"/>
  <c r="BP370" i="1"/>
  <c r="BN370" i="1"/>
  <c r="Z370" i="1"/>
  <c r="BP388" i="1"/>
  <c r="BN388" i="1"/>
  <c r="Z388" i="1"/>
  <c r="Y400" i="1"/>
  <c r="BP398" i="1"/>
  <c r="BN398" i="1"/>
  <c r="Z398" i="1"/>
  <c r="BP424" i="1"/>
  <c r="BN424" i="1"/>
  <c r="Z424" i="1"/>
  <c r="BP432" i="1"/>
  <c r="BN432" i="1"/>
  <c r="Z432" i="1"/>
  <c r="BP444" i="1"/>
  <c r="BN444" i="1"/>
  <c r="Z444" i="1"/>
  <c r="BP462" i="1"/>
  <c r="BN462" i="1"/>
  <c r="Z462" i="1"/>
  <c r="BP482" i="1"/>
  <c r="BN482" i="1"/>
  <c r="Z482" i="1"/>
  <c r="Y105" i="1"/>
  <c r="Y117" i="1"/>
  <c r="Y137" i="1"/>
  <c r="Y151" i="1"/>
  <c r="Y172" i="1"/>
  <c r="Y236" i="1"/>
  <c r="Q500" i="1"/>
  <c r="BP302" i="1"/>
  <c r="BN302" i="1"/>
  <c r="Z302" i="1"/>
  <c r="BP312" i="1"/>
  <c r="BN312" i="1"/>
  <c r="Z312" i="1"/>
  <c r="BP325" i="1"/>
  <c r="BN325" i="1"/>
  <c r="Z325" i="1"/>
  <c r="BP338" i="1"/>
  <c r="BN338" i="1"/>
  <c r="Z338" i="1"/>
  <c r="BP355" i="1"/>
  <c r="BN355" i="1"/>
  <c r="Z355" i="1"/>
  <c r="BP380" i="1"/>
  <c r="BN380" i="1"/>
  <c r="Z380" i="1"/>
  <c r="BP392" i="1"/>
  <c r="BN392" i="1"/>
  <c r="Z392" i="1"/>
  <c r="BP411" i="1"/>
  <c r="BN411" i="1"/>
  <c r="Z411" i="1"/>
  <c r="BP428" i="1"/>
  <c r="BN428" i="1"/>
  <c r="Z428" i="1"/>
  <c r="BP438" i="1"/>
  <c r="BN438" i="1"/>
  <c r="Z438" i="1"/>
  <c r="BP452" i="1"/>
  <c r="BN452" i="1"/>
  <c r="Z452" i="1"/>
  <c r="BP468" i="1"/>
  <c r="BN468" i="1"/>
  <c r="Z468" i="1"/>
  <c r="Y320" i="1"/>
  <c r="Y327" i="1"/>
  <c r="Y333" i="1"/>
  <c r="Y339" i="1"/>
  <c r="Y361" i="1"/>
  <c r="Y376" i="1"/>
  <c r="Y395" i="1"/>
  <c r="V500" i="1"/>
  <c r="Y413" i="1"/>
  <c r="X500" i="1"/>
  <c r="Y448" i="1"/>
  <c r="Y474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Z67" i="1"/>
  <c r="Z69" i="1" s="1"/>
  <c r="BN67" i="1"/>
  <c r="BP67" i="1"/>
  <c r="Z73" i="1"/>
  <c r="BN73" i="1"/>
  <c r="BP73" i="1"/>
  <c r="Z75" i="1"/>
  <c r="BN75" i="1"/>
  <c r="Z81" i="1"/>
  <c r="Z82" i="1" s="1"/>
  <c r="BN81" i="1"/>
  <c r="BP81" i="1"/>
  <c r="Z86" i="1"/>
  <c r="BN86" i="1"/>
  <c r="BP86" i="1"/>
  <c r="Z88" i="1"/>
  <c r="BN88" i="1"/>
  <c r="Y89" i="1"/>
  <c r="Z92" i="1"/>
  <c r="BN92" i="1"/>
  <c r="BP92" i="1"/>
  <c r="Z94" i="1"/>
  <c r="BN94" i="1"/>
  <c r="Y97" i="1"/>
  <c r="F500" i="1"/>
  <c r="Z101" i="1"/>
  <c r="Z104" i="1" s="1"/>
  <c r="BN101" i="1"/>
  <c r="BP101" i="1"/>
  <c r="Z103" i="1"/>
  <c r="BN103" i="1"/>
  <c r="Y104" i="1"/>
  <c r="Z107" i="1"/>
  <c r="BN107" i="1"/>
  <c r="BP107" i="1"/>
  <c r="Z109" i="1"/>
  <c r="BN109" i="1"/>
  <c r="Y110" i="1"/>
  <c r="Z113" i="1"/>
  <c r="BN113" i="1"/>
  <c r="BP113" i="1"/>
  <c r="Z115" i="1"/>
  <c r="BN115" i="1"/>
  <c r="Y118" i="1"/>
  <c r="G500" i="1"/>
  <c r="Z126" i="1"/>
  <c r="Z127" i="1" s="1"/>
  <c r="BN126" i="1"/>
  <c r="BP126" i="1"/>
  <c r="Y127" i="1"/>
  <c r="Z130" i="1"/>
  <c r="BN130" i="1"/>
  <c r="BP130" i="1"/>
  <c r="Y133" i="1"/>
  <c r="Z136" i="1"/>
  <c r="BN136" i="1"/>
  <c r="BP136" i="1"/>
  <c r="Z141" i="1"/>
  <c r="BN141" i="1"/>
  <c r="BP141" i="1"/>
  <c r="Z143" i="1"/>
  <c r="BN143" i="1"/>
  <c r="Y144" i="1"/>
  <c r="Z147" i="1"/>
  <c r="BN147" i="1"/>
  <c r="BP147" i="1"/>
  <c r="Z149" i="1"/>
  <c r="BN149" i="1"/>
  <c r="Y150" i="1"/>
  <c r="I500" i="1"/>
  <c r="Y161" i="1"/>
  <c r="Z164" i="1"/>
  <c r="BN164" i="1"/>
  <c r="Z166" i="1"/>
  <c r="BN166" i="1"/>
  <c r="Z168" i="1"/>
  <c r="BN168" i="1"/>
  <c r="Z170" i="1"/>
  <c r="BN170" i="1"/>
  <c r="Y173" i="1"/>
  <c r="Y179" i="1"/>
  <c r="H9" i="1"/>
  <c r="Y24" i="1"/>
  <c r="Y44" i="1"/>
  <c r="Y57" i="1"/>
  <c r="Y90" i="1"/>
  <c r="Y145" i="1"/>
  <c r="Z178" i="1"/>
  <c r="BP176" i="1"/>
  <c r="BN176" i="1"/>
  <c r="Y178" i="1"/>
  <c r="Z188" i="1"/>
  <c r="BP187" i="1"/>
  <c r="BN187" i="1"/>
  <c r="Z187" i="1"/>
  <c r="Y189" i="1"/>
  <c r="Y193" i="1"/>
  <c r="Y205" i="1"/>
  <c r="Y217" i="1"/>
  <c r="Y221" i="1"/>
  <c r="Y240" i="1"/>
  <c r="Y244" i="1"/>
  <c r="Y252" i="1"/>
  <c r="Y261" i="1"/>
  <c r="Y268" i="1"/>
  <c r="Y275" i="1"/>
  <c r="Y282" i="1"/>
  <c r="Y286" i="1"/>
  <c r="Y295" i="1"/>
  <c r="Y305" i="1"/>
  <c r="Y313" i="1"/>
  <c r="Y319" i="1"/>
  <c r="Y326" i="1"/>
  <c r="Y332" i="1"/>
  <c r="BP346" i="1"/>
  <c r="BN346" i="1"/>
  <c r="Z346" i="1"/>
  <c r="BP350" i="1"/>
  <c r="BN350" i="1"/>
  <c r="Z350" i="1"/>
  <c r="J500" i="1"/>
  <c r="Y188" i="1"/>
  <c r="Z191" i="1"/>
  <c r="Z193" i="1" s="1"/>
  <c r="BN191" i="1"/>
  <c r="BP191" i="1"/>
  <c r="Z197" i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BN219" i="1"/>
  <c r="BP219" i="1"/>
  <c r="K500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4" i="1"/>
  <c r="Z266" i="1"/>
  <c r="BN266" i="1"/>
  <c r="Y269" i="1"/>
  <c r="O500" i="1"/>
  <c r="Z273" i="1"/>
  <c r="Z275" i="1" s="1"/>
  <c r="BN273" i="1"/>
  <c r="Y276" i="1"/>
  <c r="P500" i="1"/>
  <c r="Z280" i="1"/>
  <c r="Z281" i="1" s="1"/>
  <c r="BN280" i="1"/>
  <c r="Y281" i="1"/>
  <c r="Z284" i="1"/>
  <c r="Z285" i="1" s="1"/>
  <c r="BN284" i="1"/>
  <c r="BP284" i="1"/>
  <c r="Z289" i="1"/>
  <c r="BN289" i="1"/>
  <c r="BP289" i="1"/>
  <c r="Z291" i="1"/>
  <c r="BN291" i="1"/>
  <c r="Z293" i="1"/>
  <c r="BN293" i="1"/>
  <c r="Y296" i="1"/>
  <c r="Z299" i="1"/>
  <c r="BN299" i="1"/>
  <c r="Z301" i="1"/>
  <c r="BN301" i="1"/>
  <c r="Z303" i="1"/>
  <c r="BN303" i="1"/>
  <c r="Z309" i="1"/>
  <c r="BN309" i="1"/>
  <c r="Z311" i="1"/>
  <c r="BN311" i="1"/>
  <c r="Z317" i="1"/>
  <c r="Z319" i="1" s="1"/>
  <c r="BN317" i="1"/>
  <c r="Z324" i="1"/>
  <c r="Z326" i="1" s="1"/>
  <c r="BN324" i="1"/>
  <c r="Z330" i="1"/>
  <c r="Z332" i="1" s="1"/>
  <c r="BN330" i="1"/>
  <c r="R500" i="1"/>
  <c r="Z337" i="1"/>
  <c r="Z339" i="1" s="1"/>
  <c r="BN337" i="1"/>
  <c r="Y340" i="1"/>
  <c r="S500" i="1"/>
  <c r="Y351" i="1"/>
  <c r="BP344" i="1"/>
  <c r="Y352" i="1"/>
  <c r="BP348" i="1"/>
  <c r="BN348" i="1"/>
  <c r="Z348" i="1"/>
  <c r="Z351" i="1" s="1"/>
  <c r="Y356" i="1"/>
  <c r="Y362" i="1"/>
  <c r="Y366" i="1"/>
  <c r="Y371" i="1"/>
  <c r="Y377" i="1"/>
  <c r="Y381" i="1"/>
  <c r="Y401" i="1"/>
  <c r="Y406" i="1"/>
  <c r="Y412" i="1"/>
  <c r="BP425" i="1"/>
  <c r="BN425" i="1"/>
  <c r="Z425" i="1"/>
  <c r="BP429" i="1"/>
  <c r="BN429" i="1"/>
  <c r="Z429" i="1"/>
  <c r="Z439" i="1"/>
  <c r="BP437" i="1"/>
  <c r="BN437" i="1"/>
  <c r="Z437" i="1"/>
  <c r="BP445" i="1"/>
  <c r="BN445" i="1"/>
  <c r="Z445" i="1"/>
  <c r="BP453" i="1"/>
  <c r="BN453" i="1"/>
  <c r="Z453" i="1"/>
  <c r="Y455" i="1"/>
  <c r="Y500" i="1"/>
  <c r="Y464" i="1"/>
  <c r="BP459" i="1"/>
  <c r="BN459" i="1"/>
  <c r="Z459" i="1"/>
  <c r="Y463" i="1"/>
  <c r="BP467" i="1"/>
  <c r="BN467" i="1"/>
  <c r="Z467" i="1"/>
  <c r="Z469" i="1" s="1"/>
  <c r="Z354" i="1"/>
  <c r="Z356" i="1" s="1"/>
  <c r="BN354" i="1"/>
  <c r="BP354" i="1"/>
  <c r="Z360" i="1"/>
  <c r="Z361" i="1" s="1"/>
  <c r="BN360" i="1"/>
  <c r="Z364" i="1"/>
  <c r="Z365" i="1" s="1"/>
  <c r="BN364" i="1"/>
  <c r="BP364" i="1"/>
  <c r="Z369" i="1"/>
  <c r="Z371" i="1" s="1"/>
  <c r="BN369" i="1"/>
  <c r="BP369" i="1"/>
  <c r="Y372" i="1"/>
  <c r="Z375" i="1"/>
  <c r="Z376" i="1" s="1"/>
  <c r="BN375" i="1"/>
  <c r="Z379" i="1"/>
  <c r="Z381" i="1" s="1"/>
  <c r="BN379" i="1"/>
  <c r="BP379" i="1"/>
  <c r="U500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0" i="1"/>
  <c r="Y418" i="1"/>
  <c r="BP423" i="1"/>
  <c r="BN423" i="1"/>
  <c r="Z423" i="1"/>
  <c r="BP427" i="1"/>
  <c r="BN427" i="1"/>
  <c r="Z427" i="1"/>
  <c r="BP431" i="1"/>
  <c r="BN431" i="1"/>
  <c r="Z431" i="1"/>
  <c r="Y440" i="1"/>
  <c r="Y439" i="1"/>
  <c r="BP443" i="1"/>
  <c r="BN443" i="1"/>
  <c r="Z443" i="1"/>
  <c r="BP447" i="1"/>
  <c r="BN447" i="1"/>
  <c r="Z447" i="1"/>
  <c r="Y449" i="1"/>
  <c r="Y454" i="1"/>
  <c r="BP451" i="1"/>
  <c r="BN451" i="1"/>
  <c r="Z451" i="1"/>
  <c r="BP461" i="1"/>
  <c r="BN461" i="1"/>
  <c r="Z461" i="1"/>
  <c r="Y470" i="1"/>
  <c r="Y469" i="1"/>
  <c r="BP473" i="1"/>
  <c r="BN473" i="1"/>
  <c r="Z473" i="1"/>
  <c r="Y475" i="1"/>
  <c r="Y478" i="1"/>
  <c r="BP477" i="1"/>
  <c r="BN477" i="1"/>
  <c r="Z477" i="1"/>
  <c r="Z478" i="1" s="1"/>
  <c r="Y479" i="1"/>
  <c r="Y484" i="1"/>
  <c r="BP481" i="1"/>
  <c r="BN481" i="1"/>
  <c r="Z481" i="1"/>
  <c r="Y434" i="1"/>
  <c r="Y489" i="1"/>
  <c r="Z487" i="1"/>
  <c r="Z488" i="1" s="1"/>
  <c r="BN487" i="1"/>
  <c r="BP487" i="1"/>
  <c r="Y488" i="1"/>
  <c r="Z474" i="1" l="1"/>
  <c r="Z137" i="1"/>
  <c r="X493" i="1"/>
  <c r="Z433" i="1"/>
  <c r="Z395" i="1"/>
  <c r="Z313" i="1"/>
  <c r="Z305" i="1"/>
  <c r="Z204" i="1"/>
  <c r="Z172" i="1"/>
  <c r="Z483" i="1"/>
  <c r="Z454" i="1"/>
  <c r="Z448" i="1"/>
  <c r="Z268" i="1"/>
  <c r="Z260" i="1"/>
  <c r="Z235" i="1"/>
  <c r="Z221" i="1"/>
  <c r="Z132" i="1"/>
  <c r="Z96" i="1"/>
  <c r="Z89" i="1"/>
  <c r="Z77" i="1"/>
  <c r="Z63" i="1"/>
  <c r="Z57" i="1"/>
  <c r="Z43" i="1"/>
  <c r="Z31" i="1"/>
  <c r="Z412" i="1"/>
  <c r="Y492" i="1"/>
  <c r="Z463" i="1"/>
  <c r="Z295" i="1"/>
  <c r="Z251" i="1"/>
  <c r="Z216" i="1"/>
  <c r="Y490" i="1"/>
  <c r="Z150" i="1"/>
  <c r="Z144" i="1"/>
  <c r="Z117" i="1"/>
  <c r="Z110" i="1"/>
  <c r="Z495" i="1" s="1"/>
  <c r="Y494" i="1"/>
  <c r="Y491" i="1"/>
  <c r="Y493" i="1" s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<sst xmlns="http://schemas.openxmlformats.org/spreadsheetml/2006/main" count="2356" uniqueCount="767">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</sst>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1" t="s">
        <v>0</v>
      </c>
      <c r="E1" s="578"/>
      <c r="F1" s="578"/>
      <c r="G1" s="12" t="s">
        <v>1</v>
      </c>
      <c r="H1" s="621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7" t="s">
        <v>8</v>
      </c>
      <c r="B5" s="651"/>
      <c r="C5" s="652"/>
      <c r="D5" s="625"/>
      <c r="E5" s="626"/>
      <c r="F5" s="827" t="s">
        <v>9</v>
      </c>
      <c r="G5" s="652"/>
      <c r="H5" s="625" t="s">
        <v>766</v>
      </c>
      <c r="I5" s="781"/>
      <c r="J5" s="781"/>
      <c r="K5" s="781"/>
      <c r="L5" s="781"/>
      <c r="M5" s="626"/>
      <c r="N5" s="58"/>
      <c r="P5" s="24" t="s">
        <v>10</v>
      </c>
      <c r="Q5" s="851">
        <v>45967</v>
      </c>
      <c r="R5" s="668"/>
      <c r="T5" s="706" t="s">
        <v>11</v>
      </c>
      <c r="U5" s="707"/>
      <c r="V5" s="709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77" t="s">
        <v>13</v>
      </c>
      <c r="B6" s="651"/>
      <c r="C6" s="652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8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6" t="s">
        <v>16</v>
      </c>
      <c r="U6" s="707"/>
      <c r="V6" s="766" t="s">
        <v>17</v>
      </c>
      <c r="W6" s="57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50"/>
      <c r="U7" s="707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7" t="s">
        <v>18</v>
      </c>
      <c r="B8" s="553"/>
      <c r="C8" s="554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83">
        <v>0.41666666666666669</v>
      </c>
      <c r="R8" s="610"/>
      <c r="T8" s="550"/>
      <c r="U8" s="707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71"/>
      <c r="E9" s="561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4"/>
      <c r="R9" s="665"/>
      <c r="T9" s="550"/>
      <c r="U9" s="707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71"/>
      <c r="E10" s="561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753" t="str">
        <f>IFERROR(VLOOKUP($D$10,Proxy,2,FALSE),"")</f>
        <v/>
      </c>
      <c r="I10" s="550"/>
      <c r="J10" s="550"/>
      <c r="K10" s="550"/>
      <c r="L10" s="550"/>
      <c r="M10" s="550"/>
      <c r="N10" s="536"/>
      <c r="P10" s="26" t="s">
        <v>22</v>
      </c>
      <c r="Q10" s="717"/>
      <c r="R10" s="718"/>
      <c r="U10" s="24" t="s">
        <v>23</v>
      </c>
      <c r="V10" s="574" t="s">
        <v>24</v>
      </c>
      <c r="W10" s="57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8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2"/>
      <c r="N12" s="62"/>
      <c r="P12" s="24" t="s">
        <v>30</v>
      </c>
      <c r="Q12" s="683"/>
      <c r="R12" s="610"/>
      <c r="S12" s="23"/>
      <c r="U12" s="24"/>
      <c r="V12" s="578"/>
      <c r="W12" s="550"/>
      <c r="AB12" s="51"/>
      <c r="AC12" s="51"/>
      <c r="AD12" s="51"/>
      <c r="AE12" s="51"/>
    </row>
    <row r="13" spans="1:32" s="537" customFormat="1" ht="23.25" customHeight="1" x14ac:dyDescent="0.2">
      <c r="A13" s="698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2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8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7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2"/>
      <c r="N15" s="63"/>
      <c r="P15" s="69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8" t="s">
        <v>38</v>
      </c>
      <c r="D17" s="587" t="s">
        <v>39</v>
      </c>
      <c r="E17" s="642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1"/>
      <c r="R17" s="641"/>
      <c r="S17" s="641"/>
      <c r="T17" s="642"/>
      <c r="U17" s="850" t="s">
        <v>51</v>
      </c>
      <c r="V17" s="652"/>
      <c r="W17" s="587" t="s">
        <v>52</v>
      </c>
      <c r="X17" s="587" t="s">
        <v>53</v>
      </c>
      <c r="Y17" s="848" t="s">
        <v>54</v>
      </c>
      <c r="Z17" s="778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3"/>
      <c r="E18" s="645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88"/>
      <c r="X18" s="588"/>
      <c r="Y18" s="849"/>
      <c r="Z18" s="779"/>
      <c r="AA18" s="752"/>
      <c r="AB18" s="752"/>
      <c r="AC18" s="752"/>
      <c r="AD18" s="832"/>
      <c r="AE18" s="833"/>
      <c r="AF18" s="834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51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38"/>
      <c r="AB20" s="538"/>
      <c r="AC20" s="538"/>
    </row>
    <row r="21" spans="1:68" ht="14.25" hidden="1" customHeight="1" x14ac:dyDescent="0.25">
      <c r="A21" s="549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7"/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68"/>
      <c r="P23" s="552" t="s">
        <v>71</v>
      </c>
      <c r="Q23" s="553"/>
      <c r="R23" s="553"/>
      <c r="S23" s="553"/>
      <c r="T23" s="553"/>
      <c r="U23" s="553"/>
      <c r="V23" s="55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0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68"/>
      <c r="P24" s="552" t="s">
        <v>71</v>
      </c>
      <c r="Q24" s="553"/>
      <c r="R24" s="553"/>
      <c r="S24" s="553"/>
      <c r="T24" s="553"/>
      <c r="U24" s="553"/>
      <c r="V24" s="55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49" t="s">
        <v>73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6"/>
      <c r="R26" s="556"/>
      <c r="S26" s="556"/>
      <c r="T26" s="557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6"/>
      <c r="R27" s="556"/>
      <c r="S27" s="556"/>
      <c r="T27" s="557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6"/>
      <c r="R28" s="556"/>
      <c r="S28" s="556"/>
      <c r="T28" s="557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6"/>
      <c r="R30" s="556"/>
      <c r="S30" s="556"/>
      <c r="T30" s="557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7"/>
      <c r="B31" s="550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68"/>
      <c r="P31" s="552" t="s">
        <v>71</v>
      </c>
      <c r="Q31" s="553"/>
      <c r="R31" s="553"/>
      <c r="S31" s="553"/>
      <c r="T31" s="553"/>
      <c r="U31" s="553"/>
      <c r="V31" s="55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68"/>
      <c r="P32" s="552" t="s">
        <v>71</v>
      </c>
      <c r="Q32" s="553"/>
      <c r="R32" s="553"/>
      <c r="S32" s="553"/>
      <c r="T32" s="553"/>
      <c r="U32" s="553"/>
      <c r="V32" s="55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49" t="s">
        <v>93</v>
      </c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  <c r="Z33" s="550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7"/>
      <c r="B35" s="550"/>
      <c r="C35" s="550"/>
      <c r="D35" s="550"/>
      <c r="E35" s="550"/>
      <c r="F35" s="550"/>
      <c r="G35" s="550"/>
      <c r="H35" s="550"/>
      <c r="I35" s="550"/>
      <c r="J35" s="550"/>
      <c r="K35" s="550"/>
      <c r="L35" s="550"/>
      <c r="M35" s="550"/>
      <c r="N35" s="550"/>
      <c r="O35" s="568"/>
      <c r="P35" s="552" t="s">
        <v>71</v>
      </c>
      <c r="Q35" s="553"/>
      <c r="R35" s="553"/>
      <c r="S35" s="553"/>
      <c r="T35" s="553"/>
      <c r="U35" s="553"/>
      <c r="V35" s="55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0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68"/>
      <c r="P36" s="552" t="s">
        <v>71</v>
      </c>
      <c r="Q36" s="553"/>
      <c r="R36" s="553"/>
      <c r="S36" s="553"/>
      <c r="T36" s="553"/>
      <c r="U36" s="553"/>
      <c r="V36" s="55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3" t="s">
        <v>99</v>
      </c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  <c r="AA37" s="48"/>
      <c r="AB37" s="48"/>
      <c r="AC37" s="48"/>
    </row>
    <row r="38" spans="1:68" ht="16.5" hidden="1" customHeight="1" x14ac:dyDescent="0.25">
      <c r="A38" s="551" t="s">
        <v>100</v>
      </c>
      <c r="B38" s="550"/>
      <c r="C38" s="550"/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  <c r="Z38" s="550"/>
      <c r="AA38" s="538"/>
      <c r="AB38" s="538"/>
      <c r="AC38" s="538"/>
    </row>
    <row r="39" spans="1:68" ht="14.25" hidden="1" customHeight="1" x14ac:dyDescent="0.25">
      <c r="A39" s="54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43">
        <v>800</v>
      </c>
      <c r="Y40" s="544">
        <f>IFERROR(IF(X40="",0,CEILING((X40/$H40),1)*$H40),"")</f>
        <v>810</v>
      </c>
      <c r="Z40" s="36">
        <f>IFERROR(IF(Y40=0,"",ROUNDUP(Y40/H40,0)*0.01898),"")</f>
        <v>1.4235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832.22222222222217</v>
      </c>
      <c r="BN40" s="64">
        <f>IFERROR(Y40*I40/H40,"0")</f>
        <v>842.625</v>
      </c>
      <c r="BO40" s="64">
        <f>IFERROR(1/J40*(X40/H40),"0")</f>
        <v>1.1574074074074074</v>
      </c>
      <c r="BP40" s="64">
        <f>IFERROR(1/J40*(Y40/H40),"0")</f>
        <v>1.171875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43">
        <v>120</v>
      </c>
      <c r="Y41" s="544">
        <f>IFERROR(IF(X41="",0,CEILING((X41/$H41),1)*$H41),"")</f>
        <v>120</v>
      </c>
      <c r="Z41" s="36">
        <f>IFERROR(IF(Y41=0,"",ROUNDUP(Y41/H41,0)*0.00902),"")</f>
        <v>0.27060000000000001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126.3</v>
      </c>
      <c r="BN41" s="64">
        <f>IFERROR(Y41*I41/H41,"0")</f>
        <v>126.3</v>
      </c>
      <c r="BO41" s="64">
        <f>IFERROR(1/J41*(X41/H41),"0")</f>
        <v>0.22727272727272729</v>
      </c>
      <c r="BP41" s="64">
        <f>IFERROR(1/J41*(Y41/H41),"0")</f>
        <v>0.22727272727272729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0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68"/>
      <c r="P43" s="552" t="s">
        <v>71</v>
      </c>
      <c r="Q43" s="553"/>
      <c r="R43" s="553"/>
      <c r="S43" s="553"/>
      <c r="T43" s="553"/>
      <c r="U43" s="553"/>
      <c r="V43" s="554"/>
      <c r="W43" s="37" t="s">
        <v>72</v>
      </c>
      <c r="X43" s="545">
        <f>IFERROR(X40/H40,"0")+IFERROR(X41/H41,"0")+IFERROR(X42/H42,"0")</f>
        <v>104.07407407407408</v>
      </c>
      <c r="Y43" s="545">
        <f>IFERROR(Y40/H40,"0")+IFERROR(Y41/H41,"0")+IFERROR(Y42/H42,"0")</f>
        <v>105</v>
      </c>
      <c r="Z43" s="545">
        <f>IFERROR(IF(Z40="",0,Z40),"0")+IFERROR(IF(Z41="",0,Z41),"0")+IFERROR(IF(Z42="",0,Z42),"0")</f>
        <v>1.6940999999999999</v>
      </c>
      <c r="AA43" s="546"/>
      <c r="AB43" s="546"/>
      <c r="AC43" s="546"/>
    </row>
    <row r="44" spans="1:68" x14ac:dyDescent="0.2">
      <c r="A44" s="550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68"/>
      <c r="P44" s="552" t="s">
        <v>71</v>
      </c>
      <c r="Q44" s="553"/>
      <c r="R44" s="553"/>
      <c r="S44" s="553"/>
      <c r="T44" s="553"/>
      <c r="U44" s="553"/>
      <c r="V44" s="554"/>
      <c r="W44" s="37" t="s">
        <v>69</v>
      </c>
      <c r="X44" s="545">
        <f>IFERROR(SUM(X40:X42),"0")</f>
        <v>920</v>
      </c>
      <c r="Y44" s="545">
        <f>IFERROR(SUM(Y40:Y42),"0")</f>
        <v>930</v>
      </c>
      <c r="Z44" s="37"/>
      <c r="AA44" s="546"/>
      <c r="AB44" s="546"/>
      <c r="AC44" s="546"/>
    </row>
    <row r="45" spans="1:68" ht="14.25" hidden="1" customHeight="1" x14ac:dyDescent="0.25">
      <c r="A45" s="549" t="s">
        <v>73</v>
      </c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550"/>
      <c r="Y45" s="550"/>
      <c r="Z45" s="550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7"/>
      <c r="B47" s="550"/>
      <c r="C47" s="550"/>
      <c r="D47" s="550"/>
      <c r="E47" s="550"/>
      <c r="F47" s="550"/>
      <c r="G47" s="550"/>
      <c r="H47" s="550"/>
      <c r="I47" s="550"/>
      <c r="J47" s="550"/>
      <c r="K47" s="550"/>
      <c r="L47" s="550"/>
      <c r="M47" s="550"/>
      <c r="N47" s="550"/>
      <c r="O47" s="568"/>
      <c r="P47" s="552" t="s">
        <v>71</v>
      </c>
      <c r="Q47" s="553"/>
      <c r="R47" s="553"/>
      <c r="S47" s="553"/>
      <c r="T47" s="553"/>
      <c r="U47" s="553"/>
      <c r="V47" s="55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0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68"/>
      <c r="P48" s="552" t="s">
        <v>71</v>
      </c>
      <c r="Q48" s="553"/>
      <c r="R48" s="553"/>
      <c r="S48" s="553"/>
      <c r="T48" s="553"/>
      <c r="U48" s="553"/>
      <c r="V48" s="55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1" t="s">
        <v>117</v>
      </c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50"/>
      <c r="P49" s="550"/>
      <c r="Q49" s="550"/>
      <c r="R49" s="550"/>
      <c r="S49" s="550"/>
      <c r="T49" s="550"/>
      <c r="U49" s="550"/>
      <c r="V49" s="550"/>
      <c r="W49" s="550"/>
      <c r="X49" s="550"/>
      <c r="Y49" s="550"/>
      <c r="Z49" s="550"/>
      <c r="AA49" s="538"/>
      <c r="AB49" s="538"/>
      <c r="AC49" s="538"/>
    </row>
    <row r="50" spans="1:68" ht="14.25" hidden="1" customHeight="1" x14ac:dyDescent="0.25">
      <c r="A50" s="549" t="s">
        <v>101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7"/>
      <c r="B57" s="550"/>
      <c r="C57" s="550"/>
      <c r="D57" s="550"/>
      <c r="E57" s="550"/>
      <c r="F57" s="550"/>
      <c r="G57" s="550"/>
      <c r="H57" s="550"/>
      <c r="I57" s="550"/>
      <c r="J57" s="550"/>
      <c r="K57" s="550"/>
      <c r="L57" s="550"/>
      <c r="M57" s="550"/>
      <c r="N57" s="550"/>
      <c r="O57" s="568"/>
      <c r="P57" s="552" t="s">
        <v>71</v>
      </c>
      <c r="Q57" s="553"/>
      <c r="R57" s="553"/>
      <c r="S57" s="553"/>
      <c r="T57" s="553"/>
      <c r="U57" s="553"/>
      <c r="V57" s="554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hidden="1" x14ac:dyDescent="0.2">
      <c r="A58" s="550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68"/>
      <c r="P58" s="552" t="s">
        <v>71</v>
      </c>
      <c r="Q58" s="553"/>
      <c r="R58" s="553"/>
      <c r="S58" s="553"/>
      <c r="T58" s="553"/>
      <c r="U58" s="553"/>
      <c r="V58" s="554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hidden="1" customHeight="1" x14ac:dyDescent="0.25">
      <c r="A59" s="549" t="s">
        <v>136</v>
      </c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Z59" s="550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43">
        <v>1300</v>
      </c>
      <c r="Y60" s="544">
        <f>IFERROR(IF(X60="",0,CEILING((X60/$H60),1)*$H60),"")</f>
        <v>1306.8000000000002</v>
      </c>
      <c r="Z60" s="36">
        <f>IFERROR(IF(Y60=0,"",ROUNDUP(Y60/H60,0)*0.01898),"")</f>
        <v>2.2965800000000001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1352.3611111111111</v>
      </c>
      <c r="BN60" s="64">
        <f>IFERROR(Y60*I60/H60,"0")</f>
        <v>1359.4349999999999</v>
      </c>
      <c r="BO60" s="64">
        <f>IFERROR(1/J60*(X60/H60),"0")</f>
        <v>1.880787037037037</v>
      </c>
      <c r="BP60" s="64">
        <f>IFERROR(1/J60*(Y60/H60),"0")</f>
        <v>1.8906250000000002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43">
        <v>491</v>
      </c>
      <c r="Y62" s="544">
        <f>IFERROR(IF(X62="",0,CEILING((X62/$H62),1)*$H62),"")</f>
        <v>491.40000000000003</v>
      </c>
      <c r="Z62" s="36">
        <f>IFERROR(IF(Y62=0,"",ROUNDUP(Y62/H62,0)*0.00651),"")</f>
        <v>1.18482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523.73333333333323</v>
      </c>
      <c r="BN62" s="64">
        <f>IFERROR(Y62*I62/H62,"0")</f>
        <v>524.16</v>
      </c>
      <c r="BO62" s="64">
        <f>IFERROR(1/J62*(X62/H62),"0")</f>
        <v>0.99918599918599926</v>
      </c>
      <c r="BP62" s="64">
        <f>IFERROR(1/J62*(Y62/H62),"0")</f>
        <v>1</v>
      </c>
    </row>
    <row r="63" spans="1:68" x14ac:dyDescent="0.2">
      <c r="A63" s="567"/>
      <c r="B63" s="550"/>
      <c r="C63" s="550"/>
      <c r="D63" s="550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68"/>
      <c r="P63" s="552" t="s">
        <v>71</v>
      </c>
      <c r="Q63" s="553"/>
      <c r="R63" s="553"/>
      <c r="S63" s="553"/>
      <c r="T63" s="553"/>
      <c r="U63" s="553"/>
      <c r="V63" s="554"/>
      <c r="W63" s="37" t="s">
        <v>72</v>
      </c>
      <c r="X63" s="545">
        <f>IFERROR(X60/H60,"0")+IFERROR(X61/H61,"0")+IFERROR(X62/H62,"0")</f>
        <v>302.22222222222223</v>
      </c>
      <c r="Y63" s="545">
        <f>IFERROR(Y60/H60,"0")+IFERROR(Y61/H61,"0")+IFERROR(Y62/H62,"0")</f>
        <v>303</v>
      </c>
      <c r="Z63" s="545">
        <f>IFERROR(IF(Z60="",0,Z60),"0")+IFERROR(IF(Z61="",0,Z61),"0")+IFERROR(IF(Z62="",0,Z62),"0")</f>
        <v>3.4813999999999998</v>
      </c>
      <c r="AA63" s="546"/>
      <c r="AB63" s="546"/>
      <c r="AC63" s="546"/>
    </row>
    <row r="64" spans="1:68" x14ac:dyDescent="0.2">
      <c r="A64" s="550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68"/>
      <c r="P64" s="552" t="s">
        <v>71</v>
      </c>
      <c r="Q64" s="553"/>
      <c r="R64" s="553"/>
      <c r="S64" s="553"/>
      <c r="T64" s="553"/>
      <c r="U64" s="553"/>
      <c r="V64" s="554"/>
      <c r="W64" s="37" t="s">
        <v>69</v>
      </c>
      <c r="X64" s="545">
        <f>IFERROR(SUM(X60:X62),"0")</f>
        <v>1791</v>
      </c>
      <c r="Y64" s="545">
        <f>IFERROR(SUM(Y60:Y62),"0")</f>
        <v>1798.2000000000003</v>
      </c>
      <c r="Z64" s="37"/>
      <c r="AA64" s="546"/>
      <c r="AB64" s="546"/>
      <c r="AC64" s="546"/>
    </row>
    <row r="65" spans="1:68" ht="14.25" hidden="1" customHeight="1" x14ac:dyDescent="0.25">
      <c r="A65" s="549" t="s">
        <v>64</v>
      </c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  <c r="Z65" s="550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6"/>
      <c r="R68" s="556"/>
      <c r="S68" s="556"/>
      <c r="T68" s="557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7"/>
      <c r="B69" s="550"/>
      <c r="C69" s="550"/>
      <c r="D69" s="550"/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68"/>
      <c r="P69" s="552" t="s">
        <v>71</v>
      </c>
      <c r="Q69" s="553"/>
      <c r="R69" s="553"/>
      <c r="S69" s="553"/>
      <c r="T69" s="553"/>
      <c r="U69" s="553"/>
      <c r="V69" s="55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0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68"/>
      <c r="P70" s="552" t="s">
        <v>71</v>
      </c>
      <c r="Q70" s="553"/>
      <c r="R70" s="553"/>
      <c r="S70" s="553"/>
      <c r="T70" s="553"/>
      <c r="U70" s="553"/>
      <c r="V70" s="55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49" t="s">
        <v>73</v>
      </c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39"/>
      <c r="AB71" s="539"/>
      <c r="AC71" s="539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60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6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6"/>
      <c r="R75" s="556"/>
      <c r="S75" s="556"/>
      <c r="T75" s="557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6"/>
      <c r="R76" s="556"/>
      <c r="S76" s="556"/>
      <c r="T76" s="557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68"/>
      <c r="P77" s="552" t="s">
        <v>71</v>
      </c>
      <c r="Q77" s="553"/>
      <c r="R77" s="553"/>
      <c r="S77" s="553"/>
      <c r="T77" s="553"/>
      <c r="U77" s="553"/>
      <c r="V77" s="55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68"/>
      <c r="P78" s="552" t="s">
        <v>71</v>
      </c>
      <c r="Q78" s="553"/>
      <c r="R78" s="553"/>
      <c r="S78" s="553"/>
      <c r="T78" s="553"/>
      <c r="U78" s="553"/>
      <c r="V78" s="55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49" t="s">
        <v>166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39"/>
      <c r="AB79" s="539"/>
      <c r="AC79" s="539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6"/>
      <c r="R80" s="556"/>
      <c r="S80" s="556"/>
      <c r="T80" s="557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6"/>
      <c r="R81" s="556"/>
      <c r="S81" s="556"/>
      <c r="T81" s="557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68"/>
      <c r="P82" s="552" t="s">
        <v>71</v>
      </c>
      <c r="Q82" s="553"/>
      <c r="R82" s="553"/>
      <c r="S82" s="553"/>
      <c r="T82" s="553"/>
      <c r="U82" s="553"/>
      <c r="V82" s="55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68"/>
      <c r="P83" s="552" t="s">
        <v>71</v>
      </c>
      <c r="Q83" s="553"/>
      <c r="R83" s="553"/>
      <c r="S83" s="553"/>
      <c r="T83" s="553"/>
      <c r="U83" s="553"/>
      <c r="V83" s="55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1" t="s">
        <v>173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38"/>
      <c r="AB84" s="538"/>
      <c r="AC84" s="538"/>
    </row>
    <row r="85" spans="1:68" ht="14.25" hidden="1" customHeight="1" x14ac:dyDescent="0.25">
      <c r="A85" s="549" t="s">
        <v>101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6"/>
      <c r="R86" s="556"/>
      <c r="S86" s="556"/>
      <c r="T86" s="557"/>
      <c r="U86" s="34"/>
      <c r="V86" s="34"/>
      <c r="W86" s="35" t="s">
        <v>69</v>
      </c>
      <c r="X86" s="543">
        <v>200</v>
      </c>
      <c r="Y86" s="544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208.05555555555554</v>
      </c>
      <c r="BN86" s="64">
        <f>IFERROR(Y86*I86/H86,"0")</f>
        <v>213.46499999999997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6"/>
      <c r="R87" s="556"/>
      <c r="S87" s="556"/>
      <c r="T87" s="557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6"/>
      <c r="R88" s="556"/>
      <c r="S88" s="556"/>
      <c r="T88" s="557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7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68"/>
      <c r="P89" s="552" t="s">
        <v>71</v>
      </c>
      <c r="Q89" s="553"/>
      <c r="R89" s="553"/>
      <c r="S89" s="553"/>
      <c r="T89" s="553"/>
      <c r="U89" s="553"/>
      <c r="V89" s="554"/>
      <c r="W89" s="37" t="s">
        <v>72</v>
      </c>
      <c r="X89" s="545">
        <f>IFERROR(X86/H86,"0")+IFERROR(X87/H87,"0")+IFERROR(X88/H88,"0")</f>
        <v>18.518518518518519</v>
      </c>
      <c r="Y89" s="545">
        <f>IFERROR(Y86/H86,"0")+IFERROR(Y87/H87,"0")+IFERROR(Y88/H88,"0")</f>
        <v>19</v>
      </c>
      <c r="Z89" s="545">
        <f>IFERROR(IF(Z86="",0,Z86),"0")+IFERROR(IF(Z87="",0,Z87),"0")+IFERROR(IF(Z88="",0,Z88),"0")</f>
        <v>0.36062</v>
      </c>
      <c r="AA89" s="546"/>
      <c r="AB89" s="546"/>
      <c r="AC89" s="546"/>
    </row>
    <row r="90" spans="1:68" x14ac:dyDescent="0.2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68"/>
      <c r="P90" s="552" t="s">
        <v>71</v>
      </c>
      <c r="Q90" s="553"/>
      <c r="R90" s="553"/>
      <c r="S90" s="553"/>
      <c r="T90" s="553"/>
      <c r="U90" s="553"/>
      <c r="V90" s="554"/>
      <c r="W90" s="37" t="s">
        <v>69</v>
      </c>
      <c r="X90" s="545">
        <f>IFERROR(SUM(X86:X88),"0")</f>
        <v>200</v>
      </c>
      <c r="Y90" s="545">
        <f>IFERROR(SUM(Y86:Y88),"0")</f>
        <v>205.20000000000002</v>
      </c>
      <c r="Z90" s="37"/>
      <c r="AA90" s="546"/>
      <c r="AB90" s="546"/>
      <c r="AC90" s="546"/>
    </row>
    <row r="91" spans="1:68" ht="14.25" hidden="1" customHeight="1" x14ac:dyDescent="0.25">
      <c r="A91" s="549" t="s">
        <v>73</v>
      </c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R91" s="550"/>
      <c r="S91" s="550"/>
      <c r="T91" s="550"/>
      <c r="U91" s="550"/>
      <c r="V91" s="550"/>
      <c r="W91" s="550"/>
      <c r="X91" s="550"/>
      <c r="Y91" s="550"/>
      <c r="Z91" s="550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43">
        <v>200</v>
      </c>
      <c r="Y92" s="544">
        <f>IFERROR(IF(X92="",0,CEILING((X92/$H92),1)*$H92),"")</f>
        <v>202.5</v>
      </c>
      <c r="Z92" s="36">
        <f>IFERROR(IF(Y92=0,"",ROUNDUP(Y92/H92,0)*0.01898),"")</f>
        <v>0.47450000000000003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212.81481481481481</v>
      </c>
      <c r="BN92" s="64">
        <f>IFERROR(Y92*I92/H92,"0")</f>
        <v>215.47499999999999</v>
      </c>
      <c r="BO92" s="64">
        <f>IFERROR(1/J92*(X92/H92),"0")</f>
        <v>0.38580246913580246</v>
      </c>
      <c r="BP92" s="64">
        <f>IFERROR(1/J92*(Y92/H92),"0")</f>
        <v>0.390625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6"/>
      <c r="R94" s="556"/>
      <c r="S94" s="556"/>
      <c r="T94" s="557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6"/>
      <c r="R95" s="556"/>
      <c r="S95" s="556"/>
      <c r="T95" s="557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0"/>
      <c r="C96" s="550"/>
      <c r="D96" s="550"/>
      <c r="E96" s="550"/>
      <c r="F96" s="550"/>
      <c r="G96" s="550"/>
      <c r="H96" s="550"/>
      <c r="I96" s="550"/>
      <c r="J96" s="550"/>
      <c r="K96" s="550"/>
      <c r="L96" s="550"/>
      <c r="M96" s="550"/>
      <c r="N96" s="550"/>
      <c r="O96" s="568"/>
      <c r="P96" s="552" t="s">
        <v>71</v>
      </c>
      <c r="Q96" s="553"/>
      <c r="R96" s="553"/>
      <c r="S96" s="553"/>
      <c r="T96" s="553"/>
      <c r="U96" s="553"/>
      <c r="V96" s="554"/>
      <c r="W96" s="37" t="s">
        <v>72</v>
      </c>
      <c r="X96" s="545">
        <f>IFERROR(X92/H92,"0")+IFERROR(X93/H93,"0")+IFERROR(X94/H94,"0")+IFERROR(X95/H95,"0")</f>
        <v>24.691358024691358</v>
      </c>
      <c r="Y96" s="545">
        <f>IFERROR(Y92/H92,"0")+IFERROR(Y93/H93,"0")+IFERROR(Y94/H94,"0")+IFERROR(Y95/H95,"0")</f>
        <v>25</v>
      </c>
      <c r="Z96" s="545">
        <f>IFERROR(IF(Z92="",0,Z92),"0")+IFERROR(IF(Z93="",0,Z93),"0")+IFERROR(IF(Z94="",0,Z94),"0")+IFERROR(IF(Z95="",0,Z95),"0")</f>
        <v>0.47450000000000003</v>
      </c>
      <c r="AA96" s="546"/>
      <c r="AB96" s="546"/>
      <c r="AC96" s="546"/>
    </row>
    <row r="97" spans="1:68" x14ac:dyDescent="0.2">
      <c r="A97" s="550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68"/>
      <c r="P97" s="552" t="s">
        <v>71</v>
      </c>
      <c r="Q97" s="553"/>
      <c r="R97" s="553"/>
      <c r="S97" s="553"/>
      <c r="T97" s="553"/>
      <c r="U97" s="553"/>
      <c r="V97" s="554"/>
      <c r="W97" s="37" t="s">
        <v>69</v>
      </c>
      <c r="X97" s="545">
        <f>IFERROR(SUM(X92:X95),"0")</f>
        <v>200</v>
      </c>
      <c r="Y97" s="545">
        <f>IFERROR(SUM(Y92:Y95),"0")</f>
        <v>202.5</v>
      </c>
      <c r="Z97" s="37"/>
      <c r="AA97" s="546"/>
      <c r="AB97" s="546"/>
      <c r="AC97" s="546"/>
    </row>
    <row r="98" spans="1:68" ht="16.5" hidden="1" customHeight="1" x14ac:dyDescent="0.25">
      <c r="A98" s="551" t="s">
        <v>192</v>
      </c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50"/>
      <c r="P98" s="550"/>
      <c r="Q98" s="550"/>
      <c r="R98" s="550"/>
      <c r="S98" s="550"/>
      <c r="T98" s="550"/>
      <c r="U98" s="550"/>
      <c r="V98" s="550"/>
      <c r="W98" s="550"/>
      <c r="X98" s="550"/>
      <c r="Y98" s="550"/>
      <c r="Z98" s="550"/>
      <c r="AA98" s="538"/>
      <c r="AB98" s="538"/>
      <c r="AC98" s="538"/>
    </row>
    <row r="99" spans="1:68" ht="14.25" hidden="1" customHeight="1" x14ac:dyDescent="0.25">
      <c r="A99" s="549" t="s">
        <v>101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39"/>
      <c r="AB99" s="539"/>
      <c r="AC99" s="53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7"/>
      <c r="B104" s="550"/>
      <c r="C104" s="550"/>
      <c r="D104" s="550"/>
      <c r="E104" s="550"/>
      <c r="F104" s="550"/>
      <c r="G104" s="550"/>
      <c r="H104" s="550"/>
      <c r="I104" s="550"/>
      <c r="J104" s="550"/>
      <c r="K104" s="550"/>
      <c r="L104" s="550"/>
      <c r="M104" s="550"/>
      <c r="N104" s="550"/>
      <c r="O104" s="568"/>
      <c r="P104" s="552" t="s">
        <v>71</v>
      </c>
      <c r="Q104" s="553"/>
      <c r="R104" s="553"/>
      <c r="S104" s="553"/>
      <c r="T104" s="553"/>
      <c r="U104" s="553"/>
      <c r="V104" s="55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hidden="1" x14ac:dyDescent="0.2">
      <c r="A105" s="550"/>
      <c r="B105" s="550"/>
      <c r="C105" s="550"/>
      <c r="D105" s="550"/>
      <c r="E105" s="550"/>
      <c r="F105" s="550"/>
      <c r="G105" s="550"/>
      <c r="H105" s="550"/>
      <c r="I105" s="550"/>
      <c r="J105" s="550"/>
      <c r="K105" s="550"/>
      <c r="L105" s="550"/>
      <c r="M105" s="550"/>
      <c r="N105" s="550"/>
      <c r="O105" s="568"/>
      <c r="P105" s="552" t="s">
        <v>71</v>
      </c>
      <c r="Q105" s="553"/>
      <c r="R105" s="553"/>
      <c r="S105" s="553"/>
      <c r="T105" s="553"/>
      <c r="U105" s="553"/>
      <c r="V105" s="55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hidden="1" customHeight="1" x14ac:dyDescent="0.25">
      <c r="A106" s="549" t="s">
        <v>136</v>
      </c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50"/>
      <c r="P106" s="550"/>
      <c r="Q106" s="550"/>
      <c r="R106" s="550"/>
      <c r="S106" s="550"/>
      <c r="T106" s="550"/>
      <c r="U106" s="550"/>
      <c r="V106" s="550"/>
      <c r="W106" s="550"/>
      <c r="X106" s="550"/>
      <c r="Y106" s="550"/>
      <c r="Z106" s="550"/>
      <c r="AA106" s="539"/>
      <c r="AB106" s="539"/>
      <c r="AC106" s="539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7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67"/>
      <c r="B110" s="550"/>
      <c r="C110" s="550"/>
      <c r="D110" s="550"/>
      <c r="E110" s="550"/>
      <c r="F110" s="550"/>
      <c r="G110" s="550"/>
      <c r="H110" s="550"/>
      <c r="I110" s="550"/>
      <c r="J110" s="550"/>
      <c r="K110" s="550"/>
      <c r="L110" s="550"/>
      <c r="M110" s="550"/>
      <c r="N110" s="550"/>
      <c r="O110" s="568"/>
      <c r="P110" s="552" t="s">
        <v>71</v>
      </c>
      <c r="Q110" s="553"/>
      <c r="R110" s="553"/>
      <c r="S110" s="553"/>
      <c r="T110" s="553"/>
      <c r="U110" s="553"/>
      <c r="V110" s="55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0"/>
      <c r="B111" s="550"/>
      <c r="C111" s="550"/>
      <c r="D111" s="550"/>
      <c r="E111" s="550"/>
      <c r="F111" s="550"/>
      <c r="G111" s="550"/>
      <c r="H111" s="550"/>
      <c r="I111" s="550"/>
      <c r="J111" s="550"/>
      <c r="K111" s="550"/>
      <c r="L111" s="550"/>
      <c r="M111" s="550"/>
      <c r="N111" s="550"/>
      <c r="O111" s="568"/>
      <c r="P111" s="552" t="s">
        <v>71</v>
      </c>
      <c r="Q111" s="553"/>
      <c r="R111" s="553"/>
      <c r="S111" s="553"/>
      <c r="T111" s="553"/>
      <c r="U111" s="553"/>
      <c r="V111" s="55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49" t="s">
        <v>73</v>
      </c>
      <c r="B112" s="550"/>
      <c r="C112" s="550"/>
      <c r="D112" s="550"/>
      <c r="E112" s="550"/>
      <c r="F112" s="550"/>
      <c r="G112" s="550"/>
      <c r="H112" s="550"/>
      <c r="I112" s="550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  <c r="Z112" s="550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6"/>
      <c r="R113" s="556"/>
      <c r="S113" s="556"/>
      <c r="T113" s="557"/>
      <c r="U113" s="34"/>
      <c r="V113" s="34"/>
      <c r="W113" s="35" t="s">
        <v>69</v>
      </c>
      <c r="X113" s="543">
        <v>500</v>
      </c>
      <c r="Y113" s="544">
        <f>IFERROR(IF(X113="",0,CEILING((X113/$H113),1)*$H113),"")</f>
        <v>502.2</v>
      </c>
      <c r="Z113" s="36">
        <f>IFERROR(IF(Y113=0,"",ROUNDUP(Y113/H113,0)*0.01898),"")</f>
        <v>1.17676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531.66666666666674</v>
      </c>
      <c r="BN113" s="64">
        <f>IFERROR(Y113*I113/H113,"0")</f>
        <v>534.00599999999997</v>
      </c>
      <c r="BO113" s="64">
        <f>IFERROR(1/J113*(X113/H113),"0")</f>
        <v>0.96450617283950624</v>
      </c>
      <c r="BP113" s="64">
        <f>IFERROR(1/J113*(Y113/H113),"0")</f>
        <v>0.96875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2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0"/>
      <c r="C117" s="550"/>
      <c r="D117" s="550"/>
      <c r="E117" s="550"/>
      <c r="F117" s="550"/>
      <c r="G117" s="550"/>
      <c r="H117" s="550"/>
      <c r="I117" s="550"/>
      <c r="J117" s="550"/>
      <c r="K117" s="550"/>
      <c r="L117" s="550"/>
      <c r="M117" s="550"/>
      <c r="N117" s="550"/>
      <c r="O117" s="568"/>
      <c r="P117" s="552" t="s">
        <v>71</v>
      </c>
      <c r="Q117" s="553"/>
      <c r="R117" s="553"/>
      <c r="S117" s="553"/>
      <c r="T117" s="553"/>
      <c r="U117" s="553"/>
      <c r="V117" s="554"/>
      <c r="W117" s="37" t="s">
        <v>72</v>
      </c>
      <c r="X117" s="545">
        <f>IFERROR(X113/H113,"0")+IFERROR(X114/H114,"0")+IFERROR(X115/H115,"0")+IFERROR(X116/H116,"0")</f>
        <v>61.728395061728399</v>
      </c>
      <c r="Y117" s="545">
        <f>IFERROR(Y113/H113,"0")+IFERROR(Y114/H114,"0")+IFERROR(Y115/H115,"0")+IFERROR(Y116/H116,"0")</f>
        <v>62</v>
      </c>
      <c r="Z117" s="545">
        <f>IFERROR(IF(Z113="",0,Z113),"0")+IFERROR(IF(Z114="",0,Z114),"0")+IFERROR(IF(Z115="",0,Z115),"0")+IFERROR(IF(Z116="",0,Z116),"0")</f>
        <v>1.17676</v>
      </c>
      <c r="AA117" s="546"/>
      <c r="AB117" s="546"/>
      <c r="AC117" s="546"/>
    </row>
    <row r="118" spans="1:68" x14ac:dyDescent="0.2">
      <c r="A118" s="550"/>
      <c r="B118" s="550"/>
      <c r="C118" s="550"/>
      <c r="D118" s="550"/>
      <c r="E118" s="550"/>
      <c r="F118" s="550"/>
      <c r="G118" s="550"/>
      <c r="H118" s="550"/>
      <c r="I118" s="550"/>
      <c r="J118" s="550"/>
      <c r="K118" s="550"/>
      <c r="L118" s="550"/>
      <c r="M118" s="550"/>
      <c r="N118" s="550"/>
      <c r="O118" s="568"/>
      <c r="P118" s="552" t="s">
        <v>71</v>
      </c>
      <c r="Q118" s="553"/>
      <c r="R118" s="553"/>
      <c r="S118" s="553"/>
      <c r="T118" s="553"/>
      <c r="U118" s="553"/>
      <c r="V118" s="554"/>
      <c r="W118" s="37" t="s">
        <v>69</v>
      </c>
      <c r="X118" s="545">
        <f>IFERROR(SUM(X113:X116),"0")</f>
        <v>500</v>
      </c>
      <c r="Y118" s="545">
        <f>IFERROR(SUM(Y113:Y116),"0")</f>
        <v>502.2</v>
      </c>
      <c r="Z118" s="37"/>
      <c r="AA118" s="546"/>
      <c r="AB118" s="546"/>
      <c r="AC118" s="546"/>
    </row>
    <row r="119" spans="1:68" ht="14.25" hidden="1" customHeight="1" x14ac:dyDescent="0.25">
      <c r="A119" s="549" t="s">
        <v>166</v>
      </c>
      <c r="B119" s="550"/>
      <c r="C119" s="550"/>
      <c r="D119" s="550"/>
      <c r="E119" s="550"/>
      <c r="F119" s="550"/>
      <c r="G119" s="550"/>
      <c r="H119" s="550"/>
      <c r="I119" s="550"/>
      <c r="J119" s="550"/>
      <c r="K119" s="550"/>
      <c r="L119" s="550"/>
      <c r="M119" s="550"/>
      <c r="N119" s="550"/>
      <c r="O119" s="550"/>
      <c r="P119" s="550"/>
      <c r="Q119" s="550"/>
      <c r="R119" s="550"/>
      <c r="S119" s="550"/>
      <c r="T119" s="550"/>
      <c r="U119" s="550"/>
      <c r="V119" s="550"/>
      <c r="W119" s="550"/>
      <c r="X119" s="550"/>
      <c r="Y119" s="550"/>
      <c r="Z119" s="550"/>
      <c r="AA119" s="539"/>
      <c r="AB119" s="539"/>
      <c r="AC119" s="539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6"/>
      <c r="R120" s="556"/>
      <c r="S120" s="556"/>
      <c r="T120" s="557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67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68"/>
      <c r="P121" s="552" t="s">
        <v>71</v>
      </c>
      <c r="Q121" s="553"/>
      <c r="R121" s="553"/>
      <c r="S121" s="553"/>
      <c r="T121" s="553"/>
      <c r="U121" s="553"/>
      <c r="V121" s="55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0"/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68"/>
      <c r="P122" s="552" t="s">
        <v>71</v>
      </c>
      <c r="Q122" s="553"/>
      <c r="R122" s="553"/>
      <c r="S122" s="553"/>
      <c r="T122" s="553"/>
      <c r="U122" s="553"/>
      <c r="V122" s="55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1" t="s">
        <v>222</v>
      </c>
      <c r="B123" s="550"/>
      <c r="C123" s="550"/>
      <c r="D123" s="550"/>
      <c r="E123" s="550"/>
      <c r="F123" s="550"/>
      <c r="G123" s="550"/>
      <c r="H123" s="550"/>
      <c r="I123" s="550"/>
      <c r="J123" s="550"/>
      <c r="K123" s="550"/>
      <c r="L123" s="550"/>
      <c r="M123" s="550"/>
      <c r="N123" s="550"/>
      <c r="O123" s="550"/>
      <c r="P123" s="550"/>
      <c r="Q123" s="550"/>
      <c r="R123" s="550"/>
      <c r="S123" s="550"/>
      <c r="T123" s="550"/>
      <c r="U123" s="550"/>
      <c r="V123" s="550"/>
      <c r="W123" s="550"/>
      <c r="X123" s="550"/>
      <c r="Y123" s="550"/>
      <c r="Z123" s="550"/>
      <c r="AA123" s="538"/>
      <c r="AB123" s="538"/>
      <c r="AC123" s="538"/>
    </row>
    <row r="124" spans="1:68" ht="14.25" hidden="1" customHeight="1" x14ac:dyDescent="0.25">
      <c r="A124" s="549" t="s">
        <v>101</v>
      </c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50"/>
      <c r="P124" s="550"/>
      <c r="Q124" s="550"/>
      <c r="R124" s="550"/>
      <c r="S124" s="550"/>
      <c r="T124" s="550"/>
      <c r="U124" s="550"/>
      <c r="V124" s="550"/>
      <c r="W124" s="550"/>
      <c r="X124" s="550"/>
      <c r="Y124" s="550"/>
      <c r="Z124" s="550"/>
      <c r="AA124" s="539"/>
      <c r="AB124" s="539"/>
      <c r="AC124" s="539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6"/>
      <c r="R125" s="556"/>
      <c r="S125" s="556"/>
      <c r="T125" s="557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67"/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68"/>
      <c r="P127" s="552" t="s">
        <v>71</v>
      </c>
      <c r="Q127" s="553"/>
      <c r="R127" s="553"/>
      <c r="S127" s="553"/>
      <c r="T127" s="553"/>
      <c r="U127" s="553"/>
      <c r="V127" s="55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0"/>
      <c r="B128" s="550"/>
      <c r="C128" s="550"/>
      <c r="D128" s="550"/>
      <c r="E128" s="550"/>
      <c r="F128" s="550"/>
      <c r="G128" s="550"/>
      <c r="H128" s="550"/>
      <c r="I128" s="550"/>
      <c r="J128" s="550"/>
      <c r="K128" s="550"/>
      <c r="L128" s="550"/>
      <c r="M128" s="550"/>
      <c r="N128" s="550"/>
      <c r="O128" s="568"/>
      <c r="P128" s="552" t="s">
        <v>71</v>
      </c>
      <c r="Q128" s="553"/>
      <c r="R128" s="553"/>
      <c r="S128" s="553"/>
      <c r="T128" s="553"/>
      <c r="U128" s="553"/>
      <c r="V128" s="55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49" t="s">
        <v>64</v>
      </c>
      <c r="B129" s="550"/>
      <c r="C129" s="550"/>
      <c r="D129" s="550"/>
      <c r="E129" s="550"/>
      <c r="F129" s="550"/>
      <c r="G129" s="550"/>
      <c r="H129" s="550"/>
      <c r="I129" s="550"/>
      <c r="J129" s="550"/>
      <c r="K129" s="550"/>
      <c r="L129" s="550"/>
      <c r="M129" s="550"/>
      <c r="N129" s="550"/>
      <c r="O129" s="550"/>
      <c r="P129" s="550"/>
      <c r="Q129" s="550"/>
      <c r="R129" s="550"/>
      <c r="S129" s="550"/>
      <c r="T129" s="550"/>
      <c r="U129" s="550"/>
      <c r="V129" s="550"/>
      <c r="W129" s="550"/>
      <c r="X129" s="550"/>
      <c r="Y129" s="550"/>
      <c r="Z129" s="550"/>
      <c r="AA129" s="539"/>
      <c r="AB129" s="539"/>
      <c r="AC129" s="539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6"/>
      <c r="R130" s="556"/>
      <c r="S130" s="556"/>
      <c r="T130" s="557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67"/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68"/>
      <c r="P132" s="552" t="s">
        <v>71</v>
      </c>
      <c r="Q132" s="553"/>
      <c r="R132" s="553"/>
      <c r="S132" s="553"/>
      <c r="T132" s="553"/>
      <c r="U132" s="553"/>
      <c r="V132" s="55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0"/>
      <c r="B133" s="550"/>
      <c r="C133" s="550"/>
      <c r="D133" s="550"/>
      <c r="E133" s="550"/>
      <c r="F133" s="550"/>
      <c r="G133" s="550"/>
      <c r="H133" s="550"/>
      <c r="I133" s="550"/>
      <c r="J133" s="550"/>
      <c r="K133" s="550"/>
      <c r="L133" s="550"/>
      <c r="M133" s="550"/>
      <c r="N133" s="550"/>
      <c r="O133" s="568"/>
      <c r="P133" s="552" t="s">
        <v>71</v>
      </c>
      <c r="Q133" s="553"/>
      <c r="R133" s="553"/>
      <c r="S133" s="553"/>
      <c r="T133" s="553"/>
      <c r="U133" s="553"/>
      <c r="V133" s="55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49" t="s">
        <v>73</v>
      </c>
      <c r="B134" s="550"/>
      <c r="C134" s="550"/>
      <c r="D134" s="550"/>
      <c r="E134" s="550"/>
      <c r="F134" s="550"/>
      <c r="G134" s="550"/>
      <c r="H134" s="550"/>
      <c r="I134" s="550"/>
      <c r="J134" s="550"/>
      <c r="K134" s="550"/>
      <c r="L134" s="550"/>
      <c r="M134" s="550"/>
      <c r="N134" s="550"/>
      <c r="O134" s="550"/>
      <c r="P134" s="550"/>
      <c r="Q134" s="550"/>
      <c r="R134" s="550"/>
      <c r="S134" s="550"/>
      <c r="T134" s="550"/>
      <c r="U134" s="550"/>
      <c r="V134" s="550"/>
      <c r="W134" s="550"/>
      <c r="X134" s="550"/>
      <c r="Y134" s="550"/>
      <c r="Z134" s="550"/>
      <c r="AA134" s="539"/>
      <c r="AB134" s="539"/>
      <c r="AC134" s="539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6"/>
      <c r="R135" s="556"/>
      <c r="S135" s="556"/>
      <c r="T135" s="557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6"/>
      <c r="R136" s="556"/>
      <c r="S136" s="556"/>
      <c r="T136" s="557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67"/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68"/>
      <c r="P137" s="552" t="s">
        <v>71</v>
      </c>
      <c r="Q137" s="553"/>
      <c r="R137" s="553"/>
      <c r="S137" s="553"/>
      <c r="T137" s="553"/>
      <c r="U137" s="553"/>
      <c r="V137" s="55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0"/>
      <c r="B138" s="550"/>
      <c r="C138" s="550"/>
      <c r="D138" s="550"/>
      <c r="E138" s="550"/>
      <c r="F138" s="550"/>
      <c r="G138" s="550"/>
      <c r="H138" s="550"/>
      <c r="I138" s="550"/>
      <c r="J138" s="550"/>
      <c r="K138" s="550"/>
      <c r="L138" s="550"/>
      <c r="M138" s="550"/>
      <c r="N138" s="550"/>
      <c r="O138" s="568"/>
      <c r="P138" s="552" t="s">
        <v>71</v>
      </c>
      <c r="Q138" s="553"/>
      <c r="R138" s="553"/>
      <c r="S138" s="553"/>
      <c r="T138" s="553"/>
      <c r="U138" s="553"/>
      <c r="V138" s="55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1" t="s">
        <v>99</v>
      </c>
      <c r="B139" s="550"/>
      <c r="C139" s="550"/>
      <c r="D139" s="550"/>
      <c r="E139" s="550"/>
      <c r="F139" s="550"/>
      <c r="G139" s="550"/>
      <c r="H139" s="550"/>
      <c r="I139" s="550"/>
      <c r="J139" s="550"/>
      <c r="K139" s="550"/>
      <c r="L139" s="550"/>
      <c r="M139" s="550"/>
      <c r="N139" s="550"/>
      <c r="O139" s="550"/>
      <c r="P139" s="550"/>
      <c r="Q139" s="550"/>
      <c r="R139" s="550"/>
      <c r="S139" s="550"/>
      <c r="T139" s="550"/>
      <c r="U139" s="550"/>
      <c r="V139" s="550"/>
      <c r="W139" s="550"/>
      <c r="X139" s="550"/>
      <c r="Y139" s="550"/>
      <c r="Z139" s="550"/>
      <c r="AA139" s="538"/>
      <c r="AB139" s="538"/>
      <c r="AC139" s="538"/>
    </row>
    <row r="140" spans="1:68" ht="14.25" hidden="1" customHeight="1" x14ac:dyDescent="0.25">
      <c r="A140" s="549" t="s">
        <v>101</v>
      </c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50"/>
      <c r="P140" s="550"/>
      <c r="Q140" s="550"/>
      <c r="R140" s="550"/>
      <c r="S140" s="550"/>
      <c r="T140" s="550"/>
      <c r="U140" s="550"/>
      <c r="V140" s="550"/>
      <c r="W140" s="550"/>
      <c r="X140" s="550"/>
      <c r="Y140" s="550"/>
      <c r="Z140" s="550"/>
      <c r="AA140" s="539"/>
      <c r="AB140" s="539"/>
      <c r="AC140" s="539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6"/>
      <c r="R141" s="556"/>
      <c r="S141" s="556"/>
      <c r="T141" s="557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3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7"/>
      <c r="B144" s="550"/>
      <c r="C144" s="550"/>
      <c r="D144" s="550"/>
      <c r="E144" s="550"/>
      <c r="F144" s="550"/>
      <c r="G144" s="550"/>
      <c r="H144" s="550"/>
      <c r="I144" s="550"/>
      <c r="J144" s="550"/>
      <c r="K144" s="550"/>
      <c r="L144" s="550"/>
      <c r="M144" s="550"/>
      <c r="N144" s="550"/>
      <c r="O144" s="568"/>
      <c r="P144" s="552" t="s">
        <v>71</v>
      </c>
      <c r="Q144" s="553"/>
      <c r="R144" s="553"/>
      <c r="S144" s="553"/>
      <c r="T144" s="553"/>
      <c r="U144" s="553"/>
      <c r="V144" s="55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hidden="1" x14ac:dyDescent="0.2">
      <c r="A145" s="550"/>
      <c r="B145" s="550"/>
      <c r="C145" s="550"/>
      <c r="D145" s="550"/>
      <c r="E145" s="550"/>
      <c r="F145" s="550"/>
      <c r="G145" s="550"/>
      <c r="H145" s="550"/>
      <c r="I145" s="550"/>
      <c r="J145" s="550"/>
      <c r="K145" s="550"/>
      <c r="L145" s="550"/>
      <c r="M145" s="550"/>
      <c r="N145" s="550"/>
      <c r="O145" s="568"/>
      <c r="P145" s="552" t="s">
        <v>71</v>
      </c>
      <c r="Q145" s="553"/>
      <c r="R145" s="553"/>
      <c r="S145" s="553"/>
      <c r="T145" s="553"/>
      <c r="U145" s="553"/>
      <c r="V145" s="55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hidden="1" customHeight="1" x14ac:dyDescent="0.25">
      <c r="A146" s="549" t="s">
        <v>64</v>
      </c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50"/>
      <c r="P146" s="550"/>
      <c r="Q146" s="550"/>
      <c r="R146" s="550"/>
      <c r="S146" s="550"/>
      <c r="T146" s="550"/>
      <c r="U146" s="550"/>
      <c r="V146" s="550"/>
      <c r="W146" s="550"/>
      <c r="X146" s="550"/>
      <c r="Y146" s="550"/>
      <c r="Z146" s="550"/>
      <c r="AA146" s="539"/>
      <c r="AB146" s="539"/>
      <c r="AC146" s="539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5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6"/>
      <c r="R148" s="556"/>
      <c r="S148" s="556"/>
      <c r="T148" s="557"/>
      <c r="U148" s="34"/>
      <c r="V148" s="34"/>
      <c r="W148" s="35" t="s">
        <v>69</v>
      </c>
      <c r="X148" s="543">
        <v>25</v>
      </c>
      <c r="Y148" s="544">
        <f>IFERROR(IF(X148="",0,CEILING((X148/$H148),1)*$H148),"")</f>
        <v>25.200000000000003</v>
      </c>
      <c r="Z148" s="36">
        <f>IFERROR(IF(Y148=0,"",ROUNDUP(Y148/H148,0)*0.00651),"")</f>
        <v>3.9059999999999997E-2</v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26.607142857142858</v>
      </c>
      <c r="BN148" s="64">
        <f>IFERROR(Y148*I148/H148,"0")</f>
        <v>26.82</v>
      </c>
      <c r="BO148" s="64">
        <f>IFERROR(1/J148*(X148/H148),"0")</f>
        <v>3.2705389848246995E-2</v>
      </c>
      <c r="BP148" s="64">
        <f>IFERROR(1/J148*(Y148/H148),"0")</f>
        <v>3.2967032967032968E-2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43">
        <v>250</v>
      </c>
      <c r="Y149" s="544">
        <f>IFERROR(IF(X149="",0,CEILING((X149/$H149),1)*$H149),"")</f>
        <v>252</v>
      </c>
      <c r="Z149" s="36">
        <f>IFERROR(IF(Y149=0,"",ROUNDUP(Y149/H149,0)*0.01898),"")</f>
        <v>0.53144000000000002</v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266.25</v>
      </c>
      <c r="BN149" s="64">
        <f>IFERROR(Y149*I149/H149,"0")</f>
        <v>268.38</v>
      </c>
      <c r="BO149" s="64">
        <f>IFERROR(1/J149*(X149/H149),"0")</f>
        <v>0.43402777777777779</v>
      </c>
      <c r="BP149" s="64">
        <f>IFERROR(1/J149*(Y149/H149),"0")</f>
        <v>0.4375</v>
      </c>
    </row>
    <row r="150" spans="1:68" x14ac:dyDescent="0.2">
      <c r="A150" s="567"/>
      <c r="B150" s="550"/>
      <c r="C150" s="550"/>
      <c r="D150" s="550"/>
      <c r="E150" s="550"/>
      <c r="F150" s="550"/>
      <c r="G150" s="550"/>
      <c r="H150" s="550"/>
      <c r="I150" s="550"/>
      <c r="J150" s="550"/>
      <c r="K150" s="550"/>
      <c r="L150" s="550"/>
      <c r="M150" s="550"/>
      <c r="N150" s="550"/>
      <c r="O150" s="568"/>
      <c r="P150" s="552" t="s">
        <v>71</v>
      </c>
      <c r="Q150" s="553"/>
      <c r="R150" s="553"/>
      <c r="S150" s="553"/>
      <c r="T150" s="553"/>
      <c r="U150" s="553"/>
      <c r="V150" s="554"/>
      <c r="W150" s="37" t="s">
        <v>72</v>
      </c>
      <c r="X150" s="545">
        <f>IFERROR(X147/H147,"0")+IFERROR(X148/H148,"0")+IFERROR(X149/H149,"0")</f>
        <v>33.730158730158735</v>
      </c>
      <c r="Y150" s="545">
        <f>IFERROR(Y147/H147,"0")+IFERROR(Y148/H148,"0")+IFERROR(Y149/H149,"0")</f>
        <v>34</v>
      </c>
      <c r="Z150" s="545">
        <f>IFERROR(IF(Z147="",0,Z147),"0")+IFERROR(IF(Z148="",0,Z148),"0")+IFERROR(IF(Z149="",0,Z149),"0")</f>
        <v>0.57050000000000001</v>
      </c>
      <c r="AA150" s="546"/>
      <c r="AB150" s="546"/>
      <c r="AC150" s="546"/>
    </row>
    <row r="151" spans="1:68" x14ac:dyDescent="0.2">
      <c r="A151" s="550"/>
      <c r="B151" s="550"/>
      <c r="C151" s="550"/>
      <c r="D151" s="550"/>
      <c r="E151" s="550"/>
      <c r="F151" s="550"/>
      <c r="G151" s="550"/>
      <c r="H151" s="550"/>
      <c r="I151" s="550"/>
      <c r="J151" s="550"/>
      <c r="K151" s="550"/>
      <c r="L151" s="550"/>
      <c r="M151" s="550"/>
      <c r="N151" s="550"/>
      <c r="O151" s="568"/>
      <c r="P151" s="552" t="s">
        <v>71</v>
      </c>
      <c r="Q151" s="553"/>
      <c r="R151" s="553"/>
      <c r="S151" s="553"/>
      <c r="T151" s="553"/>
      <c r="U151" s="553"/>
      <c r="V151" s="554"/>
      <c r="W151" s="37" t="s">
        <v>69</v>
      </c>
      <c r="X151" s="545">
        <f>IFERROR(SUM(X147:X149),"0")</f>
        <v>275</v>
      </c>
      <c r="Y151" s="545">
        <f>IFERROR(SUM(Y147:Y149),"0")</f>
        <v>277.2</v>
      </c>
      <c r="Z151" s="37"/>
      <c r="AA151" s="546"/>
      <c r="AB151" s="546"/>
      <c r="AC151" s="546"/>
    </row>
    <row r="152" spans="1:68" ht="14.25" hidden="1" customHeight="1" x14ac:dyDescent="0.25">
      <c r="A152" s="549" t="s">
        <v>73</v>
      </c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50"/>
      <c r="P152" s="550"/>
      <c r="Q152" s="550"/>
      <c r="R152" s="550"/>
      <c r="S152" s="550"/>
      <c r="T152" s="550"/>
      <c r="U152" s="550"/>
      <c r="V152" s="550"/>
      <c r="W152" s="550"/>
      <c r="X152" s="550"/>
      <c r="Y152" s="550"/>
      <c r="Z152" s="550"/>
      <c r="AA152" s="539"/>
      <c r="AB152" s="539"/>
      <c r="AC152" s="539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802" t="s">
        <v>255</v>
      </c>
      <c r="Q153" s="556"/>
      <c r="R153" s="556"/>
      <c r="S153" s="556"/>
      <c r="T153" s="557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67"/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68"/>
      <c r="P154" s="552" t="s">
        <v>71</v>
      </c>
      <c r="Q154" s="553"/>
      <c r="R154" s="553"/>
      <c r="S154" s="553"/>
      <c r="T154" s="553"/>
      <c r="U154" s="553"/>
      <c r="V154" s="55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0"/>
      <c r="B155" s="550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68"/>
      <c r="P155" s="552" t="s">
        <v>71</v>
      </c>
      <c r="Q155" s="553"/>
      <c r="R155" s="553"/>
      <c r="S155" s="553"/>
      <c r="T155" s="553"/>
      <c r="U155" s="553"/>
      <c r="V155" s="55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563" t="s">
        <v>257</v>
      </c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48"/>
      <c r="AB156" s="48"/>
      <c r="AC156" s="48"/>
    </row>
    <row r="157" spans="1:68" ht="16.5" hidden="1" customHeight="1" x14ac:dyDescent="0.25">
      <c r="A157" s="551" t="s">
        <v>258</v>
      </c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50"/>
      <c r="P157" s="550"/>
      <c r="Q157" s="550"/>
      <c r="R157" s="550"/>
      <c r="S157" s="550"/>
      <c r="T157" s="550"/>
      <c r="U157" s="550"/>
      <c r="V157" s="550"/>
      <c r="W157" s="550"/>
      <c r="X157" s="550"/>
      <c r="Y157" s="550"/>
      <c r="Z157" s="550"/>
      <c r="AA157" s="538"/>
      <c r="AB157" s="538"/>
      <c r="AC157" s="538"/>
    </row>
    <row r="158" spans="1:68" ht="14.25" hidden="1" customHeight="1" x14ac:dyDescent="0.25">
      <c r="A158" s="549" t="s">
        <v>136</v>
      </c>
      <c r="B158" s="550"/>
      <c r="C158" s="550"/>
      <c r="D158" s="550"/>
      <c r="E158" s="550"/>
      <c r="F158" s="550"/>
      <c r="G158" s="550"/>
      <c r="H158" s="550"/>
      <c r="I158" s="550"/>
      <c r="J158" s="550"/>
      <c r="K158" s="550"/>
      <c r="L158" s="550"/>
      <c r="M158" s="550"/>
      <c r="N158" s="550"/>
      <c r="O158" s="550"/>
      <c r="P158" s="550"/>
      <c r="Q158" s="550"/>
      <c r="R158" s="550"/>
      <c r="S158" s="550"/>
      <c r="T158" s="550"/>
      <c r="U158" s="550"/>
      <c r="V158" s="550"/>
      <c r="W158" s="550"/>
      <c r="X158" s="550"/>
      <c r="Y158" s="550"/>
      <c r="Z158" s="550"/>
      <c r="AA158" s="539"/>
      <c r="AB158" s="539"/>
      <c r="AC158" s="539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6"/>
      <c r="R159" s="556"/>
      <c r="S159" s="556"/>
      <c r="T159" s="557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67"/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68"/>
      <c r="P160" s="552" t="s">
        <v>71</v>
      </c>
      <c r="Q160" s="553"/>
      <c r="R160" s="553"/>
      <c r="S160" s="553"/>
      <c r="T160" s="553"/>
      <c r="U160" s="553"/>
      <c r="V160" s="55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0"/>
      <c r="B161" s="550"/>
      <c r="C161" s="550"/>
      <c r="D161" s="550"/>
      <c r="E161" s="550"/>
      <c r="F161" s="550"/>
      <c r="G161" s="550"/>
      <c r="H161" s="550"/>
      <c r="I161" s="550"/>
      <c r="J161" s="550"/>
      <c r="K161" s="550"/>
      <c r="L161" s="550"/>
      <c r="M161" s="550"/>
      <c r="N161" s="550"/>
      <c r="O161" s="568"/>
      <c r="P161" s="552" t="s">
        <v>71</v>
      </c>
      <c r="Q161" s="553"/>
      <c r="R161" s="553"/>
      <c r="S161" s="553"/>
      <c r="T161" s="553"/>
      <c r="U161" s="553"/>
      <c r="V161" s="55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49" t="s">
        <v>64</v>
      </c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50"/>
      <c r="P162" s="550"/>
      <c r="Q162" s="550"/>
      <c r="R162" s="550"/>
      <c r="S162" s="550"/>
      <c r="T162" s="550"/>
      <c r="U162" s="550"/>
      <c r="V162" s="550"/>
      <c r="W162" s="550"/>
      <c r="X162" s="550"/>
      <c r="Y162" s="550"/>
      <c r="Z162" s="550"/>
      <c r="AA162" s="539"/>
      <c r="AB162" s="539"/>
      <c r="AC162" s="539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6"/>
      <c r="R163" s="556"/>
      <c r="S163" s="556"/>
      <c r="T163" s="557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6"/>
      <c r="R164" s="556"/>
      <c r="S164" s="556"/>
      <c r="T164" s="557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6"/>
      <c r="R165" s="556"/>
      <c r="S165" s="556"/>
      <c r="T165" s="557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6"/>
      <c r="R166" s="556"/>
      <c r="S166" s="556"/>
      <c r="T166" s="557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6"/>
      <c r="R168" s="556"/>
      <c r="S168" s="556"/>
      <c r="T168" s="557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6"/>
      <c r="R169" s="556"/>
      <c r="S169" s="556"/>
      <c r="T169" s="557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6"/>
      <c r="R170" s="556"/>
      <c r="S170" s="556"/>
      <c r="T170" s="557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67"/>
      <c r="B172" s="550"/>
      <c r="C172" s="550"/>
      <c r="D172" s="550"/>
      <c r="E172" s="550"/>
      <c r="F172" s="550"/>
      <c r="G172" s="550"/>
      <c r="H172" s="550"/>
      <c r="I172" s="550"/>
      <c r="J172" s="550"/>
      <c r="K172" s="550"/>
      <c r="L172" s="550"/>
      <c r="M172" s="550"/>
      <c r="N172" s="550"/>
      <c r="O172" s="568"/>
      <c r="P172" s="552" t="s">
        <v>71</v>
      </c>
      <c r="Q172" s="553"/>
      <c r="R172" s="553"/>
      <c r="S172" s="553"/>
      <c r="T172" s="553"/>
      <c r="U172" s="553"/>
      <c r="V172" s="55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0"/>
      <c r="B173" s="550"/>
      <c r="C173" s="550"/>
      <c r="D173" s="550"/>
      <c r="E173" s="550"/>
      <c r="F173" s="550"/>
      <c r="G173" s="550"/>
      <c r="H173" s="550"/>
      <c r="I173" s="550"/>
      <c r="J173" s="550"/>
      <c r="K173" s="550"/>
      <c r="L173" s="550"/>
      <c r="M173" s="550"/>
      <c r="N173" s="550"/>
      <c r="O173" s="568"/>
      <c r="P173" s="552" t="s">
        <v>71</v>
      </c>
      <c r="Q173" s="553"/>
      <c r="R173" s="553"/>
      <c r="S173" s="553"/>
      <c r="T173" s="553"/>
      <c r="U173" s="553"/>
      <c r="V173" s="55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49" t="s">
        <v>93</v>
      </c>
      <c r="B174" s="550"/>
      <c r="C174" s="550"/>
      <c r="D174" s="550"/>
      <c r="E174" s="550"/>
      <c r="F174" s="550"/>
      <c r="G174" s="550"/>
      <c r="H174" s="550"/>
      <c r="I174" s="550"/>
      <c r="J174" s="550"/>
      <c r="K174" s="550"/>
      <c r="L174" s="550"/>
      <c r="M174" s="550"/>
      <c r="N174" s="550"/>
      <c r="O174" s="550"/>
      <c r="P174" s="550"/>
      <c r="Q174" s="550"/>
      <c r="R174" s="550"/>
      <c r="S174" s="550"/>
      <c r="T174" s="550"/>
      <c r="U174" s="550"/>
      <c r="V174" s="550"/>
      <c r="W174" s="550"/>
      <c r="X174" s="550"/>
      <c r="Y174" s="550"/>
      <c r="Z174" s="550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6"/>
      <c r="R177" s="556"/>
      <c r="S177" s="556"/>
      <c r="T177" s="557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67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68"/>
      <c r="P178" s="552" t="s">
        <v>71</v>
      </c>
      <c r="Q178" s="553"/>
      <c r="R178" s="553"/>
      <c r="S178" s="553"/>
      <c r="T178" s="553"/>
      <c r="U178" s="553"/>
      <c r="V178" s="55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0"/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68"/>
      <c r="P179" s="552" t="s">
        <v>71</v>
      </c>
      <c r="Q179" s="553"/>
      <c r="R179" s="553"/>
      <c r="S179" s="553"/>
      <c r="T179" s="553"/>
      <c r="U179" s="553"/>
      <c r="V179" s="55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49" t="s">
        <v>296</v>
      </c>
      <c r="B180" s="550"/>
      <c r="C180" s="550"/>
      <c r="D180" s="550"/>
      <c r="E180" s="550"/>
      <c r="F180" s="550"/>
      <c r="G180" s="550"/>
      <c r="H180" s="550"/>
      <c r="I180" s="550"/>
      <c r="J180" s="550"/>
      <c r="K180" s="550"/>
      <c r="L180" s="550"/>
      <c r="M180" s="550"/>
      <c r="N180" s="550"/>
      <c r="O180" s="550"/>
      <c r="P180" s="550"/>
      <c r="Q180" s="550"/>
      <c r="R180" s="550"/>
      <c r="S180" s="550"/>
      <c r="T180" s="550"/>
      <c r="U180" s="550"/>
      <c r="V180" s="550"/>
      <c r="W180" s="550"/>
      <c r="X180" s="550"/>
      <c r="Y180" s="550"/>
      <c r="Z180" s="550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6"/>
      <c r="R181" s="556"/>
      <c r="S181" s="556"/>
      <c r="T181" s="557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67"/>
      <c r="B182" s="550"/>
      <c r="C182" s="550"/>
      <c r="D182" s="550"/>
      <c r="E182" s="550"/>
      <c r="F182" s="550"/>
      <c r="G182" s="550"/>
      <c r="H182" s="550"/>
      <c r="I182" s="550"/>
      <c r="J182" s="550"/>
      <c r="K182" s="550"/>
      <c r="L182" s="550"/>
      <c r="M182" s="550"/>
      <c r="N182" s="550"/>
      <c r="O182" s="568"/>
      <c r="P182" s="552" t="s">
        <v>71</v>
      </c>
      <c r="Q182" s="553"/>
      <c r="R182" s="553"/>
      <c r="S182" s="553"/>
      <c r="T182" s="553"/>
      <c r="U182" s="553"/>
      <c r="V182" s="55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0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68"/>
      <c r="P183" s="552" t="s">
        <v>71</v>
      </c>
      <c r="Q183" s="553"/>
      <c r="R183" s="553"/>
      <c r="S183" s="553"/>
      <c r="T183" s="553"/>
      <c r="U183" s="553"/>
      <c r="V183" s="55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1" t="s">
        <v>299</v>
      </c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50"/>
      <c r="P184" s="550"/>
      <c r="Q184" s="550"/>
      <c r="R184" s="550"/>
      <c r="S184" s="550"/>
      <c r="T184" s="550"/>
      <c r="U184" s="550"/>
      <c r="V184" s="550"/>
      <c r="W184" s="550"/>
      <c r="X184" s="550"/>
      <c r="Y184" s="550"/>
      <c r="Z184" s="550"/>
      <c r="AA184" s="538"/>
      <c r="AB184" s="538"/>
      <c r="AC184" s="538"/>
    </row>
    <row r="185" spans="1:68" ht="14.25" hidden="1" customHeight="1" x14ac:dyDescent="0.25">
      <c r="A185" s="549" t="s">
        <v>101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39"/>
      <c r="AB185" s="539"/>
      <c r="AC185" s="539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6"/>
      <c r="R186" s="556"/>
      <c r="S186" s="556"/>
      <c r="T186" s="557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6"/>
      <c r="R187" s="556"/>
      <c r="S187" s="556"/>
      <c r="T187" s="557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67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68"/>
      <c r="P188" s="552" t="s">
        <v>71</v>
      </c>
      <c r="Q188" s="553"/>
      <c r="R188" s="553"/>
      <c r="S188" s="553"/>
      <c r="T188" s="553"/>
      <c r="U188" s="553"/>
      <c r="V188" s="55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0"/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68"/>
      <c r="P189" s="552" t="s">
        <v>71</v>
      </c>
      <c r="Q189" s="553"/>
      <c r="R189" s="553"/>
      <c r="S189" s="553"/>
      <c r="T189" s="553"/>
      <c r="U189" s="553"/>
      <c r="V189" s="55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49" t="s">
        <v>136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6"/>
      <c r="R191" s="556"/>
      <c r="S191" s="556"/>
      <c r="T191" s="557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6"/>
      <c r="R192" s="556"/>
      <c r="S192" s="556"/>
      <c r="T192" s="557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68"/>
      <c r="P193" s="552" t="s">
        <v>71</v>
      </c>
      <c r="Q193" s="553"/>
      <c r="R193" s="553"/>
      <c r="S193" s="553"/>
      <c r="T193" s="553"/>
      <c r="U193" s="553"/>
      <c r="V193" s="55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68"/>
      <c r="P194" s="552" t="s">
        <v>71</v>
      </c>
      <c r="Q194" s="553"/>
      <c r="R194" s="553"/>
      <c r="S194" s="553"/>
      <c r="T194" s="553"/>
      <c r="U194" s="553"/>
      <c r="V194" s="55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49" t="s">
        <v>64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39"/>
      <c r="AB195" s="539"/>
      <c r="AC195" s="539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6"/>
      <c r="R196" s="556"/>
      <c r="S196" s="556"/>
      <c r="T196" s="557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6"/>
      <c r="R197" s="556"/>
      <c r="S197" s="556"/>
      <c r="T197" s="557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6"/>
      <c r="R198" s="556"/>
      <c r="S198" s="556"/>
      <c r="T198" s="557"/>
      <c r="U198" s="34"/>
      <c r="V198" s="34"/>
      <c r="W198" s="35" t="s">
        <v>69</v>
      </c>
      <c r="X198" s="543">
        <v>200</v>
      </c>
      <c r="Y198" s="544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207.77777777777777</v>
      </c>
      <c r="BN198" s="64">
        <f t="shared" si="12"/>
        <v>213.18000000000004</v>
      </c>
      <c r="BO198" s="64">
        <f t="shared" si="13"/>
        <v>0.28058361391694725</v>
      </c>
      <c r="BP198" s="64">
        <f t="shared" si="14"/>
        <v>0.2878787878787879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6"/>
      <c r="R200" s="556"/>
      <c r="S200" s="556"/>
      <c r="T200" s="557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6"/>
      <c r="R201" s="556"/>
      <c r="S201" s="556"/>
      <c r="T201" s="557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6"/>
      <c r="R202" s="556"/>
      <c r="S202" s="556"/>
      <c r="T202" s="557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6"/>
      <c r="R203" s="556"/>
      <c r="S203" s="556"/>
      <c r="T203" s="557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67"/>
      <c r="B204" s="550"/>
      <c r="C204" s="550"/>
      <c r="D204" s="550"/>
      <c r="E204" s="550"/>
      <c r="F204" s="550"/>
      <c r="G204" s="550"/>
      <c r="H204" s="550"/>
      <c r="I204" s="550"/>
      <c r="J204" s="550"/>
      <c r="K204" s="550"/>
      <c r="L204" s="550"/>
      <c r="M204" s="550"/>
      <c r="N204" s="550"/>
      <c r="O204" s="568"/>
      <c r="P204" s="552" t="s">
        <v>71</v>
      </c>
      <c r="Q204" s="553"/>
      <c r="R204" s="553"/>
      <c r="S204" s="553"/>
      <c r="T204" s="553"/>
      <c r="U204" s="553"/>
      <c r="V204" s="55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37.037037037037038</v>
      </c>
      <c r="Y204" s="545">
        <f>IFERROR(Y196/H196,"0")+IFERROR(Y197/H197,"0")+IFERROR(Y198/H198,"0")+IFERROR(Y199/H199,"0")+IFERROR(Y200/H200,"0")+IFERROR(Y201/H201,"0")+IFERROR(Y202/H202,"0")+IFERROR(Y203/H203,"0")</f>
        <v>38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0.34276000000000001</v>
      </c>
      <c r="AA204" s="546"/>
      <c r="AB204" s="546"/>
      <c r="AC204" s="546"/>
    </row>
    <row r="205" spans="1:68" x14ac:dyDescent="0.2">
      <c r="A205" s="550"/>
      <c r="B205" s="550"/>
      <c r="C205" s="550"/>
      <c r="D205" s="550"/>
      <c r="E205" s="550"/>
      <c r="F205" s="550"/>
      <c r="G205" s="550"/>
      <c r="H205" s="550"/>
      <c r="I205" s="550"/>
      <c r="J205" s="550"/>
      <c r="K205" s="550"/>
      <c r="L205" s="550"/>
      <c r="M205" s="550"/>
      <c r="N205" s="550"/>
      <c r="O205" s="568"/>
      <c r="P205" s="552" t="s">
        <v>71</v>
      </c>
      <c r="Q205" s="553"/>
      <c r="R205" s="553"/>
      <c r="S205" s="553"/>
      <c r="T205" s="553"/>
      <c r="U205" s="553"/>
      <c r="V205" s="554"/>
      <c r="W205" s="37" t="s">
        <v>69</v>
      </c>
      <c r="X205" s="545">
        <f>IFERROR(SUM(X196:X203),"0")</f>
        <v>200</v>
      </c>
      <c r="Y205" s="545">
        <f>IFERROR(SUM(Y196:Y203),"0")</f>
        <v>205.20000000000002</v>
      </c>
      <c r="Z205" s="37"/>
      <c r="AA205" s="546"/>
      <c r="AB205" s="546"/>
      <c r="AC205" s="546"/>
    </row>
    <row r="206" spans="1:68" ht="14.25" hidden="1" customHeight="1" x14ac:dyDescent="0.25">
      <c r="A206" s="549" t="s">
        <v>73</v>
      </c>
      <c r="B206" s="550"/>
      <c r="C206" s="550"/>
      <c r="D206" s="550"/>
      <c r="E206" s="550"/>
      <c r="F206" s="550"/>
      <c r="G206" s="550"/>
      <c r="H206" s="550"/>
      <c r="I206" s="550"/>
      <c r="J206" s="550"/>
      <c r="K206" s="550"/>
      <c r="L206" s="550"/>
      <c r="M206" s="550"/>
      <c r="N206" s="550"/>
      <c r="O206" s="550"/>
      <c r="P206" s="550"/>
      <c r="Q206" s="550"/>
      <c r="R206" s="550"/>
      <c r="S206" s="550"/>
      <c r="T206" s="550"/>
      <c r="U206" s="550"/>
      <c r="V206" s="550"/>
      <c r="W206" s="550"/>
      <c r="X206" s="550"/>
      <c r="Y206" s="550"/>
      <c r="Z206" s="550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6"/>
      <c r="R208" s="556"/>
      <c r="S208" s="556"/>
      <c r="T208" s="557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59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6"/>
      <c r="R212" s="556"/>
      <c r="S212" s="556"/>
      <c r="T212" s="557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6"/>
      <c r="R213" s="556"/>
      <c r="S213" s="556"/>
      <c r="T213" s="557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7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6"/>
      <c r="R214" s="556"/>
      <c r="S214" s="556"/>
      <c r="T214" s="557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67"/>
      <c r="B216" s="550"/>
      <c r="C216" s="550"/>
      <c r="D216" s="550"/>
      <c r="E216" s="550"/>
      <c r="F216" s="550"/>
      <c r="G216" s="550"/>
      <c r="H216" s="550"/>
      <c r="I216" s="550"/>
      <c r="J216" s="550"/>
      <c r="K216" s="550"/>
      <c r="L216" s="550"/>
      <c r="M216" s="550"/>
      <c r="N216" s="550"/>
      <c r="O216" s="568"/>
      <c r="P216" s="552" t="s">
        <v>71</v>
      </c>
      <c r="Q216" s="553"/>
      <c r="R216" s="553"/>
      <c r="S216" s="553"/>
      <c r="T216" s="553"/>
      <c r="U216" s="553"/>
      <c r="V216" s="55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0"/>
      <c r="B217" s="550"/>
      <c r="C217" s="550"/>
      <c r="D217" s="550"/>
      <c r="E217" s="550"/>
      <c r="F217" s="550"/>
      <c r="G217" s="550"/>
      <c r="H217" s="550"/>
      <c r="I217" s="550"/>
      <c r="J217" s="550"/>
      <c r="K217" s="550"/>
      <c r="L217" s="550"/>
      <c r="M217" s="550"/>
      <c r="N217" s="550"/>
      <c r="O217" s="568"/>
      <c r="P217" s="552" t="s">
        <v>71</v>
      </c>
      <c r="Q217" s="553"/>
      <c r="R217" s="553"/>
      <c r="S217" s="553"/>
      <c r="T217" s="553"/>
      <c r="U217" s="553"/>
      <c r="V217" s="55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49" t="s">
        <v>166</v>
      </c>
      <c r="B218" s="550"/>
      <c r="C218" s="550"/>
      <c r="D218" s="550"/>
      <c r="E218" s="550"/>
      <c r="F218" s="550"/>
      <c r="G218" s="550"/>
      <c r="H218" s="550"/>
      <c r="I218" s="550"/>
      <c r="J218" s="550"/>
      <c r="K218" s="550"/>
      <c r="L218" s="550"/>
      <c r="M218" s="550"/>
      <c r="N218" s="550"/>
      <c r="O218" s="550"/>
      <c r="P218" s="550"/>
      <c r="Q218" s="550"/>
      <c r="R218" s="550"/>
      <c r="S218" s="550"/>
      <c r="T218" s="550"/>
      <c r="U218" s="550"/>
      <c r="V218" s="550"/>
      <c r="W218" s="550"/>
      <c r="X218" s="550"/>
      <c r="Y218" s="550"/>
      <c r="Z218" s="550"/>
      <c r="AA218" s="539"/>
      <c r="AB218" s="539"/>
      <c r="AC218" s="539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67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68"/>
      <c r="P221" s="552" t="s">
        <v>71</v>
      </c>
      <c r="Q221" s="553"/>
      <c r="R221" s="553"/>
      <c r="S221" s="553"/>
      <c r="T221" s="553"/>
      <c r="U221" s="553"/>
      <c r="V221" s="55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68"/>
      <c r="P222" s="552" t="s">
        <v>71</v>
      </c>
      <c r="Q222" s="553"/>
      <c r="R222" s="553"/>
      <c r="S222" s="553"/>
      <c r="T222" s="553"/>
      <c r="U222" s="553"/>
      <c r="V222" s="55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1" t="s">
        <v>359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38"/>
      <c r="AB223" s="538"/>
      <c r="AC223" s="538"/>
    </row>
    <row r="224" spans="1:68" ht="14.25" hidden="1" customHeight="1" x14ac:dyDescent="0.25">
      <c r="A224" s="549" t="s">
        <v>101</v>
      </c>
      <c r="B224" s="550"/>
      <c r="C224" s="550"/>
      <c r="D224" s="550"/>
      <c r="E224" s="550"/>
      <c r="F224" s="550"/>
      <c r="G224" s="550"/>
      <c r="H224" s="550"/>
      <c r="I224" s="550"/>
      <c r="J224" s="550"/>
      <c r="K224" s="550"/>
      <c r="L224" s="550"/>
      <c r="M224" s="550"/>
      <c r="N224" s="550"/>
      <c r="O224" s="550"/>
      <c r="P224" s="550"/>
      <c r="Q224" s="550"/>
      <c r="R224" s="550"/>
      <c r="S224" s="550"/>
      <c r="T224" s="550"/>
      <c r="U224" s="550"/>
      <c r="V224" s="550"/>
      <c r="W224" s="550"/>
      <c r="X224" s="550"/>
      <c r="Y224" s="550"/>
      <c r="Z224" s="550"/>
      <c r="AA224" s="539"/>
      <c r="AB224" s="539"/>
      <c r="AC224" s="539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6"/>
      <c r="R225" s="556"/>
      <c r="S225" s="556"/>
      <c r="T225" s="557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6"/>
      <c r="R226" s="556"/>
      <c r="S226" s="556"/>
      <c r="T226" s="557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6"/>
      <c r="R229" s="556"/>
      <c r="S229" s="556"/>
      <c r="T229" s="557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6"/>
      <c r="R230" s="556"/>
      <c r="S230" s="556"/>
      <c r="T230" s="557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6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6"/>
      <c r="R231" s="556"/>
      <c r="S231" s="556"/>
      <c r="T231" s="557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6"/>
      <c r="R232" s="556"/>
      <c r="S232" s="556"/>
      <c r="T232" s="557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67"/>
      <c r="B235" s="550"/>
      <c r="C235" s="550"/>
      <c r="D235" s="550"/>
      <c r="E235" s="550"/>
      <c r="F235" s="550"/>
      <c r="G235" s="550"/>
      <c r="H235" s="550"/>
      <c r="I235" s="550"/>
      <c r="J235" s="550"/>
      <c r="K235" s="550"/>
      <c r="L235" s="550"/>
      <c r="M235" s="550"/>
      <c r="N235" s="550"/>
      <c r="O235" s="568"/>
      <c r="P235" s="552" t="s">
        <v>71</v>
      </c>
      <c r="Q235" s="553"/>
      <c r="R235" s="553"/>
      <c r="S235" s="553"/>
      <c r="T235" s="553"/>
      <c r="U235" s="553"/>
      <c r="V235" s="55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0"/>
      <c r="B236" s="550"/>
      <c r="C236" s="550"/>
      <c r="D236" s="550"/>
      <c r="E236" s="550"/>
      <c r="F236" s="550"/>
      <c r="G236" s="550"/>
      <c r="H236" s="550"/>
      <c r="I236" s="550"/>
      <c r="J236" s="550"/>
      <c r="K236" s="550"/>
      <c r="L236" s="550"/>
      <c r="M236" s="550"/>
      <c r="N236" s="550"/>
      <c r="O236" s="568"/>
      <c r="P236" s="552" t="s">
        <v>71</v>
      </c>
      <c r="Q236" s="553"/>
      <c r="R236" s="553"/>
      <c r="S236" s="553"/>
      <c r="T236" s="553"/>
      <c r="U236" s="553"/>
      <c r="V236" s="55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49" t="s">
        <v>136</v>
      </c>
      <c r="B237" s="550"/>
      <c r="C237" s="550"/>
      <c r="D237" s="550"/>
      <c r="E237" s="550"/>
      <c r="F237" s="550"/>
      <c r="G237" s="550"/>
      <c r="H237" s="550"/>
      <c r="I237" s="550"/>
      <c r="J237" s="550"/>
      <c r="K237" s="550"/>
      <c r="L237" s="550"/>
      <c r="M237" s="550"/>
      <c r="N237" s="550"/>
      <c r="O237" s="550"/>
      <c r="P237" s="550"/>
      <c r="Q237" s="550"/>
      <c r="R237" s="550"/>
      <c r="S237" s="550"/>
      <c r="T237" s="550"/>
      <c r="U237" s="550"/>
      <c r="V237" s="550"/>
      <c r="W237" s="550"/>
      <c r="X237" s="550"/>
      <c r="Y237" s="550"/>
      <c r="Z237" s="550"/>
      <c r="AA237" s="539"/>
      <c r="AB237" s="539"/>
      <c r="AC237" s="539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67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68"/>
      <c r="P239" s="552" t="s">
        <v>71</v>
      </c>
      <c r="Q239" s="553"/>
      <c r="R239" s="553"/>
      <c r="S239" s="553"/>
      <c r="T239" s="553"/>
      <c r="U239" s="553"/>
      <c r="V239" s="55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68"/>
      <c r="P240" s="552" t="s">
        <v>71</v>
      </c>
      <c r="Q240" s="553"/>
      <c r="R240" s="553"/>
      <c r="S240" s="553"/>
      <c r="T240" s="553"/>
      <c r="U240" s="553"/>
      <c r="V240" s="55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49" t="s">
        <v>385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39"/>
      <c r="AB241" s="539"/>
      <c r="AC241" s="539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6"/>
      <c r="R242" s="556"/>
      <c r="S242" s="556"/>
      <c r="T242" s="557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68"/>
      <c r="P243" s="552" t="s">
        <v>71</v>
      </c>
      <c r="Q243" s="553"/>
      <c r="R243" s="553"/>
      <c r="S243" s="553"/>
      <c r="T243" s="553"/>
      <c r="U243" s="553"/>
      <c r="V243" s="55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68"/>
      <c r="P244" s="552" t="s">
        <v>71</v>
      </c>
      <c r="Q244" s="553"/>
      <c r="R244" s="553"/>
      <c r="S244" s="553"/>
      <c r="T244" s="553"/>
      <c r="U244" s="553"/>
      <c r="V244" s="55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49" t="s">
        <v>389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39"/>
      <c r="AB245" s="539"/>
      <c r="AC245" s="539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6"/>
      <c r="R246" s="556"/>
      <c r="S246" s="556"/>
      <c r="T246" s="557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6"/>
      <c r="R247" s="556"/>
      <c r="S247" s="556"/>
      <c r="T247" s="557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6"/>
      <c r="R248" s="556"/>
      <c r="S248" s="556"/>
      <c r="T248" s="557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6"/>
      <c r="R250" s="556"/>
      <c r="S250" s="556"/>
      <c r="T250" s="557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7"/>
      <c r="B251" s="550"/>
      <c r="C251" s="550"/>
      <c r="D251" s="550"/>
      <c r="E251" s="550"/>
      <c r="F251" s="550"/>
      <c r="G251" s="550"/>
      <c r="H251" s="550"/>
      <c r="I251" s="550"/>
      <c r="J251" s="550"/>
      <c r="K251" s="550"/>
      <c r="L251" s="550"/>
      <c r="M251" s="550"/>
      <c r="N251" s="550"/>
      <c r="O251" s="568"/>
      <c r="P251" s="552" t="s">
        <v>71</v>
      </c>
      <c r="Q251" s="553"/>
      <c r="R251" s="553"/>
      <c r="S251" s="553"/>
      <c r="T251" s="553"/>
      <c r="U251" s="553"/>
      <c r="V251" s="55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0"/>
      <c r="B252" s="550"/>
      <c r="C252" s="550"/>
      <c r="D252" s="550"/>
      <c r="E252" s="550"/>
      <c r="F252" s="550"/>
      <c r="G252" s="550"/>
      <c r="H252" s="550"/>
      <c r="I252" s="550"/>
      <c r="J252" s="550"/>
      <c r="K252" s="550"/>
      <c r="L252" s="550"/>
      <c r="M252" s="550"/>
      <c r="N252" s="550"/>
      <c r="O252" s="568"/>
      <c r="P252" s="552" t="s">
        <v>71</v>
      </c>
      <c r="Q252" s="553"/>
      <c r="R252" s="553"/>
      <c r="S252" s="553"/>
      <c r="T252" s="553"/>
      <c r="U252" s="553"/>
      <c r="V252" s="55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1" t="s">
        <v>401</v>
      </c>
      <c r="B253" s="550"/>
      <c r="C253" s="550"/>
      <c r="D253" s="550"/>
      <c r="E253" s="550"/>
      <c r="F253" s="550"/>
      <c r="G253" s="550"/>
      <c r="H253" s="550"/>
      <c r="I253" s="550"/>
      <c r="J253" s="550"/>
      <c r="K253" s="550"/>
      <c r="L253" s="550"/>
      <c r="M253" s="550"/>
      <c r="N253" s="550"/>
      <c r="O253" s="550"/>
      <c r="P253" s="550"/>
      <c r="Q253" s="550"/>
      <c r="R253" s="550"/>
      <c r="S253" s="550"/>
      <c r="T253" s="550"/>
      <c r="U253" s="550"/>
      <c r="V253" s="550"/>
      <c r="W253" s="550"/>
      <c r="X253" s="550"/>
      <c r="Y253" s="550"/>
      <c r="Z253" s="550"/>
      <c r="AA253" s="538"/>
      <c r="AB253" s="538"/>
      <c r="AC253" s="538"/>
    </row>
    <row r="254" spans="1:68" ht="14.25" hidden="1" customHeight="1" x14ac:dyDescent="0.25">
      <c r="A254" s="549" t="s">
        <v>101</v>
      </c>
      <c r="B254" s="550"/>
      <c r="C254" s="550"/>
      <c r="D254" s="550"/>
      <c r="E254" s="550"/>
      <c r="F254" s="550"/>
      <c r="G254" s="550"/>
      <c r="H254" s="550"/>
      <c r="I254" s="550"/>
      <c r="J254" s="550"/>
      <c r="K254" s="550"/>
      <c r="L254" s="550"/>
      <c r="M254" s="550"/>
      <c r="N254" s="550"/>
      <c r="O254" s="550"/>
      <c r="P254" s="550"/>
      <c r="Q254" s="550"/>
      <c r="R254" s="550"/>
      <c r="S254" s="550"/>
      <c r="T254" s="550"/>
      <c r="U254" s="550"/>
      <c r="V254" s="550"/>
      <c r="W254" s="550"/>
      <c r="X254" s="550"/>
      <c r="Y254" s="550"/>
      <c r="Z254" s="550"/>
      <c r="AA254" s="539"/>
      <c r="AB254" s="539"/>
      <c r="AC254" s="539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6"/>
      <c r="R258" s="556"/>
      <c r="S258" s="556"/>
      <c r="T258" s="557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6"/>
      <c r="R259" s="556"/>
      <c r="S259" s="556"/>
      <c r="T259" s="557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67"/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68"/>
      <c r="P260" s="552" t="s">
        <v>71</v>
      </c>
      <c r="Q260" s="553"/>
      <c r="R260" s="553"/>
      <c r="S260" s="553"/>
      <c r="T260" s="553"/>
      <c r="U260" s="553"/>
      <c r="V260" s="55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0"/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68"/>
      <c r="P261" s="552" t="s">
        <v>71</v>
      </c>
      <c r="Q261" s="553"/>
      <c r="R261" s="553"/>
      <c r="S261" s="553"/>
      <c r="T261" s="553"/>
      <c r="U261" s="553"/>
      <c r="V261" s="55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1" t="s">
        <v>417</v>
      </c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  <c r="Z262" s="550"/>
      <c r="AA262" s="538"/>
      <c r="AB262" s="538"/>
      <c r="AC262" s="538"/>
    </row>
    <row r="263" spans="1:68" ht="14.25" hidden="1" customHeight="1" x14ac:dyDescent="0.25">
      <c r="A263" s="549" t="s">
        <v>101</v>
      </c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  <c r="Z263" s="550"/>
      <c r="AA263" s="539"/>
      <c r="AB263" s="539"/>
      <c r="AC263" s="539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6"/>
      <c r="R264" s="556"/>
      <c r="S264" s="556"/>
      <c r="T264" s="557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0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6"/>
      <c r="R267" s="556"/>
      <c r="S267" s="556"/>
      <c r="T267" s="557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7"/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68"/>
      <c r="P268" s="552" t="s">
        <v>71</v>
      </c>
      <c r="Q268" s="553"/>
      <c r="R268" s="553"/>
      <c r="S268" s="553"/>
      <c r="T268" s="553"/>
      <c r="U268" s="553"/>
      <c r="V268" s="55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0"/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68"/>
      <c r="P269" s="552" t="s">
        <v>71</v>
      </c>
      <c r="Q269" s="553"/>
      <c r="R269" s="553"/>
      <c r="S269" s="553"/>
      <c r="T269" s="553"/>
      <c r="U269" s="553"/>
      <c r="V269" s="55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1" t="s">
        <v>428</v>
      </c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  <c r="Z270" s="550"/>
      <c r="AA270" s="538"/>
      <c r="AB270" s="538"/>
      <c r="AC270" s="538"/>
    </row>
    <row r="271" spans="1:68" ht="14.25" hidden="1" customHeight="1" x14ac:dyDescent="0.25">
      <c r="A271" s="549" t="s">
        <v>73</v>
      </c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  <c r="Z271" s="550"/>
      <c r="AA271" s="539"/>
      <c r="AB271" s="539"/>
      <c r="AC271" s="539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6"/>
      <c r="R274" s="556"/>
      <c r="S274" s="556"/>
      <c r="T274" s="557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7"/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68"/>
      <c r="P275" s="552" t="s">
        <v>71</v>
      </c>
      <c r="Q275" s="553"/>
      <c r="R275" s="553"/>
      <c r="S275" s="553"/>
      <c r="T275" s="553"/>
      <c r="U275" s="553"/>
      <c r="V275" s="55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0"/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68"/>
      <c r="P276" s="552" t="s">
        <v>71</v>
      </c>
      <c r="Q276" s="553"/>
      <c r="R276" s="553"/>
      <c r="S276" s="553"/>
      <c r="T276" s="553"/>
      <c r="U276" s="553"/>
      <c r="V276" s="55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1" t="s">
        <v>437</v>
      </c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  <c r="Z277" s="550"/>
      <c r="AA277" s="538"/>
      <c r="AB277" s="538"/>
      <c r="AC277" s="538"/>
    </row>
    <row r="278" spans="1:68" ht="14.25" hidden="1" customHeight="1" x14ac:dyDescent="0.25">
      <c r="A278" s="549" t="s">
        <v>64</v>
      </c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  <c r="Z278" s="550"/>
      <c r="AA278" s="539"/>
      <c r="AB278" s="539"/>
      <c r="AC278" s="539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6"/>
      <c r="R279" s="556"/>
      <c r="S279" s="556"/>
      <c r="T279" s="557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7"/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68"/>
      <c r="P281" s="552" t="s">
        <v>71</v>
      </c>
      <c r="Q281" s="553"/>
      <c r="R281" s="553"/>
      <c r="S281" s="553"/>
      <c r="T281" s="553"/>
      <c r="U281" s="553"/>
      <c r="V281" s="55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0"/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68"/>
      <c r="P282" s="552" t="s">
        <v>71</v>
      </c>
      <c r="Q282" s="553"/>
      <c r="R282" s="553"/>
      <c r="S282" s="553"/>
      <c r="T282" s="553"/>
      <c r="U282" s="553"/>
      <c r="V282" s="55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49" t="s">
        <v>73</v>
      </c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  <c r="Z283" s="550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6"/>
      <c r="R284" s="556"/>
      <c r="S284" s="556"/>
      <c r="T284" s="557"/>
      <c r="U284" s="34"/>
      <c r="V284" s="34"/>
      <c r="W284" s="35" t="s">
        <v>69</v>
      </c>
      <c r="X284" s="543">
        <v>36</v>
      </c>
      <c r="Y284" s="544">
        <f>IFERROR(IF(X284="",0,CEILING((X284/$H284),1)*$H284),"")</f>
        <v>36</v>
      </c>
      <c r="Z284" s="36">
        <f>IFERROR(IF(Y284=0,"",ROUNDUP(Y284/H284,0)*0.00902),"")</f>
        <v>9.0200000000000002E-2</v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38.1</v>
      </c>
      <c r="BN284" s="64">
        <f>IFERROR(Y284*I284/H284,"0")</f>
        <v>38.1</v>
      </c>
      <c r="BO284" s="64">
        <f>IFERROR(1/J284*(X284/H284),"0")</f>
        <v>7.575757575757576E-2</v>
      </c>
      <c r="BP284" s="64">
        <f>IFERROR(1/J284*(Y284/H284),"0")</f>
        <v>7.575757575757576E-2</v>
      </c>
    </row>
    <row r="285" spans="1:68" x14ac:dyDescent="0.2">
      <c r="A285" s="567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68"/>
      <c r="P285" s="552" t="s">
        <v>71</v>
      </c>
      <c r="Q285" s="553"/>
      <c r="R285" s="553"/>
      <c r="S285" s="553"/>
      <c r="T285" s="553"/>
      <c r="U285" s="553"/>
      <c r="V285" s="554"/>
      <c r="W285" s="37" t="s">
        <v>72</v>
      </c>
      <c r="X285" s="545">
        <f>IFERROR(X284/H284,"0")</f>
        <v>10</v>
      </c>
      <c r="Y285" s="545">
        <f>IFERROR(Y284/H284,"0")</f>
        <v>10</v>
      </c>
      <c r="Z285" s="545">
        <f>IFERROR(IF(Z284="",0,Z284),"0")</f>
        <v>9.0200000000000002E-2</v>
      </c>
      <c r="AA285" s="546"/>
      <c r="AB285" s="546"/>
      <c r="AC285" s="546"/>
    </row>
    <row r="286" spans="1:68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68"/>
      <c r="P286" s="552" t="s">
        <v>71</v>
      </c>
      <c r="Q286" s="553"/>
      <c r="R286" s="553"/>
      <c r="S286" s="553"/>
      <c r="T286" s="553"/>
      <c r="U286" s="553"/>
      <c r="V286" s="554"/>
      <c r="W286" s="37" t="s">
        <v>69</v>
      </c>
      <c r="X286" s="545">
        <f>IFERROR(SUM(X284:X284),"0")</f>
        <v>36</v>
      </c>
      <c r="Y286" s="545">
        <f>IFERROR(SUM(Y284:Y284),"0")</f>
        <v>36</v>
      </c>
      <c r="Z286" s="37"/>
      <c r="AA286" s="546"/>
      <c r="AB286" s="546"/>
      <c r="AC286" s="546"/>
    </row>
    <row r="287" spans="1:68" ht="16.5" hidden="1" customHeight="1" x14ac:dyDescent="0.25">
      <c r="A287" s="551" t="s">
        <v>447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38"/>
      <c r="AB287" s="538"/>
      <c r="AC287" s="538"/>
    </row>
    <row r="288" spans="1:68" ht="14.25" hidden="1" customHeight="1" x14ac:dyDescent="0.25">
      <c r="A288" s="549" t="s">
        <v>101</v>
      </c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  <c r="Z288" s="550"/>
      <c r="AA288" s="539"/>
      <c r="AB288" s="539"/>
      <c r="AC288" s="539"/>
    </row>
    <row r="289" spans="1:68" ht="27" hidden="1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6"/>
      <c r="R289" s="556"/>
      <c r="S289" s="556"/>
      <c r="T289" s="557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6"/>
      <c r="R290" s="556"/>
      <c r="S290" s="556"/>
      <c r="T290" s="557"/>
      <c r="U290" s="34"/>
      <c r="V290" s="34"/>
      <c r="W290" s="35" t="s">
        <v>69</v>
      </c>
      <c r="X290" s="543">
        <v>150</v>
      </c>
      <c r="Y290" s="544">
        <f t="shared" si="26"/>
        <v>151.20000000000002</v>
      </c>
      <c r="Z290" s="36">
        <f>IFERROR(IF(Y290=0,"",ROUNDUP(Y290/H290,0)*0.01898),"")</f>
        <v>0.26572000000000001</v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156.04166666666666</v>
      </c>
      <c r="BN290" s="64">
        <f t="shared" si="28"/>
        <v>157.29000000000002</v>
      </c>
      <c r="BO290" s="64">
        <f t="shared" si="29"/>
        <v>0.21701388888888887</v>
      </c>
      <c r="BP290" s="64">
        <f t="shared" si="30"/>
        <v>0.21875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43">
        <v>200</v>
      </c>
      <c r="Y291" s="544">
        <f t="shared" si="26"/>
        <v>205.20000000000002</v>
      </c>
      <c r="Z291" s="36">
        <f>IFERROR(IF(Y291=0,"",ROUNDUP(Y291/H291,0)*0.01898),"")</f>
        <v>0.36062</v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208.05555555555554</v>
      </c>
      <c r="BN291" s="64">
        <f t="shared" si="28"/>
        <v>213.46499999999997</v>
      </c>
      <c r="BO291" s="64">
        <f t="shared" si="29"/>
        <v>0.28935185185185186</v>
      </c>
      <c r="BP291" s="64">
        <f t="shared" si="30"/>
        <v>0.296875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6"/>
      <c r="R293" s="556"/>
      <c r="S293" s="556"/>
      <c r="T293" s="557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6"/>
      <c r="R294" s="556"/>
      <c r="S294" s="556"/>
      <c r="T294" s="557"/>
      <c r="U294" s="34"/>
      <c r="V294" s="34"/>
      <c r="W294" s="35" t="s">
        <v>69</v>
      </c>
      <c r="X294" s="543">
        <v>528</v>
      </c>
      <c r="Y294" s="544">
        <f t="shared" si="26"/>
        <v>528</v>
      </c>
      <c r="Z294" s="36">
        <f>IFERROR(IF(Y294=0,"",ROUNDUP(Y294/H294,0)*0.00902),"")</f>
        <v>1.1906400000000001</v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555.72</v>
      </c>
      <c r="BN294" s="64">
        <f t="shared" si="28"/>
        <v>555.72</v>
      </c>
      <c r="BO294" s="64">
        <f t="shared" si="29"/>
        <v>1</v>
      </c>
      <c r="BP294" s="64">
        <f t="shared" si="30"/>
        <v>1</v>
      </c>
    </row>
    <row r="295" spans="1:68" x14ac:dyDescent="0.2">
      <c r="A295" s="567"/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68"/>
      <c r="P295" s="552" t="s">
        <v>71</v>
      </c>
      <c r="Q295" s="553"/>
      <c r="R295" s="553"/>
      <c r="S295" s="553"/>
      <c r="T295" s="553"/>
      <c r="U295" s="553"/>
      <c r="V295" s="554"/>
      <c r="W295" s="37" t="s">
        <v>72</v>
      </c>
      <c r="X295" s="545">
        <f>IFERROR(X289/H289,"0")+IFERROR(X290/H290,"0")+IFERROR(X291/H291,"0")+IFERROR(X292/H292,"0")+IFERROR(X293/H293,"0")+IFERROR(X294/H294,"0")</f>
        <v>164.40740740740739</v>
      </c>
      <c r="Y295" s="545">
        <f>IFERROR(Y289/H289,"0")+IFERROR(Y290/H290,"0")+IFERROR(Y291/H291,"0")+IFERROR(Y292/H292,"0")+IFERROR(Y293/H293,"0")+IFERROR(Y294/H294,"0")</f>
        <v>165</v>
      </c>
      <c r="Z295" s="545">
        <f>IFERROR(IF(Z289="",0,Z289),"0")+IFERROR(IF(Z290="",0,Z290),"0")+IFERROR(IF(Z291="",0,Z291),"0")+IFERROR(IF(Z292="",0,Z292),"0")+IFERROR(IF(Z293="",0,Z293),"0")+IFERROR(IF(Z294="",0,Z294),"0")</f>
        <v>1.81698</v>
      </c>
      <c r="AA295" s="546"/>
      <c r="AB295" s="546"/>
      <c r="AC295" s="546"/>
    </row>
    <row r="296" spans="1:68" x14ac:dyDescent="0.2">
      <c r="A296" s="550"/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68"/>
      <c r="P296" s="552" t="s">
        <v>71</v>
      </c>
      <c r="Q296" s="553"/>
      <c r="R296" s="553"/>
      <c r="S296" s="553"/>
      <c r="T296" s="553"/>
      <c r="U296" s="553"/>
      <c r="V296" s="554"/>
      <c r="W296" s="37" t="s">
        <v>69</v>
      </c>
      <c r="X296" s="545">
        <f>IFERROR(SUM(X289:X294),"0")</f>
        <v>878</v>
      </c>
      <c r="Y296" s="545">
        <f>IFERROR(SUM(Y289:Y294),"0")</f>
        <v>884.40000000000009</v>
      </c>
      <c r="Z296" s="37"/>
      <c r="AA296" s="546"/>
      <c r="AB296" s="546"/>
      <c r="AC296" s="546"/>
    </row>
    <row r="297" spans="1:68" ht="14.25" hidden="1" customHeight="1" x14ac:dyDescent="0.25">
      <c r="A297" s="549" t="s">
        <v>64</v>
      </c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  <c r="Z297" s="550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6"/>
      <c r="R298" s="556"/>
      <c r="S298" s="556"/>
      <c r="T298" s="557"/>
      <c r="U298" s="34"/>
      <c r="V298" s="34"/>
      <c r="W298" s="35" t="s">
        <v>69</v>
      </c>
      <c r="X298" s="543">
        <v>300</v>
      </c>
      <c r="Y298" s="544">
        <f t="shared" ref="Y298:Y304" si="31">IFERROR(IF(X298="",0,CEILING((X298/$H298),1)*$H298),"")</f>
        <v>302.40000000000003</v>
      </c>
      <c r="Z298" s="36">
        <f>IFERROR(IF(Y298=0,"",ROUNDUP(Y298/H298,0)*0.00902),"")</f>
        <v>0.64944000000000002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319.28571428571428</v>
      </c>
      <c r="BN298" s="64">
        <f t="shared" ref="BN298:BN304" si="33">IFERROR(Y298*I298/H298,"0")</f>
        <v>321.83999999999997</v>
      </c>
      <c r="BO298" s="64">
        <f t="shared" ref="BO298:BO304" si="34">IFERROR(1/J298*(X298/H298),"0")</f>
        <v>0.54112554112554112</v>
      </c>
      <c r="BP298" s="64">
        <f t="shared" ref="BP298:BP304" si="35">IFERROR(1/J298*(Y298/H298),"0")</f>
        <v>0.54545454545454541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6"/>
      <c r="R299" s="556"/>
      <c r="S299" s="556"/>
      <c r="T299" s="557"/>
      <c r="U299" s="34"/>
      <c r="V299" s="34"/>
      <c r="W299" s="35" t="s">
        <v>69</v>
      </c>
      <c r="X299" s="543">
        <v>400</v>
      </c>
      <c r="Y299" s="544">
        <f t="shared" si="31"/>
        <v>403.20000000000005</v>
      </c>
      <c r="Z299" s="36">
        <f>IFERROR(IF(Y299=0,"",ROUNDUP(Y299/H299,0)*0.00902),"")</f>
        <v>0.86592000000000002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425.71428571428572</v>
      </c>
      <c r="BN299" s="64">
        <f t="shared" si="33"/>
        <v>429.12</v>
      </c>
      <c r="BO299" s="64">
        <f t="shared" si="34"/>
        <v>0.72150072150072153</v>
      </c>
      <c r="BP299" s="64">
        <f t="shared" si="35"/>
        <v>0.72727272727272729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6"/>
      <c r="R300" s="556"/>
      <c r="S300" s="556"/>
      <c r="T300" s="557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6"/>
      <c r="R301" s="556"/>
      <c r="S301" s="556"/>
      <c r="T301" s="557"/>
      <c r="U301" s="34"/>
      <c r="V301" s="34"/>
      <c r="W301" s="35" t="s">
        <v>69</v>
      </c>
      <c r="X301" s="543">
        <v>28</v>
      </c>
      <c r="Y301" s="544">
        <f t="shared" si="31"/>
        <v>29.400000000000002</v>
      </c>
      <c r="Z301" s="36">
        <f>IFERROR(IF(Y301=0,"",ROUNDUP(Y301/H301,0)*0.00502),"")</f>
        <v>7.0280000000000009E-2</v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29.733333333333331</v>
      </c>
      <c r="BN301" s="64">
        <f t="shared" si="33"/>
        <v>31.22</v>
      </c>
      <c r="BO301" s="64">
        <f t="shared" si="34"/>
        <v>5.6980056980056981E-2</v>
      </c>
      <c r="BP301" s="64">
        <f t="shared" si="35"/>
        <v>5.9829059829059839E-2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6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6"/>
      <c r="R302" s="556"/>
      <c r="S302" s="556"/>
      <c r="T302" s="557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4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6"/>
      <c r="R303" s="556"/>
      <c r="S303" s="556"/>
      <c r="T303" s="557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6"/>
      <c r="R304" s="556"/>
      <c r="S304" s="556"/>
      <c r="T304" s="557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7"/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68"/>
      <c r="P305" s="552" t="s">
        <v>71</v>
      </c>
      <c r="Q305" s="553"/>
      <c r="R305" s="553"/>
      <c r="S305" s="553"/>
      <c r="T305" s="553"/>
      <c r="U305" s="553"/>
      <c r="V305" s="55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180.00000000000003</v>
      </c>
      <c r="Y305" s="545">
        <f>IFERROR(Y298/H298,"0")+IFERROR(Y299/H299,"0")+IFERROR(Y300/H300,"0")+IFERROR(Y301/H301,"0")+IFERROR(Y302/H302,"0")+IFERROR(Y303/H303,"0")+IFERROR(Y304/H304,"0")</f>
        <v>182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1.5856400000000002</v>
      </c>
      <c r="AA305" s="546"/>
      <c r="AB305" s="546"/>
      <c r="AC305" s="546"/>
    </row>
    <row r="306" spans="1:68" x14ac:dyDescent="0.2">
      <c r="A306" s="550"/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68"/>
      <c r="P306" s="552" t="s">
        <v>71</v>
      </c>
      <c r="Q306" s="553"/>
      <c r="R306" s="553"/>
      <c r="S306" s="553"/>
      <c r="T306" s="553"/>
      <c r="U306" s="553"/>
      <c r="V306" s="554"/>
      <c r="W306" s="37" t="s">
        <v>69</v>
      </c>
      <c r="X306" s="545">
        <f>IFERROR(SUM(X298:X304),"0")</f>
        <v>728</v>
      </c>
      <c r="Y306" s="545">
        <f>IFERROR(SUM(Y298:Y304),"0")</f>
        <v>735.00000000000011</v>
      </c>
      <c r="Z306" s="37"/>
      <c r="AA306" s="546"/>
      <c r="AB306" s="546"/>
      <c r="AC306" s="546"/>
    </row>
    <row r="307" spans="1:68" ht="14.25" hidden="1" customHeight="1" x14ac:dyDescent="0.25">
      <c r="A307" s="549" t="s">
        <v>73</v>
      </c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  <c r="Z307" s="550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6"/>
      <c r="R308" s="556"/>
      <c r="S308" s="556"/>
      <c r="T308" s="557"/>
      <c r="U308" s="34"/>
      <c r="V308" s="34"/>
      <c r="W308" s="35" t="s">
        <v>69</v>
      </c>
      <c r="X308" s="543">
        <v>3000</v>
      </c>
      <c r="Y308" s="544">
        <f>IFERROR(IF(X308="",0,CEILING((X308/$H308),1)*$H308),"")</f>
        <v>3003</v>
      </c>
      <c r="Z308" s="36">
        <f>IFERROR(IF(Y308=0,"",ROUNDUP(Y308/H308,0)*0.01898),"")</f>
        <v>7.3073000000000006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3197.3076923076928</v>
      </c>
      <c r="BN308" s="64">
        <f>IFERROR(Y308*I308/H308,"0")</f>
        <v>3200.5050000000006</v>
      </c>
      <c r="BO308" s="64">
        <f>IFERROR(1/J308*(X308/H308),"0")</f>
        <v>6.009615384615385</v>
      </c>
      <c r="BP308" s="64">
        <f>IFERROR(1/J308*(Y308/H308),"0")</f>
        <v>6.015625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6"/>
      <c r="R311" s="556"/>
      <c r="S311" s="556"/>
      <c r="T311" s="557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6"/>
      <c r="R312" s="556"/>
      <c r="S312" s="556"/>
      <c r="T312" s="557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67"/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68"/>
      <c r="P313" s="552" t="s">
        <v>71</v>
      </c>
      <c r="Q313" s="553"/>
      <c r="R313" s="553"/>
      <c r="S313" s="553"/>
      <c r="T313" s="553"/>
      <c r="U313" s="553"/>
      <c r="V313" s="554"/>
      <c r="W313" s="37" t="s">
        <v>72</v>
      </c>
      <c r="X313" s="545">
        <f>IFERROR(X308/H308,"0")+IFERROR(X309/H309,"0")+IFERROR(X310/H310,"0")+IFERROR(X311/H311,"0")+IFERROR(X312/H312,"0")</f>
        <v>384.61538461538464</v>
      </c>
      <c r="Y313" s="545">
        <f>IFERROR(Y308/H308,"0")+IFERROR(Y309/H309,"0")+IFERROR(Y310/H310,"0")+IFERROR(Y311/H311,"0")+IFERROR(Y312/H312,"0")</f>
        <v>385</v>
      </c>
      <c r="Z313" s="545">
        <f>IFERROR(IF(Z308="",0,Z308),"0")+IFERROR(IF(Z309="",0,Z309),"0")+IFERROR(IF(Z310="",0,Z310),"0")+IFERROR(IF(Z311="",0,Z311),"0")+IFERROR(IF(Z312="",0,Z312),"0")</f>
        <v>7.3073000000000006</v>
      </c>
      <c r="AA313" s="546"/>
      <c r="AB313" s="546"/>
      <c r="AC313" s="546"/>
    </row>
    <row r="314" spans="1:68" x14ac:dyDescent="0.2">
      <c r="A314" s="550"/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68"/>
      <c r="P314" s="552" t="s">
        <v>71</v>
      </c>
      <c r="Q314" s="553"/>
      <c r="R314" s="553"/>
      <c r="S314" s="553"/>
      <c r="T314" s="553"/>
      <c r="U314" s="553"/>
      <c r="V314" s="554"/>
      <c r="W314" s="37" t="s">
        <v>69</v>
      </c>
      <c r="X314" s="545">
        <f>IFERROR(SUM(X308:X312),"0")</f>
        <v>3000</v>
      </c>
      <c r="Y314" s="545">
        <f>IFERROR(SUM(Y308:Y312),"0")</f>
        <v>3003</v>
      </c>
      <c r="Z314" s="37"/>
      <c r="AA314" s="546"/>
      <c r="AB314" s="546"/>
      <c r="AC314" s="546"/>
    </row>
    <row r="315" spans="1:68" ht="14.25" hidden="1" customHeight="1" x14ac:dyDescent="0.25">
      <c r="A315" s="549" t="s">
        <v>166</v>
      </c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  <c r="Z315" s="550"/>
      <c r="AA315" s="539"/>
      <c r="AB315" s="539"/>
      <c r="AC315" s="539"/>
    </row>
    <row r="316" spans="1:68" ht="27" hidden="1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6"/>
      <c r="R316" s="556"/>
      <c r="S316" s="556"/>
      <c r="T316" s="557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6"/>
      <c r="R317" s="556"/>
      <c r="S317" s="556"/>
      <c r="T317" s="557"/>
      <c r="U317" s="34"/>
      <c r="V317" s="34"/>
      <c r="W317" s="35" t="s">
        <v>69</v>
      </c>
      <c r="X317" s="543">
        <v>350</v>
      </c>
      <c r="Y317" s="544">
        <f>IFERROR(IF(X317="",0,CEILING((X317/$H317),1)*$H317),"")</f>
        <v>351</v>
      </c>
      <c r="Z317" s="36">
        <f>IFERROR(IF(Y317=0,"",ROUNDUP(Y317/H317,0)*0.01898),"")</f>
        <v>0.85409999999999997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373.28846153846155</v>
      </c>
      <c r="BN317" s="64">
        <f>IFERROR(Y317*I317/H317,"0")</f>
        <v>374.35500000000008</v>
      </c>
      <c r="BO317" s="64">
        <f>IFERROR(1/J317*(X317/H317),"0")</f>
        <v>0.70112179487179493</v>
      </c>
      <c r="BP317" s="64">
        <f>IFERROR(1/J317*(Y317/H317),"0")</f>
        <v>0.703125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43">
        <v>80</v>
      </c>
      <c r="Y318" s="544">
        <f>IFERROR(IF(X318="",0,CEILING((X318/$H318),1)*$H318),"")</f>
        <v>84</v>
      </c>
      <c r="Z318" s="36">
        <f>IFERROR(IF(Y318=0,"",ROUNDUP(Y318/H318,0)*0.01898),"")</f>
        <v>0.1898</v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84.942857142857136</v>
      </c>
      <c r="BN318" s="64">
        <f>IFERROR(Y318*I318/H318,"0")</f>
        <v>89.19</v>
      </c>
      <c r="BO318" s="64">
        <f>IFERROR(1/J318*(X318/H318),"0")</f>
        <v>0.14880952380952381</v>
      </c>
      <c r="BP318" s="64">
        <f>IFERROR(1/J318*(Y318/H318),"0")</f>
        <v>0.15625</v>
      </c>
    </row>
    <row r="319" spans="1:68" x14ac:dyDescent="0.2">
      <c r="A319" s="567"/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68"/>
      <c r="P319" s="552" t="s">
        <v>71</v>
      </c>
      <c r="Q319" s="553"/>
      <c r="R319" s="553"/>
      <c r="S319" s="553"/>
      <c r="T319" s="553"/>
      <c r="U319" s="553"/>
      <c r="V319" s="554"/>
      <c r="W319" s="37" t="s">
        <v>72</v>
      </c>
      <c r="X319" s="545">
        <f>IFERROR(X316/H316,"0")+IFERROR(X317/H317,"0")+IFERROR(X318/H318,"0")</f>
        <v>54.395604395604401</v>
      </c>
      <c r="Y319" s="545">
        <f>IFERROR(Y316/H316,"0")+IFERROR(Y317/H317,"0")+IFERROR(Y318/H318,"0")</f>
        <v>55</v>
      </c>
      <c r="Z319" s="545">
        <f>IFERROR(IF(Z316="",0,Z316),"0")+IFERROR(IF(Z317="",0,Z317),"0")+IFERROR(IF(Z318="",0,Z318),"0")</f>
        <v>1.0439000000000001</v>
      </c>
      <c r="AA319" s="546"/>
      <c r="AB319" s="546"/>
      <c r="AC319" s="546"/>
    </row>
    <row r="320" spans="1:68" x14ac:dyDescent="0.2">
      <c r="A320" s="550"/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68"/>
      <c r="P320" s="552" t="s">
        <v>71</v>
      </c>
      <c r="Q320" s="553"/>
      <c r="R320" s="553"/>
      <c r="S320" s="553"/>
      <c r="T320" s="553"/>
      <c r="U320" s="553"/>
      <c r="V320" s="554"/>
      <c r="W320" s="37" t="s">
        <v>69</v>
      </c>
      <c r="X320" s="545">
        <f>IFERROR(SUM(X316:X318),"0")</f>
        <v>430</v>
      </c>
      <c r="Y320" s="545">
        <f>IFERROR(SUM(Y316:Y318),"0")</f>
        <v>435</v>
      </c>
      <c r="Z320" s="37"/>
      <c r="AA320" s="546"/>
      <c r="AB320" s="546"/>
      <c r="AC320" s="546"/>
    </row>
    <row r="321" spans="1:68" ht="14.25" hidden="1" customHeight="1" x14ac:dyDescent="0.25">
      <c r="A321" s="549" t="s">
        <v>93</v>
      </c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  <c r="Z321" s="550"/>
      <c r="AA321" s="539"/>
      <c r="AB321" s="539"/>
      <c r="AC321" s="539"/>
    </row>
    <row r="322" spans="1:68" ht="27" hidden="1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6"/>
      <c r="R322" s="556"/>
      <c r="S322" s="556"/>
      <c r="T322" s="557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0" t="s">
        <v>513</v>
      </c>
      <c r="Q323" s="556"/>
      <c r="R323" s="556"/>
      <c r="S323" s="556"/>
      <c r="T323" s="557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6"/>
      <c r="R324" s="556"/>
      <c r="S324" s="556"/>
      <c r="T324" s="557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6"/>
      <c r="R325" s="556"/>
      <c r="S325" s="556"/>
      <c r="T325" s="557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67"/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68"/>
      <c r="P326" s="552" t="s">
        <v>71</v>
      </c>
      <c r="Q326" s="553"/>
      <c r="R326" s="553"/>
      <c r="S326" s="553"/>
      <c r="T326" s="553"/>
      <c r="U326" s="553"/>
      <c r="V326" s="55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0"/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68"/>
      <c r="P327" s="552" t="s">
        <v>71</v>
      </c>
      <c r="Q327" s="553"/>
      <c r="R327" s="553"/>
      <c r="S327" s="553"/>
      <c r="T327" s="553"/>
      <c r="U327" s="553"/>
      <c r="V327" s="55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49" t="s">
        <v>519</v>
      </c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  <c r="Z328" s="550"/>
      <c r="AA328" s="539"/>
      <c r="AB328" s="539"/>
      <c r="AC328" s="539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6"/>
      <c r="R329" s="556"/>
      <c r="S329" s="556"/>
      <c r="T329" s="557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6"/>
      <c r="R330" s="556"/>
      <c r="S330" s="556"/>
      <c r="T330" s="557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7"/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68"/>
      <c r="P332" s="552" t="s">
        <v>71</v>
      </c>
      <c r="Q332" s="553"/>
      <c r="R332" s="553"/>
      <c r="S332" s="553"/>
      <c r="T332" s="553"/>
      <c r="U332" s="553"/>
      <c r="V332" s="55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0"/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68"/>
      <c r="P333" s="552" t="s">
        <v>71</v>
      </c>
      <c r="Q333" s="553"/>
      <c r="R333" s="553"/>
      <c r="S333" s="553"/>
      <c r="T333" s="553"/>
      <c r="U333" s="553"/>
      <c r="V333" s="55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1" t="s">
        <v>528</v>
      </c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  <c r="Z334" s="550"/>
      <c r="AA334" s="538"/>
      <c r="AB334" s="538"/>
      <c r="AC334" s="538"/>
    </row>
    <row r="335" spans="1:68" ht="14.25" hidden="1" customHeight="1" x14ac:dyDescent="0.25">
      <c r="A335" s="549" t="s">
        <v>73</v>
      </c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  <c r="Z335" s="550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6"/>
      <c r="R336" s="556"/>
      <c r="S336" s="556"/>
      <c r="T336" s="557"/>
      <c r="U336" s="34"/>
      <c r="V336" s="34"/>
      <c r="W336" s="35" t="s">
        <v>69</v>
      </c>
      <c r="X336" s="543">
        <v>150</v>
      </c>
      <c r="Y336" s="544">
        <f>IFERROR(IF(X336="",0,CEILING((X336/$H336),1)*$H336),"")</f>
        <v>153.9</v>
      </c>
      <c r="Z336" s="36">
        <f>IFERROR(IF(Y336=0,"",ROUNDUP(Y336/H336,0)*0.01898),"")</f>
        <v>0.36062</v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159.61111111111111</v>
      </c>
      <c r="BN336" s="64">
        <f>IFERROR(Y336*I336/H336,"0")</f>
        <v>163.761</v>
      </c>
      <c r="BO336" s="64">
        <f>IFERROR(1/J336*(X336/H336),"0")</f>
        <v>0.28935185185185186</v>
      </c>
      <c r="BP336" s="64">
        <f>IFERROR(1/J336*(Y336/H336),"0")</f>
        <v>0.296875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6"/>
      <c r="R337" s="556"/>
      <c r="S337" s="556"/>
      <c r="T337" s="557"/>
      <c r="U337" s="34"/>
      <c r="V337" s="34"/>
      <c r="W337" s="35" t="s">
        <v>69</v>
      </c>
      <c r="X337" s="543">
        <v>105</v>
      </c>
      <c r="Y337" s="544">
        <f>IFERROR(IF(X337="",0,CEILING((X337/$H337),1)*$H337),"")</f>
        <v>105</v>
      </c>
      <c r="Z337" s="36">
        <f>IFERROR(IF(Y337=0,"",ROUNDUP(Y337/H337,0)*0.00651),"")</f>
        <v>0.32550000000000001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117.59999999999998</v>
      </c>
      <c r="BN337" s="64">
        <f>IFERROR(Y337*I337/H337,"0")</f>
        <v>117.59999999999998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6"/>
      <c r="R338" s="556"/>
      <c r="S338" s="556"/>
      <c r="T338" s="557"/>
      <c r="U338" s="34"/>
      <c r="V338" s="34"/>
      <c r="W338" s="35" t="s">
        <v>69</v>
      </c>
      <c r="X338" s="543">
        <v>35</v>
      </c>
      <c r="Y338" s="544">
        <f>IFERROR(IF(X338="",0,CEILING((X338/$H338),1)*$H338),"")</f>
        <v>35.700000000000003</v>
      </c>
      <c r="Z338" s="36">
        <f>IFERROR(IF(Y338=0,"",ROUNDUP(Y338/H338,0)*0.00651),"")</f>
        <v>0.11067</v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38.999999999999993</v>
      </c>
      <c r="BN338" s="64">
        <f>IFERROR(Y338*I338/H338,"0")</f>
        <v>39.779999999999994</v>
      </c>
      <c r="BO338" s="64">
        <f>IFERROR(1/J338*(X338/H338),"0")</f>
        <v>9.1575091575091569E-2</v>
      </c>
      <c r="BP338" s="64">
        <f>IFERROR(1/J338*(Y338/H338),"0")</f>
        <v>9.3406593406593408E-2</v>
      </c>
    </row>
    <row r="339" spans="1:68" x14ac:dyDescent="0.2">
      <c r="A339" s="567"/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68"/>
      <c r="P339" s="552" t="s">
        <v>71</v>
      </c>
      <c r="Q339" s="553"/>
      <c r="R339" s="553"/>
      <c r="S339" s="553"/>
      <c r="T339" s="553"/>
      <c r="U339" s="553"/>
      <c r="V339" s="554"/>
      <c r="W339" s="37" t="s">
        <v>72</v>
      </c>
      <c r="X339" s="545">
        <f>IFERROR(X336/H336,"0")+IFERROR(X337/H337,"0")+IFERROR(X338/H338,"0")</f>
        <v>85.18518518518519</v>
      </c>
      <c r="Y339" s="545">
        <f>IFERROR(Y336/H336,"0")+IFERROR(Y337/H337,"0")+IFERROR(Y338/H338,"0")</f>
        <v>86</v>
      </c>
      <c r="Z339" s="545">
        <f>IFERROR(IF(Z336="",0,Z336),"0")+IFERROR(IF(Z337="",0,Z337),"0")+IFERROR(IF(Z338="",0,Z338),"0")</f>
        <v>0.79679000000000011</v>
      </c>
      <c r="AA339" s="546"/>
      <c r="AB339" s="546"/>
      <c r="AC339" s="546"/>
    </row>
    <row r="340" spans="1:68" x14ac:dyDescent="0.2">
      <c r="A340" s="550"/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68"/>
      <c r="P340" s="552" t="s">
        <v>71</v>
      </c>
      <c r="Q340" s="553"/>
      <c r="R340" s="553"/>
      <c r="S340" s="553"/>
      <c r="T340" s="553"/>
      <c r="U340" s="553"/>
      <c r="V340" s="554"/>
      <c r="W340" s="37" t="s">
        <v>69</v>
      </c>
      <c r="X340" s="545">
        <f>IFERROR(SUM(X336:X338),"0")</f>
        <v>290</v>
      </c>
      <c r="Y340" s="545">
        <f>IFERROR(SUM(Y336:Y338),"0")</f>
        <v>294.59999999999997</v>
      </c>
      <c r="Z340" s="37"/>
      <c r="AA340" s="546"/>
      <c r="AB340" s="546"/>
      <c r="AC340" s="546"/>
    </row>
    <row r="341" spans="1:68" ht="27.75" hidden="1" customHeight="1" x14ac:dyDescent="0.2">
      <c r="A341" s="563" t="s">
        <v>538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48"/>
      <c r="AB341" s="48"/>
      <c r="AC341" s="48"/>
    </row>
    <row r="342" spans="1:68" ht="16.5" hidden="1" customHeight="1" x14ac:dyDescent="0.25">
      <c r="A342" s="551" t="s">
        <v>539</v>
      </c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  <c r="Z342" s="550"/>
      <c r="AA342" s="538"/>
      <c r="AB342" s="538"/>
      <c r="AC342" s="538"/>
    </row>
    <row r="343" spans="1:68" ht="14.25" hidden="1" customHeight="1" x14ac:dyDescent="0.25">
      <c r="A343" s="549" t="s">
        <v>101</v>
      </c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  <c r="Z343" s="550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6"/>
      <c r="R344" s="556"/>
      <c r="S344" s="556"/>
      <c r="T344" s="557"/>
      <c r="U344" s="34"/>
      <c r="V344" s="34"/>
      <c r="W344" s="35" t="s">
        <v>69</v>
      </c>
      <c r="X344" s="543">
        <v>750</v>
      </c>
      <c r="Y344" s="544">
        <f t="shared" ref="Y344:Y350" si="36">IFERROR(IF(X344="",0,CEILING((X344/$H344),1)*$H344),"")</f>
        <v>750</v>
      </c>
      <c r="Z344" s="36">
        <f>IFERROR(IF(Y344=0,"",ROUNDUP(Y344/H344,0)*0.02175),"")</f>
        <v>1.0874999999999999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774</v>
      </c>
      <c r="BN344" s="64">
        <f t="shared" ref="BN344:BN350" si="38">IFERROR(Y344*I344/H344,"0")</f>
        <v>774</v>
      </c>
      <c r="BO344" s="64">
        <f t="shared" ref="BO344:BO350" si="39">IFERROR(1/J344*(X344/H344),"0")</f>
        <v>1.0416666666666665</v>
      </c>
      <c r="BP344" s="64">
        <f t="shared" ref="BP344:BP350" si="40">IFERROR(1/J344*(Y344/H344),"0")</f>
        <v>1.0416666666666665</v>
      </c>
    </row>
    <row r="345" spans="1:68" ht="27" hidden="1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6"/>
      <c r="R345" s="556"/>
      <c r="S345" s="556"/>
      <c r="T345" s="557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4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6"/>
      <c r="R346" s="556"/>
      <c r="S346" s="556"/>
      <c r="T346" s="557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hidden="1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6"/>
      <c r="R347" s="556"/>
      <c r="S347" s="556"/>
      <c r="T347" s="557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6"/>
      <c r="R348" s="556"/>
      <c r="S348" s="556"/>
      <c r="T348" s="557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6"/>
      <c r="R349" s="556"/>
      <c r="S349" s="556"/>
      <c r="T349" s="557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67"/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68"/>
      <c r="P351" s="552" t="s">
        <v>71</v>
      </c>
      <c r="Q351" s="553"/>
      <c r="R351" s="553"/>
      <c r="S351" s="553"/>
      <c r="T351" s="553"/>
      <c r="U351" s="553"/>
      <c r="V351" s="55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50</v>
      </c>
      <c r="Y351" s="545">
        <f>IFERROR(Y344/H344,"0")+IFERROR(Y345/H345,"0")+IFERROR(Y346/H346,"0")+IFERROR(Y347/H347,"0")+IFERROR(Y348/H348,"0")+IFERROR(Y349/H349,"0")+IFERROR(Y350/H350,"0")</f>
        <v>50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1.0874999999999999</v>
      </c>
      <c r="AA351" s="546"/>
      <c r="AB351" s="546"/>
      <c r="AC351" s="546"/>
    </row>
    <row r="352" spans="1:68" x14ac:dyDescent="0.2">
      <c r="A352" s="550"/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68"/>
      <c r="P352" s="552" t="s">
        <v>71</v>
      </c>
      <c r="Q352" s="553"/>
      <c r="R352" s="553"/>
      <c r="S352" s="553"/>
      <c r="T352" s="553"/>
      <c r="U352" s="553"/>
      <c r="V352" s="554"/>
      <c r="W352" s="37" t="s">
        <v>69</v>
      </c>
      <c r="X352" s="545">
        <f>IFERROR(SUM(X344:X350),"0")</f>
        <v>750</v>
      </c>
      <c r="Y352" s="545">
        <f>IFERROR(SUM(Y344:Y350),"0")</f>
        <v>750</v>
      </c>
      <c r="Z352" s="37"/>
      <c r="AA352" s="546"/>
      <c r="AB352" s="546"/>
      <c r="AC352" s="546"/>
    </row>
    <row r="353" spans="1:68" ht="14.25" hidden="1" customHeight="1" x14ac:dyDescent="0.25">
      <c r="A353" s="549" t="s">
        <v>136</v>
      </c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  <c r="Z353" s="550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6"/>
      <c r="R354" s="556"/>
      <c r="S354" s="556"/>
      <c r="T354" s="557"/>
      <c r="U354" s="34"/>
      <c r="V354" s="34"/>
      <c r="W354" s="35" t="s">
        <v>69</v>
      </c>
      <c r="X354" s="543">
        <v>5000</v>
      </c>
      <c r="Y354" s="544">
        <f>IFERROR(IF(X354="",0,CEILING((X354/$H354),1)*$H354),"")</f>
        <v>5010</v>
      </c>
      <c r="Z354" s="36">
        <f>IFERROR(IF(Y354=0,"",ROUNDUP(Y354/H354,0)*0.02175),"")</f>
        <v>7.2644999999999991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5160</v>
      </c>
      <c r="BN354" s="64">
        <f>IFERROR(Y354*I354/H354,"0")</f>
        <v>5170.3200000000006</v>
      </c>
      <c r="BO354" s="64">
        <f>IFERROR(1/J354*(X354/H354),"0")</f>
        <v>6.9444444444444438</v>
      </c>
      <c r="BP354" s="64">
        <f>IFERROR(1/J354*(Y354/H354),"0")</f>
        <v>6.958333333333333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6"/>
      <c r="R355" s="556"/>
      <c r="S355" s="556"/>
      <c r="T355" s="557"/>
      <c r="U355" s="34"/>
      <c r="V355" s="34"/>
      <c r="W355" s="35" t="s">
        <v>69</v>
      </c>
      <c r="X355" s="543">
        <v>40</v>
      </c>
      <c r="Y355" s="544">
        <f>IFERROR(IF(X355="",0,CEILING((X355/$H355),1)*$H355),"")</f>
        <v>40</v>
      </c>
      <c r="Z355" s="36">
        <f>IFERROR(IF(Y355=0,"",ROUNDUP(Y355/H355,0)*0.00902),"")</f>
        <v>9.0200000000000002E-2</v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42.1</v>
      </c>
      <c r="BN355" s="64">
        <f>IFERROR(Y355*I355/H355,"0")</f>
        <v>42.1</v>
      </c>
      <c r="BO355" s="64">
        <f>IFERROR(1/J355*(X355/H355),"0")</f>
        <v>7.575757575757576E-2</v>
      </c>
      <c r="BP355" s="64">
        <f>IFERROR(1/J355*(Y355/H355),"0")</f>
        <v>7.575757575757576E-2</v>
      </c>
    </row>
    <row r="356" spans="1:68" x14ac:dyDescent="0.2">
      <c r="A356" s="567"/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68"/>
      <c r="P356" s="552" t="s">
        <v>71</v>
      </c>
      <c r="Q356" s="553"/>
      <c r="R356" s="553"/>
      <c r="S356" s="553"/>
      <c r="T356" s="553"/>
      <c r="U356" s="553"/>
      <c r="V356" s="554"/>
      <c r="W356" s="37" t="s">
        <v>72</v>
      </c>
      <c r="X356" s="545">
        <f>IFERROR(X354/H354,"0")+IFERROR(X355/H355,"0")</f>
        <v>343.33333333333331</v>
      </c>
      <c r="Y356" s="545">
        <f>IFERROR(Y354/H354,"0")+IFERROR(Y355/H355,"0")</f>
        <v>344</v>
      </c>
      <c r="Z356" s="545">
        <f>IFERROR(IF(Z354="",0,Z354),"0")+IFERROR(IF(Z355="",0,Z355),"0")</f>
        <v>7.3546999999999993</v>
      </c>
      <c r="AA356" s="546"/>
      <c r="AB356" s="546"/>
      <c r="AC356" s="546"/>
    </row>
    <row r="357" spans="1:68" x14ac:dyDescent="0.2">
      <c r="A357" s="550"/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68"/>
      <c r="P357" s="552" t="s">
        <v>71</v>
      </c>
      <c r="Q357" s="553"/>
      <c r="R357" s="553"/>
      <c r="S357" s="553"/>
      <c r="T357" s="553"/>
      <c r="U357" s="553"/>
      <c r="V357" s="554"/>
      <c r="W357" s="37" t="s">
        <v>69</v>
      </c>
      <c r="X357" s="545">
        <f>IFERROR(SUM(X354:X355),"0")</f>
        <v>5040</v>
      </c>
      <c r="Y357" s="545">
        <f>IFERROR(SUM(Y354:Y355),"0")</f>
        <v>5050</v>
      </c>
      <c r="Z357" s="37"/>
      <c r="AA357" s="546"/>
      <c r="AB357" s="546"/>
      <c r="AC357" s="546"/>
    </row>
    <row r="358" spans="1:68" ht="14.25" hidden="1" customHeight="1" x14ac:dyDescent="0.25">
      <c r="A358" s="549" t="s">
        <v>73</v>
      </c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  <c r="Z358" s="550"/>
      <c r="AA358" s="539"/>
      <c r="AB358" s="539"/>
      <c r="AC358" s="539"/>
    </row>
    <row r="359" spans="1:68" ht="27" hidden="1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6"/>
      <c r="R359" s="556"/>
      <c r="S359" s="556"/>
      <c r="T359" s="557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6"/>
      <c r="R360" s="556"/>
      <c r="S360" s="556"/>
      <c r="T360" s="557"/>
      <c r="U360" s="34"/>
      <c r="V360" s="34"/>
      <c r="W360" s="35" t="s">
        <v>69</v>
      </c>
      <c r="X360" s="543">
        <v>90</v>
      </c>
      <c r="Y360" s="544">
        <f>IFERROR(IF(X360="",0,CEILING((X360/$H360),1)*$H360),"")</f>
        <v>90</v>
      </c>
      <c r="Z360" s="36">
        <f>IFERROR(IF(Y360=0,"",ROUNDUP(Y360/H360,0)*0.01898),"")</f>
        <v>0.1898</v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95.19</v>
      </c>
      <c r="BN360" s="64">
        <f>IFERROR(Y360*I360/H360,"0")</f>
        <v>95.19</v>
      </c>
      <c r="BO360" s="64">
        <f>IFERROR(1/J360*(X360/H360),"0")</f>
        <v>0.15625</v>
      </c>
      <c r="BP360" s="64">
        <f>IFERROR(1/J360*(Y360/H360),"0")</f>
        <v>0.15625</v>
      </c>
    </row>
    <row r="361" spans="1:68" x14ac:dyDescent="0.2">
      <c r="A361" s="567"/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68"/>
      <c r="P361" s="552" t="s">
        <v>71</v>
      </c>
      <c r="Q361" s="553"/>
      <c r="R361" s="553"/>
      <c r="S361" s="553"/>
      <c r="T361" s="553"/>
      <c r="U361" s="553"/>
      <c r="V361" s="554"/>
      <c r="W361" s="37" t="s">
        <v>72</v>
      </c>
      <c r="X361" s="545">
        <f>IFERROR(X359/H359,"0")+IFERROR(X360/H360,"0")</f>
        <v>10</v>
      </c>
      <c r="Y361" s="545">
        <f>IFERROR(Y359/H359,"0")+IFERROR(Y360/H360,"0")</f>
        <v>10</v>
      </c>
      <c r="Z361" s="545">
        <f>IFERROR(IF(Z359="",0,Z359),"0")+IFERROR(IF(Z360="",0,Z360),"0")</f>
        <v>0.1898</v>
      </c>
      <c r="AA361" s="546"/>
      <c r="AB361" s="546"/>
      <c r="AC361" s="546"/>
    </row>
    <row r="362" spans="1:68" x14ac:dyDescent="0.2">
      <c r="A362" s="550"/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68"/>
      <c r="P362" s="552" t="s">
        <v>71</v>
      </c>
      <c r="Q362" s="553"/>
      <c r="R362" s="553"/>
      <c r="S362" s="553"/>
      <c r="T362" s="553"/>
      <c r="U362" s="553"/>
      <c r="V362" s="554"/>
      <c r="W362" s="37" t="s">
        <v>69</v>
      </c>
      <c r="X362" s="545">
        <f>IFERROR(SUM(X359:X360),"0")</f>
        <v>90</v>
      </c>
      <c r="Y362" s="545">
        <f>IFERROR(SUM(Y359:Y360),"0")</f>
        <v>90</v>
      </c>
      <c r="Z362" s="37"/>
      <c r="AA362" s="546"/>
      <c r="AB362" s="546"/>
      <c r="AC362" s="546"/>
    </row>
    <row r="363" spans="1:68" ht="14.25" hidden="1" customHeight="1" x14ac:dyDescent="0.25">
      <c r="A363" s="549" t="s">
        <v>166</v>
      </c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  <c r="Z363" s="550"/>
      <c r="AA363" s="539"/>
      <c r="AB363" s="539"/>
      <c r="AC363" s="539"/>
    </row>
    <row r="364" spans="1:68" ht="16.5" hidden="1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6"/>
      <c r="R364" s="556"/>
      <c r="S364" s="556"/>
      <c r="T364" s="557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7"/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68"/>
      <c r="P365" s="552" t="s">
        <v>71</v>
      </c>
      <c r="Q365" s="553"/>
      <c r="R365" s="553"/>
      <c r="S365" s="553"/>
      <c r="T365" s="553"/>
      <c r="U365" s="553"/>
      <c r="V365" s="55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0"/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68"/>
      <c r="P366" s="552" t="s">
        <v>71</v>
      </c>
      <c r="Q366" s="553"/>
      <c r="R366" s="553"/>
      <c r="S366" s="553"/>
      <c r="T366" s="553"/>
      <c r="U366" s="553"/>
      <c r="V366" s="55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1" t="s">
        <v>573</v>
      </c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  <c r="Z367" s="550"/>
      <c r="AA367" s="538"/>
      <c r="AB367" s="538"/>
      <c r="AC367" s="538"/>
    </row>
    <row r="368" spans="1:68" ht="14.25" hidden="1" customHeight="1" x14ac:dyDescent="0.25">
      <c r="A368" s="549" t="s">
        <v>101</v>
      </c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  <c r="Z368" s="550"/>
      <c r="AA368" s="539"/>
      <c r="AB368" s="539"/>
      <c r="AC368" s="539"/>
    </row>
    <row r="369" spans="1:68" ht="37.5" hidden="1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6"/>
      <c r="R369" s="556"/>
      <c r="S369" s="556"/>
      <c r="T369" s="557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7"/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68"/>
      <c r="P371" s="552" t="s">
        <v>71</v>
      </c>
      <c r="Q371" s="553"/>
      <c r="R371" s="553"/>
      <c r="S371" s="553"/>
      <c r="T371" s="553"/>
      <c r="U371" s="553"/>
      <c r="V371" s="55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0"/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68"/>
      <c r="P372" s="552" t="s">
        <v>71</v>
      </c>
      <c r="Q372" s="553"/>
      <c r="R372" s="553"/>
      <c r="S372" s="553"/>
      <c r="T372" s="553"/>
      <c r="U372" s="553"/>
      <c r="V372" s="55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49" t="s">
        <v>64</v>
      </c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  <c r="Z373" s="550"/>
      <c r="AA373" s="539"/>
      <c r="AB373" s="539"/>
      <c r="AC373" s="539"/>
    </row>
    <row r="374" spans="1:68" ht="27" hidden="1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6"/>
      <c r="R374" s="556"/>
      <c r="S374" s="556"/>
      <c r="T374" s="557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7"/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68"/>
      <c r="P376" s="552" t="s">
        <v>71</v>
      </c>
      <c r="Q376" s="553"/>
      <c r="R376" s="553"/>
      <c r="S376" s="553"/>
      <c r="T376" s="553"/>
      <c r="U376" s="553"/>
      <c r="V376" s="55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0"/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68"/>
      <c r="P377" s="552" t="s">
        <v>71</v>
      </c>
      <c r="Q377" s="553"/>
      <c r="R377" s="553"/>
      <c r="S377" s="553"/>
      <c r="T377" s="553"/>
      <c r="U377" s="553"/>
      <c r="V377" s="55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49" t="s">
        <v>73</v>
      </c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  <c r="Z378" s="550"/>
      <c r="AA378" s="539"/>
      <c r="AB378" s="539"/>
      <c r="AC378" s="539"/>
    </row>
    <row r="379" spans="1:68" ht="27" hidden="1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6"/>
      <c r="R379" s="556"/>
      <c r="S379" s="556"/>
      <c r="T379" s="557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2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6"/>
      <c r="R380" s="556"/>
      <c r="S380" s="556"/>
      <c r="T380" s="557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7"/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68"/>
      <c r="P381" s="552" t="s">
        <v>71</v>
      </c>
      <c r="Q381" s="553"/>
      <c r="R381" s="553"/>
      <c r="S381" s="553"/>
      <c r="T381" s="553"/>
      <c r="U381" s="553"/>
      <c r="V381" s="554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0"/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68"/>
      <c r="P382" s="552" t="s">
        <v>71</v>
      </c>
      <c r="Q382" s="553"/>
      <c r="R382" s="553"/>
      <c r="S382" s="553"/>
      <c r="T382" s="553"/>
      <c r="U382" s="553"/>
      <c r="V382" s="554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63" t="s">
        <v>589</v>
      </c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  <c r="AA383" s="48"/>
      <c r="AB383" s="48"/>
      <c r="AC383" s="48"/>
    </row>
    <row r="384" spans="1:68" ht="16.5" hidden="1" customHeight="1" x14ac:dyDescent="0.25">
      <c r="A384" s="551" t="s">
        <v>590</v>
      </c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  <c r="Z384" s="550"/>
      <c r="AA384" s="538"/>
      <c r="AB384" s="538"/>
      <c r="AC384" s="538"/>
    </row>
    <row r="385" spans="1:68" ht="14.25" hidden="1" customHeight="1" x14ac:dyDescent="0.25">
      <c r="A385" s="549" t="s">
        <v>64</v>
      </c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  <c r="Z385" s="550"/>
      <c r="AA385" s="539"/>
      <c r="AB385" s="539"/>
      <c r="AC385" s="539"/>
    </row>
    <row r="386" spans="1:68" ht="27" hidden="1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6"/>
      <c r="R386" s="556"/>
      <c r="S386" s="556"/>
      <c r="T386" s="557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6"/>
      <c r="R387" s="556"/>
      <c r="S387" s="556"/>
      <c r="T387" s="557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6"/>
      <c r="R388" s="556"/>
      <c r="S388" s="556"/>
      <c r="T388" s="557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6"/>
      <c r="R389" s="556"/>
      <c r="S389" s="556"/>
      <c r="T389" s="557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6"/>
      <c r="R390" s="556"/>
      <c r="S390" s="556"/>
      <c r="T390" s="557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6"/>
      <c r="R391" s="556"/>
      <c r="S391" s="556"/>
      <c r="T391" s="557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6"/>
      <c r="R392" s="556"/>
      <c r="S392" s="556"/>
      <c r="T392" s="557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80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6"/>
      <c r="R393" s="556"/>
      <c r="S393" s="556"/>
      <c r="T393" s="557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6"/>
      <c r="R394" s="556"/>
      <c r="S394" s="556"/>
      <c r="T394" s="557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67"/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68"/>
      <c r="P395" s="552" t="s">
        <v>71</v>
      </c>
      <c r="Q395" s="553"/>
      <c r="R395" s="553"/>
      <c r="S395" s="553"/>
      <c r="T395" s="553"/>
      <c r="U395" s="553"/>
      <c r="V395" s="55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0"/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68"/>
      <c r="P396" s="552" t="s">
        <v>71</v>
      </c>
      <c r="Q396" s="553"/>
      <c r="R396" s="553"/>
      <c r="S396" s="553"/>
      <c r="T396" s="553"/>
      <c r="U396" s="553"/>
      <c r="V396" s="55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49" t="s">
        <v>73</v>
      </c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  <c r="Z397" s="550"/>
      <c r="AA397" s="539"/>
      <c r="AB397" s="539"/>
      <c r="AC397" s="539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6"/>
      <c r="R399" s="556"/>
      <c r="S399" s="556"/>
      <c r="T399" s="557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67"/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68"/>
      <c r="P400" s="552" t="s">
        <v>71</v>
      </c>
      <c r="Q400" s="553"/>
      <c r="R400" s="553"/>
      <c r="S400" s="553"/>
      <c r="T400" s="553"/>
      <c r="U400" s="553"/>
      <c r="V400" s="55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0"/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68"/>
      <c r="P401" s="552" t="s">
        <v>71</v>
      </c>
      <c r="Q401" s="553"/>
      <c r="R401" s="553"/>
      <c r="S401" s="553"/>
      <c r="T401" s="553"/>
      <c r="U401" s="553"/>
      <c r="V401" s="55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1" t="s">
        <v>621</v>
      </c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  <c r="Z402" s="550"/>
      <c r="AA402" s="538"/>
      <c r="AB402" s="538"/>
      <c r="AC402" s="538"/>
    </row>
    <row r="403" spans="1:68" ht="14.25" hidden="1" customHeight="1" x14ac:dyDescent="0.25">
      <c r="A403" s="549" t="s">
        <v>136</v>
      </c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  <c r="Z403" s="550"/>
      <c r="AA403" s="539"/>
      <c r="AB403" s="539"/>
      <c r="AC403" s="539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6"/>
      <c r="R404" s="556"/>
      <c r="S404" s="556"/>
      <c r="T404" s="557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7"/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68"/>
      <c r="P405" s="552" t="s">
        <v>71</v>
      </c>
      <c r="Q405" s="553"/>
      <c r="R405" s="553"/>
      <c r="S405" s="553"/>
      <c r="T405" s="553"/>
      <c r="U405" s="553"/>
      <c r="V405" s="55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0"/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68"/>
      <c r="P406" s="552" t="s">
        <v>71</v>
      </c>
      <c r="Q406" s="553"/>
      <c r="R406" s="553"/>
      <c r="S406" s="553"/>
      <c r="T406" s="553"/>
      <c r="U406" s="553"/>
      <c r="V406" s="55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49" t="s">
        <v>64</v>
      </c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  <c r="Z407" s="550"/>
      <c r="AA407" s="539"/>
      <c r="AB407" s="539"/>
      <c r="AC407" s="539"/>
    </row>
    <row r="408" spans="1:68" ht="27" hidden="1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6"/>
      <c r="R408" s="556"/>
      <c r="S408" s="556"/>
      <c r="T408" s="557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6"/>
      <c r="R409" s="556"/>
      <c r="S409" s="556"/>
      <c r="T409" s="557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6"/>
      <c r="R410" s="556"/>
      <c r="S410" s="556"/>
      <c r="T410" s="557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6"/>
      <c r="R411" s="556"/>
      <c r="S411" s="556"/>
      <c r="T411" s="557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7"/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68"/>
      <c r="P412" s="552" t="s">
        <v>71</v>
      </c>
      <c r="Q412" s="553"/>
      <c r="R412" s="553"/>
      <c r="S412" s="553"/>
      <c r="T412" s="553"/>
      <c r="U412" s="553"/>
      <c r="V412" s="55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0"/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68"/>
      <c r="P413" s="552" t="s">
        <v>71</v>
      </c>
      <c r="Q413" s="553"/>
      <c r="R413" s="553"/>
      <c r="S413" s="553"/>
      <c r="T413" s="553"/>
      <c r="U413" s="553"/>
      <c r="V413" s="55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1" t="s">
        <v>636</v>
      </c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  <c r="Z414" s="550"/>
      <c r="AA414" s="538"/>
      <c r="AB414" s="538"/>
      <c r="AC414" s="538"/>
    </row>
    <row r="415" spans="1:68" ht="14.25" hidden="1" customHeight="1" x14ac:dyDescent="0.25">
      <c r="A415" s="549" t="s">
        <v>64</v>
      </c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  <c r="Z415" s="550"/>
      <c r="AA415" s="539"/>
      <c r="AB415" s="539"/>
      <c r="AC415" s="539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7"/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68"/>
      <c r="P417" s="552" t="s">
        <v>71</v>
      </c>
      <c r="Q417" s="553"/>
      <c r="R417" s="553"/>
      <c r="S417" s="553"/>
      <c r="T417" s="553"/>
      <c r="U417" s="553"/>
      <c r="V417" s="55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0"/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68"/>
      <c r="P418" s="552" t="s">
        <v>71</v>
      </c>
      <c r="Q418" s="553"/>
      <c r="R418" s="553"/>
      <c r="S418" s="553"/>
      <c r="T418" s="553"/>
      <c r="U418" s="553"/>
      <c r="V418" s="55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3" t="s">
        <v>640</v>
      </c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48"/>
      <c r="AB419" s="48"/>
      <c r="AC419" s="48"/>
    </row>
    <row r="420" spans="1:68" ht="16.5" hidden="1" customHeight="1" x14ac:dyDescent="0.25">
      <c r="A420" s="551" t="s">
        <v>640</v>
      </c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  <c r="Z420" s="550"/>
      <c r="AA420" s="538"/>
      <c r="AB420" s="538"/>
      <c r="AC420" s="538"/>
    </row>
    <row r="421" spans="1:68" ht="14.25" hidden="1" customHeight="1" x14ac:dyDescent="0.25">
      <c r="A421" s="549" t="s">
        <v>101</v>
      </c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  <c r="Z421" s="550"/>
      <c r="AA421" s="539"/>
      <c r="AB421" s="539"/>
      <c r="AC421" s="539"/>
    </row>
    <row r="422" spans="1:68" ht="27" hidden="1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6"/>
      <c r="R422" s="556"/>
      <c r="S422" s="556"/>
      <c r="T422" s="557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6"/>
      <c r="R423" s="556"/>
      <c r="S423" s="556"/>
      <c r="T423" s="557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6"/>
      <c r="R424" s="556"/>
      <c r="S424" s="556"/>
      <c r="T424" s="557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6"/>
      <c r="R425" s="556"/>
      <c r="S425" s="556"/>
      <c r="T425" s="557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6"/>
      <c r="R426" s="556"/>
      <c r="S426" s="556"/>
      <c r="T426" s="557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6"/>
      <c r="R427" s="556"/>
      <c r="S427" s="556"/>
      <c r="T427" s="557"/>
      <c r="U427" s="34"/>
      <c r="V427" s="34"/>
      <c r="W427" s="35" t="s">
        <v>69</v>
      </c>
      <c r="X427" s="543">
        <v>550</v>
      </c>
      <c r="Y427" s="544">
        <f t="shared" si="47"/>
        <v>554.4</v>
      </c>
      <c r="Z427" s="36">
        <f t="shared" si="48"/>
        <v>1.2558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587.5</v>
      </c>
      <c r="BN427" s="64">
        <f t="shared" si="50"/>
        <v>592.19999999999993</v>
      </c>
      <c r="BO427" s="64">
        <f t="shared" si="51"/>
        <v>1.0016025641025641</v>
      </c>
      <c r="BP427" s="64">
        <f t="shared" si="52"/>
        <v>1.0096153846153846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6"/>
      <c r="R428" s="556"/>
      <c r="S428" s="556"/>
      <c r="T428" s="557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6"/>
      <c r="R429" s="556"/>
      <c r="S429" s="556"/>
      <c r="T429" s="557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6"/>
      <c r="R430" s="556"/>
      <c r="S430" s="556"/>
      <c r="T430" s="557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6"/>
      <c r="R431" s="556"/>
      <c r="S431" s="556"/>
      <c r="T431" s="557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67"/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68"/>
      <c r="P433" s="552" t="s">
        <v>71</v>
      </c>
      <c r="Q433" s="553"/>
      <c r="R433" s="553"/>
      <c r="S433" s="553"/>
      <c r="T433" s="553"/>
      <c r="U433" s="553"/>
      <c r="V433" s="55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104.16666666666666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104.99999999999999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1.2558</v>
      </c>
      <c r="AA433" s="546"/>
      <c r="AB433" s="546"/>
      <c r="AC433" s="546"/>
    </row>
    <row r="434" spans="1:68" x14ac:dyDescent="0.2">
      <c r="A434" s="550"/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68"/>
      <c r="P434" s="552" t="s">
        <v>71</v>
      </c>
      <c r="Q434" s="553"/>
      <c r="R434" s="553"/>
      <c r="S434" s="553"/>
      <c r="T434" s="553"/>
      <c r="U434" s="553"/>
      <c r="V434" s="554"/>
      <c r="W434" s="37" t="s">
        <v>69</v>
      </c>
      <c r="X434" s="545">
        <f>IFERROR(SUM(X422:X432),"0")</f>
        <v>550</v>
      </c>
      <c r="Y434" s="545">
        <f>IFERROR(SUM(Y422:Y432),"0")</f>
        <v>554.4</v>
      </c>
      <c r="Z434" s="37"/>
      <c r="AA434" s="546"/>
      <c r="AB434" s="546"/>
      <c r="AC434" s="546"/>
    </row>
    <row r="435" spans="1:68" ht="14.25" hidden="1" customHeight="1" x14ac:dyDescent="0.25">
      <c r="A435" s="549" t="s">
        <v>136</v>
      </c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  <c r="Z435" s="550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6"/>
      <c r="R436" s="556"/>
      <c r="S436" s="556"/>
      <c r="T436" s="557"/>
      <c r="U436" s="34"/>
      <c r="V436" s="34"/>
      <c r="W436" s="35" t="s">
        <v>69</v>
      </c>
      <c r="X436" s="543">
        <v>550</v>
      </c>
      <c r="Y436" s="544">
        <f>IFERROR(IF(X436="",0,CEILING((X436/$H436),1)*$H436),"")</f>
        <v>554.4</v>
      </c>
      <c r="Z436" s="36">
        <f>IFERROR(IF(Y436=0,"",ROUNDUP(Y436/H436,0)*0.01196),"")</f>
        <v>1.2558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587.5</v>
      </c>
      <c r="BN436" s="64">
        <f>IFERROR(Y436*I436/H436,"0")</f>
        <v>592.19999999999993</v>
      </c>
      <c r="BO436" s="64">
        <f>IFERROR(1/J436*(X436/H436),"0")</f>
        <v>1.0016025641025641</v>
      </c>
      <c r="BP436" s="64">
        <f>IFERROR(1/J436*(Y436/H436),"0")</f>
        <v>1.0096153846153846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6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6"/>
      <c r="R437" s="556"/>
      <c r="S437" s="556"/>
      <c r="T437" s="557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7"/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68"/>
      <c r="P439" s="552" t="s">
        <v>71</v>
      </c>
      <c r="Q439" s="553"/>
      <c r="R439" s="553"/>
      <c r="S439" s="553"/>
      <c r="T439" s="553"/>
      <c r="U439" s="553"/>
      <c r="V439" s="554"/>
      <c r="W439" s="37" t="s">
        <v>72</v>
      </c>
      <c r="X439" s="545">
        <f>IFERROR(X436/H436,"0")+IFERROR(X437/H437,"0")+IFERROR(X438/H438,"0")</f>
        <v>104.16666666666666</v>
      </c>
      <c r="Y439" s="545">
        <f>IFERROR(Y436/H436,"0")+IFERROR(Y437/H437,"0")+IFERROR(Y438/H438,"0")</f>
        <v>104.99999999999999</v>
      </c>
      <c r="Z439" s="545">
        <f>IFERROR(IF(Z436="",0,Z436),"0")+IFERROR(IF(Z437="",0,Z437),"0")+IFERROR(IF(Z438="",0,Z438),"0")</f>
        <v>1.2558</v>
      </c>
      <c r="AA439" s="546"/>
      <c r="AB439" s="546"/>
      <c r="AC439" s="546"/>
    </row>
    <row r="440" spans="1:68" x14ac:dyDescent="0.2">
      <c r="A440" s="550"/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68"/>
      <c r="P440" s="552" t="s">
        <v>71</v>
      </c>
      <c r="Q440" s="553"/>
      <c r="R440" s="553"/>
      <c r="S440" s="553"/>
      <c r="T440" s="553"/>
      <c r="U440" s="553"/>
      <c r="V440" s="554"/>
      <c r="W440" s="37" t="s">
        <v>69</v>
      </c>
      <c r="X440" s="545">
        <f>IFERROR(SUM(X436:X438),"0")</f>
        <v>550</v>
      </c>
      <c r="Y440" s="545">
        <f>IFERROR(SUM(Y436:Y438),"0")</f>
        <v>554.4</v>
      </c>
      <c r="Z440" s="37"/>
      <c r="AA440" s="546"/>
      <c r="AB440" s="546"/>
      <c r="AC440" s="546"/>
    </row>
    <row r="441" spans="1:68" ht="14.25" hidden="1" customHeight="1" x14ac:dyDescent="0.25">
      <c r="A441" s="549" t="s">
        <v>64</v>
      </c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  <c r="Z441" s="550"/>
      <c r="AA441" s="539"/>
      <c r="AB441" s="539"/>
      <c r="AC441" s="539"/>
    </row>
    <row r="442" spans="1:68" ht="27" hidden="1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6"/>
      <c r="R442" s="556"/>
      <c r="S442" s="556"/>
      <c r="T442" s="557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6"/>
      <c r="R443" s="556"/>
      <c r="S443" s="556"/>
      <c r="T443" s="557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6"/>
      <c r="R444" s="556"/>
      <c r="S444" s="556"/>
      <c r="T444" s="557"/>
      <c r="U444" s="34"/>
      <c r="V444" s="34"/>
      <c r="W444" s="35" t="s">
        <v>69</v>
      </c>
      <c r="X444" s="543">
        <v>150</v>
      </c>
      <c r="Y444" s="544">
        <f t="shared" si="53"/>
        <v>153.12</v>
      </c>
      <c r="Z444" s="36">
        <f>IFERROR(IF(Y444=0,"",ROUNDUP(Y444/H444,0)*0.01196),"")</f>
        <v>0.34683999999999998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160.22727272727272</v>
      </c>
      <c r="BN444" s="64">
        <f t="shared" si="55"/>
        <v>163.56</v>
      </c>
      <c r="BO444" s="64">
        <f t="shared" si="56"/>
        <v>0.27316433566433568</v>
      </c>
      <c r="BP444" s="64">
        <f t="shared" si="57"/>
        <v>0.27884615384615385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59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6"/>
      <c r="R445" s="556"/>
      <c r="S445" s="556"/>
      <c r="T445" s="557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6"/>
      <c r="R446" s="556"/>
      <c r="S446" s="556"/>
      <c r="T446" s="557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6"/>
      <c r="R447" s="556"/>
      <c r="S447" s="556"/>
      <c r="T447" s="557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67"/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68"/>
      <c r="P448" s="552" t="s">
        <v>71</v>
      </c>
      <c r="Q448" s="553"/>
      <c r="R448" s="553"/>
      <c r="S448" s="553"/>
      <c r="T448" s="553"/>
      <c r="U448" s="553"/>
      <c r="V448" s="554"/>
      <c r="W448" s="37" t="s">
        <v>72</v>
      </c>
      <c r="X448" s="545">
        <f>IFERROR(X442/H442,"0")+IFERROR(X443/H443,"0")+IFERROR(X444/H444,"0")+IFERROR(X445/H445,"0")+IFERROR(X446/H446,"0")+IFERROR(X447/H447,"0")</f>
        <v>28.409090909090907</v>
      </c>
      <c r="Y448" s="545">
        <f>IFERROR(Y442/H442,"0")+IFERROR(Y443/H443,"0")+IFERROR(Y444/H444,"0")+IFERROR(Y445/H445,"0")+IFERROR(Y446/H446,"0")+IFERROR(Y447/H447,"0")</f>
        <v>29</v>
      </c>
      <c r="Z448" s="545">
        <f>IFERROR(IF(Z442="",0,Z442),"0")+IFERROR(IF(Z443="",0,Z443),"0")+IFERROR(IF(Z444="",0,Z444),"0")+IFERROR(IF(Z445="",0,Z445),"0")+IFERROR(IF(Z446="",0,Z446),"0")+IFERROR(IF(Z447="",0,Z447),"0")</f>
        <v>0.34683999999999998</v>
      </c>
      <c r="AA448" s="546"/>
      <c r="AB448" s="546"/>
      <c r="AC448" s="546"/>
    </row>
    <row r="449" spans="1:68" x14ac:dyDescent="0.2">
      <c r="A449" s="550"/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68"/>
      <c r="P449" s="552" t="s">
        <v>71</v>
      </c>
      <c r="Q449" s="553"/>
      <c r="R449" s="553"/>
      <c r="S449" s="553"/>
      <c r="T449" s="553"/>
      <c r="U449" s="553"/>
      <c r="V449" s="554"/>
      <c r="W449" s="37" t="s">
        <v>69</v>
      </c>
      <c r="X449" s="545">
        <f>IFERROR(SUM(X442:X447),"0")</f>
        <v>150</v>
      </c>
      <c r="Y449" s="545">
        <f>IFERROR(SUM(Y442:Y447),"0")</f>
        <v>153.12</v>
      </c>
      <c r="Z449" s="37"/>
      <c r="AA449" s="546"/>
      <c r="AB449" s="546"/>
      <c r="AC449" s="546"/>
    </row>
    <row r="450" spans="1:68" ht="14.25" hidden="1" customHeight="1" x14ac:dyDescent="0.25">
      <c r="A450" s="549" t="s">
        <v>73</v>
      </c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  <c r="Z450" s="550"/>
      <c r="AA450" s="539"/>
      <c r="AB450" s="539"/>
      <c r="AC450" s="539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67"/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68"/>
      <c r="P454" s="552" t="s">
        <v>71</v>
      </c>
      <c r="Q454" s="553"/>
      <c r="R454" s="553"/>
      <c r="S454" s="553"/>
      <c r="T454" s="553"/>
      <c r="U454" s="553"/>
      <c r="V454" s="55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0"/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68"/>
      <c r="P455" s="552" t="s">
        <v>71</v>
      </c>
      <c r="Q455" s="553"/>
      <c r="R455" s="553"/>
      <c r="S455" s="553"/>
      <c r="T455" s="553"/>
      <c r="U455" s="553"/>
      <c r="V455" s="55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3" t="s">
        <v>700</v>
      </c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48"/>
      <c r="AB456" s="48"/>
      <c r="AC456" s="48"/>
    </row>
    <row r="457" spans="1:68" ht="16.5" hidden="1" customHeight="1" x14ac:dyDescent="0.25">
      <c r="A457" s="551" t="s">
        <v>700</v>
      </c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  <c r="Z457" s="550"/>
      <c r="AA457" s="538"/>
      <c r="AB457" s="538"/>
      <c r="AC457" s="538"/>
    </row>
    <row r="458" spans="1:68" ht="14.25" hidden="1" customHeight="1" x14ac:dyDescent="0.25">
      <c r="A458" s="549" t="s">
        <v>101</v>
      </c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  <c r="Z458" s="550"/>
      <c r="AA458" s="539"/>
      <c r="AB458" s="539"/>
      <c r="AC458" s="539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6"/>
      <c r="R459" s="556"/>
      <c r="S459" s="556"/>
      <c r="T459" s="557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6"/>
      <c r="R460" s="556"/>
      <c r="S460" s="556"/>
      <c r="T460" s="557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6"/>
      <c r="R461" s="556"/>
      <c r="S461" s="556"/>
      <c r="T461" s="557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6"/>
      <c r="R462" s="556"/>
      <c r="S462" s="556"/>
      <c r="T462" s="557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7"/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68"/>
      <c r="P463" s="552" t="s">
        <v>71</v>
      </c>
      <c r="Q463" s="553"/>
      <c r="R463" s="553"/>
      <c r="S463" s="553"/>
      <c r="T463" s="553"/>
      <c r="U463" s="553"/>
      <c r="V463" s="55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0"/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68"/>
      <c r="P464" s="552" t="s">
        <v>71</v>
      </c>
      <c r="Q464" s="553"/>
      <c r="R464" s="553"/>
      <c r="S464" s="553"/>
      <c r="T464" s="553"/>
      <c r="U464" s="553"/>
      <c r="V464" s="55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49" t="s">
        <v>136</v>
      </c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  <c r="Z465" s="550"/>
      <c r="AA465" s="539"/>
      <c r="AB465" s="539"/>
      <c r="AC465" s="539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6"/>
      <c r="R466" s="556"/>
      <c r="S466" s="556"/>
      <c r="T466" s="557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6"/>
      <c r="R467" s="556"/>
      <c r="S467" s="556"/>
      <c r="T467" s="557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5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7"/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68"/>
      <c r="P469" s="552" t="s">
        <v>71</v>
      </c>
      <c r="Q469" s="553"/>
      <c r="R469" s="553"/>
      <c r="S469" s="553"/>
      <c r="T469" s="553"/>
      <c r="U469" s="553"/>
      <c r="V469" s="55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0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68"/>
      <c r="P470" s="552" t="s">
        <v>71</v>
      </c>
      <c r="Q470" s="553"/>
      <c r="R470" s="553"/>
      <c r="S470" s="553"/>
      <c r="T470" s="553"/>
      <c r="U470" s="553"/>
      <c r="V470" s="55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49" t="s">
        <v>64</v>
      </c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  <c r="Z471" s="550"/>
      <c r="AA471" s="539"/>
      <c r="AB471" s="539"/>
      <c r="AC471" s="539"/>
    </row>
    <row r="472" spans="1:68" ht="27" hidden="1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6"/>
      <c r="R472" s="556"/>
      <c r="S472" s="556"/>
      <c r="T472" s="557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59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6"/>
      <c r="R473" s="556"/>
      <c r="S473" s="556"/>
      <c r="T473" s="557"/>
      <c r="U473" s="34"/>
      <c r="V473" s="34"/>
      <c r="W473" s="35" t="s">
        <v>69</v>
      </c>
      <c r="X473" s="543">
        <v>1300</v>
      </c>
      <c r="Y473" s="544">
        <f>IFERROR(IF(X473="",0,CEILING((X473/$H473),1)*$H473),"")</f>
        <v>1302</v>
      </c>
      <c r="Z473" s="36">
        <f>IFERROR(IF(Y473=0,"",ROUNDUP(Y473/H473,0)*0.00902),"")</f>
        <v>2.7962000000000002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1383.5714285714284</v>
      </c>
      <c r="BN473" s="64">
        <f>IFERROR(Y473*I473/H473,"0")</f>
        <v>1385.6999999999998</v>
      </c>
      <c r="BO473" s="64">
        <f>IFERROR(1/J473*(X473/H473),"0")</f>
        <v>2.3448773448773448</v>
      </c>
      <c r="BP473" s="64">
        <f>IFERROR(1/J473*(Y473/H473),"0")</f>
        <v>2.3484848484848486</v>
      </c>
    </row>
    <row r="474" spans="1:68" x14ac:dyDescent="0.2">
      <c r="A474" s="567"/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68"/>
      <c r="P474" s="552" t="s">
        <v>71</v>
      </c>
      <c r="Q474" s="553"/>
      <c r="R474" s="553"/>
      <c r="S474" s="553"/>
      <c r="T474" s="553"/>
      <c r="U474" s="553"/>
      <c r="V474" s="554"/>
      <c r="W474" s="37" t="s">
        <v>72</v>
      </c>
      <c r="X474" s="545">
        <f>IFERROR(X472/H472,"0")+IFERROR(X473/H473,"0")</f>
        <v>309.52380952380952</v>
      </c>
      <c r="Y474" s="545">
        <f>IFERROR(Y472/H472,"0")+IFERROR(Y473/H473,"0")</f>
        <v>310</v>
      </c>
      <c r="Z474" s="545">
        <f>IFERROR(IF(Z472="",0,Z472),"0")+IFERROR(IF(Z473="",0,Z473),"0")</f>
        <v>2.7962000000000002</v>
      </c>
      <c r="AA474" s="546"/>
      <c r="AB474" s="546"/>
      <c r="AC474" s="546"/>
    </row>
    <row r="475" spans="1:68" x14ac:dyDescent="0.2">
      <c r="A475" s="550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68"/>
      <c r="P475" s="552" t="s">
        <v>71</v>
      </c>
      <c r="Q475" s="553"/>
      <c r="R475" s="553"/>
      <c r="S475" s="553"/>
      <c r="T475" s="553"/>
      <c r="U475" s="553"/>
      <c r="V475" s="554"/>
      <c r="W475" s="37" t="s">
        <v>69</v>
      </c>
      <c r="X475" s="545">
        <f>IFERROR(SUM(X472:X473),"0")</f>
        <v>1300</v>
      </c>
      <c r="Y475" s="545">
        <f>IFERROR(SUM(Y472:Y473),"0")</f>
        <v>1302</v>
      </c>
      <c r="Z475" s="37"/>
      <c r="AA475" s="546"/>
      <c r="AB475" s="546"/>
      <c r="AC475" s="546"/>
    </row>
    <row r="476" spans="1:68" ht="14.25" hidden="1" customHeight="1" x14ac:dyDescent="0.25">
      <c r="A476" s="549" t="s">
        <v>73</v>
      </c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  <c r="Z476" s="550"/>
      <c r="AA476" s="539"/>
      <c r="AB476" s="539"/>
      <c r="AC476" s="539"/>
    </row>
    <row r="477" spans="1:68" ht="27" hidden="1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7"/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68"/>
      <c r="P478" s="552" t="s">
        <v>71</v>
      </c>
      <c r="Q478" s="553"/>
      <c r="R478" s="553"/>
      <c r="S478" s="553"/>
      <c r="T478" s="553"/>
      <c r="U478" s="553"/>
      <c r="V478" s="55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0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68"/>
      <c r="P479" s="552" t="s">
        <v>71</v>
      </c>
      <c r="Q479" s="553"/>
      <c r="R479" s="553"/>
      <c r="S479" s="553"/>
      <c r="T479" s="553"/>
      <c r="U479" s="553"/>
      <c r="V479" s="55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49" t="s">
        <v>166</v>
      </c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  <c r="Z480" s="550"/>
      <c r="AA480" s="539"/>
      <c r="AB480" s="539"/>
      <c r="AC480" s="539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2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6"/>
      <c r="R482" s="556"/>
      <c r="S482" s="556"/>
      <c r="T482" s="557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7"/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68"/>
      <c r="P483" s="552" t="s">
        <v>71</v>
      </c>
      <c r="Q483" s="553"/>
      <c r="R483" s="553"/>
      <c r="S483" s="553"/>
      <c r="T483" s="553"/>
      <c r="U483" s="553"/>
      <c r="V483" s="55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0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68"/>
      <c r="P484" s="552" t="s">
        <v>71</v>
      </c>
      <c r="Q484" s="553"/>
      <c r="R484" s="553"/>
      <c r="S484" s="553"/>
      <c r="T484" s="553"/>
      <c r="U484" s="553"/>
      <c r="V484" s="55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1" t="s">
        <v>736</v>
      </c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  <c r="Z485" s="550"/>
      <c r="AA485" s="538"/>
      <c r="AB485" s="538"/>
      <c r="AC485" s="538"/>
    </row>
    <row r="486" spans="1:68" ht="14.25" hidden="1" customHeight="1" x14ac:dyDescent="0.25">
      <c r="A486" s="549" t="s">
        <v>136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39"/>
      <c r="AB486" s="539"/>
      <c r="AC486" s="539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6"/>
      <c r="R487" s="556"/>
      <c r="S487" s="556"/>
      <c r="T487" s="557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7"/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68"/>
      <c r="P488" s="552" t="s">
        <v>71</v>
      </c>
      <c r="Q488" s="553"/>
      <c r="R488" s="553"/>
      <c r="S488" s="553"/>
      <c r="T488" s="553"/>
      <c r="U488" s="553"/>
      <c r="V488" s="55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0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68"/>
      <c r="P489" s="552" t="s">
        <v>71</v>
      </c>
      <c r="Q489" s="553"/>
      <c r="R489" s="553"/>
      <c r="S489" s="553"/>
      <c r="T489" s="553"/>
      <c r="U489" s="553"/>
      <c r="V489" s="55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9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707"/>
      <c r="P490" s="650" t="s">
        <v>740</v>
      </c>
      <c r="Q490" s="651"/>
      <c r="R490" s="651"/>
      <c r="S490" s="651"/>
      <c r="T490" s="651"/>
      <c r="U490" s="651"/>
      <c r="V490" s="652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17878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17962.419999999998</v>
      </c>
      <c r="Z490" s="37"/>
      <c r="AA490" s="546"/>
      <c r="AB490" s="546"/>
      <c r="AC490" s="546"/>
    </row>
    <row r="491" spans="1:68" x14ac:dyDescent="0.2">
      <c r="A491" s="55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707"/>
      <c r="P491" s="650" t="s">
        <v>741</v>
      </c>
      <c r="Q491" s="651"/>
      <c r="R491" s="651"/>
      <c r="S491" s="651"/>
      <c r="T491" s="651"/>
      <c r="U491" s="651"/>
      <c r="V491" s="652"/>
      <c r="W491" s="37" t="s">
        <v>69</v>
      </c>
      <c r="X491" s="545">
        <f>IFERROR(SUM(BM22:BM487),"0")</f>
        <v>18782.278003293002</v>
      </c>
      <c r="Y491" s="545">
        <f>IFERROR(SUM(BN22:BN487),"0")</f>
        <v>18871.062000000009</v>
      </c>
      <c r="Z491" s="37"/>
      <c r="AA491" s="546"/>
      <c r="AB491" s="546"/>
      <c r="AC491" s="546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707"/>
      <c r="P492" s="650" t="s">
        <v>742</v>
      </c>
      <c r="Q492" s="651"/>
      <c r="R492" s="651"/>
      <c r="S492" s="651"/>
      <c r="T492" s="651"/>
      <c r="U492" s="651"/>
      <c r="V492" s="652"/>
      <c r="W492" s="37" t="s">
        <v>743</v>
      </c>
      <c r="X492" s="38">
        <f>ROUNDUP(SUM(BO22:BO487),0)</f>
        <v>30</v>
      </c>
      <c r="Y492" s="38">
        <f>ROUNDUP(SUM(BP22:BP487),0)</f>
        <v>31</v>
      </c>
      <c r="Z492" s="37"/>
      <c r="AA492" s="546"/>
      <c r="AB492" s="546"/>
      <c r="AC492" s="546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707"/>
      <c r="P493" s="650" t="s">
        <v>744</v>
      </c>
      <c r="Q493" s="651"/>
      <c r="R493" s="651"/>
      <c r="S493" s="651"/>
      <c r="T493" s="651"/>
      <c r="U493" s="651"/>
      <c r="V493" s="652"/>
      <c r="W493" s="37" t="s">
        <v>69</v>
      </c>
      <c r="X493" s="545">
        <f>GrossWeightTotal+PalletQtyTotal*25</f>
        <v>19532.278003293002</v>
      </c>
      <c r="Y493" s="545">
        <f>GrossWeightTotalR+PalletQtyTotalR*25</f>
        <v>19646.062000000009</v>
      </c>
      <c r="Z493" s="37"/>
      <c r="AA493" s="546"/>
      <c r="AB493" s="546"/>
      <c r="AC493" s="546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707"/>
      <c r="P494" s="650" t="s">
        <v>745</v>
      </c>
      <c r="Q494" s="651"/>
      <c r="R494" s="651"/>
      <c r="S494" s="651"/>
      <c r="T494" s="651"/>
      <c r="U494" s="651"/>
      <c r="V494" s="652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2410.2049123715792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2422</v>
      </c>
      <c r="Z494" s="37"/>
      <c r="AA494" s="546"/>
      <c r="AB494" s="546"/>
      <c r="AC494" s="546"/>
    </row>
    <row r="495" spans="1:68" ht="14.25" hidden="1" customHeight="1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707"/>
      <c r="P495" s="650" t="s">
        <v>746</v>
      </c>
      <c r="Q495" s="651"/>
      <c r="R495" s="651"/>
      <c r="S495" s="651"/>
      <c r="T495" s="651"/>
      <c r="U495" s="651"/>
      <c r="V495" s="652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35.028089999999999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89" t="s">
        <v>99</v>
      </c>
      <c r="D497" s="592"/>
      <c r="E497" s="592"/>
      <c r="F497" s="592"/>
      <c r="G497" s="592"/>
      <c r="H497" s="593"/>
      <c r="I497" s="589" t="s">
        <v>257</v>
      </c>
      <c r="J497" s="592"/>
      <c r="K497" s="592"/>
      <c r="L497" s="592"/>
      <c r="M497" s="592"/>
      <c r="N497" s="592"/>
      <c r="O497" s="592"/>
      <c r="P497" s="592"/>
      <c r="Q497" s="592"/>
      <c r="R497" s="593"/>
      <c r="S497" s="589" t="s">
        <v>538</v>
      </c>
      <c r="T497" s="593"/>
      <c r="U497" s="589" t="s">
        <v>589</v>
      </c>
      <c r="V497" s="592"/>
      <c r="W497" s="593"/>
      <c r="X497" s="540" t="s">
        <v>640</v>
      </c>
      <c r="Y497" s="589" t="s">
        <v>700</v>
      </c>
      <c r="Z497" s="593"/>
      <c r="AB497" s="52"/>
      <c r="AC497" s="52"/>
      <c r="AF497" s="541"/>
    </row>
    <row r="498" spans="1:32" ht="14.25" customHeight="1" thickTop="1" x14ac:dyDescent="0.2">
      <c r="A498" s="597" t="s">
        <v>749</v>
      </c>
      <c r="B498" s="589" t="s">
        <v>63</v>
      </c>
      <c r="C498" s="589" t="s">
        <v>100</v>
      </c>
      <c r="D498" s="589" t="s">
        <v>117</v>
      </c>
      <c r="E498" s="589" t="s">
        <v>173</v>
      </c>
      <c r="F498" s="589" t="s">
        <v>192</v>
      </c>
      <c r="G498" s="589" t="s">
        <v>222</v>
      </c>
      <c r="H498" s="589" t="s">
        <v>99</v>
      </c>
      <c r="I498" s="589" t="s">
        <v>258</v>
      </c>
      <c r="J498" s="589" t="s">
        <v>299</v>
      </c>
      <c r="K498" s="589" t="s">
        <v>359</v>
      </c>
      <c r="L498" s="589" t="s">
        <v>401</v>
      </c>
      <c r="M498" s="589" t="s">
        <v>417</v>
      </c>
      <c r="N498" s="541"/>
      <c r="O498" s="589" t="s">
        <v>428</v>
      </c>
      <c r="P498" s="589" t="s">
        <v>437</v>
      </c>
      <c r="Q498" s="589" t="s">
        <v>447</v>
      </c>
      <c r="R498" s="589" t="s">
        <v>528</v>
      </c>
      <c r="S498" s="589" t="s">
        <v>539</v>
      </c>
      <c r="T498" s="589" t="s">
        <v>573</v>
      </c>
      <c r="U498" s="589" t="s">
        <v>590</v>
      </c>
      <c r="V498" s="589" t="s">
        <v>621</v>
      </c>
      <c r="W498" s="589" t="s">
        <v>636</v>
      </c>
      <c r="X498" s="589" t="s">
        <v>640</v>
      </c>
      <c r="Y498" s="589" t="s">
        <v>700</v>
      </c>
      <c r="Z498" s="589" t="s">
        <v>736</v>
      </c>
      <c r="AB498" s="52"/>
      <c r="AC498" s="52"/>
      <c r="AF498" s="541"/>
    </row>
    <row r="499" spans="1:32" ht="13.5" customHeight="1" thickBot="1" x14ac:dyDescent="0.25">
      <c r="A499" s="598"/>
      <c r="B499" s="590"/>
      <c r="C499" s="590"/>
      <c r="D499" s="590"/>
      <c r="E499" s="590"/>
      <c r="F499" s="590"/>
      <c r="G499" s="590"/>
      <c r="H499" s="590"/>
      <c r="I499" s="590"/>
      <c r="J499" s="590"/>
      <c r="K499" s="590"/>
      <c r="L499" s="590"/>
      <c r="M499" s="590"/>
      <c r="N499" s="541"/>
      <c r="O499" s="590"/>
      <c r="P499" s="590"/>
      <c r="Q499" s="590"/>
      <c r="R499" s="590"/>
      <c r="S499" s="590"/>
      <c r="T499" s="590"/>
      <c r="U499" s="590"/>
      <c r="V499" s="590"/>
      <c r="W499" s="590"/>
      <c r="X499" s="590"/>
      <c r="Y499" s="590"/>
      <c r="Z499" s="590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930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1798.2000000000003</v>
      </c>
      <c r="E500" s="46">
        <f>IFERROR(Y86*1,"0")+IFERROR(Y87*1,"0")+IFERROR(Y88*1,"0")+IFERROR(Y92*1,"0")+IFERROR(Y93*1,"0")+IFERROR(Y94*1,"0")+IFERROR(Y95*1,"0")</f>
        <v>407.70000000000005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502.2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277.2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205.20000000000002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36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5057.4000000000005</v>
      </c>
      <c r="R500" s="46">
        <f>IFERROR(Y336*1,"0")+IFERROR(Y337*1,"0")+IFERROR(Y338*1,"0")</f>
        <v>294.59999999999997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5890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1261.92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1302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791,00"/>
        <filter val="10,00"/>
        <filter val="104,07"/>
        <filter val="104,17"/>
        <filter val="105,00"/>
        <filter val="120,00"/>
        <filter val="150,00"/>
        <filter val="164,41"/>
        <filter val="17 878,00"/>
        <filter val="18 782,28"/>
        <filter val="18,52"/>
        <filter val="180,00"/>
        <filter val="19 532,28"/>
        <filter val="2 410,20"/>
        <filter val="200,00"/>
        <filter val="24,69"/>
        <filter val="25,00"/>
        <filter val="250,00"/>
        <filter val="275,00"/>
        <filter val="28,00"/>
        <filter val="28,41"/>
        <filter val="290,00"/>
        <filter val="3 000,00"/>
        <filter val="30"/>
        <filter val="300,00"/>
        <filter val="302,22"/>
        <filter val="309,52"/>
        <filter val="33,73"/>
        <filter val="343,33"/>
        <filter val="35,00"/>
        <filter val="350,00"/>
        <filter val="36,00"/>
        <filter val="37,04"/>
        <filter val="384,62"/>
        <filter val="40,00"/>
        <filter val="400,00"/>
        <filter val="430,00"/>
        <filter val="491,00"/>
        <filter val="5 000,00"/>
        <filter val="5 040,00"/>
        <filter val="50,00"/>
        <filter val="500,00"/>
        <filter val="528,00"/>
        <filter val="54,40"/>
        <filter val="550,00"/>
        <filter val="61,73"/>
        <filter val="728,00"/>
        <filter val="750,00"/>
        <filter val="80,00"/>
        <filter val="800,00"/>
        <filter val="85,19"/>
        <filter val="878,00"/>
        <filter val="90,00"/>
        <filter val="920,00"/>
      </filters>
    </filterColumn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D191:E191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A415:Z41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