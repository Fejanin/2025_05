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EC5F63E-6F05-4997-864B-CC54D702CC6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заказа'!$B$318:$B$318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заказа'!$B$325:$B$325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заказа'!$B$338:$B$338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заказа'!$B$354:$B$354</definedName>
    <definedName name="ProductId171">'Бланк заказа'!$B$355:$B$355</definedName>
    <definedName name="ProductId172">'Бланк заказа'!$B$359:$B$359</definedName>
    <definedName name="ProductId173">'Бланк заказа'!$B$360:$B$360</definedName>
    <definedName name="ProductId174">'Бланк заказа'!$B$364:$B$364</definedName>
    <definedName name="ProductId175">'Бланк заказа'!$B$369:$B$369</definedName>
    <definedName name="ProductId176">'Бланк заказа'!$B$370:$B$370</definedName>
    <definedName name="ProductId177">'Бланк заказа'!$B$374:$B$374</definedName>
    <definedName name="ProductId178">'Бланк заказа'!$B$375:$B$375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заказа'!$X$318:$X$318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заказа'!$X$325:$X$325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заказа'!$X$338:$X$338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заказа'!$X$354:$X$354</definedName>
    <definedName name="SalesQty171">'Бланк заказа'!$X$355:$X$355</definedName>
    <definedName name="SalesQty172">'Бланк заказа'!$X$359:$X$359</definedName>
    <definedName name="SalesQty173">'Бланк заказа'!$X$360:$X$360</definedName>
    <definedName name="SalesQty174">'Бланк заказа'!$X$364:$X$364</definedName>
    <definedName name="SalesQty175">'Бланк заказа'!$X$369:$X$369</definedName>
    <definedName name="SalesQty176">'Бланк заказа'!$X$370:$X$370</definedName>
    <definedName name="SalesQty177">'Бланк заказа'!$X$374:$X$374</definedName>
    <definedName name="SalesQty178">'Бланк заказа'!$X$375:$X$375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заказа'!$Y$318:$Y$318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заказа'!$Y$325:$Y$325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заказа'!$Y$338:$Y$338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заказа'!$Y$354:$Y$354</definedName>
    <definedName name="SalesRoundBox171">'Бланк заказа'!$Y$355:$Y$355</definedName>
    <definedName name="SalesRoundBox172">'Бланк заказа'!$Y$359:$Y$359</definedName>
    <definedName name="SalesRoundBox173">'Бланк заказа'!$Y$360:$Y$360</definedName>
    <definedName name="SalesRoundBox174">'Бланк заказа'!$Y$364:$Y$364</definedName>
    <definedName name="SalesRoundBox175">'Бланк заказа'!$Y$369:$Y$369</definedName>
    <definedName name="SalesRoundBox176">'Бланк заказа'!$Y$370:$Y$370</definedName>
    <definedName name="SalesRoundBox177">'Бланк заказа'!$Y$374:$Y$374</definedName>
    <definedName name="SalesRoundBox178">'Бланк заказа'!$Y$375:$Y$375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заказа'!$W$318:$W$318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заказа'!$W$325:$W$325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заказа'!$W$338:$W$338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заказа'!$W$354:$W$354</definedName>
    <definedName name="UnitOfMeasure171">'Бланк заказа'!$W$355:$W$355</definedName>
    <definedName name="UnitOfMeasure172">'Бланк заказа'!$W$359:$W$359</definedName>
    <definedName name="UnitOfMeasure173">'Бланк заказа'!$W$360:$W$360</definedName>
    <definedName name="UnitOfMeasure174">'Бланк заказа'!$W$364:$W$364</definedName>
    <definedName name="UnitOfMeasure175">'Бланк заказа'!$W$369:$W$369</definedName>
    <definedName name="UnitOfMeasure176">'Бланк заказа'!$W$370:$W$370</definedName>
    <definedName name="UnitOfMeasure177">'Бланк заказа'!$W$374:$W$374</definedName>
    <definedName name="UnitOfMeasure178">'Бланк заказа'!$W$375:$W$375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P487" i="1"/>
  <c r="X484" i="1"/>
  <c r="X483" i="1"/>
  <c r="BO482" i="1"/>
  <c r="BM482" i="1"/>
  <c r="Y482" i="1"/>
  <c r="P482" i="1"/>
  <c r="BO481" i="1"/>
  <c r="BM481" i="1"/>
  <c r="Y481" i="1"/>
  <c r="P481" i="1"/>
  <c r="X479" i="1"/>
  <c r="X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Y474" i="1" s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O459" i="1"/>
  <c r="BM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Z424" i="1"/>
  <c r="Y424" i="1"/>
  <c r="P424" i="1"/>
  <c r="BO423" i="1"/>
  <c r="BM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O410" i="1"/>
  <c r="BM410" i="1"/>
  <c r="Y410" i="1"/>
  <c r="P410" i="1"/>
  <c r="BO409" i="1"/>
  <c r="BM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X401" i="1"/>
  <c r="X400" i="1"/>
  <c r="BO399" i="1"/>
  <c r="BM399" i="1"/>
  <c r="Y399" i="1"/>
  <c r="P399" i="1"/>
  <c r="BP398" i="1"/>
  <c r="BO398" i="1"/>
  <c r="BN398" i="1"/>
  <c r="BM398" i="1"/>
  <c r="Z398" i="1"/>
  <c r="Y398" i="1"/>
  <c r="P398" i="1"/>
  <c r="X396" i="1"/>
  <c r="X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X382" i="1"/>
  <c r="X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X372" i="1"/>
  <c r="X371" i="1"/>
  <c r="BO370" i="1"/>
  <c r="BM370" i="1"/>
  <c r="Y370" i="1"/>
  <c r="P370" i="1"/>
  <c r="BO369" i="1"/>
  <c r="BM369" i="1"/>
  <c r="Y369" i="1"/>
  <c r="Y371" i="1" s="1"/>
  <c r="P369" i="1"/>
  <c r="X366" i="1"/>
  <c r="X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P359" i="1"/>
  <c r="X357" i="1"/>
  <c r="X356" i="1"/>
  <c r="BO355" i="1"/>
  <c r="BM355" i="1"/>
  <c r="Y355" i="1"/>
  <c r="P355" i="1"/>
  <c r="BO354" i="1"/>
  <c r="BM354" i="1"/>
  <c r="Y354" i="1"/>
  <c r="P354" i="1"/>
  <c r="X352" i="1"/>
  <c r="X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X340" i="1"/>
  <c r="X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X333" i="1"/>
  <c r="X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X327" i="1"/>
  <c r="X326" i="1"/>
  <c r="BO325" i="1"/>
  <c r="BM325" i="1"/>
  <c r="Y325" i="1"/>
  <c r="P325" i="1"/>
  <c r="BO324" i="1"/>
  <c r="BM324" i="1"/>
  <c r="Y324" i="1"/>
  <c r="P324" i="1"/>
  <c r="BO323" i="1"/>
  <c r="BM323" i="1"/>
  <c r="Y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X314" i="1"/>
  <c r="X313" i="1"/>
  <c r="BO312" i="1"/>
  <c r="BM312" i="1"/>
  <c r="Y312" i="1"/>
  <c r="P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O293" i="1"/>
  <c r="BM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X282" i="1"/>
  <c r="X281" i="1"/>
  <c r="BO280" i="1"/>
  <c r="BM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O273" i="1"/>
  <c r="BM273" i="1"/>
  <c r="Y273" i="1"/>
  <c r="P273" i="1"/>
  <c r="BO272" i="1"/>
  <c r="BM272" i="1"/>
  <c r="Z272" i="1"/>
  <c r="Y272" i="1"/>
  <c r="BN272" i="1" s="1"/>
  <c r="P272" i="1"/>
  <c r="X269" i="1"/>
  <c r="X268" i="1"/>
  <c r="BO267" i="1"/>
  <c r="BM267" i="1"/>
  <c r="Y267" i="1"/>
  <c r="BP267" i="1" s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O258" i="1"/>
  <c r="BM258" i="1"/>
  <c r="Y258" i="1"/>
  <c r="BP258" i="1" s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O249" i="1"/>
  <c r="BM249" i="1"/>
  <c r="Y249" i="1"/>
  <c r="BP249" i="1" s="1"/>
  <c r="P249" i="1"/>
  <c r="BO248" i="1"/>
  <c r="BM248" i="1"/>
  <c r="Y248" i="1"/>
  <c r="P248" i="1"/>
  <c r="BO247" i="1"/>
  <c r="BM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Z226" i="1" s="1"/>
  <c r="P226" i="1"/>
  <c r="BO225" i="1"/>
  <c r="BM225" i="1"/>
  <c r="Y225" i="1"/>
  <c r="P225" i="1"/>
  <c r="X222" i="1"/>
  <c r="X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X217" i="1"/>
  <c r="X216" i="1"/>
  <c r="BO215" i="1"/>
  <c r="BM215" i="1"/>
  <c r="Y215" i="1"/>
  <c r="BP215" i="1" s="1"/>
  <c r="P215" i="1"/>
  <c r="BO214" i="1"/>
  <c r="BM214" i="1"/>
  <c r="Y214" i="1"/>
  <c r="BP214" i="1" s="1"/>
  <c r="P214" i="1"/>
  <c r="BO213" i="1"/>
  <c r="BM213" i="1"/>
  <c r="Y213" i="1"/>
  <c r="P213" i="1"/>
  <c r="BO212" i="1"/>
  <c r="BM212" i="1"/>
  <c r="Y212" i="1"/>
  <c r="BP212" i="1" s="1"/>
  <c r="P212" i="1"/>
  <c r="BO211" i="1"/>
  <c r="BM211" i="1"/>
  <c r="Y211" i="1"/>
  <c r="BP211" i="1" s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O207" i="1"/>
  <c r="BM207" i="1"/>
  <c r="Y207" i="1"/>
  <c r="P207" i="1"/>
  <c r="X205" i="1"/>
  <c r="X204" i="1"/>
  <c r="BO203" i="1"/>
  <c r="BM203" i="1"/>
  <c r="Y203" i="1"/>
  <c r="P203" i="1"/>
  <c r="BO202" i="1"/>
  <c r="BM202" i="1"/>
  <c r="Y202" i="1"/>
  <c r="BP202" i="1" s="1"/>
  <c r="P202" i="1"/>
  <c r="BO201" i="1"/>
  <c r="BM201" i="1"/>
  <c r="Y201" i="1"/>
  <c r="BP201" i="1" s="1"/>
  <c r="P201" i="1"/>
  <c r="BO200" i="1"/>
  <c r="BM200" i="1"/>
  <c r="Y200" i="1"/>
  <c r="BP200" i="1" s="1"/>
  <c r="P200" i="1"/>
  <c r="BP199" i="1"/>
  <c r="BO199" i="1"/>
  <c r="BN199" i="1"/>
  <c r="BM199" i="1"/>
  <c r="Z199" i="1"/>
  <c r="Y199" i="1"/>
  <c r="P199" i="1"/>
  <c r="BO198" i="1"/>
  <c r="BM198" i="1"/>
  <c r="Y198" i="1"/>
  <c r="BP198" i="1" s="1"/>
  <c r="P198" i="1"/>
  <c r="BO197" i="1"/>
  <c r="BM197" i="1"/>
  <c r="Y197" i="1"/>
  <c r="BP197" i="1" s="1"/>
  <c r="P197" i="1"/>
  <c r="BO196" i="1"/>
  <c r="BM196" i="1"/>
  <c r="Y196" i="1"/>
  <c r="P196" i="1"/>
  <c r="X194" i="1"/>
  <c r="X193" i="1"/>
  <c r="BO192" i="1"/>
  <c r="BM192" i="1"/>
  <c r="Y192" i="1"/>
  <c r="BP192" i="1" s="1"/>
  <c r="P192" i="1"/>
  <c r="BO191" i="1"/>
  <c r="BM191" i="1"/>
  <c r="Y191" i="1"/>
  <c r="P191" i="1"/>
  <c r="X189" i="1"/>
  <c r="X188" i="1"/>
  <c r="BO187" i="1"/>
  <c r="BM187" i="1"/>
  <c r="Y187" i="1"/>
  <c r="BP187" i="1" s="1"/>
  <c r="P187" i="1"/>
  <c r="BO186" i="1"/>
  <c r="BM186" i="1"/>
  <c r="Y186" i="1"/>
  <c r="J500" i="1" s="1"/>
  <c r="P186" i="1"/>
  <c r="X183" i="1"/>
  <c r="X182" i="1"/>
  <c r="BO181" i="1"/>
  <c r="BM181" i="1"/>
  <c r="Y181" i="1"/>
  <c r="Y182" i="1" s="1"/>
  <c r="P181" i="1"/>
  <c r="X179" i="1"/>
  <c r="X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X173" i="1"/>
  <c r="X172" i="1"/>
  <c r="BO171" i="1"/>
  <c r="BM171" i="1"/>
  <c r="Y171" i="1"/>
  <c r="BP171" i="1" s="1"/>
  <c r="P171" i="1"/>
  <c r="BO170" i="1"/>
  <c r="BM170" i="1"/>
  <c r="Y170" i="1"/>
  <c r="BP170" i="1" s="1"/>
  <c r="P170" i="1"/>
  <c r="BO169" i="1"/>
  <c r="BM169" i="1"/>
  <c r="Y169" i="1"/>
  <c r="BP169" i="1" s="1"/>
  <c r="P169" i="1"/>
  <c r="BO168" i="1"/>
  <c r="BM168" i="1"/>
  <c r="Y168" i="1"/>
  <c r="P168" i="1"/>
  <c r="BO167" i="1"/>
  <c r="BM167" i="1"/>
  <c r="Y167" i="1"/>
  <c r="BP167" i="1" s="1"/>
  <c r="P167" i="1"/>
  <c r="BO166" i="1"/>
  <c r="BM166" i="1"/>
  <c r="Y166" i="1"/>
  <c r="BP166" i="1" s="1"/>
  <c r="P166" i="1"/>
  <c r="BO165" i="1"/>
  <c r="BM165" i="1"/>
  <c r="Y165" i="1"/>
  <c r="BP165" i="1" s="1"/>
  <c r="P165" i="1"/>
  <c r="BP164" i="1"/>
  <c r="BO164" i="1"/>
  <c r="BN164" i="1"/>
  <c r="BM164" i="1"/>
  <c r="Z164" i="1"/>
  <c r="Y164" i="1"/>
  <c r="P164" i="1"/>
  <c r="BO163" i="1"/>
  <c r="BM163" i="1"/>
  <c r="Y163" i="1"/>
  <c r="P163" i="1"/>
  <c r="X161" i="1"/>
  <c r="X160" i="1"/>
  <c r="BO159" i="1"/>
  <c r="BM159" i="1"/>
  <c r="Y159" i="1"/>
  <c r="P159" i="1"/>
  <c r="X155" i="1"/>
  <c r="X154" i="1"/>
  <c r="BO153" i="1"/>
  <c r="BM153" i="1"/>
  <c r="Y153" i="1"/>
  <c r="Y154" i="1" s="1"/>
  <c r="X151" i="1"/>
  <c r="X150" i="1"/>
  <c r="BP149" i="1"/>
  <c r="BO149" i="1"/>
  <c r="BN149" i="1"/>
  <c r="BM149" i="1"/>
  <c r="Z149" i="1"/>
  <c r="Y149" i="1"/>
  <c r="P149" i="1"/>
  <c r="BO148" i="1"/>
  <c r="BM148" i="1"/>
  <c r="Y148" i="1"/>
  <c r="BP148" i="1" s="1"/>
  <c r="P148" i="1"/>
  <c r="BO147" i="1"/>
  <c r="BM147" i="1"/>
  <c r="Y147" i="1"/>
  <c r="Y151" i="1" s="1"/>
  <c r="P147" i="1"/>
  <c r="X145" i="1"/>
  <c r="X144" i="1"/>
  <c r="BO143" i="1"/>
  <c r="BM143" i="1"/>
  <c r="Y143" i="1"/>
  <c r="P143" i="1"/>
  <c r="BO142" i="1"/>
  <c r="BM142" i="1"/>
  <c r="Y142" i="1"/>
  <c r="BP142" i="1" s="1"/>
  <c r="P142" i="1"/>
  <c r="BO141" i="1"/>
  <c r="BM141" i="1"/>
  <c r="Y141" i="1"/>
  <c r="BP141" i="1" s="1"/>
  <c r="P141" i="1"/>
  <c r="X138" i="1"/>
  <c r="X137" i="1"/>
  <c r="BP136" i="1"/>
  <c r="BO136" i="1"/>
  <c r="BN136" i="1"/>
  <c r="BM136" i="1"/>
  <c r="Z136" i="1"/>
  <c r="Y136" i="1"/>
  <c r="P136" i="1"/>
  <c r="BO135" i="1"/>
  <c r="BM135" i="1"/>
  <c r="Y135" i="1"/>
  <c r="Y138" i="1" s="1"/>
  <c r="P135" i="1"/>
  <c r="X133" i="1"/>
  <c r="X132" i="1"/>
  <c r="BO131" i="1"/>
  <c r="BM131" i="1"/>
  <c r="Y131" i="1"/>
  <c r="BP131" i="1" s="1"/>
  <c r="P131" i="1"/>
  <c r="BO130" i="1"/>
  <c r="BM130" i="1"/>
  <c r="Y130" i="1"/>
  <c r="Y132" i="1" s="1"/>
  <c r="P130" i="1"/>
  <c r="X128" i="1"/>
  <c r="X127" i="1"/>
  <c r="BO126" i="1"/>
  <c r="BM126" i="1"/>
  <c r="Y126" i="1"/>
  <c r="P126" i="1"/>
  <c r="BO125" i="1"/>
  <c r="BM125" i="1"/>
  <c r="Y125" i="1"/>
  <c r="P125" i="1"/>
  <c r="X122" i="1"/>
  <c r="X121" i="1"/>
  <c r="BO120" i="1"/>
  <c r="BM120" i="1"/>
  <c r="Y120" i="1"/>
  <c r="Y121" i="1" s="1"/>
  <c r="P120" i="1"/>
  <c r="X118" i="1"/>
  <c r="X117" i="1"/>
  <c r="BO116" i="1"/>
  <c r="BM116" i="1"/>
  <c r="Y116" i="1"/>
  <c r="BP116" i="1" s="1"/>
  <c r="P116" i="1"/>
  <c r="BO115" i="1"/>
  <c r="BM115" i="1"/>
  <c r="Y115" i="1"/>
  <c r="BP115" i="1" s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P107" i="1"/>
  <c r="X105" i="1"/>
  <c r="X104" i="1"/>
  <c r="BO103" i="1"/>
  <c r="BM103" i="1"/>
  <c r="Y103" i="1"/>
  <c r="BP103" i="1" s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BP95" i="1" s="1"/>
  <c r="P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P92" i="1"/>
  <c r="X90" i="1"/>
  <c r="X89" i="1"/>
  <c r="BO88" i="1"/>
  <c r="BM88" i="1"/>
  <c r="Y88" i="1"/>
  <c r="BP88" i="1" s="1"/>
  <c r="P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X83" i="1"/>
  <c r="X82" i="1"/>
  <c r="BO81" i="1"/>
  <c r="BM81" i="1"/>
  <c r="Y81" i="1"/>
  <c r="BP81" i="1" s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Y77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O55" i="1"/>
  <c r="BM55" i="1"/>
  <c r="Y55" i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Y32" i="1" s="1"/>
  <c r="P26" i="1"/>
  <c r="X24" i="1"/>
  <c r="X490" i="1" s="1"/>
  <c r="X23" i="1"/>
  <c r="BO22" i="1"/>
  <c r="BM22" i="1"/>
  <c r="Y22" i="1"/>
  <c r="Y23" i="1" s="1"/>
  <c r="P22" i="1"/>
  <c r="H10" i="1"/>
  <c r="A9" i="1"/>
  <c r="A10" i="1" s="1"/>
  <c r="D7" i="1"/>
  <c r="Q6" i="1"/>
  <c r="P2" i="1"/>
  <c r="BP75" i="1" l="1"/>
  <c r="BN75" i="1"/>
  <c r="Z75" i="1"/>
  <c r="BP107" i="1"/>
  <c r="BN107" i="1"/>
  <c r="Z107" i="1"/>
  <c r="BP143" i="1"/>
  <c r="BN143" i="1"/>
  <c r="Z143" i="1"/>
  <c r="BP191" i="1"/>
  <c r="BN191" i="1"/>
  <c r="Z191" i="1"/>
  <c r="BP213" i="1"/>
  <c r="BN213" i="1"/>
  <c r="Z213" i="1"/>
  <c r="BP247" i="1"/>
  <c r="BN247" i="1"/>
  <c r="Z247" i="1"/>
  <c r="BP280" i="1"/>
  <c r="BN280" i="1"/>
  <c r="Z280" i="1"/>
  <c r="BP311" i="1"/>
  <c r="BN311" i="1"/>
  <c r="Z311" i="1"/>
  <c r="BP349" i="1"/>
  <c r="BN349" i="1"/>
  <c r="Z349" i="1"/>
  <c r="BP392" i="1"/>
  <c r="BN392" i="1"/>
  <c r="Z392" i="1"/>
  <c r="BP427" i="1"/>
  <c r="BN427" i="1"/>
  <c r="Z427" i="1"/>
  <c r="BP453" i="1"/>
  <c r="BN453" i="1"/>
  <c r="Z453" i="1"/>
  <c r="Z28" i="1"/>
  <c r="BN28" i="1"/>
  <c r="Z46" i="1"/>
  <c r="Z47" i="1" s="1"/>
  <c r="BN46" i="1"/>
  <c r="BP46" i="1"/>
  <c r="Y47" i="1"/>
  <c r="Z51" i="1"/>
  <c r="BN51" i="1"/>
  <c r="BP55" i="1"/>
  <c r="BN55" i="1"/>
  <c r="Z55" i="1"/>
  <c r="BP92" i="1"/>
  <c r="BN92" i="1"/>
  <c r="Z92" i="1"/>
  <c r="BP126" i="1"/>
  <c r="BN126" i="1"/>
  <c r="Z126" i="1"/>
  <c r="BP168" i="1"/>
  <c r="BN168" i="1"/>
  <c r="Z168" i="1"/>
  <c r="BP203" i="1"/>
  <c r="BN203" i="1"/>
  <c r="Z203" i="1"/>
  <c r="BP227" i="1"/>
  <c r="BN227" i="1"/>
  <c r="Z227" i="1"/>
  <c r="BP265" i="1"/>
  <c r="BN265" i="1"/>
  <c r="Z265" i="1"/>
  <c r="BP299" i="1"/>
  <c r="BN299" i="1"/>
  <c r="Z299" i="1"/>
  <c r="BP330" i="1"/>
  <c r="BN330" i="1"/>
  <c r="Z330" i="1"/>
  <c r="BP380" i="1"/>
  <c r="BN380" i="1"/>
  <c r="Z380" i="1"/>
  <c r="BP411" i="1"/>
  <c r="BN411" i="1"/>
  <c r="Z411" i="1"/>
  <c r="BP443" i="1"/>
  <c r="BN443" i="1"/>
  <c r="Z443" i="1"/>
  <c r="BP473" i="1"/>
  <c r="BN473" i="1"/>
  <c r="Z473" i="1"/>
  <c r="Y479" i="1"/>
  <c r="Y478" i="1"/>
  <c r="BP477" i="1"/>
  <c r="BN477" i="1"/>
  <c r="Z477" i="1"/>
  <c r="Z478" i="1" s="1"/>
  <c r="BP481" i="1"/>
  <c r="BN481" i="1"/>
  <c r="Z481" i="1"/>
  <c r="Y205" i="1"/>
  <c r="Y217" i="1"/>
  <c r="BP273" i="1"/>
  <c r="BN273" i="1"/>
  <c r="Z273" i="1"/>
  <c r="BP293" i="1"/>
  <c r="BN293" i="1"/>
  <c r="Z293" i="1"/>
  <c r="BP309" i="1"/>
  <c r="BN309" i="1"/>
  <c r="Z309" i="1"/>
  <c r="BP324" i="1"/>
  <c r="BN324" i="1"/>
  <c r="Z324" i="1"/>
  <c r="BP347" i="1"/>
  <c r="BN347" i="1"/>
  <c r="Z347" i="1"/>
  <c r="BP370" i="1"/>
  <c r="BN370" i="1"/>
  <c r="Z370" i="1"/>
  <c r="BP374" i="1"/>
  <c r="BN374" i="1"/>
  <c r="Z374" i="1"/>
  <c r="BP390" i="1"/>
  <c r="BN390" i="1"/>
  <c r="Z390" i="1"/>
  <c r="BP409" i="1"/>
  <c r="BN409" i="1"/>
  <c r="Z409" i="1"/>
  <c r="BP425" i="1"/>
  <c r="BN425" i="1"/>
  <c r="Z425" i="1"/>
  <c r="BP437" i="1"/>
  <c r="BN437" i="1"/>
  <c r="Z437" i="1"/>
  <c r="BP451" i="1"/>
  <c r="BN451" i="1"/>
  <c r="Z451" i="1"/>
  <c r="BP467" i="1"/>
  <c r="BN467" i="1"/>
  <c r="Z467" i="1"/>
  <c r="Z22" i="1"/>
  <c r="Z23" i="1" s="1"/>
  <c r="BN22" i="1"/>
  <c r="BP22" i="1"/>
  <c r="Z26" i="1"/>
  <c r="BN26" i="1"/>
  <c r="BP26" i="1"/>
  <c r="Z30" i="1"/>
  <c r="BN30" i="1"/>
  <c r="Z42" i="1"/>
  <c r="BN42" i="1"/>
  <c r="Z53" i="1"/>
  <c r="BN53" i="1"/>
  <c r="Z61" i="1"/>
  <c r="BN61" i="1"/>
  <c r="Y69" i="1"/>
  <c r="Z73" i="1"/>
  <c r="BN73" i="1"/>
  <c r="Z81" i="1"/>
  <c r="BN81" i="1"/>
  <c r="Z88" i="1"/>
  <c r="BN88" i="1"/>
  <c r="Y96" i="1"/>
  <c r="Z94" i="1"/>
  <c r="BN94" i="1"/>
  <c r="F500" i="1"/>
  <c r="Z103" i="1"/>
  <c r="BN103" i="1"/>
  <c r="Y111" i="1"/>
  <c r="Z109" i="1"/>
  <c r="BN109" i="1"/>
  <c r="Y117" i="1"/>
  <c r="Z115" i="1"/>
  <c r="BN115" i="1"/>
  <c r="G500" i="1"/>
  <c r="Z130" i="1"/>
  <c r="BN130" i="1"/>
  <c r="BP130" i="1"/>
  <c r="Z141" i="1"/>
  <c r="BN141" i="1"/>
  <c r="Z147" i="1"/>
  <c r="BN147" i="1"/>
  <c r="BP147" i="1"/>
  <c r="I500" i="1"/>
  <c r="Y172" i="1"/>
  <c r="Z166" i="1"/>
  <c r="BN166" i="1"/>
  <c r="Z170" i="1"/>
  <c r="BN170" i="1"/>
  <c r="Y178" i="1"/>
  <c r="Z187" i="1"/>
  <c r="BN187" i="1"/>
  <c r="Y193" i="1"/>
  <c r="Z197" i="1"/>
  <c r="BN197" i="1"/>
  <c r="Z201" i="1"/>
  <c r="BN201" i="1"/>
  <c r="Z207" i="1"/>
  <c r="BN207" i="1"/>
  <c r="BP207" i="1"/>
  <c r="Z211" i="1"/>
  <c r="BN211" i="1"/>
  <c r="Z215" i="1"/>
  <c r="BN215" i="1"/>
  <c r="Y221" i="1"/>
  <c r="Z229" i="1"/>
  <c r="BN229" i="1"/>
  <c r="Z233" i="1"/>
  <c r="BN233" i="1"/>
  <c r="Z249" i="1"/>
  <c r="BN249" i="1"/>
  <c r="Z258" i="1"/>
  <c r="BN258" i="1"/>
  <c r="Z267" i="1"/>
  <c r="BN267" i="1"/>
  <c r="Y286" i="1"/>
  <c r="Y285" i="1"/>
  <c r="BP284" i="1"/>
  <c r="BN284" i="1"/>
  <c r="Z284" i="1"/>
  <c r="Z285" i="1" s="1"/>
  <c r="Q500" i="1"/>
  <c r="BP289" i="1"/>
  <c r="BN289" i="1"/>
  <c r="Z289" i="1"/>
  <c r="BP301" i="1"/>
  <c r="BN301" i="1"/>
  <c r="Z301" i="1"/>
  <c r="BP317" i="1"/>
  <c r="BN317" i="1"/>
  <c r="Z317" i="1"/>
  <c r="BP337" i="1"/>
  <c r="BN337" i="1"/>
  <c r="Z337" i="1"/>
  <c r="BP355" i="1"/>
  <c r="BN355" i="1"/>
  <c r="Z355" i="1"/>
  <c r="U500" i="1"/>
  <c r="BP386" i="1"/>
  <c r="BN386" i="1"/>
  <c r="Z386" i="1"/>
  <c r="BP394" i="1"/>
  <c r="BN394" i="1"/>
  <c r="Z394" i="1"/>
  <c r="Y418" i="1"/>
  <c r="W500" i="1"/>
  <c r="Y417" i="1"/>
  <c r="BP416" i="1"/>
  <c r="BN416" i="1"/>
  <c r="Z416" i="1"/>
  <c r="Z417" i="1" s="1"/>
  <c r="BP422" i="1"/>
  <c r="BN422" i="1"/>
  <c r="Z422" i="1"/>
  <c r="BP429" i="1"/>
  <c r="BN429" i="1"/>
  <c r="Z429" i="1"/>
  <c r="BP445" i="1"/>
  <c r="BN445" i="1"/>
  <c r="Z445" i="1"/>
  <c r="Y463" i="1"/>
  <c r="BP459" i="1"/>
  <c r="BN459" i="1"/>
  <c r="Z459" i="1"/>
  <c r="Y361" i="1"/>
  <c r="Y400" i="1"/>
  <c r="F9" i="1"/>
  <c r="J9" i="1"/>
  <c r="F10" i="1"/>
  <c r="Y31" i="1"/>
  <c r="Y43" i="1"/>
  <c r="Y58" i="1"/>
  <c r="Y64" i="1"/>
  <c r="Y70" i="1"/>
  <c r="Y78" i="1"/>
  <c r="Y82" i="1"/>
  <c r="Y89" i="1"/>
  <c r="Y97" i="1"/>
  <c r="Y104" i="1"/>
  <c r="Y110" i="1"/>
  <c r="Y118" i="1"/>
  <c r="Y122" i="1"/>
  <c r="Y127" i="1"/>
  <c r="Y133" i="1"/>
  <c r="Y137" i="1"/>
  <c r="Y144" i="1"/>
  <c r="Y150" i="1"/>
  <c r="Y155" i="1"/>
  <c r="Y161" i="1"/>
  <c r="Y173" i="1"/>
  <c r="Y179" i="1"/>
  <c r="Y183" i="1"/>
  <c r="Y188" i="1"/>
  <c r="Y194" i="1"/>
  <c r="Y204" i="1"/>
  <c r="Y216" i="1"/>
  <c r="Y222" i="1"/>
  <c r="K500" i="1"/>
  <c r="Y235" i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BP250" i="1"/>
  <c r="BN250" i="1"/>
  <c r="Z250" i="1"/>
  <c r="Y252" i="1"/>
  <c r="L500" i="1"/>
  <c r="Y260" i="1"/>
  <c r="BP255" i="1"/>
  <c r="BN255" i="1"/>
  <c r="Z255" i="1"/>
  <c r="BP259" i="1"/>
  <c r="BN259" i="1"/>
  <c r="Z259" i="1"/>
  <c r="Y261" i="1"/>
  <c r="M500" i="1"/>
  <c r="Y269" i="1"/>
  <c r="BP264" i="1"/>
  <c r="BN264" i="1"/>
  <c r="Z264" i="1"/>
  <c r="Y268" i="1"/>
  <c r="BP274" i="1"/>
  <c r="BN274" i="1"/>
  <c r="Z274" i="1"/>
  <c r="Y276" i="1"/>
  <c r="P500" i="1"/>
  <c r="Y282" i="1"/>
  <c r="BP279" i="1"/>
  <c r="BN279" i="1"/>
  <c r="Z279" i="1"/>
  <c r="Z281" i="1" s="1"/>
  <c r="Y281" i="1"/>
  <c r="BP375" i="1"/>
  <c r="BN375" i="1"/>
  <c r="Z375" i="1"/>
  <c r="Y377" i="1"/>
  <c r="Y382" i="1"/>
  <c r="BP379" i="1"/>
  <c r="BN379" i="1"/>
  <c r="Z379" i="1"/>
  <c r="Z381" i="1" s="1"/>
  <c r="Y381" i="1"/>
  <c r="BP410" i="1"/>
  <c r="BN410" i="1"/>
  <c r="Z410" i="1"/>
  <c r="H9" i="1"/>
  <c r="B500" i="1"/>
  <c r="X491" i="1"/>
  <c r="X492" i="1"/>
  <c r="X494" i="1"/>
  <c r="Y24" i="1"/>
  <c r="Z27" i="1"/>
  <c r="BN27" i="1"/>
  <c r="Z29" i="1"/>
  <c r="BN29" i="1"/>
  <c r="C500" i="1"/>
  <c r="Z41" i="1"/>
  <c r="Z43" i="1" s="1"/>
  <c r="BN41" i="1"/>
  <c r="Y44" i="1"/>
  <c r="D500" i="1"/>
  <c r="Z52" i="1"/>
  <c r="BN52" i="1"/>
  <c r="Z54" i="1"/>
  <c r="BN54" i="1"/>
  <c r="Z56" i="1"/>
  <c r="BN56" i="1"/>
  <c r="Y57" i="1"/>
  <c r="Z60" i="1"/>
  <c r="BN60" i="1"/>
  <c r="BP60" i="1"/>
  <c r="Z62" i="1"/>
  <c r="BN62" i="1"/>
  <c r="Z66" i="1"/>
  <c r="BN66" i="1"/>
  <c r="BP66" i="1"/>
  <c r="Z68" i="1"/>
  <c r="BN68" i="1"/>
  <c r="Z72" i="1"/>
  <c r="BN72" i="1"/>
  <c r="BP72" i="1"/>
  <c r="Z74" i="1"/>
  <c r="BN74" i="1"/>
  <c r="Z76" i="1"/>
  <c r="BN76" i="1"/>
  <c r="Z80" i="1"/>
  <c r="Z82" i="1" s="1"/>
  <c r="BN80" i="1"/>
  <c r="BP80" i="1"/>
  <c r="E500" i="1"/>
  <c r="Z87" i="1"/>
  <c r="Z89" i="1" s="1"/>
  <c r="BN87" i="1"/>
  <c r="Y90" i="1"/>
  <c r="Z93" i="1"/>
  <c r="BN93" i="1"/>
  <c r="Z95" i="1"/>
  <c r="BN95" i="1"/>
  <c r="Z100" i="1"/>
  <c r="BN100" i="1"/>
  <c r="BP100" i="1"/>
  <c r="Z102" i="1"/>
  <c r="BN102" i="1"/>
  <c r="Y105" i="1"/>
  <c r="Z108" i="1"/>
  <c r="BN108" i="1"/>
  <c r="Z114" i="1"/>
  <c r="BN114" i="1"/>
  <c r="Z116" i="1"/>
  <c r="BN116" i="1"/>
  <c r="Z120" i="1"/>
  <c r="Z121" i="1" s="1"/>
  <c r="BN120" i="1"/>
  <c r="BP120" i="1"/>
  <c r="Z125" i="1"/>
  <c r="Z127" i="1" s="1"/>
  <c r="BN125" i="1"/>
  <c r="BP125" i="1"/>
  <c r="Y128" i="1"/>
  <c r="Z131" i="1"/>
  <c r="Z132" i="1" s="1"/>
  <c r="BN131" i="1"/>
  <c r="Z135" i="1"/>
  <c r="Z137" i="1" s="1"/>
  <c r="BN135" i="1"/>
  <c r="BP135" i="1"/>
  <c r="H500" i="1"/>
  <c r="Z142" i="1"/>
  <c r="Z144" i="1" s="1"/>
  <c r="BN142" i="1"/>
  <c r="Y145" i="1"/>
  <c r="Z148" i="1"/>
  <c r="BN148" i="1"/>
  <c r="Z153" i="1"/>
  <c r="Z154" i="1" s="1"/>
  <c r="BN153" i="1"/>
  <c r="BP153" i="1"/>
  <c r="Z159" i="1"/>
  <c r="Z160" i="1" s="1"/>
  <c r="BN159" i="1"/>
  <c r="BP159" i="1"/>
  <c r="Y160" i="1"/>
  <c r="Z163" i="1"/>
  <c r="BN163" i="1"/>
  <c r="BP163" i="1"/>
  <c r="Z165" i="1"/>
  <c r="BN165" i="1"/>
  <c r="Z167" i="1"/>
  <c r="BN167" i="1"/>
  <c r="Z169" i="1"/>
  <c r="BN169" i="1"/>
  <c r="Z171" i="1"/>
  <c r="BN171" i="1"/>
  <c r="Z175" i="1"/>
  <c r="BN175" i="1"/>
  <c r="BP175" i="1"/>
  <c r="Z177" i="1"/>
  <c r="BN177" i="1"/>
  <c r="Z181" i="1"/>
  <c r="Z182" i="1" s="1"/>
  <c r="BN181" i="1"/>
  <c r="BP181" i="1"/>
  <c r="Z186" i="1"/>
  <c r="BN186" i="1"/>
  <c r="BP186" i="1"/>
  <c r="Y189" i="1"/>
  <c r="Z192" i="1"/>
  <c r="BN192" i="1"/>
  <c r="Z196" i="1"/>
  <c r="BN196" i="1"/>
  <c r="BP196" i="1"/>
  <c r="Z198" i="1"/>
  <c r="BN198" i="1"/>
  <c r="Z200" i="1"/>
  <c r="BN200" i="1"/>
  <c r="Z202" i="1"/>
  <c r="BN202" i="1"/>
  <c r="Z208" i="1"/>
  <c r="BN208" i="1"/>
  <c r="Z210" i="1"/>
  <c r="BN210" i="1"/>
  <c r="Z212" i="1"/>
  <c r="BN212" i="1"/>
  <c r="Z214" i="1"/>
  <c r="BN214" i="1"/>
  <c r="Z220" i="1"/>
  <c r="Z221" i="1" s="1"/>
  <c r="BN220" i="1"/>
  <c r="Z225" i="1"/>
  <c r="BN225" i="1"/>
  <c r="BP225" i="1"/>
  <c r="BP226" i="1"/>
  <c r="BN226" i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292" i="1"/>
  <c r="BN292" i="1"/>
  <c r="Z292" i="1"/>
  <c r="BP300" i="1"/>
  <c r="BN300" i="1"/>
  <c r="Z300" i="1"/>
  <c r="BP304" i="1"/>
  <c r="BN304" i="1"/>
  <c r="Z304" i="1"/>
  <c r="Y306" i="1"/>
  <c r="Y313" i="1"/>
  <c r="BP308" i="1"/>
  <c r="BN308" i="1"/>
  <c r="Z308" i="1"/>
  <c r="BP312" i="1"/>
  <c r="BN312" i="1"/>
  <c r="Z312" i="1"/>
  <c r="Y314" i="1"/>
  <c r="Y319" i="1"/>
  <c r="BP316" i="1"/>
  <c r="BN316" i="1"/>
  <c r="Z316" i="1"/>
  <c r="Y320" i="1"/>
  <c r="BP323" i="1"/>
  <c r="BN323" i="1"/>
  <c r="Z323" i="1"/>
  <c r="BP331" i="1"/>
  <c r="BN331" i="1"/>
  <c r="Z331" i="1"/>
  <c r="Y333" i="1"/>
  <c r="R500" i="1"/>
  <c r="Y339" i="1"/>
  <c r="BP336" i="1"/>
  <c r="BN336" i="1"/>
  <c r="Z336" i="1"/>
  <c r="Y340" i="1"/>
  <c r="BP346" i="1"/>
  <c r="BN346" i="1"/>
  <c r="Z346" i="1"/>
  <c r="BP350" i="1"/>
  <c r="BN350" i="1"/>
  <c r="Z350" i="1"/>
  <c r="Y352" i="1"/>
  <c r="Y357" i="1"/>
  <c r="BP354" i="1"/>
  <c r="BN354" i="1"/>
  <c r="Z354" i="1"/>
  <c r="Z356" i="1" s="1"/>
  <c r="Y356" i="1"/>
  <c r="BP389" i="1"/>
  <c r="BN389" i="1"/>
  <c r="Z389" i="1"/>
  <c r="BP393" i="1"/>
  <c r="BN393" i="1"/>
  <c r="Z393" i="1"/>
  <c r="BP428" i="1"/>
  <c r="BN428" i="1"/>
  <c r="Z428" i="1"/>
  <c r="BP432" i="1"/>
  <c r="BN432" i="1"/>
  <c r="Z432" i="1"/>
  <c r="Y434" i="1"/>
  <c r="Y439" i="1"/>
  <c r="BP436" i="1"/>
  <c r="BN436" i="1"/>
  <c r="Z436" i="1"/>
  <c r="Y440" i="1"/>
  <c r="BP444" i="1"/>
  <c r="BN444" i="1"/>
  <c r="Z444" i="1"/>
  <c r="Y448" i="1"/>
  <c r="BP452" i="1"/>
  <c r="BN452" i="1"/>
  <c r="Z452" i="1"/>
  <c r="Z454" i="1" s="1"/>
  <c r="Y454" i="1"/>
  <c r="Y275" i="1"/>
  <c r="BP272" i="1"/>
  <c r="O500" i="1"/>
  <c r="BP290" i="1"/>
  <c r="BN290" i="1"/>
  <c r="Z290" i="1"/>
  <c r="BP294" i="1"/>
  <c r="BN294" i="1"/>
  <c r="Z294" i="1"/>
  <c r="Y296" i="1"/>
  <c r="Y305" i="1"/>
  <c r="BP298" i="1"/>
  <c r="BN298" i="1"/>
  <c r="Z298" i="1"/>
  <c r="BP302" i="1"/>
  <c r="BN302" i="1"/>
  <c r="Z302" i="1"/>
  <c r="BP310" i="1"/>
  <c r="BN310" i="1"/>
  <c r="Z310" i="1"/>
  <c r="BP318" i="1"/>
  <c r="BN318" i="1"/>
  <c r="Z318" i="1"/>
  <c r="Y326" i="1"/>
  <c r="BP322" i="1"/>
  <c r="BN322" i="1"/>
  <c r="Z322" i="1"/>
  <c r="BP325" i="1"/>
  <c r="BN325" i="1"/>
  <c r="Z325" i="1"/>
  <c r="Y327" i="1"/>
  <c r="Y332" i="1"/>
  <c r="BP329" i="1"/>
  <c r="BN329" i="1"/>
  <c r="Z329" i="1"/>
  <c r="Z332" i="1" s="1"/>
  <c r="BP338" i="1"/>
  <c r="BN338" i="1"/>
  <c r="Z338" i="1"/>
  <c r="Y351" i="1"/>
  <c r="BP344" i="1"/>
  <c r="BN344" i="1"/>
  <c r="Z344" i="1"/>
  <c r="S500" i="1"/>
  <c r="BP348" i="1"/>
  <c r="BN348" i="1"/>
  <c r="Z348" i="1"/>
  <c r="BP360" i="1"/>
  <c r="BN360" i="1"/>
  <c r="Z360" i="1"/>
  <c r="Z361" i="1" s="1"/>
  <c r="Y362" i="1"/>
  <c r="Y365" i="1"/>
  <c r="BP364" i="1"/>
  <c r="BN364" i="1"/>
  <c r="Z364" i="1"/>
  <c r="Z365" i="1" s="1"/>
  <c r="Y366" i="1"/>
  <c r="T500" i="1"/>
  <c r="Y372" i="1"/>
  <c r="BP369" i="1"/>
  <c r="BN369" i="1"/>
  <c r="Z369" i="1"/>
  <c r="Z371" i="1" s="1"/>
  <c r="Y376" i="1"/>
  <c r="BP387" i="1"/>
  <c r="BN387" i="1"/>
  <c r="Z387" i="1"/>
  <c r="BP391" i="1"/>
  <c r="BN391" i="1"/>
  <c r="Z391" i="1"/>
  <c r="Y395" i="1"/>
  <c r="BP399" i="1"/>
  <c r="BN399" i="1"/>
  <c r="Z399" i="1"/>
  <c r="Z400" i="1" s="1"/>
  <c r="Y401" i="1"/>
  <c r="V500" i="1"/>
  <c r="Y405" i="1"/>
  <c r="BP404" i="1"/>
  <c r="BN404" i="1"/>
  <c r="Z404" i="1"/>
  <c r="Z405" i="1" s="1"/>
  <c r="Y406" i="1"/>
  <c r="Y413" i="1"/>
  <c r="BP408" i="1"/>
  <c r="BN408" i="1"/>
  <c r="Z408" i="1"/>
  <c r="Y412" i="1"/>
  <c r="BP423" i="1"/>
  <c r="BN423" i="1"/>
  <c r="Z423" i="1"/>
  <c r="BP462" i="1"/>
  <c r="BN462" i="1"/>
  <c r="Z462" i="1"/>
  <c r="Y464" i="1"/>
  <c r="Y469" i="1"/>
  <c r="BP466" i="1"/>
  <c r="BN466" i="1"/>
  <c r="Z466" i="1"/>
  <c r="Y470" i="1"/>
  <c r="BP482" i="1"/>
  <c r="BN482" i="1"/>
  <c r="Z482" i="1"/>
  <c r="Z483" i="1" s="1"/>
  <c r="Y484" i="1"/>
  <c r="Z500" i="1"/>
  <c r="Y488" i="1"/>
  <c r="BP487" i="1"/>
  <c r="BN487" i="1"/>
  <c r="Z487" i="1"/>
  <c r="Z488" i="1" s="1"/>
  <c r="Y489" i="1"/>
  <c r="Y295" i="1"/>
  <c r="Y396" i="1"/>
  <c r="X500" i="1"/>
  <c r="Y433" i="1"/>
  <c r="BP424" i="1"/>
  <c r="BN424" i="1"/>
  <c r="BP426" i="1"/>
  <c r="BN426" i="1"/>
  <c r="Z426" i="1"/>
  <c r="BP430" i="1"/>
  <c r="BN430" i="1"/>
  <c r="Z430" i="1"/>
  <c r="BP438" i="1"/>
  <c r="BN438" i="1"/>
  <c r="Z438" i="1"/>
  <c r="Y449" i="1"/>
  <c r="BP442" i="1"/>
  <c r="BN442" i="1"/>
  <c r="Z442" i="1"/>
  <c r="BP446" i="1"/>
  <c r="BN446" i="1"/>
  <c r="Z446" i="1"/>
  <c r="Y455" i="1"/>
  <c r="BP460" i="1"/>
  <c r="BN460" i="1"/>
  <c r="Z460" i="1"/>
  <c r="BP468" i="1"/>
  <c r="BN468" i="1"/>
  <c r="Z468" i="1"/>
  <c r="Y475" i="1"/>
  <c r="BP472" i="1"/>
  <c r="BN472" i="1"/>
  <c r="Z472" i="1"/>
  <c r="Z474" i="1" s="1"/>
  <c r="Y483" i="1"/>
  <c r="Y500" i="1"/>
  <c r="Z463" i="1" l="1"/>
  <c r="Z412" i="1"/>
  <c r="Z395" i="1"/>
  <c r="Z295" i="1"/>
  <c r="Z204" i="1"/>
  <c r="Z193" i="1"/>
  <c r="Z188" i="1"/>
  <c r="Z178" i="1"/>
  <c r="Z150" i="1"/>
  <c r="Z110" i="1"/>
  <c r="Z104" i="1"/>
  <c r="Z77" i="1"/>
  <c r="Z63" i="1"/>
  <c r="Z376" i="1"/>
  <c r="Z275" i="1"/>
  <c r="Z117" i="1"/>
  <c r="Z96" i="1"/>
  <c r="Y492" i="1"/>
  <c r="Z31" i="1"/>
  <c r="Y494" i="1"/>
  <c r="Z326" i="1"/>
  <c r="Z216" i="1"/>
  <c r="Z57" i="1"/>
  <c r="Y491" i="1"/>
  <c r="Y493" i="1" s="1"/>
  <c r="Z469" i="1"/>
  <c r="Z433" i="1"/>
  <c r="Z319" i="1"/>
  <c r="Z313" i="1"/>
  <c r="X493" i="1"/>
  <c r="Z260" i="1"/>
  <c r="Z448" i="1"/>
  <c r="Z351" i="1"/>
  <c r="Z305" i="1"/>
  <c r="Z439" i="1"/>
  <c r="Z339" i="1"/>
  <c r="Z235" i="1"/>
  <c r="Z172" i="1"/>
  <c r="Z69" i="1"/>
  <c r="Y490" i="1"/>
  <c r="Z268" i="1"/>
  <c r="Z251" i="1"/>
  <c r="Z495" i="1" l="1"/>
</calcChain>
</file>

<file path=xl/sharedStrings.xml><?xml version="1.0" encoding="utf-8"?>
<sst xmlns="http://schemas.openxmlformats.org/spreadsheetml/2006/main" count="2356" uniqueCount="767">
  <si>
    <t xml:space="preserve">  БЛАНК ЗАКАЗА </t>
  </si>
  <si>
    <t>КИ</t>
  </si>
  <si>
    <t>на отгрузку продукции с ООО Трейд-Сервис с</t>
  </si>
  <si>
    <t>03.11.2025</t>
  </si>
  <si>
    <t>бланк создан</t>
  </si>
  <si>
    <t>29.10.2025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</si>
  <si>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</si>
  <si>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</si>
  <si>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</si>
  <si>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</si>
  <si>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</si>
  <si>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</si>
  <si>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</si>
  <si>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</si>
  <si>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</si>
  <si>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</si>
  <si>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</si>
  <si>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</si>
  <si>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</si>
  <si>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</si>
  <si>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</si>
  <si>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</si>
  <si>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</si>
  <si>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</si>
  <si>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</si>
  <si>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</si>
  <si>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</si>
  <si>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</si>
  <si>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</si>
  <si>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</si>
  <si>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</si>
  <si>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</si>
  <si>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</si>
  <si>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</si>
  <si>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</si>
  <si>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</si>
  <si>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</si>
  <si>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</si>
  <si>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</si>
  <si>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</si>
  <si>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</si>
  <si>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</si>
  <si>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</si>
  <si>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</si>
  <si>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</si>
  <si>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</si>
  <si>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</si>
  <si>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</si>
  <si>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</si>
  <si>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</si>
  <si>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</si>
  <si>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</si>
  <si>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</si>
  <si>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</si>
  <si>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</si>
  <si>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</si>
  <si>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</si>
  <si>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</si>
  <si>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</si>
  <si>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</si>
  <si>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</si>
  <si>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</si>
  <si>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</si>
  <si>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</si>
  <si>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</si>
  <si>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</si>
  <si>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</si>
  <si>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</si>
  <si>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</si>
  <si>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</si>
  <si>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</si>
  <si>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</si>
  <si>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</si>
  <si>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</si>
  <si>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</si>
  <si>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</si>
  <si>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</si>
  <si>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</si>
  <si>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</si>
  <si>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</si>
  <si>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</si>
  <si>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</si>
  <si>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</si>
  <si>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</si>
  <si>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</si>
  <si>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</si>
  <si>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</si>
  <si>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</si>
  <si>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</si>
  <si>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</si>
  <si>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</si>
  <si>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</si>
  <si>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</si>
  <si>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</si>
  <si>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</si>
  <si>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</si>
  <si>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</si>
  <si>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</si>
  <si>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</si>
  <si>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</si>
  <si>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</si>
  <si>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</si>
  <si>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</si>
  <si>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</si>
  <si>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</si>
  <si>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</si>
  <si>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</si>
  <si>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</si>
  <si>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</si>
  <si>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</si>
  <si>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</si>
  <si>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</si>
  <si>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</si>
  <si>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</si>
  <si>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</si>
  <si>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</si>
  <si>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</si>
  <si>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</si>
  <si>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</si>
  <si>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</si>
  <si>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</si>
  <si>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</si>
  <si>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</si>
  <si>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</si>
  <si>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</si>
  <si>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</si>
  <si>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</si>
  <si>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</si>
  <si>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</si>
  <si>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</si>
  <si>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</si>
  <si>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</si>
  <si>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</si>
  <si>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</si>
  <si>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</si>
  <si>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</si>
  <si>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</si>
  <si>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</si>
  <si>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</si>
  <si>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</si>
  <si>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</si>
  <si>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</si>
  <si>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</si>
  <si>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</si>
  <si>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</si>
  <si>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</si>
  <si>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</si>
  <si>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</si>
  <si>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</si>
  <si>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</si>
  <si>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</si>
  <si>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</si>
  <si>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</si>
  <si>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</si>
  <si>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</si>
  <si>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</si>
  <si>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</si>
  <si>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</si>
  <si>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Д-RU.РА09.В.07930/25, ЕАЭС N RU Д-RU.РА09.В.08380/25</t>
  </si>
  <si>
    <t>SU002825</t>
  </si>
  <si>
    <t>P004554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</si>
  <si>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</si>
  <si>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</si>
  <si>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</si>
  <si>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</si>
  <si>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</si>
  <si>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</si>
  <si>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</si>
  <si>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</si>
  <si>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</si>
  <si>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</si>
  <si>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</si>
  <si>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</si>
  <si>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</si>
  <si>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</si>
  <si>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</si>
  <si>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</si>
  <si>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</si>
  <si>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</si>
  <si>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</si>
  <si>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</si>
  <si>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</si>
  <si>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</si>
  <si>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</si>
  <si>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</si>
  <si>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</si>
  <si>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</si>
  <si>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</si>
  <si>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</si>
  <si>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</si>
  <si>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</si>
  <si>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</si>
  <si>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</si>
  <si>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</si>
  <si>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</si>
  <si>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</si>
  <si>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</si>
  <si>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</si>
  <si>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</si>
  <si>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</si>
  <si>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</si>
  <si>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</si>
  <si>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</si>
  <si>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</si>
  <si>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</si>
  <si>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</si>
  <si>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</si>
  <si>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</si>
  <si>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</si>
  <si>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</si>
  <si>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</si>
  <si>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</si>
  <si>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</si>
  <si>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</si>
  <si>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</si>
  <si>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</si>
  <si>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</si>
  <si>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</si>
  <si>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</si>
  <si>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</si>
  <si>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</si>
  <si>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</si>
  <si>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</si>
  <si>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</si>
  <si>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</si>
  <si>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</si>
  <si>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</si>
  <si>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</si>
  <si>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</si>
  <si>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</si>
  <si>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</si>
  <si>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</si>
  <si>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</si>
  <si>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</si>
  <si>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</si>
  <si>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</si>
  <si>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Новинка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</si>
  <si>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</si>
  <si>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</si>
  <si>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</si>
  <si>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</si>
  <si>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</si>
  <si>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</si>
  <si>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</si>
  <si>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</si>
  <si>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</si>
  <si>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</si>
  <si>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</si>
  <si>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</si>
  <si>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</si>
  <si>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</si>
  <si>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</si>
  <si>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</si>
  <si>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</si>
  <si>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</si>
  <si>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</si>
  <si>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</si>
  <si>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</si>
  <si>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</si>
  <si>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</si>
  <si>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</si>
  <si>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</si>
  <si>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</si>
  <si>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</si>
  <si>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</si>
  <si>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</si>
  <si>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</si>
  <si>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</si>
  <si>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</si>
  <si>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</si>
  <si>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</si>
  <si>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</si>
  <si>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</si>
  <si>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</si>
  <si>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</si>
  <si>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</si>
  <si>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</si>
  <si>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</si>
  <si>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</si>
  <si>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</si>
  <si>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</si>
  <si>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</si>
  <si>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</si>
  <si>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</si>
  <si>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</si>
  <si>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</si>
  <si>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</si>
  <si>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</si>
  <si>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</si>
  <si>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</si>
  <si>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</si>
  <si>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</si>
  <si>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</si>
  <si>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</si>
  <si>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</si>
  <si>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</si>
  <si>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</si>
  <si>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</si>
  <si>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</si>
  <si>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</si>
  <si>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</si>
  <si>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</si>
  <si>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</si>
  <si>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</si>
  <si>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</si>
  <si>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</si>
  <si>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</si>
  <si>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</si>
  <si>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</si>
  <si>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</si>
  <si>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</si>
  <si>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</si>
  <si>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</si>
  <si>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</si>
  <si>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</si>
  <si>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</si>
  <si>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</si>
  <si>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</si>
  <si>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</si>
  <si>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</si>
  <si>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</si>
  <si>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</si>
  <si>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</si>
  <si>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</si>
  <si>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</si>
  <si>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</si>
  <si>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</si>
  <si>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</si>
  <si>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</si>
  <si>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</si>
  <si>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</si>
  <si>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</si>
  <si>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</si>
  <si>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</si>
  <si>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</si>
  <si>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</si>
  <si>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</si>
  <si>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</si>
  <si>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</si>
  <si>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</si>
  <si>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</si>
  <si>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</si>
  <si>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</si>
  <si>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</si>
  <si>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</si>
  <si>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</si>
  <si>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</si>
  <si>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</si>
  <si>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</si>
  <si>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</si>
  <si>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</si>
  <si>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</si>
  <si>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</si>
  <si>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</si>
  <si>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</si>
  <si>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</si>
  <si>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</si>
  <si>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</si>
  <si>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</si>
  <si>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</si>
  <si>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</si>
  <si>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</si>
  <si>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</si>
  <si>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</si>
  <si>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</si>
  <si>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</si>
  <si>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</si>
  <si>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</si>
  <si>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</si>
  <si>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</si>
  <si>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</si>
  <si>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</si>
  <si>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</si>
  <si>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</si>
  <si>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</si>
  <si>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</si>
  <si>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</si>
  <si>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</si>
  <si>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</si>
  <si>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</si>
  <si>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</si>
  <si>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</si>
  <si>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</si>
  <si>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</si>
  <si>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</si>
  <si>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</si>
  <si>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</si>
  <si>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</si>
  <si>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</si>
  <si>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</si>
  <si>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</si>
  <si>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</si>
  <si>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</si>
  <si>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</si>
  <si>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</si>
  <si>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</si>
  <si>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</si>
  <si>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</si>
  <si>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</si>
  <si>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</si>
  <si>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</si>
  <si>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</si>
  <si>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</si>
  <si>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</si>
  <si>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</si>
  <si>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</si>
  <si>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</si>
  <si>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</si>
  <si>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</si>
  <si>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</si>
  <si>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</si>
  <si>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</si>
  <si>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</si>
  <si>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</si>
  <si>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</si>
  <si>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</si>
  <si>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</si>
  <si>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</si>
  <si>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</si>
  <si>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</si>
  <si>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</si>
  <si>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</si>
  <si>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</si>
  <si>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</si>
  <si>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</si>
  <si>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</si>
  <si>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</si>
  <si>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</si>
  <si>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</si>
  <si>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</si>
  <si>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</si>
  <si>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</si>
  <si>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</si>
  <si>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</si>
  <si>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</si>
  <si>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</si>
  <si>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</si>
  <si>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</si>
  <si>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</si>
  <si>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</si>
  <si>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</si>
  <si>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</si>
  <si>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</si>
  <si>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</si>
  <si>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</si>
  <si>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</si>
  <si>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</si>
  <si>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</si>
  <si>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</si>
  <si>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</si>
  <si>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</si>
  <si>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</si>
  <si>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</si>
  <si>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</si>
  <si>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</si>
  <si>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</si>
  <si>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</si>
  <si>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</si>
  <si>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</si>
  <si>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</si>
  <si>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</si>
  <si>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</si>
  <si>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</si>
  <si>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</si>
  <si>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</si>
  <si>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</si>
  <si>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</si>
  <si>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</si>
  <si>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</si>
  <si>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</si>
  <si>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</si>
  <si>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</si>
  <si>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</si>
  <si>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</si>
  <si>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</si>
  <si>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</si>
  <si>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</si>
  <si>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</si>
  <si>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</si>
  <si>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</si>
  <si>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</si>
  <si>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</si>
  <si>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</si>
  <si>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</si>
  <si>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</si>
  <si>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</si>
  <si>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</si>
  <si>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</si>
  <si>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</si>
  <si>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</si>
  <si>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</si>
  <si>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</si>
  <si>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</si>
  <si>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</si>
  <si>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</si>
  <si>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</si>
  <si>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</si>
  <si>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</si>
  <si>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</si>
  <si>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</si>
  <si>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</si>
  <si>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</si>
  <si>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</si>
  <si>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</si>
  <si>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</si>
  <si>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</si>
  <si>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</si>
  <si>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</si>
  <si>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</si>
  <si>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</si>
  <si>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</si>
  <si>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</si>
  <si>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</si>
  <si>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</si>
  <si>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</si>
  <si>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</si>
  <si>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</si>
  <si>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</si>
  <si>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</si>
  <si>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</si>
  <si>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</si>
  <si>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</si>
  <si>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</si>
  <si>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</si>
  <si>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</si>
  <si>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</si>
  <si>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</si>
  <si>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</si>
  <si>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</si>
  <si>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</si>
  <si>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</si>
  <si>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</si>
  <si>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</si>
  <si>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</si>
  <si>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</si>
  <si>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</si>
  <si>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</si>
  <si>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</si>
  <si>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</si>
  <si>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</si>
  <si>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</si>
  <si>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</si>
  <si>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</si>
  <si>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</si>
  <si>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</si>
  <si>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</si>
  <si>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</si>
  <si>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P002584</t>
  </si>
  <si>
    <t>ЕАЭС N RU Д-RU.РА09.В.35957/22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</si>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</sst>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7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317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0" fontId="35" fillId="0" borderId="0" xfId="0" applyFont="1" applyProtection="1">
      <protection hidden="1"/>
    </xf>
    <xf numFmtId="0" fontId="1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20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36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50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59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0"/>
  <sheetViews>
    <sheetView showGridLines="0" tabSelected="1" zoomScaleNormal="100" zoomScaleSheetLayoutView="100" workbookViewId="0">
      <selection activeCell="AA56" sqref="AA56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799" t="s">
        <v>0</v>
      </c>
      <c r="E1" s="569"/>
      <c r="F1" s="569"/>
      <c r="G1" s="12" t="s">
        <v>1</v>
      </c>
      <c r="H1" s="799" t="s">
        <v>2</v>
      </c>
      <c r="I1" s="569"/>
      <c r="J1" s="569"/>
      <c r="K1" s="569"/>
      <c r="L1" s="569"/>
      <c r="M1" s="569"/>
      <c r="N1" s="569"/>
      <c r="O1" s="569"/>
      <c r="P1" s="569"/>
      <c r="Q1" s="569"/>
      <c r="R1" s="850" t="s">
        <v>3</v>
      </c>
      <c r="S1" s="569"/>
      <c r="T1" s="56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766" t="s">
        <v>8</v>
      </c>
      <c r="B5" s="592"/>
      <c r="C5" s="579"/>
      <c r="D5" s="664"/>
      <c r="E5" s="666"/>
      <c r="F5" s="629" t="s">
        <v>9</v>
      </c>
      <c r="G5" s="579"/>
      <c r="H5" s="664" t="s">
        <v>766</v>
      </c>
      <c r="I5" s="665"/>
      <c r="J5" s="665"/>
      <c r="K5" s="665"/>
      <c r="L5" s="665"/>
      <c r="M5" s="666"/>
      <c r="N5" s="58"/>
      <c r="P5" s="24" t="s">
        <v>10</v>
      </c>
      <c r="Q5" s="580">
        <v>45967</v>
      </c>
      <c r="R5" s="581"/>
      <c r="T5" s="741" t="s">
        <v>11</v>
      </c>
      <c r="U5" s="732"/>
      <c r="V5" s="743" t="s">
        <v>12</v>
      </c>
      <c r="W5" s="581"/>
      <c r="AB5" s="51"/>
      <c r="AC5" s="51"/>
      <c r="AD5" s="51"/>
      <c r="AE5" s="51"/>
    </row>
    <row r="6" spans="1:32" s="537" customFormat="1" ht="24" customHeight="1" x14ac:dyDescent="0.2">
      <c r="A6" s="766" t="s">
        <v>13</v>
      </c>
      <c r="B6" s="592"/>
      <c r="C6" s="579"/>
      <c r="D6" s="669" t="s">
        <v>14</v>
      </c>
      <c r="E6" s="670"/>
      <c r="F6" s="670"/>
      <c r="G6" s="670"/>
      <c r="H6" s="670"/>
      <c r="I6" s="670"/>
      <c r="J6" s="670"/>
      <c r="K6" s="670"/>
      <c r="L6" s="670"/>
      <c r="M6" s="581"/>
      <c r="N6" s="59"/>
      <c r="P6" s="24" t="s">
        <v>15</v>
      </c>
      <c r="Q6" s="589" t="str">
        <f>IF(Q5=0," ",CHOOSE(WEEKDAY(Q5,2),"Понедельник","Вторник","Среда","Четверг","Пятница","Суббота","Воскресенье"))</f>
        <v>Четверг</v>
      </c>
      <c r="R6" s="561"/>
      <c r="T6" s="731" t="s">
        <v>16</v>
      </c>
      <c r="U6" s="732"/>
      <c r="V6" s="677" t="s">
        <v>17</v>
      </c>
      <c r="W6" s="678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823" t="str">
        <f>IFERROR(VLOOKUP(DeliveryAddress,Table,3,0),1)</f>
        <v>1</v>
      </c>
      <c r="E7" s="824"/>
      <c r="F7" s="824"/>
      <c r="G7" s="824"/>
      <c r="H7" s="824"/>
      <c r="I7" s="824"/>
      <c r="J7" s="824"/>
      <c r="K7" s="824"/>
      <c r="L7" s="824"/>
      <c r="M7" s="747"/>
      <c r="N7" s="60"/>
      <c r="P7" s="24"/>
      <c r="Q7" s="42"/>
      <c r="R7" s="42"/>
      <c r="T7" s="555"/>
      <c r="U7" s="732"/>
      <c r="V7" s="679"/>
      <c r="W7" s="680"/>
      <c r="AB7" s="51"/>
      <c r="AC7" s="51"/>
      <c r="AD7" s="51"/>
      <c r="AE7" s="51"/>
    </row>
    <row r="8" spans="1:32" s="537" customFormat="1" ht="25.5" customHeight="1" x14ac:dyDescent="0.2">
      <c r="A8" s="547" t="s">
        <v>18</v>
      </c>
      <c r="B8" s="548"/>
      <c r="C8" s="549"/>
      <c r="D8" s="831" t="s">
        <v>19</v>
      </c>
      <c r="E8" s="832"/>
      <c r="F8" s="832"/>
      <c r="G8" s="832"/>
      <c r="H8" s="832"/>
      <c r="I8" s="832"/>
      <c r="J8" s="832"/>
      <c r="K8" s="832"/>
      <c r="L8" s="832"/>
      <c r="M8" s="833"/>
      <c r="N8" s="61"/>
      <c r="P8" s="24" t="s">
        <v>20</v>
      </c>
      <c r="Q8" s="746">
        <v>0.45833333333333331</v>
      </c>
      <c r="R8" s="747"/>
      <c r="T8" s="555"/>
      <c r="U8" s="732"/>
      <c r="V8" s="679"/>
      <c r="W8" s="680"/>
      <c r="AB8" s="51"/>
      <c r="AC8" s="51"/>
      <c r="AD8" s="51"/>
      <c r="AE8" s="51"/>
    </row>
    <row r="9" spans="1:32" s="537" customFormat="1" ht="39.950000000000003" customHeight="1" x14ac:dyDescent="0.2">
      <c r="A9" s="55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24"/>
      <c r="E9" s="625"/>
      <c r="F9" s="55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714" t="str">
        <f>IF(AND($A$9="Тип доверенности/получателя при получении в адресе перегруза:",$D$9="Разовая доверенность"),"Введите ФИО","")</f>
        <v/>
      </c>
      <c r="I9" s="625"/>
      <c r="J9" s="71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5"/>
      <c r="L9" s="625"/>
      <c r="M9" s="625"/>
      <c r="N9" s="535"/>
      <c r="P9" s="26" t="s">
        <v>21</v>
      </c>
      <c r="Q9" s="779"/>
      <c r="R9" s="631"/>
      <c r="T9" s="555"/>
      <c r="U9" s="732"/>
      <c r="V9" s="681"/>
      <c r="W9" s="682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55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24"/>
      <c r="E10" s="625"/>
      <c r="F10" s="55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693" t="str">
        <f>IFERROR(VLOOKUP($D$10,Proxy,2,FALSE),"")</f>
        <v/>
      </c>
      <c r="I10" s="555"/>
      <c r="J10" s="555"/>
      <c r="K10" s="555"/>
      <c r="L10" s="555"/>
      <c r="M10" s="555"/>
      <c r="N10" s="536"/>
      <c r="P10" s="26" t="s">
        <v>22</v>
      </c>
      <c r="Q10" s="733"/>
      <c r="R10" s="734"/>
      <c r="U10" s="24" t="s">
        <v>23</v>
      </c>
      <c r="V10" s="867" t="s">
        <v>24</v>
      </c>
      <c r="W10" s="678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81"/>
      <c r="R11" s="581"/>
      <c r="U11" s="24" t="s">
        <v>27</v>
      </c>
      <c r="V11" s="630" t="s">
        <v>28</v>
      </c>
      <c r="W11" s="631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22" t="s">
        <v>29</v>
      </c>
      <c r="B12" s="592"/>
      <c r="C12" s="592"/>
      <c r="D12" s="592"/>
      <c r="E12" s="592"/>
      <c r="F12" s="592"/>
      <c r="G12" s="592"/>
      <c r="H12" s="592"/>
      <c r="I12" s="592"/>
      <c r="J12" s="592"/>
      <c r="K12" s="592"/>
      <c r="L12" s="592"/>
      <c r="M12" s="579"/>
      <c r="N12" s="62"/>
      <c r="P12" s="24" t="s">
        <v>30</v>
      </c>
      <c r="Q12" s="746"/>
      <c r="R12" s="747"/>
      <c r="S12" s="23"/>
      <c r="U12" s="24"/>
      <c r="V12" s="569"/>
      <c r="W12" s="555"/>
      <c r="AB12" s="51"/>
      <c r="AC12" s="51"/>
      <c r="AD12" s="51"/>
      <c r="AE12" s="51"/>
    </row>
    <row r="13" spans="1:32" s="537" customFormat="1" ht="23.25" customHeight="1" x14ac:dyDescent="0.2">
      <c r="A13" s="722" t="s">
        <v>31</v>
      </c>
      <c r="B13" s="592"/>
      <c r="C13" s="592"/>
      <c r="D13" s="592"/>
      <c r="E13" s="592"/>
      <c r="F13" s="592"/>
      <c r="G13" s="592"/>
      <c r="H13" s="592"/>
      <c r="I13" s="592"/>
      <c r="J13" s="592"/>
      <c r="K13" s="592"/>
      <c r="L13" s="592"/>
      <c r="M13" s="579"/>
      <c r="N13" s="62"/>
      <c r="O13" s="26"/>
      <c r="P13" s="26" t="s">
        <v>32</v>
      </c>
      <c r="Q13" s="630"/>
      <c r="R13" s="63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22" t="s">
        <v>33</v>
      </c>
      <c r="B14" s="592"/>
      <c r="C14" s="592"/>
      <c r="D14" s="592"/>
      <c r="E14" s="592"/>
      <c r="F14" s="592"/>
      <c r="G14" s="592"/>
      <c r="H14" s="592"/>
      <c r="I14" s="592"/>
      <c r="J14" s="592"/>
      <c r="K14" s="592"/>
      <c r="L14" s="592"/>
      <c r="M14" s="57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24" t="s">
        <v>34</v>
      </c>
      <c r="B15" s="592"/>
      <c r="C15" s="592"/>
      <c r="D15" s="592"/>
      <c r="E15" s="592"/>
      <c r="F15" s="592"/>
      <c r="G15" s="592"/>
      <c r="H15" s="592"/>
      <c r="I15" s="592"/>
      <c r="J15" s="592"/>
      <c r="K15" s="592"/>
      <c r="L15" s="592"/>
      <c r="M15" s="579"/>
      <c r="N15" s="63"/>
      <c r="P15" s="759" t="s">
        <v>35</v>
      </c>
      <c r="Q15" s="569"/>
      <c r="R15" s="569"/>
      <c r="S15" s="569"/>
      <c r="T15" s="56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0"/>
      <c r="Q16" s="760"/>
      <c r="R16" s="760"/>
      <c r="S16" s="760"/>
      <c r="T16" s="76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63" t="s">
        <v>36</v>
      </c>
      <c r="B17" s="563" t="s">
        <v>37</v>
      </c>
      <c r="C17" s="768" t="s">
        <v>38</v>
      </c>
      <c r="D17" s="563" t="s">
        <v>39</v>
      </c>
      <c r="E17" s="564"/>
      <c r="F17" s="563" t="s">
        <v>40</v>
      </c>
      <c r="G17" s="563" t="s">
        <v>41</v>
      </c>
      <c r="H17" s="563" t="s">
        <v>42</v>
      </c>
      <c r="I17" s="563" t="s">
        <v>43</v>
      </c>
      <c r="J17" s="563" t="s">
        <v>44</v>
      </c>
      <c r="K17" s="563" t="s">
        <v>45</v>
      </c>
      <c r="L17" s="563" t="s">
        <v>46</v>
      </c>
      <c r="M17" s="563" t="s">
        <v>47</v>
      </c>
      <c r="N17" s="563" t="s">
        <v>48</v>
      </c>
      <c r="O17" s="563" t="s">
        <v>49</v>
      </c>
      <c r="P17" s="563" t="s">
        <v>50</v>
      </c>
      <c r="Q17" s="801"/>
      <c r="R17" s="801"/>
      <c r="S17" s="801"/>
      <c r="T17" s="564"/>
      <c r="U17" s="578" t="s">
        <v>51</v>
      </c>
      <c r="V17" s="579"/>
      <c r="W17" s="563" t="s">
        <v>52</v>
      </c>
      <c r="X17" s="563" t="s">
        <v>53</v>
      </c>
      <c r="Y17" s="576" t="s">
        <v>54</v>
      </c>
      <c r="Z17" s="690" t="s">
        <v>55</v>
      </c>
      <c r="AA17" s="609" t="s">
        <v>56</v>
      </c>
      <c r="AB17" s="609" t="s">
        <v>57</v>
      </c>
      <c r="AC17" s="609" t="s">
        <v>58</v>
      </c>
      <c r="AD17" s="609" t="s">
        <v>59</v>
      </c>
      <c r="AE17" s="610"/>
      <c r="AF17" s="611"/>
      <c r="AG17" s="66"/>
      <c r="BD17" s="65" t="s">
        <v>60</v>
      </c>
    </row>
    <row r="18" spans="1:68" ht="14.25" customHeight="1" x14ac:dyDescent="0.2">
      <c r="A18" s="568"/>
      <c r="B18" s="568"/>
      <c r="C18" s="568"/>
      <c r="D18" s="565"/>
      <c r="E18" s="566"/>
      <c r="F18" s="568"/>
      <c r="G18" s="568"/>
      <c r="H18" s="568"/>
      <c r="I18" s="568"/>
      <c r="J18" s="568"/>
      <c r="K18" s="568"/>
      <c r="L18" s="568"/>
      <c r="M18" s="568"/>
      <c r="N18" s="568"/>
      <c r="O18" s="568"/>
      <c r="P18" s="565"/>
      <c r="Q18" s="802"/>
      <c r="R18" s="802"/>
      <c r="S18" s="802"/>
      <c r="T18" s="566"/>
      <c r="U18" s="67" t="s">
        <v>61</v>
      </c>
      <c r="V18" s="67" t="s">
        <v>62</v>
      </c>
      <c r="W18" s="568"/>
      <c r="X18" s="568"/>
      <c r="Y18" s="577"/>
      <c r="Z18" s="691"/>
      <c r="AA18" s="663"/>
      <c r="AB18" s="663"/>
      <c r="AC18" s="663"/>
      <c r="AD18" s="612"/>
      <c r="AE18" s="613"/>
      <c r="AF18" s="614"/>
      <c r="AG18" s="66"/>
      <c r="BD18" s="65"/>
    </row>
    <row r="19" spans="1:68" ht="27.75" hidden="1" customHeight="1" x14ac:dyDescent="0.2">
      <c r="A19" s="647" t="s">
        <v>63</v>
      </c>
      <c r="B19" s="648"/>
      <c r="C19" s="648"/>
      <c r="D19" s="648"/>
      <c r="E19" s="648"/>
      <c r="F19" s="648"/>
      <c r="G19" s="648"/>
      <c r="H19" s="648"/>
      <c r="I19" s="648"/>
      <c r="J19" s="648"/>
      <c r="K19" s="648"/>
      <c r="L19" s="648"/>
      <c r="M19" s="648"/>
      <c r="N19" s="648"/>
      <c r="O19" s="648"/>
      <c r="P19" s="648"/>
      <c r="Q19" s="648"/>
      <c r="R19" s="648"/>
      <c r="S19" s="648"/>
      <c r="T19" s="648"/>
      <c r="U19" s="648"/>
      <c r="V19" s="648"/>
      <c r="W19" s="648"/>
      <c r="X19" s="648"/>
      <c r="Y19" s="648"/>
      <c r="Z19" s="648"/>
      <c r="AA19" s="48"/>
      <c r="AB19" s="48"/>
      <c r="AC19" s="48"/>
    </row>
    <row r="20" spans="1:68" ht="16.5" hidden="1" customHeight="1" x14ac:dyDescent="0.25">
      <c r="A20" s="599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8"/>
      <c r="AB20" s="538"/>
      <c r="AC20" s="538"/>
    </row>
    <row r="21" spans="1:68" ht="14.25" hidden="1" customHeight="1" x14ac:dyDescent="0.25">
      <c r="A21" s="559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9"/>
      <c r="AB21" s="539"/>
      <c r="AC21" s="539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60">
        <v>4680115886643</v>
      </c>
      <c r="E22" s="561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68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1"/>
      <c r="R22" s="551"/>
      <c r="S22" s="551"/>
      <c r="T22" s="552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53" t="s">
        <v>71</v>
      </c>
      <c r="Q23" s="548"/>
      <c r="R23" s="548"/>
      <c r="S23" s="548"/>
      <c r="T23" s="548"/>
      <c r="U23" s="548"/>
      <c r="V23" s="549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hidden="1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53" t="s">
        <v>71</v>
      </c>
      <c r="Q24" s="548"/>
      <c r="R24" s="548"/>
      <c r="S24" s="548"/>
      <c r="T24" s="548"/>
      <c r="U24" s="548"/>
      <c r="V24" s="549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hidden="1" customHeight="1" x14ac:dyDescent="0.25">
      <c r="A25" s="559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9"/>
      <c r="AB25" s="539"/>
      <c r="AC25" s="539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60">
        <v>4680115885912</v>
      </c>
      <c r="E26" s="561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8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1"/>
      <c r="R26" s="551"/>
      <c r="S26" s="551"/>
      <c r="T26" s="552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60">
        <v>4607091388237</v>
      </c>
      <c r="E27" s="561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0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1"/>
      <c r="R27" s="551"/>
      <c r="S27" s="551"/>
      <c r="T27" s="552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60">
        <v>4680115887350</v>
      </c>
      <c r="E28" s="561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85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1"/>
      <c r="R28" s="551"/>
      <c r="S28" s="551"/>
      <c r="T28" s="552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60">
        <v>4680115885905</v>
      </c>
      <c r="E29" s="561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82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1"/>
      <c r="R29" s="551"/>
      <c r="S29" s="551"/>
      <c r="T29" s="552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91</v>
      </c>
      <c r="B30" s="54" t="s">
        <v>92</v>
      </c>
      <c r="C30" s="31">
        <v>4301051851</v>
      </c>
      <c r="D30" s="560">
        <v>4607091388244</v>
      </c>
      <c r="E30" s="561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85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1"/>
      <c r="R30" s="551"/>
      <c r="S30" s="551"/>
      <c r="T30" s="552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53" t="s">
        <v>71</v>
      </c>
      <c r="Q31" s="548"/>
      <c r="R31" s="548"/>
      <c r="S31" s="548"/>
      <c r="T31" s="548"/>
      <c r="U31" s="548"/>
      <c r="V31" s="549"/>
      <c r="W31" s="37" t="s">
        <v>72</v>
      </c>
      <c r="X31" s="545">
        <f>IFERROR(X26/H26,"0")+IFERROR(X27/H27,"0")+IFERROR(X28/H28,"0")+IFERROR(X29/H29,"0")+IFERROR(X30/H30,"0")</f>
        <v>0</v>
      </c>
      <c r="Y31" s="545">
        <f>IFERROR(Y26/H26,"0")+IFERROR(Y27/H27,"0")+IFERROR(Y28/H28,"0")+IFERROR(Y29/H29,"0")+IFERROR(Y30/H30,"0")</f>
        <v>0</v>
      </c>
      <c r="Z31" s="545">
        <f>IFERROR(IF(Z26="",0,Z26),"0")+IFERROR(IF(Z27="",0,Z27),"0")+IFERROR(IF(Z28="",0,Z28),"0")+IFERROR(IF(Z29="",0,Z29),"0")+IFERROR(IF(Z30="",0,Z30),"0")</f>
        <v>0</v>
      </c>
      <c r="AA31" s="546"/>
      <c r="AB31" s="546"/>
      <c r="AC31" s="546"/>
    </row>
    <row r="32" spans="1:68" hidden="1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53" t="s">
        <v>71</v>
      </c>
      <c r="Q32" s="548"/>
      <c r="R32" s="548"/>
      <c r="S32" s="548"/>
      <c r="T32" s="548"/>
      <c r="U32" s="548"/>
      <c r="V32" s="549"/>
      <c r="W32" s="37" t="s">
        <v>69</v>
      </c>
      <c r="X32" s="545">
        <f>IFERROR(SUM(X26:X30),"0")</f>
        <v>0</v>
      </c>
      <c r="Y32" s="545">
        <f>IFERROR(SUM(Y26:Y30),"0")</f>
        <v>0</v>
      </c>
      <c r="Z32" s="37"/>
      <c r="AA32" s="546"/>
      <c r="AB32" s="546"/>
      <c r="AC32" s="546"/>
    </row>
    <row r="33" spans="1:68" ht="14.25" hidden="1" customHeight="1" x14ac:dyDescent="0.25">
      <c r="A33" s="559" t="s">
        <v>93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9"/>
      <c r="AB33" s="539"/>
      <c r="AC33" s="539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60">
        <v>4607091388503</v>
      </c>
      <c r="E34" s="561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64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1"/>
      <c r="R34" s="551"/>
      <c r="S34" s="551"/>
      <c r="T34" s="552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53" t="s">
        <v>71</v>
      </c>
      <c r="Q35" s="548"/>
      <c r="R35" s="548"/>
      <c r="S35" s="548"/>
      <c r="T35" s="548"/>
      <c r="U35" s="548"/>
      <c r="V35" s="549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hidden="1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53" t="s">
        <v>71</v>
      </c>
      <c r="Q36" s="548"/>
      <c r="R36" s="548"/>
      <c r="S36" s="548"/>
      <c r="T36" s="548"/>
      <c r="U36" s="548"/>
      <c r="V36" s="549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hidden="1" customHeight="1" x14ac:dyDescent="0.2">
      <c r="A37" s="647" t="s">
        <v>99</v>
      </c>
      <c r="B37" s="648"/>
      <c r="C37" s="648"/>
      <c r="D37" s="648"/>
      <c r="E37" s="648"/>
      <c r="F37" s="648"/>
      <c r="G37" s="648"/>
      <c r="H37" s="648"/>
      <c r="I37" s="648"/>
      <c r="J37" s="648"/>
      <c r="K37" s="648"/>
      <c r="L37" s="648"/>
      <c r="M37" s="648"/>
      <c r="N37" s="648"/>
      <c r="O37" s="648"/>
      <c r="P37" s="648"/>
      <c r="Q37" s="648"/>
      <c r="R37" s="648"/>
      <c r="S37" s="648"/>
      <c r="T37" s="648"/>
      <c r="U37" s="648"/>
      <c r="V37" s="648"/>
      <c r="W37" s="648"/>
      <c r="X37" s="648"/>
      <c r="Y37" s="648"/>
      <c r="Z37" s="648"/>
      <c r="AA37" s="48"/>
      <c r="AB37" s="48"/>
      <c r="AC37" s="48"/>
    </row>
    <row r="38" spans="1:68" ht="16.5" hidden="1" customHeight="1" x14ac:dyDescent="0.25">
      <c r="A38" s="599" t="s">
        <v>100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8"/>
      <c r="AB38" s="538"/>
      <c r="AC38" s="538"/>
    </row>
    <row r="39" spans="1:68" ht="14.25" hidden="1" customHeight="1" x14ac:dyDescent="0.25">
      <c r="A39" s="559" t="s">
        <v>101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9"/>
      <c r="AB39" s="539"/>
      <c r="AC39" s="539"/>
    </row>
    <row r="40" spans="1:68" ht="16.5" hidden="1" customHeight="1" x14ac:dyDescent="0.25">
      <c r="A40" s="54" t="s">
        <v>102</v>
      </c>
      <c r="B40" s="54" t="s">
        <v>103</v>
      </c>
      <c r="C40" s="31">
        <v>4301011380</v>
      </c>
      <c r="D40" s="560">
        <v>4607091385670</v>
      </c>
      <c r="E40" s="561"/>
      <c r="F40" s="542">
        <v>1.35</v>
      </c>
      <c r="G40" s="32">
        <v>8</v>
      </c>
      <c r="H40" s="542">
        <v>10.8</v>
      </c>
      <c r="I40" s="542">
        <v>11.234999999999999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68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1"/>
      <c r="R40" s="551"/>
      <c r="S40" s="551"/>
      <c r="T40" s="552"/>
      <c r="U40" s="34"/>
      <c r="V40" s="34"/>
      <c r="W40" s="35" t="s">
        <v>69</v>
      </c>
      <c r="X40" s="543">
        <v>0</v>
      </c>
      <c r="Y40" s="544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108</v>
      </c>
      <c r="B41" s="54" t="s">
        <v>109</v>
      </c>
      <c r="C41" s="31">
        <v>4301011382</v>
      </c>
      <c r="D41" s="560">
        <v>4607091385687</v>
      </c>
      <c r="E41" s="561"/>
      <c r="F41" s="542">
        <v>0.4</v>
      </c>
      <c r="G41" s="32">
        <v>10</v>
      </c>
      <c r="H41" s="542">
        <v>4</v>
      </c>
      <c r="I41" s="542">
        <v>4.21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6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1"/>
      <c r="R41" s="551"/>
      <c r="S41" s="551"/>
      <c r="T41" s="552"/>
      <c r="U41" s="34"/>
      <c r="V41" s="34"/>
      <c r="W41" s="35" t="s">
        <v>69</v>
      </c>
      <c r="X41" s="543">
        <v>0</v>
      </c>
      <c r="Y41" s="544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60">
        <v>4680115882539</v>
      </c>
      <c r="E42" s="561"/>
      <c r="F42" s="542">
        <v>0.37</v>
      </c>
      <c r="G42" s="32">
        <v>10</v>
      </c>
      <c r="H42" s="542">
        <v>3.7</v>
      </c>
      <c r="I42" s="542">
        <v>3.91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82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1"/>
      <c r="R42" s="551"/>
      <c r="S42" s="551"/>
      <c r="T42" s="552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53" t="s">
        <v>71</v>
      </c>
      <c r="Q43" s="548"/>
      <c r="R43" s="548"/>
      <c r="S43" s="548"/>
      <c r="T43" s="548"/>
      <c r="U43" s="548"/>
      <c r="V43" s="549"/>
      <c r="W43" s="37" t="s">
        <v>72</v>
      </c>
      <c r="X43" s="545">
        <f>IFERROR(X40/H40,"0")+IFERROR(X41/H41,"0")+IFERROR(X42/H42,"0")</f>
        <v>0</v>
      </c>
      <c r="Y43" s="545">
        <f>IFERROR(Y40/H40,"0")+IFERROR(Y41/H41,"0")+IFERROR(Y42/H42,"0")</f>
        <v>0</v>
      </c>
      <c r="Z43" s="545">
        <f>IFERROR(IF(Z40="",0,Z40),"0")+IFERROR(IF(Z41="",0,Z41),"0")+IFERROR(IF(Z42="",0,Z42),"0")</f>
        <v>0</v>
      </c>
      <c r="AA43" s="546"/>
      <c r="AB43" s="546"/>
      <c r="AC43" s="546"/>
    </row>
    <row r="44" spans="1:68" hidden="1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53" t="s">
        <v>71</v>
      </c>
      <c r="Q44" s="548"/>
      <c r="R44" s="548"/>
      <c r="S44" s="548"/>
      <c r="T44" s="548"/>
      <c r="U44" s="548"/>
      <c r="V44" s="549"/>
      <c r="W44" s="37" t="s">
        <v>69</v>
      </c>
      <c r="X44" s="545">
        <f>IFERROR(SUM(X40:X42),"0")</f>
        <v>0</v>
      </c>
      <c r="Y44" s="545">
        <f>IFERROR(SUM(Y40:Y42),"0")</f>
        <v>0</v>
      </c>
      <c r="Z44" s="37"/>
      <c r="AA44" s="546"/>
      <c r="AB44" s="546"/>
      <c r="AC44" s="546"/>
    </row>
    <row r="45" spans="1:68" ht="14.25" hidden="1" customHeight="1" x14ac:dyDescent="0.25">
      <c r="A45" s="559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9"/>
      <c r="AB45" s="539"/>
      <c r="AC45" s="539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60">
        <v>4680115884915</v>
      </c>
      <c r="E46" s="561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0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1"/>
      <c r="R46" s="551"/>
      <c r="S46" s="551"/>
      <c r="T46" s="552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53" t="s">
        <v>71</v>
      </c>
      <c r="Q47" s="548"/>
      <c r="R47" s="548"/>
      <c r="S47" s="548"/>
      <c r="T47" s="548"/>
      <c r="U47" s="548"/>
      <c r="V47" s="549"/>
      <c r="W47" s="37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hidden="1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53" t="s">
        <v>71</v>
      </c>
      <c r="Q48" s="548"/>
      <c r="R48" s="548"/>
      <c r="S48" s="548"/>
      <c r="T48" s="548"/>
      <c r="U48" s="548"/>
      <c r="V48" s="549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hidden="1" customHeight="1" x14ac:dyDescent="0.25">
      <c r="A49" s="599" t="s">
        <v>117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8"/>
      <c r="AB49" s="538"/>
      <c r="AC49" s="538"/>
    </row>
    <row r="50" spans="1:68" ht="14.25" hidden="1" customHeight="1" x14ac:dyDescent="0.25">
      <c r="A50" s="559" t="s">
        <v>101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9"/>
      <c r="AB50" s="539"/>
      <c r="AC50" s="539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60">
        <v>4680115885882</v>
      </c>
      <c r="E51" s="561"/>
      <c r="F51" s="542">
        <v>1.4</v>
      </c>
      <c r="G51" s="32">
        <v>8</v>
      </c>
      <c r="H51" s="542">
        <v>11.2</v>
      </c>
      <c r="I51" s="542">
        <v>11.635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5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1"/>
      <c r="R51" s="551"/>
      <c r="S51" s="551"/>
      <c r="T51" s="552"/>
      <c r="U51" s="34"/>
      <c r="V51" s="34"/>
      <c r="W51" s="35" t="s">
        <v>69</v>
      </c>
      <c r="X51" s="543">
        <v>0</v>
      </c>
      <c r="Y51" s="544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121</v>
      </c>
      <c r="B52" s="54" t="s">
        <v>122</v>
      </c>
      <c r="C52" s="31">
        <v>4301011816</v>
      </c>
      <c r="D52" s="560">
        <v>4680115881426</v>
      </c>
      <c r="E52" s="561"/>
      <c r="F52" s="542">
        <v>1.35</v>
      </c>
      <c r="G52" s="32">
        <v>8</v>
      </c>
      <c r="H52" s="542">
        <v>10.8</v>
      </c>
      <c r="I52" s="542">
        <v>11.234999999999999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80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1"/>
      <c r="R52" s="551"/>
      <c r="S52" s="551"/>
      <c r="T52" s="552"/>
      <c r="U52" s="34"/>
      <c r="V52" s="34"/>
      <c r="W52" s="35" t="s">
        <v>69</v>
      </c>
      <c r="X52" s="543">
        <v>0</v>
      </c>
      <c r="Y52" s="544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 t="s">
        <v>90</v>
      </c>
      <c r="AK52" s="68">
        <v>10.8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60">
        <v>4680115880283</v>
      </c>
      <c r="E53" s="561"/>
      <c r="F53" s="542">
        <v>0.6</v>
      </c>
      <c r="G53" s="32">
        <v>8</v>
      </c>
      <c r="H53" s="542">
        <v>4.8</v>
      </c>
      <c r="I53" s="542">
        <v>5.01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78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1"/>
      <c r="R53" s="551"/>
      <c r="S53" s="551"/>
      <c r="T53" s="552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127</v>
      </c>
      <c r="B54" s="54" t="s">
        <v>128</v>
      </c>
      <c r="C54" s="31">
        <v>4301011806</v>
      </c>
      <c r="D54" s="560">
        <v>4680115881525</v>
      </c>
      <c r="E54" s="561"/>
      <c r="F54" s="542">
        <v>0.4</v>
      </c>
      <c r="G54" s="32">
        <v>10</v>
      </c>
      <c r="H54" s="542">
        <v>4</v>
      </c>
      <c r="I54" s="542">
        <v>4.21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6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1"/>
      <c r="R54" s="551"/>
      <c r="S54" s="551"/>
      <c r="T54" s="552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60">
        <v>4680115885899</v>
      </c>
      <c r="E55" s="561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77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1"/>
      <c r="R55" s="551"/>
      <c r="S55" s="551"/>
      <c r="T55" s="552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60">
        <v>4680115881419</v>
      </c>
      <c r="E56" s="561"/>
      <c r="F56" s="542">
        <v>0.45</v>
      </c>
      <c r="G56" s="32">
        <v>10</v>
      </c>
      <c r="H56" s="542">
        <v>4.5</v>
      </c>
      <c r="I56" s="542">
        <v>4.71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86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1"/>
      <c r="R56" s="551"/>
      <c r="S56" s="551"/>
      <c r="T56" s="552"/>
      <c r="U56" s="34"/>
      <c r="V56" s="34"/>
      <c r="W56" s="35" t="s">
        <v>69</v>
      </c>
      <c r="X56" s="543">
        <v>12</v>
      </c>
      <c r="Y56" s="544">
        <f t="shared" si="0"/>
        <v>13.5</v>
      </c>
      <c r="Z56" s="36">
        <f>IFERROR(IF(Y56=0,"",ROUNDUP(Y56/H56,0)*0.00902),"")</f>
        <v>2.7060000000000001E-2</v>
      </c>
      <c r="AA56" s="56"/>
      <c r="AB56" s="57"/>
      <c r="AC56" s="101" t="s">
        <v>135</v>
      </c>
      <c r="AG56" s="64"/>
      <c r="AJ56" s="68" t="s">
        <v>90</v>
      </c>
      <c r="AK56" s="68">
        <v>4.5</v>
      </c>
      <c r="BB56" s="102" t="s">
        <v>1</v>
      </c>
      <c r="BM56" s="64">
        <f t="shared" si="1"/>
        <v>12.559999999999999</v>
      </c>
      <c r="BN56" s="64">
        <f t="shared" si="2"/>
        <v>14.13</v>
      </c>
      <c r="BO56" s="64">
        <f t="shared" si="3"/>
        <v>2.02020202020202E-2</v>
      </c>
      <c r="BP56" s="64">
        <f t="shared" si="4"/>
        <v>2.2727272727272728E-2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53" t="s">
        <v>71</v>
      </c>
      <c r="Q57" s="548"/>
      <c r="R57" s="548"/>
      <c r="S57" s="548"/>
      <c r="T57" s="548"/>
      <c r="U57" s="548"/>
      <c r="V57" s="549"/>
      <c r="W57" s="37" t="s">
        <v>72</v>
      </c>
      <c r="X57" s="545">
        <f>IFERROR(X51/H51,"0")+IFERROR(X52/H52,"0")+IFERROR(X53/H53,"0")+IFERROR(X54/H54,"0")+IFERROR(X55/H55,"0")+IFERROR(X56/H56,"0")</f>
        <v>2.6666666666666665</v>
      </c>
      <c r="Y57" s="545">
        <f>IFERROR(Y51/H51,"0")+IFERROR(Y52/H52,"0")+IFERROR(Y53/H53,"0")+IFERROR(Y54/H54,"0")+IFERROR(Y55/H55,"0")+IFERROR(Y56/H56,"0")</f>
        <v>3</v>
      </c>
      <c r="Z57" s="545">
        <f>IFERROR(IF(Z51="",0,Z51),"0")+IFERROR(IF(Z52="",0,Z52),"0")+IFERROR(IF(Z53="",0,Z53),"0")+IFERROR(IF(Z54="",0,Z54),"0")+IFERROR(IF(Z55="",0,Z55),"0")+IFERROR(IF(Z56="",0,Z56),"0")</f>
        <v>2.7060000000000001E-2</v>
      </c>
      <c r="AA57" s="546"/>
      <c r="AB57" s="546"/>
      <c r="AC57" s="546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53" t="s">
        <v>71</v>
      </c>
      <c r="Q58" s="548"/>
      <c r="R58" s="548"/>
      <c r="S58" s="548"/>
      <c r="T58" s="548"/>
      <c r="U58" s="548"/>
      <c r="V58" s="549"/>
      <c r="W58" s="37" t="s">
        <v>69</v>
      </c>
      <c r="X58" s="545">
        <f>IFERROR(SUM(X51:X56),"0")</f>
        <v>12</v>
      </c>
      <c r="Y58" s="545">
        <f>IFERROR(SUM(Y51:Y56),"0")</f>
        <v>13.5</v>
      </c>
      <c r="Z58" s="37"/>
      <c r="AA58" s="546"/>
      <c r="AB58" s="546"/>
      <c r="AC58" s="546"/>
    </row>
    <row r="59" spans="1:68" ht="14.25" hidden="1" customHeight="1" x14ac:dyDescent="0.25">
      <c r="A59" s="559" t="s">
        <v>136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9"/>
      <c r="AB59" s="539"/>
      <c r="AC59" s="539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60">
        <v>4680115881440</v>
      </c>
      <c r="E60" s="561"/>
      <c r="F60" s="542">
        <v>1.35</v>
      </c>
      <c r="G60" s="32">
        <v>8</v>
      </c>
      <c r="H60" s="542">
        <v>10.8</v>
      </c>
      <c r="I60" s="542">
        <v>11.234999999999999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57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1"/>
      <c r="R60" s="551"/>
      <c r="S60" s="551"/>
      <c r="T60" s="552"/>
      <c r="U60" s="34"/>
      <c r="V60" s="34"/>
      <c r="W60" s="35" t="s">
        <v>69</v>
      </c>
      <c r="X60" s="543">
        <v>10</v>
      </c>
      <c r="Y60" s="544">
        <f>IFERROR(IF(X60="",0,CEILING((X60/$H60),1)*$H60),"")</f>
        <v>10.8</v>
      </c>
      <c r="Z60" s="36">
        <f>IFERROR(IF(Y60=0,"",ROUNDUP(Y60/H60,0)*0.01898),"")</f>
        <v>1.898E-2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10.402777777777777</v>
      </c>
      <c r="BN60" s="64">
        <f>IFERROR(Y60*I60/H60,"0")</f>
        <v>11.234999999999999</v>
      </c>
      <c r="BO60" s="64">
        <f>IFERROR(1/J60*(X60/H60),"0")</f>
        <v>1.4467592592592591E-2</v>
      </c>
      <c r="BP60" s="64">
        <f>IFERROR(1/J60*(Y60/H60),"0")</f>
        <v>1.5625E-2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60">
        <v>4680115885950</v>
      </c>
      <c r="E61" s="561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0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1"/>
      <c r="R61" s="551"/>
      <c r="S61" s="551"/>
      <c r="T61" s="552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4301020296</v>
      </c>
      <c r="D62" s="560">
        <v>4680115881433</v>
      </c>
      <c r="E62" s="561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57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1"/>
      <c r="R62" s="551"/>
      <c r="S62" s="551"/>
      <c r="T62" s="552"/>
      <c r="U62" s="34"/>
      <c r="V62" s="34"/>
      <c r="W62" s="35" t="s">
        <v>69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 t="s">
        <v>90</v>
      </c>
      <c r="AK62" s="68">
        <v>2.7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53" t="s">
        <v>71</v>
      </c>
      <c r="Q63" s="548"/>
      <c r="R63" s="548"/>
      <c r="S63" s="548"/>
      <c r="T63" s="548"/>
      <c r="U63" s="548"/>
      <c r="V63" s="549"/>
      <c r="W63" s="37" t="s">
        <v>72</v>
      </c>
      <c r="X63" s="545">
        <f>IFERROR(X60/H60,"0")+IFERROR(X61/H61,"0")+IFERROR(X62/H62,"0")</f>
        <v>0.92592592592592582</v>
      </c>
      <c r="Y63" s="545">
        <f>IFERROR(Y60/H60,"0")+IFERROR(Y61/H61,"0")+IFERROR(Y62/H62,"0")</f>
        <v>1</v>
      </c>
      <c r="Z63" s="545">
        <f>IFERROR(IF(Z60="",0,Z60),"0")+IFERROR(IF(Z61="",0,Z61),"0")+IFERROR(IF(Z62="",0,Z62),"0")</f>
        <v>1.898E-2</v>
      </c>
      <c r="AA63" s="546"/>
      <c r="AB63" s="546"/>
      <c r="AC63" s="546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53" t="s">
        <v>71</v>
      </c>
      <c r="Q64" s="548"/>
      <c r="R64" s="548"/>
      <c r="S64" s="548"/>
      <c r="T64" s="548"/>
      <c r="U64" s="548"/>
      <c r="V64" s="549"/>
      <c r="W64" s="37" t="s">
        <v>69</v>
      </c>
      <c r="X64" s="545">
        <f>IFERROR(SUM(X60:X62),"0")</f>
        <v>10</v>
      </c>
      <c r="Y64" s="545">
        <f>IFERROR(SUM(Y60:Y62),"0")</f>
        <v>10.8</v>
      </c>
      <c r="Z64" s="37"/>
      <c r="AA64" s="546"/>
      <c r="AB64" s="546"/>
      <c r="AC64" s="546"/>
    </row>
    <row r="65" spans="1:68" ht="14.25" hidden="1" customHeight="1" x14ac:dyDescent="0.25">
      <c r="A65" s="559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9"/>
      <c r="AB65" s="539"/>
      <c r="AC65" s="539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60">
        <v>4680115885073</v>
      </c>
      <c r="E66" s="561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77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1"/>
      <c r="R66" s="551"/>
      <c r="S66" s="551"/>
      <c r="T66" s="552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4301031241</v>
      </c>
      <c r="D67" s="560">
        <v>4680115885059</v>
      </c>
      <c r="E67" s="561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61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1"/>
      <c r="R67" s="551"/>
      <c r="S67" s="551"/>
      <c r="T67" s="552"/>
      <c r="U67" s="34"/>
      <c r="V67" s="34"/>
      <c r="W67" s="35" t="s">
        <v>69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4301031316</v>
      </c>
      <c r="D68" s="560">
        <v>4680115885097</v>
      </c>
      <c r="E68" s="561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57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1"/>
      <c r="R68" s="551"/>
      <c r="S68" s="551"/>
      <c r="T68" s="552"/>
      <c r="U68" s="34"/>
      <c r="V68" s="34"/>
      <c r="W68" s="35" t="s">
        <v>69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53" t="s">
        <v>71</v>
      </c>
      <c r="Q69" s="548"/>
      <c r="R69" s="548"/>
      <c r="S69" s="548"/>
      <c r="T69" s="548"/>
      <c r="U69" s="548"/>
      <c r="V69" s="549"/>
      <c r="W69" s="37" t="s">
        <v>72</v>
      </c>
      <c r="X69" s="545">
        <f>IFERROR(X66/H66,"0")+IFERROR(X67/H67,"0")+IFERROR(X68/H68,"0")</f>
        <v>0</v>
      </c>
      <c r="Y69" s="545">
        <f>IFERROR(Y66/H66,"0")+IFERROR(Y67/H67,"0")+IFERROR(Y68/H68,"0")</f>
        <v>0</v>
      </c>
      <c r="Z69" s="545">
        <f>IFERROR(IF(Z66="",0,Z66),"0")+IFERROR(IF(Z67="",0,Z67),"0")+IFERROR(IF(Z68="",0,Z68),"0")</f>
        <v>0</v>
      </c>
      <c r="AA69" s="546"/>
      <c r="AB69" s="546"/>
      <c r="AC69" s="546"/>
    </row>
    <row r="70" spans="1:68" hidden="1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53" t="s">
        <v>71</v>
      </c>
      <c r="Q70" s="548"/>
      <c r="R70" s="548"/>
      <c r="S70" s="548"/>
      <c r="T70" s="548"/>
      <c r="U70" s="548"/>
      <c r="V70" s="549"/>
      <c r="W70" s="37" t="s">
        <v>69</v>
      </c>
      <c r="X70" s="545">
        <f>IFERROR(SUM(X66:X68),"0")</f>
        <v>0</v>
      </c>
      <c r="Y70" s="545">
        <f>IFERROR(SUM(Y66:Y68),"0")</f>
        <v>0</v>
      </c>
      <c r="Z70" s="37"/>
      <c r="AA70" s="546"/>
      <c r="AB70" s="546"/>
      <c r="AC70" s="546"/>
    </row>
    <row r="71" spans="1:68" ht="14.25" hidden="1" customHeight="1" x14ac:dyDescent="0.25">
      <c r="A71" s="559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9"/>
      <c r="AB71" s="539"/>
      <c r="AC71" s="539"/>
    </row>
    <row r="72" spans="1:68" ht="16.5" hidden="1" customHeight="1" x14ac:dyDescent="0.25">
      <c r="A72" s="54" t="s">
        <v>153</v>
      </c>
      <c r="B72" s="54" t="s">
        <v>154</v>
      </c>
      <c r="C72" s="31">
        <v>4301051838</v>
      </c>
      <c r="D72" s="560">
        <v>4680115881891</v>
      </c>
      <c r="E72" s="561"/>
      <c r="F72" s="542">
        <v>1.4</v>
      </c>
      <c r="G72" s="32">
        <v>6</v>
      </c>
      <c r="H72" s="542">
        <v>8.4</v>
      </c>
      <c r="I72" s="542">
        <v>8.9190000000000005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40</v>
      </c>
      <c r="P72" s="605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2" s="551"/>
      <c r="R72" s="551"/>
      <c r="S72" s="551"/>
      <c r="T72" s="552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156</v>
      </c>
      <c r="B73" s="54" t="s">
        <v>157</v>
      </c>
      <c r="C73" s="31">
        <v>4301051846</v>
      </c>
      <c r="D73" s="560">
        <v>4680115885769</v>
      </c>
      <c r="E73" s="561"/>
      <c r="F73" s="542">
        <v>1.4</v>
      </c>
      <c r="G73" s="32">
        <v>6</v>
      </c>
      <c r="H73" s="542">
        <v>8.4</v>
      </c>
      <c r="I73" s="542">
        <v>8.8350000000000009</v>
      </c>
      <c r="J73" s="32">
        <v>64</v>
      </c>
      <c r="K73" s="32" t="s">
        <v>104</v>
      </c>
      <c r="L73" s="32"/>
      <c r="M73" s="33" t="s">
        <v>77</v>
      </c>
      <c r="N73" s="33"/>
      <c r="O73" s="32">
        <v>45</v>
      </c>
      <c r="P73" s="84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1"/>
      <c r="R73" s="551"/>
      <c r="S73" s="551"/>
      <c r="T73" s="552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159</v>
      </c>
      <c r="B74" s="54" t="s">
        <v>160</v>
      </c>
      <c r="C74" s="31">
        <v>4301051837</v>
      </c>
      <c r="D74" s="560">
        <v>4680115884311</v>
      </c>
      <c r="E74" s="561"/>
      <c r="F74" s="542">
        <v>0.3</v>
      </c>
      <c r="G74" s="32">
        <v>6</v>
      </c>
      <c r="H74" s="542">
        <v>1.8</v>
      </c>
      <c r="I74" s="542">
        <v>2.0459999999999998</v>
      </c>
      <c r="J74" s="32">
        <v>182</v>
      </c>
      <c r="K74" s="32" t="s">
        <v>76</v>
      </c>
      <c r="L74" s="32" t="s">
        <v>88</v>
      </c>
      <c r="M74" s="33" t="s">
        <v>77</v>
      </c>
      <c r="N74" s="33"/>
      <c r="O74" s="32">
        <v>40</v>
      </c>
      <c r="P74" s="75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1"/>
      <c r="R74" s="551"/>
      <c r="S74" s="551"/>
      <c r="T74" s="552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 t="s">
        <v>90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4301051844</v>
      </c>
      <c r="D75" s="560">
        <v>4680115885929</v>
      </c>
      <c r="E75" s="561"/>
      <c r="F75" s="542">
        <v>0.42</v>
      </c>
      <c r="G75" s="32">
        <v>6</v>
      </c>
      <c r="H75" s="542">
        <v>2.52</v>
      </c>
      <c r="I75" s="542">
        <v>2.7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45</v>
      </c>
      <c r="P75" s="61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1"/>
      <c r="R75" s="551"/>
      <c r="S75" s="551"/>
      <c r="T75" s="552"/>
      <c r="U75" s="34"/>
      <c r="V75" s="34"/>
      <c r="W75" s="35" t="s">
        <v>69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4301051929</v>
      </c>
      <c r="D76" s="560">
        <v>4680115884403</v>
      </c>
      <c r="E76" s="561"/>
      <c r="F76" s="542">
        <v>0.3</v>
      </c>
      <c r="G76" s="32">
        <v>6</v>
      </c>
      <c r="H76" s="542">
        <v>1.8</v>
      </c>
      <c r="I76" s="542">
        <v>1.98</v>
      </c>
      <c r="J76" s="32">
        <v>182</v>
      </c>
      <c r="K76" s="32" t="s">
        <v>76</v>
      </c>
      <c r="L76" s="32" t="s">
        <v>88</v>
      </c>
      <c r="M76" s="33" t="s">
        <v>77</v>
      </c>
      <c r="N76" s="33"/>
      <c r="O76" s="32">
        <v>40</v>
      </c>
      <c r="P76" s="74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1"/>
      <c r="R76" s="551"/>
      <c r="S76" s="551"/>
      <c r="T76" s="552"/>
      <c r="U76" s="34"/>
      <c r="V76" s="34"/>
      <c r="W76" s="35" t="s">
        <v>69</v>
      </c>
      <c r="X76" s="543">
        <v>0</v>
      </c>
      <c r="Y76" s="544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 t="s">
        <v>90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54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53" t="s">
        <v>71</v>
      </c>
      <c r="Q77" s="548"/>
      <c r="R77" s="548"/>
      <c r="S77" s="548"/>
      <c r="T77" s="548"/>
      <c r="U77" s="548"/>
      <c r="V77" s="549"/>
      <c r="W77" s="37" t="s">
        <v>72</v>
      </c>
      <c r="X77" s="545">
        <f>IFERROR(X72/H72,"0")+IFERROR(X73/H73,"0")+IFERROR(X74/H74,"0")+IFERROR(X75/H75,"0")+IFERROR(X76/H76,"0")</f>
        <v>0</v>
      </c>
      <c r="Y77" s="545">
        <f>IFERROR(Y72/H72,"0")+IFERROR(Y73/H73,"0")+IFERROR(Y74/H74,"0")+IFERROR(Y75/H75,"0")+IFERROR(Y76/H76,"0")</f>
        <v>0</v>
      </c>
      <c r="Z77" s="545">
        <f>IFERROR(IF(Z72="",0,Z72),"0")+IFERROR(IF(Z73="",0,Z73),"0")+IFERROR(IF(Z74="",0,Z74),"0")+IFERROR(IF(Z75="",0,Z75),"0")+IFERROR(IF(Z76="",0,Z76),"0")</f>
        <v>0</v>
      </c>
      <c r="AA77" s="546"/>
      <c r="AB77" s="546"/>
      <c r="AC77" s="546"/>
    </row>
    <row r="78" spans="1:68" hidden="1" x14ac:dyDescent="0.2">
      <c r="A78" s="555"/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6"/>
      <c r="P78" s="553" t="s">
        <v>71</v>
      </c>
      <c r="Q78" s="548"/>
      <c r="R78" s="548"/>
      <c r="S78" s="548"/>
      <c r="T78" s="548"/>
      <c r="U78" s="548"/>
      <c r="V78" s="549"/>
      <c r="W78" s="37" t="s">
        <v>69</v>
      </c>
      <c r="X78" s="545">
        <f>IFERROR(SUM(X72:X76),"0")</f>
        <v>0</v>
      </c>
      <c r="Y78" s="545">
        <f>IFERROR(SUM(Y72:Y76),"0")</f>
        <v>0</v>
      </c>
      <c r="Z78" s="37"/>
      <c r="AA78" s="546"/>
      <c r="AB78" s="546"/>
      <c r="AC78" s="546"/>
    </row>
    <row r="79" spans="1:68" ht="14.25" hidden="1" customHeight="1" x14ac:dyDescent="0.25">
      <c r="A79" s="559" t="s">
        <v>166</v>
      </c>
      <c r="B79" s="555"/>
      <c r="C79" s="555"/>
      <c r="D79" s="555"/>
      <c r="E79" s="555"/>
      <c r="F79" s="555"/>
      <c r="G79" s="555"/>
      <c r="H79" s="555"/>
      <c r="I79" s="555"/>
      <c r="J79" s="555"/>
      <c r="K79" s="555"/>
      <c r="L79" s="555"/>
      <c r="M79" s="555"/>
      <c r="N79" s="555"/>
      <c r="O79" s="555"/>
      <c r="P79" s="555"/>
      <c r="Q79" s="555"/>
      <c r="R79" s="555"/>
      <c r="S79" s="555"/>
      <c r="T79" s="555"/>
      <c r="U79" s="555"/>
      <c r="V79" s="555"/>
      <c r="W79" s="555"/>
      <c r="X79" s="555"/>
      <c r="Y79" s="555"/>
      <c r="Z79" s="555"/>
      <c r="AA79" s="539"/>
      <c r="AB79" s="539"/>
      <c r="AC79" s="539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560">
        <v>4680115881532</v>
      </c>
      <c r="E80" s="561"/>
      <c r="F80" s="542">
        <v>1.3</v>
      </c>
      <c r="G80" s="32">
        <v>6</v>
      </c>
      <c r="H80" s="542">
        <v>7.8</v>
      </c>
      <c r="I80" s="542">
        <v>8.2349999999999994</v>
      </c>
      <c r="J80" s="32">
        <v>64</v>
      </c>
      <c r="K80" s="32" t="s">
        <v>104</v>
      </c>
      <c r="L80" s="32" t="s">
        <v>105</v>
      </c>
      <c r="M80" s="33" t="s">
        <v>84</v>
      </c>
      <c r="N80" s="33"/>
      <c r="O80" s="32">
        <v>30</v>
      </c>
      <c r="P80" s="68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1"/>
      <c r="R80" s="551"/>
      <c r="S80" s="551"/>
      <c r="T80" s="552"/>
      <c r="U80" s="34"/>
      <c r="V80" s="34"/>
      <c r="W80" s="35" t="s">
        <v>69</v>
      </c>
      <c r="X80" s="543">
        <v>20</v>
      </c>
      <c r="Y80" s="544">
        <f>IFERROR(IF(X80="",0,CEILING((X80/$H80),1)*$H80),"")</f>
        <v>23.4</v>
      </c>
      <c r="Z80" s="36">
        <f>IFERROR(IF(Y80=0,"",ROUNDUP(Y80/H80,0)*0.01898),"")</f>
        <v>5.6940000000000004E-2</v>
      </c>
      <c r="AA80" s="56"/>
      <c r="AB80" s="57"/>
      <c r="AC80" s="125" t="s">
        <v>169</v>
      </c>
      <c r="AG80" s="64"/>
      <c r="AJ80" s="68" t="s">
        <v>90</v>
      </c>
      <c r="AK80" s="68">
        <v>62.4</v>
      </c>
      <c r="BB80" s="126" t="s">
        <v>1</v>
      </c>
      <c r="BM80" s="64">
        <f>IFERROR(X80*I80/H80,"0")</f>
        <v>21.115384615384613</v>
      </c>
      <c r="BN80" s="64">
        <f>IFERROR(Y80*I80/H80,"0")</f>
        <v>24.704999999999998</v>
      </c>
      <c r="BO80" s="64">
        <f>IFERROR(1/J80*(X80/H80),"0")</f>
        <v>4.0064102564102567E-2</v>
      </c>
      <c r="BP80" s="64">
        <f>IFERROR(1/J80*(Y80/H80),"0")</f>
        <v>4.6875E-2</v>
      </c>
    </row>
    <row r="81" spans="1:68" ht="27" hidden="1" customHeight="1" x14ac:dyDescent="0.25">
      <c r="A81" s="54" t="s">
        <v>170</v>
      </c>
      <c r="B81" s="54" t="s">
        <v>171</v>
      </c>
      <c r="C81" s="31">
        <v>4301060351</v>
      </c>
      <c r="D81" s="560">
        <v>4680115881464</v>
      </c>
      <c r="E81" s="561"/>
      <c r="F81" s="542">
        <v>0.4</v>
      </c>
      <c r="G81" s="32">
        <v>6</v>
      </c>
      <c r="H81" s="542">
        <v>2.4</v>
      </c>
      <c r="I81" s="542">
        <v>2.61</v>
      </c>
      <c r="J81" s="32">
        <v>132</v>
      </c>
      <c r="K81" s="32" t="s">
        <v>110</v>
      </c>
      <c r="L81" s="32" t="s">
        <v>111</v>
      </c>
      <c r="M81" s="33" t="s">
        <v>77</v>
      </c>
      <c r="N81" s="33"/>
      <c r="O81" s="32">
        <v>30</v>
      </c>
      <c r="P81" s="86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1"/>
      <c r="R81" s="551"/>
      <c r="S81" s="551"/>
      <c r="T81" s="552"/>
      <c r="U81" s="34"/>
      <c r="V81" s="34"/>
      <c r="W81" s="35" t="s">
        <v>69</v>
      </c>
      <c r="X81" s="543">
        <v>0</v>
      </c>
      <c r="Y81" s="544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 t="s">
        <v>90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54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53" t="s">
        <v>71</v>
      </c>
      <c r="Q82" s="548"/>
      <c r="R82" s="548"/>
      <c r="S82" s="548"/>
      <c r="T82" s="548"/>
      <c r="U82" s="548"/>
      <c r="V82" s="549"/>
      <c r="W82" s="37" t="s">
        <v>72</v>
      </c>
      <c r="X82" s="545">
        <f>IFERROR(X80/H80,"0")+IFERROR(X81/H81,"0")</f>
        <v>2.5641025641025643</v>
      </c>
      <c r="Y82" s="545">
        <f>IFERROR(Y80/H80,"0")+IFERROR(Y81/H81,"0")</f>
        <v>3</v>
      </c>
      <c r="Z82" s="545">
        <f>IFERROR(IF(Z80="",0,Z80),"0")+IFERROR(IF(Z81="",0,Z81),"0")</f>
        <v>5.6940000000000004E-2</v>
      </c>
      <c r="AA82" s="546"/>
      <c r="AB82" s="546"/>
      <c r="AC82" s="546"/>
    </row>
    <row r="83" spans="1:68" x14ac:dyDescent="0.2">
      <c r="A83" s="555"/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6"/>
      <c r="P83" s="553" t="s">
        <v>71</v>
      </c>
      <c r="Q83" s="548"/>
      <c r="R83" s="548"/>
      <c r="S83" s="548"/>
      <c r="T83" s="548"/>
      <c r="U83" s="548"/>
      <c r="V83" s="549"/>
      <c r="W83" s="37" t="s">
        <v>69</v>
      </c>
      <c r="X83" s="545">
        <f>IFERROR(SUM(X80:X81),"0")</f>
        <v>20</v>
      </c>
      <c r="Y83" s="545">
        <f>IFERROR(SUM(Y80:Y81),"0")</f>
        <v>23.4</v>
      </c>
      <c r="Z83" s="37"/>
      <c r="AA83" s="546"/>
      <c r="AB83" s="546"/>
      <c r="AC83" s="546"/>
    </row>
    <row r="84" spans="1:68" ht="16.5" hidden="1" customHeight="1" x14ac:dyDescent="0.25">
      <c r="A84" s="599" t="s">
        <v>173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8"/>
      <c r="AB84" s="538"/>
      <c r="AC84" s="538"/>
    </row>
    <row r="85" spans="1:68" ht="14.25" hidden="1" customHeight="1" x14ac:dyDescent="0.25">
      <c r="A85" s="559" t="s">
        <v>101</v>
      </c>
      <c r="B85" s="555"/>
      <c r="C85" s="555"/>
      <c r="D85" s="555"/>
      <c r="E85" s="555"/>
      <c r="F85" s="555"/>
      <c r="G85" s="555"/>
      <c r="H85" s="555"/>
      <c r="I85" s="555"/>
      <c r="J85" s="555"/>
      <c r="K85" s="555"/>
      <c r="L85" s="555"/>
      <c r="M85" s="555"/>
      <c r="N85" s="555"/>
      <c r="O85" s="555"/>
      <c r="P85" s="555"/>
      <c r="Q85" s="555"/>
      <c r="R85" s="555"/>
      <c r="S85" s="555"/>
      <c r="T85" s="555"/>
      <c r="U85" s="555"/>
      <c r="V85" s="555"/>
      <c r="W85" s="555"/>
      <c r="X85" s="555"/>
      <c r="Y85" s="555"/>
      <c r="Z85" s="555"/>
      <c r="AA85" s="539"/>
      <c r="AB85" s="539"/>
      <c r="AC85" s="539"/>
    </row>
    <row r="86" spans="1:68" ht="27" hidden="1" customHeight="1" x14ac:dyDescent="0.25">
      <c r="A86" s="54" t="s">
        <v>174</v>
      </c>
      <c r="B86" s="54" t="s">
        <v>175</v>
      </c>
      <c r="C86" s="31">
        <v>4301011468</v>
      </c>
      <c r="D86" s="560">
        <v>4680115881327</v>
      </c>
      <c r="E86" s="561"/>
      <c r="F86" s="542">
        <v>1.35</v>
      </c>
      <c r="G86" s="32">
        <v>8</v>
      </c>
      <c r="H86" s="542">
        <v>10.8</v>
      </c>
      <c r="I86" s="542">
        <v>11.234999999999999</v>
      </c>
      <c r="J86" s="32">
        <v>64</v>
      </c>
      <c r="K86" s="32" t="s">
        <v>104</v>
      </c>
      <c r="L86" s="32" t="s">
        <v>105</v>
      </c>
      <c r="M86" s="33" t="s">
        <v>84</v>
      </c>
      <c r="N86" s="33"/>
      <c r="O86" s="32">
        <v>50</v>
      </c>
      <c r="P86" s="86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1"/>
      <c r="R86" s="551"/>
      <c r="S86" s="551"/>
      <c r="T86" s="552"/>
      <c r="U86" s="34"/>
      <c r="V86" s="34"/>
      <c r="W86" s="35" t="s">
        <v>69</v>
      </c>
      <c r="X86" s="543">
        <v>0</v>
      </c>
      <c r="Y86" s="544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176</v>
      </c>
      <c r="AG86" s="64"/>
      <c r="AJ86" s="68" t="s">
        <v>90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60">
        <v>4680115881518</v>
      </c>
      <c r="E87" s="561"/>
      <c r="F87" s="542">
        <v>0.4</v>
      </c>
      <c r="G87" s="32">
        <v>10</v>
      </c>
      <c r="H87" s="542">
        <v>4</v>
      </c>
      <c r="I87" s="542">
        <v>4.21</v>
      </c>
      <c r="J87" s="32">
        <v>132</v>
      </c>
      <c r="K87" s="32" t="s">
        <v>110</v>
      </c>
      <c r="L87" s="32"/>
      <c r="M87" s="33" t="s">
        <v>77</v>
      </c>
      <c r="N87" s="33"/>
      <c r="O87" s="32">
        <v>50</v>
      </c>
      <c r="P87" s="73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1"/>
      <c r="R87" s="551"/>
      <c r="S87" s="551"/>
      <c r="T87" s="552"/>
      <c r="U87" s="34"/>
      <c r="V87" s="34"/>
      <c r="W87" s="35" t="s">
        <v>69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176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179</v>
      </c>
      <c r="B88" s="54" t="s">
        <v>180</v>
      </c>
      <c r="C88" s="31">
        <v>4301011443</v>
      </c>
      <c r="D88" s="560">
        <v>4680115881303</v>
      </c>
      <c r="E88" s="561"/>
      <c r="F88" s="542">
        <v>0.45</v>
      </c>
      <c r="G88" s="32">
        <v>10</v>
      </c>
      <c r="H88" s="542">
        <v>4.5</v>
      </c>
      <c r="I88" s="542">
        <v>4.71</v>
      </c>
      <c r="J88" s="32">
        <v>132</v>
      </c>
      <c r="K88" s="32" t="s">
        <v>110</v>
      </c>
      <c r="L88" s="32" t="s">
        <v>111</v>
      </c>
      <c r="M88" s="33" t="s">
        <v>84</v>
      </c>
      <c r="N88" s="33"/>
      <c r="O88" s="32">
        <v>50</v>
      </c>
      <c r="P88" s="75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1"/>
      <c r="R88" s="551"/>
      <c r="S88" s="551"/>
      <c r="T88" s="552"/>
      <c r="U88" s="34"/>
      <c r="V88" s="34"/>
      <c r="W88" s="35" t="s">
        <v>69</v>
      </c>
      <c r="X88" s="543">
        <v>0</v>
      </c>
      <c r="Y88" s="54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 t="s">
        <v>90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idden="1" x14ac:dyDescent="0.2">
      <c r="A89" s="554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53" t="s">
        <v>71</v>
      </c>
      <c r="Q89" s="548"/>
      <c r="R89" s="548"/>
      <c r="S89" s="548"/>
      <c r="T89" s="548"/>
      <c r="U89" s="548"/>
      <c r="V89" s="549"/>
      <c r="W89" s="37" t="s">
        <v>72</v>
      </c>
      <c r="X89" s="545">
        <f>IFERROR(X86/H86,"0")+IFERROR(X87/H87,"0")+IFERROR(X88/H88,"0")</f>
        <v>0</v>
      </c>
      <c r="Y89" s="545">
        <f>IFERROR(Y86/H86,"0")+IFERROR(Y87/H87,"0")+IFERROR(Y88/H88,"0")</f>
        <v>0</v>
      </c>
      <c r="Z89" s="545">
        <f>IFERROR(IF(Z86="",0,Z86),"0")+IFERROR(IF(Z87="",0,Z87),"0")+IFERROR(IF(Z88="",0,Z88),"0")</f>
        <v>0</v>
      </c>
      <c r="AA89" s="546"/>
      <c r="AB89" s="546"/>
      <c r="AC89" s="546"/>
    </row>
    <row r="90" spans="1:68" hidden="1" x14ac:dyDescent="0.2">
      <c r="A90" s="555"/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6"/>
      <c r="P90" s="553" t="s">
        <v>71</v>
      </c>
      <c r="Q90" s="548"/>
      <c r="R90" s="548"/>
      <c r="S90" s="548"/>
      <c r="T90" s="548"/>
      <c r="U90" s="548"/>
      <c r="V90" s="549"/>
      <c r="W90" s="37" t="s">
        <v>69</v>
      </c>
      <c r="X90" s="545">
        <f>IFERROR(SUM(X86:X88),"0")</f>
        <v>0</v>
      </c>
      <c r="Y90" s="545">
        <f>IFERROR(SUM(Y86:Y88),"0")</f>
        <v>0</v>
      </c>
      <c r="Z90" s="37"/>
      <c r="AA90" s="546"/>
      <c r="AB90" s="546"/>
      <c r="AC90" s="546"/>
    </row>
    <row r="91" spans="1:68" ht="14.25" hidden="1" customHeight="1" x14ac:dyDescent="0.25">
      <c r="A91" s="559" t="s">
        <v>73</v>
      </c>
      <c r="B91" s="555"/>
      <c r="C91" s="555"/>
      <c r="D91" s="555"/>
      <c r="E91" s="555"/>
      <c r="F91" s="555"/>
      <c r="G91" s="555"/>
      <c r="H91" s="555"/>
      <c r="I91" s="555"/>
      <c r="J91" s="555"/>
      <c r="K91" s="555"/>
      <c r="L91" s="555"/>
      <c r="M91" s="555"/>
      <c r="N91" s="555"/>
      <c r="O91" s="555"/>
      <c r="P91" s="555"/>
      <c r="Q91" s="555"/>
      <c r="R91" s="555"/>
      <c r="S91" s="555"/>
      <c r="T91" s="555"/>
      <c r="U91" s="555"/>
      <c r="V91" s="555"/>
      <c r="W91" s="555"/>
      <c r="X91" s="555"/>
      <c r="Y91" s="555"/>
      <c r="Z91" s="555"/>
      <c r="AA91" s="539"/>
      <c r="AB91" s="539"/>
      <c r="AC91" s="539"/>
    </row>
    <row r="92" spans="1:68" ht="16.5" customHeight="1" x14ac:dyDescent="0.25">
      <c r="A92" s="54" t="s">
        <v>181</v>
      </c>
      <c r="B92" s="54" t="s">
        <v>182</v>
      </c>
      <c r="C92" s="31">
        <v>4301051712</v>
      </c>
      <c r="D92" s="560">
        <v>4607091386967</v>
      </c>
      <c r="E92" s="561"/>
      <c r="F92" s="542">
        <v>1.35</v>
      </c>
      <c r="G92" s="32">
        <v>6</v>
      </c>
      <c r="H92" s="542">
        <v>8.1</v>
      </c>
      <c r="I92" s="542">
        <v>8.6189999999999998</v>
      </c>
      <c r="J92" s="32">
        <v>64</v>
      </c>
      <c r="K92" s="32" t="s">
        <v>104</v>
      </c>
      <c r="L92" s="32" t="s">
        <v>105</v>
      </c>
      <c r="M92" s="33" t="s">
        <v>84</v>
      </c>
      <c r="N92" s="33"/>
      <c r="O92" s="32">
        <v>45</v>
      </c>
      <c r="P92" s="82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1"/>
      <c r="R92" s="551"/>
      <c r="S92" s="551"/>
      <c r="T92" s="552"/>
      <c r="U92" s="34"/>
      <c r="V92" s="34"/>
      <c r="W92" s="35" t="s">
        <v>69</v>
      </c>
      <c r="X92" s="543">
        <v>30</v>
      </c>
      <c r="Y92" s="544">
        <f>IFERROR(IF(X92="",0,CEILING((X92/$H92),1)*$H92),"")</f>
        <v>32.4</v>
      </c>
      <c r="Z92" s="36">
        <f>IFERROR(IF(Y92=0,"",ROUNDUP(Y92/H92,0)*0.01898),"")</f>
        <v>7.5920000000000001E-2</v>
      </c>
      <c r="AA92" s="56"/>
      <c r="AB92" s="57"/>
      <c r="AC92" s="135" t="s">
        <v>183</v>
      </c>
      <c r="AG92" s="64"/>
      <c r="AJ92" s="68" t="s">
        <v>90</v>
      </c>
      <c r="AK92" s="68">
        <v>64.8</v>
      </c>
      <c r="BB92" s="136" t="s">
        <v>1</v>
      </c>
      <c r="BM92" s="64">
        <f>IFERROR(X92*I92/H92,"0")</f>
        <v>31.922222222222224</v>
      </c>
      <c r="BN92" s="64">
        <f>IFERROR(Y92*I92/H92,"0")</f>
        <v>34.475999999999999</v>
      </c>
      <c r="BO92" s="64">
        <f>IFERROR(1/J92*(X92/H92),"0")</f>
        <v>5.7870370370370371E-2</v>
      </c>
      <c r="BP92" s="64">
        <f>IFERROR(1/J92*(Y92/H92),"0")</f>
        <v>6.25E-2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60">
        <v>4680115884953</v>
      </c>
      <c r="E93" s="561"/>
      <c r="F93" s="542">
        <v>0.37</v>
      </c>
      <c r="G93" s="32">
        <v>6</v>
      </c>
      <c r="H93" s="542">
        <v>2.2200000000000002</v>
      </c>
      <c r="I93" s="542">
        <v>2.472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69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1"/>
      <c r="R93" s="551"/>
      <c r="S93" s="551"/>
      <c r="T93" s="552"/>
      <c r="U93" s="34"/>
      <c r="V93" s="34"/>
      <c r="W93" s="35" t="s">
        <v>69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186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187</v>
      </c>
      <c r="B94" s="54" t="s">
        <v>188</v>
      </c>
      <c r="C94" s="31">
        <v>4301051718</v>
      </c>
      <c r="D94" s="560">
        <v>4607091385731</v>
      </c>
      <c r="E94" s="561"/>
      <c r="F94" s="542">
        <v>0.45</v>
      </c>
      <c r="G94" s="32">
        <v>6</v>
      </c>
      <c r="H94" s="542">
        <v>2.7</v>
      </c>
      <c r="I94" s="542">
        <v>2.952</v>
      </c>
      <c r="J94" s="32">
        <v>182</v>
      </c>
      <c r="K94" s="32" t="s">
        <v>76</v>
      </c>
      <c r="L94" s="32"/>
      <c r="M94" s="33" t="s">
        <v>84</v>
      </c>
      <c r="N94" s="33"/>
      <c r="O94" s="32">
        <v>45</v>
      </c>
      <c r="P94" s="83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1"/>
      <c r="R94" s="551"/>
      <c r="S94" s="551"/>
      <c r="T94" s="552"/>
      <c r="U94" s="34"/>
      <c r="V94" s="34"/>
      <c r="W94" s="35" t="s">
        <v>69</v>
      </c>
      <c r="X94" s="543">
        <v>0</v>
      </c>
      <c r="Y94" s="54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60">
        <v>4680115880894</v>
      </c>
      <c r="E95" s="561"/>
      <c r="F95" s="542">
        <v>0.33</v>
      </c>
      <c r="G95" s="32">
        <v>6</v>
      </c>
      <c r="H95" s="542">
        <v>1.98</v>
      </c>
      <c r="I95" s="542">
        <v>2.238</v>
      </c>
      <c r="J95" s="32">
        <v>182</v>
      </c>
      <c r="K95" s="32" t="s">
        <v>76</v>
      </c>
      <c r="L95" s="32" t="s">
        <v>88</v>
      </c>
      <c r="M95" s="33" t="s">
        <v>77</v>
      </c>
      <c r="N95" s="33"/>
      <c r="O95" s="32">
        <v>45</v>
      </c>
      <c r="P95" s="83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1"/>
      <c r="R95" s="551"/>
      <c r="S95" s="551"/>
      <c r="T95" s="552"/>
      <c r="U95" s="34"/>
      <c r="V95" s="34"/>
      <c r="W95" s="35" t="s">
        <v>69</v>
      </c>
      <c r="X95" s="543">
        <v>0</v>
      </c>
      <c r="Y95" s="54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90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54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53" t="s">
        <v>71</v>
      </c>
      <c r="Q96" s="548"/>
      <c r="R96" s="548"/>
      <c r="S96" s="548"/>
      <c r="T96" s="548"/>
      <c r="U96" s="548"/>
      <c r="V96" s="549"/>
      <c r="W96" s="37" t="s">
        <v>72</v>
      </c>
      <c r="X96" s="545">
        <f>IFERROR(X92/H92,"0")+IFERROR(X93/H93,"0")+IFERROR(X94/H94,"0")+IFERROR(X95/H95,"0")</f>
        <v>3.7037037037037037</v>
      </c>
      <c r="Y96" s="545">
        <f>IFERROR(Y92/H92,"0")+IFERROR(Y93/H93,"0")+IFERROR(Y94/H94,"0")+IFERROR(Y95/H95,"0")</f>
        <v>4</v>
      </c>
      <c r="Z96" s="545">
        <f>IFERROR(IF(Z92="",0,Z92),"0")+IFERROR(IF(Z93="",0,Z93),"0")+IFERROR(IF(Z94="",0,Z94),"0")+IFERROR(IF(Z95="",0,Z95),"0")</f>
        <v>7.5920000000000001E-2</v>
      </c>
      <c r="AA96" s="546"/>
      <c r="AB96" s="546"/>
      <c r="AC96" s="546"/>
    </row>
    <row r="97" spans="1:68" x14ac:dyDescent="0.2">
      <c r="A97" s="555"/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6"/>
      <c r="P97" s="553" t="s">
        <v>71</v>
      </c>
      <c r="Q97" s="548"/>
      <c r="R97" s="548"/>
      <c r="S97" s="548"/>
      <c r="T97" s="548"/>
      <c r="U97" s="548"/>
      <c r="V97" s="549"/>
      <c r="W97" s="37" t="s">
        <v>69</v>
      </c>
      <c r="X97" s="545">
        <f>IFERROR(SUM(X92:X95),"0")</f>
        <v>30</v>
      </c>
      <c r="Y97" s="545">
        <f>IFERROR(SUM(Y92:Y95),"0")</f>
        <v>32.4</v>
      </c>
      <c r="Z97" s="37"/>
      <c r="AA97" s="546"/>
      <c r="AB97" s="546"/>
      <c r="AC97" s="546"/>
    </row>
    <row r="98" spans="1:68" ht="16.5" hidden="1" customHeight="1" x14ac:dyDescent="0.25">
      <c r="A98" s="599" t="s">
        <v>192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8"/>
      <c r="AB98" s="538"/>
      <c r="AC98" s="538"/>
    </row>
    <row r="99" spans="1:68" ht="14.25" hidden="1" customHeight="1" x14ac:dyDescent="0.25">
      <c r="A99" s="559" t="s">
        <v>101</v>
      </c>
      <c r="B99" s="555"/>
      <c r="C99" s="555"/>
      <c r="D99" s="555"/>
      <c r="E99" s="555"/>
      <c r="F99" s="555"/>
      <c r="G99" s="555"/>
      <c r="H99" s="555"/>
      <c r="I99" s="555"/>
      <c r="J99" s="555"/>
      <c r="K99" s="555"/>
      <c r="L99" s="555"/>
      <c r="M99" s="555"/>
      <c r="N99" s="555"/>
      <c r="O99" s="555"/>
      <c r="P99" s="555"/>
      <c r="Q99" s="555"/>
      <c r="R99" s="555"/>
      <c r="S99" s="555"/>
      <c r="T99" s="555"/>
      <c r="U99" s="555"/>
      <c r="V99" s="555"/>
      <c r="W99" s="555"/>
      <c r="X99" s="555"/>
      <c r="Y99" s="555"/>
      <c r="Z99" s="555"/>
      <c r="AA99" s="539"/>
      <c r="AB99" s="539"/>
      <c r="AC99" s="539"/>
    </row>
    <row r="100" spans="1:68" ht="37.5" hidden="1" customHeight="1" x14ac:dyDescent="0.25">
      <c r="A100" s="54" t="s">
        <v>193</v>
      </c>
      <c r="B100" s="54" t="s">
        <v>194</v>
      </c>
      <c r="C100" s="31">
        <v>4301011514</v>
      </c>
      <c r="D100" s="560">
        <v>4680115882133</v>
      </c>
      <c r="E100" s="561"/>
      <c r="F100" s="542">
        <v>1.35</v>
      </c>
      <c r="G100" s="32">
        <v>8</v>
      </c>
      <c r="H100" s="542">
        <v>10.8</v>
      </c>
      <c r="I100" s="542">
        <v>11.234999999999999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82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1"/>
      <c r="R100" s="551"/>
      <c r="S100" s="551"/>
      <c r="T100" s="552"/>
      <c r="U100" s="34"/>
      <c r="V100" s="34"/>
      <c r="W100" s="35" t="s">
        <v>69</v>
      </c>
      <c r="X100" s="543">
        <v>0</v>
      </c>
      <c r="Y100" s="54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90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4301011417</v>
      </c>
      <c r="D101" s="560">
        <v>4680115880269</v>
      </c>
      <c r="E101" s="561"/>
      <c r="F101" s="542">
        <v>0.375</v>
      </c>
      <c r="G101" s="32">
        <v>10</v>
      </c>
      <c r="H101" s="542">
        <v>3.75</v>
      </c>
      <c r="I101" s="542">
        <v>3.96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65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1"/>
      <c r="R101" s="551"/>
      <c r="S101" s="551"/>
      <c r="T101" s="552"/>
      <c r="U101" s="34"/>
      <c r="V101" s="34"/>
      <c r="W101" s="35" t="s">
        <v>69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195</v>
      </c>
      <c r="AG101" s="64"/>
      <c r="AJ101" s="68" t="s">
        <v>90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4301011415</v>
      </c>
      <c r="D102" s="560">
        <v>4680115880429</v>
      </c>
      <c r="E102" s="561"/>
      <c r="F102" s="542">
        <v>0.45</v>
      </c>
      <c r="G102" s="32">
        <v>10</v>
      </c>
      <c r="H102" s="542">
        <v>4.5</v>
      </c>
      <c r="I102" s="542">
        <v>4.71</v>
      </c>
      <c r="J102" s="32">
        <v>132</v>
      </c>
      <c r="K102" s="32" t="s">
        <v>110</v>
      </c>
      <c r="L102" s="32" t="s">
        <v>111</v>
      </c>
      <c r="M102" s="33" t="s">
        <v>77</v>
      </c>
      <c r="N102" s="33"/>
      <c r="O102" s="32">
        <v>50</v>
      </c>
      <c r="P102" s="63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1"/>
      <c r="R102" s="551"/>
      <c r="S102" s="551"/>
      <c r="T102" s="552"/>
      <c r="U102" s="34"/>
      <c r="V102" s="34"/>
      <c r="W102" s="35" t="s">
        <v>69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90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4301011462</v>
      </c>
      <c r="D103" s="560">
        <v>4680115881457</v>
      </c>
      <c r="E103" s="561"/>
      <c r="F103" s="542">
        <v>0.75</v>
      </c>
      <c r="G103" s="32">
        <v>6</v>
      </c>
      <c r="H103" s="542">
        <v>4.5</v>
      </c>
      <c r="I103" s="542">
        <v>4.71</v>
      </c>
      <c r="J103" s="32">
        <v>132</v>
      </c>
      <c r="K103" s="32" t="s">
        <v>110</v>
      </c>
      <c r="L103" s="32"/>
      <c r="M103" s="33" t="s">
        <v>77</v>
      </c>
      <c r="N103" s="33"/>
      <c r="O103" s="32">
        <v>50</v>
      </c>
      <c r="P103" s="81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1"/>
      <c r="R103" s="551"/>
      <c r="S103" s="551"/>
      <c r="T103" s="552"/>
      <c r="U103" s="34"/>
      <c r="V103" s="34"/>
      <c r="W103" s="35" t="s">
        <v>69</v>
      </c>
      <c r="X103" s="543">
        <v>0</v>
      </c>
      <c r="Y103" s="54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idden="1" x14ac:dyDescent="0.2">
      <c r="A104" s="554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53" t="s">
        <v>71</v>
      </c>
      <c r="Q104" s="548"/>
      <c r="R104" s="548"/>
      <c r="S104" s="548"/>
      <c r="T104" s="548"/>
      <c r="U104" s="548"/>
      <c r="V104" s="549"/>
      <c r="W104" s="37" t="s">
        <v>72</v>
      </c>
      <c r="X104" s="545">
        <f>IFERROR(X100/H100,"0")+IFERROR(X101/H101,"0")+IFERROR(X102/H102,"0")+IFERROR(X103/H103,"0")</f>
        <v>0</v>
      </c>
      <c r="Y104" s="545">
        <f>IFERROR(Y100/H100,"0")+IFERROR(Y101/H101,"0")+IFERROR(Y102/H102,"0")+IFERROR(Y103/H103,"0")</f>
        <v>0</v>
      </c>
      <c r="Z104" s="545">
        <f>IFERROR(IF(Z100="",0,Z100),"0")+IFERROR(IF(Z101="",0,Z101),"0")+IFERROR(IF(Z102="",0,Z102),"0")+IFERROR(IF(Z103="",0,Z103),"0")</f>
        <v>0</v>
      </c>
      <c r="AA104" s="546"/>
      <c r="AB104" s="546"/>
      <c r="AC104" s="546"/>
    </row>
    <row r="105" spans="1:68" hidden="1" x14ac:dyDescent="0.2">
      <c r="A105" s="555"/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6"/>
      <c r="P105" s="553" t="s">
        <v>71</v>
      </c>
      <c r="Q105" s="548"/>
      <c r="R105" s="548"/>
      <c r="S105" s="548"/>
      <c r="T105" s="548"/>
      <c r="U105" s="548"/>
      <c r="V105" s="549"/>
      <c r="W105" s="37" t="s">
        <v>69</v>
      </c>
      <c r="X105" s="545">
        <f>IFERROR(SUM(X100:X103),"0")</f>
        <v>0</v>
      </c>
      <c r="Y105" s="545">
        <f>IFERROR(SUM(Y100:Y103),"0")</f>
        <v>0</v>
      </c>
      <c r="Z105" s="37"/>
      <c r="AA105" s="546"/>
      <c r="AB105" s="546"/>
      <c r="AC105" s="546"/>
    </row>
    <row r="106" spans="1:68" ht="14.25" hidden="1" customHeight="1" x14ac:dyDescent="0.25">
      <c r="A106" s="559" t="s">
        <v>136</v>
      </c>
      <c r="B106" s="555"/>
      <c r="C106" s="555"/>
      <c r="D106" s="555"/>
      <c r="E106" s="555"/>
      <c r="F106" s="555"/>
      <c r="G106" s="555"/>
      <c r="H106" s="555"/>
      <c r="I106" s="555"/>
      <c r="J106" s="555"/>
      <c r="K106" s="555"/>
      <c r="L106" s="555"/>
      <c r="M106" s="555"/>
      <c r="N106" s="555"/>
      <c r="O106" s="555"/>
      <c r="P106" s="555"/>
      <c r="Q106" s="555"/>
      <c r="R106" s="555"/>
      <c r="S106" s="555"/>
      <c r="T106" s="555"/>
      <c r="U106" s="555"/>
      <c r="V106" s="555"/>
      <c r="W106" s="555"/>
      <c r="X106" s="555"/>
      <c r="Y106" s="555"/>
      <c r="Z106" s="555"/>
      <c r="AA106" s="539"/>
      <c r="AB106" s="539"/>
      <c r="AC106" s="539"/>
    </row>
    <row r="107" spans="1:68" ht="16.5" hidden="1" customHeight="1" x14ac:dyDescent="0.25">
      <c r="A107" s="54" t="s">
        <v>202</v>
      </c>
      <c r="B107" s="54" t="s">
        <v>203</v>
      </c>
      <c r="C107" s="31">
        <v>4301020345</v>
      </c>
      <c r="D107" s="560">
        <v>4680115881488</v>
      </c>
      <c r="E107" s="561"/>
      <c r="F107" s="542">
        <v>1.35</v>
      </c>
      <c r="G107" s="32">
        <v>8</v>
      </c>
      <c r="H107" s="542">
        <v>10.8</v>
      </c>
      <c r="I107" s="542">
        <v>11.234999999999999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65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1"/>
      <c r="R107" s="551"/>
      <c r="S107" s="551"/>
      <c r="T107" s="552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4301020346</v>
      </c>
      <c r="D108" s="560">
        <v>4680115882775</v>
      </c>
      <c r="E108" s="561"/>
      <c r="F108" s="542">
        <v>0.3</v>
      </c>
      <c r="G108" s="32">
        <v>8</v>
      </c>
      <c r="H108" s="542">
        <v>2.4</v>
      </c>
      <c r="I108" s="542">
        <v>2.5</v>
      </c>
      <c r="J108" s="32">
        <v>234</v>
      </c>
      <c r="K108" s="32" t="s">
        <v>67</v>
      </c>
      <c r="L108" s="32"/>
      <c r="M108" s="33" t="s">
        <v>106</v>
      </c>
      <c r="N108" s="33"/>
      <c r="O108" s="32">
        <v>55</v>
      </c>
      <c r="P108" s="69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1"/>
      <c r="R108" s="551"/>
      <c r="S108" s="551"/>
      <c r="T108" s="552"/>
      <c r="U108" s="34"/>
      <c r="V108" s="34"/>
      <c r="W108" s="35" t="s">
        <v>69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204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207</v>
      </c>
      <c r="B109" s="54" t="s">
        <v>208</v>
      </c>
      <c r="C109" s="31">
        <v>4301020344</v>
      </c>
      <c r="D109" s="560">
        <v>4680115880658</v>
      </c>
      <c r="E109" s="561"/>
      <c r="F109" s="542">
        <v>0.4</v>
      </c>
      <c r="G109" s="32">
        <v>6</v>
      </c>
      <c r="H109" s="542">
        <v>2.4</v>
      </c>
      <c r="I109" s="542">
        <v>2.58</v>
      </c>
      <c r="J109" s="32">
        <v>182</v>
      </c>
      <c r="K109" s="32" t="s">
        <v>76</v>
      </c>
      <c r="L109" s="32"/>
      <c r="M109" s="33" t="s">
        <v>106</v>
      </c>
      <c r="N109" s="33"/>
      <c r="O109" s="32">
        <v>55</v>
      </c>
      <c r="P109" s="68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1"/>
      <c r="R109" s="551"/>
      <c r="S109" s="551"/>
      <c r="T109" s="552"/>
      <c r="U109" s="34"/>
      <c r="V109" s="34"/>
      <c r="W109" s="35" t="s">
        <v>69</v>
      </c>
      <c r="X109" s="543">
        <v>0</v>
      </c>
      <c r="Y109" s="544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554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53" t="s">
        <v>71</v>
      </c>
      <c r="Q110" s="548"/>
      <c r="R110" s="548"/>
      <c r="S110" s="548"/>
      <c r="T110" s="548"/>
      <c r="U110" s="548"/>
      <c r="V110" s="549"/>
      <c r="W110" s="37" t="s">
        <v>72</v>
      </c>
      <c r="X110" s="545">
        <f>IFERROR(X107/H107,"0")+IFERROR(X108/H108,"0")+IFERROR(X109/H109,"0")</f>
        <v>0</v>
      </c>
      <c r="Y110" s="545">
        <f>IFERROR(Y107/H107,"0")+IFERROR(Y108/H108,"0")+IFERROR(Y109/H109,"0")</f>
        <v>0</v>
      </c>
      <c r="Z110" s="545">
        <f>IFERROR(IF(Z107="",0,Z107),"0")+IFERROR(IF(Z108="",0,Z108),"0")+IFERROR(IF(Z109="",0,Z109),"0")</f>
        <v>0</v>
      </c>
      <c r="AA110" s="546"/>
      <c r="AB110" s="546"/>
      <c r="AC110" s="546"/>
    </row>
    <row r="111" spans="1:68" hidden="1" x14ac:dyDescent="0.2">
      <c r="A111" s="555"/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6"/>
      <c r="P111" s="553" t="s">
        <v>71</v>
      </c>
      <c r="Q111" s="548"/>
      <c r="R111" s="548"/>
      <c r="S111" s="548"/>
      <c r="T111" s="548"/>
      <c r="U111" s="548"/>
      <c r="V111" s="549"/>
      <c r="W111" s="37" t="s">
        <v>69</v>
      </c>
      <c r="X111" s="545">
        <f>IFERROR(SUM(X107:X109),"0")</f>
        <v>0</v>
      </c>
      <c r="Y111" s="545">
        <f>IFERROR(SUM(Y107:Y109),"0")</f>
        <v>0</v>
      </c>
      <c r="Z111" s="37"/>
      <c r="AA111" s="546"/>
      <c r="AB111" s="546"/>
      <c r="AC111" s="546"/>
    </row>
    <row r="112" spans="1:68" ht="14.25" hidden="1" customHeight="1" x14ac:dyDescent="0.25">
      <c r="A112" s="559" t="s">
        <v>73</v>
      </c>
      <c r="B112" s="555"/>
      <c r="C112" s="555"/>
      <c r="D112" s="555"/>
      <c r="E112" s="555"/>
      <c r="F112" s="555"/>
      <c r="G112" s="555"/>
      <c r="H112" s="555"/>
      <c r="I112" s="555"/>
      <c r="J112" s="555"/>
      <c r="K112" s="555"/>
      <c r="L112" s="555"/>
      <c r="M112" s="555"/>
      <c r="N112" s="555"/>
      <c r="O112" s="555"/>
      <c r="P112" s="555"/>
      <c r="Q112" s="555"/>
      <c r="R112" s="555"/>
      <c r="S112" s="555"/>
      <c r="T112" s="555"/>
      <c r="U112" s="555"/>
      <c r="V112" s="555"/>
      <c r="W112" s="555"/>
      <c r="X112" s="555"/>
      <c r="Y112" s="555"/>
      <c r="Z112" s="555"/>
      <c r="AA112" s="539"/>
      <c r="AB112" s="539"/>
      <c r="AC112" s="539"/>
    </row>
    <row r="113" spans="1:68" ht="16.5" customHeight="1" x14ac:dyDescent="0.25">
      <c r="A113" s="54" t="s">
        <v>209</v>
      </c>
      <c r="B113" s="54" t="s">
        <v>210</v>
      </c>
      <c r="C113" s="31">
        <v>4301051724</v>
      </c>
      <c r="D113" s="560">
        <v>4607091385168</v>
      </c>
      <c r="E113" s="561"/>
      <c r="F113" s="542">
        <v>1.35</v>
      </c>
      <c r="G113" s="32">
        <v>6</v>
      </c>
      <c r="H113" s="542">
        <v>8.1</v>
      </c>
      <c r="I113" s="542">
        <v>8.6129999999999995</v>
      </c>
      <c r="J113" s="32">
        <v>64</v>
      </c>
      <c r="K113" s="32" t="s">
        <v>104</v>
      </c>
      <c r="L113" s="32" t="s">
        <v>105</v>
      </c>
      <c r="M113" s="33" t="s">
        <v>84</v>
      </c>
      <c r="N113" s="33"/>
      <c r="O113" s="32">
        <v>45</v>
      </c>
      <c r="P113" s="79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1"/>
      <c r="R113" s="551"/>
      <c r="S113" s="551"/>
      <c r="T113" s="552"/>
      <c r="U113" s="34"/>
      <c r="V113" s="34"/>
      <c r="W113" s="35" t="s">
        <v>69</v>
      </c>
      <c r="X113" s="543">
        <v>100</v>
      </c>
      <c r="Y113" s="544">
        <f>IFERROR(IF(X113="",0,CEILING((X113/$H113),1)*$H113),"")</f>
        <v>105.3</v>
      </c>
      <c r="Z113" s="36">
        <f>IFERROR(IF(Y113=0,"",ROUNDUP(Y113/H113,0)*0.01898),"")</f>
        <v>0.24674000000000001</v>
      </c>
      <c r="AA113" s="56"/>
      <c r="AB113" s="57"/>
      <c r="AC113" s="157" t="s">
        <v>211</v>
      </c>
      <c r="AG113" s="64"/>
      <c r="AJ113" s="68" t="s">
        <v>90</v>
      </c>
      <c r="AK113" s="68">
        <v>64.8</v>
      </c>
      <c r="BB113" s="158" t="s">
        <v>1</v>
      </c>
      <c r="BM113" s="64">
        <f>IFERROR(X113*I113/H113,"0")</f>
        <v>106.33333333333333</v>
      </c>
      <c r="BN113" s="64">
        <f>IFERROR(Y113*I113/H113,"0")</f>
        <v>111.96900000000001</v>
      </c>
      <c r="BO113" s="64">
        <f>IFERROR(1/J113*(X113/H113),"0")</f>
        <v>0.19290123456790123</v>
      </c>
      <c r="BP113" s="64">
        <f>IFERROR(1/J113*(Y113/H113),"0")</f>
        <v>0.203125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4301051730</v>
      </c>
      <c r="D114" s="560">
        <v>4607091383256</v>
      </c>
      <c r="E114" s="561"/>
      <c r="F114" s="542">
        <v>0.33</v>
      </c>
      <c r="G114" s="32">
        <v>6</v>
      </c>
      <c r="H114" s="542">
        <v>1.98</v>
      </c>
      <c r="I114" s="542">
        <v>2.226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64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1"/>
      <c r="R114" s="551"/>
      <c r="S114" s="551"/>
      <c r="T114" s="552"/>
      <c r="U114" s="34"/>
      <c r="V114" s="34"/>
      <c r="W114" s="35" t="s">
        <v>69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211</v>
      </c>
      <c r="AG114" s="64"/>
      <c r="AJ114" s="68" t="s">
        <v>90</v>
      </c>
      <c r="AK114" s="68">
        <v>27.72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214</v>
      </c>
      <c r="B115" s="54" t="s">
        <v>215</v>
      </c>
      <c r="C115" s="31">
        <v>4301051721</v>
      </c>
      <c r="D115" s="560">
        <v>4607091385748</v>
      </c>
      <c r="E115" s="561"/>
      <c r="F115" s="542">
        <v>0.45</v>
      </c>
      <c r="G115" s="32">
        <v>6</v>
      </c>
      <c r="H115" s="542">
        <v>2.7</v>
      </c>
      <c r="I115" s="542">
        <v>2.952</v>
      </c>
      <c r="J115" s="32">
        <v>182</v>
      </c>
      <c r="K115" s="32" t="s">
        <v>76</v>
      </c>
      <c r="L115" s="32" t="s">
        <v>88</v>
      </c>
      <c r="M115" s="33" t="s">
        <v>84</v>
      </c>
      <c r="N115" s="33"/>
      <c r="O115" s="32">
        <v>45</v>
      </c>
      <c r="P115" s="72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1"/>
      <c r="R115" s="551"/>
      <c r="S115" s="551"/>
      <c r="T115" s="552"/>
      <c r="U115" s="34"/>
      <c r="V115" s="34"/>
      <c r="W115" s="35" t="s">
        <v>69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211</v>
      </c>
      <c r="AG115" s="64"/>
      <c r="AJ115" s="68" t="s">
        <v>90</v>
      </c>
      <c r="AK115" s="68">
        <v>37.799999999999997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16.5" hidden="1" customHeight="1" x14ac:dyDescent="0.25">
      <c r="A116" s="54" t="s">
        <v>216</v>
      </c>
      <c r="B116" s="54" t="s">
        <v>217</v>
      </c>
      <c r="C116" s="31">
        <v>4301051740</v>
      </c>
      <c r="D116" s="560">
        <v>4680115884533</v>
      </c>
      <c r="E116" s="561"/>
      <c r="F116" s="542">
        <v>0.3</v>
      </c>
      <c r="G116" s="32">
        <v>6</v>
      </c>
      <c r="H116" s="542">
        <v>1.8</v>
      </c>
      <c r="I116" s="542">
        <v>1.98</v>
      </c>
      <c r="J116" s="32">
        <v>182</v>
      </c>
      <c r="K116" s="32" t="s">
        <v>76</v>
      </c>
      <c r="L116" s="32" t="s">
        <v>88</v>
      </c>
      <c r="M116" s="33" t="s">
        <v>77</v>
      </c>
      <c r="N116" s="33"/>
      <c r="O116" s="32">
        <v>45</v>
      </c>
      <c r="P116" s="81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1"/>
      <c r="R116" s="551"/>
      <c r="S116" s="551"/>
      <c r="T116" s="552"/>
      <c r="U116" s="34"/>
      <c r="V116" s="34"/>
      <c r="W116" s="35" t="s">
        <v>69</v>
      </c>
      <c r="X116" s="543">
        <v>0</v>
      </c>
      <c r="Y116" s="54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90</v>
      </c>
      <c r="AK116" s="68">
        <v>25.2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54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53" t="s">
        <v>71</v>
      </c>
      <c r="Q117" s="548"/>
      <c r="R117" s="548"/>
      <c r="S117" s="548"/>
      <c r="T117" s="548"/>
      <c r="U117" s="548"/>
      <c r="V117" s="549"/>
      <c r="W117" s="37" t="s">
        <v>72</v>
      </c>
      <c r="X117" s="545">
        <f>IFERROR(X113/H113,"0")+IFERROR(X114/H114,"0")+IFERROR(X115/H115,"0")+IFERROR(X116/H116,"0")</f>
        <v>12.345679012345679</v>
      </c>
      <c r="Y117" s="545">
        <f>IFERROR(Y113/H113,"0")+IFERROR(Y114/H114,"0")+IFERROR(Y115/H115,"0")+IFERROR(Y116/H116,"0")</f>
        <v>13</v>
      </c>
      <c r="Z117" s="545">
        <f>IFERROR(IF(Z113="",0,Z113),"0")+IFERROR(IF(Z114="",0,Z114),"0")+IFERROR(IF(Z115="",0,Z115),"0")+IFERROR(IF(Z116="",0,Z116),"0")</f>
        <v>0.24674000000000001</v>
      </c>
      <c r="AA117" s="546"/>
      <c r="AB117" s="546"/>
      <c r="AC117" s="546"/>
    </row>
    <row r="118" spans="1:68" x14ac:dyDescent="0.2">
      <c r="A118" s="555"/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6"/>
      <c r="P118" s="553" t="s">
        <v>71</v>
      </c>
      <c r="Q118" s="548"/>
      <c r="R118" s="548"/>
      <c r="S118" s="548"/>
      <c r="T118" s="548"/>
      <c r="U118" s="548"/>
      <c r="V118" s="549"/>
      <c r="W118" s="37" t="s">
        <v>69</v>
      </c>
      <c r="X118" s="545">
        <f>IFERROR(SUM(X113:X116),"0")</f>
        <v>100</v>
      </c>
      <c r="Y118" s="545">
        <f>IFERROR(SUM(Y113:Y116),"0")</f>
        <v>105.3</v>
      </c>
      <c r="Z118" s="37"/>
      <c r="AA118" s="546"/>
      <c r="AB118" s="546"/>
      <c r="AC118" s="546"/>
    </row>
    <row r="119" spans="1:68" ht="14.25" hidden="1" customHeight="1" x14ac:dyDescent="0.25">
      <c r="A119" s="559" t="s">
        <v>166</v>
      </c>
      <c r="B119" s="555"/>
      <c r="C119" s="555"/>
      <c r="D119" s="555"/>
      <c r="E119" s="555"/>
      <c r="F119" s="555"/>
      <c r="G119" s="555"/>
      <c r="H119" s="555"/>
      <c r="I119" s="555"/>
      <c r="J119" s="555"/>
      <c r="K119" s="555"/>
      <c r="L119" s="555"/>
      <c r="M119" s="555"/>
      <c r="N119" s="555"/>
      <c r="O119" s="555"/>
      <c r="P119" s="555"/>
      <c r="Q119" s="555"/>
      <c r="R119" s="555"/>
      <c r="S119" s="555"/>
      <c r="T119" s="555"/>
      <c r="U119" s="555"/>
      <c r="V119" s="555"/>
      <c r="W119" s="555"/>
      <c r="X119" s="555"/>
      <c r="Y119" s="555"/>
      <c r="Z119" s="555"/>
      <c r="AA119" s="539"/>
      <c r="AB119" s="539"/>
      <c r="AC119" s="539"/>
    </row>
    <row r="120" spans="1:68" ht="16.5" hidden="1" customHeight="1" x14ac:dyDescent="0.25">
      <c r="A120" s="54" t="s">
        <v>219</v>
      </c>
      <c r="B120" s="54" t="s">
        <v>220</v>
      </c>
      <c r="C120" s="31">
        <v>4301060317</v>
      </c>
      <c r="D120" s="560">
        <v>4680115880238</v>
      </c>
      <c r="E120" s="561"/>
      <c r="F120" s="542">
        <v>0.33</v>
      </c>
      <c r="G120" s="32">
        <v>6</v>
      </c>
      <c r="H120" s="542">
        <v>1.98</v>
      </c>
      <c r="I120" s="542">
        <v>2.238</v>
      </c>
      <c r="J120" s="32">
        <v>182</v>
      </c>
      <c r="K120" s="32" t="s">
        <v>76</v>
      </c>
      <c r="L120" s="32" t="s">
        <v>88</v>
      </c>
      <c r="M120" s="33" t="s">
        <v>77</v>
      </c>
      <c r="N120" s="33"/>
      <c r="O120" s="32">
        <v>40</v>
      </c>
      <c r="P120" s="81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1"/>
      <c r="R120" s="551"/>
      <c r="S120" s="551"/>
      <c r="T120" s="552"/>
      <c r="U120" s="34"/>
      <c r="V120" s="34"/>
      <c r="W120" s="35" t="s">
        <v>69</v>
      </c>
      <c r="X120" s="543">
        <v>0</v>
      </c>
      <c r="Y120" s="54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221</v>
      </c>
      <c r="AG120" s="64"/>
      <c r="AJ120" s="68" t="s">
        <v>90</v>
      </c>
      <c r="AK120" s="68">
        <v>27.72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554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53" t="s">
        <v>71</v>
      </c>
      <c r="Q121" s="548"/>
      <c r="R121" s="548"/>
      <c r="S121" s="548"/>
      <c r="T121" s="548"/>
      <c r="U121" s="548"/>
      <c r="V121" s="549"/>
      <c r="W121" s="37" t="s">
        <v>72</v>
      </c>
      <c r="X121" s="545">
        <f>IFERROR(X120/H120,"0")</f>
        <v>0</v>
      </c>
      <c r="Y121" s="545">
        <f>IFERROR(Y120/H120,"0")</f>
        <v>0</v>
      </c>
      <c r="Z121" s="545">
        <f>IFERROR(IF(Z120="",0,Z120),"0")</f>
        <v>0</v>
      </c>
      <c r="AA121" s="546"/>
      <c r="AB121" s="546"/>
      <c r="AC121" s="546"/>
    </row>
    <row r="122" spans="1:68" hidden="1" x14ac:dyDescent="0.2">
      <c r="A122" s="555"/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6"/>
      <c r="P122" s="553" t="s">
        <v>71</v>
      </c>
      <c r="Q122" s="548"/>
      <c r="R122" s="548"/>
      <c r="S122" s="548"/>
      <c r="T122" s="548"/>
      <c r="U122" s="548"/>
      <c r="V122" s="549"/>
      <c r="W122" s="37" t="s">
        <v>69</v>
      </c>
      <c r="X122" s="545">
        <f>IFERROR(SUM(X120:X120),"0")</f>
        <v>0</v>
      </c>
      <c r="Y122" s="545">
        <f>IFERROR(SUM(Y120:Y120),"0")</f>
        <v>0</v>
      </c>
      <c r="Z122" s="37"/>
      <c r="AA122" s="546"/>
      <c r="AB122" s="546"/>
      <c r="AC122" s="546"/>
    </row>
    <row r="123" spans="1:68" ht="16.5" hidden="1" customHeight="1" x14ac:dyDescent="0.25">
      <c r="A123" s="599" t="s">
        <v>222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8"/>
      <c r="AB123" s="538"/>
      <c r="AC123" s="538"/>
    </row>
    <row r="124" spans="1:68" ht="14.25" hidden="1" customHeight="1" x14ac:dyDescent="0.25">
      <c r="A124" s="559" t="s">
        <v>101</v>
      </c>
      <c r="B124" s="555"/>
      <c r="C124" s="555"/>
      <c r="D124" s="555"/>
      <c r="E124" s="555"/>
      <c r="F124" s="555"/>
      <c r="G124" s="555"/>
      <c r="H124" s="555"/>
      <c r="I124" s="555"/>
      <c r="J124" s="555"/>
      <c r="K124" s="555"/>
      <c r="L124" s="555"/>
      <c r="M124" s="555"/>
      <c r="N124" s="555"/>
      <c r="O124" s="555"/>
      <c r="P124" s="555"/>
      <c r="Q124" s="555"/>
      <c r="R124" s="555"/>
      <c r="S124" s="555"/>
      <c r="T124" s="555"/>
      <c r="U124" s="555"/>
      <c r="V124" s="555"/>
      <c r="W124" s="555"/>
      <c r="X124" s="555"/>
      <c r="Y124" s="555"/>
      <c r="Z124" s="555"/>
      <c r="AA124" s="539"/>
      <c r="AB124" s="539"/>
      <c r="AC124" s="539"/>
    </row>
    <row r="125" spans="1:68" ht="27" customHeight="1" x14ac:dyDescent="0.25">
      <c r="A125" s="54" t="s">
        <v>223</v>
      </c>
      <c r="B125" s="54" t="s">
        <v>224</v>
      </c>
      <c r="C125" s="31">
        <v>4301011562</v>
      </c>
      <c r="D125" s="560">
        <v>4680115882577</v>
      </c>
      <c r="E125" s="561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6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1"/>
      <c r="R125" s="551"/>
      <c r="S125" s="551"/>
      <c r="T125" s="552"/>
      <c r="U125" s="34"/>
      <c r="V125" s="34"/>
      <c r="W125" s="35" t="s">
        <v>69</v>
      </c>
      <c r="X125" s="543">
        <v>9</v>
      </c>
      <c r="Y125" s="544">
        <f>IFERROR(IF(X125="",0,CEILING((X125/$H125),1)*$H125),"")</f>
        <v>9.6000000000000014</v>
      </c>
      <c r="Z125" s="36">
        <f>IFERROR(IF(Y125=0,"",ROUNDUP(Y125/H125,0)*0.00651),"")</f>
        <v>1.9529999999999999E-2</v>
      </c>
      <c r="AA125" s="56"/>
      <c r="AB125" s="57"/>
      <c r="AC125" s="167" t="s">
        <v>225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9.5062499999999996</v>
      </c>
      <c r="BN125" s="64">
        <f>IFERROR(Y125*I125/H125,"0")</f>
        <v>10.139999999999999</v>
      </c>
      <c r="BO125" s="64">
        <f>IFERROR(1/J125*(X125/H125),"0")</f>
        <v>1.5453296703296704E-2</v>
      </c>
      <c r="BP125" s="64">
        <f>IFERROR(1/J125*(Y125/H125),"0")</f>
        <v>1.6483516483516487E-2</v>
      </c>
    </row>
    <row r="126" spans="1:68" ht="27" hidden="1" customHeight="1" x14ac:dyDescent="0.25">
      <c r="A126" s="54" t="s">
        <v>223</v>
      </c>
      <c r="B126" s="54" t="s">
        <v>226</v>
      </c>
      <c r="C126" s="31">
        <v>4301011564</v>
      </c>
      <c r="D126" s="560">
        <v>4680115882577</v>
      </c>
      <c r="E126" s="561"/>
      <c r="F126" s="542">
        <v>0.4</v>
      </c>
      <c r="G126" s="32">
        <v>8</v>
      </c>
      <c r="H126" s="542">
        <v>3.2</v>
      </c>
      <c r="I126" s="542">
        <v>3.38</v>
      </c>
      <c r="J126" s="32">
        <v>182</v>
      </c>
      <c r="K126" s="32" t="s">
        <v>76</v>
      </c>
      <c r="L126" s="32" t="s">
        <v>88</v>
      </c>
      <c r="M126" s="33" t="s">
        <v>96</v>
      </c>
      <c r="N126" s="33"/>
      <c r="O126" s="32">
        <v>90</v>
      </c>
      <c r="P126" s="55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1"/>
      <c r="R126" s="551"/>
      <c r="S126" s="551"/>
      <c r="T126" s="552"/>
      <c r="U126" s="34"/>
      <c r="V126" s="34"/>
      <c r="W126" s="35" t="s">
        <v>69</v>
      </c>
      <c r="X126" s="543">
        <v>0</v>
      </c>
      <c r="Y126" s="54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225</v>
      </c>
      <c r="AG126" s="64"/>
      <c r="AJ126" s="68" t="s">
        <v>90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554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53" t="s">
        <v>71</v>
      </c>
      <c r="Q127" s="548"/>
      <c r="R127" s="548"/>
      <c r="S127" s="548"/>
      <c r="T127" s="548"/>
      <c r="U127" s="548"/>
      <c r="V127" s="549"/>
      <c r="W127" s="37" t="s">
        <v>72</v>
      </c>
      <c r="X127" s="545">
        <f>IFERROR(X125/H125,"0")+IFERROR(X126/H126,"0")</f>
        <v>2.8125</v>
      </c>
      <c r="Y127" s="545">
        <f>IFERROR(Y125/H125,"0")+IFERROR(Y126/H126,"0")</f>
        <v>3.0000000000000004</v>
      </c>
      <c r="Z127" s="545">
        <f>IFERROR(IF(Z125="",0,Z125),"0")+IFERROR(IF(Z126="",0,Z126),"0")</f>
        <v>1.9529999999999999E-2</v>
      </c>
      <c r="AA127" s="546"/>
      <c r="AB127" s="546"/>
      <c r="AC127" s="546"/>
    </row>
    <row r="128" spans="1:68" x14ac:dyDescent="0.2">
      <c r="A128" s="555"/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6"/>
      <c r="P128" s="553" t="s">
        <v>71</v>
      </c>
      <c r="Q128" s="548"/>
      <c r="R128" s="548"/>
      <c r="S128" s="548"/>
      <c r="T128" s="548"/>
      <c r="U128" s="548"/>
      <c r="V128" s="549"/>
      <c r="W128" s="37" t="s">
        <v>69</v>
      </c>
      <c r="X128" s="545">
        <f>IFERROR(SUM(X125:X126),"0")</f>
        <v>9</v>
      </c>
      <c r="Y128" s="545">
        <f>IFERROR(SUM(Y125:Y126),"0")</f>
        <v>9.6000000000000014</v>
      </c>
      <c r="Z128" s="37"/>
      <c r="AA128" s="546"/>
      <c r="AB128" s="546"/>
      <c r="AC128" s="546"/>
    </row>
    <row r="129" spans="1:68" ht="14.25" hidden="1" customHeight="1" x14ac:dyDescent="0.25">
      <c r="A129" s="559" t="s">
        <v>64</v>
      </c>
      <c r="B129" s="555"/>
      <c r="C129" s="555"/>
      <c r="D129" s="555"/>
      <c r="E129" s="555"/>
      <c r="F129" s="555"/>
      <c r="G129" s="555"/>
      <c r="H129" s="555"/>
      <c r="I129" s="555"/>
      <c r="J129" s="555"/>
      <c r="K129" s="555"/>
      <c r="L129" s="555"/>
      <c r="M129" s="555"/>
      <c r="N129" s="555"/>
      <c r="O129" s="555"/>
      <c r="P129" s="555"/>
      <c r="Q129" s="555"/>
      <c r="R129" s="555"/>
      <c r="S129" s="555"/>
      <c r="T129" s="555"/>
      <c r="U129" s="555"/>
      <c r="V129" s="555"/>
      <c r="W129" s="555"/>
      <c r="X129" s="555"/>
      <c r="Y129" s="555"/>
      <c r="Z129" s="555"/>
      <c r="AA129" s="539"/>
      <c r="AB129" s="539"/>
      <c r="AC129" s="539"/>
    </row>
    <row r="130" spans="1:68" ht="27" customHeight="1" x14ac:dyDescent="0.25">
      <c r="A130" s="54" t="s">
        <v>227</v>
      </c>
      <c r="B130" s="54" t="s">
        <v>228</v>
      </c>
      <c r="C130" s="31">
        <v>4301031235</v>
      </c>
      <c r="D130" s="560">
        <v>4680115883444</v>
      </c>
      <c r="E130" s="561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6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1"/>
      <c r="R130" s="551"/>
      <c r="S130" s="551"/>
      <c r="T130" s="552"/>
      <c r="U130" s="34"/>
      <c r="V130" s="34"/>
      <c r="W130" s="35" t="s">
        <v>69</v>
      </c>
      <c r="X130" s="543">
        <v>8</v>
      </c>
      <c r="Y130" s="544">
        <f>IFERROR(IF(X130="",0,CEILING((X130/$H130),1)*$H130),"")</f>
        <v>8.3999999999999986</v>
      </c>
      <c r="Z130" s="36">
        <f>IFERROR(IF(Y130=0,"",ROUNDUP(Y130/H130,0)*0.00651),"")</f>
        <v>1.9529999999999999E-2</v>
      </c>
      <c r="AA130" s="56"/>
      <c r="AB130" s="57"/>
      <c r="AC130" s="171" t="s">
        <v>229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8.7657142857142869</v>
      </c>
      <c r="BN130" s="64">
        <f>IFERROR(Y130*I130/H130,"0")</f>
        <v>9.2039999999999988</v>
      </c>
      <c r="BO130" s="64">
        <f>IFERROR(1/J130*(X130/H130),"0")</f>
        <v>1.5698587127158558E-2</v>
      </c>
      <c r="BP130" s="64">
        <f>IFERROR(1/J130*(Y130/H130),"0")</f>
        <v>1.6483516483516484E-2</v>
      </c>
    </row>
    <row r="131" spans="1:68" ht="27" hidden="1" customHeight="1" x14ac:dyDescent="0.25">
      <c r="A131" s="54" t="s">
        <v>227</v>
      </c>
      <c r="B131" s="54" t="s">
        <v>230</v>
      </c>
      <c r="C131" s="31">
        <v>4301031234</v>
      </c>
      <c r="D131" s="560">
        <v>4680115883444</v>
      </c>
      <c r="E131" s="561"/>
      <c r="F131" s="542">
        <v>0.35</v>
      </c>
      <c r="G131" s="32">
        <v>8</v>
      </c>
      <c r="H131" s="542">
        <v>2.8</v>
      </c>
      <c r="I131" s="542">
        <v>3.0680000000000001</v>
      </c>
      <c r="J131" s="32">
        <v>182</v>
      </c>
      <c r="K131" s="32" t="s">
        <v>76</v>
      </c>
      <c r="L131" s="32" t="s">
        <v>88</v>
      </c>
      <c r="M131" s="33" t="s">
        <v>96</v>
      </c>
      <c r="N131" s="33"/>
      <c r="O131" s="32">
        <v>90</v>
      </c>
      <c r="P131" s="79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1"/>
      <c r="R131" s="551"/>
      <c r="S131" s="551"/>
      <c r="T131" s="552"/>
      <c r="U131" s="34"/>
      <c r="V131" s="34"/>
      <c r="W131" s="35" t="s">
        <v>69</v>
      </c>
      <c r="X131" s="543">
        <v>0</v>
      </c>
      <c r="Y131" s="54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229</v>
      </c>
      <c r="AG131" s="64"/>
      <c r="AJ131" s="68" t="s">
        <v>90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554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53" t="s">
        <v>71</v>
      </c>
      <c r="Q132" s="548"/>
      <c r="R132" s="548"/>
      <c r="S132" s="548"/>
      <c r="T132" s="548"/>
      <c r="U132" s="548"/>
      <c r="V132" s="549"/>
      <c r="W132" s="37" t="s">
        <v>72</v>
      </c>
      <c r="X132" s="545">
        <f>IFERROR(X130/H130,"0")+IFERROR(X131/H131,"0")</f>
        <v>2.8571428571428572</v>
      </c>
      <c r="Y132" s="545">
        <f>IFERROR(Y130/H130,"0")+IFERROR(Y131/H131,"0")</f>
        <v>2.9999999999999996</v>
      </c>
      <c r="Z132" s="545">
        <f>IFERROR(IF(Z130="",0,Z130),"0")+IFERROR(IF(Z131="",0,Z131),"0")</f>
        <v>1.9529999999999999E-2</v>
      </c>
      <c r="AA132" s="546"/>
      <c r="AB132" s="546"/>
      <c r="AC132" s="546"/>
    </row>
    <row r="133" spans="1:68" x14ac:dyDescent="0.2">
      <c r="A133" s="555"/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6"/>
      <c r="P133" s="553" t="s">
        <v>71</v>
      </c>
      <c r="Q133" s="548"/>
      <c r="R133" s="548"/>
      <c r="S133" s="548"/>
      <c r="T133" s="548"/>
      <c r="U133" s="548"/>
      <c r="V133" s="549"/>
      <c r="W133" s="37" t="s">
        <v>69</v>
      </c>
      <c r="X133" s="545">
        <f>IFERROR(SUM(X130:X131),"0")</f>
        <v>8</v>
      </c>
      <c r="Y133" s="545">
        <f>IFERROR(SUM(Y130:Y131),"0")</f>
        <v>8.3999999999999986</v>
      </c>
      <c r="Z133" s="37"/>
      <c r="AA133" s="546"/>
      <c r="AB133" s="546"/>
      <c r="AC133" s="546"/>
    </row>
    <row r="134" spans="1:68" ht="14.25" hidden="1" customHeight="1" x14ac:dyDescent="0.25">
      <c r="A134" s="559" t="s">
        <v>73</v>
      </c>
      <c r="B134" s="555"/>
      <c r="C134" s="555"/>
      <c r="D134" s="555"/>
      <c r="E134" s="555"/>
      <c r="F134" s="555"/>
      <c r="G134" s="555"/>
      <c r="H134" s="555"/>
      <c r="I134" s="555"/>
      <c r="J134" s="555"/>
      <c r="K134" s="555"/>
      <c r="L134" s="555"/>
      <c r="M134" s="555"/>
      <c r="N134" s="555"/>
      <c r="O134" s="555"/>
      <c r="P134" s="555"/>
      <c r="Q134" s="555"/>
      <c r="R134" s="555"/>
      <c r="S134" s="555"/>
      <c r="T134" s="555"/>
      <c r="U134" s="555"/>
      <c r="V134" s="555"/>
      <c r="W134" s="555"/>
      <c r="X134" s="555"/>
      <c r="Y134" s="555"/>
      <c r="Z134" s="555"/>
      <c r="AA134" s="539"/>
      <c r="AB134" s="539"/>
      <c r="AC134" s="539"/>
    </row>
    <row r="135" spans="1:68" ht="16.5" customHeight="1" x14ac:dyDescent="0.25">
      <c r="A135" s="54" t="s">
        <v>231</v>
      </c>
      <c r="B135" s="54" t="s">
        <v>232</v>
      </c>
      <c r="C135" s="31">
        <v>4301051477</v>
      </c>
      <c r="D135" s="560">
        <v>4680115882584</v>
      </c>
      <c r="E135" s="561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/>
      <c r="M135" s="33" t="s">
        <v>96</v>
      </c>
      <c r="N135" s="33"/>
      <c r="O135" s="32">
        <v>60</v>
      </c>
      <c r="P135" s="62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1"/>
      <c r="R135" s="551"/>
      <c r="S135" s="551"/>
      <c r="T135" s="552"/>
      <c r="U135" s="34"/>
      <c r="V135" s="34"/>
      <c r="W135" s="35" t="s">
        <v>69</v>
      </c>
      <c r="X135" s="543">
        <v>7.92</v>
      </c>
      <c r="Y135" s="544">
        <f>IFERROR(IF(X135="",0,CEILING((X135/$H135),1)*$H135),"")</f>
        <v>7.92</v>
      </c>
      <c r="Z135" s="36">
        <f>IFERROR(IF(Y135=0,"",ROUNDUP(Y135/H135,0)*0.00651),"")</f>
        <v>1.9529999999999999E-2</v>
      </c>
      <c r="AA135" s="56"/>
      <c r="AB135" s="57"/>
      <c r="AC135" s="175" t="s">
        <v>225</v>
      </c>
      <c r="AG135" s="64"/>
      <c r="AJ135" s="68"/>
      <c r="AK135" s="68">
        <v>0</v>
      </c>
      <c r="BB135" s="176" t="s">
        <v>1</v>
      </c>
      <c r="BM135" s="64">
        <f>IFERROR(X135*I135/H135,"0")</f>
        <v>8.7240000000000002</v>
      </c>
      <c r="BN135" s="64">
        <f>IFERROR(Y135*I135/H135,"0")</f>
        <v>8.7240000000000002</v>
      </c>
      <c r="BO135" s="64">
        <f>IFERROR(1/J135*(X135/H135),"0")</f>
        <v>1.6483516483516484E-2</v>
      </c>
      <c r="BP135" s="64">
        <f>IFERROR(1/J135*(Y135/H135),"0")</f>
        <v>1.6483516483516484E-2</v>
      </c>
    </row>
    <row r="136" spans="1:68" ht="16.5" hidden="1" customHeight="1" x14ac:dyDescent="0.25">
      <c r="A136" s="54" t="s">
        <v>231</v>
      </c>
      <c r="B136" s="54" t="s">
        <v>233</v>
      </c>
      <c r="C136" s="31">
        <v>4301051476</v>
      </c>
      <c r="D136" s="560">
        <v>4680115882584</v>
      </c>
      <c r="E136" s="561"/>
      <c r="F136" s="542">
        <v>0.33</v>
      </c>
      <c r="G136" s="32">
        <v>8</v>
      </c>
      <c r="H136" s="542">
        <v>2.64</v>
      </c>
      <c r="I136" s="542">
        <v>2.9079999999999999</v>
      </c>
      <c r="J136" s="32">
        <v>182</v>
      </c>
      <c r="K136" s="32" t="s">
        <v>76</v>
      </c>
      <c r="L136" s="32" t="s">
        <v>88</v>
      </c>
      <c r="M136" s="33" t="s">
        <v>96</v>
      </c>
      <c r="N136" s="33"/>
      <c r="O136" s="32">
        <v>60</v>
      </c>
      <c r="P136" s="58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1"/>
      <c r="R136" s="551"/>
      <c r="S136" s="551"/>
      <c r="T136" s="552"/>
      <c r="U136" s="34"/>
      <c r="V136" s="34"/>
      <c r="W136" s="35" t="s">
        <v>69</v>
      </c>
      <c r="X136" s="543">
        <v>0</v>
      </c>
      <c r="Y136" s="54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225</v>
      </c>
      <c r="AG136" s="64"/>
      <c r="AJ136" s="68" t="s">
        <v>90</v>
      </c>
      <c r="AK136" s="68">
        <v>36.96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554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53" t="s">
        <v>71</v>
      </c>
      <c r="Q137" s="548"/>
      <c r="R137" s="548"/>
      <c r="S137" s="548"/>
      <c r="T137" s="548"/>
      <c r="U137" s="548"/>
      <c r="V137" s="549"/>
      <c r="W137" s="37" t="s">
        <v>72</v>
      </c>
      <c r="X137" s="545">
        <f>IFERROR(X135/H135,"0")+IFERROR(X136/H136,"0")</f>
        <v>3</v>
      </c>
      <c r="Y137" s="545">
        <f>IFERROR(Y135/H135,"0")+IFERROR(Y136/H136,"0")</f>
        <v>3</v>
      </c>
      <c r="Z137" s="545">
        <f>IFERROR(IF(Z135="",0,Z135),"0")+IFERROR(IF(Z136="",0,Z136),"0")</f>
        <v>1.9529999999999999E-2</v>
      </c>
      <c r="AA137" s="546"/>
      <c r="AB137" s="546"/>
      <c r="AC137" s="546"/>
    </row>
    <row r="138" spans="1:68" x14ac:dyDescent="0.2">
      <c r="A138" s="555"/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6"/>
      <c r="P138" s="553" t="s">
        <v>71</v>
      </c>
      <c r="Q138" s="548"/>
      <c r="R138" s="548"/>
      <c r="S138" s="548"/>
      <c r="T138" s="548"/>
      <c r="U138" s="548"/>
      <c r="V138" s="549"/>
      <c r="W138" s="37" t="s">
        <v>69</v>
      </c>
      <c r="X138" s="545">
        <f>IFERROR(SUM(X135:X136),"0")</f>
        <v>7.92</v>
      </c>
      <c r="Y138" s="545">
        <f>IFERROR(SUM(Y135:Y136),"0")</f>
        <v>7.92</v>
      </c>
      <c r="Z138" s="37"/>
      <c r="AA138" s="546"/>
      <c r="AB138" s="546"/>
      <c r="AC138" s="546"/>
    </row>
    <row r="139" spans="1:68" ht="16.5" hidden="1" customHeight="1" x14ac:dyDescent="0.25">
      <c r="A139" s="599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8"/>
      <c r="AB139" s="538"/>
      <c r="AC139" s="538"/>
    </row>
    <row r="140" spans="1:68" ht="14.25" hidden="1" customHeight="1" x14ac:dyDescent="0.25">
      <c r="A140" s="559" t="s">
        <v>101</v>
      </c>
      <c r="B140" s="555"/>
      <c r="C140" s="555"/>
      <c r="D140" s="555"/>
      <c r="E140" s="555"/>
      <c r="F140" s="555"/>
      <c r="G140" s="555"/>
      <c r="H140" s="555"/>
      <c r="I140" s="555"/>
      <c r="J140" s="555"/>
      <c r="K140" s="555"/>
      <c r="L140" s="555"/>
      <c r="M140" s="555"/>
      <c r="N140" s="555"/>
      <c r="O140" s="555"/>
      <c r="P140" s="555"/>
      <c r="Q140" s="555"/>
      <c r="R140" s="555"/>
      <c r="S140" s="555"/>
      <c r="T140" s="555"/>
      <c r="U140" s="555"/>
      <c r="V140" s="555"/>
      <c r="W140" s="555"/>
      <c r="X140" s="555"/>
      <c r="Y140" s="555"/>
      <c r="Z140" s="555"/>
      <c r="AA140" s="539"/>
      <c r="AB140" s="539"/>
      <c r="AC140" s="539"/>
    </row>
    <row r="141" spans="1:68" ht="27" hidden="1" customHeight="1" x14ac:dyDescent="0.25">
      <c r="A141" s="54" t="s">
        <v>234</v>
      </c>
      <c r="B141" s="54" t="s">
        <v>235</v>
      </c>
      <c r="C141" s="31">
        <v>4301012244</v>
      </c>
      <c r="D141" s="560">
        <v>4680115887374</v>
      </c>
      <c r="E141" s="561"/>
      <c r="F141" s="542">
        <v>1.6</v>
      </c>
      <c r="G141" s="32">
        <v>8</v>
      </c>
      <c r="H141" s="542">
        <v>12.8</v>
      </c>
      <c r="I141" s="542">
        <v>13.234999999999999</v>
      </c>
      <c r="J141" s="32">
        <v>64</v>
      </c>
      <c r="K141" s="32" t="s">
        <v>104</v>
      </c>
      <c r="L141" s="32"/>
      <c r="M141" s="33" t="s">
        <v>106</v>
      </c>
      <c r="N141" s="33"/>
      <c r="O141" s="32">
        <v>55</v>
      </c>
      <c r="P141" s="71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1"/>
      <c r="R141" s="551"/>
      <c r="S141" s="551"/>
      <c r="T141" s="552"/>
      <c r="U141" s="34"/>
      <c r="V141" s="34"/>
      <c r="W141" s="35" t="s">
        <v>69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 t="s">
        <v>236</v>
      </c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238</v>
      </c>
      <c r="B142" s="54" t="s">
        <v>239</v>
      </c>
      <c r="C142" s="31">
        <v>4301011705</v>
      </c>
      <c r="D142" s="560">
        <v>4607091384604</v>
      </c>
      <c r="E142" s="561"/>
      <c r="F142" s="542">
        <v>0.4</v>
      </c>
      <c r="G142" s="32">
        <v>10</v>
      </c>
      <c r="H142" s="542">
        <v>4</v>
      </c>
      <c r="I142" s="542">
        <v>4.21</v>
      </c>
      <c r="J142" s="32">
        <v>132</v>
      </c>
      <c r="K142" s="32" t="s">
        <v>110</v>
      </c>
      <c r="L142" s="32" t="s">
        <v>111</v>
      </c>
      <c r="M142" s="33" t="s">
        <v>106</v>
      </c>
      <c r="N142" s="33"/>
      <c r="O142" s="32">
        <v>50</v>
      </c>
      <c r="P142" s="77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1"/>
      <c r="R142" s="551"/>
      <c r="S142" s="551"/>
      <c r="T142" s="552"/>
      <c r="U142" s="34"/>
      <c r="V142" s="34"/>
      <c r="W142" s="35" t="s">
        <v>69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240</v>
      </c>
      <c r="AG142" s="64"/>
      <c r="AJ142" s="68" t="s">
        <v>90</v>
      </c>
      <c r="AK142" s="68">
        <v>48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241</v>
      </c>
      <c r="B143" s="54" t="s">
        <v>242</v>
      </c>
      <c r="C143" s="31">
        <v>4301012179</v>
      </c>
      <c r="D143" s="560">
        <v>4680115886810</v>
      </c>
      <c r="E143" s="561"/>
      <c r="F143" s="542">
        <v>0.3</v>
      </c>
      <c r="G143" s="32">
        <v>10</v>
      </c>
      <c r="H143" s="542">
        <v>3</v>
      </c>
      <c r="I143" s="542">
        <v>3.18</v>
      </c>
      <c r="J143" s="32">
        <v>182</v>
      </c>
      <c r="K143" s="32" t="s">
        <v>76</v>
      </c>
      <c r="L143" s="32"/>
      <c r="M143" s="33" t="s">
        <v>106</v>
      </c>
      <c r="N143" s="33"/>
      <c r="O143" s="32">
        <v>55</v>
      </c>
      <c r="P143" s="718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3" s="551"/>
      <c r="R143" s="551"/>
      <c r="S143" s="551"/>
      <c r="T143" s="552"/>
      <c r="U143" s="34"/>
      <c r="V143" s="34"/>
      <c r="W143" s="35" t="s">
        <v>69</v>
      </c>
      <c r="X143" s="543">
        <v>0</v>
      </c>
      <c r="Y143" s="54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54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53" t="s">
        <v>71</v>
      </c>
      <c r="Q144" s="548"/>
      <c r="R144" s="548"/>
      <c r="S144" s="548"/>
      <c r="T144" s="548"/>
      <c r="U144" s="548"/>
      <c r="V144" s="549"/>
      <c r="W144" s="37" t="s">
        <v>72</v>
      </c>
      <c r="X144" s="545">
        <f>IFERROR(X141/H141,"0")+IFERROR(X142/H142,"0")+IFERROR(X143/H143,"0")</f>
        <v>0</v>
      </c>
      <c r="Y144" s="545">
        <f>IFERROR(Y141/H141,"0")+IFERROR(Y142/H142,"0")+IFERROR(Y143/H143,"0")</f>
        <v>0</v>
      </c>
      <c r="Z144" s="545">
        <f>IFERROR(IF(Z141="",0,Z141),"0")+IFERROR(IF(Z142="",0,Z142),"0")+IFERROR(IF(Z143="",0,Z143),"0")</f>
        <v>0</v>
      </c>
      <c r="AA144" s="546"/>
      <c r="AB144" s="546"/>
      <c r="AC144" s="546"/>
    </row>
    <row r="145" spans="1:68" hidden="1" x14ac:dyDescent="0.2">
      <c r="A145" s="555"/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6"/>
      <c r="P145" s="553" t="s">
        <v>71</v>
      </c>
      <c r="Q145" s="548"/>
      <c r="R145" s="548"/>
      <c r="S145" s="548"/>
      <c r="T145" s="548"/>
      <c r="U145" s="548"/>
      <c r="V145" s="549"/>
      <c r="W145" s="37" t="s">
        <v>69</v>
      </c>
      <c r="X145" s="545">
        <f>IFERROR(SUM(X141:X143),"0")</f>
        <v>0</v>
      </c>
      <c r="Y145" s="545">
        <f>IFERROR(SUM(Y141:Y143),"0")</f>
        <v>0</v>
      </c>
      <c r="Z145" s="37"/>
      <c r="AA145" s="546"/>
      <c r="AB145" s="546"/>
      <c r="AC145" s="546"/>
    </row>
    <row r="146" spans="1:68" ht="14.25" hidden="1" customHeight="1" x14ac:dyDescent="0.25">
      <c r="A146" s="559" t="s">
        <v>64</v>
      </c>
      <c r="B146" s="555"/>
      <c r="C146" s="555"/>
      <c r="D146" s="555"/>
      <c r="E146" s="555"/>
      <c r="F146" s="555"/>
      <c r="G146" s="555"/>
      <c r="H146" s="555"/>
      <c r="I146" s="555"/>
      <c r="J146" s="555"/>
      <c r="K146" s="555"/>
      <c r="L146" s="555"/>
      <c r="M146" s="555"/>
      <c r="N146" s="555"/>
      <c r="O146" s="555"/>
      <c r="P146" s="555"/>
      <c r="Q146" s="555"/>
      <c r="R146" s="555"/>
      <c r="S146" s="555"/>
      <c r="T146" s="555"/>
      <c r="U146" s="555"/>
      <c r="V146" s="555"/>
      <c r="W146" s="555"/>
      <c r="X146" s="555"/>
      <c r="Y146" s="555"/>
      <c r="Z146" s="555"/>
      <c r="AA146" s="539"/>
      <c r="AB146" s="539"/>
      <c r="AC146" s="539"/>
    </row>
    <row r="147" spans="1:68" ht="16.5" hidden="1" customHeight="1" x14ac:dyDescent="0.25">
      <c r="A147" s="54" t="s">
        <v>244</v>
      </c>
      <c r="B147" s="54" t="s">
        <v>245</v>
      </c>
      <c r="C147" s="31">
        <v>4301030895</v>
      </c>
      <c r="D147" s="560">
        <v>4607091387667</v>
      </c>
      <c r="E147" s="561"/>
      <c r="F147" s="542">
        <v>0.9</v>
      </c>
      <c r="G147" s="32">
        <v>10</v>
      </c>
      <c r="H147" s="542">
        <v>9</v>
      </c>
      <c r="I147" s="542">
        <v>9.5850000000000009</v>
      </c>
      <c r="J147" s="32">
        <v>64</v>
      </c>
      <c r="K147" s="32" t="s">
        <v>104</v>
      </c>
      <c r="L147" s="32" t="s">
        <v>105</v>
      </c>
      <c r="M147" s="33" t="s">
        <v>106</v>
      </c>
      <c r="N147" s="33"/>
      <c r="O147" s="32">
        <v>40</v>
      </c>
      <c r="P147" s="84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1"/>
      <c r="R147" s="551"/>
      <c r="S147" s="551"/>
      <c r="T147" s="552"/>
      <c r="U147" s="34"/>
      <c r="V147" s="34"/>
      <c r="W147" s="35" t="s">
        <v>69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247</v>
      </c>
      <c r="B148" s="54" t="s">
        <v>248</v>
      </c>
      <c r="C148" s="31">
        <v>4301030961</v>
      </c>
      <c r="D148" s="560">
        <v>4607091387636</v>
      </c>
      <c r="E148" s="561"/>
      <c r="F148" s="542">
        <v>0.7</v>
      </c>
      <c r="G148" s="32">
        <v>6</v>
      </c>
      <c r="H148" s="542">
        <v>4.2</v>
      </c>
      <c r="I148" s="542">
        <v>4.47</v>
      </c>
      <c r="J148" s="32">
        <v>182</v>
      </c>
      <c r="K148" s="32" t="s">
        <v>76</v>
      </c>
      <c r="L148" s="32"/>
      <c r="M148" s="33" t="s">
        <v>68</v>
      </c>
      <c r="N148" s="33"/>
      <c r="O148" s="32">
        <v>40</v>
      </c>
      <c r="P148" s="57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1"/>
      <c r="R148" s="551"/>
      <c r="S148" s="551"/>
      <c r="T148" s="552"/>
      <c r="U148" s="34"/>
      <c r="V148" s="34"/>
      <c r="W148" s="35" t="s">
        <v>69</v>
      </c>
      <c r="X148" s="543">
        <v>0</v>
      </c>
      <c r="Y148" s="54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250</v>
      </c>
      <c r="B149" s="54" t="s">
        <v>251</v>
      </c>
      <c r="C149" s="31">
        <v>4301030963</v>
      </c>
      <c r="D149" s="560">
        <v>4607091382426</v>
      </c>
      <c r="E149" s="561"/>
      <c r="F149" s="542">
        <v>0.9</v>
      </c>
      <c r="G149" s="32">
        <v>10</v>
      </c>
      <c r="H149" s="542">
        <v>9</v>
      </c>
      <c r="I149" s="542">
        <v>9.5850000000000009</v>
      </c>
      <c r="J149" s="32">
        <v>64</v>
      </c>
      <c r="K149" s="32" t="s">
        <v>104</v>
      </c>
      <c r="L149" s="32" t="s">
        <v>105</v>
      </c>
      <c r="M149" s="33" t="s">
        <v>68</v>
      </c>
      <c r="N149" s="33"/>
      <c r="O149" s="32">
        <v>40</v>
      </c>
      <c r="P149" s="57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551"/>
      <c r="R149" s="551"/>
      <c r="S149" s="551"/>
      <c r="T149" s="552"/>
      <c r="U149" s="34"/>
      <c r="V149" s="34"/>
      <c r="W149" s="35" t="s">
        <v>69</v>
      </c>
      <c r="X149" s="543">
        <v>0</v>
      </c>
      <c r="Y149" s="544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252</v>
      </c>
      <c r="AG149" s="64"/>
      <c r="AJ149" s="68" t="s">
        <v>90</v>
      </c>
      <c r="AK149" s="68">
        <v>72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idden="1" x14ac:dyDescent="0.2">
      <c r="A150" s="554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53" t="s">
        <v>71</v>
      </c>
      <c r="Q150" s="548"/>
      <c r="R150" s="548"/>
      <c r="S150" s="548"/>
      <c r="T150" s="548"/>
      <c r="U150" s="548"/>
      <c r="V150" s="549"/>
      <c r="W150" s="37" t="s">
        <v>72</v>
      </c>
      <c r="X150" s="545">
        <f>IFERROR(X147/H147,"0")+IFERROR(X148/H148,"0")+IFERROR(X149/H149,"0")</f>
        <v>0</v>
      </c>
      <c r="Y150" s="545">
        <f>IFERROR(Y147/H147,"0")+IFERROR(Y148/H148,"0")+IFERROR(Y149/H149,"0")</f>
        <v>0</v>
      </c>
      <c r="Z150" s="545">
        <f>IFERROR(IF(Z147="",0,Z147),"0")+IFERROR(IF(Z148="",0,Z148),"0")+IFERROR(IF(Z149="",0,Z149),"0")</f>
        <v>0</v>
      </c>
      <c r="AA150" s="546"/>
      <c r="AB150" s="546"/>
      <c r="AC150" s="546"/>
    </row>
    <row r="151" spans="1:68" hidden="1" x14ac:dyDescent="0.2">
      <c r="A151" s="555"/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6"/>
      <c r="P151" s="553" t="s">
        <v>71</v>
      </c>
      <c r="Q151" s="548"/>
      <c r="R151" s="548"/>
      <c r="S151" s="548"/>
      <c r="T151" s="548"/>
      <c r="U151" s="548"/>
      <c r="V151" s="549"/>
      <c r="W151" s="37" t="s">
        <v>69</v>
      </c>
      <c r="X151" s="545">
        <f>IFERROR(SUM(X147:X149),"0")</f>
        <v>0</v>
      </c>
      <c r="Y151" s="545">
        <f>IFERROR(SUM(Y147:Y149),"0")</f>
        <v>0</v>
      </c>
      <c r="Z151" s="37"/>
      <c r="AA151" s="546"/>
      <c r="AB151" s="546"/>
      <c r="AC151" s="546"/>
    </row>
    <row r="152" spans="1:68" ht="14.25" hidden="1" customHeight="1" x14ac:dyDescent="0.25">
      <c r="A152" s="559" t="s">
        <v>73</v>
      </c>
      <c r="B152" s="555"/>
      <c r="C152" s="555"/>
      <c r="D152" s="555"/>
      <c r="E152" s="555"/>
      <c r="F152" s="555"/>
      <c r="G152" s="555"/>
      <c r="H152" s="555"/>
      <c r="I152" s="555"/>
      <c r="J152" s="555"/>
      <c r="K152" s="555"/>
      <c r="L152" s="555"/>
      <c r="M152" s="555"/>
      <c r="N152" s="555"/>
      <c r="O152" s="555"/>
      <c r="P152" s="555"/>
      <c r="Q152" s="555"/>
      <c r="R152" s="555"/>
      <c r="S152" s="555"/>
      <c r="T152" s="555"/>
      <c r="U152" s="555"/>
      <c r="V152" s="555"/>
      <c r="W152" s="555"/>
      <c r="X152" s="555"/>
      <c r="Y152" s="555"/>
      <c r="Z152" s="555"/>
      <c r="AA152" s="539"/>
      <c r="AB152" s="539"/>
      <c r="AC152" s="539"/>
    </row>
    <row r="153" spans="1:68" ht="27" hidden="1" customHeight="1" x14ac:dyDescent="0.25">
      <c r="A153" s="54" t="s">
        <v>253</v>
      </c>
      <c r="B153" s="54" t="s">
        <v>254</v>
      </c>
      <c r="C153" s="31">
        <v>4301052064</v>
      </c>
      <c r="D153" s="560">
        <v>4680115887459</v>
      </c>
      <c r="E153" s="561"/>
      <c r="F153" s="542">
        <v>0.3</v>
      </c>
      <c r="G153" s="32">
        <v>6</v>
      </c>
      <c r="H153" s="542">
        <v>1.8</v>
      </c>
      <c r="I153" s="542">
        <v>2.0579999999999998</v>
      </c>
      <c r="J153" s="32">
        <v>182</v>
      </c>
      <c r="K153" s="32" t="s">
        <v>76</v>
      </c>
      <c r="L153" s="32"/>
      <c r="M153" s="33" t="s">
        <v>77</v>
      </c>
      <c r="N153" s="33"/>
      <c r="O153" s="32">
        <v>45</v>
      </c>
      <c r="P153" s="650" t="s">
        <v>255</v>
      </c>
      <c r="Q153" s="551"/>
      <c r="R153" s="551"/>
      <c r="S153" s="551"/>
      <c r="T153" s="552"/>
      <c r="U153" s="34"/>
      <c r="V153" s="34"/>
      <c r="W153" s="35" t="s">
        <v>69</v>
      </c>
      <c r="X153" s="543">
        <v>0</v>
      </c>
      <c r="Y153" s="544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 t="s">
        <v>236</v>
      </c>
      <c r="AC153" s="191" t="s">
        <v>256</v>
      </c>
      <c r="AG153" s="64"/>
      <c r="AJ153" s="68"/>
      <c r="AK153" s="68">
        <v>0</v>
      </c>
      <c r="BB153" s="192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554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53" t="s">
        <v>71</v>
      </c>
      <c r="Q154" s="548"/>
      <c r="R154" s="548"/>
      <c r="S154" s="548"/>
      <c r="T154" s="548"/>
      <c r="U154" s="548"/>
      <c r="V154" s="549"/>
      <c r="W154" s="37" t="s">
        <v>72</v>
      </c>
      <c r="X154" s="545">
        <f>IFERROR(X153/H153,"0")</f>
        <v>0</v>
      </c>
      <c r="Y154" s="545">
        <f>IFERROR(Y153/H153,"0")</f>
        <v>0</v>
      </c>
      <c r="Z154" s="545">
        <f>IFERROR(IF(Z153="",0,Z153),"0")</f>
        <v>0</v>
      </c>
      <c r="AA154" s="546"/>
      <c r="AB154" s="546"/>
      <c r="AC154" s="546"/>
    </row>
    <row r="155" spans="1:68" hidden="1" x14ac:dyDescent="0.2">
      <c r="A155" s="555"/>
      <c r="B155" s="555"/>
      <c r="C155" s="555"/>
      <c r="D155" s="555"/>
      <c r="E155" s="555"/>
      <c r="F155" s="555"/>
      <c r="G155" s="555"/>
      <c r="H155" s="555"/>
      <c r="I155" s="555"/>
      <c r="J155" s="555"/>
      <c r="K155" s="555"/>
      <c r="L155" s="555"/>
      <c r="M155" s="555"/>
      <c r="N155" s="555"/>
      <c r="O155" s="556"/>
      <c r="P155" s="553" t="s">
        <v>71</v>
      </c>
      <c r="Q155" s="548"/>
      <c r="R155" s="548"/>
      <c r="S155" s="548"/>
      <c r="T155" s="548"/>
      <c r="U155" s="548"/>
      <c r="V155" s="549"/>
      <c r="W155" s="37" t="s">
        <v>69</v>
      </c>
      <c r="X155" s="545">
        <f>IFERROR(SUM(X153:X153),"0")</f>
        <v>0</v>
      </c>
      <c r="Y155" s="545">
        <f>IFERROR(SUM(Y153:Y153),"0")</f>
        <v>0</v>
      </c>
      <c r="Z155" s="37"/>
      <c r="AA155" s="546"/>
      <c r="AB155" s="546"/>
      <c r="AC155" s="546"/>
    </row>
    <row r="156" spans="1:68" ht="27.75" hidden="1" customHeight="1" x14ac:dyDescent="0.2">
      <c r="A156" s="647" t="s">
        <v>257</v>
      </c>
      <c r="B156" s="648"/>
      <c r="C156" s="648"/>
      <c r="D156" s="648"/>
      <c r="E156" s="648"/>
      <c r="F156" s="648"/>
      <c r="G156" s="648"/>
      <c r="H156" s="648"/>
      <c r="I156" s="648"/>
      <c r="J156" s="648"/>
      <c r="K156" s="648"/>
      <c r="L156" s="648"/>
      <c r="M156" s="648"/>
      <c r="N156" s="648"/>
      <c r="O156" s="648"/>
      <c r="P156" s="648"/>
      <c r="Q156" s="648"/>
      <c r="R156" s="648"/>
      <c r="S156" s="648"/>
      <c r="T156" s="648"/>
      <c r="U156" s="648"/>
      <c r="V156" s="648"/>
      <c r="W156" s="648"/>
      <c r="X156" s="648"/>
      <c r="Y156" s="648"/>
      <c r="Z156" s="648"/>
      <c r="AA156" s="48"/>
      <c r="AB156" s="48"/>
      <c r="AC156" s="48"/>
    </row>
    <row r="157" spans="1:68" ht="16.5" hidden="1" customHeight="1" x14ac:dyDescent="0.25">
      <c r="A157" s="599" t="s">
        <v>258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8"/>
      <c r="AB157" s="538"/>
      <c r="AC157" s="538"/>
    </row>
    <row r="158" spans="1:68" ht="14.25" hidden="1" customHeight="1" x14ac:dyDescent="0.25">
      <c r="A158" s="559" t="s">
        <v>136</v>
      </c>
      <c r="B158" s="555"/>
      <c r="C158" s="555"/>
      <c r="D158" s="555"/>
      <c r="E158" s="555"/>
      <c r="F158" s="555"/>
      <c r="G158" s="555"/>
      <c r="H158" s="555"/>
      <c r="I158" s="555"/>
      <c r="J158" s="555"/>
      <c r="K158" s="555"/>
      <c r="L158" s="555"/>
      <c r="M158" s="555"/>
      <c r="N158" s="555"/>
      <c r="O158" s="555"/>
      <c r="P158" s="555"/>
      <c r="Q158" s="555"/>
      <c r="R158" s="555"/>
      <c r="S158" s="555"/>
      <c r="T158" s="555"/>
      <c r="U158" s="555"/>
      <c r="V158" s="555"/>
      <c r="W158" s="555"/>
      <c r="X158" s="555"/>
      <c r="Y158" s="555"/>
      <c r="Z158" s="555"/>
      <c r="AA158" s="539"/>
      <c r="AB158" s="539"/>
      <c r="AC158" s="539"/>
    </row>
    <row r="159" spans="1:68" ht="27" hidden="1" customHeight="1" x14ac:dyDescent="0.25">
      <c r="A159" s="54" t="s">
        <v>259</v>
      </c>
      <c r="B159" s="54" t="s">
        <v>260</v>
      </c>
      <c r="C159" s="31">
        <v>4301020323</v>
      </c>
      <c r="D159" s="560">
        <v>4680115886223</v>
      </c>
      <c r="E159" s="561"/>
      <c r="F159" s="542">
        <v>0.33</v>
      </c>
      <c r="G159" s="32">
        <v>6</v>
      </c>
      <c r="H159" s="542">
        <v>1.98</v>
      </c>
      <c r="I159" s="542">
        <v>2.08</v>
      </c>
      <c r="J159" s="32">
        <v>234</v>
      </c>
      <c r="K159" s="32" t="s">
        <v>67</v>
      </c>
      <c r="L159" s="32"/>
      <c r="M159" s="33" t="s">
        <v>68</v>
      </c>
      <c r="N159" s="33"/>
      <c r="O159" s="32">
        <v>40</v>
      </c>
      <c r="P159" s="65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9" s="551"/>
      <c r="R159" s="551"/>
      <c r="S159" s="551"/>
      <c r="T159" s="552"/>
      <c r="U159" s="34"/>
      <c r="V159" s="34"/>
      <c r="W159" s="35" t="s">
        <v>69</v>
      </c>
      <c r="X159" s="543">
        <v>0</v>
      </c>
      <c r="Y159" s="544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193" t="s">
        <v>261</v>
      </c>
      <c r="AG159" s="64"/>
      <c r="AJ159" s="68"/>
      <c r="AK159" s="68">
        <v>0</v>
      </c>
      <c r="BB159" s="194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554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53" t="s">
        <v>71</v>
      </c>
      <c r="Q160" s="548"/>
      <c r="R160" s="548"/>
      <c r="S160" s="548"/>
      <c r="T160" s="548"/>
      <c r="U160" s="548"/>
      <c r="V160" s="549"/>
      <c r="W160" s="37" t="s">
        <v>72</v>
      </c>
      <c r="X160" s="545">
        <f>IFERROR(X159/H159,"0")</f>
        <v>0</v>
      </c>
      <c r="Y160" s="545">
        <f>IFERROR(Y159/H159,"0")</f>
        <v>0</v>
      </c>
      <c r="Z160" s="545">
        <f>IFERROR(IF(Z159="",0,Z159),"0")</f>
        <v>0</v>
      </c>
      <c r="AA160" s="546"/>
      <c r="AB160" s="546"/>
      <c r="AC160" s="546"/>
    </row>
    <row r="161" spans="1:68" hidden="1" x14ac:dyDescent="0.2">
      <c r="A161" s="555"/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6"/>
      <c r="P161" s="553" t="s">
        <v>71</v>
      </c>
      <c r="Q161" s="548"/>
      <c r="R161" s="548"/>
      <c r="S161" s="548"/>
      <c r="T161" s="548"/>
      <c r="U161" s="548"/>
      <c r="V161" s="549"/>
      <c r="W161" s="37" t="s">
        <v>69</v>
      </c>
      <c r="X161" s="545">
        <f>IFERROR(SUM(X159:X159),"0")</f>
        <v>0</v>
      </c>
      <c r="Y161" s="545">
        <f>IFERROR(SUM(Y159:Y159),"0")</f>
        <v>0</v>
      </c>
      <c r="Z161" s="37"/>
      <c r="AA161" s="546"/>
      <c r="AB161" s="546"/>
      <c r="AC161" s="546"/>
    </row>
    <row r="162" spans="1:68" ht="14.25" hidden="1" customHeight="1" x14ac:dyDescent="0.25">
      <c r="A162" s="559" t="s">
        <v>64</v>
      </c>
      <c r="B162" s="555"/>
      <c r="C162" s="555"/>
      <c r="D162" s="555"/>
      <c r="E162" s="555"/>
      <c r="F162" s="555"/>
      <c r="G162" s="555"/>
      <c r="H162" s="555"/>
      <c r="I162" s="555"/>
      <c r="J162" s="555"/>
      <c r="K162" s="555"/>
      <c r="L162" s="555"/>
      <c r="M162" s="555"/>
      <c r="N162" s="555"/>
      <c r="O162" s="555"/>
      <c r="P162" s="555"/>
      <c r="Q162" s="555"/>
      <c r="R162" s="555"/>
      <c r="S162" s="555"/>
      <c r="T162" s="555"/>
      <c r="U162" s="555"/>
      <c r="V162" s="555"/>
      <c r="W162" s="555"/>
      <c r="X162" s="555"/>
      <c r="Y162" s="555"/>
      <c r="Z162" s="555"/>
      <c r="AA162" s="539"/>
      <c r="AB162" s="539"/>
      <c r="AC162" s="539"/>
    </row>
    <row r="163" spans="1:68" ht="27" customHeight="1" x14ac:dyDescent="0.25">
      <c r="A163" s="54" t="s">
        <v>262</v>
      </c>
      <c r="B163" s="54" t="s">
        <v>263</v>
      </c>
      <c r="C163" s="31">
        <v>4301031191</v>
      </c>
      <c r="D163" s="560">
        <v>4680115880993</v>
      </c>
      <c r="E163" s="561"/>
      <c r="F163" s="542">
        <v>0.7</v>
      </c>
      <c r="G163" s="32">
        <v>6</v>
      </c>
      <c r="H163" s="542">
        <v>4.2</v>
      </c>
      <c r="I163" s="542">
        <v>4.47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5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51"/>
      <c r="R163" s="551"/>
      <c r="S163" s="551"/>
      <c r="T163" s="552"/>
      <c r="U163" s="34"/>
      <c r="V163" s="34"/>
      <c r="W163" s="35" t="s">
        <v>69</v>
      </c>
      <c r="X163" s="543">
        <v>10</v>
      </c>
      <c r="Y163" s="544">
        <f t="shared" ref="Y163:Y171" si="5">IFERROR(IF(X163="",0,CEILING((X163/$H163),1)*$H163),"")</f>
        <v>12.600000000000001</v>
      </c>
      <c r="Z163" s="36">
        <f>IFERROR(IF(Y163=0,"",ROUNDUP(Y163/H163,0)*0.00902),"")</f>
        <v>2.7060000000000001E-2</v>
      </c>
      <c r="AA163" s="56"/>
      <c r="AB163" s="57"/>
      <c r="AC163" s="195" t="s">
        <v>264</v>
      </c>
      <c r="AG163" s="64"/>
      <c r="AJ163" s="68" t="s">
        <v>90</v>
      </c>
      <c r="AK163" s="68">
        <v>50.4</v>
      </c>
      <c r="BB163" s="196" t="s">
        <v>1</v>
      </c>
      <c r="BM163" s="64">
        <f t="shared" ref="BM163:BM171" si="6">IFERROR(X163*I163/H163,"0")</f>
        <v>10.642857142857141</v>
      </c>
      <c r="BN163" s="64">
        <f t="shared" ref="BN163:BN171" si="7">IFERROR(Y163*I163/H163,"0")</f>
        <v>13.41</v>
      </c>
      <c r="BO163" s="64">
        <f t="shared" ref="BO163:BO171" si="8">IFERROR(1/J163*(X163/H163),"0")</f>
        <v>1.8037518037518036E-2</v>
      </c>
      <c r="BP163" s="64">
        <f t="shared" ref="BP163:BP171" si="9">IFERROR(1/J163*(Y163/H163),"0")</f>
        <v>2.2727272727272728E-2</v>
      </c>
    </row>
    <row r="164" spans="1:68" ht="27" hidden="1" customHeight="1" x14ac:dyDescent="0.25">
      <c r="A164" s="54" t="s">
        <v>265</v>
      </c>
      <c r="B164" s="54" t="s">
        <v>266</v>
      </c>
      <c r="C164" s="31">
        <v>4301031204</v>
      </c>
      <c r="D164" s="560">
        <v>4680115881761</v>
      </c>
      <c r="E164" s="561"/>
      <c r="F164" s="542">
        <v>0.7</v>
      </c>
      <c r="G164" s="32">
        <v>6</v>
      </c>
      <c r="H164" s="542">
        <v>4.2</v>
      </c>
      <c r="I164" s="542">
        <v>4.47</v>
      </c>
      <c r="J164" s="32">
        <v>132</v>
      </c>
      <c r="K164" s="32" t="s">
        <v>110</v>
      </c>
      <c r="L164" s="32"/>
      <c r="M164" s="33" t="s">
        <v>68</v>
      </c>
      <c r="N164" s="33"/>
      <c r="O164" s="32">
        <v>40</v>
      </c>
      <c r="P164" s="66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51"/>
      <c r="R164" s="551"/>
      <c r="S164" s="551"/>
      <c r="T164" s="552"/>
      <c r="U164" s="34"/>
      <c r="V164" s="34"/>
      <c r="W164" s="35" t="s">
        <v>69</v>
      </c>
      <c r="X164" s="543">
        <v>0</v>
      </c>
      <c r="Y164" s="544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268</v>
      </c>
      <c r="B165" s="54" t="s">
        <v>269</v>
      </c>
      <c r="C165" s="31">
        <v>4301031201</v>
      </c>
      <c r="D165" s="560">
        <v>4680115881563</v>
      </c>
      <c r="E165" s="561"/>
      <c r="F165" s="542">
        <v>0.7</v>
      </c>
      <c r="G165" s="32">
        <v>6</v>
      </c>
      <c r="H165" s="542">
        <v>4.2</v>
      </c>
      <c r="I165" s="542">
        <v>4.41</v>
      </c>
      <c r="J165" s="32">
        <v>132</v>
      </c>
      <c r="K165" s="32" t="s">
        <v>110</v>
      </c>
      <c r="L165" s="32" t="s">
        <v>111</v>
      </c>
      <c r="M165" s="33" t="s">
        <v>68</v>
      </c>
      <c r="N165" s="33"/>
      <c r="O165" s="32">
        <v>40</v>
      </c>
      <c r="P165" s="85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51"/>
      <c r="R165" s="551"/>
      <c r="S165" s="551"/>
      <c r="T165" s="552"/>
      <c r="U165" s="34"/>
      <c r="V165" s="34"/>
      <c r="W165" s="35" t="s">
        <v>69</v>
      </c>
      <c r="X165" s="543">
        <v>140</v>
      </c>
      <c r="Y165" s="544">
        <f t="shared" si="5"/>
        <v>142.80000000000001</v>
      </c>
      <c r="Z165" s="36">
        <f>IFERROR(IF(Y165=0,"",ROUNDUP(Y165/H165,0)*0.00902),"")</f>
        <v>0.30668000000000001</v>
      </c>
      <c r="AA165" s="56"/>
      <c r="AB165" s="57"/>
      <c r="AC165" s="199" t="s">
        <v>270</v>
      </c>
      <c r="AG165" s="64"/>
      <c r="AJ165" s="68" t="s">
        <v>90</v>
      </c>
      <c r="AK165" s="68">
        <v>50.4</v>
      </c>
      <c r="BB165" s="200" t="s">
        <v>1</v>
      </c>
      <c r="BM165" s="64">
        <f t="shared" si="6"/>
        <v>147</v>
      </c>
      <c r="BN165" s="64">
        <f t="shared" si="7"/>
        <v>149.94</v>
      </c>
      <c r="BO165" s="64">
        <f t="shared" si="8"/>
        <v>0.25252525252525249</v>
      </c>
      <c r="BP165" s="64">
        <f t="shared" si="9"/>
        <v>0.25757575757575757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4301031199</v>
      </c>
      <c r="D166" s="560">
        <v>4680115880986</v>
      </c>
      <c r="E166" s="561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 t="s">
        <v>273</v>
      </c>
      <c r="M166" s="33" t="s">
        <v>68</v>
      </c>
      <c r="N166" s="33"/>
      <c r="O166" s="32">
        <v>40</v>
      </c>
      <c r="P166" s="80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51"/>
      <c r="R166" s="551"/>
      <c r="S166" s="551"/>
      <c r="T166" s="552"/>
      <c r="U166" s="34"/>
      <c r="V166" s="34"/>
      <c r="W166" s="35" t="s">
        <v>69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264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4301031205</v>
      </c>
      <c r="D167" s="560">
        <v>4680115881785</v>
      </c>
      <c r="E167" s="561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67</v>
      </c>
      <c r="L167" s="32" t="s">
        <v>273</v>
      </c>
      <c r="M167" s="33" t="s">
        <v>68</v>
      </c>
      <c r="N167" s="33"/>
      <c r="O167" s="32">
        <v>40</v>
      </c>
      <c r="P167" s="77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1"/>
      <c r="R167" s="551"/>
      <c r="S167" s="551"/>
      <c r="T167" s="552"/>
      <c r="U167" s="34"/>
      <c r="V167" s="34"/>
      <c r="W167" s="35" t="s">
        <v>69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267</v>
      </c>
      <c r="AG167" s="64"/>
      <c r="AJ167" s="68" t="s">
        <v>90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276</v>
      </c>
      <c r="B168" s="54" t="s">
        <v>277</v>
      </c>
      <c r="C168" s="31">
        <v>4301031399</v>
      </c>
      <c r="D168" s="560">
        <v>4680115886537</v>
      </c>
      <c r="E168" s="561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81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1"/>
      <c r="R168" s="551"/>
      <c r="S168" s="551"/>
      <c r="T168" s="552"/>
      <c r="U168" s="34"/>
      <c r="V168" s="34"/>
      <c r="W168" s="35" t="s">
        <v>69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hidden="1" customHeight="1" x14ac:dyDescent="0.25">
      <c r="A169" s="54" t="s">
        <v>279</v>
      </c>
      <c r="B169" s="54" t="s">
        <v>280</v>
      </c>
      <c r="C169" s="31">
        <v>4301031202</v>
      </c>
      <c r="D169" s="560">
        <v>4680115881679</v>
      </c>
      <c r="E169" s="561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67</v>
      </c>
      <c r="L169" s="32" t="s">
        <v>273</v>
      </c>
      <c r="M169" s="33" t="s">
        <v>68</v>
      </c>
      <c r="N169" s="33"/>
      <c r="O169" s="32">
        <v>40</v>
      </c>
      <c r="P169" s="77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1"/>
      <c r="R169" s="551"/>
      <c r="S169" s="551"/>
      <c r="T169" s="552"/>
      <c r="U169" s="34"/>
      <c r="V169" s="34"/>
      <c r="W169" s="35" t="s">
        <v>69</v>
      </c>
      <c r="X169" s="543">
        <v>0</v>
      </c>
      <c r="Y169" s="544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90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4301031158</v>
      </c>
      <c r="D170" s="560">
        <v>4680115880191</v>
      </c>
      <c r="E170" s="561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7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1"/>
      <c r="R170" s="551"/>
      <c r="S170" s="551"/>
      <c r="T170" s="552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270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283</v>
      </c>
      <c r="B171" s="54" t="s">
        <v>284</v>
      </c>
      <c r="C171" s="31">
        <v>4301031245</v>
      </c>
      <c r="D171" s="560">
        <v>4680115883963</v>
      </c>
      <c r="E171" s="561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82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1"/>
      <c r="R171" s="551"/>
      <c r="S171" s="551"/>
      <c r="T171" s="552"/>
      <c r="U171" s="34"/>
      <c r="V171" s="34"/>
      <c r="W171" s="35" t="s">
        <v>69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53" t="s">
        <v>71</v>
      </c>
      <c r="Q172" s="548"/>
      <c r="R172" s="548"/>
      <c r="S172" s="548"/>
      <c r="T172" s="548"/>
      <c r="U172" s="548"/>
      <c r="V172" s="549"/>
      <c r="W172" s="37" t="s">
        <v>72</v>
      </c>
      <c r="X172" s="545">
        <f>IFERROR(X163/H163,"0")+IFERROR(X164/H164,"0")+IFERROR(X165/H165,"0")+IFERROR(X166/H166,"0")+IFERROR(X167/H167,"0")+IFERROR(X168/H168,"0")+IFERROR(X169/H169,"0")+IFERROR(X170/H170,"0")+IFERROR(X171/H171,"0")</f>
        <v>35.714285714285708</v>
      </c>
      <c r="Y172" s="545">
        <f>IFERROR(Y163/H163,"0")+IFERROR(Y164/H164,"0")+IFERROR(Y165/H165,"0")+IFERROR(Y166/H166,"0")+IFERROR(Y167/H167,"0")+IFERROR(Y168/H168,"0")+IFERROR(Y169/H169,"0")+IFERROR(Y170/H170,"0")+IFERROR(Y171/H171,"0")</f>
        <v>37</v>
      </c>
      <c r="Z172" s="545">
        <f>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0.33374000000000004</v>
      </c>
      <c r="AA172" s="546"/>
      <c r="AB172" s="546"/>
      <c r="AC172" s="546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53" t="s">
        <v>71</v>
      </c>
      <c r="Q173" s="548"/>
      <c r="R173" s="548"/>
      <c r="S173" s="548"/>
      <c r="T173" s="548"/>
      <c r="U173" s="548"/>
      <c r="V173" s="549"/>
      <c r="W173" s="37" t="s">
        <v>69</v>
      </c>
      <c r="X173" s="545">
        <f>IFERROR(SUM(X163:X171),"0")</f>
        <v>150</v>
      </c>
      <c r="Y173" s="545">
        <f>IFERROR(SUM(Y163:Y171),"0")</f>
        <v>155.4</v>
      </c>
      <c r="Z173" s="37"/>
      <c r="AA173" s="546"/>
      <c r="AB173" s="546"/>
      <c r="AC173" s="546"/>
    </row>
    <row r="174" spans="1:68" ht="14.25" hidden="1" customHeight="1" x14ac:dyDescent="0.25">
      <c r="A174" s="559" t="s">
        <v>93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9"/>
      <c r="AB174" s="539"/>
      <c r="AC174" s="539"/>
    </row>
    <row r="175" spans="1:68" ht="27" hidden="1" customHeight="1" x14ac:dyDescent="0.25">
      <c r="A175" s="54" t="s">
        <v>286</v>
      </c>
      <c r="B175" s="54" t="s">
        <v>287</v>
      </c>
      <c r="C175" s="31">
        <v>4301032053</v>
      </c>
      <c r="D175" s="560">
        <v>4680115886780</v>
      </c>
      <c r="E175" s="561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67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1"/>
      <c r="R175" s="551"/>
      <c r="S175" s="551"/>
      <c r="T175" s="552"/>
      <c r="U175" s="34"/>
      <c r="V175" s="34"/>
      <c r="W175" s="35" t="s">
        <v>69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4301032051</v>
      </c>
      <c r="D176" s="560">
        <v>4680115886742</v>
      </c>
      <c r="E176" s="561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6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1"/>
      <c r="R176" s="551"/>
      <c r="S176" s="551"/>
      <c r="T176" s="552"/>
      <c r="U176" s="34"/>
      <c r="V176" s="34"/>
      <c r="W176" s="35" t="s">
        <v>69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294</v>
      </c>
      <c r="B177" s="54" t="s">
        <v>295</v>
      </c>
      <c r="C177" s="31">
        <v>4301032052</v>
      </c>
      <c r="D177" s="560">
        <v>4680115886766</v>
      </c>
      <c r="E177" s="561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69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1"/>
      <c r="R177" s="551"/>
      <c r="S177" s="551"/>
      <c r="T177" s="552"/>
      <c r="U177" s="34"/>
      <c r="V177" s="34"/>
      <c r="W177" s="35" t="s">
        <v>69</v>
      </c>
      <c r="X177" s="543">
        <v>0</v>
      </c>
      <c r="Y177" s="544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53" t="s">
        <v>71</v>
      </c>
      <c r="Q178" s="548"/>
      <c r="R178" s="548"/>
      <c r="S178" s="548"/>
      <c r="T178" s="548"/>
      <c r="U178" s="548"/>
      <c r="V178" s="549"/>
      <c r="W178" s="37" t="s">
        <v>72</v>
      </c>
      <c r="X178" s="545">
        <f>IFERROR(X175/H175,"0")+IFERROR(X176/H176,"0")+IFERROR(X177/H177,"0")</f>
        <v>0</v>
      </c>
      <c r="Y178" s="545">
        <f>IFERROR(Y175/H175,"0")+IFERROR(Y176/H176,"0")+IFERROR(Y177/H177,"0")</f>
        <v>0</v>
      </c>
      <c r="Z178" s="545">
        <f>IFERROR(IF(Z175="",0,Z175),"0")+IFERROR(IF(Z176="",0,Z176),"0")+IFERROR(IF(Z177="",0,Z177),"0")</f>
        <v>0</v>
      </c>
      <c r="AA178" s="546"/>
      <c r="AB178" s="546"/>
      <c r="AC178" s="546"/>
    </row>
    <row r="179" spans="1:68" hidden="1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53" t="s">
        <v>71</v>
      </c>
      <c r="Q179" s="548"/>
      <c r="R179" s="548"/>
      <c r="S179" s="548"/>
      <c r="T179" s="548"/>
      <c r="U179" s="548"/>
      <c r="V179" s="549"/>
      <c r="W179" s="37" t="s">
        <v>69</v>
      </c>
      <c r="X179" s="545">
        <f>IFERROR(SUM(X175:X177),"0")</f>
        <v>0</v>
      </c>
      <c r="Y179" s="545">
        <f>IFERROR(SUM(Y175:Y177),"0")</f>
        <v>0</v>
      </c>
      <c r="Z179" s="37"/>
      <c r="AA179" s="546"/>
      <c r="AB179" s="546"/>
      <c r="AC179" s="546"/>
    </row>
    <row r="180" spans="1:68" ht="14.25" hidden="1" customHeight="1" x14ac:dyDescent="0.25">
      <c r="A180" s="559" t="s">
        <v>296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9"/>
      <c r="AB180" s="539"/>
      <c r="AC180" s="539"/>
    </row>
    <row r="181" spans="1:68" ht="27" hidden="1" customHeight="1" x14ac:dyDescent="0.25">
      <c r="A181" s="54" t="s">
        <v>297</v>
      </c>
      <c r="B181" s="54" t="s">
        <v>298</v>
      </c>
      <c r="C181" s="31">
        <v>4301170013</v>
      </c>
      <c r="D181" s="560">
        <v>4680115886797</v>
      </c>
      <c r="E181" s="561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60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1"/>
      <c r="R181" s="551"/>
      <c r="S181" s="551"/>
      <c r="T181" s="552"/>
      <c r="U181" s="34"/>
      <c r="V181" s="34"/>
      <c r="W181" s="35" t="s">
        <v>69</v>
      </c>
      <c r="X181" s="543">
        <v>0</v>
      </c>
      <c r="Y181" s="544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53" t="s">
        <v>71</v>
      </c>
      <c r="Q182" s="548"/>
      <c r="R182" s="548"/>
      <c r="S182" s="548"/>
      <c r="T182" s="548"/>
      <c r="U182" s="548"/>
      <c r="V182" s="549"/>
      <c r="W182" s="37" t="s">
        <v>72</v>
      </c>
      <c r="X182" s="545">
        <f>IFERROR(X181/H181,"0")</f>
        <v>0</v>
      </c>
      <c r="Y182" s="545">
        <f>IFERROR(Y181/H181,"0")</f>
        <v>0</v>
      </c>
      <c r="Z182" s="545">
        <f>IFERROR(IF(Z181="",0,Z181),"0")</f>
        <v>0</v>
      </c>
      <c r="AA182" s="546"/>
      <c r="AB182" s="546"/>
      <c r="AC182" s="546"/>
    </row>
    <row r="183" spans="1:68" hidden="1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53" t="s">
        <v>71</v>
      </c>
      <c r="Q183" s="548"/>
      <c r="R183" s="548"/>
      <c r="S183" s="548"/>
      <c r="T183" s="548"/>
      <c r="U183" s="548"/>
      <c r="V183" s="549"/>
      <c r="W183" s="37" t="s">
        <v>69</v>
      </c>
      <c r="X183" s="545">
        <f>IFERROR(SUM(X181:X181),"0")</f>
        <v>0</v>
      </c>
      <c r="Y183" s="545">
        <f>IFERROR(SUM(Y181:Y181),"0")</f>
        <v>0</v>
      </c>
      <c r="Z183" s="37"/>
      <c r="AA183" s="546"/>
      <c r="AB183" s="546"/>
      <c r="AC183" s="546"/>
    </row>
    <row r="184" spans="1:68" ht="16.5" hidden="1" customHeight="1" x14ac:dyDescent="0.25">
      <c r="A184" s="599" t="s">
        <v>299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8"/>
      <c r="AB184" s="538"/>
      <c r="AC184" s="538"/>
    </row>
    <row r="185" spans="1:68" ht="14.25" hidden="1" customHeight="1" x14ac:dyDescent="0.25">
      <c r="A185" s="559" t="s">
        <v>101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9"/>
      <c r="AB185" s="539"/>
      <c r="AC185" s="539"/>
    </row>
    <row r="186" spans="1:68" ht="16.5" hidden="1" customHeight="1" x14ac:dyDescent="0.25">
      <c r="A186" s="54" t="s">
        <v>300</v>
      </c>
      <c r="B186" s="54" t="s">
        <v>301</v>
      </c>
      <c r="C186" s="31">
        <v>4301011450</v>
      </c>
      <c r="D186" s="560">
        <v>4680115881402</v>
      </c>
      <c r="E186" s="561"/>
      <c r="F186" s="542">
        <v>1.35</v>
      </c>
      <c r="G186" s="32">
        <v>8</v>
      </c>
      <c r="H186" s="542">
        <v>10.8</v>
      </c>
      <c r="I186" s="542">
        <v>11.234999999999999</v>
      </c>
      <c r="J186" s="32">
        <v>64</v>
      </c>
      <c r="K186" s="32" t="s">
        <v>104</v>
      </c>
      <c r="L186" s="32"/>
      <c r="M186" s="33" t="s">
        <v>106</v>
      </c>
      <c r="N186" s="33"/>
      <c r="O186" s="32">
        <v>55</v>
      </c>
      <c r="P186" s="6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1"/>
      <c r="R186" s="551"/>
      <c r="S186" s="551"/>
      <c r="T186" s="552"/>
      <c r="U186" s="34"/>
      <c r="V186" s="34"/>
      <c r="W186" s="35" t="s">
        <v>69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303</v>
      </c>
      <c r="B187" s="54" t="s">
        <v>304</v>
      </c>
      <c r="C187" s="31">
        <v>4301011768</v>
      </c>
      <c r="D187" s="560">
        <v>4680115881396</v>
      </c>
      <c r="E187" s="561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76</v>
      </c>
      <c r="L187" s="32" t="s">
        <v>88</v>
      </c>
      <c r="M187" s="33" t="s">
        <v>106</v>
      </c>
      <c r="N187" s="33"/>
      <c r="O187" s="32">
        <v>55</v>
      </c>
      <c r="P187" s="79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1"/>
      <c r="R187" s="551"/>
      <c r="S187" s="551"/>
      <c r="T187" s="552"/>
      <c r="U187" s="34"/>
      <c r="V187" s="34"/>
      <c r="W187" s="35" t="s">
        <v>69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 t="s">
        <v>90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53" t="s">
        <v>71</v>
      </c>
      <c r="Q188" s="548"/>
      <c r="R188" s="548"/>
      <c r="S188" s="548"/>
      <c r="T188" s="548"/>
      <c r="U188" s="548"/>
      <c r="V188" s="549"/>
      <c r="W188" s="37" t="s">
        <v>72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hidden="1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53" t="s">
        <v>71</v>
      </c>
      <c r="Q189" s="548"/>
      <c r="R189" s="548"/>
      <c r="S189" s="548"/>
      <c r="T189" s="548"/>
      <c r="U189" s="548"/>
      <c r="V189" s="549"/>
      <c r="W189" s="37" t="s">
        <v>69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hidden="1" customHeight="1" x14ac:dyDescent="0.25">
      <c r="A190" s="559" t="s">
        <v>136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9"/>
      <c r="AB190" s="539"/>
      <c r="AC190" s="539"/>
    </row>
    <row r="191" spans="1:68" ht="16.5" hidden="1" customHeight="1" x14ac:dyDescent="0.25">
      <c r="A191" s="54" t="s">
        <v>305</v>
      </c>
      <c r="B191" s="54" t="s">
        <v>306</v>
      </c>
      <c r="C191" s="31">
        <v>4301020261</v>
      </c>
      <c r="D191" s="560">
        <v>4680115882935</v>
      </c>
      <c r="E191" s="561"/>
      <c r="F191" s="542">
        <v>1.35</v>
      </c>
      <c r="G191" s="32">
        <v>8</v>
      </c>
      <c r="H191" s="542">
        <v>10.8</v>
      </c>
      <c r="I191" s="542">
        <v>11.234999999999999</v>
      </c>
      <c r="J191" s="32">
        <v>64</v>
      </c>
      <c r="K191" s="32" t="s">
        <v>104</v>
      </c>
      <c r="L191" s="32"/>
      <c r="M191" s="33" t="s">
        <v>106</v>
      </c>
      <c r="N191" s="33"/>
      <c r="O191" s="32">
        <v>50</v>
      </c>
      <c r="P191" s="6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1"/>
      <c r="R191" s="551"/>
      <c r="S191" s="551"/>
      <c r="T191" s="552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308</v>
      </c>
      <c r="B192" s="54" t="s">
        <v>309</v>
      </c>
      <c r="C192" s="31">
        <v>4301020220</v>
      </c>
      <c r="D192" s="560">
        <v>4680115880764</v>
      </c>
      <c r="E192" s="561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76</v>
      </c>
      <c r="L192" s="32"/>
      <c r="M192" s="33" t="s">
        <v>106</v>
      </c>
      <c r="N192" s="33"/>
      <c r="O192" s="32">
        <v>50</v>
      </c>
      <c r="P192" s="79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1"/>
      <c r="R192" s="551"/>
      <c r="S192" s="551"/>
      <c r="T192" s="552"/>
      <c r="U192" s="34"/>
      <c r="V192" s="34"/>
      <c r="W192" s="35" t="s">
        <v>69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53" t="s">
        <v>71</v>
      </c>
      <c r="Q193" s="548"/>
      <c r="R193" s="548"/>
      <c r="S193" s="548"/>
      <c r="T193" s="548"/>
      <c r="U193" s="548"/>
      <c r="V193" s="549"/>
      <c r="W193" s="37" t="s">
        <v>72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hidden="1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53" t="s">
        <v>71</v>
      </c>
      <c r="Q194" s="548"/>
      <c r="R194" s="548"/>
      <c r="S194" s="548"/>
      <c r="T194" s="548"/>
      <c r="U194" s="548"/>
      <c r="V194" s="549"/>
      <c r="W194" s="37" t="s">
        <v>69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hidden="1" customHeight="1" x14ac:dyDescent="0.25">
      <c r="A195" s="559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9"/>
      <c r="AB195" s="539"/>
      <c r="AC195" s="539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60">
        <v>4680115882683</v>
      </c>
      <c r="E196" s="561"/>
      <c r="F196" s="542">
        <v>0.9</v>
      </c>
      <c r="G196" s="32">
        <v>6</v>
      </c>
      <c r="H196" s="542">
        <v>5.4</v>
      </c>
      <c r="I196" s="542">
        <v>5.61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63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1"/>
      <c r="R196" s="551"/>
      <c r="S196" s="551"/>
      <c r="T196" s="552"/>
      <c r="U196" s="34"/>
      <c r="V196" s="34"/>
      <c r="W196" s="35" t="s">
        <v>69</v>
      </c>
      <c r="X196" s="543">
        <v>450</v>
      </c>
      <c r="Y196" s="544">
        <f t="shared" ref="Y196:Y203" si="10">IFERROR(IF(X196="",0,CEILING((X196/$H196),1)*$H196),"")</f>
        <v>453.6</v>
      </c>
      <c r="Z196" s="36">
        <f>IFERROR(IF(Y196=0,"",ROUNDUP(Y196/H196,0)*0.00902),"")</f>
        <v>0.75768000000000002</v>
      </c>
      <c r="AA196" s="56"/>
      <c r="AB196" s="57"/>
      <c r="AC196" s="229" t="s">
        <v>312</v>
      </c>
      <c r="AG196" s="64"/>
      <c r="AJ196" s="68" t="s">
        <v>90</v>
      </c>
      <c r="AK196" s="68">
        <v>64.8</v>
      </c>
      <c r="BB196" s="230" t="s">
        <v>1</v>
      </c>
      <c r="BM196" s="64">
        <f t="shared" ref="BM196:BM203" si="11">IFERROR(X196*I196/H196,"0")</f>
        <v>467.49999999999994</v>
      </c>
      <c r="BN196" s="64">
        <f t="shared" ref="BN196:BN203" si="12">IFERROR(Y196*I196/H196,"0")</f>
        <v>471.24</v>
      </c>
      <c r="BO196" s="64">
        <f t="shared" ref="BO196:BO203" si="13">IFERROR(1/J196*(X196/H196),"0")</f>
        <v>0.63131313131313127</v>
      </c>
      <c r="BP196" s="64">
        <f t="shared" ref="BP196:BP203" si="14">IFERROR(1/J196*(Y196/H196),"0")</f>
        <v>0.63636363636363635</v>
      </c>
    </row>
    <row r="197" spans="1:68" ht="27" customHeight="1" x14ac:dyDescent="0.25">
      <c r="A197" s="54" t="s">
        <v>313</v>
      </c>
      <c r="B197" s="54" t="s">
        <v>314</v>
      </c>
      <c r="C197" s="31">
        <v>4301031230</v>
      </c>
      <c r="D197" s="560">
        <v>4680115882690</v>
      </c>
      <c r="E197" s="561"/>
      <c r="F197" s="542">
        <v>0.9</v>
      </c>
      <c r="G197" s="32">
        <v>6</v>
      </c>
      <c r="H197" s="542">
        <v>5.4</v>
      </c>
      <c r="I197" s="542">
        <v>5.61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78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1"/>
      <c r="R197" s="551"/>
      <c r="S197" s="551"/>
      <c r="T197" s="552"/>
      <c r="U197" s="34"/>
      <c r="V197" s="34"/>
      <c r="W197" s="35" t="s">
        <v>69</v>
      </c>
      <c r="X197" s="543">
        <v>230</v>
      </c>
      <c r="Y197" s="544">
        <f t="shared" si="10"/>
        <v>232.20000000000002</v>
      </c>
      <c r="Z197" s="36">
        <f>IFERROR(IF(Y197=0,"",ROUNDUP(Y197/H197,0)*0.00902),"")</f>
        <v>0.38785999999999998</v>
      </c>
      <c r="AA197" s="56"/>
      <c r="AB197" s="57"/>
      <c r="AC197" s="231" t="s">
        <v>315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238.94444444444446</v>
      </c>
      <c r="BN197" s="64">
        <f t="shared" si="12"/>
        <v>241.23000000000005</v>
      </c>
      <c r="BO197" s="64">
        <f t="shared" si="13"/>
        <v>0.32267115600448931</v>
      </c>
      <c r="BP197" s="64">
        <f t="shared" si="14"/>
        <v>0.32575757575757575</v>
      </c>
    </row>
    <row r="198" spans="1:68" ht="27" customHeight="1" x14ac:dyDescent="0.25">
      <c r="A198" s="54" t="s">
        <v>316</v>
      </c>
      <c r="B198" s="54" t="s">
        <v>317</v>
      </c>
      <c r="C198" s="31">
        <v>4301031220</v>
      </c>
      <c r="D198" s="560">
        <v>4680115882669</v>
      </c>
      <c r="E198" s="561"/>
      <c r="F198" s="542">
        <v>0.9</v>
      </c>
      <c r="G198" s="32">
        <v>6</v>
      </c>
      <c r="H198" s="542">
        <v>5.4</v>
      </c>
      <c r="I198" s="542">
        <v>5.61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62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1"/>
      <c r="R198" s="551"/>
      <c r="S198" s="551"/>
      <c r="T198" s="552"/>
      <c r="U198" s="34"/>
      <c r="V198" s="34"/>
      <c r="W198" s="35" t="s">
        <v>69</v>
      </c>
      <c r="X198" s="543">
        <v>350</v>
      </c>
      <c r="Y198" s="544">
        <f t="shared" si="10"/>
        <v>351</v>
      </c>
      <c r="Z198" s="36">
        <f>IFERROR(IF(Y198=0,"",ROUNDUP(Y198/H198,0)*0.00902),"")</f>
        <v>0.58630000000000004</v>
      </c>
      <c r="AA198" s="56"/>
      <c r="AB198" s="57"/>
      <c r="AC198" s="233" t="s">
        <v>318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363.61111111111109</v>
      </c>
      <c r="BN198" s="64">
        <f t="shared" si="12"/>
        <v>364.65</v>
      </c>
      <c r="BO198" s="64">
        <f t="shared" si="13"/>
        <v>0.49102132435465767</v>
      </c>
      <c r="BP198" s="64">
        <f t="shared" si="14"/>
        <v>0.49242424242424243</v>
      </c>
    </row>
    <row r="199" spans="1:68" ht="27" customHeight="1" x14ac:dyDescent="0.25">
      <c r="A199" s="54" t="s">
        <v>319</v>
      </c>
      <c r="B199" s="54" t="s">
        <v>320</v>
      </c>
      <c r="C199" s="31">
        <v>4301031221</v>
      </c>
      <c r="D199" s="560">
        <v>4680115882676</v>
      </c>
      <c r="E199" s="561"/>
      <c r="F199" s="542">
        <v>0.9</v>
      </c>
      <c r="G199" s="32">
        <v>6</v>
      </c>
      <c r="H199" s="542">
        <v>5.4</v>
      </c>
      <c r="I199" s="542">
        <v>5.61</v>
      </c>
      <c r="J199" s="32">
        <v>132</v>
      </c>
      <c r="K199" s="32" t="s">
        <v>110</v>
      </c>
      <c r="L199" s="32" t="s">
        <v>111</v>
      </c>
      <c r="M199" s="33" t="s">
        <v>68</v>
      </c>
      <c r="N199" s="33"/>
      <c r="O199" s="32">
        <v>40</v>
      </c>
      <c r="P199" s="58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1"/>
      <c r="R199" s="551"/>
      <c r="S199" s="551"/>
      <c r="T199" s="552"/>
      <c r="U199" s="34"/>
      <c r="V199" s="34"/>
      <c r="W199" s="35" t="s">
        <v>69</v>
      </c>
      <c r="X199" s="543">
        <v>380</v>
      </c>
      <c r="Y199" s="544">
        <f t="shared" si="10"/>
        <v>383.40000000000003</v>
      </c>
      <c r="Z199" s="36">
        <f>IFERROR(IF(Y199=0,"",ROUNDUP(Y199/H199,0)*0.00902),"")</f>
        <v>0.64041999999999999</v>
      </c>
      <c r="AA199" s="56"/>
      <c r="AB199" s="57"/>
      <c r="AC199" s="235" t="s">
        <v>321</v>
      </c>
      <c r="AG199" s="64"/>
      <c r="AJ199" s="68" t="s">
        <v>90</v>
      </c>
      <c r="AK199" s="68">
        <v>64.8</v>
      </c>
      <c r="BB199" s="236" t="s">
        <v>1</v>
      </c>
      <c r="BM199" s="64">
        <f t="shared" si="11"/>
        <v>394.77777777777777</v>
      </c>
      <c r="BN199" s="64">
        <f t="shared" si="12"/>
        <v>398.31</v>
      </c>
      <c r="BO199" s="64">
        <f t="shared" si="13"/>
        <v>0.53310886644219979</v>
      </c>
      <c r="BP199" s="64">
        <f t="shared" si="14"/>
        <v>0.53787878787878785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4301031223</v>
      </c>
      <c r="D200" s="560">
        <v>4680115884014</v>
      </c>
      <c r="E200" s="561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67</v>
      </c>
      <c r="L200" s="32" t="s">
        <v>273</v>
      </c>
      <c r="M200" s="33" t="s">
        <v>68</v>
      </c>
      <c r="N200" s="33"/>
      <c r="O200" s="32">
        <v>40</v>
      </c>
      <c r="P200" s="5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1"/>
      <c r="R200" s="551"/>
      <c r="S200" s="551"/>
      <c r="T200" s="552"/>
      <c r="U200" s="34"/>
      <c r="V200" s="34"/>
      <c r="W200" s="35" t="s">
        <v>69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4301031222</v>
      </c>
      <c r="D201" s="560">
        <v>4680115884007</v>
      </c>
      <c r="E201" s="561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 t="s">
        <v>273</v>
      </c>
      <c r="M201" s="33" t="s">
        <v>68</v>
      </c>
      <c r="N201" s="33"/>
      <c r="O201" s="32">
        <v>40</v>
      </c>
      <c r="P201" s="63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1"/>
      <c r="R201" s="551"/>
      <c r="S201" s="551"/>
      <c r="T201" s="552"/>
      <c r="U201" s="34"/>
      <c r="V201" s="34"/>
      <c r="W201" s="35" t="s">
        <v>69</v>
      </c>
      <c r="X201" s="543">
        <v>0</v>
      </c>
      <c r="Y201" s="544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 t="s">
        <v>90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4301031229</v>
      </c>
      <c r="D202" s="560">
        <v>4680115884038</v>
      </c>
      <c r="E202" s="561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5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1"/>
      <c r="R202" s="551"/>
      <c r="S202" s="551"/>
      <c r="T202" s="552"/>
      <c r="U202" s="34"/>
      <c r="V202" s="34"/>
      <c r="W202" s="35" t="s">
        <v>69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328</v>
      </c>
      <c r="B203" s="54" t="s">
        <v>329</v>
      </c>
      <c r="C203" s="31">
        <v>4301031225</v>
      </c>
      <c r="D203" s="560">
        <v>4680115884021</v>
      </c>
      <c r="E203" s="561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67</v>
      </c>
      <c r="L203" s="32" t="s">
        <v>273</v>
      </c>
      <c r="M203" s="33" t="s">
        <v>68</v>
      </c>
      <c r="N203" s="33"/>
      <c r="O203" s="32">
        <v>40</v>
      </c>
      <c r="P203" s="74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1"/>
      <c r="R203" s="551"/>
      <c r="S203" s="551"/>
      <c r="T203" s="552"/>
      <c r="U203" s="34"/>
      <c r="V203" s="34"/>
      <c r="W203" s="35" t="s">
        <v>69</v>
      </c>
      <c r="X203" s="543">
        <v>0</v>
      </c>
      <c r="Y203" s="544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 t="s">
        <v>90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53" t="s">
        <v>71</v>
      </c>
      <c r="Q204" s="548"/>
      <c r="R204" s="548"/>
      <c r="S204" s="548"/>
      <c r="T204" s="548"/>
      <c r="U204" s="548"/>
      <c r="V204" s="549"/>
      <c r="W204" s="37" t="s">
        <v>72</v>
      </c>
      <c r="X204" s="545">
        <f>IFERROR(X196/H196,"0")+IFERROR(X197/H197,"0")+IFERROR(X198/H198,"0")+IFERROR(X199/H199,"0")+IFERROR(X200/H200,"0")+IFERROR(X201/H201,"0")+IFERROR(X202/H202,"0")+IFERROR(X203/H203,"0")</f>
        <v>261.11111111111109</v>
      </c>
      <c r="Y204" s="545">
        <f>IFERROR(Y196/H196,"0")+IFERROR(Y197/H197,"0")+IFERROR(Y198/H198,"0")+IFERROR(Y199/H199,"0")+IFERROR(Y200/H200,"0")+IFERROR(Y201/H201,"0")+IFERROR(Y202/H202,"0")+IFERROR(Y203/H203,"0")</f>
        <v>263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2.3722599999999998</v>
      </c>
      <c r="AA204" s="546"/>
      <c r="AB204" s="546"/>
      <c r="AC204" s="546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53" t="s">
        <v>71</v>
      </c>
      <c r="Q205" s="548"/>
      <c r="R205" s="548"/>
      <c r="S205" s="548"/>
      <c r="T205" s="548"/>
      <c r="U205" s="548"/>
      <c r="V205" s="549"/>
      <c r="W205" s="37" t="s">
        <v>69</v>
      </c>
      <c r="X205" s="545">
        <f>IFERROR(SUM(X196:X203),"0")</f>
        <v>1410</v>
      </c>
      <c r="Y205" s="545">
        <f>IFERROR(SUM(Y196:Y203),"0")</f>
        <v>1420.2000000000003</v>
      </c>
      <c r="Z205" s="37"/>
      <c r="AA205" s="546"/>
      <c r="AB205" s="546"/>
      <c r="AC205" s="546"/>
    </row>
    <row r="206" spans="1:68" ht="14.25" hidden="1" customHeight="1" x14ac:dyDescent="0.25">
      <c r="A206" s="559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9"/>
      <c r="AB206" s="539"/>
      <c r="AC206" s="539"/>
    </row>
    <row r="207" spans="1:68" ht="27" hidden="1" customHeight="1" x14ac:dyDescent="0.25">
      <c r="A207" s="54" t="s">
        <v>330</v>
      </c>
      <c r="B207" s="54" t="s">
        <v>331</v>
      </c>
      <c r="C207" s="31">
        <v>4301051408</v>
      </c>
      <c r="D207" s="560">
        <v>4680115881594</v>
      </c>
      <c r="E207" s="561"/>
      <c r="F207" s="542">
        <v>1.35</v>
      </c>
      <c r="G207" s="32">
        <v>6</v>
      </c>
      <c r="H207" s="542">
        <v>8.1</v>
      </c>
      <c r="I207" s="542">
        <v>8.6189999999999998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2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1"/>
      <c r="R207" s="551"/>
      <c r="S207" s="551"/>
      <c r="T207" s="552"/>
      <c r="U207" s="34"/>
      <c r="V207" s="34"/>
      <c r="W207" s="35" t="s">
        <v>69</v>
      </c>
      <c r="X207" s="543">
        <v>0</v>
      </c>
      <c r="Y207" s="544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4301051411</v>
      </c>
      <c r="D208" s="560">
        <v>4680115881617</v>
      </c>
      <c r="E208" s="561"/>
      <c r="F208" s="542">
        <v>1.35</v>
      </c>
      <c r="G208" s="32">
        <v>6</v>
      </c>
      <c r="H208" s="542">
        <v>8.1</v>
      </c>
      <c r="I208" s="542">
        <v>8.6010000000000009</v>
      </c>
      <c r="J208" s="32">
        <v>64</v>
      </c>
      <c r="K208" s="32" t="s">
        <v>104</v>
      </c>
      <c r="L208" s="32"/>
      <c r="M208" s="33" t="s">
        <v>77</v>
      </c>
      <c r="N208" s="33"/>
      <c r="O208" s="32">
        <v>40</v>
      </c>
      <c r="P208" s="64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1"/>
      <c r="R208" s="551"/>
      <c r="S208" s="551"/>
      <c r="T208" s="552"/>
      <c r="U208" s="34"/>
      <c r="V208" s="34"/>
      <c r="W208" s="35" t="s">
        <v>69</v>
      </c>
      <c r="X208" s="543">
        <v>10</v>
      </c>
      <c r="Y208" s="544">
        <f t="shared" si="15"/>
        <v>16.2</v>
      </c>
      <c r="Z208" s="36">
        <f>IFERROR(IF(Y208=0,"",ROUNDUP(Y208/H208,0)*0.01898),"")</f>
        <v>3.7960000000000001E-2</v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10.61851851851852</v>
      </c>
      <c r="BN208" s="64">
        <f t="shared" si="17"/>
        <v>17.202000000000002</v>
      </c>
      <c r="BO208" s="64">
        <f t="shared" si="18"/>
        <v>1.9290123456790126E-2</v>
      </c>
      <c r="BP208" s="64">
        <f t="shared" si="19"/>
        <v>3.125E-2</v>
      </c>
    </row>
    <row r="209" spans="1:68" ht="27" customHeight="1" x14ac:dyDescent="0.25">
      <c r="A209" s="54" t="s">
        <v>336</v>
      </c>
      <c r="B209" s="54" t="s">
        <v>337</v>
      </c>
      <c r="C209" s="31">
        <v>4301051656</v>
      </c>
      <c r="D209" s="560">
        <v>4680115880573</v>
      </c>
      <c r="E209" s="561"/>
      <c r="F209" s="542">
        <v>1.45</v>
      </c>
      <c r="G209" s="32">
        <v>6</v>
      </c>
      <c r="H209" s="542">
        <v>8.6999999999999993</v>
      </c>
      <c r="I209" s="542">
        <v>9.2189999999999994</v>
      </c>
      <c r="J209" s="32">
        <v>64</v>
      </c>
      <c r="K209" s="32" t="s">
        <v>104</v>
      </c>
      <c r="L209" s="32" t="s">
        <v>105</v>
      </c>
      <c r="M209" s="33" t="s">
        <v>77</v>
      </c>
      <c r="N209" s="33"/>
      <c r="O209" s="32">
        <v>45</v>
      </c>
      <c r="P209" s="84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1"/>
      <c r="R209" s="551"/>
      <c r="S209" s="551"/>
      <c r="T209" s="552"/>
      <c r="U209" s="34"/>
      <c r="V209" s="34"/>
      <c r="W209" s="35" t="s">
        <v>69</v>
      </c>
      <c r="X209" s="543">
        <v>70</v>
      </c>
      <c r="Y209" s="544">
        <f t="shared" si="15"/>
        <v>78.3</v>
      </c>
      <c r="Z209" s="36">
        <f>IFERROR(IF(Y209=0,"",ROUNDUP(Y209/H209,0)*0.01898),"")</f>
        <v>0.17082</v>
      </c>
      <c r="AA209" s="56"/>
      <c r="AB209" s="57"/>
      <c r="AC209" s="249" t="s">
        <v>338</v>
      </c>
      <c r="AG209" s="64"/>
      <c r="AJ209" s="68" t="s">
        <v>90</v>
      </c>
      <c r="AK209" s="68">
        <v>69.599999999999994</v>
      </c>
      <c r="BB209" s="250" t="s">
        <v>1</v>
      </c>
      <c r="BM209" s="64">
        <f t="shared" si="16"/>
        <v>74.175862068965515</v>
      </c>
      <c r="BN209" s="64">
        <f t="shared" si="17"/>
        <v>82.971000000000004</v>
      </c>
      <c r="BO209" s="64">
        <f t="shared" si="18"/>
        <v>0.12571839080459771</v>
      </c>
      <c r="BP209" s="64">
        <f t="shared" si="19"/>
        <v>0.140625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4301051407</v>
      </c>
      <c r="D210" s="560">
        <v>4680115882195</v>
      </c>
      <c r="E210" s="561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76</v>
      </c>
      <c r="L210" s="32" t="s">
        <v>88</v>
      </c>
      <c r="M210" s="33" t="s">
        <v>77</v>
      </c>
      <c r="N210" s="33"/>
      <c r="O210" s="32">
        <v>40</v>
      </c>
      <c r="P210" s="76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1"/>
      <c r="R210" s="551"/>
      <c r="S210" s="551"/>
      <c r="T210" s="552"/>
      <c r="U210" s="34"/>
      <c r="V210" s="34"/>
      <c r="W210" s="35" t="s">
        <v>69</v>
      </c>
      <c r="X210" s="543">
        <v>0</v>
      </c>
      <c r="Y210" s="544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332</v>
      </c>
      <c r="AG210" s="64"/>
      <c r="AJ210" s="68" t="s">
        <v>90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341</v>
      </c>
      <c r="B211" s="54" t="s">
        <v>342</v>
      </c>
      <c r="C211" s="31">
        <v>4301051752</v>
      </c>
      <c r="D211" s="560">
        <v>4680115882607</v>
      </c>
      <c r="E211" s="561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76</v>
      </c>
      <c r="L211" s="32" t="s">
        <v>88</v>
      </c>
      <c r="M211" s="33" t="s">
        <v>84</v>
      </c>
      <c r="N211" s="33"/>
      <c r="O211" s="32">
        <v>45</v>
      </c>
      <c r="P211" s="74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1"/>
      <c r="R211" s="551"/>
      <c r="S211" s="551"/>
      <c r="T211" s="552"/>
      <c r="U211" s="34"/>
      <c r="V211" s="34"/>
      <c r="W211" s="35" t="s">
        <v>69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343</v>
      </c>
      <c r="AG211" s="64"/>
      <c r="AJ211" s="68" t="s">
        <v>90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344</v>
      </c>
      <c r="B212" s="54" t="s">
        <v>345</v>
      </c>
      <c r="C212" s="31">
        <v>4301051666</v>
      </c>
      <c r="D212" s="560">
        <v>4680115880092</v>
      </c>
      <c r="E212" s="561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1"/>
      <c r="R212" s="551"/>
      <c r="S212" s="551"/>
      <c r="T212" s="552"/>
      <c r="U212" s="34"/>
      <c r="V212" s="34"/>
      <c r="W212" s="35" t="s">
        <v>69</v>
      </c>
      <c r="X212" s="543">
        <v>48</v>
      </c>
      <c r="Y212" s="544">
        <f t="shared" si="15"/>
        <v>48</v>
      </c>
      <c r="Z212" s="36">
        <f t="shared" si="20"/>
        <v>0.13020000000000001</v>
      </c>
      <c r="AA212" s="56"/>
      <c r="AB212" s="57"/>
      <c r="AC212" s="255" t="s">
        <v>338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53.040000000000006</v>
      </c>
      <c r="BN212" s="64">
        <f t="shared" si="17"/>
        <v>53.040000000000006</v>
      </c>
      <c r="BO212" s="64">
        <f t="shared" si="18"/>
        <v>0.1098901098901099</v>
      </c>
      <c r="BP212" s="64">
        <f t="shared" si="19"/>
        <v>0.1098901098901099</v>
      </c>
    </row>
    <row r="213" spans="1:68" ht="27" hidden="1" customHeight="1" x14ac:dyDescent="0.25">
      <c r="A213" s="54" t="s">
        <v>346</v>
      </c>
      <c r="B213" s="54" t="s">
        <v>347</v>
      </c>
      <c r="C213" s="31">
        <v>4301051668</v>
      </c>
      <c r="D213" s="560">
        <v>4680115880221</v>
      </c>
      <c r="E213" s="561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 t="s">
        <v>88</v>
      </c>
      <c r="M213" s="33" t="s">
        <v>77</v>
      </c>
      <c r="N213" s="33"/>
      <c r="O213" s="32">
        <v>45</v>
      </c>
      <c r="P213" s="86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1"/>
      <c r="R213" s="551"/>
      <c r="S213" s="551"/>
      <c r="T213" s="552"/>
      <c r="U213" s="34"/>
      <c r="V213" s="34"/>
      <c r="W213" s="35" t="s">
        <v>69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338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348</v>
      </c>
      <c r="B214" s="54" t="s">
        <v>349</v>
      </c>
      <c r="C214" s="31">
        <v>4301051945</v>
      </c>
      <c r="D214" s="560">
        <v>4680115880504</v>
      </c>
      <c r="E214" s="561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76</v>
      </c>
      <c r="L214" s="32" t="s">
        <v>88</v>
      </c>
      <c r="M214" s="33" t="s">
        <v>84</v>
      </c>
      <c r="N214" s="33"/>
      <c r="O214" s="32">
        <v>40</v>
      </c>
      <c r="P214" s="65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1"/>
      <c r="R214" s="551"/>
      <c r="S214" s="551"/>
      <c r="T214" s="552"/>
      <c r="U214" s="34"/>
      <c r="V214" s="34"/>
      <c r="W214" s="35" t="s">
        <v>69</v>
      </c>
      <c r="X214" s="543">
        <v>48</v>
      </c>
      <c r="Y214" s="544">
        <f t="shared" si="15"/>
        <v>48</v>
      </c>
      <c r="Z214" s="36">
        <f t="shared" si="20"/>
        <v>0.13020000000000001</v>
      </c>
      <c r="AA214" s="56"/>
      <c r="AB214" s="57"/>
      <c r="AC214" s="259" t="s">
        <v>350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53.040000000000006</v>
      </c>
      <c r="BN214" s="64">
        <f t="shared" si="17"/>
        <v>53.040000000000006</v>
      </c>
      <c r="BO214" s="64">
        <f t="shared" si="18"/>
        <v>0.1098901098901099</v>
      </c>
      <c r="BP214" s="64">
        <f t="shared" si="19"/>
        <v>0.1098901098901099</v>
      </c>
    </row>
    <row r="215" spans="1:68" ht="27" customHeight="1" x14ac:dyDescent="0.25">
      <c r="A215" s="54" t="s">
        <v>351</v>
      </c>
      <c r="B215" s="54" t="s">
        <v>352</v>
      </c>
      <c r="C215" s="31">
        <v>4301051410</v>
      </c>
      <c r="D215" s="560">
        <v>4680115882164</v>
      </c>
      <c r="E215" s="561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76</v>
      </c>
      <c r="L215" s="32" t="s">
        <v>88</v>
      </c>
      <c r="M215" s="33" t="s">
        <v>77</v>
      </c>
      <c r="N215" s="33"/>
      <c r="O215" s="32">
        <v>40</v>
      </c>
      <c r="P215" s="85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1"/>
      <c r="R215" s="551"/>
      <c r="S215" s="551"/>
      <c r="T215" s="552"/>
      <c r="U215" s="34"/>
      <c r="V215" s="34"/>
      <c r="W215" s="35" t="s">
        <v>69</v>
      </c>
      <c r="X215" s="543">
        <v>96</v>
      </c>
      <c r="Y215" s="544">
        <f t="shared" si="15"/>
        <v>96</v>
      </c>
      <c r="Z215" s="36">
        <f t="shared" si="20"/>
        <v>0.26040000000000002</v>
      </c>
      <c r="AA215" s="56"/>
      <c r="AB215" s="57"/>
      <c r="AC215" s="261" t="s">
        <v>335</v>
      </c>
      <c r="AG215" s="64"/>
      <c r="AJ215" s="68" t="s">
        <v>90</v>
      </c>
      <c r="AK215" s="68">
        <v>33.6</v>
      </c>
      <c r="BB215" s="262" t="s">
        <v>1</v>
      </c>
      <c r="BM215" s="64">
        <f t="shared" si="16"/>
        <v>106.32000000000001</v>
      </c>
      <c r="BN215" s="64">
        <f t="shared" si="17"/>
        <v>106.32000000000001</v>
      </c>
      <c r="BO215" s="64">
        <f t="shared" si="18"/>
        <v>0.2197802197802198</v>
      </c>
      <c r="BP215" s="64">
        <f t="shared" si="19"/>
        <v>0.2197802197802198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53" t="s">
        <v>71</v>
      </c>
      <c r="Q216" s="548"/>
      <c r="R216" s="548"/>
      <c r="S216" s="548"/>
      <c r="T216" s="548"/>
      <c r="U216" s="548"/>
      <c r="V216" s="549"/>
      <c r="W216" s="37" t="s">
        <v>72</v>
      </c>
      <c r="X216" s="545">
        <f>IFERROR(X207/H207,"0")+IFERROR(X208/H208,"0")+IFERROR(X209/H209,"0")+IFERROR(X210/H210,"0")+IFERROR(X211/H211,"0")+IFERROR(X212/H212,"0")+IFERROR(X213/H213,"0")+IFERROR(X214/H214,"0")+IFERROR(X215/H215,"0")</f>
        <v>89.280544912728828</v>
      </c>
      <c r="Y216" s="545">
        <f>IFERROR(Y207/H207,"0")+IFERROR(Y208/H208,"0")+IFERROR(Y209/H209,"0")+IFERROR(Y210/H210,"0")+IFERROR(Y211/H211,"0")+IFERROR(Y212/H212,"0")+IFERROR(Y213/H213,"0")+IFERROR(Y214/H214,"0")+IFERROR(Y215/H215,"0")</f>
        <v>91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0.72958000000000012</v>
      </c>
      <c r="AA216" s="546"/>
      <c r="AB216" s="546"/>
      <c r="AC216" s="546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53" t="s">
        <v>71</v>
      </c>
      <c r="Q217" s="548"/>
      <c r="R217" s="548"/>
      <c r="S217" s="548"/>
      <c r="T217" s="548"/>
      <c r="U217" s="548"/>
      <c r="V217" s="549"/>
      <c r="W217" s="37" t="s">
        <v>69</v>
      </c>
      <c r="X217" s="545">
        <f>IFERROR(SUM(X207:X215),"0")</f>
        <v>272</v>
      </c>
      <c r="Y217" s="545">
        <f>IFERROR(SUM(Y207:Y215),"0")</f>
        <v>286.5</v>
      </c>
      <c r="Z217" s="37"/>
      <c r="AA217" s="546"/>
      <c r="AB217" s="546"/>
      <c r="AC217" s="546"/>
    </row>
    <row r="218" spans="1:68" ht="14.25" hidden="1" customHeight="1" x14ac:dyDescent="0.25">
      <c r="A218" s="559" t="s">
        <v>166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9"/>
      <c r="AB218" s="539"/>
      <c r="AC218" s="539"/>
    </row>
    <row r="219" spans="1:68" ht="27" hidden="1" customHeight="1" x14ac:dyDescent="0.25">
      <c r="A219" s="54" t="s">
        <v>353</v>
      </c>
      <c r="B219" s="54" t="s">
        <v>354</v>
      </c>
      <c r="C219" s="31">
        <v>4301060463</v>
      </c>
      <c r="D219" s="560">
        <v>4680115880818</v>
      </c>
      <c r="E219" s="561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 t="s">
        <v>88</v>
      </c>
      <c r="M219" s="33" t="s">
        <v>84</v>
      </c>
      <c r="N219" s="33"/>
      <c r="O219" s="32">
        <v>40</v>
      </c>
      <c r="P219" s="76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1"/>
      <c r="R219" s="551"/>
      <c r="S219" s="551"/>
      <c r="T219" s="552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355</v>
      </c>
      <c r="AG219" s="64"/>
      <c r="AJ219" s="68" t="s">
        <v>90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hidden="1" customHeight="1" x14ac:dyDescent="0.25">
      <c r="A220" s="54" t="s">
        <v>356</v>
      </c>
      <c r="B220" s="54" t="s">
        <v>357</v>
      </c>
      <c r="C220" s="31">
        <v>4301060389</v>
      </c>
      <c r="D220" s="560">
        <v>4680115880801</v>
      </c>
      <c r="E220" s="561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86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1"/>
      <c r="R220" s="551"/>
      <c r="S220" s="551"/>
      <c r="T220" s="552"/>
      <c r="U220" s="34"/>
      <c r="V220" s="34"/>
      <c r="W220" s="35" t="s">
        <v>69</v>
      </c>
      <c r="X220" s="543">
        <v>0</v>
      </c>
      <c r="Y220" s="544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358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hidden="1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53" t="s">
        <v>71</v>
      </c>
      <c r="Q221" s="548"/>
      <c r="R221" s="548"/>
      <c r="S221" s="548"/>
      <c r="T221" s="548"/>
      <c r="U221" s="548"/>
      <c r="V221" s="549"/>
      <c r="W221" s="37" t="s">
        <v>72</v>
      </c>
      <c r="X221" s="545">
        <f>IFERROR(X219/H219,"0")+IFERROR(X220/H220,"0")</f>
        <v>0</v>
      </c>
      <c r="Y221" s="545">
        <f>IFERROR(Y219/H219,"0")+IFERROR(Y220/H220,"0")</f>
        <v>0</v>
      </c>
      <c r="Z221" s="545">
        <f>IFERROR(IF(Z219="",0,Z219),"0")+IFERROR(IF(Z220="",0,Z220),"0")</f>
        <v>0</v>
      </c>
      <c r="AA221" s="546"/>
      <c r="AB221" s="546"/>
      <c r="AC221" s="546"/>
    </row>
    <row r="222" spans="1:68" hidden="1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53" t="s">
        <v>71</v>
      </c>
      <c r="Q222" s="548"/>
      <c r="R222" s="548"/>
      <c r="S222" s="548"/>
      <c r="T222" s="548"/>
      <c r="U222" s="548"/>
      <c r="V222" s="549"/>
      <c r="W222" s="37" t="s">
        <v>69</v>
      </c>
      <c r="X222" s="545">
        <f>IFERROR(SUM(X219:X220),"0")</f>
        <v>0</v>
      </c>
      <c r="Y222" s="545">
        <f>IFERROR(SUM(Y219:Y220),"0")</f>
        <v>0</v>
      </c>
      <c r="Z222" s="37"/>
      <c r="AA222" s="546"/>
      <c r="AB222" s="546"/>
      <c r="AC222" s="546"/>
    </row>
    <row r="223" spans="1:68" ht="16.5" hidden="1" customHeight="1" x14ac:dyDescent="0.25">
      <c r="A223" s="599" t="s">
        <v>359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8"/>
      <c r="AB223" s="538"/>
      <c r="AC223" s="538"/>
    </row>
    <row r="224" spans="1:68" ht="14.25" hidden="1" customHeight="1" x14ac:dyDescent="0.25">
      <c r="A224" s="559" t="s">
        <v>101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9"/>
      <c r="AB224" s="539"/>
      <c r="AC224" s="539"/>
    </row>
    <row r="225" spans="1:68" ht="27" hidden="1" customHeight="1" x14ac:dyDescent="0.25">
      <c r="A225" s="54" t="s">
        <v>360</v>
      </c>
      <c r="B225" s="54" t="s">
        <v>361</v>
      </c>
      <c r="C225" s="31">
        <v>4301011826</v>
      </c>
      <c r="D225" s="560">
        <v>4680115884137</v>
      </c>
      <c r="E225" s="561"/>
      <c r="F225" s="542">
        <v>1.45</v>
      </c>
      <c r="G225" s="32">
        <v>8</v>
      </c>
      <c r="H225" s="542">
        <v>11.6</v>
      </c>
      <c r="I225" s="542">
        <v>12.035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66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1"/>
      <c r="R225" s="551"/>
      <c r="S225" s="551"/>
      <c r="T225" s="552"/>
      <c r="U225" s="34"/>
      <c r="V225" s="34"/>
      <c r="W225" s="35" t="s">
        <v>69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363</v>
      </c>
      <c r="B226" s="54" t="s">
        <v>364</v>
      </c>
      <c r="C226" s="31">
        <v>4301011724</v>
      </c>
      <c r="D226" s="560">
        <v>4680115884236</v>
      </c>
      <c r="E226" s="561"/>
      <c r="F226" s="542">
        <v>1.45</v>
      </c>
      <c r="G226" s="32">
        <v>8</v>
      </c>
      <c r="H226" s="542">
        <v>11.6</v>
      </c>
      <c r="I226" s="542">
        <v>12.035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65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1"/>
      <c r="R226" s="551"/>
      <c r="S226" s="551"/>
      <c r="T226" s="552"/>
      <c r="U226" s="34"/>
      <c r="V226" s="34"/>
      <c r="W226" s="35" t="s">
        <v>69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366</v>
      </c>
      <c r="B227" s="54" t="s">
        <v>367</v>
      </c>
      <c r="C227" s="31">
        <v>4301011721</v>
      </c>
      <c r="D227" s="560">
        <v>4680115884175</v>
      </c>
      <c r="E227" s="561"/>
      <c r="F227" s="542">
        <v>1.45</v>
      </c>
      <c r="G227" s="32">
        <v>8</v>
      </c>
      <c r="H227" s="542">
        <v>11.6</v>
      </c>
      <c r="I227" s="542">
        <v>12.035</v>
      </c>
      <c r="J227" s="32">
        <v>64</v>
      </c>
      <c r="K227" s="32" t="s">
        <v>104</v>
      </c>
      <c r="L227" s="32"/>
      <c r="M227" s="33" t="s">
        <v>106</v>
      </c>
      <c r="N227" s="33"/>
      <c r="O227" s="32">
        <v>55</v>
      </c>
      <c r="P227" s="69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1"/>
      <c r="R227" s="551"/>
      <c r="S227" s="551"/>
      <c r="T227" s="552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369</v>
      </c>
      <c r="B228" s="54" t="s">
        <v>370</v>
      </c>
      <c r="C228" s="31">
        <v>4301011824</v>
      </c>
      <c r="D228" s="560">
        <v>4680115884144</v>
      </c>
      <c r="E228" s="561"/>
      <c r="F228" s="542">
        <v>0.4</v>
      </c>
      <c r="G228" s="32">
        <v>10</v>
      </c>
      <c r="H228" s="542">
        <v>4</v>
      </c>
      <c r="I228" s="542">
        <v>4.21</v>
      </c>
      <c r="J228" s="32">
        <v>132</v>
      </c>
      <c r="K228" s="32" t="s">
        <v>110</v>
      </c>
      <c r="L228" s="32" t="s">
        <v>111</v>
      </c>
      <c r="M228" s="33" t="s">
        <v>106</v>
      </c>
      <c r="N228" s="33"/>
      <c r="O228" s="32">
        <v>55</v>
      </c>
      <c r="P228" s="5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1"/>
      <c r="R228" s="551"/>
      <c r="S228" s="551"/>
      <c r="T228" s="552"/>
      <c r="U228" s="34"/>
      <c r="V228" s="34"/>
      <c r="W228" s="35" t="s">
        <v>69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362</v>
      </c>
      <c r="AG228" s="64"/>
      <c r="AJ228" s="68" t="s">
        <v>90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369</v>
      </c>
      <c r="B229" s="54" t="s">
        <v>371</v>
      </c>
      <c r="C229" s="31">
        <v>4301012196</v>
      </c>
      <c r="D229" s="560">
        <v>4680115884144</v>
      </c>
      <c r="E229" s="561"/>
      <c r="F229" s="542">
        <v>0.4</v>
      </c>
      <c r="G229" s="32">
        <v>10</v>
      </c>
      <c r="H229" s="542">
        <v>4</v>
      </c>
      <c r="I229" s="542">
        <v>4.21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2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1"/>
      <c r="R229" s="551"/>
      <c r="S229" s="551"/>
      <c r="T229" s="552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372</v>
      </c>
      <c r="B230" s="54" t="s">
        <v>373</v>
      </c>
      <c r="C230" s="31">
        <v>4301012149</v>
      </c>
      <c r="D230" s="560">
        <v>4680115886551</v>
      </c>
      <c r="E230" s="561"/>
      <c r="F230" s="542">
        <v>0.4</v>
      </c>
      <c r="G230" s="32">
        <v>10</v>
      </c>
      <c r="H230" s="542">
        <v>4</v>
      </c>
      <c r="I230" s="542">
        <v>4.21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81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1"/>
      <c r="R230" s="551"/>
      <c r="S230" s="551"/>
      <c r="T230" s="552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374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375</v>
      </c>
      <c r="B231" s="54" t="s">
        <v>376</v>
      </c>
      <c r="C231" s="31">
        <v>4301011726</v>
      </c>
      <c r="D231" s="560">
        <v>4680115884182</v>
      </c>
      <c r="E231" s="561"/>
      <c r="F231" s="542">
        <v>0.37</v>
      </c>
      <c r="G231" s="32">
        <v>10</v>
      </c>
      <c r="H231" s="542">
        <v>3.7</v>
      </c>
      <c r="I231" s="542">
        <v>3.91</v>
      </c>
      <c r="J231" s="32">
        <v>132</v>
      </c>
      <c r="K231" s="32" t="s">
        <v>110</v>
      </c>
      <c r="L231" s="32"/>
      <c r="M231" s="33" t="s">
        <v>106</v>
      </c>
      <c r="N231" s="33"/>
      <c r="O231" s="32">
        <v>55</v>
      </c>
      <c r="P231" s="817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1"/>
      <c r="R231" s="551"/>
      <c r="S231" s="551"/>
      <c r="T231" s="552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365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377</v>
      </c>
      <c r="B232" s="54" t="s">
        <v>378</v>
      </c>
      <c r="C232" s="31">
        <v>4301012228</v>
      </c>
      <c r="D232" s="560">
        <v>4680115887282</v>
      </c>
      <c r="E232" s="561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76</v>
      </c>
      <c r="L232" s="32"/>
      <c r="M232" s="33" t="s">
        <v>106</v>
      </c>
      <c r="N232" s="33"/>
      <c r="O232" s="32">
        <v>55</v>
      </c>
      <c r="P232" s="65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1"/>
      <c r="R232" s="551"/>
      <c r="S232" s="551"/>
      <c r="T232" s="552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365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379</v>
      </c>
      <c r="B233" s="54" t="s">
        <v>380</v>
      </c>
      <c r="C233" s="31">
        <v>4301011722</v>
      </c>
      <c r="D233" s="560">
        <v>4680115884205</v>
      </c>
      <c r="E233" s="561"/>
      <c r="F233" s="542">
        <v>0.4</v>
      </c>
      <c r="G233" s="32">
        <v>10</v>
      </c>
      <c r="H233" s="542">
        <v>4</v>
      </c>
      <c r="I233" s="542">
        <v>4.21</v>
      </c>
      <c r="J233" s="32">
        <v>132</v>
      </c>
      <c r="K233" s="32" t="s">
        <v>110</v>
      </c>
      <c r="L233" s="32" t="s">
        <v>111</v>
      </c>
      <c r="M233" s="33" t="s">
        <v>106</v>
      </c>
      <c r="N233" s="33"/>
      <c r="O233" s="32">
        <v>55</v>
      </c>
      <c r="P233" s="71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1"/>
      <c r="R233" s="551"/>
      <c r="S233" s="551"/>
      <c r="T233" s="552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368</v>
      </c>
      <c r="AG233" s="64"/>
      <c r="AJ233" s="68" t="s">
        <v>90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379</v>
      </c>
      <c r="B234" s="54" t="s">
        <v>381</v>
      </c>
      <c r="C234" s="31">
        <v>4301012195</v>
      </c>
      <c r="D234" s="560">
        <v>4680115884205</v>
      </c>
      <c r="E234" s="561"/>
      <c r="F234" s="542">
        <v>0.4</v>
      </c>
      <c r="G234" s="32">
        <v>10</v>
      </c>
      <c r="H234" s="542">
        <v>4</v>
      </c>
      <c r="I234" s="542">
        <v>4.21</v>
      </c>
      <c r="J234" s="32">
        <v>132</v>
      </c>
      <c r="K234" s="32" t="s">
        <v>110</v>
      </c>
      <c r="L234" s="32"/>
      <c r="M234" s="33" t="s">
        <v>106</v>
      </c>
      <c r="N234" s="33"/>
      <c r="O234" s="32">
        <v>55</v>
      </c>
      <c r="P234" s="83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1"/>
      <c r="R234" s="551"/>
      <c r="S234" s="551"/>
      <c r="T234" s="552"/>
      <c r="U234" s="34"/>
      <c r="V234" s="34"/>
      <c r="W234" s="35" t="s">
        <v>69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53" t="s">
        <v>71</v>
      </c>
      <c r="Q235" s="548"/>
      <c r="R235" s="548"/>
      <c r="S235" s="548"/>
      <c r="T235" s="548"/>
      <c r="U235" s="548"/>
      <c r="V235" s="549"/>
      <c r="W235" s="37" t="s">
        <v>72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6"/>
      <c r="AB235" s="546"/>
      <c r="AC235" s="546"/>
    </row>
    <row r="236" spans="1:68" hidden="1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53" t="s">
        <v>71</v>
      </c>
      <c r="Q236" s="548"/>
      <c r="R236" s="548"/>
      <c r="S236" s="548"/>
      <c r="T236" s="548"/>
      <c r="U236" s="548"/>
      <c r="V236" s="549"/>
      <c r="W236" s="37" t="s">
        <v>69</v>
      </c>
      <c r="X236" s="545">
        <f>IFERROR(SUM(X225:X234),"0")</f>
        <v>0</v>
      </c>
      <c r="Y236" s="545">
        <f>IFERROR(SUM(Y225:Y234),"0")</f>
        <v>0</v>
      </c>
      <c r="Z236" s="37"/>
      <c r="AA236" s="546"/>
      <c r="AB236" s="546"/>
      <c r="AC236" s="546"/>
    </row>
    <row r="237" spans="1:68" ht="14.25" hidden="1" customHeight="1" x14ac:dyDescent="0.25">
      <c r="A237" s="559" t="s">
        <v>136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9"/>
      <c r="AB237" s="539"/>
      <c r="AC237" s="539"/>
    </row>
    <row r="238" spans="1:68" ht="27" hidden="1" customHeight="1" x14ac:dyDescent="0.25">
      <c r="A238" s="54" t="s">
        <v>382</v>
      </c>
      <c r="B238" s="54" t="s">
        <v>383</v>
      </c>
      <c r="C238" s="31">
        <v>4301020377</v>
      </c>
      <c r="D238" s="560">
        <v>4680115885981</v>
      </c>
      <c r="E238" s="561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1"/>
      <c r="R238" s="551"/>
      <c r="S238" s="551"/>
      <c r="T238" s="552"/>
      <c r="U238" s="34"/>
      <c r="V238" s="34"/>
      <c r="W238" s="35" t="s">
        <v>69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384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53" t="s">
        <v>71</v>
      </c>
      <c r="Q239" s="548"/>
      <c r="R239" s="548"/>
      <c r="S239" s="548"/>
      <c r="T239" s="548"/>
      <c r="U239" s="548"/>
      <c r="V239" s="549"/>
      <c r="W239" s="37" t="s">
        <v>72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hidden="1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53" t="s">
        <v>71</v>
      </c>
      <c r="Q240" s="548"/>
      <c r="R240" s="548"/>
      <c r="S240" s="548"/>
      <c r="T240" s="548"/>
      <c r="U240" s="548"/>
      <c r="V240" s="549"/>
      <c r="W240" s="37" t="s">
        <v>69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hidden="1" customHeight="1" x14ac:dyDescent="0.25">
      <c r="A241" s="559" t="s">
        <v>385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9"/>
      <c r="AB241" s="539"/>
      <c r="AC241" s="539"/>
    </row>
    <row r="242" spans="1:68" ht="27" hidden="1" customHeight="1" x14ac:dyDescent="0.25">
      <c r="A242" s="54" t="s">
        <v>386</v>
      </c>
      <c r="B242" s="54" t="s">
        <v>387</v>
      </c>
      <c r="C242" s="31">
        <v>4301040362</v>
      </c>
      <c r="D242" s="560">
        <v>4680115886803</v>
      </c>
      <c r="E242" s="561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82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1"/>
      <c r="R242" s="551"/>
      <c r="S242" s="551"/>
      <c r="T242" s="552"/>
      <c r="U242" s="34"/>
      <c r="V242" s="34"/>
      <c r="W242" s="35" t="s">
        <v>69</v>
      </c>
      <c r="X242" s="543">
        <v>0</v>
      </c>
      <c r="Y242" s="544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388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53" t="s">
        <v>71</v>
      </c>
      <c r="Q243" s="548"/>
      <c r="R243" s="548"/>
      <c r="S243" s="548"/>
      <c r="T243" s="548"/>
      <c r="U243" s="548"/>
      <c r="V243" s="549"/>
      <c r="W243" s="37" t="s">
        <v>72</v>
      </c>
      <c r="X243" s="545">
        <f>IFERROR(X242/H242,"0")</f>
        <v>0</v>
      </c>
      <c r="Y243" s="545">
        <f>IFERROR(Y242/H242,"0")</f>
        <v>0</v>
      </c>
      <c r="Z243" s="545">
        <f>IFERROR(IF(Z242="",0,Z242),"0")</f>
        <v>0</v>
      </c>
      <c r="AA243" s="546"/>
      <c r="AB243" s="546"/>
      <c r="AC243" s="546"/>
    </row>
    <row r="244" spans="1:68" hidden="1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53" t="s">
        <v>71</v>
      </c>
      <c r="Q244" s="548"/>
      <c r="R244" s="548"/>
      <c r="S244" s="548"/>
      <c r="T244" s="548"/>
      <c r="U244" s="548"/>
      <c r="V244" s="549"/>
      <c r="W244" s="37" t="s">
        <v>69</v>
      </c>
      <c r="X244" s="545">
        <f>IFERROR(SUM(X242:X242),"0")</f>
        <v>0</v>
      </c>
      <c r="Y244" s="545">
        <f>IFERROR(SUM(Y242:Y242),"0")</f>
        <v>0</v>
      </c>
      <c r="Z244" s="37"/>
      <c r="AA244" s="546"/>
      <c r="AB244" s="546"/>
      <c r="AC244" s="546"/>
    </row>
    <row r="245" spans="1:68" ht="14.25" hidden="1" customHeight="1" x14ac:dyDescent="0.25">
      <c r="A245" s="559" t="s">
        <v>389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9"/>
      <c r="AB245" s="539"/>
      <c r="AC245" s="539"/>
    </row>
    <row r="246" spans="1:68" ht="27" hidden="1" customHeight="1" x14ac:dyDescent="0.25">
      <c r="A246" s="54" t="s">
        <v>390</v>
      </c>
      <c r="B246" s="54" t="s">
        <v>391</v>
      </c>
      <c r="C246" s="31">
        <v>4301041004</v>
      </c>
      <c r="D246" s="560">
        <v>4680115886704</v>
      </c>
      <c r="E246" s="561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77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1"/>
      <c r="R246" s="551"/>
      <c r="S246" s="551"/>
      <c r="T246" s="552"/>
      <c r="U246" s="34"/>
      <c r="V246" s="34"/>
      <c r="W246" s="35" t="s">
        <v>69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392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393</v>
      </c>
      <c r="B247" s="54" t="s">
        <v>394</v>
      </c>
      <c r="C247" s="31">
        <v>4301041008</v>
      </c>
      <c r="D247" s="560">
        <v>4680115886681</v>
      </c>
      <c r="E247" s="561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64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1"/>
      <c r="R247" s="551"/>
      <c r="S247" s="551"/>
      <c r="T247" s="552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392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395</v>
      </c>
      <c r="B248" s="54" t="s">
        <v>396</v>
      </c>
      <c r="C248" s="31">
        <v>4301041007</v>
      </c>
      <c r="D248" s="560">
        <v>4680115886735</v>
      </c>
      <c r="E248" s="561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1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1"/>
      <c r="R248" s="551"/>
      <c r="S248" s="551"/>
      <c r="T248" s="552"/>
      <c r="U248" s="34"/>
      <c r="V248" s="34"/>
      <c r="W248" s="35" t="s">
        <v>69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392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397</v>
      </c>
      <c r="B249" s="54" t="s">
        <v>398</v>
      </c>
      <c r="C249" s="31">
        <v>4301041006</v>
      </c>
      <c r="D249" s="560">
        <v>4680115886728</v>
      </c>
      <c r="E249" s="561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86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1"/>
      <c r="R249" s="551"/>
      <c r="S249" s="551"/>
      <c r="T249" s="552"/>
      <c r="U249" s="34"/>
      <c r="V249" s="34"/>
      <c r="W249" s="35" t="s">
        <v>69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392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399</v>
      </c>
      <c r="B250" s="54" t="s">
        <v>400</v>
      </c>
      <c r="C250" s="31">
        <v>4301041005</v>
      </c>
      <c r="D250" s="560">
        <v>4680115886711</v>
      </c>
      <c r="E250" s="561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79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1"/>
      <c r="R250" s="551"/>
      <c r="S250" s="551"/>
      <c r="T250" s="552"/>
      <c r="U250" s="34"/>
      <c r="V250" s="34"/>
      <c r="W250" s="35" t="s">
        <v>69</v>
      </c>
      <c r="X250" s="543">
        <v>2</v>
      </c>
      <c r="Y250" s="544">
        <f>IFERROR(IF(X250="",0,CEILING((X250/$H250),1)*$H250),"")</f>
        <v>2.9699999999999998</v>
      </c>
      <c r="Z250" s="36">
        <f>IFERROR(IF(Y250=0,"",ROUNDUP(Y250/H250,0)*0.0059),"")</f>
        <v>1.77E-2</v>
      </c>
      <c r="AA250" s="56"/>
      <c r="AB250" s="57"/>
      <c r="AC250" s="299" t="s">
        <v>392</v>
      </c>
      <c r="AG250" s="64"/>
      <c r="AJ250" s="68"/>
      <c r="AK250" s="68">
        <v>0</v>
      </c>
      <c r="BB250" s="300" t="s">
        <v>1</v>
      </c>
      <c r="BM250" s="64">
        <f>IFERROR(X250*I250/H250,"0")</f>
        <v>2.3838383838383836</v>
      </c>
      <c r="BN250" s="64">
        <f>IFERROR(Y250*I250/H250,"0")</f>
        <v>3.5399999999999996</v>
      </c>
      <c r="BO250" s="64">
        <f>IFERROR(1/J250*(X250/H250),"0")</f>
        <v>9.3527871305649091E-3</v>
      </c>
      <c r="BP250" s="64">
        <f>IFERROR(1/J250*(Y250/H250),"0")</f>
        <v>1.3888888888888886E-2</v>
      </c>
    </row>
    <row r="251" spans="1:68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53" t="s">
        <v>71</v>
      </c>
      <c r="Q251" s="548"/>
      <c r="R251" s="548"/>
      <c r="S251" s="548"/>
      <c r="T251" s="548"/>
      <c r="U251" s="548"/>
      <c r="V251" s="549"/>
      <c r="W251" s="37" t="s">
        <v>72</v>
      </c>
      <c r="X251" s="545">
        <f>IFERROR(X246/H246,"0")+IFERROR(X247/H247,"0")+IFERROR(X248/H248,"0")+IFERROR(X249/H249,"0")+IFERROR(X250/H250,"0")</f>
        <v>2.0202020202020203</v>
      </c>
      <c r="Y251" s="545">
        <f>IFERROR(Y246/H246,"0")+IFERROR(Y247/H247,"0")+IFERROR(Y248/H248,"0")+IFERROR(Y249/H249,"0")+IFERROR(Y250/H250,"0")</f>
        <v>2.9999999999999996</v>
      </c>
      <c r="Z251" s="545">
        <f>IFERROR(IF(Z246="",0,Z246),"0")+IFERROR(IF(Z247="",0,Z247),"0")+IFERROR(IF(Z248="",0,Z248),"0")+IFERROR(IF(Z249="",0,Z249),"0")+IFERROR(IF(Z250="",0,Z250),"0")</f>
        <v>1.77E-2</v>
      </c>
      <c r="AA251" s="546"/>
      <c r="AB251" s="546"/>
      <c r="AC251" s="546"/>
    </row>
    <row r="252" spans="1:68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53" t="s">
        <v>71</v>
      </c>
      <c r="Q252" s="548"/>
      <c r="R252" s="548"/>
      <c r="S252" s="548"/>
      <c r="T252" s="548"/>
      <c r="U252" s="548"/>
      <c r="V252" s="549"/>
      <c r="W252" s="37" t="s">
        <v>69</v>
      </c>
      <c r="X252" s="545">
        <f>IFERROR(SUM(X246:X250),"0")</f>
        <v>2</v>
      </c>
      <c r="Y252" s="545">
        <f>IFERROR(SUM(Y246:Y250),"0")</f>
        <v>2.9699999999999998</v>
      </c>
      <c r="Z252" s="37"/>
      <c r="AA252" s="546"/>
      <c r="AB252" s="546"/>
      <c r="AC252" s="546"/>
    </row>
    <row r="253" spans="1:68" ht="16.5" hidden="1" customHeight="1" x14ac:dyDescent="0.25">
      <c r="A253" s="599" t="s">
        <v>401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8"/>
      <c r="AB253" s="538"/>
      <c r="AC253" s="538"/>
    </row>
    <row r="254" spans="1:68" ht="14.25" hidden="1" customHeight="1" x14ac:dyDescent="0.25">
      <c r="A254" s="559" t="s">
        <v>101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9"/>
      <c r="AB254" s="539"/>
      <c r="AC254" s="539"/>
    </row>
    <row r="255" spans="1:68" ht="27" customHeight="1" x14ac:dyDescent="0.25">
      <c r="A255" s="54" t="s">
        <v>402</v>
      </c>
      <c r="B255" s="54" t="s">
        <v>403</v>
      </c>
      <c r="C255" s="31">
        <v>4301011855</v>
      </c>
      <c r="D255" s="560">
        <v>4680115885837</v>
      </c>
      <c r="E255" s="561"/>
      <c r="F255" s="542">
        <v>1.35</v>
      </c>
      <c r="G255" s="32">
        <v>8</v>
      </c>
      <c r="H255" s="542">
        <v>10.8</v>
      </c>
      <c r="I255" s="542">
        <v>11.234999999999999</v>
      </c>
      <c r="J255" s="32">
        <v>64</v>
      </c>
      <c r="K255" s="32" t="s">
        <v>104</v>
      </c>
      <c r="L255" s="32" t="s">
        <v>105</v>
      </c>
      <c r="M255" s="33" t="s">
        <v>106</v>
      </c>
      <c r="N255" s="33"/>
      <c r="O255" s="32">
        <v>55</v>
      </c>
      <c r="P255" s="7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1"/>
      <c r="R255" s="551"/>
      <c r="S255" s="551"/>
      <c r="T255" s="552"/>
      <c r="U255" s="34"/>
      <c r="V255" s="34"/>
      <c r="W255" s="35" t="s">
        <v>69</v>
      </c>
      <c r="X255" s="543">
        <v>20</v>
      </c>
      <c r="Y255" s="544">
        <f>IFERROR(IF(X255="",0,CEILING((X255/$H255),1)*$H255),"")</f>
        <v>21.6</v>
      </c>
      <c r="Z255" s="36">
        <f>IFERROR(IF(Y255=0,"",ROUNDUP(Y255/H255,0)*0.01898),"")</f>
        <v>3.7960000000000001E-2</v>
      </c>
      <c r="AA255" s="56"/>
      <c r="AB255" s="57"/>
      <c r="AC255" s="301" t="s">
        <v>404</v>
      </c>
      <c r="AG255" s="64"/>
      <c r="AJ255" s="68" t="s">
        <v>90</v>
      </c>
      <c r="AK255" s="68">
        <v>86.4</v>
      </c>
      <c r="BB255" s="302" t="s">
        <v>1</v>
      </c>
      <c r="BM255" s="64">
        <f>IFERROR(X255*I255/H255,"0")</f>
        <v>20.805555555555554</v>
      </c>
      <c r="BN255" s="64">
        <f>IFERROR(Y255*I255/H255,"0")</f>
        <v>22.47</v>
      </c>
      <c r="BO255" s="64">
        <f>IFERROR(1/J255*(X255/H255),"0")</f>
        <v>2.8935185185185182E-2</v>
      </c>
      <c r="BP255" s="64">
        <f>IFERROR(1/J255*(Y255/H255),"0")</f>
        <v>3.125E-2</v>
      </c>
    </row>
    <row r="256" spans="1:68" ht="37.5" hidden="1" customHeight="1" x14ac:dyDescent="0.25">
      <c r="A256" s="54" t="s">
        <v>405</v>
      </c>
      <c r="B256" s="54" t="s">
        <v>406</v>
      </c>
      <c r="C256" s="31">
        <v>4301011853</v>
      </c>
      <c r="D256" s="560">
        <v>4680115885851</v>
      </c>
      <c r="E256" s="561"/>
      <c r="F256" s="542">
        <v>1.35</v>
      </c>
      <c r="G256" s="32">
        <v>8</v>
      </c>
      <c r="H256" s="542">
        <v>10.8</v>
      </c>
      <c r="I256" s="542">
        <v>11.234999999999999</v>
      </c>
      <c r="J256" s="32">
        <v>64</v>
      </c>
      <c r="K256" s="32" t="s">
        <v>104</v>
      </c>
      <c r="L256" s="32"/>
      <c r="M256" s="33" t="s">
        <v>106</v>
      </c>
      <c r="N256" s="33"/>
      <c r="O256" s="32">
        <v>55</v>
      </c>
      <c r="P256" s="67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1"/>
      <c r="R256" s="551"/>
      <c r="S256" s="551"/>
      <c r="T256" s="552"/>
      <c r="U256" s="34"/>
      <c r="V256" s="34"/>
      <c r="W256" s="35" t="s">
        <v>69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408</v>
      </c>
      <c r="B257" s="54" t="s">
        <v>409</v>
      </c>
      <c r="C257" s="31">
        <v>4301011850</v>
      </c>
      <c r="D257" s="560">
        <v>4680115885806</v>
      </c>
      <c r="E257" s="561"/>
      <c r="F257" s="542">
        <v>1.35</v>
      </c>
      <c r="G257" s="32">
        <v>8</v>
      </c>
      <c r="H257" s="542">
        <v>10.8</v>
      </c>
      <c r="I257" s="542">
        <v>11.234999999999999</v>
      </c>
      <c r="J257" s="32">
        <v>64</v>
      </c>
      <c r="K257" s="32" t="s">
        <v>104</v>
      </c>
      <c r="L257" s="32" t="s">
        <v>105</v>
      </c>
      <c r="M257" s="33" t="s">
        <v>106</v>
      </c>
      <c r="N257" s="33"/>
      <c r="O257" s="32">
        <v>55</v>
      </c>
      <c r="P257" s="68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1"/>
      <c r="R257" s="551"/>
      <c r="S257" s="551"/>
      <c r="T257" s="552"/>
      <c r="U257" s="34"/>
      <c r="V257" s="34"/>
      <c r="W257" s="35" t="s">
        <v>69</v>
      </c>
      <c r="X257" s="543">
        <v>20</v>
      </c>
      <c r="Y257" s="544">
        <f>IFERROR(IF(X257="",0,CEILING((X257/$H257),1)*$H257),"")</f>
        <v>21.6</v>
      </c>
      <c r="Z257" s="36">
        <f>IFERROR(IF(Y257=0,"",ROUNDUP(Y257/H257,0)*0.01898),"")</f>
        <v>3.7960000000000001E-2</v>
      </c>
      <c r="AA257" s="56"/>
      <c r="AB257" s="57"/>
      <c r="AC257" s="305" t="s">
        <v>410</v>
      </c>
      <c r="AG257" s="64"/>
      <c r="AJ257" s="68" t="s">
        <v>90</v>
      </c>
      <c r="AK257" s="68">
        <v>86.4</v>
      </c>
      <c r="BB257" s="306" t="s">
        <v>1</v>
      </c>
      <c r="BM257" s="64">
        <f>IFERROR(X257*I257/H257,"0")</f>
        <v>20.805555555555554</v>
      </c>
      <c r="BN257" s="64">
        <f>IFERROR(Y257*I257/H257,"0")</f>
        <v>22.47</v>
      </c>
      <c r="BO257" s="64">
        <f>IFERROR(1/J257*(X257/H257),"0")</f>
        <v>2.8935185185185182E-2</v>
      </c>
      <c r="BP257" s="64">
        <f>IFERROR(1/J257*(Y257/H257),"0")</f>
        <v>3.125E-2</v>
      </c>
    </row>
    <row r="258" spans="1:68" ht="27" hidden="1" customHeight="1" x14ac:dyDescent="0.25">
      <c r="A258" s="54" t="s">
        <v>411</v>
      </c>
      <c r="B258" s="54" t="s">
        <v>412</v>
      </c>
      <c r="C258" s="31">
        <v>4301011852</v>
      </c>
      <c r="D258" s="560">
        <v>4680115885844</v>
      </c>
      <c r="E258" s="561"/>
      <c r="F258" s="542">
        <v>0.4</v>
      </c>
      <c r="G258" s="32">
        <v>10</v>
      </c>
      <c r="H258" s="542">
        <v>4</v>
      </c>
      <c r="I258" s="542">
        <v>4.21</v>
      </c>
      <c r="J258" s="32">
        <v>132</v>
      </c>
      <c r="K258" s="32" t="s">
        <v>110</v>
      </c>
      <c r="L258" s="32"/>
      <c r="M258" s="33" t="s">
        <v>106</v>
      </c>
      <c r="N258" s="33"/>
      <c r="O258" s="32">
        <v>55</v>
      </c>
      <c r="P258" s="79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1"/>
      <c r="R258" s="551"/>
      <c r="S258" s="551"/>
      <c r="T258" s="552"/>
      <c r="U258" s="34"/>
      <c r="V258" s="34"/>
      <c r="W258" s="35" t="s">
        <v>69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414</v>
      </c>
      <c r="B259" s="54" t="s">
        <v>415</v>
      </c>
      <c r="C259" s="31">
        <v>4301011851</v>
      </c>
      <c r="D259" s="560">
        <v>4680115885820</v>
      </c>
      <c r="E259" s="561"/>
      <c r="F259" s="542">
        <v>0.4</v>
      </c>
      <c r="G259" s="32">
        <v>10</v>
      </c>
      <c r="H259" s="542">
        <v>4</v>
      </c>
      <c r="I259" s="542">
        <v>4.21</v>
      </c>
      <c r="J259" s="32">
        <v>132</v>
      </c>
      <c r="K259" s="32" t="s">
        <v>110</v>
      </c>
      <c r="L259" s="32" t="s">
        <v>111</v>
      </c>
      <c r="M259" s="33" t="s">
        <v>106</v>
      </c>
      <c r="N259" s="33"/>
      <c r="O259" s="32">
        <v>55</v>
      </c>
      <c r="P259" s="6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1"/>
      <c r="R259" s="551"/>
      <c r="S259" s="551"/>
      <c r="T259" s="552"/>
      <c r="U259" s="34"/>
      <c r="V259" s="34"/>
      <c r="W259" s="35" t="s">
        <v>69</v>
      </c>
      <c r="X259" s="543">
        <v>0</v>
      </c>
      <c r="Y259" s="544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416</v>
      </c>
      <c r="AG259" s="64"/>
      <c r="AJ259" s="68" t="s">
        <v>90</v>
      </c>
      <c r="AK259" s="68">
        <v>48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53" t="s">
        <v>71</v>
      </c>
      <c r="Q260" s="548"/>
      <c r="R260" s="548"/>
      <c r="S260" s="548"/>
      <c r="T260" s="548"/>
      <c r="U260" s="548"/>
      <c r="V260" s="549"/>
      <c r="W260" s="37" t="s">
        <v>72</v>
      </c>
      <c r="X260" s="545">
        <f>IFERROR(X255/H255,"0")+IFERROR(X256/H256,"0")+IFERROR(X257/H257,"0")+IFERROR(X258/H258,"0")+IFERROR(X259/H259,"0")</f>
        <v>3.7037037037037033</v>
      </c>
      <c r="Y260" s="545">
        <f>IFERROR(Y255/H255,"0")+IFERROR(Y256/H256,"0")+IFERROR(Y257/H257,"0")+IFERROR(Y258/H258,"0")+IFERROR(Y259/H259,"0")</f>
        <v>4</v>
      </c>
      <c r="Z260" s="545">
        <f>IFERROR(IF(Z255="",0,Z255),"0")+IFERROR(IF(Z256="",0,Z256),"0")+IFERROR(IF(Z257="",0,Z257),"0")+IFERROR(IF(Z258="",0,Z258),"0")+IFERROR(IF(Z259="",0,Z259),"0")</f>
        <v>7.5920000000000001E-2</v>
      </c>
      <c r="AA260" s="546"/>
      <c r="AB260" s="546"/>
      <c r="AC260" s="546"/>
    </row>
    <row r="261" spans="1:68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53" t="s">
        <v>71</v>
      </c>
      <c r="Q261" s="548"/>
      <c r="R261" s="548"/>
      <c r="S261" s="548"/>
      <c r="T261" s="548"/>
      <c r="U261" s="548"/>
      <c r="V261" s="549"/>
      <c r="W261" s="37" t="s">
        <v>69</v>
      </c>
      <c r="X261" s="545">
        <f>IFERROR(SUM(X255:X259),"0")</f>
        <v>40</v>
      </c>
      <c r="Y261" s="545">
        <f>IFERROR(SUM(Y255:Y259),"0")</f>
        <v>43.2</v>
      </c>
      <c r="Z261" s="37"/>
      <c r="AA261" s="546"/>
      <c r="AB261" s="546"/>
      <c r="AC261" s="546"/>
    </row>
    <row r="262" spans="1:68" ht="16.5" hidden="1" customHeight="1" x14ac:dyDescent="0.25">
      <c r="A262" s="599" t="s">
        <v>417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8"/>
      <c r="AB262" s="538"/>
      <c r="AC262" s="538"/>
    </row>
    <row r="263" spans="1:68" ht="14.25" hidden="1" customHeight="1" x14ac:dyDescent="0.25">
      <c r="A263" s="559" t="s">
        <v>101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9"/>
      <c r="AB263" s="539"/>
      <c r="AC263" s="539"/>
    </row>
    <row r="264" spans="1:68" ht="27" hidden="1" customHeight="1" x14ac:dyDescent="0.25">
      <c r="A264" s="54" t="s">
        <v>418</v>
      </c>
      <c r="B264" s="54" t="s">
        <v>419</v>
      </c>
      <c r="C264" s="31">
        <v>4301011223</v>
      </c>
      <c r="D264" s="560">
        <v>4607091383423</v>
      </c>
      <c r="E264" s="561"/>
      <c r="F264" s="542">
        <v>1.35</v>
      </c>
      <c r="G264" s="32">
        <v>8</v>
      </c>
      <c r="H264" s="542">
        <v>10.8</v>
      </c>
      <c r="I264" s="542">
        <v>11.331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35</v>
      </c>
      <c r="P264" s="81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1"/>
      <c r="R264" s="551"/>
      <c r="S264" s="551"/>
      <c r="T264" s="552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107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420</v>
      </c>
      <c r="B265" s="54" t="s">
        <v>421</v>
      </c>
      <c r="C265" s="31">
        <v>4301012199</v>
      </c>
      <c r="D265" s="560">
        <v>4680115886957</v>
      </c>
      <c r="E265" s="561"/>
      <c r="F265" s="542">
        <v>1.35</v>
      </c>
      <c r="G265" s="32">
        <v>8</v>
      </c>
      <c r="H265" s="542">
        <v>10.8</v>
      </c>
      <c r="I265" s="542">
        <v>11.234999999999999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30</v>
      </c>
      <c r="P265" s="82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1"/>
      <c r="R265" s="551"/>
      <c r="S265" s="551"/>
      <c r="T265" s="552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422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423</v>
      </c>
      <c r="B266" s="54" t="s">
        <v>424</v>
      </c>
      <c r="C266" s="31">
        <v>4301012098</v>
      </c>
      <c r="D266" s="560">
        <v>4680115885660</v>
      </c>
      <c r="E266" s="561"/>
      <c r="F266" s="542">
        <v>1.35</v>
      </c>
      <c r="G266" s="32">
        <v>8</v>
      </c>
      <c r="H266" s="542">
        <v>10.8</v>
      </c>
      <c r="I266" s="542">
        <v>11.234999999999999</v>
      </c>
      <c r="J266" s="32">
        <v>64</v>
      </c>
      <c r="K266" s="32" t="s">
        <v>104</v>
      </c>
      <c r="L266" s="32"/>
      <c r="M266" s="33" t="s">
        <v>77</v>
      </c>
      <c r="N266" s="33"/>
      <c r="O266" s="32">
        <v>35</v>
      </c>
      <c r="P266" s="83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1"/>
      <c r="R266" s="551"/>
      <c r="S266" s="551"/>
      <c r="T266" s="552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368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425</v>
      </c>
      <c r="B267" s="54" t="s">
        <v>426</v>
      </c>
      <c r="C267" s="31">
        <v>4301012176</v>
      </c>
      <c r="D267" s="560">
        <v>4680115886773</v>
      </c>
      <c r="E267" s="561"/>
      <c r="F267" s="542">
        <v>0.9</v>
      </c>
      <c r="G267" s="32">
        <v>10</v>
      </c>
      <c r="H267" s="542">
        <v>9</v>
      </c>
      <c r="I267" s="542">
        <v>9.4350000000000005</v>
      </c>
      <c r="J267" s="32">
        <v>64</v>
      </c>
      <c r="K267" s="32" t="s">
        <v>104</v>
      </c>
      <c r="L267" s="32"/>
      <c r="M267" s="33" t="s">
        <v>106</v>
      </c>
      <c r="N267" s="33"/>
      <c r="O267" s="32">
        <v>31</v>
      </c>
      <c r="P267" s="750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1"/>
      <c r="R267" s="551"/>
      <c r="S267" s="551"/>
      <c r="T267" s="552"/>
      <c r="U267" s="34"/>
      <c r="V267" s="34"/>
      <c r="W267" s="35" t="s">
        <v>69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427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53" t="s">
        <v>71</v>
      </c>
      <c r="Q268" s="548"/>
      <c r="R268" s="548"/>
      <c r="S268" s="548"/>
      <c r="T268" s="548"/>
      <c r="U268" s="548"/>
      <c r="V268" s="549"/>
      <c r="W268" s="37" t="s">
        <v>72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hidden="1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53" t="s">
        <v>71</v>
      </c>
      <c r="Q269" s="548"/>
      <c r="R269" s="548"/>
      <c r="S269" s="548"/>
      <c r="T269" s="548"/>
      <c r="U269" s="548"/>
      <c r="V269" s="549"/>
      <c r="W269" s="37" t="s">
        <v>69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hidden="1" customHeight="1" x14ac:dyDescent="0.25">
      <c r="A270" s="599" t="s">
        <v>428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8"/>
      <c r="AB270" s="538"/>
      <c r="AC270" s="538"/>
    </row>
    <row r="271" spans="1:68" ht="14.25" hidden="1" customHeight="1" x14ac:dyDescent="0.25">
      <c r="A271" s="559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9"/>
      <c r="AB271" s="539"/>
      <c r="AC271" s="539"/>
    </row>
    <row r="272" spans="1:68" ht="27" hidden="1" customHeight="1" x14ac:dyDescent="0.25">
      <c r="A272" s="54" t="s">
        <v>429</v>
      </c>
      <c r="B272" s="54" t="s">
        <v>430</v>
      </c>
      <c r="C272" s="31">
        <v>4301051893</v>
      </c>
      <c r="D272" s="560">
        <v>4680115886186</v>
      </c>
      <c r="E272" s="561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76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1"/>
      <c r="R272" s="551"/>
      <c r="S272" s="551"/>
      <c r="T272" s="552"/>
      <c r="U272" s="34"/>
      <c r="V272" s="34"/>
      <c r="W272" s="35" t="s">
        <v>69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432</v>
      </c>
      <c r="B273" s="54" t="s">
        <v>433</v>
      </c>
      <c r="C273" s="31">
        <v>4301051795</v>
      </c>
      <c r="D273" s="560">
        <v>4680115881228</v>
      </c>
      <c r="E273" s="561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76</v>
      </c>
      <c r="L273" s="32"/>
      <c r="M273" s="33" t="s">
        <v>84</v>
      </c>
      <c r="N273" s="33"/>
      <c r="O273" s="32">
        <v>40</v>
      </c>
      <c r="P273" s="80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1"/>
      <c r="R273" s="551"/>
      <c r="S273" s="551"/>
      <c r="T273" s="552"/>
      <c r="U273" s="34"/>
      <c r="V273" s="34"/>
      <c r="W273" s="35" t="s">
        <v>69</v>
      </c>
      <c r="X273" s="543">
        <v>0</v>
      </c>
      <c r="Y273" s="544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434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435</v>
      </c>
      <c r="B274" s="54" t="s">
        <v>436</v>
      </c>
      <c r="C274" s="31">
        <v>4301051388</v>
      </c>
      <c r="D274" s="560">
        <v>4680115881211</v>
      </c>
      <c r="E274" s="561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76</v>
      </c>
      <c r="L274" s="32" t="s">
        <v>88</v>
      </c>
      <c r="M274" s="33" t="s">
        <v>77</v>
      </c>
      <c r="N274" s="33"/>
      <c r="O274" s="32">
        <v>45</v>
      </c>
      <c r="P274" s="68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1"/>
      <c r="R274" s="551"/>
      <c r="S274" s="551"/>
      <c r="T274" s="552"/>
      <c r="U274" s="34"/>
      <c r="V274" s="34"/>
      <c r="W274" s="35" t="s">
        <v>69</v>
      </c>
      <c r="X274" s="543">
        <v>0</v>
      </c>
      <c r="Y274" s="544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431</v>
      </c>
      <c r="AG274" s="64"/>
      <c r="AJ274" s="68" t="s">
        <v>90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53" t="s">
        <v>71</v>
      </c>
      <c r="Q275" s="548"/>
      <c r="R275" s="548"/>
      <c r="S275" s="548"/>
      <c r="T275" s="548"/>
      <c r="U275" s="548"/>
      <c r="V275" s="549"/>
      <c r="W275" s="37" t="s">
        <v>72</v>
      </c>
      <c r="X275" s="545">
        <f>IFERROR(X272/H272,"0")+IFERROR(X273/H273,"0")+IFERROR(X274/H274,"0")</f>
        <v>0</v>
      </c>
      <c r="Y275" s="545">
        <f>IFERROR(Y272/H272,"0")+IFERROR(Y273/H273,"0")+IFERROR(Y274/H274,"0")</f>
        <v>0</v>
      </c>
      <c r="Z275" s="545">
        <f>IFERROR(IF(Z272="",0,Z272),"0")+IFERROR(IF(Z273="",0,Z273),"0")+IFERROR(IF(Z274="",0,Z274),"0")</f>
        <v>0</v>
      </c>
      <c r="AA275" s="546"/>
      <c r="AB275" s="546"/>
      <c r="AC275" s="546"/>
    </row>
    <row r="276" spans="1:68" hidden="1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53" t="s">
        <v>71</v>
      </c>
      <c r="Q276" s="548"/>
      <c r="R276" s="548"/>
      <c r="S276" s="548"/>
      <c r="T276" s="548"/>
      <c r="U276" s="548"/>
      <c r="V276" s="549"/>
      <c r="W276" s="37" t="s">
        <v>69</v>
      </c>
      <c r="X276" s="545">
        <f>IFERROR(SUM(X272:X274),"0")</f>
        <v>0</v>
      </c>
      <c r="Y276" s="545">
        <f>IFERROR(SUM(Y272:Y274),"0")</f>
        <v>0</v>
      </c>
      <c r="Z276" s="37"/>
      <c r="AA276" s="546"/>
      <c r="AB276" s="546"/>
      <c r="AC276" s="546"/>
    </row>
    <row r="277" spans="1:68" ht="16.5" hidden="1" customHeight="1" x14ac:dyDescent="0.25">
      <c r="A277" s="599" t="s">
        <v>437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8"/>
      <c r="AB277" s="538"/>
      <c r="AC277" s="538"/>
    </row>
    <row r="278" spans="1:68" ht="14.25" hidden="1" customHeight="1" x14ac:dyDescent="0.25">
      <c r="A278" s="559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9"/>
      <c r="AB278" s="539"/>
      <c r="AC278" s="539"/>
    </row>
    <row r="279" spans="1:68" ht="27" hidden="1" customHeight="1" x14ac:dyDescent="0.25">
      <c r="A279" s="54" t="s">
        <v>438</v>
      </c>
      <c r="B279" s="54" t="s">
        <v>439</v>
      </c>
      <c r="C279" s="31">
        <v>4301031307</v>
      </c>
      <c r="D279" s="560">
        <v>4680115880344</v>
      </c>
      <c r="E279" s="561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6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1"/>
      <c r="R279" s="551"/>
      <c r="S279" s="551"/>
      <c r="T279" s="552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441</v>
      </c>
      <c r="B280" s="54" t="s">
        <v>442</v>
      </c>
      <c r="C280" s="31">
        <v>4301031429</v>
      </c>
      <c r="D280" s="560">
        <v>4680115886919</v>
      </c>
      <c r="E280" s="561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77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1"/>
      <c r="R280" s="551"/>
      <c r="S280" s="551"/>
      <c r="T280" s="552"/>
      <c r="U280" s="34"/>
      <c r="V280" s="34"/>
      <c r="W280" s="35" t="s">
        <v>69</v>
      </c>
      <c r="X280" s="543">
        <v>0</v>
      </c>
      <c r="Y280" s="54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443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53" t="s">
        <v>71</v>
      </c>
      <c r="Q281" s="548"/>
      <c r="R281" s="548"/>
      <c r="S281" s="548"/>
      <c r="T281" s="548"/>
      <c r="U281" s="548"/>
      <c r="V281" s="549"/>
      <c r="W281" s="37" t="s">
        <v>72</v>
      </c>
      <c r="X281" s="545">
        <f>IFERROR(X279/H279,"0")+IFERROR(X280/H280,"0")</f>
        <v>0</v>
      </c>
      <c r="Y281" s="545">
        <f>IFERROR(Y279/H279,"0")+IFERROR(Y280/H280,"0")</f>
        <v>0</v>
      </c>
      <c r="Z281" s="545">
        <f>IFERROR(IF(Z279="",0,Z279),"0")+IFERROR(IF(Z280="",0,Z280),"0")</f>
        <v>0</v>
      </c>
      <c r="AA281" s="546"/>
      <c r="AB281" s="546"/>
      <c r="AC281" s="546"/>
    </row>
    <row r="282" spans="1:68" hidden="1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53" t="s">
        <v>71</v>
      </c>
      <c r="Q282" s="548"/>
      <c r="R282" s="548"/>
      <c r="S282" s="548"/>
      <c r="T282" s="548"/>
      <c r="U282" s="548"/>
      <c r="V282" s="549"/>
      <c r="W282" s="37" t="s">
        <v>69</v>
      </c>
      <c r="X282" s="545">
        <f>IFERROR(SUM(X279:X280),"0")</f>
        <v>0</v>
      </c>
      <c r="Y282" s="545">
        <f>IFERROR(SUM(Y279:Y280),"0")</f>
        <v>0</v>
      </c>
      <c r="Z282" s="37"/>
      <c r="AA282" s="546"/>
      <c r="AB282" s="546"/>
      <c r="AC282" s="546"/>
    </row>
    <row r="283" spans="1:68" ht="14.25" hidden="1" customHeight="1" x14ac:dyDescent="0.25">
      <c r="A283" s="559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9"/>
      <c r="AB283" s="539"/>
      <c r="AC283" s="539"/>
    </row>
    <row r="284" spans="1:68" ht="37.5" hidden="1" customHeight="1" x14ac:dyDescent="0.25">
      <c r="A284" s="54" t="s">
        <v>444</v>
      </c>
      <c r="B284" s="54" t="s">
        <v>445</v>
      </c>
      <c r="C284" s="31">
        <v>4301051782</v>
      </c>
      <c r="D284" s="560">
        <v>4680115884618</v>
      </c>
      <c r="E284" s="561"/>
      <c r="F284" s="542">
        <v>0.6</v>
      </c>
      <c r="G284" s="32">
        <v>6</v>
      </c>
      <c r="H284" s="542">
        <v>3.6</v>
      </c>
      <c r="I284" s="542">
        <v>3.81</v>
      </c>
      <c r="J284" s="32">
        <v>132</v>
      </c>
      <c r="K284" s="32" t="s">
        <v>110</v>
      </c>
      <c r="L284" s="32" t="s">
        <v>111</v>
      </c>
      <c r="M284" s="33" t="s">
        <v>77</v>
      </c>
      <c r="N284" s="33"/>
      <c r="O284" s="32">
        <v>45</v>
      </c>
      <c r="P284" s="79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1"/>
      <c r="R284" s="551"/>
      <c r="S284" s="551"/>
      <c r="T284" s="552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 t="s">
        <v>90</v>
      </c>
      <c r="AK284" s="68">
        <v>43.2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4"/>
      <c r="B285" s="555"/>
      <c r="C285" s="555"/>
      <c r="D285" s="555"/>
      <c r="E285" s="555"/>
      <c r="F285" s="555"/>
      <c r="G285" s="555"/>
      <c r="H285" s="555"/>
      <c r="I285" s="555"/>
      <c r="J285" s="555"/>
      <c r="K285" s="555"/>
      <c r="L285" s="555"/>
      <c r="M285" s="555"/>
      <c r="N285" s="555"/>
      <c r="O285" s="556"/>
      <c r="P285" s="553" t="s">
        <v>71</v>
      </c>
      <c r="Q285" s="548"/>
      <c r="R285" s="548"/>
      <c r="S285" s="548"/>
      <c r="T285" s="548"/>
      <c r="U285" s="548"/>
      <c r="V285" s="549"/>
      <c r="W285" s="37" t="s">
        <v>72</v>
      </c>
      <c r="X285" s="545">
        <f>IFERROR(X284/H284,"0")</f>
        <v>0</v>
      </c>
      <c r="Y285" s="545">
        <f>IFERROR(Y284/H284,"0")</f>
        <v>0</v>
      </c>
      <c r="Z285" s="545">
        <f>IFERROR(IF(Z284="",0,Z284),"0")</f>
        <v>0</v>
      </c>
      <c r="AA285" s="546"/>
      <c r="AB285" s="546"/>
      <c r="AC285" s="546"/>
    </row>
    <row r="286" spans="1:68" hidden="1" x14ac:dyDescent="0.2">
      <c r="A286" s="555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53" t="s">
        <v>71</v>
      </c>
      <c r="Q286" s="548"/>
      <c r="R286" s="548"/>
      <c r="S286" s="548"/>
      <c r="T286" s="548"/>
      <c r="U286" s="548"/>
      <c r="V286" s="549"/>
      <c r="W286" s="37" t="s">
        <v>69</v>
      </c>
      <c r="X286" s="545">
        <f>IFERROR(SUM(X284:X284),"0")</f>
        <v>0</v>
      </c>
      <c r="Y286" s="545">
        <f>IFERROR(SUM(Y284:Y284),"0")</f>
        <v>0</v>
      </c>
      <c r="Z286" s="37"/>
      <c r="AA286" s="546"/>
      <c r="AB286" s="546"/>
      <c r="AC286" s="546"/>
    </row>
    <row r="287" spans="1:68" ht="16.5" hidden="1" customHeight="1" x14ac:dyDescent="0.25">
      <c r="A287" s="599" t="s">
        <v>447</v>
      </c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5"/>
      <c r="P287" s="555"/>
      <c r="Q287" s="555"/>
      <c r="R287" s="555"/>
      <c r="S287" s="555"/>
      <c r="T287" s="555"/>
      <c r="U287" s="555"/>
      <c r="V287" s="555"/>
      <c r="W287" s="555"/>
      <c r="X287" s="555"/>
      <c r="Y287" s="555"/>
      <c r="Z287" s="555"/>
      <c r="AA287" s="538"/>
      <c r="AB287" s="538"/>
      <c r="AC287" s="538"/>
    </row>
    <row r="288" spans="1:68" ht="14.25" hidden="1" customHeight="1" x14ac:dyDescent="0.25">
      <c r="A288" s="559" t="s">
        <v>101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9"/>
      <c r="AB288" s="539"/>
      <c r="AC288" s="539"/>
    </row>
    <row r="289" spans="1:68" ht="27" customHeight="1" x14ac:dyDescent="0.25">
      <c r="A289" s="54" t="s">
        <v>448</v>
      </c>
      <c r="B289" s="54" t="s">
        <v>449</v>
      </c>
      <c r="C289" s="31">
        <v>4301012126</v>
      </c>
      <c r="D289" s="560">
        <v>4607091386004</v>
      </c>
      <c r="E289" s="561"/>
      <c r="F289" s="542">
        <v>1.35</v>
      </c>
      <c r="G289" s="32">
        <v>8</v>
      </c>
      <c r="H289" s="542">
        <v>10.8</v>
      </c>
      <c r="I289" s="542">
        <v>11.234999999999999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78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51"/>
      <c r="R289" s="551"/>
      <c r="S289" s="551"/>
      <c r="T289" s="552"/>
      <c r="U289" s="34"/>
      <c r="V289" s="34"/>
      <c r="W289" s="35" t="s">
        <v>69</v>
      </c>
      <c r="X289" s="543">
        <v>1700</v>
      </c>
      <c r="Y289" s="544">
        <f t="shared" ref="Y289:Y294" si="26">IFERROR(IF(X289="",0,CEILING((X289/$H289),1)*$H289),"")</f>
        <v>1706.4</v>
      </c>
      <c r="Z289" s="36">
        <f>IFERROR(IF(Y289=0,"",ROUNDUP(Y289/H289,0)*0.01898),"")</f>
        <v>2.99884</v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1768.4722222222222</v>
      </c>
      <c r="BN289" s="64">
        <f t="shared" ref="BN289:BN294" si="28">IFERROR(Y289*I289/H289,"0")</f>
        <v>1775.1299999999997</v>
      </c>
      <c r="BO289" s="64">
        <f t="shared" ref="BO289:BO294" si="29">IFERROR(1/J289*(X289/H289),"0")</f>
        <v>2.4594907407407405</v>
      </c>
      <c r="BP289" s="64">
        <f t="shared" ref="BP289:BP294" si="30">IFERROR(1/J289*(Y289/H289),"0")</f>
        <v>2.46875</v>
      </c>
    </row>
    <row r="290" spans="1:68" ht="27" hidden="1" customHeight="1" x14ac:dyDescent="0.25">
      <c r="A290" s="54" t="s">
        <v>451</v>
      </c>
      <c r="B290" s="54" t="s">
        <v>452</v>
      </c>
      <c r="C290" s="31">
        <v>4301012024</v>
      </c>
      <c r="D290" s="560">
        <v>4680115885615</v>
      </c>
      <c r="E290" s="561"/>
      <c r="F290" s="542">
        <v>1.35</v>
      </c>
      <c r="G290" s="32">
        <v>8</v>
      </c>
      <c r="H290" s="542">
        <v>10.8</v>
      </c>
      <c r="I290" s="542">
        <v>11.234999999999999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85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1"/>
      <c r="R290" s="551"/>
      <c r="S290" s="551"/>
      <c r="T290" s="552"/>
      <c r="U290" s="34"/>
      <c r="V290" s="34"/>
      <c r="W290" s="35" t="s">
        <v>69</v>
      </c>
      <c r="X290" s="543">
        <v>0</v>
      </c>
      <c r="Y290" s="544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37.5" hidden="1" customHeight="1" x14ac:dyDescent="0.25">
      <c r="A291" s="54" t="s">
        <v>454</v>
      </c>
      <c r="B291" s="54" t="s">
        <v>455</v>
      </c>
      <c r="C291" s="31">
        <v>4301011858</v>
      </c>
      <c r="D291" s="560">
        <v>4680115885646</v>
      </c>
      <c r="E291" s="561"/>
      <c r="F291" s="542">
        <v>1.35</v>
      </c>
      <c r="G291" s="32">
        <v>8</v>
      </c>
      <c r="H291" s="542">
        <v>10.8</v>
      </c>
      <c r="I291" s="542">
        <v>11.234999999999999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58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1"/>
      <c r="R291" s="551"/>
      <c r="S291" s="551"/>
      <c r="T291" s="552"/>
      <c r="U291" s="34"/>
      <c r="V291" s="34"/>
      <c r="W291" s="35" t="s">
        <v>69</v>
      </c>
      <c r="X291" s="543">
        <v>0</v>
      </c>
      <c r="Y291" s="544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hidden="1" customHeight="1" x14ac:dyDescent="0.25">
      <c r="A292" s="54" t="s">
        <v>457</v>
      </c>
      <c r="B292" s="54" t="s">
        <v>458</v>
      </c>
      <c r="C292" s="31">
        <v>4301012016</v>
      </c>
      <c r="D292" s="560">
        <v>4680115885554</v>
      </c>
      <c r="E292" s="561"/>
      <c r="F292" s="542">
        <v>1.35</v>
      </c>
      <c r="G292" s="32">
        <v>8</v>
      </c>
      <c r="H292" s="542">
        <v>10.8</v>
      </c>
      <c r="I292" s="542">
        <v>11.234999999999999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60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1"/>
      <c r="R292" s="551"/>
      <c r="S292" s="551"/>
      <c r="T292" s="552"/>
      <c r="U292" s="34"/>
      <c r="V292" s="34"/>
      <c r="W292" s="35" t="s">
        <v>69</v>
      </c>
      <c r="X292" s="543">
        <v>0</v>
      </c>
      <c r="Y292" s="544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459</v>
      </c>
      <c r="AG292" s="64"/>
      <c r="AJ292" s="68" t="s">
        <v>90</v>
      </c>
      <c r="AK292" s="68">
        <v>10.8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hidden="1" customHeight="1" x14ac:dyDescent="0.25">
      <c r="A293" s="54" t="s">
        <v>460</v>
      </c>
      <c r="B293" s="54" t="s">
        <v>461</v>
      </c>
      <c r="C293" s="31">
        <v>4301011857</v>
      </c>
      <c r="D293" s="560">
        <v>4680115885622</v>
      </c>
      <c r="E293" s="561"/>
      <c r="F293" s="542">
        <v>0.4</v>
      </c>
      <c r="G293" s="32">
        <v>10</v>
      </c>
      <c r="H293" s="542">
        <v>4</v>
      </c>
      <c r="I293" s="542">
        <v>4.21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58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1"/>
      <c r="R293" s="551"/>
      <c r="S293" s="551"/>
      <c r="T293" s="552"/>
      <c r="U293" s="34"/>
      <c r="V293" s="34"/>
      <c r="W293" s="35" t="s">
        <v>69</v>
      </c>
      <c r="X293" s="543">
        <v>0</v>
      </c>
      <c r="Y293" s="544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453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hidden="1" customHeight="1" x14ac:dyDescent="0.25">
      <c r="A294" s="54" t="s">
        <v>462</v>
      </c>
      <c r="B294" s="54" t="s">
        <v>463</v>
      </c>
      <c r="C294" s="31">
        <v>4301011859</v>
      </c>
      <c r="D294" s="560">
        <v>4680115885608</v>
      </c>
      <c r="E294" s="561"/>
      <c r="F294" s="542">
        <v>0.4</v>
      </c>
      <c r="G294" s="32">
        <v>10</v>
      </c>
      <c r="H294" s="542">
        <v>4</v>
      </c>
      <c r="I294" s="542">
        <v>4.21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59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1"/>
      <c r="R294" s="551"/>
      <c r="S294" s="551"/>
      <c r="T294" s="552"/>
      <c r="U294" s="34"/>
      <c r="V294" s="34"/>
      <c r="W294" s="35" t="s">
        <v>69</v>
      </c>
      <c r="X294" s="543">
        <v>0</v>
      </c>
      <c r="Y294" s="544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464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53" t="s">
        <v>71</v>
      </c>
      <c r="Q295" s="548"/>
      <c r="R295" s="548"/>
      <c r="S295" s="548"/>
      <c r="T295" s="548"/>
      <c r="U295" s="548"/>
      <c r="V295" s="549"/>
      <c r="W295" s="37" t="s">
        <v>72</v>
      </c>
      <c r="X295" s="545">
        <f>IFERROR(X289/H289,"0")+IFERROR(X290/H290,"0")+IFERROR(X291/H291,"0")+IFERROR(X292/H292,"0")+IFERROR(X293/H293,"0")+IFERROR(X294/H294,"0")</f>
        <v>157.40740740740739</v>
      </c>
      <c r="Y295" s="545">
        <f>IFERROR(Y289/H289,"0")+IFERROR(Y290/H290,"0")+IFERROR(Y291/H291,"0")+IFERROR(Y292/H292,"0")+IFERROR(Y293/H293,"0")+IFERROR(Y294/H294,"0")</f>
        <v>158</v>
      </c>
      <c r="Z295" s="545">
        <f>IFERROR(IF(Z289="",0,Z289),"0")+IFERROR(IF(Z290="",0,Z290),"0")+IFERROR(IF(Z291="",0,Z291),"0")+IFERROR(IF(Z292="",0,Z292),"0")+IFERROR(IF(Z293="",0,Z293),"0")+IFERROR(IF(Z294="",0,Z294),"0")</f>
        <v>2.99884</v>
      </c>
      <c r="AA295" s="546"/>
      <c r="AB295" s="546"/>
      <c r="AC295" s="546"/>
    </row>
    <row r="296" spans="1:68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53" t="s">
        <v>71</v>
      </c>
      <c r="Q296" s="548"/>
      <c r="R296" s="548"/>
      <c r="S296" s="548"/>
      <c r="T296" s="548"/>
      <c r="U296" s="548"/>
      <c r="V296" s="549"/>
      <c r="W296" s="37" t="s">
        <v>69</v>
      </c>
      <c r="X296" s="545">
        <f>IFERROR(SUM(X289:X294),"0")</f>
        <v>1700</v>
      </c>
      <c r="Y296" s="545">
        <f>IFERROR(SUM(Y289:Y294),"0")</f>
        <v>1706.4</v>
      </c>
      <c r="Z296" s="37"/>
      <c r="AA296" s="546"/>
      <c r="AB296" s="546"/>
      <c r="AC296" s="546"/>
    </row>
    <row r="297" spans="1:68" ht="14.25" hidden="1" customHeight="1" x14ac:dyDescent="0.25">
      <c r="A297" s="559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9"/>
      <c r="AB297" s="539"/>
      <c r="AC297" s="539"/>
    </row>
    <row r="298" spans="1:68" ht="27" hidden="1" customHeight="1" x14ac:dyDescent="0.25">
      <c r="A298" s="54" t="s">
        <v>465</v>
      </c>
      <c r="B298" s="54" t="s">
        <v>466</v>
      </c>
      <c r="C298" s="31">
        <v>4301030878</v>
      </c>
      <c r="D298" s="560">
        <v>4607091387193</v>
      </c>
      <c r="E298" s="561"/>
      <c r="F298" s="542">
        <v>0.7</v>
      </c>
      <c r="G298" s="32">
        <v>6</v>
      </c>
      <c r="H298" s="542">
        <v>4.2</v>
      </c>
      <c r="I298" s="542">
        <v>4.47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61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1"/>
      <c r="R298" s="551"/>
      <c r="S298" s="551"/>
      <c r="T298" s="552"/>
      <c r="U298" s="34"/>
      <c r="V298" s="34"/>
      <c r="W298" s="35" t="s">
        <v>69</v>
      </c>
      <c r="X298" s="543">
        <v>0</v>
      </c>
      <c r="Y298" s="544">
        <f t="shared" ref="Y298:Y304" si="31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467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0</v>
      </c>
      <c r="BN298" s="64">
        <f t="shared" ref="BN298:BN304" si="33">IFERROR(Y298*I298/H298,"0")</f>
        <v>0</v>
      </c>
      <c r="BO298" s="64">
        <f t="shared" ref="BO298:BO304" si="34">IFERROR(1/J298*(X298/H298),"0")</f>
        <v>0</v>
      </c>
      <c r="BP298" s="64">
        <f t="shared" ref="BP298:BP304" si="35">IFERROR(1/J298*(Y298/H298),"0")</f>
        <v>0</v>
      </c>
    </row>
    <row r="299" spans="1:68" ht="27" customHeight="1" x14ac:dyDescent="0.25">
      <c r="A299" s="54" t="s">
        <v>468</v>
      </c>
      <c r="B299" s="54" t="s">
        <v>469</v>
      </c>
      <c r="C299" s="31">
        <v>4301031153</v>
      </c>
      <c r="D299" s="560">
        <v>4607091387230</v>
      </c>
      <c r="E299" s="561"/>
      <c r="F299" s="542">
        <v>0.7</v>
      </c>
      <c r="G299" s="32">
        <v>6</v>
      </c>
      <c r="H299" s="542">
        <v>4.2</v>
      </c>
      <c r="I299" s="542">
        <v>4.47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3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1"/>
      <c r="R299" s="551"/>
      <c r="S299" s="551"/>
      <c r="T299" s="552"/>
      <c r="U299" s="34"/>
      <c r="V299" s="34"/>
      <c r="W299" s="35" t="s">
        <v>69</v>
      </c>
      <c r="X299" s="543">
        <v>40</v>
      </c>
      <c r="Y299" s="544">
        <f t="shared" si="31"/>
        <v>42</v>
      </c>
      <c r="Z299" s="36">
        <f>IFERROR(IF(Y299=0,"",ROUNDUP(Y299/H299,0)*0.00902),"")</f>
        <v>9.0200000000000002E-2</v>
      </c>
      <c r="AA299" s="56"/>
      <c r="AB299" s="57"/>
      <c r="AC299" s="345" t="s">
        <v>470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42.571428571428562</v>
      </c>
      <c r="BN299" s="64">
        <f t="shared" si="33"/>
        <v>44.699999999999996</v>
      </c>
      <c r="BO299" s="64">
        <f t="shared" si="34"/>
        <v>7.2150072150072145E-2</v>
      </c>
      <c r="BP299" s="64">
        <f t="shared" si="35"/>
        <v>7.575757575757576E-2</v>
      </c>
    </row>
    <row r="300" spans="1:68" ht="27" hidden="1" customHeight="1" x14ac:dyDescent="0.25">
      <c r="A300" s="54" t="s">
        <v>471</v>
      </c>
      <c r="B300" s="54" t="s">
        <v>472</v>
      </c>
      <c r="C300" s="31">
        <v>4301031154</v>
      </c>
      <c r="D300" s="560">
        <v>4607091387292</v>
      </c>
      <c r="E300" s="561"/>
      <c r="F300" s="542">
        <v>0.73</v>
      </c>
      <c r="G300" s="32">
        <v>6</v>
      </c>
      <c r="H300" s="542">
        <v>4.38</v>
      </c>
      <c r="I300" s="542">
        <v>4.6500000000000004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76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1"/>
      <c r="R300" s="551"/>
      <c r="S300" s="551"/>
      <c r="T300" s="552"/>
      <c r="U300" s="34"/>
      <c r="V300" s="34"/>
      <c r="W300" s="35" t="s">
        <v>69</v>
      </c>
      <c r="X300" s="543">
        <v>0</v>
      </c>
      <c r="Y300" s="544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473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474</v>
      </c>
      <c r="B301" s="54" t="s">
        <v>475</v>
      </c>
      <c r="C301" s="31">
        <v>4301031152</v>
      </c>
      <c r="D301" s="560">
        <v>4607091387285</v>
      </c>
      <c r="E301" s="561"/>
      <c r="F301" s="542">
        <v>0.35</v>
      </c>
      <c r="G301" s="32">
        <v>6</v>
      </c>
      <c r="H301" s="542">
        <v>2.1</v>
      </c>
      <c r="I301" s="542">
        <v>2.23</v>
      </c>
      <c r="J301" s="32">
        <v>234</v>
      </c>
      <c r="K301" s="32" t="s">
        <v>67</v>
      </c>
      <c r="L301" s="32" t="s">
        <v>273</v>
      </c>
      <c r="M301" s="33" t="s">
        <v>68</v>
      </c>
      <c r="N301" s="33"/>
      <c r="O301" s="32">
        <v>40</v>
      </c>
      <c r="P301" s="6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1"/>
      <c r="R301" s="551"/>
      <c r="S301" s="551"/>
      <c r="T301" s="552"/>
      <c r="U301" s="34"/>
      <c r="V301" s="34"/>
      <c r="W301" s="35" t="s">
        <v>69</v>
      </c>
      <c r="X301" s="543">
        <v>0</v>
      </c>
      <c r="Y301" s="544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470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476</v>
      </c>
      <c r="B302" s="54" t="s">
        <v>477</v>
      </c>
      <c r="C302" s="31">
        <v>4301031305</v>
      </c>
      <c r="D302" s="560">
        <v>4607091389845</v>
      </c>
      <c r="E302" s="561"/>
      <c r="F302" s="542">
        <v>0.35</v>
      </c>
      <c r="G302" s="32">
        <v>6</v>
      </c>
      <c r="H302" s="542">
        <v>2.1</v>
      </c>
      <c r="I302" s="542">
        <v>2.2000000000000002</v>
      </c>
      <c r="J302" s="32">
        <v>234</v>
      </c>
      <c r="K302" s="32" t="s">
        <v>67</v>
      </c>
      <c r="L302" s="32" t="s">
        <v>273</v>
      </c>
      <c r="M302" s="33" t="s">
        <v>68</v>
      </c>
      <c r="N302" s="33"/>
      <c r="O302" s="32">
        <v>40</v>
      </c>
      <c r="P302" s="81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1"/>
      <c r="R302" s="551"/>
      <c r="S302" s="551"/>
      <c r="T302" s="552"/>
      <c r="U302" s="34"/>
      <c r="V302" s="34"/>
      <c r="W302" s="35" t="s">
        <v>69</v>
      </c>
      <c r="X302" s="543">
        <v>0</v>
      </c>
      <c r="Y302" s="544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478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479</v>
      </c>
      <c r="B303" s="54" t="s">
        <v>480</v>
      </c>
      <c r="C303" s="31">
        <v>4301031306</v>
      </c>
      <c r="D303" s="560">
        <v>4680115882881</v>
      </c>
      <c r="E303" s="561"/>
      <c r="F303" s="542">
        <v>0.28000000000000003</v>
      </c>
      <c r="G303" s="32">
        <v>6</v>
      </c>
      <c r="H303" s="542">
        <v>1.68</v>
      </c>
      <c r="I303" s="542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712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51"/>
      <c r="R303" s="551"/>
      <c r="S303" s="551"/>
      <c r="T303" s="552"/>
      <c r="U303" s="34"/>
      <c r="V303" s="34"/>
      <c r="W303" s="35" t="s">
        <v>69</v>
      </c>
      <c r="X303" s="543">
        <v>0</v>
      </c>
      <c r="Y303" s="544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478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hidden="1" customHeight="1" x14ac:dyDescent="0.25">
      <c r="A304" s="54" t="s">
        <v>481</v>
      </c>
      <c r="B304" s="54" t="s">
        <v>482</v>
      </c>
      <c r="C304" s="31">
        <v>4301031066</v>
      </c>
      <c r="D304" s="560">
        <v>4607091383836</v>
      </c>
      <c r="E304" s="561"/>
      <c r="F304" s="542">
        <v>0.3</v>
      </c>
      <c r="G304" s="32">
        <v>6</v>
      </c>
      <c r="H304" s="542">
        <v>1.8</v>
      </c>
      <c r="I304" s="542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1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1"/>
      <c r="R304" s="551"/>
      <c r="S304" s="551"/>
      <c r="T304" s="552"/>
      <c r="U304" s="34"/>
      <c r="V304" s="34"/>
      <c r="W304" s="35" t="s">
        <v>69</v>
      </c>
      <c r="X304" s="543">
        <v>0</v>
      </c>
      <c r="Y304" s="544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483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53" t="s">
        <v>71</v>
      </c>
      <c r="Q305" s="548"/>
      <c r="R305" s="548"/>
      <c r="S305" s="548"/>
      <c r="T305" s="548"/>
      <c r="U305" s="548"/>
      <c r="V305" s="549"/>
      <c r="W305" s="37" t="s">
        <v>72</v>
      </c>
      <c r="X305" s="545">
        <f>IFERROR(X298/H298,"0")+IFERROR(X299/H299,"0")+IFERROR(X300/H300,"0")+IFERROR(X301/H301,"0")+IFERROR(X302/H302,"0")+IFERROR(X303/H303,"0")+IFERROR(X304/H304,"0")</f>
        <v>9.5238095238095237</v>
      </c>
      <c r="Y305" s="545">
        <f>IFERROR(Y298/H298,"0")+IFERROR(Y299/H299,"0")+IFERROR(Y300/H300,"0")+IFERROR(Y301/H301,"0")+IFERROR(Y302/H302,"0")+IFERROR(Y303/H303,"0")+IFERROR(Y304/H304,"0")</f>
        <v>10</v>
      </c>
      <c r="Z305" s="545">
        <f>IFERROR(IF(Z298="",0,Z298),"0")+IFERROR(IF(Z299="",0,Z299),"0")+IFERROR(IF(Z300="",0,Z300),"0")+IFERROR(IF(Z301="",0,Z301),"0")+IFERROR(IF(Z302="",0,Z302),"0")+IFERROR(IF(Z303="",0,Z303),"0")+IFERROR(IF(Z304="",0,Z304),"0")</f>
        <v>9.0200000000000002E-2</v>
      </c>
      <c r="AA305" s="546"/>
      <c r="AB305" s="546"/>
      <c r="AC305" s="546"/>
    </row>
    <row r="306" spans="1:68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53" t="s">
        <v>71</v>
      </c>
      <c r="Q306" s="548"/>
      <c r="R306" s="548"/>
      <c r="S306" s="548"/>
      <c r="T306" s="548"/>
      <c r="U306" s="548"/>
      <c r="V306" s="549"/>
      <c r="W306" s="37" t="s">
        <v>69</v>
      </c>
      <c r="X306" s="545">
        <f>IFERROR(SUM(X298:X304),"0")</f>
        <v>40</v>
      </c>
      <c r="Y306" s="545">
        <f>IFERROR(SUM(Y298:Y304),"0")</f>
        <v>42</v>
      </c>
      <c r="Z306" s="37"/>
      <c r="AA306" s="546"/>
      <c r="AB306" s="546"/>
      <c r="AC306" s="546"/>
    </row>
    <row r="307" spans="1:68" ht="14.25" hidden="1" customHeight="1" x14ac:dyDescent="0.25">
      <c r="A307" s="559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9"/>
      <c r="AB307" s="539"/>
      <c r="AC307" s="539"/>
    </row>
    <row r="308" spans="1:68" ht="27" customHeight="1" x14ac:dyDescent="0.25">
      <c r="A308" s="54" t="s">
        <v>484</v>
      </c>
      <c r="B308" s="54" t="s">
        <v>485</v>
      </c>
      <c r="C308" s="31">
        <v>4301051100</v>
      </c>
      <c r="D308" s="560">
        <v>4607091387766</v>
      </c>
      <c r="E308" s="561"/>
      <c r="F308" s="542">
        <v>1.3</v>
      </c>
      <c r="G308" s="32">
        <v>6</v>
      </c>
      <c r="H308" s="542">
        <v>7.8</v>
      </c>
      <c r="I308" s="542">
        <v>8.3130000000000006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7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1"/>
      <c r="R308" s="551"/>
      <c r="S308" s="551"/>
      <c r="T308" s="552"/>
      <c r="U308" s="34"/>
      <c r="V308" s="34"/>
      <c r="W308" s="35" t="s">
        <v>69</v>
      </c>
      <c r="X308" s="543">
        <v>5000</v>
      </c>
      <c r="Y308" s="544">
        <f>IFERROR(IF(X308="",0,CEILING((X308/$H308),1)*$H308),"")</f>
        <v>5007.5999999999995</v>
      </c>
      <c r="Z308" s="36">
        <f>IFERROR(IF(Y308=0,"",ROUNDUP(Y308/H308,0)*0.01898),"")</f>
        <v>12.18516</v>
      </c>
      <c r="AA308" s="56"/>
      <c r="AB308" s="57"/>
      <c r="AC308" s="357" t="s">
        <v>486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5328.8461538461543</v>
      </c>
      <c r="BN308" s="64">
        <f>IFERROR(Y308*I308/H308,"0")</f>
        <v>5336.9459999999999</v>
      </c>
      <c r="BO308" s="64">
        <f>IFERROR(1/J308*(X308/H308),"0")</f>
        <v>10.016025641025641</v>
      </c>
      <c r="BP308" s="64">
        <f>IFERROR(1/J308*(Y308/H308),"0")</f>
        <v>10.03125</v>
      </c>
    </row>
    <row r="309" spans="1:68" ht="27" hidden="1" customHeight="1" x14ac:dyDescent="0.25">
      <c r="A309" s="54" t="s">
        <v>487</v>
      </c>
      <c r="B309" s="54" t="s">
        <v>488</v>
      </c>
      <c r="C309" s="31">
        <v>4301051818</v>
      </c>
      <c r="D309" s="560">
        <v>4607091387957</v>
      </c>
      <c r="E309" s="561"/>
      <c r="F309" s="542">
        <v>1.3</v>
      </c>
      <c r="G309" s="32">
        <v>6</v>
      </c>
      <c r="H309" s="542">
        <v>7.8</v>
      </c>
      <c r="I309" s="542">
        <v>8.3190000000000008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5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1"/>
      <c r="R309" s="551"/>
      <c r="S309" s="551"/>
      <c r="T309" s="552"/>
      <c r="U309" s="34"/>
      <c r="V309" s="34"/>
      <c r="W309" s="35" t="s">
        <v>69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490</v>
      </c>
      <c r="B310" s="54" t="s">
        <v>491</v>
      </c>
      <c r="C310" s="31">
        <v>4301051819</v>
      </c>
      <c r="D310" s="560">
        <v>4607091387964</v>
      </c>
      <c r="E310" s="561"/>
      <c r="F310" s="542">
        <v>1.35</v>
      </c>
      <c r="G310" s="32">
        <v>6</v>
      </c>
      <c r="H310" s="542">
        <v>8.1</v>
      </c>
      <c r="I310" s="542">
        <v>8.6010000000000009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5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1"/>
      <c r="R310" s="551"/>
      <c r="S310" s="551"/>
      <c r="T310" s="552"/>
      <c r="U310" s="34"/>
      <c r="V310" s="34"/>
      <c r="W310" s="35" t="s">
        <v>69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493</v>
      </c>
      <c r="B311" s="54" t="s">
        <v>494</v>
      </c>
      <c r="C311" s="31">
        <v>4301051734</v>
      </c>
      <c r="D311" s="560">
        <v>4680115884588</v>
      </c>
      <c r="E311" s="561"/>
      <c r="F311" s="542">
        <v>0.5</v>
      </c>
      <c r="G311" s="32">
        <v>6</v>
      </c>
      <c r="H311" s="542">
        <v>3</v>
      </c>
      <c r="I311" s="542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4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1"/>
      <c r="R311" s="551"/>
      <c r="S311" s="551"/>
      <c r="T311" s="552"/>
      <c r="U311" s="34"/>
      <c r="V311" s="34"/>
      <c r="W311" s="35" t="s">
        <v>69</v>
      </c>
      <c r="X311" s="543">
        <v>0</v>
      </c>
      <c r="Y311" s="544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495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496</v>
      </c>
      <c r="B312" s="54" t="s">
        <v>497</v>
      </c>
      <c r="C312" s="31">
        <v>4301051578</v>
      </c>
      <c r="D312" s="560">
        <v>4607091387513</v>
      </c>
      <c r="E312" s="561"/>
      <c r="F312" s="542">
        <v>0.45</v>
      </c>
      <c r="G312" s="32">
        <v>6</v>
      </c>
      <c r="H312" s="542">
        <v>2.7</v>
      </c>
      <c r="I312" s="542">
        <v>2.9580000000000002</v>
      </c>
      <c r="J312" s="32">
        <v>182</v>
      </c>
      <c r="K312" s="32" t="s">
        <v>76</v>
      </c>
      <c r="L312" s="32"/>
      <c r="M312" s="33" t="s">
        <v>84</v>
      </c>
      <c r="N312" s="33"/>
      <c r="O312" s="32">
        <v>40</v>
      </c>
      <c r="P312" s="780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2" s="551"/>
      <c r="R312" s="551"/>
      <c r="S312" s="551"/>
      <c r="T312" s="552"/>
      <c r="U312" s="34"/>
      <c r="V312" s="34"/>
      <c r="W312" s="35" t="s">
        <v>69</v>
      </c>
      <c r="X312" s="543">
        <v>0</v>
      </c>
      <c r="Y312" s="544">
        <f>IFERROR(IF(X312="",0,CEILING((X312/$H312),1)*$H312),"")</f>
        <v>0</v>
      </c>
      <c r="Z312" s="36" t="str">
        <f>IFERROR(IF(Y312=0,"",ROUNDUP(Y312/H312,0)*0.00651),"")</f>
        <v/>
      </c>
      <c r="AA312" s="56"/>
      <c r="AB312" s="57"/>
      <c r="AC312" s="365" t="s">
        <v>498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554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53" t="s">
        <v>71</v>
      </c>
      <c r="Q313" s="548"/>
      <c r="R313" s="548"/>
      <c r="S313" s="548"/>
      <c r="T313" s="548"/>
      <c r="U313" s="548"/>
      <c r="V313" s="549"/>
      <c r="W313" s="37" t="s">
        <v>72</v>
      </c>
      <c r="X313" s="545">
        <f>IFERROR(X308/H308,"0")+IFERROR(X309/H309,"0")+IFERROR(X310/H310,"0")+IFERROR(X311/H311,"0")+IFERROR(X312/H312,"0")</f>
        <v>641.02564102564099</v>
      </c>
      <c r="Y313" s="545">
        <f>IFERROR(Y308/H308,"0")+IFERROR(Y309/H309,"0")+IFERROR(Y310/H310,"0")+IFERROR(Y311/H311,"0")+IFERROR(Y312/H312,"0")</f>
        <v>642</v>
      </c>
      <c r="Z313" s="545">
        <f>IFERROR(IF(Z308="",0,Z308),"0")+IFERROR(IF(Z309="",0,Z309),"0")+IFERROR(IF(Z310="",0,Z310),"0")+IFERROR(IF(Z311="",0,Z311),"0")+IFERROR(IF(Z312="",0,Z312),"0")</f>
        <v>12.18516</v>
      </c>
      <c r="AA313" s="546"/>
      <c r="AB313" s="546"/>
      <c r="AC313" s="546"/>
    </row>
    <row r="314" spans="1:68" x14ac:dyDescent="0.2">
      <c r="A314" s="555"/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6"/>
      <c r="P314" s="553" t="s">
        <v>71</v>
      </c>
      <c r="Q314" s="548"/>
      <c r="R314" s="548"/>
      <c r="S314" s="548"/>
      <c r="T314" s="548"/>
      <c r="U314" s="548"/>
      <c r="V314" s="549"/>
      <c r="W314" s="37" t="s">
        <v>69</v>
      </c>
      <c r="X314" s="545">
        <f>IFERROR(SUM(X308:X312),"0")</f>
        <v>5000</v>
      </c>
      <c r="Y314" s="545">
        <f>IFERROR(SUM(Y308:Y312),"0")</f>
        <v>5007.5999999999995</v>
      </c>
      <c r="Z314" s="37"/>
      <c r="AA314" s="546"/>
      <c r="AB314" s="546"/>
      <c r="AC314" s="546"/>
    </row>
    <row r="315" spans="1:68" ht="14.25" hidden="1" customHeight="1" x14ac:dyDescent="0.25">
      <c r="A315" s="559" t="s">
        <v>166</v>
      </c>
      <c r="B315" s="555"/>
      <c r="C315" s="555"/>
      <c r="D315" s="555"/>
      <c r="E315" s="555"/>
      <c r="F315" s="555"/>
      <c r="G315" s="555"/>
      <c r="H315" s="555"/>
      <c r="I315" s="555"/>
      <c r="J315" s="555"/>
      <c r="K315" s="555"/>
      <c r="L315" s="555"/>
      <c r="M315" s="555"/>
      <c r="N315" s="555"/>
      <c r="O315" s="555"/>
      <c r="P315" s="555"/>
      <c r="Q315" s="555"/>
      <c r="R315" s="555"/>
      <c r="S315" s="555"/>
      <c r="T315" s="555"/>
      <c r="U315" s="555"/>
      <c r="V315" s="555"/>
      <c r="W315" s="555"/>
      <c r="X315" s="555"/>
      <c r="Y315" s="555"/>
      <c r="Z315" s="555"/>
      <c r="AA315" s="539"/>
      <c r="AB315" s="539"/>
      <c r="AC315" s="539"/>
    </row>
    <row r="316" spans="1:68" ht="27" customHeight="1" x14ac:dyDescent="0.25">
      <c r="A316" s="54" t="s">
        <v>499</v>
      </c>
      <c r="B316" s="54" t="s">
        <v>500</v>
      </c>
      <c r="C316" s="31">
        <v>4301060387</v>
      </c>
      <c r="D316" s="560">
        <v>4607091380880</v>
      </c>
      <c r="E316" s="561"/>
      <c r="F316" s="542">
        <v>1.4</v>
      </c>
      <c r="G316" s="32">
        <v>6</v>
      </c>
      <c r="H316" s="542">
        <v>8.4</v>
      </c>
      <c r="I316" s="542">
        <v>8.9190000000000005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84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6" s="551"/>
      <c r="R316" s="551"/>
      <c r="S316" s="551"/>
      <c r="T316" s="552"/>
      <c r="U316" s="34"/>
      <c r="V316" s="34"/>
      <c r="W316" s="35" t="s">
        <v>69</v>
      </c>
      <c r="X316" s="543">
        <v>60</v>
      </c>
      <c r="Y316" s="544">
        <f>IFERROR(IF(X316="",0,CEILING((X316/$H316),1)*$H316),"")</f>
        <v>67.2</v>
      </c>
      <c r="Z316" s="36">
        <f>IFERROR(IF(Y316=0,"",ROUNDUP(Y316/H316,0)*0.01898),"")</f>
        <v>0.15184</v>
      </c>
      <c r="AA316" s="56"/>
      <c r="AB316" s="57"/>
      <c r="AC316" s="367" t="s">
        <v>501</v>
      </c>
      <c r="AG316" s="64"/>
      <c r="AJ316" s="68" t="s">
        <v>90</v>
      </c>
      <c r="AK316" s="68">
        <v>67.2</v>
      </c>
      <c r="BB316" s="368" t="s">
        <v>1</v>
      </c>
      <c r="BM316" s="64">
        <f>IFERROR(X316*I316/H316,"0")</f>
        <v>63.707142857142856</v>
      </c>
      <c r="BN316" s="64">
        <f>IFERROR(Y316*I316/H316,"0")</f>
        <v>71.352000000000004</v>
      </c>
      <c r="BO316" s="64">
        <f>IFERROR(1/J316*(X316/H316),"0")</f>
        <v>0.11160714285714285</v>
      </c>
      <c r="BP316" s="64">
        <f>IFERROR(1/J316*(Y316/H316),"0")</f>
        <v>0.125</v>
      </c>
    </row>
    <row r="317" spans="1:68" ht="27" customHeight="1" x14ac:dyDescent="0.25">
      <c r="A317" s="54" t="s">
        <v>502</v>
      </c>
      <c r="B317" s="54" t="s">
        <v>503</v>
      </c>
      <c r="C317" s="31">
        <v>4301060406</v>
      </c>
      <c r="D317" s="560">
        <v>4607091384482</v>
      </c>
      <c r="E317" s="561"/>
      <c r="F317" s="542">
        <v>1.3</v>
      </c>
      <c r="G317" s="32">
        <v>6</v>
      </c>
      <c r="H317" s="542">
        <v>7.8</v>
      </c>
      <c r="I317" s="542">
        <v>8.3190000000000008</v>
      </c>
      <c r="J317" s="32">
        <v>64</v>
      </c>
      <c r="K317" s="32" t="s">
        <v>104</v>
      </c>
      <c r="L317" s="32" t="s">
        <v>105</v>
      </c>
      <c r="M317" s="33" t="s">
        <v>77</v>
      </c>
      <c r="N317" s="33"/>
      <c r="O317" s="32">
        <v>30</v>
      </c>
      <c r="P317" s="71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7" s="551"/>
      <c r="R317" s="551"/>
      <c r="S317" s="551"/>
      <c r="T317" s="552"/>
      <c r="U317" s="34"/>
      <c r="V317" s="34"/>
      <c r="W317" s="35" t="s">
        <v>69</v>
      </c>
      <c r="X317" s="543">
        <v>160</v>
      </c>
      <c r="Y317" s="544">
        <f>IFERROR(IF(X317="",0,CEILING((X317/$H317),1)*$H317),"")</f>
        <v>163.79999999999998</v>
      </c>
      <c r="Z317" s="36">
        <f>IFERROR(IF(Y317=0,"",ROUNDUP(Y317/H317,0)*0.01898),"")</f>
        <v>0.39857999999999999</v>
      </c>
      <c r="AA317" s="56"/>
      <c r="AB317" s="57"/>
      <c r="AC317" s="369" t="s">
        <v>504</v>
      </c>
      <c r="AG317" s="64"/>
      <c r="AJ317" s="68" t="s">
        <v>90</v>
      </c>
      <c r="AK317" s="68">
        <v>62.4</v>
      </c>
      <c r="BB317" s="370" t="s">
        <v>1</v>
      </c>
      <c r="BM317" s="64">
        <f>IFERROR(X317*I317/H317,"0")</f>
        <v>170.64615384615388</v>
      </c>
      <c r="BN317" s="64">
        <f>IFERROR(Y317*I317/H317,"0")</f>
        <v>174.69900000000001</v>
      </c>
      <c r="BO317" s="64">
        <f>IFERROR(1/J317*(X317/H317),"0")</f>
        <v>0.32051282051282054</v>
      </c>
      <c r="BP317" s="64">
        <f>IFERROR(1/J317*(Y317/H317),"0")</f>
        <v>0.328125</v>
      </c>
    </row>
    <row r="318" spans="1:68" ht="16.5" customHeight="1" x14ac:dyDescent="0.25">
      <c r="A318" s="54" t="s">
        <v>505</v>
      </c>
      <c r="B318" s="54" t="s">
        <v>506</v>
      </c>
      <c r="C318" s="31">
        <v>4301060484</v>
      </c>
      <c r="D318" s="560">
        <v>4607091380897</v>
      </c>
      <c r="E318" s="561"/>
      <c r="F318" s="542">
        <v>1.4</v>
      </c>
      <c r="G318" s="32">
        <v>6</v>
      </c>
      <c r="H318" s="542">
        <v>8.4</v>
      </c>
      <c r="I318" s="542">
        <v>8.9190000000000005</v>
      </c>
      <c r="J318" s="32">
        <v>64</v>
      </c>
      <c r="K318" s="32" t="s">
        <v>104</v>
      </c>
      <c r="L318" s="32" t="s">
        <v>105</v>
      </c>
      <c r="M318" s="33" t="s">
        <v>84</v>
      </c>
      <c r="N318" s="33"/>
      <c r="O318" s="32">
        <v>30</v>
      </c>
      <c r="P318" s="67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8" s="551"/>
      <c r="R318" s="551"/>
      <c r="S318" s="551"/>
      <c r="T318" s="552"/>
      <c r="U318" s="34"/>
      <c r="V318" s="34"/>
      <c r="W318" s="35" t="s">
        <v>69</v>
      </c>
      <c r="X318" s="543">
        <v>60</v>
      </c>
      <c r="Y318" s="544">
        <f>IFERROR(IF(X318="",0,CEILING((X318/$H318),1)*$H318),"")</f>
        <v>67.2</v>
      </c>
      <c r="Z318" s="36">
        <f>IFERROR(IF(Y318=0,"",ROUNDUP(Y318/H318,0)*0.01898),"")</f>
        <v>0.15184</v>
      </c>
      <c r="AA318" s="56"/>
      <c r="AB318" s="57"/>
      <c r="AC318" s="371" t="s">
        <v>507</v>
      </c>
      <c r="AG318" s="64"/>
      <c r="AJ318" s="68" t="s">
        <v>90</v>
      </c>
      <c r="AK318" s="68">
        <v>67.2</v>
      </c>
      <c r="BB318" s="372" t="s">
        <v>1</v>
      </c>
      <c r="BM318" s="64">
        <f>IFERROR(X318*I318/H318,"0")</f>
        <v>63.707142857142856</v>
      </c>
      <c r="BN318" s="64">
        <f>IFERROR(Y318*I318/H318,"0")</f>
        <v>71.352000000000004</v>
      </c>
      <c r="BO318" s="64">
        <f>IFERROR(1/J318*(X318/H318),"0")</f>
        <v>0.11160714285714285</v>
      </c>
      <c r="BP318" s="64">
        <f>IFERROR(1/J318*(Y318/H318),"0")</f>
        <v>0.125</v>
      </c>
    </row>
    <row r="319" spans="1:68" x14ac:dyDescent="0.2">
      <c r="A319" s="554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53" t="s">
        <v>71</v>
      </c>
      <c r="Q319" s="548"/>
      <c r="R319" s="548"/>
      <c r="S319" s="548"/>
      <c r="T319" s="548"/>
      <c r="U319" s="548"/>
      <c r="V319" s="549"/>
      <c r="W319" s="37" t="s">
        <v>72</v>
      </c>
      <c r="X319" s="545">
        <f>IFERROR(X316/H316,"0")+IFERROR(X317/H317,"0")+IFERROR(X318/H318,"0")</f>
        <v>34.798534798534803</v>
      </c>
      <c r="Y319" s="545">
        <f>IFERROR(Y316/H316,"0")+IFERROR(Y317/H317,"0")+IFERROR(Y318/H318,"0")</f>
        <v>37</v>
      </c>
      <c r="Z319" s="545">
        <f>IFERROR(IF(Z316="",0,Z316),"0")+IFERROR(IF(Z317="",0,Z317),"0")+IFERROR(IF(Z318="",0,Z318),"0")</f>
        <v>0.70226</v>
      </c>
      <c r="AA319" s="546"/>
      <c r="AB319" s="546"/>
      <c r="AC319" s="546"/>
    </row>
    <row r="320" spans="1:68" x14ac:dyDescent="0.2">
      <c r="A320" s="555"/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6"/>
      <c r="P320" s="553" t="s">
        <v>71</v>
      </c>
      <c r="Q320" s="548"/>
      <c r="R320" s="548"/>
      <c r="S320" s="548"/>
      <c r="T320" s="548"/>
      <c r="U320" s="548"/>
      <c r="V320" s="549"/>
      <c r="W320" s="37" t="s">
        <v>69</v>
      </c>
      <c r="X320" s="545">
        <f>IFERROR(SUM(X316:X318),"0")</f>
        <v>280</v>
      </c>
      <c r="Y320" s="545">
        <f>IFERROR(SUM(Y316:Y318),"0")</f>
        <v>298.2</v>
      </c>
      <c r="Z320" s="37"/>
      <c r="AA320" s="546"/>
      <c r="AB320" s="546"/>
      <c r="AC320" s="546"/>
    </row>
    <row r="321" spans="1:68" ht="14.25" hidden="1" customHeight="1" x14ac:dyDescent="0.25">
      <c r="A321" s="559" t="s">
        <v>93</v>
      </c>
      <c r="B321" s="555"/>
      <c r="C321" s="555"/>
      <c r="D321" s="555"/>
      <c r="E321" s="555"/>
      <c r="F321" s="555"/>
      <c r="G321" s="555"/>
      <c r="H321" s="555"/>
      <c r="I321" s="555"/>
      <c r="J321" s="555"/>
      <c r="K321" s="555"/>
      <c r="L321" s="555"/>
      <c r="M321" s="555"/>
      <c r="N321" s="555"/>
      <c r="O321" s="555"/>
      <c r="P321" s="555"/>
      <c r="Q321" s="555"/>
      <c r="R321" s="555"/>
      <c r="S321" s="555"/>
      <c r="T321" s="555"/>
      <c r="U321" s="555"/>
      <c r="V321" s="555"/>
      <c r="W321" s="555"/>
      <c r="X321" s="555"/>
      <c r="Y321" s="555"/>
      <c r="Z321" s="555"/>
      <c r="AA321" s="539"/>
      <c r="AB321" s="539"/>
      <c r="AC321" s="539"/>
    </row>
    <row r="322" spans="1:68" ht="27" hidden="1" customHeight="1" x14ac:dyDescent="0.25">
      <c r="A322" s="54" t="s">
        <v>508</v>
      </c>
      <c r="B322" s="54" t="s">
        <v>509</v>
      </c>
      <c r="C322" s="31">
        <v>4301030235</v>
      </c>
      <c r="D322" s="560">
        <v>4607091388381</v>
      </c>
      <c r="E322" s="561"/>
      <c r="F322" s="542">
        <v>0.38</v>
      </c>
      <c r="G322" s="32">
        <v>8</v>
      </c>
      <c r="H322" s="542">
        <v>3.04</v>
      </c>
      <c r="I322" s="542">
        <v>3.33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3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2" s="551"/>
      <c r="R322" s="551"/>
      <c r="S322" s="551"/>
      <c r="T322" s="552"/>
      <c r="U322" s="34"/>
      <c r="V322" s="34"/>
      <c r="W322" s="35" t="s">
        <v>69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511</v>
      </c>
      <c r="B323" s="54" t="s">
        <v>512</v>
      </c>
      <c r="C323" s="31">
        <v>4301030232</v>
      </c>
      <c r="D323" s="560">
        <v>4607091388374</v>
      </c>
      <c r="E323" s="561"/>
      <c r="F323" s="542">
        <v>0.38</v>
      </c>
      <c r="G323" s="32">
        <v>8</v>
      </c>
      <c r="H323" s="542">
        <v>3.04</v>
      </c>
      <c r="I323" s="542">
        <v>3.29</v>
      </c>
      <c r="J323" s="32">
        <v>132</v>
      </c>
      <c r="K323" s="32" t="s">
        <v>110</v>
      </c>
      <c r="L323" s="32"/>
      <c r="M323" s="33" t="s">
        <v>96</v>
      </c>
      <c r="N323" s="33"/>
      <c r="O323" s="32">
        <v>180</v>
      </c>
      <c r="P323" s="646" t="s">
        <v>513</v>
      </c>
      <c r="Q323" s="551"/>
      <c r="R323" s="551"/>
      <c r="S323" s="551"/>
      <c r="T323" s="552"/>
      <c r="U323" s="34"/>
      <c r="V323" s="34"/>
      <c r="W323" s="35" t="s">
        <v>69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IFERROR(IF(Y323=0,"",ROUNDUP(Y323/H323,0)*0.00902),"")</f>
        <v/>
      </c>
      <c r="AA323" s="56"/>
      <c r="AB323" s="57"/>
      <c r="AC323" s="375" t="s">
        <v>510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514</v>
      </c>
      <c r="B324" s="54" t="s">
        <v>515</v>
      </c>
      <c r="C324" s="31">
        <v>4301032015</v>
      </c>
      <c r="D324" s="560">
        <v>4607091383102</v>
      </c>
      <c r="E324" s="561"/>
      <c r="F324" s="542">
        <v>0.17</v>
      </c>
      <c r="G324" s="32">
        <v>15</v>
      </c>
      <c r="H324" s="542">
        <v>2.5499999999999998</v>
      </c>
      <c r="I324" s="542">
        <v>2.9550000000000001</v>
      </c>
      <c r="J324" s="32">
        <v>182</v>
      </c>
      <c r="K324" s="32" t="s">
        <v>76</v>
      </c>
      <c r="L324" s="32"/>
      <c r="M324" s="33" t="s">
        <v>96</v>
      </c>
      <c r="N324" s="33"/>
      <c r="O324" s="32">
        <v>180</v>
      </c>
      <c r="P324" s="71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4" s="551"/>
      <c r="R324" s="551"/>
      <c r="S324" s="551"/>
      <c r="T324" s="552"/>
      <c r="U324" s="34"/>
      <c r="V324" s="34"/>
      <c r="W324" s="35" t="s">
        <v>69</v>
      </c>
      <c r="X324" s="543">
        <v>0</v>
      </c>
      <c r="Y324" s="544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516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517</v>
      </c>
      <c r="B325" s="54" t="s">
        <v>518</v>
      </c>
      <c r="C325" s="31">
        <v>4301030233</v>
      </c>
      <c r="D325" s="560">
        <v>4607091388404</v>
      </c>
      <c r="E325" s="561"/>
      <c r="F325" s="542">
        <v>0.17</v>
      </c>
      <c r="G325" s="32">
        <v>15</v>
      </c>
      <c r="H325" s="542">
        <v>2.5499999999999998</v>
      </c>
      <c r="I325" s="542">
        <v>2.88</v>
      </c>
      <c r="J325" s="32">
        <v>182</v>
      </c>
      <c r="K325" s="32" t="s">
        <v>76</v>
      </c>
      <c r="L325" s="32" t="s">
        <v>88</v>
      </c>
      <c r="M325" s="33" t="s">
        <v>96</v>
      </c>
      <c r="N325" s="33"/>
      <c r="O325" s="32">
        <v>180</v>
      </c>
      <c r="P325" s="70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5" s="551"/>
      <c r="R325" s="551"/>
      <c r="S325" s="551"/>
      <c r="T325" s="552"/>
      <c r="U325" s="34"/>
      <c r="V325" s="34"/>
      <c r="W325" s="35" t="s">
        <v>69</v>
      </c>
      <c r="X325" s="543">
        <v>0</v>
      </c>
      <c r="Y325" s="544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79" t="s">
        <v>510</v>
      </c>
      <c r="AG325" s="64"/>
      <c r="AJ325" s="68" t="s">
        <v>90</v>
      </c>
      <c r="AK325" s="68">
        <v>35.700000000000003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idden="1" x14ac:dyDescent="0.2">
      <c r="A326" s="554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53" t="s">
        <v>71</v>
      </c>
      <c r="Q326" s="548"/>
      <c r="R326" s="548"/>
      <c r="S326" s="548"/>
      <c r="T326" s="548"/>
      <c r="U326" s="548"/>
      <c r="V326" s="549"/>
      <c r="W326" s="37" t="s">
        <v>72</v>
      </c>
      <c r="X326" s="545">
        <f>IFERROR(X322/H322,"0")+IFERROR(X323/H323,"0")+IFERROR(X324/H324,"0")+IFERROR(X325/H325,"0")</f>
        <v>0</v>
      </c>
      <c r="Y326" s="545">
        <f>IFERROR(Y322/H322,"0")+IFERROR(Y323/H323,"0")+IFERROR(Y324/H324,"0")+IFERROR(Y325/H325,"0")</f>
        <v>0</v>
      </c>
      <c r="Z326" s="545">
        <f>IFERROR(IF(Z322="",0,Z322),"0")+IFERROR(IF(Z323="",0,Z323),"0")+IFERROR(IF(Z324="",0,Z324),"0")+IFERROR(IF(Z325="",0,Z325),"0")</f>
        <v>0</v>
      </c>
      <c r="AA326" s="546"/>
      <c r="AB326" s="546"/>
      <c r="AC326" s="546"/>
    </row>
    <row r="327" spans="1:68" hidden="1" x14ac:dyDescent="0.2">
      <c r="A327" s="555"/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6"/>
      <c r="P327" s="553" t="s">
        <v>71</v>
      </c>
      <c r="Q327" s="548"/>
      <c r="R327" s="548"/>
      <c r="S327" s="548"/>
      <c r="T327" s="548"/>
      <c r="U327" s="548"/>
      <c r="V327" s="549"/>
      <c r="W327" s="37" t="s">
        <v>69</v>
      </c>
      <c r="X327" s="545">
        <f>IFERROR(SUM(X322:X325),"0")</f>
        <v>0</v>
      </c>
      <c r="Y327" s="545">
        <f>IFERROR(SUM(Y322:Y325),"0")</f>
        <v>0</v>
      </c>
      <c r="Z327" s="37"/>
      <c r="AA327" s="546"/>
      <c r="AB327" s="546"/>
      <c r="AC327" s="546"/>
    </row>
    <row r="328" spans="1:68" ht="14.25" hidden="1" customHeight="1" x14ac:dyDescent="0.25">
      <c r="A328" s="559" t="s">
        <v>519</v>
      </c>
      <c r="B328" s="555"/>
      <c r="C328" s="555"/>
      <c r="D328" s="555"/>
      <c r="E328" s="555"/>
      <c r="F328" s="555"/>
      <c r="G328" s="555"/>
      <c r="H328" s="555"/>
      <c r="I328" s="555"/>
      <c r="J328" s="555"/>
      <c r="K328" s="555"/>
      <c r="L328" s="555"/>
      <c r="M328" s="555"/>
      <c r="N328" s="555"/>
      <c r="O328" s="555"/>
      <c r="P328" s="555"/>
      <c r="Q328" s="555"/>
      <c r="R328" s="555"/>
      <c r="S328" s="555"/>
      <c r="T328" s="555"/>
      <c r="U328" s="555"/>
      <c r="V328" s="555"/>
      <c r="W328" s="555"/>
      <c r="X328" s="555"/>
      <c r="Y328" s="555"/>
      <c r="Z328" s="555"/>
      <c r="AA328" s="539"/>
      <c r="AB328" s="539"/>
      <c r="AC328" s="539"/>
    </row>
    <row r="329" spans="1:68" ht="16.5" hidden="1" customHeight="1" x14ac:dyDescent="0.25">
      <c r="A329" s="54" t="s">
        <v>520</v>
      </c>
      <c r="B329" s="54" t="s">
        <v>521</v>
      </c>
      <c r="C329" s="31">
        <v>4301180007</v>
      </c>
      <c r="D329" s="560">
        <v>4680115881808</v>
      </c>
      <c r="E329" s="561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522</v>
      </c>
      <c r="N329" s="33"/>
      <c r="O329" s="32">
        <v>730</v>
      </c>
      <c r="P329" s="8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9" s="551"/>
      <c r="R329" s="551"/>
      <c r="S329" s="551"/>
      <c r="T329" s="552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524</v>
      </c>
      <c r="B330" s="54" t="s">
        <v>525</v>
      </c>
      <c r="C330" s="31">
        <v>4301180006</v>
      </c>
      <c r="D330" s="560">
        <v>4680115881822</v>
      </c>
      <c r="E330" s="561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522</v>
      </c>
      <c r="N330" s="33"/>
      <c r="O330" s="32">
        <v>730</v>
      </c>
      <c r="P330" s="65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0" s="551"/>
      <c r="R330" s="551"/>
      <c r="S330" s="551"/>
      <c r="T330" s="552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523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526</v>
      </c>
      <c r="B331" s="54" t="s">
        <v>527</v>
      </c>
      <c r="C331" s="31">
        <v>4301180001</v>
      </c>
      <c r="D331" s="560">
        <v>4680115880016</v>
      </c>
      <c r="E331" s="561"/>
      <c r="F331" s="542">
        <v>0.1</v>
      </c>
      <c r="G331" s="32">
        <v>20</v>
      </c>
      <c r="H331" s="542">
        <v>2</v>
      </c>
      <c r="I331" s="542">
        <v>2.2400000000000002</v>
      </c>
      <c r="J331" s="32">
        <v>238</v>
      </c>
      <c r="K331" s="32" t="s">
        <v>76</v>
      </c>
      <c r="L331" s="32"/>
      <c r="M331" s="33" t="s">
        <v>522</v>
      </c>
      <c r="N331" s="33"/>
      <c r="O331" s="32">
        <v>730</v>
      </c>
      <c r="P331" s="8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1" s="551"/>
      <c r="R331" s="551"/>
      <c r="S331" s="551"/>
      <c r="T331" s="552"/>
      <c r="U331" s="34"/>
      <c r="V331" s="34"/>
      <c r="W331" s="35" t="s">
        <v>69</v>
      </c>
      <c r="X331" s="543">
        <v>0</v>
      </c>
      <c r="Y331" s="544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523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554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53" t="s">
        <v>71</v>
      </c>
      <c r="Q332" s="548"/>
      <c r="R332" s="548"/>
      <c r="S332" s="548"/>
      <c r="T332" s="548"/>
      <c r="U332" s="548"/>
      <c r="V332" s="549"/>
      <c r="W332" s="37" t="s">
        <v>72</v>
      </c>
      <c r="X332" s="545">
        <f>IFERROR(X329/H329,"0")+IFERROR(X330/H330,"0")+IFERROR(X331/H331,"0")</f>
        <v>0</v>
      </c>
      <c r="Y332" s="545">
        <f>IFERROR(Y329/H329,"0")+IFERROR(Y330/H330,"0")+IFERROR(Y331/H331,"0")</f>
        <v>0</v>
      </c>
      <c r="Z332" s="545">
        <f>IFERROR(IF(Z329="",0,Z329),"0")+IFERROR(IF(Z330="",0,Z330),"0")+IFERROR(IF(Z331="",0,Z331),"0")</f>
        <v>0</v>
      </c>
      <c r="AA332" s="546"/>
      <c r="AB332" s="546"/>
      <c r="AC332" s="546"/>
    </row>
    <row r="333" spans="1:68" hidden="1" x14ac:dyDescent="0.2">
      <c r="A333" s="555"/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6"/>
      <c r="P333" s="553" t="s">
        <v>71</v>
      </c>
      <c r="Q333" s="548"/>
      <c r="R333" s="548"/>
      <c r="S333" s="548"/>
      <c r="T333" s="548"/>
      <c r="U333" s="548"/>
      <c r="V333" s="549"/>
      <c r="W333" s="37" t="s">
        <v>69</v>
      </c>
      <c r="X333" s="545">
        <f>IFERROR(SUM(X329:X331),"0")</f>
        <v>0</v>
      </c>
      <c r="Y333" s="545">
        <f>IFERROR(SUM(Y329:Y331),"0")</f>
        <v>0</v>
      </c>
      <c r="Z333" s="37"/>
      <c r="AA333" s="546"/>
      <c r="AB333" s="546"/>
      <c r="AC333" s="546"/>
    </row>
    <row r="334" spans="1:68" ht="16.5" hidden="1" customHeight="1" x14ac:dyDescent="0.25">
      <c r="A334" s="599" t="s">
        <v>528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8"/>
      <c r="AB334" s="538"/>
      <c r="AC334" s="538"/>
    </row>
    <row r="335" spans="1:68" ht="14.25" hidden="1" customHeight="1" x14ac:dyDescent="0.25">
      <c r="A335" s="559" t="s">
        <v>73</v>
      </c>
      <c r="B335" s="555"/>
      <c r="C335" s="555"/>
      <c r="D335" s="555"/>
      <c r="E335" s="555"/>
      <c r="F335" s="555"/>
      <c r="G335" s="555"/>
      <c r="H335" s="555"/>
      <c r="I335" s="555"/>
      <c r="J335" s="555"/>
      <c r="K335" s="555"/>
      <c r="L335" s="555"/>
      <c r="M335" s="555"/>
      <c r="N335" s="555"/>
      <c r="O335" s="555"/>
      <c r="P335" s="555"/>
      <c r="Q335" s="555"/>
      <c r="R335" s="555"/>
      <c r="S335" s="555"/>
      <c r="T335" s="555"/>
      <c r="U335" s="555"/>
      <c r="V335" s="555"/>
      <c r="W335" s="555"/>
      <c r="X335" s="555"/>
      <c r="Y335" s="555"/>
      <c r="Z335" s="555"/>
      <c r="AA335" s="539"/>
      <c r="AB335" s="539"/>
      <c r="AC335" s="539"/>
    </row>
    <row r="336" spans="1:68" ht="27" customHeight="1" x14ac:dyDescent="0.25">
      <c r="A336" s="54" t="s">
        <v>529</v>
      </c>
      <c r="B336" s="54" t="s">
        <v>530</v>
      </c>
      <c r="C336" s="31">
        <v>4301051489</v>
      </c>
      <c r="D336" s="560">
        <v>4607091387919</v>
      </c>
      <c r="E336" s="561"/>
      <c r="F336" s="542">
        <v>1.35</v>
      </c>
      <c r="G336" s="32">
        <v>6</v>
      </c>
      <c r="H336" s="542">
        <v>8.1</v>
      </c>
      <c r="I336" s="542">
        <v>8.6189999999999998</v>
      </c>
      <c r="J336" s="32">
        <v>64</v>
      </c>
      <c r="K336" s="32" t="s">
        <v>104</v>
      </c>
      <c r="L336" s="32" t="s">
        <v>105</v>
      </c>
      <c r="M336" s="33" t="s">
        <v>84</v>
      </c>
      <c r="N336" s="33"/>
      <c r="O336" s="32">
        <v>45</v>
      </c>
      <c r="P336" s="6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6" s="551"/>
      <c r="R336" s="551"/>
      <c r="S336" s="551"/>
      <c r="T336" s="552"/>
      <c r="U336" s="34"/>
      <c r="V336" s="34"/>
      <c r="W336" s="35" t="s">
        <v>69</v>
      </c>
      <c r="X336" s="543">
        <v>80</v>
      </c>
      <c r="Y336" s="544">
        <f>IFERROR(IF(X336="",0,CEILING((X336/$H336),1)*$H336),"")</f>
        <v>81</v>
      </c>
      <c r="Z336" s="36">
        <f>IFERROR(IF(Y336=0,"",ROUNDUP(Y336/H336,0)*0.01898),"")</f>
        <v>0.1898</v>
      </c>
      <c r="AA336" s="56"/>
      <c r="AB336" s="57"/>
      <c r="AC336" s="387" t="s">
        <v>531</v>
      </c>
      <c r="AG336" s="64"/>
      <c r="AJ336" s="68" t="s">
        <v>90</v>
      </c>
      <c r="AK336" s="68">
        <v>64.8</v>
      </c>
      <c r="BB336" s="388" t="s">
        <v>1</v>
      </c>
      <c r="BM336" s="64">
        <f>IFERROR(X336*I336/H336,"0")</f>
        <v>85.125925925925927</v>
      </c>
      <c r="BN336" s="64">
        <f>IFERROR(Y336*I336/H336,"0")</f>
        <v>86.190000000000012</v>
      </c>
      <c r="BO336" s="64">
        <f>IFERROR(1/J336*(X336/H336),"0")</f>
        <v>0.15432098765432101</v>
      </c>
      <c r="BP336" s="64">
        <f>IFERROR(1/J336*(Y336/H336),"0")</f>
        <v>0.15625</v>
      </c>
    </row>
    <row r="337" spans="1:68" ht="27" customHeight="1" x14ac:dyDescent="0.25">
      <c r="A337" s="54" t="s">
        <v>532</v>
      </c>
      <c r="B337" s="54" t="s">
        <v>533</v>
      </c>
      <c r="C337" s="31">
        <v>4301051461</v>
      </c>
      <c r="D337" s="560">
        <v>4680115883604</v>
      </c>
      <c r="E337" s="561"/>
      <c r="F337" s="542">
        <v>0.35</v>
      </c>
      <c r="G337" s="32">
        <v>6</v>
      </c>
      <c r="H337" s="542">
        <v>2.1</v>
      </c>
      <c r="I337" s="542">
        <v>2.3519999999999999</v>
      </c>
      <c r="J337" s="32">
        <v>182</v>
      </c>
      <c r="K337" s="32" t="s">
        <v>76</v>
      </c>
      <c r="L337" s="32" t="s">
        <v>88</v>
      </c>
      <c r="M337" s="33" t="s">
        <v>77</v>
      </c>
      <c r="N337" s="33"/>
      <c r="O337" s="32">
        <v>45</v>
      </c>
      <c r="P337" s="80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7" s="551"/>
      <c r="R337" s="551"/>
      <c r="S337" s="551"/>
      <c r="T337" s="552"/>
      <c r="U337" s="34"/>
      <c r="V337" s="34"/>
      <c r="W337" s="35" t="s">
        <v>69</v>
      </c>
      <c r="X337" s="543">
        <v>10</v>
      </c>
      <c r="Y337" s="544">
        <f>IFERROR(IF(X337="",0,CEILING((X337/$H337),1)*$H337),"")</f>
        <v>10.5</v>
      </c>
      <c r="Z337" s="36">
        <f>IFERROR(IF(Y337=0,"",ROUNDUP(Y337/H337,0)*0.00651),"")</f>
        <v>3.2550000000000003E-2</v>
      </c>
      <c r="AA337" s="56"/>
      <c r="AB337" s="57"/>
      <c r="AC337" s="389" t="s">
        <v>534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11.2</v>
      </c>
      <c r="BN337" s="64">
        <f>IFERROR(Y337*I337/H337,"0")</f>
        <v>11.759999999999998</v>
      </c>
      <c r="BO337" s="64">
        <f>IFERROR(1/J337*(X337/H337),"0")</f>
        <v>2.6164311878597593E-2</v>
      </c>
      <c r="BP337" s="64">
        <f>IFERROR(1/J337*(Y337/H337),"0")</f>
        <v>2.7472527472527476E-2</v>
      </c>
    </row>
    <row r="338" spans="1:68" ht="27" hidden="1" customHeight="1" x14ac:dyDescent="0.25">
      <c r="A338" s="54" t="s">
        <v>535</v>
      </c>
      <c r="B338" s="54" t="s">
        <v>536</v>
      </c>
      <c r="C338" s="31">
        <v>4301051864</v>
      </c>
      <c r="D338" s="560">
        <v>4680115883567</v>
      </c>
      <c r="E338" s="561"/>
      <c r="F338" s="542">
        <v>0.35</v>
      </c>
      <c r="G338" s="32">
        <v>6</v>
      </c>
      <c r="H338" s="542">
        <v>2.1</v>
      </c>
      <c r="I338" s="542">
        <v>2.34</v>
      </c>
      <c r="J338" s="32">
        <v>182</v>
      </c>
      <c r="K338" s="32" t="s">
        <v>76</v>
      </c>
      <c r="L338" s="32" t="s">
        <v>88</v>
      </c>
      <c r="M338" s="33" t="s">
        <v>84</v>
      </c>
      <c r="N338" s="33"/>
      <c r="O338" s="32">
        <v>40</v>
      </c>
      <c r="P338" s="5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8" s="551"/>
      <c r="R338" s="551"/>
      <c r="S338" s="551"/>
      <c r="T338" s="552"/>
      <c r="U338" s="34"/>
      <c r="V338" s="34"/>
      <c r="W338" s="35" t="s">
        <v>69</v>
      </c>
      <c r="X338" s="543">
        <v>0</v>
      </c>
      <c r="Y338" s="5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91" t="s">
        <v>537</v>
      </c>
      <c r="AG338" s="64"/>
      <c r="AJ338" s="68" t="s">
        <v>90</v>
      </c>
      <c r="AK338" s="68">
        <v>29.4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x14ac:dyDescent="0.2">
      <c r="A339" s="554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53" t="s">
        <v>71</v>
      </c>
      <c r="Q339" s="548"/>
      <c r="R339" s="548"/>
      <c r="S339" s="548"/>
      <c r="T339" s="548"/>
      <c r="U339" s="548"/>
      <c r="V339" s="549"/>
      <c r="W339" s="37" t="s">
        <v>72</v>
      </c>
      <c r="X339" s="545">
        <f>IFERROR(X336/H336,"0")+IFERROR(X337/H337,"0")+IFERROR(X338/H338,"0")</f>
        <v>14.638447971781307</v>
      </c>
      <c r="Y339" s="545">
        <f>IFERROR(Y336/H336,"0")+IFERROR(Y337/H337,"0")+IFERROR(Y338/H338,"0")</f>
        <v>15</v>
      </c>
      <c r="Z339" s="545">
        <f>IFERROR(IF(Z336="",0,Z336),"0")+IFERROR(IF(Z337="",0,Z337),"0")+IFERROR(IF(Z338="",0,Z338),"0")</f>
        <v>0.22234999999999999</v>
      </c>
      <c r="AA339" s="546"/>
      <c r="AB339" s="546"/>
      <c r="AC339" s="546"/>
    </row>
    <row r="340" spans="1:68" x14ac:dyDescent="0.2">
      <c r="A340" s="555"/>
      <c r="B340" s="555"/>
      <c r="C340" s="555"/>
      <c r="D340" s="555"/>
      <c r="E340" s="555"/>
      <c r="F340" s="555"/>
      <c r="G340" s="555"/>
      <c r="H340" s="555"/>
      <c r="I340" s="555"/>
      <c r="J340" s="555"/>
      <c r="K340" s="555"/>
      <c r="L340" s="555"/>
      <c r="M340" s="555"/>
      <c r="N340" s="555"/>
      <c r="O340" s="556"/>
      <c r="P340" s="553" t="s">
        <v>71</v>
      </c>
      <c r="Q340" s="548"/>
      <c r="R340" s="548"/>
      <c r="S340" s="548"/>
      <c r="T340" s="548"/>
      <c r="U340" s="548"/>
      <c r="V340" s="549"/>
      <c r="W340" s="37" t="s">
        <v>69</v>
      </c>
      <c r="X340" s="545">
        <f>IFERROR(SUM(X336:X338),"0")</f>
        <v>90</v>
      </c>
      <c r="Y340" s="545">
        <f>IFERROR(SUM(Y336:Y338),"0")</f>
        <v>91.5</v>
      </c>
      <c r="Z340" s="37"/>
      <c r="AA340" s="546"/>
      <c r="AB340" s="546"/>
      <c r="AC340" s="546"/>
    </row>
    <row r="341" spans="1:68" ht="27.75" hidden="1" customHeight="1" x14ac:dyDescent="0.2">
      <c r="A341" s="647" t="s">
        <v>538</v>
      </c>
      <c r="B341" s="648"/>
      <c r="C341" s="648"/>
      <c r="D341" s="648"/>
      <c r="E341" s="648"/>
      <c r="F341" s="648"/>
      <c r="G341" s="648"/>
      <c r="H341" s="648"/>
      <c r="I341" s="648"/>
      <c r="J341" s="648"/>
      <c r="K341" s="648"/>
      <c r="L341" s="648"/>
      <c r="M341" s="648"/>
      <c r="N341" s="648"/>
      <c r="O341" s="648"/>
      <c r="P341" s="648"/>
      <c r="Q341" s="648"/>
      <c r="R341" s="648"/>
      <c r="S341" s="648"/>
      <c r="T341" s="648"/>
      <c r="U341" s="648"/>
      <c r="V341" s="648"/>
      <c r="W341" s="648"/>
      <c r="X341" s="648"/>
      <c r="Y341" s="648"/>
      <c r="Z341" s="648"/>
      <c r="AA341" s="48"/>
      <c r="AB341" s="48"/>
      <c r="AC341" s="48"/>
    </row>
    <row r="342" spans="1:68" ht="16.5" hidden="1" customHeight="1" x14ac:dyDescent="0.25">
      <c r="A342" s="599" t="s">
        <v>539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8"/>
      <c r="AB342" s="538"/>
      <c r="AC342" s="538"/>
    </row>
    <row r="343" spans="1:68" ht="14.25" hidden="1" customHeight="1" x14ac:dyDescent="0.25">
      <c r="A343" s="559" t="s">
        <v>101</v>
      </c>
      <c r="B343" s="555"/>
      <c r="C343" s="555"/>
      <c r="D343" s="555"/>
      <c r="E343" s="555"/>
      <c r="F343" s="555"/>
      <c r="G343" s="555"/>
      <c r="H343" s="555"/>
      <c r="I343" s="555"/>
      <c r="J343" s="555"/>
      <c r="K343" s="555"/>
      <c r="L343" s="555"/>
      <c r="M343" s="555"/>
      <c r="N343" s="555"/>
      <c r="O343" s="555"/>
      <c r="P343" s="555"/>
      <c r="Q343" s="555"/>
      <c r="R343" s="555"/>
      <c r="S343" s="555"/>
      <c r="T343" s="555"/>
      <c r="U343" s="555"/>
      <c r="V343" s="555"/>
      <c r="W343" s="555"/>
      <c r="X343" s="555"/>
      <c r="Y343" s="555"/>
      <c r="Z343" s="555"/>
      <c r="AA343" s="539"/>
      <c r="AB343" s="539"/>
      <c r="AC343" s="539"/>
    </row>
    <row r="344" spans="1:68" ht="37.5" customHeight="1" x14ac:dyDescent="0.25">
      <c r="A344" s="54" t="s">
        <v>540</v>
      </c>
      <c r="B344" s="54" t="s">
        <v>541</v>
      </c>
      <c r="C344" s="31">
        <v>4301011869</v>
      </c>
      <c r="D344" s="560">
        <v>4680115884847</v>
      </c>
      <c r="E344" s="561"/>
      <c r="F344" s="542">
        <v>2.5</v>
      </c>
      <c r="G344" s="32">
        <v>6</v>
      </c>
      <c r="H344" s="542">
        <v>15</v>
      </c>
      <c r="I344" s="542">
        <v>15.48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6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4" s="551"/>
      <c r="R344" s="551"/>
      <c r="S344" s="551"/>
      <c r="T344" s="552"/>
      <c r="U344" s="34"/>
      <c r="V344" s="34"/>
      <c r="W344" s="35" t="s">
        <v>69</v>
      </c>
      <c r="X344" s="543">
        <v>1500</v>
      </c>
      <c r="Y344" s="544">
        <f t="shared" ref="Y344:Y350" si="36">IFERROR(IF(X344="",0,CEILING((X344/$H344),1)*$H344),"")</f>
        <v>1500</v>
      </c>
      <c r="Z344" s="36">
        <f>IFERROR(IF(Y344=0,"",ROUNDUP(Y344/H344,0)*0.02175),"")</f>
        <v>2.1749999999999998</v>
      </c>
      <c r="AA344" s="56"/>
      <c r="AB344" s="57"/>
      <c r="AC344" s="393" t="s">
        <v>542</v>
      </c>
      <c r="AG344" s="64"/>
      <c r="AJ344" s="68" t="s">
        <v>90</v>
      </c>
      <c r="AK344" s="68">
        <v>15</v>
      </c>
      <c r="BB344" s="394" t="s">
        <v>1</v>
      </c>
      <c r="BM344" s="64">
        <f t="shared" ref="BM344:BM350" si="37">IFERROR(X344*I344/H344,"0")</f>
        <v>1548</v>
      </c>
      <c r="BN344" s="64">
        <f t="shared" ref="BN344:BN350" si="38">IFERROR(Y344*I344/H344,"0")</f>
        <v>1548</v>
      </c>
      <c r="BO344" s="64">
        <f t="shared" ref="BO344:BO350" si="39">IFERROR(1/J344*(X344/H344),"0")</f>
        <v>2.083333333333333</v>
      </c>
      <c r="BP344" s="64">
        <f t="shared" ref="BP344:BP350" si="40">IFERROR(1/J344*(Y344/H344),"0")</f>
        <v>2.083333333333333</v>
      </c>
    </row>
    <row r="345" spans="1:68" ht="27" customHeight="1" x14ac:dyDescent="0.25">
      <c r="A345" s="54" t="s">
        <v>543</v>
      </c>
      <c r="B345" s="54" t="s">
        <v>544</v>
      </c>
      <c r="C345" s="31">
        <v>4301011870</v>
      </c>
      <c r="D345" s="560">
        <v>4680115884854</v>
      </c>
      <c r="E345" s="561"/>
      <c r="F345" s="542">
        <v>2.5</v>
      </c>
      <c r="G345" s="32">
        <v>6</v>
      </c>
      <c r="H345" s="542">
        <v>15</v>
      </c>
      <c r="I345" s="542">
        <v>15.48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68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5" s="551"/>
      <c r="R345" s="551"/>
      <c r="S345" s="551"/>
      <c r="T345" s="552"/>
      <c r="U345" s="34"/>
      <c r="V345" s="34"/>
      <c r="W345" s="35" t="s">
        <v>69</v>
      </c>
      <c r="X345" s="543">
        <v>1500</v>
      </c>
      <c r="Y345" s="544">
        <f t="shared" si="36"/>
        <v>1500</v>
      </c>
      <c r="Z345" s="36">
        <f>IFERROR(IF(Y345=0,"",ROUNDUP(Y345/H345,0)*0.02175),"")</f>
        <v>2.1749999999999998</v>
      </c>
      <c r="AA345" s="56"/>
      <c r="AB345" s="57"/>
      <c r="AC345" s="395" t="s">
        <v>545</v>
      </c>
      <c r="AG345" s="64"/>
      <c r="AJ345" s="68" t="s">
        <v>90</v>
      </c>
      <c r="AK345" s="68">
        <v>15</v>
      </c>
      <c r="BB345" s="396" t="s">
        <v>1</v>
      </c>
      <c r="BM345" s="64">
        <f t="shared" si="37"/>
        <v>1548</v>
      </c>
      <c r="BN345" s="64">
        <f t="shared" si="38"/>
        <v>1548</v>
      </c>
      <c r="BO345" s="64">
        <f t="shared" si="39"/>
        <v>2.083333333333333</v>
      </c>
      <c r="BP345" s="64">
        <f t="shared" si="40"/>
        <v>2.083333333333333</v>
      </c>
    </row>
    <row r="346" spans="1:68" ht="27" customHeight="1" x14ac:dyDescent="0.25">
      <c r="A346" s="54" t="s">
        <v>546</v>
      </c>
      <c r="B346" s="54" t="s">
        <v>547</v>
      </c>
      <c r="C346" s="31">
        <v>4301011832</v>
      </c>
      <c r="D346" s="560">
        <v>4607091383997</v>
      </c>
      <c r="E346" s="561"/>
      <c r="F346" s="542">
        <v>2.5</v>
      </c>
      <c r="G346" s="32">
        <v>6</v>
      </c>
      <c r="H346" s="542">
        <v>15</v>
      </c>
      <c r="I346" s="542">
        <v>15.48</v>
      </c>
      <c r="J346" s="32">
        <v>48</v>
      </c>
      <c r="K346" s="32" t="s">
        <v>104</v>
      </c>
      <c r="L346" s="32" t="s">
        <v>105</v>
      </c>
      <c r="M346" s="33" t="s">
        <v>84</v>
      </c>
      <c r="N346" s="33"/>
      <c r="O346" s="32">
        <v>60</v>
      </c>
      <c r="P346" s="710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46" s="551"/>
      <c r="R346" s="551"/>
      <c r="S346" s="551"/>
      <c r="T346" s="552"/>
      <c r="U346" s="34"/>
      <c r="V346" s="34"/>
      <c r="W346" s="35" t="s">
        <v>69</v>
      </c>
      <c r="X346" s="543">
        <v>1500</v>
      </c>
      <c r="Y346" s="544">
        <f t="shared" si="36"/>
        <v>1500</v>
      </c>
      <c r="Z346" s="36">
        <f>IFERROR(IF(Y346=0,"",ROUNDUP(Y346/H346,0)*0.02175),"")</f>
        <v>2.1749999999999998</v>
      </c>
      <c r="AA346" s="56"/>
      <c r="AB346" s="57"/>
      <c r="AC346" s="397" t="s">
        <v>548</v>
      </c>
      <c r="AG346" s="64"/>
      <c r="AJ346" s="68" t="s">
        <v>90</v>
      </c>
      <c r="AK346" s="68">
        <v>120</v>
      </c>
      <c r="BB346" s="398" t="s">
        <v>1</v>
      </c>
      <c r="BM346" s="64">
        <f t="shared" si="37"/>
        <v>1548</v>
      </c>
      <c r="BN346" s="64">
        <f t="shared" si="38"/>
        <v>1548</v>
      </c>
      <c r="BO346" s="64">
        <f t="shared" si="39"/>
        <v>2.083333333333333</v>
      </c>
      <c r="BP346" s="64">
        <f t="shared" si="40"/>
        <v>2.083333333333333</v>
      </c>
    </row>
    <row r="347" spans="1:68" ht="37.5" hidden="1" customHeight="1" x14ac:dyDescent="0.25">
      <c r="A347" s="54" t="s">
        <v>549</v>
      </c>
      <c r="B347" s="54" t="s">
        <v>550</v>
      </c>
      <c r="C347" s="31">
        <v>4301011867</v>
      </c>
      <c r="D347" s="560">
        <v>4680115884830</v>
      </c>
      <c r="E347" s="561"/>
      <c r="F347" s="542">
        <v>2.5</v>
      </c>
      <c r="G347" s="32">
        <v>6</v>
      </c>
      <c r="H347" s="542">
        <v>15</v>
      </c>
      <c r="I347" s="542">
        <v>15.48</v>
      </c>
      <c r="J347" s="32">
        <v>48</v>
      </c>
      <c r="K347" s="32" t="s">
        <v>104</v>
      </c>
      <c r="L347" s="32"/>
      <c r="M347" s="33" t="s">
        <v>68</v>
      </c>
      <c r="N347" s="33"/>
      <c r="O347" s="32">
        <v>60</v>
      </c>
      <c r="P347" s="6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7" s="551"/>
      <c r="R347" s="551"/>
      <c r="S347" s="551"/>
      <c r="T347" s="552"/>
      <c r="U347" s="34"/>
      <c r="V347" s="34"/>
      <c r="W347" s="35" t="s">
        <v>69</v>
      </c>
      <c r="X347" s="543">
        <v>0</v>
      </c>
      <c r="Y347" s="544">
        <f t="shared" si="36"/>
        <v>0</v>
      </c>
      <c r="Z347" s="36" t="str">
        <f>IFERROR(IF(Y347=0,"",ROUNDUP(Y347/H347,0)*0.02175),"")</f>
        <v/>
      </c>
      <c r="AA347" s="56"/>
      <c r="AB347" s="57"/>
      <c r="AC347" s="399" t="s">
        <v>551</v>
      </c>
      <c r="AG347" s="64"/>
      <c r="AJ347" s="68" t="s">
        <v>90</v>
      </c>
      <c r="AK347" s="68">
        <v>15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hidden="1" customHeight="1" x14ac:dyDescent="0.25">
      <c r="A348" s="54" t="s">
        <v>552</v>
      </c>
      <c r="B348" s="54" t="s">
        <v>553</v>
      </c>
      <c r="C348" s="31">
        <v>4301011433</v>
      </c>
      <c r="D348" s="560">
        <v>4680115882638</v>
      </c>
      <c r="E348" s="561"/>
      <c r="F348" s="542">
        <v>0.4</v>
      </c>
      <c r="G348" s="32">
        <v>10</v>
      </c>
      <c r="H348" s="542">
        <v>4</v>
      </c>
      <c r="I348" s="542">
        <v>4.21</v>
      </c>
      <c r="J348" s="32">
        <v>132</v>
      </c>
      <c r="K348" s="32" t="s">
        <v>110</v>
      </c>
      <c r="L348" s="32"/>
      <c r="M348" s="33" t="s">
        <v>106</v>
      </c>
      <c r="N348" s="33"/>
      <c r="O348" s="32">
        <v>90</v>
      </c>
      <c r="P348" s="64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8" s="551"/>
      <c r="R348" s="551"/>
      <c r="S348" s="551"/>
      <c r="T348" s="552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554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27" hidden="1" customHeight="1" x14ac:dyDescent="0.25">
      <c r="A349" s="54" t="s">
        <v>555</v>
      </c>
      <c r="B349" s="54" t="s">
        <v>556</v>
      </c>
      <c r="C349" s="31">
        <v>4301011952</v>
      </c>
      <c r="D349" s="560">
        <v>4680115884922</v>
      </c>
      <c r="E349" s="561"/>
      <c r="F349" s="542">
        <v>0.5</v>
      </c>
      <c r="G349" s="32">
        <v>10</v>
      </c>
      <c r="H349" s="542">
        <v>5</v>
      </c>
      <c r="I349" s="542">
        <v>5.21</v>
      </c>
      <c r="J349" s="32">
        <v>132</v>
      </c>
      <c r="K349" s="32" t="s">
        <v>110</v>
      </c>
      <c r="L349" s="32"/>
      <c r="M349" s="33" t="s">
        <v>68</v>
      </c>
      <c r="N349" s="33"/>
      <c r="O349" s="32">
        <v>60</v>
      </c>
      <c r="P349" s="62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9" s="551"/>
      <c r="R349" s="551"/>
      <c r="S349" s="551"/>
      <c r="T349" s="552"/>
      <c r="U349" s="34"/>
      <c r="V349" s="34"/>
      <c r="W349" s="35" t="s">
        <v>69</v>
      </c>
      <c r="X349" s="543">
        <v>0</v>
      </c>
      <c r="Y349" s="544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545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37.5" hidden="1" customHeight="1" x14ac:dyDescent="0.25">
      <c r="A350" s="54" t="s">
        <v>557</v>
      </c>
      <c r="B350" s="54" t="s">
        <v>558</v>
      </c>
      <c r="C350" s="31">
        <v>4301011868</v>
      </c>
      <c r="D350" s="560">
        <v>4680115884861</v>
      </c>
      <c r="E350" s="561"/>
      <c r="F350" s="542">
        <v>0.5</v>
      </c>
      <c r="G350" s="32">
        <v>10</v>
      </c>
      <c r="H350" s="542">
        <v>5</v>
      </c>
      <c r="I350" s="542">
        <v>5.21</v>
      </c>
      <c r="J350" s="32">
        <v>132</v>
      </c>
      <c r="K350" s="32" t="s">
        <v>110</v>
      </c>
      <c r="L350" s="32" t="s">
        <v>111</v>
      </c>
      <c r="M350" s="33" t="s">
        <v>68</v>
      </c>
      <c r="N350" s="33"/>
      <c r="O350" s="32">
        <v>60</v>
      </c>
      <c r="P350" s="80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0" s="551"/>
      <c r="R350" s="551"/>
      <c r="S350" s="551"/>
      <c r="T350" s="552"/>
      <c r="U350" s="34"/>
      <c r="V350" s="34"/>
      <c r="W350" s="35" t="s">
        <v>69</v>
      </c>
      <c r="X350" s="543">
        <v>0</v>
      </c>
      <c r="Y350" s="544">
        <f t="shared" si="36"/>
        <v>0</v>
      </c>
      <c r="Z350" s="36" t="str">
        <f>IFERROR(IF(Y350=0,"",ROUNDUP(Y350/H350,0)*0.00902),"")</f>
        <v/>
      </c>
      <c r="AA350" s="56"/>
      <c r="AB350" s="57"/>
      <c r="AC350" s="405" t="s">
        <v>551</v>
      </c>
      <c r="AG350" s="64"/>
      <c r="AJ350" s="68" t="s">
        <v>90</v>
      </c>
      <c r="AK350" s="68">
        <v>60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x14ac:dyDescent="0.2">
      <c r="A351" s="554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53" t="s">
        <v>71</v>
      </c>
      <c r="Q351" s="548"/>
      <c r="R351" s="548"/>
      <c r="S351" s="548"/>
      <c r="T351" s="548"/>
      <c r="U351" s="548"/>
      <c r="V351" s="549"/>
      <c r="W351" s="37" t="s">
        <v>72</v>
      </c>
      <c r="X351" s="545">
        <f>IFERROR(X344/H344,"0")+IFERROR(X345/H345,"0")+IFERROR(X346/H346,"0")+IFERROR(X347/H347,"0")+IFERROR(X348/H348,"0")+IFERROR(X349/H349,"0")+IFERROR(X350/H350,"0")</f>
        <v>300</v>
      </c>
      <c r="Y351" s="545">
        <f>IFERROR(Y344/H344,"0")+IFERROR(Y345/H345,"0")+IFERROR(Y346/H346,"0")+IFERROR(Y347/H347,"0")+IFERROR(Y348/H348,"0")+IFERROR(Y349/H349,"0")+IFERROR(Y350/H350,"0")</f>
        <v>300</v>
      </c>
      <c r="Z351" s="545">
        <f>IFERROR(IF(Z344="",0,Z344),"0")+IFERROR(IF(Z345="",0,Z345),"0")+IFERROR(IF(Z346="",0,Z346),"0")+IFERROR(IF(Z347="",0,Z347),"0")+IFERROR(IF(Z348="",0,Z348),"0")+IFERROR(IF(Z349="",0,Z349),"0")+IFERROR(IF(Z350="",0,Z350),"0")</f>
        <v>6.5249999999999995</v>
      </c>
      <c r="AA351" s="546"/>
      <c r="AB351" s="546"/>
      <c r="AC351" s="546"/>
    </row>
    <row r="352" spans="1:68" x14ac:dyDescent="0.2">
      <c r="A352" s="555"/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6"/>
      <c r="P352" s="553" t="s">
        <v>71</v>
      </c>
      <c r="Q352" s="548"/>
      <c r="R352" s="548"/>
      <c r="S352" s="548"/>
      <c r="T352" s="548"/>
      <c r="U352" s="548"/>
      <c r="V352" s="549"/>
      <c r="W352" s="37" t="s">
        <v>69</v>
      </c>
      <c r="X352" s="545">
        <f>IFERROR(SUM(X344:X350),"0")</f>
        <v>4500</v>
      </c>
      <c r="Y352" s="545">
        <f>IFERROR(SUM(Y344:Y350),"0")</f>
        <v>4500</v>
      </c>
      <c r="Z352" s="37"/>
      <c r="AA352" s="546"/>
      <c r="AB352" s="546"/>
      <c r="AC352" s="546"/>
    </row>
    <row r="353" spans="1:68" ht="14.25" hidden="1" customHeight="1" x14ac:dyDescent="0.25">
      <c r="A353" s="559" t="s">
        <v>136</v>
      </c>
      <c r="B353" s="555"/>
      <c r="C353" s="555"/>
      <c r="D353" s="555"/>
      <c r="E353" s="555"/>
      <c r="F353" s="555"/>
      <c r="G353" s="555"/>
      <c r="H353" s="555"/>
      <c r="I353" s="555"/>
      <c r="J353" s="555"/>
      <c r="K353" s="555"/>
      <c r="L353" s="555"/>
      <c r="M353" s="555"/>
      <c r="N353" s="555"/>
      <c r="O353" s="555"/>
      <c r="P353" s="555"/>
      <c r="Q353" s="555"/>
      <c r="R353" s="555"/>
      <c r="S353" s="555"/>
      <c r="T353" s="555"/>
      <c r="U353" s="555"/>
      <c r="V353" s="555"/>
      <c r="W353" s="555"/>
      <c r="X353" s="555"/>
      <c r="Y353" s="555"/>
      <c r="Z353" s="555"/>
      <c r="AA353" s="539"/>
      <c r="AB353" s="539"/>
      <c r="AC353" s="539"/>
    </row>
    <row r="354" spans="1:68" ht="27" customHeight="1" x14ac:dyDescent="0.25">
      <c r="A354" s="54" t="s">
        <v>559</v>
      </c>
      <c r="B354" s="54" t="s">
        <v>560</v>
      </c>
      <c r="C354" s="31">
        <v>4301020178</v>
      </c>
      <c r="D354" s="560">
        <v>4607091383980</v>
      </c>
      <c r="E354" s="561"/>
      <c r="F354" s="542">
        <v>2.5</v>
      </c>
      <c r="G354" s="32">
        <v>6</v>
      </c>
      <c r="H354" s="542">
        <v>15</v>
      </c>
      <c r="I354" s="542">
        <v>15.48</v>
      </c>
      <c r="J354" s="32">
        <v>48</v>
      </c>
      <c r="K354" s="32" t="s">
        <v>104</v>
      </c>
      <c r="L354" s="32"/>
      <c r="M354" s="33" t="s">
        <v>106</v>
      </c>
      <c r="N354" s="33"/>
      <c r="O354" s="32">
        <v>50</v>
      </c>
      <c r="P354" s="63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4" s="551"/>
      <c r="R354" s="551"/>
      <c r="S354" s="551"/>
      <c r="T354" s="552"/>
      <c r="U354" s="34"/>
      <c r="V354" s="34"/>
      <c r="W354" s="35" t="s">
        <v>69</v>
      </c>
      <c r="X354" s="543">
        <v>1750</v>
      </c>
      <c r="Y354" s="544">
        <f>IFERROR(IF(X354="",0,CEILING((X354/$H354),1)*$H354),"")</f>
        <v>1755</v>
      </c>
      <c r="Z354" s="36">
        <f>IFERROR(IF(Y354=0,"",ROUNDUP(Y354/H354,0)*0.02175),"")</f>
        <v>2.5447499999999996</v>
      </c>
      <c r="AA354" s="56"/>
      <c r="AB354" s="57"/>
      <c r="AC354" s="407" t="s">
        <v>561</v>
      </c>
      <c r="AG354" s="64"/>
      <c r="AJ354" s="68" t="s">
        <v>90</v>
      </c>
      <c r="AK354" s="68">
        <v>15</v>
      </c>
      <c r="BB354" s="408" t="s">
        <v>1</v>
      </c>
      <c r="BM354" s="64">
        <f>IFERROR(X354*I354/H354,"0")</f>
        <v>1806</v>
      </c>
      <c r="BN354" s="64">
        <f>IFERROR(Y354*I354/H354,"0")</f>
        <v>1811.16</v>
      </c>
      <c r="BO354" s="64">
        <f>IFERROR(1/J354*(X354/H354),"0")</f>
        <v>2.4305555555555554</v>
      </c>
      <c r="BP354" s="64">
        <f>IFERROR(1/J354*(Y354/H354),"0")</f>
        <v>2.4375</v>
      </c>
    </row>
    <row r="355" spans="1:68" ht="16.5" hidden="1" customHeight="1" x14ac:dyDescent="0.25">
      <c r="A355" s="54" t="s">
        <v>562</v>
      </c>
      <c r="B355" s="54" t="s">
        <v>563</v>
      </c>
      <c r="C355" s="31">
        <v>4301020179</v>
      </c>
      <c r="D355" s="560">
        <v>4607091384178</v>
      </c>
      <c r="E355" s="561"/>
      <c r="F355" s="542">
        <v>0.4</v>
      </c>
      <c r="G355" s="32">
        <v>10</v>
      </c>
      <c r="H355" s="542">
        <v>4</v>
      </c>
      <c r="I355" s="542">
        <v>4.21</v>
      </c>
      <c r="J355" s="32">
        <v>132</v>
      </c>
      <c r="K355" s="32" t="s">
        <v>110</v>
      </c>
      <c r="L355" s="32"/>
      <c r="M355" s="33" t="s">
        <v>106</v>
      </c>
      <c r="N355" s="33"/>
      <c r="O355" s="32">
        <v>50</v>
      </c>
      <c r="P355" s="58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5" s="551"/>
      <c r="R355" s="551"/>
      <c r="S355" s="551"/>
      <c r="T355" s="552"/>
      <c r="U355" s="34"/>
      <c r="V355" s="34"/>
      <c r="W355" s="35" t="s">
        <v>69</v>
      </c>
      <c r="X355" s="543">
        <v>0</v>
      </c>
      <c r="Y355" s="544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09" t="s">
        <v>561</v>
      </c>
      <c r="AG355" s="64"/>
      <c r="AJ355" s="68"/>
      <c r="AK355" s="68">
        <v>0</v>
      </c>
      <c r="BB355" s="410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x14ac:dyDescent="0.2">
      <c r="A356" s="554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53" t="s">
        <v>71</v>
      </c>
      <c r="Q356" s="548"/>
      <c r="R356" s="548"/>
      <c r="S356" s="548"/>
      <c r="T356" s="548"/>
      <c r="U356" s="548"/>
      <c r="V356" s="549"/>
      <c r="W356" s="37" t="s">
        <v>72</v>
      </c>
      <c r="X356" s="545">
        <f>IFERROR(X354/H354,"0")+IFERROR(X355/H355,"0")</f>
        <v>116.66666666666667</v>
      </c>
      <c r="Y356" s="545">
        <f>IFERROR(Y354/H354,"0")+IFERROR(Y355/H355,"0")</f>
        <v>117</v>
      </c>
      <c r="Z356" s="545">
        <f>IFERROR(IF(Z354="",0,Z354),"0")+IFERROR(IF(Z355="",0,Z355),"0")</f>
        <v>2.5447499999999996</v>
      </c>
      <c r="AA356" s="546"/>
      <c r="AB356" s="546"/>
      <c r="AC356" s="546"/>
    </row>
    <row r="357" spans="1:68" x14ac:dyDescent="0.2">
      <c r="A357" s="555"/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6"/>
      <c r="P357" s="553" t="s">
        <v>71</v>
      </c>
      <c r="Q357" s="548"/>
      <c r="R357" s="548"/>
      <c r="S357" s="548"/>
      <c r="T357" s="548"/>
      <c r="U357" s="548"/>
      <c r="V357" s="549"/>
      <c r="W357" s="37" t="s">
        <v>69</v>
      </c>
      <c r="X357" s="545">
        <f>IFERROR(SUM(X354:X355),"0")</f>
        <v>1750</v>
      </c>
      <c r="Y357" s="545">
        <f>IFERROR(SUM(Y354:Y355),"0")</f>
        <v>1755</v>
      </c>
      <c r="Z357" s="37"/>
      <c r="AA357" s="546"/>
      <c r="AB357" s="546"/>
      <c r="AC357" s="546"/>
    </row>
    <row r="358" spans="1:68" ht="14.25" hidden="1" customHeight="1" x14ac:dyDescent="0.25">
      <c r="A358" s="559" t="s">
        <v>73</v>
      </c>
      <c r="B358" s="555"/>
      <c r="C358" s="555"/>
      <c r="D358" s="555"/>
      <c r="E358" s="555"/>
      <c r="F358" s="555"/>
      <c r="G358" s="555"/>
      <c r="H358" s="555"/>
      <c r="I358" s="555"/>
      <c r="J358" s="555"/>
      <c r="K358" s="555"/>
      <c r="L358" s="555"/>
      <c r="M358" s="555"/>
      <c r="N358" s="555"/>
      <c r="O358" s="555"/>
      <c r="P358" s="555"/>
      <c r="Q358" s="555"/>
      <c r="R358" s="555"/>
      <c r="S358" s="555"/>
      <c r="T358" s="555"/>
      <c r="U358" s="555"/>
      <c r="V358" s="555"/>
      <c r="W358" s="555"/>
      <c r="X358" s="555"/>
      <c r="Y358" s="555"/>
      <c r="Z358" s="555"/>
      <c r="AA358" s="539"/>
      <c r="AB358" s="539"/>
      <c r="AC358" s="539"/>
    </row>
    <row r="359" spans="1:68" ht="27" customHeight="1" x14ac:dyDescent="0.25">
      <c r="A359" s="54" t="s">
        <v>564</v>
      </c>
      <c r="B359" s="54" t="s">
        <v>565</v>
      </c>
      <c r="C359" s="31">
        <v>4301051903</v>
      </c>
      <c r="D359" s="560">
        <v>4607091383928</v>
      </c>
      <c r="E359" s="561"/>
      <c r="F359" s="542">
        <v>1.5</v>
      </c>
      <c r="G359" s="32">
        <v>6</v>
      </c>
      <c r="H359" s="542">
        <v>9</v>
      </c>
      <c r="I359" s="542">
        <v>9.5250000000000004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9" s="551"/>
      <c r="R359" s="551"/>
      <c r="S359" s="551"/>
      <c r="T359" s="552"/>
      <c r="U359" s="34"/>
      <c r="V359" s="34"/>
      <c r="W359" s="35" t="s">
        <v>69</v>
      </c>
      <c r="X359" s="543">
        <v>500</v>
      </c>
      <c r="Y359" s="544">
        <f>IFERROR(IF(X359="",0,CEILING((X359/$H359),1)*$H359),"")</f>
        <v>504</v>
      </c>
      <c r="Z359" s="36">
        <f>IFERROR(IF(Y359=0,"",ROUNDUP(Y359/H359,0)*0.01898),"")</f>
        <v>1.06288</v>
      </c>
      <c r="AA359" s="56"/>
      <c r="AB359" s="57"/>
      <c r="AC359" s="411" t="s">
        <v>566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529.16666666666663</v>
      </c>
      <c r="BN359" s="64">
        <f>IFERROR(Y359*I359/H359,"0")</f>
        <v>533.40000000000009</v>
      </c>
      <c r="BO359" s="64">
        <f>IFERROR(1/J359*(X359/H359),"0")</f>
        <v>0.86805555555555558</v>
      </c>
      <c r="BP359" s="64">
        <f>IFERROR(1/J359*(Y359/H359),"0")</f>
        <v>0.875</v>
      </c>
    </row>
    <row r="360" spans="1:68" ht="27" customHeight="1" x14ac:dyDescent="0.25">
      <c r="A360" s="54" t="s">
        <v>567</v>
      </c>
      <c r="B360" s="54" t="s">
        <v>568</v>
      </c>
      <c r="C360" s="31">
        <v>4301051897</v>
      </c>
      <c r="D360" s="560">
        <v>4607091384260</v>
      </c>
      <c r="E360" s="561"/>
      <c r="F360" s="542">
        <v>1.5</v>
      </c>
      <c r="G360" s="32">
        <v>6</v>
      </c>
      <c r="H360" s="542">
        <v>9</v>
      </c>
      <c r="I360" s="542">
        <v>9.5190000000000001</v>
      </c>
      <c r="J360" s="32">
        <v>64</v>
      </c>
      <c r="K360" s="32" t="s">
        <v>104</v>
      </c>
      <c r="L360" s="32" t="s">
        <v>105</v>
      </c>
      <c r="M360" s="33" t="s">
        <v>77</v>
      </c>
      <c r="N360" s="33"/>
      <c r="O360" s="32">
        <v>40</v>
      </c>
      <c r="P360" s="55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0" s="551"/>
      <c r="R360" s="551"/>
      <c r="S360" s="551"/>
      <c r="T360" s="552"/>
      <c r="U360" s="34"/>
      <c r="V360" s="34"/>
      <c r="W360" s="35" t="s">
        <v>69</v>
      </c>
      <c r="X360" s="543">
        <v>220</v>
      </c>
      <c r="Y360" s="544">
        <f>IFERROR(IF(X360="",0,CEILING((X360/$H360),1)*$H360),"")</f>
        <v>225</v>
      </c>
      <c r="Z360" s="36">
        <f>IFERROR(IF(Y360=0,"",ROUNDUP(Y360/H360,0)*0.01898),"")</f>
        <v>0.47450000000000003</v>
      </c>
      <c r="AA360" s="56"/>
      <c r="AB360" s="57"/>
      <c r="AC360" s="413" t="s">
        <v>569</v>
      </c>
      <c r="AG360" s="64"/>
      <c r="AJ360" s="68" t="s">
        <v>90</v>
      </c>
      <c r="AK360" s="68">
        <v>72</v>
      </c>
      <c r="BB360" s="414" t="s">
        <v>1</v>
      </c>
      <c r="BM360" s="64">
        <f>IFERROR(X360*I360/H360,"0")</f>
        <v>232.68666666666664</v>
      </c>
      <c r="BN360" s="64">
        <f>IFERROR(Y360*I360/H360,"0")</f>
        <v>237.97500000000002</v>
      </c>
      <c r="BO360" s="64">
        <f>IFERROR(1/J360*(X360/H360),"0")</f>
        <v>0.38194444444444442</v>
      </c>
      <c r="BP360" s="64">
        <f>IFERROR(1/J360*(Y360/H360),"0")</f>
        <v>0.390625</v>
      </c>
    </row>
    <row r="361" spans="1:68" x14ac:dyDescent="0.2">
      <c r="A361" s="554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53" t="s">
        <v>71</v>
      </c>
      <c r="Q361" s="548"/>
      <c r="R361" s="548"/>
      <c r="S361" s="548"/>
      <c r="T361" s="548"/>
      <c r="U361" s="548"/>
      <c r="V361" s="549"/>
      <c r="W361" s="37" t="s">
        <v>72</v>
      </c>
      <c r="X361" s="545">
        <f>IFERROR(X359/H359,"0")+IFERROR(X360/H360,"0")</f>
        <v>80</v>
      </c>
      <c r="Y361" s="545">
        <f>IFERROR(Y359/H359,"0")+IFERROR(Y360/H360,"0")</f>
        <v>81</v>
      </c>
      <c r="Z361" s="545">
        <f>IFERROR(IF(Z359="",0,Z359),"0")+IFERROR(IF(Z360="",0,Z360),"0")</f>
        <v>1.5373800000000002</v>
      </c>
      <c r="AA361" s="546"/>
      <c r="AB361" s="546"/>
      <c r="AC361" s="546"/>
    </row>
    <row r="362" spans="1:68" x14ac:dyDescent="0.2">
      <c r="A362" s="555"/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6"/>
      <c r="P362" s="553" t="s">
        <v>71</v>
      </c>
      <c r="Q362" s="548"/>
      <c r="R362" s="548"/>
      <c r="S362" s="548"/>
      <c r="T362" s="548"/>
      <c r="U362" s="548"/>
      <c r="V362" s="549"/>
      <c r="W362" s="37" t="s">
        <v>69</v>
      </c>
      <c r="X362" s="545">
        <f>IFERROR(SUM(X359:X360),"0")</f>
        <v>720</v>
      </c>
      <c r="Y362" s="545">
        <f>IFERROR(SUM(Y359:Y360),"0")</f>
        <v>729</v>
      </c>
      <c r="Z362" s="37"/>
      <c r="AA362" s="546"/>
      <c r="AB362" s="546"/>
      <c r="AC362" s="546"/>
    </row>
    <row r="363" spans="1:68" ht="14.25" hidden="1" customHeight="1" x14ac:dyDescent="0.25">
      <c r="A363" s="559" t="s">
        <v>166</v>
      </c>
      <c r="B363" s="555"/>
      <c r="C363" s="555"/>
      <c r="D363" s="555"/>
      <c r="E363" s="555"/>
      <c r="F363" s="555"/>
      <c r="G363" s="555"/>
      <c r="H363" s="555"/>
      <c r="I363" s="555"/>
      <c r="J363" s="555"/>
      <c r="K363" s="555"/>
      <c r="L363" s="555"/>
      <c r="M363" s="555"/>
      <c r="N363" s="555"/>
      <c r="O363" s="555"/>
      <c r="P363" s="555"/>
      <c r="Q363" s="555"/>
      <c r="R363" s="555"/>
      <c r="S363" s="555"/>
      <c r="T363" s="555"/>
      <c r="U363" s="555"/>
      <c r="V363" s="555"/>
      <c r="W363" s="555"/>
      <c r="X363" s="555"/>
      <c r="Y363" s="555"/>
      <c r="Z363" s="555"/>
      <c r="AA363" s="539"/>
      <c r="AB363" s="539"/>
      <c r="AC363" s="539"/>
    </row>
    <row r="364" spans="1:68" ht="16.5" customHeight="1" x14ac:dyDescent="0.25">
      <c r="A364" s="54" t="s">
        <v>570</v>
      </c>
      <c r="B364" s="54" t="s">
        <v>571</v>
      </c>
      <c r="C364" s="31">
        <v>4301060524</v>
      </c>
      <c r="D364" s="560">
        <v>4607091384673</v>
      </c>
      <c r="E364" s="561"/>
      <c r="F364" s="542">
        <v>1.5</v>
      </c>
      <c r="G364" s="32">
        <v>6</v>
      </c>
      <c r="H364" s="542">
        <v>9</v>
      </c>
      <c r="I364" s="542">
        <v>9.5190000000000001</v>
      </c>
      <c r="J364" s="32">
        <v>64</v>
      </c>
      <c r="K364" s="32" t="s">
        <v>104</v>
      </c>
      <c r="L364" s="32"/>
      <c r="M364" s="33" t="s">
        <v>77</v>
      </c>
      <c r="N364" s="33"/>
      <c r="O364" s="32">
        <v>40</v>
      </c>
      <c r="P364" s="6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4" s="551"/>
      <c r="R364" s="551"/>
      <c r="S364" s="551"/>
      <c r="T364" s="552"/>
      <c r="U364" s="34"/>
      <c r="V364" s="34"/>
      <c r="W364" s="35" t="s">
        <v>69</v>
      </c>
      <c r="X364" s="543">
        <v>240</v>
      </c>
      <c r="Y364" s="544">
        <f>IFERROR(IF(X364="",0,CEILING((X364/$H364),1)*$H364),"")</f>
        <v>243</v>
      </c>
      <c r="Z364" s="36">
        <f>IFERROR(IF(Y364=0,"",ROUNDUP(Y364/H364,0)*0.01898),"")</f>
        <v>0.51246000000000003</v>
      </c>
      <c r="AA364" s="56"/>
      <c r="AB364" s="57"/>
      <c r="AC364" s="415" t="s">
        <v>572</v>
      </c>
      <c r="AG364" s="64"/>
      <c r="AJ364" s="68"/>
      <c r="AK364" s="68">
        <v>0</v>
      </c>
      <c r="BB364" s="416" t="s">
        <v>1</v>
      </c>
      <c r="BM364" s="64">
        <f>IFERROR(X364*I364/H364,"0")</f>
        <v>253.84</v>
      </c>
      <c r="BN364" s="64">
        <f>IFERROR(Y364*I364/H364,"0")</f>
        <v>257.01300000000003</v>
      </c>
      <c r="BO364" s="64">
        <f>IFERROR(1/J364*(X364/H364),"0")</f>
        <v>0.41666666666666669</v>
      </c>
      <c r="BP364" s="64">
        <f>IFERROR(1/J364*(Y364/H364),"0")</f>
        <v>0.421875</v>
      </c>
    </row>
    <row r="365" spans="1:68" x14ac:dyDescent="0.2">
      <c r="A365" s="554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53" t="s">
        <v>71</v>
      </c>
      <c r="Q365" s="548"/>
      <c r="R365" s="548"/>
      <c r="S365" s="548"/>
      <c r="T365" s="548"/>
      <c r="U365" s="548"/>
      <c r="V365" s="549"/>
      <c r="W365" s="37" t="s">
        <v>72</v>
      </c>
      <c r="X365" s="545">
        <f>IFERROR(X364/H364,"0")</f>
        <v>26.666666666666668</v>
      </c>
      <c r="Y365" s="545">
        <f>IFERROR(Y364/H364,"0")</f>
        <v>27</v>
      </c>
      <c r="Z365" s="545">
        <f>IFERROR(IF(Z364="",0,Z364),"0")</f>
        <v>0.51246000000000003</v>
      </c>
      <c r="AA365" s="546"/>
      <c r="AB365" s="546"/>
      <c r="AC365" s="546"/>
    </row>
    <row r="366" spans="1:68" x14ac:dyDescent="0.2">
      <c r="A366" s="555"/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6"/>
      <c r="P366" s="553" t="s">
        <v>71</v>
      </c>
      <c r="Q366" s="548"/>
      <c r="R366" s="548"/>
      <c r="S366" s="548"/>
      <c r="T366" s="548"/>
      <c r="U366" s="548"/>
      <c r="V366" s="549"/>
      <c r="W366" s="37" t="s">
        <v>69</v>
      </c>
      <c r="X366" s="545">
        <f>IFERROR(SUM(X364:X364),"0")</f>
        <v>240</v>
      </c>
      <c r="Y366" s="545">
        <f>IFERROR(SUM(Y364:Y364),"0")</f>
        <v>243</v>
      </c>
      <c r="Z366" s="37"/>
      <c r="AA366" s="546"/>
      <c r="AB366" s="546"/>
      <c r="AC366" s="546"/>
    </row>
    <row r="367" spans="1:68" ht="16.5" hidden="1" customHeight="1" x14ac:dyDescent="0.25">
      <c r="A367" s="599" t="s">
        <v>573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8"/>
      <c r="AB367" s="538"/>
      <c r="AC367" s="538"/>
    </row>
    <row r="368" spans="1:68" ht="14.25" hidden="1" customHeight="1" x14ac:dyDescent="0.25">
      <c r="A368" s="559" t="s">
        <v>101</v>
      </c>
      <c r="B368" s="555"/>
      <c r="C368" s="555"/>
      <c r="D368" s="555"/>
      <c r="E368" s="555"/>
      <c r="F368" s="555"/>
      <c r="G368" s="555"/>
      <c r="H368" s="555"/>
      <c r="I368" s="555"/>
      <c r="J368" s="555"/>
      <c r="K368" s="555"/>
      <c r="L368" s="555"/>
      <c r="M368" s="555"/>
      <c r="N368" s="555"/>
      <c r="O368" s="555"/>
      <c r="P368" s="555"/>
      <c r="Q368" s="555"/>
      <c r="R368" s="555"/>
      <c r="S368" s="555"/>
      <c r="T368" s="555"/>
      <c r="U368" s="555"/>
      <c r="V368" s="555"/>
      <c r="W368" s="555"/>
      <c r="X368" s="555"/>
      <c r="Y368" s="555"/>
      <c r="Z368" s="555"/>
      <c r="AA368" s="539"/>
      <c r="AB368" s="539"/>
      <c r="AC368" s="539"/>
    </row>
    <row r="369" spans="1:68" ht="37.5" customHeight="1" x14ac:dyDescent="0.25">
      <c r="A369" s="54" t="s">
        <v>574</v>
      </c>
      <c r="B369" s="54" t="s">
        <v>575</v>
      </c>
      <c r="C369" s="31">
        <v>4301011875</v>
      </c>
      <c r="D369" s="560">
        <v>4680115884885</v>
      </c>
      <c r="E369" s="561"/>
      <c r="F369" s="542">
        <v>0.8</v>
      </c>
      <c r="G369" s="32">
        <v>15</v>
      </c>
      <c r="H369" s="542">
        <v>12</v>
      </c>
      <c r="I369" s="542">
        <v>12.435</v>
      </c>
      <c r="J369" s="32">
        <v>64</v>
      </c>
      <c r="K369" s="32" t="s">
        <v>104</v>
      </c>
      <c r="L369" s="32" t="s">
        <v>105</v>
      </c>
      <c r="M369" s="33" t="s">
        <v>68</v>
      </c>
      <c r="N369" s="33"/>
      <c r="O369" s="32">
        <v>60</v>
      </c>
      <c r="P369" s="62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9" s="551"/>
      <c r="R369" s="551"/>
      <c r="S369" s="551"/>
      <c r="T369" s="552"/>
      <c r="U369" s="34"/>
      <c r="V369" s="34"/>
      <c r="W369" s="35" t="s">
        <v>69</v>
      </c>
      <c r="X369" s="543">
        <v>24</v>
      </c>
      <c r="Y369" s="544">
        <f>IFERROR(IF(X369="",0,CEILING((X369/$H369),1)*$H369),"")</f>
        <v>24</v>
      </c>
      <c r="Z369" s="36">
        <f>IFERROR(IF(Y369=0,"",ROUNDUP(Y369/H369,0)*0.01898),"")</f>
        <v>3.7960000000000001E-2</v>
      </c>
      <c r="AA369" s="56"/>
      <c r="AB369" s="57"/>
      <c r="AC369" s="417" t="s">
        <v>576</v>
      </c>
      <c r="AG369" s="64"/>
      <c r="AJ369" s="68" t="s">
        <v>90</v>
      </c>
      <c r="AK369" s="68">
        <v>96</v>
      </c>
      <c r="BB369" s="418" t="s">
        <v>1</v>
      </c>
      <c r="BM369" s="64">
        <f>IFERROR(X369*I369/H369,"0")</f>
        <v>24.87</v>
      </c>
      <c r="BN369" s="64">
        <f>IFERROR(Y369*I369/H369,"0")</f>
        <v>24.87</v>
      </c>
      <c r="BO369" s="64">
        <f>IFERROR(1/J369*(X369/H369),"0")</f>
        <v>3.125E-2</v>
      </c>
      <c r="BP369" s="64">
        <f>IFERROR(1/J369*(Y369/H369),"0")</f>
        <v>3.125E-2</v>
      </c>
    </row>
    <row r="370" spans="1:68" ht="37.5" hidden="1" customHeight="1" x14ac:dyDescent="0.25">
      <c r="A370" s="54" t="s">
        <v>577</v>
      </c>
      <c r="B370" s="54" t="s">
        <v>578</v>
      </c>
      <c r="C370" s="31">
        <v>4301011871</v>
      </c>
      <c r="D370" s="560">
        <v>4680115884908</v>
      </c>
      <c r="E370" s="561"/>
      <c r="F370" s="542">
        <v>0.4</v>
      </c>
      <c r="G370" s="32">
        <v>10</v>
      </c>
      <c r="H370" s="542">
        <v>4</v>
      </c>
      <c r="I370" s="542">
        <v>4.21</v>
      </c>
      <c r="J370" s="32">
        <v>132</v>
      </c>
      <c r="K370" s="32" t="s">
        <v>110</v>
      </c>
      <c r="L370" s="32" t="s">
        <v>111</v>
      </c>
      <c r="M370" s="33" t="s">
        <v>68</v>
      </c>
      <c r="N370" s="33"/>
      <c r="O370" s="32">
        <v>60</v>
      </c>
      <c r="P370" s="58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0" s="551"/>
      <c r="R370" s="551"/>
      <c r="S370" s="551"/>
      <c r="T370" s="552"/>
      <c r="U370" s="34"/>
      <c r="V370" s="34"/>
      <c r="W370" s="35" t="s">
        <v>69</v>
      </c>
      <c r="X370" s="543">
        <v>0</v>
      </c>
      <c r="Y370" s="5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19" t="s">
        <v>576</v>
      </c>
      <c r="AG370" s="64"/>
      <c r="AJ370" s="68" t="s">
        <v>90</v>
      </c>
      <c r="AK370" s="68">
        <v>48</v>
      </c>
      <c r="BB370" s="420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54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53" t="s">
        <v>71</v>
      </c>
      <c r="Q371" s="548"/>
      <c r="R371" s="548"/>
      <c r="S371" s="548"/>
      <c r="T371" s="548"/>
      <c r="U371" s="548"/>
      <c r="V371" s="549"/>
      <c r="W371" s="37" t="s">
        <v>72</v>
      </c>
      <c r="X371" s="545">
        <f>IFERROR(X369/H369,"0")+IFERROR(X370/H370,"0")</f>
        <v>2</v>
      </c>
      <c r="Y371" s="545">
        <f>IFERROR(Y369/H369,"0")+IFERROR(Y370/H370,"0")</f>
        <v>2</v>
      </c>
      <c r="Z371" s="545">
        <f>IFERROR(IF(Z369="",0,Z369),"0")+IFERROR(IF(Z370="",0,Z370),"0")</f>
        <v>3.7960000000000001E-2</v>
      </c>
      <c r="AA371" s="546"/>
      <c r="AB371" s="546"/>
      <c r="AC371" s="546"/>
    </row>
    <row r="372" spans="1:68" x14ac:dyDescent="0.2">
      <c r="A372" s="555"/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6"/>
      <c r="P372" s="553" t="s">
        <v>71</v>
      </c>
      <c r="Q372" s="548"/>
      <c r="R372" s="548"/>
      <c r="S372" s="548"/>
      <c r="T372" s="548"/>
      <c r="U372" s="548"/>
      <c r="V372" s="549"/>
      <c r="W372" s="37" t="s">
        <v>69</v>
      </c>
      <c r="X372" s="545">
        <f>IFERROR(SUM(X369:X370),"0")</f>
        <v>24</v>
      </c>
      <c r="Y372" s="545">
        <f>IFERROR(SUM(Y369:Y370),"0")</f>
        <v>24</v>
      </c>
      <c r="Z372" s="37"/>
      <c r="AA372" s="546"/>
      <c r="AB372" s="546"/>
      <c r="AC372" s="546"/>
    </row>
    <row r="373" spans="1:68" ht="14.25" hidden="1" customHeight="1" x14ac:dyDescent="0.25">
      <c r="A373" s="559" t="s">
        <v>64</v>
      </c>
      <c r="B373" s="555"/>
      <c r="C373" s="555"/>
      <c r="D373" s="555"/>
      <c r="E373" s="555"/>
      <c r="F373" s="555"/>
      <c r="G373" s="555"/>
      <c r="H373" s="555"/>
      <c r="I373" s="555"/>
      <c r="J373" s="555"/>
      <c r="K373" s="555"/>
      <c r="L373" s="555"/>
      <c r="M373" s="555"/>
      <c r="N373" s="555"/>
      <c r="O373" s="555"/>
      <c r="P373" s="555"/>
      <c r="Q373" s="555"/>
      <c r="R373" s="555"/>
      <c r="S373" s="555"/>
      <c r="T373" s="555"/>
      <c r="U373" s="555"/>
      <c r="V373" s="555"/>
      <c r="W373" s="555"/>
      <c r="X373" s="555"/>
      <c r="Y373" s="555"/>
      <c r="Z373" s="555"/>
      <c r="AA373" s="539"/>
      <c r="AB373" s="539"/>
      <c r="AC373" s="539"/>
    </row>
    <row r="374" spans="1:68" ht="27" customHeight="1" x14ac:dyDescent="0.25">
      <c r="A374" s="54" t="s">
        <v>579</v>
      </c>
      <c r="B374" s="54" t="s">
        <v>580</v>
      </c>
      <c r="C374" s="31">
        <v>4301031303</v>
      </c>
      <c r="D374" s="560">
        <v>4607091384802</v>
      </c>
      <c r="E374" s="561"/>
      <c r="F374" s="542">
        <v>0.73</v>
      </c>
      <c r="G374" s="32">
        <v>6</v>
      </c>
      <c r="H374" s="542">
        <v>4.38</v>
      </c>
      <c r="I374" s="542">
        <v>4.6500000000000004</v>
      </c>
      <c r="J374" s="32">
        <v>132</v>
      </c>
      <c r="K374" s="32" t="s">
        <v>110</v>
      </c>
      <c r="L374" s="32" t="s">
        <v>111</v>
      </c>
      <c r="M374" s="33" t="s">
        <v>68</v>
      </c>
      <c r="N374" s="33"/>
      <c r="O374" s="32">
        <v>35</v>
      </c>
      <c r="P374" s="74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4" s="551"/>
      <c r="R374" s="551"/>
      <c r="S374" s="551"/>
      <c r="T374" s="552"/>
      <c r="U374" s="34"/>
      <c r="V374" s="34"/>
      <c r="W374" s="35" t="s">
        <v>69</v>
      </c>
      <c r="X374" s="543">
        <v>185</v>
      </c>
      <c r="Y374" s="544">
        <f>IFERROR(IF(X374="",0,CEILING((X374/$H374),1)*$H374),"")</f>
        <v>188.34</v>
      </c>
      <c r="Z374" s="36">
        <f>IFERROR(IF(Y374=0,"",ROUNDUP(Y374/H374,0)*0.00902),"")</f>
        <v>0.38785999999999998</v>
      </c>
      <c r="AA374" s="56"/>
      <c r="AB374" s="57"/>
      <c r="AC374" s="421" t="s">
        <v>581</v>
      </c>
      <c r="AG374" s="64"/>
      <c r="AJ374" s="68" t="s">
        <v>90</v>
      </c>
      <c r="AK374" s="68">
        <v>52.56</v>
      </c>
      <c r="BB374" s="422" t="s">
        <v>1</v>
      </c>
      <c r="BM374" s="64">
        <f>IFERROR(X374*I374/H374,"0")</f>
        <v>196.40410958904113</v>
      </c>
      <c r="BN374" s="64">
        <f>IFERROR(Y374*I374/H374,"0")</f>
        <v>199.95000000000002</v>
      </c>
      <c r="BO374" s="64">
        <f>IFERROR(1/J374*(X374/H374),"0")</f>
        <v>0.31998062819980627</v>
      </c>
      <c r="BP374" s="64">
        <f>IFERROR(1/J374*(Y374/H374),"0")</f>
        <v>0.32575757575757575</v>
      </c>
    </row>
    <row r="375" spans="1:68" ht="27" hidden="1" customHeight="1" x14ac:dyDescent="0.25">
      <c r="A375" s="54" t="s">
        <v>579</v>
      </c>
      <c r="B375" s="54" t="s">
        <v>582</v>
      </c>
      <c r="C375" s="31">
        <v>4301031457</v>
      </c>
      <c r="D375" s="560">
        <v>4607091384802</v>
      </c>
      <c r="E375" s="561"/>
      <c r="F375" s="542">
        <v>0.7</v>
      </c>
      <c r="G375" s="32">
        <v>6</v>
      </c>
      <c r="H375" s="542">
        <v>4.2</v>
      </c>
      <c r="I375" s="542">
        <v>4.47</v>
      </c>
      <c r="J375" s="32">
        <v>132</v>
      </c>
      <c r="K375" s="32" t="s">
        <v>110</v>
      </c>
      <c r="L375" s="32"/>
      <c r="M375" s="33" t="s">
        <v>68</v>
      </c>
      <c r="N375" s="33"/>
      <c r="O375" s="32">
        <v>50</v>
      </c>
      <c r="P375" s="72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5" s="551"/>
      <c r="R375" s="551"/>
      <c r="S375" s="551"/>
      <c r="T375" s="552"/>
      <c r="U375" s="34"/>
      <c r="V375" s="34"/>
      <c r="W375" s="35" t="s">
        <v>69</v>
      </c>
      <c r="X375" s="543">
        <v>0</v>
      </c>
      <c r="Y375" s="544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3" t="s">
        <v>583</v>
      </c>
      <c r="AG375" s="64"/>
      <c r="AJ375" s="68"/>
      <c r="AK375" s="68">
        <v>0</v>
      </c>
      <c r="BB375" s="42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54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53" t="s">
        <v>71</v>
      </c>
      <c r="Q376" s="548"/>
      <c r="R376" s="548"/>
      <c r="S376" s="548"/>
      <c r="T376" s="548"/>
      <c r="U376" s="548"/>
      <c r="V376" s="549"/>
      <c r="W376" s="37" t="s">
        <v>72</v>
      </c>
      <c r="X376" s="545">
        <f>IFERROR(X374/H374,"0")+IFERROR(X375/H375,"0")</f>
        <v>42.237442922374427</v>
      </c>
      <c r="Y376" s="545">
        <f>IFERROR(Y374/H374,"0")+IFERROR(Y375/H375,"0")</f>
        <v>43</v>
      </c>
      <c r="Z376" s="545">
        <f>IFERROR(IF(Z374="",0,Z374),"0")+IFERROR(IF(Z375="",0,Z375),"0")</f>
        <v>0.38785999999999998</v>
      </c>
      <c r="AA376" s="546"/>
      <c r="AB376" s="546"/>
      <c r="AC376" s="546"/>
    </row>
    <row r="377" spans="1:68" x14ac:dyDescent="0.2">
      <c r="A377" s="555"/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6"/>
      <c r="P377" s="553" t="s">
        <v>71</v>
      </c>
      <c r="Q377" s="548"/>
      <c r="R377" s="548"/>
      <c r="S377" s="548"/>
      <c r="T377" s="548"/>
      <c r="U377" s="548"/>
      <c r="V377" s="549"/>
      <c r="W377" s="37" t="s">
        <v>69</v>
      </c>
      <c r="X377" s="545">
        <f>IFERROR(SUM(X374:X375),"0")</f>
        <v>185</v>
      </c>
      <c r="Y377" s="545">
        <f>IFERROR(SUM(Y374:Y375),"0")</f>
        <v>188.34</v>
      </c>
      <c r="Z377" s="37"/>
      <c r="AA377" s="546"/>
      <c r="AB377" s="546"/>
      <c r="AC377" s="546"/>
    </row>
    <row r="378" spans="1:68" ht="14.25" hidden="1" customHeight="1" x14ac:dyDescent="0.25">
      <c r="A378" s="559" t="s">
        <v>73</v>
      </c>
      <c r="B378" s="555"/>
      <c r="C378" s="555"/>
      <c r="D378" s="555"/>
      <c r="E378" s="555"/>
      <c r="F378" s="555"/>
      <c r="G378" s="555"/>
      <c r="H378" s="555"/>
      <c r="I378" s="555"/>
      <c r="J378" s="555"/>
      <c r="K378" s="555"/>
      <c r="L378" s="555"/>
      <c r="M378" s="555"/>
      <c r="N378" s="555"/>
      <c r="O378" s="555"/>
      <c r="P378" s="555"/>
      <c r="Q378" s="555"/>
      <c r="R378" s="555"/>
      <c r="S378" s="555"/>
      <c r="T378" s="555"/>
      <c r="U378" s="555"/>
      <c r="V378" s="555"/>
      <c r="W378" s="555"/>
      <c r="X378" s="555"/>
      <c r="Y378" s="555"/>
      <c r="Z378" s="555"/>
      <c r="AA378" s="539"/>
      <c r="AB378" s="539"/>
      <c r="AC378" s="539"/>
    </row>
    <row r="379" spans="1:68" ht="27" customHeight="1" x14ac:dyDescent="0.25">
      <c r="A379" s="54" t="s">
        <v>584</v>
      </c>
      <c r="B379" s="54" t="s">
        <v>585</v>
      </c>
      <c r="C379" s="31">
        <v>4301051899</v>
      </c>
      <c r="D379" s="560">
        <v>4607091384246</v>
      </c>
      <c r="E379" s="561"/>
      <c r="F379" s="542">
        <v>1.5</v>
      </c>
      <c r="G379" s="32">
        <v>6</v>
      </c>
      <c r="H379" s="542">
        <v>9</v>
      </c>
      <c r="I379" s="542">
        <v>9.5190000000000001</v>
      </c>
      <c r="J379" s="32">
        <v>64</v>
      </c>
      <c r="K379" s="32" t="s">
        <v>104</v>
      </c>
      <c r="L379" s="32" t="s">
        <v>105</v>
      </c>
      <c r="M379" s="33" t="s">
        <v>77</v>
      </c>
      <c r="N379" s="33"/>
      <c r="O379" s="32">
        <v>40</v>
      </c>
      <c r="P379" s="86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9" s="551"/>
      <c r="R379" s="551"/>
      <c r="S379" s="551"/>
      <c r="T379" s="552"/>
      <c r="U379" s="34"/>
      <c r="V379" s="34"/>
      <c r="W379" s="35" t="s">
        <v>69</v>
      </c>
      <c r="X379" s="543">
        <v>150</v>
      </c>
      <c r="Y379" s="544">
        <f>IFERROR(IF(X379="",0,CEILING((X379/$H379),1)*$H379),"")</f>
        <v>153</v>
      </c>
      <c r="Z379" s="36">
        <f>IFERROR(IF(Y379=0,"",ROUNDUP(Y379/H379,0)*0.01898),"")</f>
        <v>0.32266</v>
      </c>
      <c r="AA379" s="56"/>
      <c r="AB379" s="57"/>
      <c r="AC379" s="425" t="s">
        <v>586</v>
      </c>
      <c r="AG379" s="64"/>
      <c r="AJ379" s="68" t="s">
        <v>90</v>
      </c>
      <c r="AK379" s="68">
        <v>72</v>
      </c>
      <c r="BB379" s="426" t="s">
        <v>1</v>
      </c>
      <c r="BM379" s="64">
        <f>IFERROR(X379*I379/H379,"0")</f>
        <v>158.64999999999998</v>
      </c>
      <c r="BN379" s="64">
        <f>IFERROR(Y379*I379/H379,"0")</f>
        <v>161.82299999999998</v>
      </c>
      <c r="BO379" s="64">
        <f>IFERROR(1/J379*(X379/H379),"0")</f>
        <v>0.26041666666666669</v>
      </c>
      <c r="BP379" s="64">
        <f>IFERROR(1/J379*(Y379/H379),"0")</f>
        <v>0.265625</v>
      </c>
    </row>
    <row r="380" spans="1:68" ht="27" hidden="1" customHeight="1" x14ac:dyDescent="0.25">
      <c r="A380" s="54" t="s">
        <v>587</v>
      </c>
      <c r="B380" s="54" t="s">
        <v>588</v>
      </c>
      <c r="C380" s="31">
        <v>4301051660</v>
      </c>
      <c r="D380" s="560">
        <v>4607091384253</v>
      </c>
      <c r="E380" s="561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 t="s">
        <v>88</v>
      </c>
      <c r="M380" s="33" t="s">
        <v>77</v>
      </c>
      <c r="N380" s="33"/>
      <c r="O380" s="32">
        <v>40</v>
      </c>
      <c r="P380" s="72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0" s="551"/>
      <c r="R380" s="551"/>
      <c r="S380" s="551"/>
      <c r="T380" s="552"/>
      <c r="U380" s="34"/>
      <c r="V380" s="34"/>
      <c r="W380" s="35" t="s">
        <v>69</v>
      </c>
      <c r="X380" s="543">
        <v>0</v>
      </c>
      <c r="Y380" s="544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586</v>
      </c>
      <c r="AG380" s="64"/>
      <c r="AJ380" s="68" t="s">
        <v>90</v>
      </c>
      <c r="AK380" s="68">
        <v>33.6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54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53" t="s">
        <v>71</v>
      </c>
      <c r="Q381" s="548"/>
      <c r="R381" s="548"/>
      <c r="S381" s="548"/>
      <c r="T381" s="548"/>
      <c r="U381" s="548"/>
      <c r="V381" s="549"/>
      <c r="W381" s="37" t="s">
        <v>72</v>
      </c>
      <c r="X381" s="545">
        <f>IFERROR(X379/H379,"0")+IFERROR(X380/H380,"0")</f>
        <v>16.666666666666668</v>
      </c>
      <c r="Y381" s="545">
        <f>IFERROR(Y379/H379,"0")+IFERROR(Y380/H380,"0")</f>
        <v>17</v>
      </c>
      <c r="Z381" s="545">
        <f>IFERROR(IF(Z379="",0,Z379),"0")+IFERROR(IF(Z380="",0,Z380),"0")</f>
        <v>0.32266</v>
      </c>
      <c r="AA381" s="546"/>
      <c r="AB381" s="546"/>
      <c r="AC381" s="546"/>
    </row>
    <row r="382" spans="1:68" x14ac:dyDescent="0.2">
      <c r="A382" s="555"/>
      <c r="B382" s="555"/>
      <c r="C382" s="555"/>
      <c r="D382" s="555"/>
      <c r="E382" s="555"/>
      <c r="F382" s="555"/>
      <c r="G382" s="555"/>
      <c r="H382" s="555"/>
      <c r="I382" s="555"/>
      <c r="J382" s="555"/>
      <c r="K382" s="555"/>
      <c r="L382" s="555"/>
      <c r="M382" s="555"/>
      <c r="N382" s="555"/>
      <c r="O382" s="556"/>
      <c r="P382" s="553" t="s">
        <v>71</v>
      </c>
      <c r="Q382" s="548"/>
      <c r="R382" s="548"/>
      <c r="S382" s="548"/>
      <c r="T382" s="548"/>
      <c r="U382" s="548"/>
      <c r="V382" s="549"/>
      <c r="W382" s="37" t="s">
        <v>69</v>
      </c>
      <c r="X382" s="545">
        <f>IFERROR(SUM(X379:X380),"0")</f>
        <v>150</v>
      </c>
      <c r="Y382" s="545">
        <f>IFERROR(SUM(Y379:Y380),"0")</f>
        <v>153</v>
      </c>
      <c r="Z382" s="37"/>
      <c r="AA382" s="546"/>
      <c r="AB382" s="546"/>
      <c r="AC382" s="546"/>
    </row>
    <row r="383" spans="1:68" ht="27.75" hidden="1" customHeight="1" x14ac:dyDescent="0.2">
      <c r="A383" s="647" t="s">
        <v>589</v>
      </c>
      <c r="B383" s="648"/>
      <c r="C383" s="648"/>
      <c r="D383" s="648"/>
      <c r="E383" s="648"/>
      <c r="F383" s="648"/>
      <c r="G383" s="648"/>
      <c r="H383" s="648"/>
      <c r="I383" s="648"/>
      <c r="J383" s="648"/>
      <c r="K383" s="648"/>
      <c r="L383" s="648"/>
      <c r="M383" s="648"/>
      <c r="N383" s="648"/>
      <c r="O383" s="648"/>
      <c r="P383" s="648"/>
      <c r="Q383" s="648"/>
      <c r="R383" s="648"/>
      <c r="S383" s="648"/>
      <c r="T383" s="648"/>
      <c r="U383" s="648"/>
      <c r="V383" s="648"/>
      <c r="W383" s="648"/>
      <c r="X383" s="648"/>
      <c r="Y383" s="648"/>
      <c r="Z383" s="648"/>
      <c r="AA383" s="48"/>
      <c r="AB383" s="48"/>
      <c r="AC383" s="48"/>
    </row>
    <row r="384" spans="1:68" ht="16.5" hidden="1" customHeight="1" x14ac:dyDescent="0.25">
      <c r="A384" s="599" t="s">
        <v>590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8"/>
      <c r="AB384" s="538"/>
      <c r="AC384" s="538"/>
    </row>
    <row r="385" spans="1:68" ht="14.25" hidden="1" customHeight="1" x14ac:dyDescent="0.25">
      <c r="A385" s="559" t="s">
        <v>64</v>
      </c>
      <c r="B385" s="555"/>
      <c r="C385" s="555"/>
      <c r="D385" s="555"/>
      <c r="E385" s="555"/>
      <c r="F385" s="555"/>
      <c r="G385" s="555"/>
      <c r="H385" s="555"/>
      <c r="I385" s="555"/>
      <c r="J385" s="555"/>
      <c r="K385" s="555"/>
      <c r="L385" s="555"/>
      <c r="M385" s="555"/>
      <c r="N385" s="555"/>
      <c r="O385" s="555"/>
      <c r="P385" s="555"/>
      <c r="Q385" s="555"/>
      <c r="R385" s="555"/>
      <c r="S385" s="555"/>
      <c r="T385" s="555"/>
      <c r="U385" s="555"/>
      <c r="V385" s="555"/>
      <c r="W385" s="555"/>
      <c r="X385" s="555"/>
      <c r="Y385" s="555"/>
      <c r="Z385" s="555"/>
      <c r="AA385" s="539"/>
      <c r="AB385" s="539"/>
      <c r="AC385" s="539"/>
    </row>
    <row r="386" spans="1:68" ht="27" customHeight="1" x14ac:dyDescent="0.25">
      <c r="A386" s="54" t="s">
        <v>591</v>
      </c>
      <c r="B386" s="54" t="s">
        <v>592</v>
      </c>
      <c r="C386" s="31">
        <v>4301031405</v>
      </c>
      <c r="D386" s="560">
        <v>4680115886100</v>
      </c>
      <c r="E386" s="561"/>
      <c r="F386" s="542">
        <v>0.9</v>
      </c>
      <c r="G386" s="32">
        <v>6</v>
      </c>
      <c r="H386" s="542">
        <v>5.4</v>
      </c>
      <c r="I386" s="542">
        <v>5.61</v>
      </c>
      <c r="J386" s="32">
        <v>132</v>
      </c>
      <c r="K386" s="32" t="s">
        <v>110</v>
      </c>
      <c r="L386" s="32" t="s">
        <v>111</v>
      </c>
      <c r="M386" s="33" t="s">
        <v>68</v>
      </c>
      <c r="N386" s="33"/>
      <c r="O386" s="32">
        <v>50</v>
      </c>
      <c r="P386" s="85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1"/>
      <c r="R386" s="551"/>
      <c r="S386" s="551"/>
      <c r="T386" s="552"/>
      <c r="U386" s="34"/>
      <c r="V386" s="34"/>
      <c r="W386" s="35" t="s">
        <v>69</v>
      </c>
      <c r="X386" s="543">
        <v>80</v>
      </c>
      <c r="Y386" s="544">
        <f t="shared" ref="Y386:Y394" si="41">IFERROR(IF(X386="",0,CEILING((X386/$H386),1)*$H386),"")</f>
        <v>81</v>
      </c>
      <c r="Z386" s="36">
        <f>IFERROR(IF(Y386=0,"",ROUNDUP(Y386/H386,0)*0.00902),"")</f>
        <v>0.1353</v>
      </c>
      <c r="AA386" s="56"/>
      <c r="AB386" s="57"/>
      <c r="AC386" s="429" t="s">
        <v>593</v>
      </c>
      <c r="AG386" s="64"/>
      <c r="AJ386" s="68" t="s">
        <v>90</v>
      </c>
      <c r="AK386" s="68">
        <v>64.8</v>
      </c>
      <c r="BB386" s="430" t="s">
        <v>1</v>
      </c>
      <c r="BM386" s="64">
        <f t="shared" ref="BM386:BM394" si="42">IFERROR(X386*I386/H386,"0")</f>
        <v>83.111111111111114</v>
      </c>
      <c r="BN386" s="64">
        <f t="shared" ref="BN386:BN394" si="43">IFERROR(Y386*I386/H386,"0")</f>
        <v>84.15</v>
      </c>
      <c r="BO386" s="64">
        <f t="shared" ref="BO386:BO394" si="44">IFERROR(1/J386*(X386/H386),"0")</f>
        <v>0.11223344556677889</v>
      </c>
      <c r="BP386" s="64">
        <f t="shared" ref="BP386:BP394" si="45">IFERROR(1/J386*(Y386/H386),"0")</f>
        <v>0.11363636363636363</v>
      </c>
    </row>
    <row r="387" spans="1:68" ht="27" customHeight="1" x14ac:dyDescent="0.25">
      <c r="A387" s="54" t="s">
        <v>594</v>
      </c>
      <c r="B387" s="54" t="s">
        <v>595</v>
      </c>
      <c r="C387" s="31">
        <v>4301031406</v>
      </c>
      <c r="D387" s="560">
        <v>4680115886117</v>
      </c>
      <c r="E387" s="561"/>
      <c r="F387" s="542">
        <v>0.9</v>
      </c>
      <c r="G387" s="32">
        <v>6</v>
      </c>
      <c r="H387" s="542">
        <v>5.4</v>
      </c>
      <c r="I387" s="542">
        <v>5.61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3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1"/>
      <c r="R387" s="551"/>
      <c r="S387" s="551"/>
      <c r="T387" s="552"/>
      <c r="U387" s="34"/>
      <c r="V387" s="34"/>
      <c r="W387" s="35" t="s">
        <v>69</v>
      </c>
      <c r="X387" s="543">
        <v>40</v>
      </c>
      <c r="Y387" s="544">
        <f t="shared" si="41"/>
        <v>43.2</v>
      </c>
      <c r="Z387" s="36">
        <f>IFERROR(IF(Y387=0,"",ROUNDUP(Y387/H387,0)*0.00902),"")</f>
        <v>7.2160000000000002E-2</v>
      </c>
      <c r="AA387" s="56"/>
      <c r="AB387" s="57"/>
      <c r="AC387" s="431" t="s">
        <v>596</v>
      </c>
      <c r="AG387" s="64"/>
      <c r="AJ387" s="68"/>
      <c r="AK387" s="68">
        <v>0</v>
      </c>
      <c r="BB387" s="432" t="s">
        <v>1</v>
      </c>
      <c r="BM387" s="64">
        <f t="shared" si="42"/>
        <v>41.555555555555557</v>
      </c>
      <c r="BN387" s="64">
        <f t="shared" si="43"/>
        <v>44.88</v>
      </c>
      <c r="BO387" s="64">
        <f t="shared" si="44"/>
        <v>5.6116722783389444E-2</v>
      </c>
      <c r="BP387" s="64">
        <f t="shared" si="45"/>
        <v>6.0606060606060608E-2</v>
      </c>
    </row>
    <row r="388" spans="1:68" ht="27" hidden="1" customHeight="1" x14ac:dyDescent="0.25">
      <c r="A388" s="54" t="s">
        <v>597</v>
      </c>
      <c r="B388" s="54" t="s">
        <v>598</v>
      </c>
      <c r="C388" s="31">
        <v>4301031402</v>
      </c>
      <c r="D388" s="560">
        <v>4680115886124</v>
      </c>
      <c r="E388" s="561"/>
      <c r="F388" s="542">
        <v>0.9</v>
      </c>
      <c r="G388" s="32">
        <v>6</v>
      </c>
      <c r="H388" s="542">
        <v>5.4</v>
      </c>
      <c r="I388" s="542">
        <v>5.61</v>
      </c>
      <c r="J388" s="32">
        <v>132</v>
      </c>
      <c r="K388" s="32" t="s">
        <v>110</v>
      </c>
      <c r="L388" s="32" t="s">
        <v>111</v>
      </c>
      <c r="M388" s="33" t="s">
        <v>68</v>
      </c>
      <c r="N388" s="33"/>
      <c r="O388" s="32">
        <v>50</v>
      </c>
      <c r="P388" s="70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1"/>
      <c r="R388" s="551"/>
      <c r="S388" s="551"/>
      <c r="T388" s="552"/>
      <c r="U388" s="34"/>
      <c r="V388" s="34"/>
      <c r="W388" s="35" t="s">
        <v>69</v>
      </c>
      <c r="X388" s="543">
        <v>0</v>
      </c>
      <c r="Y388" s="544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599</v>
      </c>
      <c r="AG388" s="64"/>
      <c r="AJ388" s="68" t="s">
        <v>90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600</v>
      </c>
      <c r="B389" s="54" t="s">
        <v>601</v>
      </c>
      <c r="C389" s="31">
        <v>4301031366</v>
      </c>
      <c r="D389" s="560">
        <v>4680115883147</v>
      </c>
      <c r="E389" s="561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85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1"/>
      <c r="R389" s="551"/>
      <c r="S389" s="551"/>
      <c r="T389" s="552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593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hidden="1" customHeight="1" x14ac:dyDescent="0.25">
      <c r="A390" s="54" t="s">
        <v>602</v>
      </c>
      <c r="B390" s="54" t="s">
        <v>603</v>
      </c>
      <c r="C390" s="31">
        <v>4301031362</v>
      </c>
      <c r="D390" s="560">
        <v>4607091384338</v>
      </c>
      <c r="E390" s="561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0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1"/>
      <c r="R390" s="551"/>
      <c r="S390" s="551"/>
      <c r="T390" s="552"/>
      <c r="U390" s="34"/>
      <c r="V390" s="34"/>
      <c r="W390" s="35" t="s">
        <v>69</v>
      </c>
      <c r="X390" s="543">
        <v>0</v>
      </c>
      <c r="Y390" s="544">
        <f t="shared" si="41"/>
        <v>0</v>
      </c>
      <c r="Z390" s="36" t="str">
        <f t="shared" si="46"/>
        <v/>
      </c>
      <c r="AA390" s="56"/>
      <c r="AB390" s="57"/>
      <c r="AC390" s="437" t="s">
        <v>593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hidden="1" customHeight="1" x14ac:dyDescent="0.25">
      <c r="A391" s="54" t="s">
        <v>604</v>
      </c>
      <c r="B391" s="54" t="s">
        <v>605</v>
      </c>
      <c r="C391" s="31">
        <v>4301031361</v>
      </c>
      <c r="D391" s="560">
        <v>4607091389524</v>
      </c>
      <c r="E391" s="561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86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1"/>
      <c r="R391" s="551"/>
      <c r="S391" s="551"/>
      <c r="T391" s="552"/>
      <c r="U391" s="34"/>
      <c r="V391" s="34"/>
      <c r="W391" s="35" t="s">
        <v>69</v>
      </c>
      <c r="X391" s="543">
        <v>0</v>
      </c>
      <c r="Y391" s="544">
        <f t="shared" si="41"/>
        <v>0</v>
      </c>
      <c r="Z391" s="36" t="str">
        <f t="shared" si="46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607</v>
      </c>
      <c r="B392" s="54" t="s">
        <v>608</v>
      </c>
      <c r="C392" s="31">
        <v>4301031364</v>
      </c>
      <c r="D392" s="560">
        <v>4680115883161</v>
      </c>
      <c r="E392" s="561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85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1"/>
      <c r="R392" s="551"/>
      <c r="S392" s="551"/>
      <c r="T392" s="552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610</v>
      </c>
      <c r="B393" s="54" t="s">
        <v>611</v>
      </c>
      <c r="C393" s="31">
        <v>4301031358</v>
      </c>
      <c r="D393" s="560">
        <v>4607091389531</v>
      </c>
      <c r="E393" s="561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1"/>
      <c r="R393" s="551"/>
      <c r="S393" s="551"/>
      <c r="T393" s="552"/>
      <c r="U393" s="34"/>
      <c r="V393" s="34"/>
      <c r="W393" s="35" t="s">
        <v>69</v>
      </c>
      <c r="X393" s="543">
        <v>0</v>
      </c>
      <c r="Y393" s="544">
        <f t="shared" si="41"/>
        <v>0</v>
      </c>
      <c r="Z393" s="36" t="str">
        <f t="shared" si="46"/>
        <v/>
      </c>
      <c r="AA393" s="56"/>
      <c r="AB393" s="57"/>
      <c r="AC393" s="443" t="s">
        <v>612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hidden="1" customHeight="1" x14ac:dyDescent="0.25">
      <c r="A394" s="54" t="s">
        <v>613</v>
      </c>
      <c r="B394" s="54" t="s">
        <v>614</v>
      </c>
      <c r="C394" s="31">
        <v>4301031360</v>
      </c>
      <c r="D394" s="560">
        <v>4607091384345</v>
      </c>
      <c r="E394" s="561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82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1"/>
      <c r="R394" s="551"/>
      <c r="S394" s="551"/>
      <c r="T394" s="552"/>
      <c r="U394" s="34"/>
      <c r="V394" s="34"/>
      <c r="W394" s="35" t="s">
        <v>69</v>
      </c>
      <c r="X394" s="543">
        <v>0</v>
      </c>
      <c r="Y394" s="544">
        <f t="shared" si="41"/>
        <v>0</v>
      </c>
      <c r="Z394" s="36" t="str">
        <f t="shared" si="46"/>
        <v/>
      </c>
      <c r="AA394" s="56"/>
      <c r="AB394" s="57"/>
      <c r="AC394" s="445" t="s">
        <v>609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x14ac:dyDescent="0.2">
      <c r="A395" s="554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53" t="s">
        <v>71</v>
      </c>
      <c r="Q395" s="548"/>
      <c r="R395" s="548"/>
      <c r="S395" s="548"/>
      <c r="T395" s="548"/>
      <c r="U395" s="548"/>
      <c r="V395" s="549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22.222222222222221</v>
      </c>
      <c r="Y395" s="545">
        <f>IFERROR(Y386/H386,"0")+IFERROR(Y387/H387,"0")+IFERROR(Y388/H388,"0")+IFERROR(Y389/H389,"0")+IFERROR(Y390/H390,"0")+IFERROR(Y391/H391,"0")+IFERROR(Y392/H392,"0")+IFERROR(Y393/H393,"0")+IFERROR(Y394/H394,"0")</f>
        <v>23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0.20746000000000001</v>
      </c>
      <c r="AA395" s="546"/>
      <c r="AB395" s="546"/>
      <c r="AC395" s="546"/>
    </row>
    <row r="396" spans="1:68" x14ac:dyDescent="0.2">
      <c r="A396" s="555"/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6"/>
      <c r="P396" s="553" t="s">
        <v>71</v>
      </c>
      <c r="Q396" s="548"/>
      <c r="R396" s="548"/>
      <c r="S396" s="548"/>
      <c r="T396" s="548"/>
      <c r="U396" s="548"/>
      <c r="V396" s="549"/>
      <c r="W396" s="37" t="s">
        <v>69</v>
      </c>
      <c r="X396" s="545">
        <f>IFERROR(SUM(X386:X394),"0")</f>
        <v>120</v>
      </c>
      <c r="Y396" s="545">
        <f>IFERROR(SUM(Y386:Y394),"0")</f>
        <v>124.2</v>
      </c>
      <c r="Z396" s="37"/>
      <c r="AA396" s="546"/>
      <c r="AB396" s="546"/>
      <c r="AC396" s="546"/>
    </row>
    <row r="397" spans="1:68" ht="14.25" hidden="1" customHeight="1" x14ac:dyDescent="0.25">
      <c r="A397" s="559" t="s">
        <v>73</v>
      </c>
      <c r="B397" s="555"/>
      <c r="C397" s="555"/>
      <c r="D397" s="555"/>
      <c r="E397" s="555"/>
      <c r="F397" s="555"/>
      <c r="G397" s="555"/>
      <c r="H397" s="555"/>
      <c r="I397" s="555"/>
      <c r="J397" s="555"/>
      <c r="K397" s="555"/>
      <c r="L397" s="555"/>
      <c r="M397" s="555"/>
      <c r="N397" s="555"/>
      <c r="O397" s="555"/>
      <c r="P397" s="555"/>
      <c r="Q397" s="555"/>
      <c r="R397" s="555"/>
      <c r="S397" s="555"/>
      <c r="T397" s="555"/>
      <c r="U397" s="555"/>
      <c r="V397" s="555"/>
      <c r="W397" s="555"/>
      <c r="X397" s="555"/>
      <c r="Y397" s="555"/>
      <c r="Z397" s="555"/>
      <c r="AA397" s="539"/>
      <c r="AB397" s="539"/>
      <c r="AC397" s="539"/>
    </row>
    <row r="398" spans="1:68" ht="27" hidden="1" customHeight="1" x14ac:dyDescent="0.25">
      <c r="A398" s="54" t="s">
        <v>615</v>
      </c>
      <c r="B398" s="54" t="s">
        <v>616</v>
      </c>
      <c r="C398" s="31">
        <v>4301051284</v>
      </c>
      <c r="D398" s="560">
        <v>4607091384352</v>
      </c>
      <c r="E398" s="561"/>
      <c r="F398" s="542">
        <v>0.6</v>
      </c>
      <c r="G398" s="32">
        <v>4</v>
      </c>
      <c r="H398" s="542">
        <v>2.4</v>
      </c>
      <c r="I398" s="542">
        <v>2.6459999999999999</v>
      </c>
      <c r="J398" s="32">
        <v>132</v>
      </c>
      <c r="K398" s="32" t="s">
        <v>110</v>
      </c>
      <c r="L398" s="32" t="s">
        <v>111</v>
      </c>
      <c r="M398" s="33" t="s">
        <v>77</v>
      </c>
      <c r="N398" s="33"/>
      <c r="O398" s="32">
        <v>45</v>
      </c>
      <c r="P398" s="67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1"/>
      <c r="R398" s="551"/>
      <c r="S398" s="551"/>
      <c r="T398" s="552"/>
      <c r="U398" s="34"/>
      <c r="V398" s="34"/>
      <c r="W398" s="35" t="s">
        <v>69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617</v>
      </c>
      <c r="AG398" s="64"/>
      <c r="AJ398" s="68" t="s">
        <v>90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618</v>
      </c>
      <c r="B399" s="54" t="s">
        <v>619</v>
      </c>
      <c r="C399" s="31">
        <v>4301051431</v>
      </c>
      <c r="D399" s="560">
        <v>4607091389654</v>
      </c>
      <c r="E399" s="561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 t="s">
        <v>88</v>
      </c>
      <c r="M399" s="33" t="s">
        <v>77</v>
      </c>
      <c r="N399" s="33"/>
      <c r="O399" s="32">
        <v>45</v>
      </c>
      <c r="P399" s="6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1"/>
      <c r="R399" s="551"/>
      <c r="S399" s="551"/>
      <c r="T399" s="552"/>
      <c r="U399" s="34"/>
      <c r="V399" s="34"/>
      <c r="W399" s="35" t="s">
        <v>69</v>
      </c>
      <c r="X399" s="543">
        <v>0</v>
      </c>
      <c r="Y399" s="5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620</v>
      </c>
      <c r="AG399" s="64"/>
      <c r="AJ399" s="68" t="s">
        <v>90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554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53" t="s">
        <v>71</v>
      </c>
      <c r="Q400" s="548"/>
      <c r="R400" s="548"/>
      <c r="S400" s="548"/>
      <c r="T400" s="548"/>
      <c r="U400" s="548"/>
      <c r="V400" s="549"/>
      <c r="W400" s="37" t="s">
        <v>72</v>
      </c>
      <c r="X400" s="545">
        <f>IFERROR(X398/H398,"0")+IFERROR(X399/H399,"0")</f>
        <v>0</v>
      </c>
      <c r="Y400" s="545">
        <f>IFERROR(Y398/H398,"0")+IFERROR(Y399/H399,"0")</f>
        <v>0</v>
      </c>
      <c r="Z400" s="545">
        <f>IFERROR(IF(Z398="",0,Z398),"0")+IFERROR(IF(Z399="",0,Z399),"0")</f>
        <v>0</v>
      </c>
      <c r="AA400" s="546"/>
      <c r="AB400" s="546"/>
      <c r="AC400" s="546"/>
    </row>
    <row r="401" spans="1:68" hidden="1" x14ac:dyDescent="0.2">
      <c r="A401" s="555"/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6"/>
      <c r="P401" s="553" t="s">
        <v>71</v>
      </c>
      <c r="Q401" s="548"/>
      <c r="R401" s="548"/>
      <c r="S401" s="548"/>
      <c r="T401" s="548"/>
      <c r="U401" s="548"/>
      <c r="V401" s="549"/>
      <c r="W401" s="37" t="s">
        <v>69</v>
      </c>
      <c r="X401" s="545">
        <f>IFERROR(SUM(X398:X399),"0")</f>
        <v>0</v>
      </c>
      <c r="Y401" s="545">
        <f>IFERROR(SUM(Y398:Y399),"0")</f>
        <v>0</v>
      </c>
      <c r="Z401" s="37"/>
      <c r="AA401" s="546"/>
      <c r="AB401" s="546"/>
      <c r="AC401" s="546"/>
    </row>
    <row r="402" spans="1:68" ht="16.5" hidden="1" customHeight="1" x14ac:dyDescent="0.25">
      <c r="A402" s="599" t="s">
        <v>621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8"/>
      <c r="AB402" s="538"/>
      <c r="AC402" s="538"/>
    </row>
    <row r="403" spans="1:68" ht="14.25" hidden="1" customHeight="1" x14ac:dyDescent="0.25">
      <c r="A403" s="559" t="s">
        <v>136</v>
      </c>
      <c r="B403" s="555"/>
      <c r="C403" s="555"/>
      <c r="D403" s="555"/>
      <c r="E403" s="555"/>
      <c r="F403" s="555"/>
      <c r="G403" s="555"/>
      <c r="H403" s="555"/>
      <c r="I403" s="555"/>
      <c r="J403" s="555"/>
      <c r="K403" s="555"/>
      <c r="L403" s="555"/>
      <c r="M403" s="555"/>
      <c r="N403" s="555"/>
      <c r="O403" s="555"/>
      <c r="P403" s="555"/>
      <c r="Q403" s="555"/>
      <c r="R403" s="555"/>
      <c r="S403" s="555"/>
      <c r="T403" s="555"/>
      <c r="U403" s="555"/>
      <c r="V403" s="555"/>
      <c r="W403" s="555"/>
      <c r="X403" s="555"/>
      <c r="Y403" s="555"/>
      <c r="Z403" s="555"/>
      <c r="AA403" s="539"/>
      <c r="AB403" s="539"/>
      <c r="AC403" s="539"/>
    </row>
    <row r="404" spans="1:68" ht="27" hidden="1" customHeight="1" x14ac:dyDescent="0.25">
      <c r="A404" s="54" t="s">
        <v>622</v>
      </c>
      <c r="B404" s="54" t="s">
        <v>623</v>
      </c>
      <c r="C404" s="31">
        <v>4301020319</v>
      </c>
      <c r="D404" s="560">
        <v>4680115885240</v>
      </c>
      <c r="E404" s="561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87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1"/>
      <c r="R404" s="551"/>
      <c r="S404" s="551"/>
      <c r="T404" s="552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624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54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53" t="s">
        <v>71</v>
      </c>
      <c r="Q405" s="548"/>
      <c r="R405" s="548"/>
      <c r="S405" s="548"/>
      <c r="T405" s="548"/>
      <c r="U405" s="548"/>
      <c r="V405" s="549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hidden="1" x14ac:dyDescent="0.2">
      <c r="A406" s="555"/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6"/>
      <c r="P406" s="553" t="s">
        <v>71</v>
      </c>
      <c r="Q406" s="548"/>
      <c r="R406" s="548"/>
      <c r="S406" s="548"/>
      <c r="T406" s="548"/>
      <c r="U406" s="548"/>
      <c r="V406" s="549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hidden="1" customHeight="1" x14ac:dyDescent="0.25">
      <c r="A407" s="559" t="s">
        <v>64</v>
      </c>
      <c r="B407" s="555"/>
      <c r="C407" s="555"/>
      <c r="D407" s="555"/>
      <c r="E407" s="555"/>
      <c r="F407" s="555"/>
      <c r="G407" s="555"/>
      <c r="H407" s="555"/>
      <c r="I407" s="555"/>
      <c r="J407" s="555"/>
      <c r="K407" s="555"/>
      <c r="L407" s="555"/>
      <c r="M407" s="555"/>
      <c r="N407" s="555"/>
      <c r="O407" s="555"/>
      <c r="P407" s="555"/>
      <c r="Q407" s="555"/>
      <c r="R407" s="555"/>
      <c r="S407" s="555"/>
      <c r="T407" s="555"/>
      <c r="U407" s="555"/>
      <c r="V407" s="555"/>
      <c r="W407" s="555"/>
      <c r="X407" s="555"/>
      <c r="Y407" s="555"/>
      <c r="Z407" s="555"/>
      <c r="AA407" s="539"/>
      <c r="AB407" s="539"/>
      <c r="AC407" s="539"/>
    </row>
    <row r="408" spans="1:68" ht="27" customHeight="1" x14ac:dyDescent="0.25">
      <c r="A408" s="54" t="s">
        <v>625</v>
      </c>
      <c r="B408" s="54" t="s">
        <v>626</v>
      </c>
      <c r="C408" s="31">
        <v>4301031403</v>
      </c>
      <c r="D408" s="560">
        <v>4680115886094</v>
      </c>
      <c r="E408" s="561"/>
      <c r="F408" s="542">
        <v>0.9</v>
      </c>
      <c r="G408" s="32">
        <v>6</v>
      </c>
      <c r="H408" s="542">
        <v>5.4</v>
      </c>
      <c r="I408" s="542">
        <v>5.61</v>
      </c>
      <c r="J408" s="32">
        <v>132</v>
      </c>
      <c r="K408" s="32" t="s">
        <v>110</v>
      </c>
      <c r="L408" s="32" t="s">
        <v>111</v>
      </c>
      <c r="M408" s="33" t="s">
        <v>106</v>
      </c>
      <c r="N408" s="33"/>
      <c r="O408" s="32">
        <v>50</v>
      </c>
      <c r="P408" s="60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1"/>
      <c r="R408" s="551"/>
      <c r="S408" s="551"/>
      <c r="T408" s="552"/>
      <c r="U408" s="34"/>
      <c r="V408" s="34"/>
      <c r="W408" s="35" t="s">
        <v>69</v>
      </c>
      <c r="X408" s="543">
        <v>130</v>
      </c>
      <c r="Y408" s="544">
        <f>IFERROR(IF(X408="",0,CEILING((X408/$H408),1)*$H408),"")</f>
        <v>135</v>
      </c>
      <c r="Z408" s="36">
        <f>IFERROR(IF(Y408=0,"",ROUNDUP(Y408/H408,0)*0.00902),"")</f>
        <v>0.22550000000000001</v>
      </c>
      <c r="AA408" s="56"/>
      <c r="AB408" s="57"/>
      <c r="AC408" s="453" t="s">
        <v>627</v>
      </c>
      <c r="AG408" s="64"/>
      <c r="AJ408" s="68" t="s">
        <v>90</v>
      </c>
      <c r="AK408" s="68">
        <v>64.8</v>
      </c>
      <c r="BB408" s="454" t="s">
        <v>1</v>
      </c>
      <c r="BM408" s="64">
        <f>IFERROR(X408*I408/H408,"0")</f>
        <v>135.05555555555557</v>
      </c>
      <c r="BN408" s="64">
        <f>IFERROR(Y408*I408/H408,"0")</f>
        <v>140.25</v>
      </c>
      <c r="BO408" s="64">
        <f>IFERROR(1/J408*(X408/H408),"0")</f>
        <v>0.18237934904601572</v>
      </c>
      <c r="BP408" s="64">
        <f>IFERROR(1/J408*(Y408/H408),"0")</f>
        <v>0.18939393939393939</v>
      </c>
    </row>
    <row r="409" spans="1:68" ht="27" hidden="1" customHeight="1" x14ac:dyDescent="0.25">
      <c r="A409" s="54" t="s">
        <v>628</v>
      </c>
      <c r="B409" s="54" t="s">
        <v>629</v>
      </c>
      <c r="C409" s="31">
        <v>4301031363</v>
      </c>
      <c r="D409" s="560">
        <v>4607091389425</v>
      </c>
      <c r="E409" s="561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0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1"/>
      <c r="R409" s="551"/>
      <c r="S409" s="551"/>
      <c r="T409" s="552"/>
      <c r="U409" s="34"/>
      <c r="V409" s="34"/>
      <c r="W409" s="35" t="s">
        <v>69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631</v>
      </c>
      <c r="B410" s="54" t="s">
        <v>632</v>
      </c>
      <c r="C410" s="31">
        <v>4301031373</v>
      </c>
      <c r="D410" s="560">
        <v>4680115880771</v>
      </c>
      <c r="E410" s="561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60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1"/>
      <c r="R410" s="551"/>
      <c r="S410" s="551"/>
      <c r="T410" s="552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633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634</v>
      </c>
      <c r="B411" s="54" t="s">
        <v>635</v>
      </c>
      <c r="C411" s="31">
        <v>4301031359</v>
      </c>
      <c r="D411" s="560">
        <v>4607091389500</v>
      </c>
      <c r="E411" s="561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77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1"/>
      <c r="R411" s="551"/>
      <c r="S411" s="551"/>
      <c r="T411" s="552"/>
      <c r="U411" s="34"/>
      <c r="V411" s="34"/>
      <c r="W411" s="35" t="s">
        <v>69</v>
      </c>
      <c r="X411" s="543">
        <v>0</v>
      </c>
      <c r="Y411" s="544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54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53" t="s">
        <v>71</v>
      </c>
      <c r="Q412" s="548"/>
      <c r="R412" s="548"/>
      <c r="S412" s="548"/>
      <c r="T412" s="548"/>
      <c r="U412" s="548"/>
      <c r="V412" s="549"/>
      <c r="W412" s="37" t="s">
        <v>72</v>
      </c>
      <c r="X412" s="545">
        <f>IFERROR(X408/H408,"0")+IFERROR(X409/H409,"0")+IFERROR(X410/H410,"0")+IFERROR(X411/H411,"0")</f>
        <v>24.074074074074073</v>
      </c>
      <c r="Y412" s="545">
        <f>IFERROR(Y408/H408,"0")+IFERROR(Y409/H409,"0")+IFERROR(Y410/H410,"0")+IFERROR(Y411/H411,"0")</f>
        <v>25</v>
      </c>
      <c r="Z412" s="545">
        <f>IFERROR(IF(Z408="",0,Z408),"0")+IFERROR(IF(Z409="",0,Z409),"0")+IFERROR(IF(Z410="",0,Z410),"0")+IFERROR(IF(Z411="",0,Z411),"0")</f>
        <v>0.22550000000000001</v>
      </c>
      <c r="AA412" s="546"/>
      <c r="AB412" s="546"/>
      <c r="AC412" s="546"/>
    </row>
    <row r="413" spans="1:68" x14ac:dyDescent="0.2">
      <c r="A413" s="555"/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6"/>
      <c r="P413" s="553" t="s">
        <v>71</v>
      </c>
      <c r="Q413" s="548"/>
      <c r="R413" s="548"/>
      <c r="S413" s="548"/>
      <c r="T413" s="548"/>
      <c r="U413" s="548"/>
      <c r="V413" s="549"/>
      <c r="W413" s="37" t="s">
        <v>69</v>
      </c>
      <c r="X413" s="545">
        <f>IFERROR(SUM(X408:X411),"0")</f>
        <v>130</v>
      </c>
      <c r="Y413" s="545">
        <f>IFERROR(SUM(Y408:Y411),"0")</f>
        <v>135</v>
      </c>
      <c r="Z413" s="37"/>
      <c r="AA413" s="546"/>
      <c r="AB413" s="546"/>
      <c r="AC413" s="546"/>
    </row>
    <row r="414" spans="1:68" ht="16.5" hidden="1" customHeight="1" x14ac:dyDescent="0.25">
      <c r="A414" s="599" t="s">
        <v>636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8"/>
      <c r="AB414" s="538"/>
      <c r="AC414" s="538"/>
    </row>
    <row r="415" spans="1:68" ht="14.25" hidden="1" customHeight="1" x14ac:dyDescent="0.25">
      <c r="A415" s="559" t="s">
        <v>64</v>
      </c>
      <c r="B415" s="555"/>
      <c r="C415" s="555"/>
      <c r="D415" s="555"/>
      <c r="E415" s="555"/>
      <c r="F415" s="555"/>
      <c r="G415" s="555"/>
      <c r="H415" s="555"/>
      <c r="I415" s="555"/>
      <c r="J415" s="555"/>
      <c r="K415" s="555"/>
      <c r="L415" s="555"/>
      <c r="M415" s="555"/>
      <c r="N415" s="555"/>
      <c r="O415" s="555"/>
      <c r="P415" s="555"/>
      <c r="Q415" s="555"/>
      <c r="R415" s="555"/>
      <c r="S415" s="555"/>
      <c r="T415" s="555"/>
      <c r="U415" s="555"/>
      <c r="V415" s="555"/>
      <c r="W415" s="555"/>
      <c r="X415" s="555"/>
      <c r="Y415" s="555"/>
      <c r="Z415" s="555"/>
      <c r="AA415" s="539"/>
      <c r="AB415" s="539"/>
      <c r="AC415" s="539"/>
    </row>
    <row r="416" spans="1:68" ht="27" hidden="1" customHeight="1" x14ac:dyDescent="0.25">
      <c r="A416" s="54" t="s">
        <v>637</v>
      </c>
      <c r="B416" s="54" t="s">
        <v>638</v>
      </c>
      <c r="C416" s="31">
        <v>4301031347</v>
      </c>
      <c r="D416" s="560">
        <v>4680115885110</v>
      </c>
      <c r="E416" s="561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77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1"/>
      <c r="R416" s="551"/>
      <c r="S416" s="551"/>
      <c r="T416" s="552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639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54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53" t="s">
        <v>71</v>
      </c>
      <c r="Q417" s="548"/>
      <c r="R417" s="548"/>
      <c r="S417" s="548"/>
      <c r="T417" s="548"/>
      <c r="U417" s="548"/>
      <c r="V417" s="549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hidden="1" x14ac:dyDescent="0.2">
      <c r="A418" s="555"/>
      <c r="B418" s="555"/>
      <c r="C418" s="555"/>
      <c r="D418" s="555"/>
      <c r="E418" s="555"/>
      <c r="F418" s="555"/>
      <c r="G418" s="555"/>
      <c r="H418" s="555"/>
      <c r="I418" s="555"/>
      <c r="J418" s="555"/>
      <c r="K418" s="555"/>
      <c r="L418" s="555"/>
      <c r="M418" s="555"/>
      <c r="N418" s="555"/>
      <c r="O418" s="556"/>
      <c r="P418" s="553" t="s">
        <v>71</v>
      </c>
      <c r="Q418" s="548"/>
      <c r="R418" s="548"/>
      <c r="S418" s="548"/>
      <c r="T418" s="548"/>
      <c r="U418" s="548"/>
      <c r="V418" s="549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hidden="1" customHeight="1" x14ac:dyDescent="0.2">
      <c r="A419" s="647" t="s">
        <v>640</v>
      </c>
      <c r="B419" s="648"/>
      <c r="C419" s="648"/>
      <c r="D419" s="648"/>
      <c r="E419" s="648"/>
      <c r="F419" s="648"/>
      <c r="G419" s="648"/>
      <c r="H419" s="648"/>
      <c r="I419" s="648"/>
      <c r="J419" s="648"/>
      <c r="K419" s="648"/>
      <c r="L419" s="648"/>
      <c r="M419" s="648"/>
      <c r="N419" s="648"/>
      <c r="O419" s="648"/>
      <c r="P419" s="648"/>
      <c r="Q419" s="648"/>
      <c r="R419" s="648"/>
      <c r="S419" s="648"/>
      <c r="T419" s="648"/>
      <c r="U419" s="648"/>
      <c r="V419" s="648"/>
      <c r="W419" s="648"/>
      <c r="X419" s="648"/>
      <c r="Y419" s="648"/>
      <c r="Z419" s="648"/>
      <c r="AA419" s="48"/>
      <c r="AB419" s="48"/>
      <c r="AC419" s="48"/>
    </row>
    <row r="420" spans="1:68" ht="16.5" hidden="1" customHeight="1" x14ac:dyDescent="0.25">
      <c r="A420" s="599" t="s">
        <v>640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8"/>
      <c r="AB420" s="538"/>
      <c r="AC420" s="538"/>
    </row>
    <row r="421" spans="1:68" ht="14.25" hidden="1" customHeight="1" x14ac:dyDescent="0.25">
      <c r="A421" s="559" t="s">
        <v>101</v>
      </c>
      <c r="B421" s="555"/>
      <c r="C421" s="555"/>
      <c r="D421" s="555"/>
      <c r="E421" s="555"/>
      <c r="F421" s="555"/>
      <c r="G421" s="555"/>
      <c r="H421" s="555"/>
      <c r="I421" s="555"/>
      <c r="J421" s="555"/>
      <c r="K421" s="555"/>
      <c r="L421" s="555"/>
      <c r="M421" s="555"/>
      <c r="N421" s="555"/>
      <c r="O421" s="555"/>
      <c r="P421" s="555"/>
      <c r="Q421" s="555"/>
      <c r="R421" s="555"/>
      <c r="S421" s="555"/>
      <c r="T421" s="555"/>
      <c r="U421" s="555"/>
      <c r="V421" s="555"/>
      <c r="W421" s="555"/>
      <c r="X421" s="555"/>
      <c r="Y421" s="555"/>
      <c r="Z421" s="555"/>
      <c r="AA421" s="539"/>
      <c r="AB421" s="539"/>
      <c r="AC421" s="539"/>
    </row>
    <row r="422" spans="1:68" ht="27" hidden="1" customHeight="1" x14ac:dyDescent="0.25">
      <c r="A422" s="54" t="s">
        <v>641</v>
      </c>
      <c r="B422" s="54" t="s">
        <v>642</v>
      </c>
      <c r="C422" s="31">
        <v>4301011795</v>
      </c>
      <c r="D422" s="560">
        <v>4607091389067</v>
      </c>
      <c r="E422" s="561"/>
      <c r="F422" s="542">
        <v>0.88</v>
      </c>
      <c r="G422" s="32">
        <v>6</v>
      </c>
      <c r="H422" s="542">
        <v>5.28</v>
      </c>
      <c r="I422" s="542">
        <v>5.64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78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1"/>
      <c r="R422" s="551"/>
      <c r="S422" s="551"/>
      <c r="T422" s="552"/>
      <c r="U422" s="34"/>
      <c r="V422" s="34"/>
      <c r="W422" s="35" t="s">
        <v>69</v>
      </c>
      <c r="X422" s="543">
        <v>0</v>
      </c>
      <c r="Y422" s="544">
        <f t="shared" ref="Y422:Y432" si="47">IFERROR(IF(X422="",0,CEILING((X422/$H422),1)*$H422),"")</f>
        <v>0</v>
      </c>
      <c r="Z422" s="36" t="str">
        <f t="shared" ref="Z422:Z427" si="48">IFERROR(IF(Y422=0,"",ROUNDUP(Y422/H422,0)*0.01196),"")</f>
        <v/>
      </c>
      <c r="AA422" s="56"/>
      <c r="AB422" s="57"/>
      <c r="AC422" s="463" t="s">
        <v>107</v>
      </c>
      <c r="AG422" s="64"/>
      <c r="AJ422" s="68" t="s">
        <v>90</v>
      </c>
      <c r="AK422" s="68">
        <v>42.24</v>
      </c>
      <c r="BB422" s="464" t="s">
        <v>1</v>
      </c>
      <c r="BM422" s="64">
        <f t="shared" ref="BM422:BM432" si="49">IFERROR(X422*I422/H422,"0")</f>
        <v>0</v>
      </c>
      <c r="BN422" s="64">
        <f t="shared" ref="BN422:BN432" si="50">IFERROR(Y422*I422/H422,"0")</f>
        <v>0</v>
      </c>
      <c r="BO422" s="64">
        <f t="shared" ref="BO422:BO432" si="51">IFERROR(1/J422*(X422/H422),"0")</f>
        <v>0</v>
      </c>
      <c r="BP422" s="64">
        <f t="shared" ref="BP422:BP432" si="52">IFERROR(1/J422*(Y422/H422),"0")</f>
        <v>0</v>
      </c>
    </row>
    <row r="423" spans="1:68" ht="27" hidden="1" customHeight="1" x14ac:dyDescent="0.25">
      <c r="A423" s="54" t="s">
        <v>643</v>
      </c>
      <c r="B423" s="54" t="s">
        <v>644</v>
      </c>
      <c r="C423" s="31">
        <v>4301011961</v>
      </c>
      <c r="D423" s="560">
        <v>4680115885271</v>
      </c>
      <c r="E423" s="561"/>
      <c r="F423" s="542">
        <v>0.88</v>
      </c>
      <c r="G423" s="32">
        <v>6</v>
      </c>
      <c r="H423" s="542">
        <v>5.28</v>
      </c>
      <c r="I423" s="542">
        <v>5.64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80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51"/>
      <c r="R423" s="551"/>
      <c r="S423" s="551"/>
      <c r="T423" s="552"/>
      <c r="U423" s="34"/>
      <c r="V423" s="34"/>
      <c r="W423" s="35" t="s">
        <v>69</v>
      </c>
      <c r="X423" s="543">
        <v>0</v>
      </c>
      <c r="Y423" s="544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hidden="1" customHeight="1" x14ac:dyDescent="0.25">
      <c r="A424" s="54" t="s">
        <v>646</v>
      </c>
      <c r="B424" s="54" t="s">
        <v>647</v>
      </c>
      <c r="C424" s="31">
        <v>4301011376</v>
      </c>
      <c r="D424" s="560">
        <v>4680115885226</v>
      </c>
      <c r="E424" s="561"/>
      <c r="F424" s="542">
        <v>0.88</v>
      </c>
      <c r="G424" s="32">
        <v>6</v>
      </c>
      <c r="H424" s="542">
        <v>5.28</v>
      </c>
      <c r="I424" s="542">
        <v>5.64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5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51"/>
      <c r="R424" s="551"/>
      <c r="S424" s="551"/>
      <c r="T424" s="552"/>
      <c r="U424" s="34"/>
      <c r="V424" s="34"/>
      <c r="W424" s="35" t="s">
        <v>69</v>
      </c>
      <c r="X424" s="543">
        <v>0</v>
      </c>
      <c r="Y424" s="544">
        <f t="shared" si="47"/>
        <v>0</v>
      </c>
      <c r="Z424" s="36" t="str">
        <f t="shared" si="48"/>
        <v/>
      </c>
      <c r="AA424" s="56"/>
      <c r="AB424" s="57"/>
      <c r="AC424" s="467" t="s">
        <v>648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customHeight="1" x14ac:dyDescent="0.25">
      <c r="A425" s="54" t="s">
        <v>649</v>
      </c>
      <c r="B425" s="54" t="s">
        <v>650</v>
      </c>
      <c r="C425" s="31">
        <v>4301012145</v>
      </c>
      <c r="D425" s="560">
        <v>4607091383522</v>
      </c>
      <c r="E425" s="561"/>
      <c r="F425" s="542">
        <v>0.88</v>
      </c>
      <c r="G425" s="32">
        <v>6</v>
      </c>
      <c r="H425" s="542">
        <v>5.28</v>
      </c>
      <c r="I425" s="542">
        <v>5.64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5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5" s="551"/>
      <c r="R425" s="551"/>
      <c r="S425" s="551"/>
      <c r="T425" s="552"/>
      <c r="U425" s="34"/>
      <c r="V425" s="34"/>
      <c r="W425" s="35" t="s">
        <v>69</v>
      </c>
      <c r="X425" s="543">
        <v>100</v>
      </c>
      <c r="Y425" s="544">
        <f t="shared" si="47"/>
        <v>100.32000000000001</v>
      </c>
      <c r="Z425" s="36">
        <f t="shared" si="48"/>
        <v>0.22724</v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9"/>
        <v>106.81818181818181</v>
      </c>
      <c r="BN425" s="64">
        <f t="shared" si="50"/>
        <v>107.16</v>
      </c>
      <c r="BO425" s="64">
        <f t="shared" si="51"/>
        <v>0.18210955710955709</v>
      </c>
      <c r="BP425" s="64">
        <f t="shared" si="52"/>
        <v>0.18269230769230771</v>
      </c>
    </row>
    <row r="426" spans="1:68" ht="16.5" hidden="1" customHeight="1" x14ac:dyDescent="0.25">
      <c r="A426" s="54" t="s">
        <v>652</v>
      </c>
      <c r="B426" s="54" t="s">
        <v>653</v>
      </c>
      <c r="C426" s="31">
        <v>4301011774</v>
      </c>
      <c r="D426" s="560">
        <v>4680115884502</v>
      </c>
      <c r="E426" s="561"/>
      <c r="F426" s="542">
        <v>0.88</v>
      </c>
      <c r="G426" s="32">
        <v>6</v>
      </c>
      <c r="H426" s="542">
        <v>5.28</v>
      </c>
      <c r="I426" s="542">
        <v>5.64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7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1"/>
      <c r="R426" s="551"/>
      <c r="S426" s="551"/>
      <c r="T426" s="552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654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655</v>
      </c>
      <c r="B427" s="54" t="s">
        <v>656</v>
      </c>
      <c r="C427" s="31">
        <v>4301011771</v>
      </c>
      <c r="D427" s="560">
        <v>4607091389104</v>
      </c>
      <c r="E427" s="561"/>
      <c r="F427" s="542">
        <v>0.88</v>
      </c>
      <c r="G427" s="32">
        <v>6</v>
      </c>
      <c r="H427" s="542">
        <v>5.28</v>
      </c>
      <c r="I427" s="542">
        <v>5.64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76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1"/>
      <c r="R427" s="551"/>
      <c r="S427" s="551"/>
      <c r="T427" s="552"/>
      <c r="U427" s="34"/>
      <c r="V427" s="34"/>
      <c r="W427" s="35" t="s">
        <v>69</v>
      </c>
      <c r="X427" s="543">
        <v>120</v>
      </c>
      <c r="Y427" s="544">
        <f t="shared" si="47"/>
        <v>121.44000000000001</v>
      </c>
      <c r="Z427" s="36">
        <f t="shared" si="48"/>
        <v>0.27507999999999999</v>
      </c>
      <c r="AA427" s="56"/>
      <c r="AB427" s="57"/>
      <c r="AC427" s="473" t="s">
        <v>657</v>
      </c>
      <c r="AG427" s="64"/>
      <c r="AJ427" s="68" t="s">
        <v>90</v>
      </c>
      <c r="AK427" s="68">
        <v>42.24</v>
      </c>
      <c r="BB427" s="474" t="s">
        <v>1</v>
      </c>
      <c r="BM427" s="64">
        <f t="shared" si="49"/>
        <v>128.18181818181816</v>
      </c>
      <c r="BN427" s="64">
        <f t="shared" si="50"/>
        <v>129.72</v>
      </c>
      <c r="BO427" s="64">
        <f t="shared" si="51"/>
        <v>0.21853146853146854</v>
      </c>
      <c r="BP427" s="64">
        <f t="shared" si="52"/>
        <v>0.22115384615384617</v>
      </c>
    </row>
    <row r="428" spans="1:68" ht="27" hidden="1" customHeight="1" x14ac:dyDescent="0.25">
      <c r="A428" s="54" t="s">
        <v>658</v>
      </c>
      <c r="B428" s="54" t="s">
        <v>659</v>
      </c>
      <c r="C428" s="31">
        <v>4301012125</v>
      </c>
      <c r="D428" s="560">
        <v>4680115886391</v>
      </c>
      <c r="E428" s="561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77</v>
      </c>
      <c r="N428" s="33"/>
      <c r="O428" s="32">
        <v>60</v>
      </c>
      <c r="P428" s="79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1"/>
      <c r="R428" s="551"/>
      <c r="S428" s="551"/>
      <c r="T428" s="552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660</v>
      </c>
      <c r="B429" s="54" t="s">
        <v>661</v>
      </c>
      <c r="C429" s="31">
        <v>4301012035</v>
      </c>
      <c r="D429" s="560">
        <v>4680115880603</v>
      </c>
      <c r="E429" s="561"/>
      <c r="F429" s="542">
        <v>0.6</v>
      </c>
      <c r="G429" s="32">
        <v>8</v>
      </c>
      <c r="H429" s="542">
        <v>4.8</v>
      </c>
      <c r="I429" s="542">
        <v>6.93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79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1"/>
      <c r="R429" s="551"/>
      <c r="S429" s="551"/>
      <c r="T429" s="552"/>
      <c r="U429" s="34"/>
      <c r="V429" s="34"/>
      <c r="W429" s="35" t="s">
        <v>69</v>
      </c>
      <c r="X429" s="543">
        <v>0</v>
      </c>
      <c r="Y429" s="544">
        <f t="shared" si="47"/>
        <v>0</v>
      </c>
      <c r="Z429" s="36" t="str">
        <f>IFERROR(IF(Y429=0,"",ROUNDUP(Y429/H429,0)*0.00902),"")</f>
        <v/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662</v>
      </c>
      <c r="B430" s="54" t="s">
        <v>663</v>
      </c>
      <c r="C430" s="31">
        <v>4301012036</v>
      </c>
      <c r="D430" s="560">
        <v>4680115882782</v>
      </c>
      <c r="E430" s="561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63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1"/>
      <c r="R430" s="551"/>
      <c r="S430" s="551"/>
      <c r="T430" s="552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645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664</v>
      </c>
      <c r="B431" s="54" t="s">
        <v>665</v>
      </c>
      <c r="C431" s="31">
        <v>4301012050</v>
      </c>
      <c r="D431" s="560">
        <v>4680115885479</v>
      </c>
      <c r="E431" s="561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76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1"/>
      <c r="R431" s="551"/>
      <c r="S431" s="551"/>
      <c r="T431" s="552"/>
      <c r="U431" s="34"/>
      <c r="V431" s="34"/>
      <c r="W431" s="35" t="s">
        <v>69</v>
      </c>
      <c r="X431" s="543">
        <v>0</v>
      </c>
      <c r="Y431" s="544">
        <f t="shared" si="47"/>
        <v>0</v>
      </c>
      <c r="Z431" s="36" t="str">
        <f>IFERROR(IF(Y431=0,"",ROUNDUP(Y431/H431,0)*0.00651),"")</f>
        <v/>
      </c>
      <c r="AA431" s="56"/>
      <c r="AB431" s="57"/>
      <c r="AC431" s="481" t="s">
        <v>666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667</v>
      </c>
      <c r="B432" s="54" t="s">
        <v>668</v>
      </c>
      <c r="C432" s="31">
        <v>4301012034</v>
      </c>
      <c r="D432" s="560">
        <v>4607091389982</v>
      </c>
      <c r="E432" s="561"/>
      <c r="F432" s="542">
        <v>0.6</v>
      </c>
      <c r="G432" s="32">
        <v>8</v>
      </c>
      <c r="H432" s="542">
        <v>4.8</v>
      </c>
      <c r="I432" s="542">
        <v>6.93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85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1"/>
      <c r="R432" s="551"/>
      <c r="S432" s="551"/>
      <c r="T432" s="552"/>
      <c r="U432" s="34"/>
      <c r="V432" s="34"/>
      <c r="W432" s="35" t="s">
        <v>69</v>
      </c>
      <c r="X432" s="543">
        <v>0</v>
      </c>
      <c r="Y432" s="544">
        <f t="shared" si="47"/>
        <v>0</v>
      </c>
      <c r="Z432" s="36" t="str">
        <f>IFERROR(IF(Y432=0,"",ROUNDUP(Y432/H432,0)*0.00902),"")</f>
        <v/>
      </c>
      <c r="AA432" s="56"/>
      <c r="AB432" s="57"/>
      <c r="AC432" s="483" t="s">
        <v>657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x14ac:dyDescent="0.2">
      <c r="A433" s="554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53" t="s">
        <v>71</v>
      </c>
      <c r="Q433" s="548"/>
      <c r="R433" s="548"/>
      <c r="S433" s="548"/>
      <c r="T433" s="548"/>
      <c r="U433" s="548"/>
      <c r="V433" s="549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41.666666666666664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42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0.50231999999999999</v>
      </c>
      <c r="AA433" s="546"/>
      <c r="AB433" s="546"/>
      <c r="AC433" s="546"/>
    </row>
    <row r="434" spans="1:68" x14ac:dyDescent="0.2">
      <c r="A434" s="555"/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6"/>
      <c r="P434" s="553" t="s">
        <v>71</v>
      </c>
      <c r="Q434" s="548"/>
      <c r="R434" s="548"/>
      <c r="S434" s="548"/>
      <c r="T434" s="548"/>
      <c r="U434" s="548"/>
      <c r="V434" s="549"/>
      <c r="W434" s="37" t="s">
        <v>69</v>
      </c>
      <c r="X434" s="545">
        <f>IFERROR(SUM(X422:X432),"0")</f>
        <v>220</v>
      </c>
      <c r="Y434" s="545">
        <f>IFERROR(SUM(Y422:Y432),"0")</f>
        <v>221.76000000000002</v>
      </c>
      <c r="Z434" s="37"/>
      <c r="AA434" s="546"/>
      <c r="AB434" s="546"/>
      <c r="AC434" s="546"/>
    </row>
    <row r="435" spans="1:68" ht="14.25" hidden="1" customHeight="1" x14ac:dyDescent="0.25">
      <c r="A435" s="559" t="s">
        <v>136</v>
      </c>
      <c r="B435" s="555"/>
      <c r="C435" s="555"/>
      <c r="D435" s="555"/>
      <c r="E435" s="555"/>
      <c r="F435" s="555"/>
      <c r="G435" s="555"/>
      <c r="H435" s="555"/>
      <c r="I435" s="555"/>
      <c r="J435" s="555"/>
      <c r="K435" s="555"/>
      <c r="L435" s="555"/>
      <c r="M435" s="555"/>
      <c r="N435" s="555"/>
      <c r="O435" s="555"/>
      <c r="P435" s="555"/>
      <c r="Q435" s="555"/>
      <c r="R435" s="555"/>
      <c r="S435" s="555"/>
      <c r="T435" s="555"/>
      <c r="U435" s="555"/>
      <c r="V435" s="555"/>
      <c r="W435" s="555"/>
      <c r="X435" s="555"/>
      <c r="Y435" s="555"/>
      <c r="Z435" s="555"/>
      <c r="AA435" s="539"/>
      <c r="AB435" s="539"/>
      <c r="AC435" s="539"/>
    </row>
    <row r="436" spans="1:68" ht="16.5" customHeight="1" x14ac:dyDescent="0.25">
      <c r="A436" s="54" t="s">
        <v>669</v>
      </c>
      <c r="B436" s="54" t="s">
        <v>670</v>
      </c>
      <c r="C436" s="31">
        <v>4301020334</v>
      </c>
      <c r="D436" s="560">
        <v>4607091388930</v>
      </c>
      <c r="E436" s="561"/>
      <c r="F436" s="542">
        <v>0.88</v>
      </c>
      <c r="G436" s="32">
        <v>6</v>
      </c>
      <c r="H436" s="542">
        <v>5.28</v>
      </c>
      <c r="I436" s="542">
        <v>5.64</v>
      </c>
      <c r="J436" s="32">
        <v>104</v>
      </c>
      <c r="K436" s="32" t="s">
        <v>104</v>
      </c>
      <c r="L436" s="32" t="s">
        <v>105</v>
      </c>
      <c r="M436" s="33" t="s">
        <v>77</v>
      </c>
      <c r="N436" s="33"/>
      <c r="O436" s="32">
        <v>70</v>
      </c>
      <c r="P436" s="59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1"/>
      <c r="R436" s="551"/>
      <c r="S436" s="551"/>
      <c r="T436" s="552"/>
      <c r="U436" s="34"/>
      <c r="V436" s="34"/>
      <c r="W436" s="35" t="s">
        <v>69</v>
      </c>
      <c r="X436" s="543">
        <v>150</v>
      </c>
      <c r="Y436" s="544">
        <f>IFERROR(IF(X436="",0,CEILING((X436/$H436),1)*$H436),"")</f>
        <v>153.12</v>
      </c>
      <c r="Z436" s="36">
        <f>IFERROR(IF(Y436=0,"",ROUNDUP(Y436/H436,0)*0.01196),"")</f>
        <v>0.34683999999999998</v>
      </c>
      <c r="AA436" s="56"/>
      <c r="AB436" s="57"/>
      <c r="AC436" s="485" t="s">
        <v>671</v>
      </c>
      <c r="AG436" s="64"/>
      <c r="AJ436" s="68" t="s">
        <v>90</v>
      </c>
      <c r="AK436" s="68">
        <v>42.24</v>
      </c>
      <c r="BB436" s="486" t="s">
        <v>1</v>
      </c>
      <c r="BM436" s="64">
        <f>IFERROR(X436*I436/H436,"0")</f>
        <v>160.22727272727272</v>
      </c>
      <c r="BN436" s="64">
        <f>IFERROR(Y436*I436/H436,"0")</f>
        <v>163.56</v>
      </c>
      <c r="BO436" s="64">
        <f>IFERROR(1/J436*(X436/H436),"0")</f>
        <v>0.27316433566433568</v>
      </c>
      <c r="BP436" s="64">
        <f>IFERROR(1/J436*(Y436/H436),"0")</f>
        <v>0.27884615384615385</v>
      </c>
    </row>
    <row r="437" spans="1:68" ht="16.5" hidden="1" customHeight="1" x14ac:dyDescent="0.25">
      <c r="A437" s="54" t="s">
        <v>672</v>
      </c>
      <c r="B437" s="54" t="s">
        <v>673</v>
      </c>
      <c r="C437" s="31">
        <v>4301020384</v>
      </c>
      <c r="D437" s="560">
        <v>4680115886407</v>
      </c>
      <c r="E437" s="561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77</v>
      </c>
      <c r="N437" s="33"/>
      <c r="O437" s="32">
        <v>70</v>
      </c>
      <c r="P437" s="81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1"/>
      <c r="R437" s="551"/>
      <c r="S437" s="551"/>
      <c r="T437" s="552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671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hidden="1" customHeight="1" x14ac:dyDescent="0.25">
      <c r="A438" s="54" t="s">
        <v>674</v>
      </c>
      <c r="B438" s="54" t="s">
        <v>675</v>
      </c>
      <c r="C438" s="31">
        <v>4301020385</v>
      </c>
      <c r="D438" s="560">
        <v>4680115880054</v>
      </c>
      <c r="E438" s="561"/>
      <c r="F438" s="542">
        <v>0.6</v>
      </c>
      <c r="G438" s="32">
        <v>8</v>
      </c>
      <c r="H438" s="542">
        <v>4.8</v>
      </c>
      <c r="I438" s="542">
        <v>6.93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4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1"/>
      <c r="R438" s="551"/>
      <c r="S438" s="551"/>
      <c r="T438" s="552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671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554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53" t="s">
        <v>71</v>
      </c>
      <c r="Q439" s="548"/>
      <c r="R439" s="548"/>
      <c r="S439" s="548"/>
      <c r="T439" s="548"/>
      <c r="U439" s="548"/>
      <c r="V439" s="549"/>
      <c r="W439" s="37" t="s">
        <v>72</v>
      </c>
      <c r="X439" s="545">
        <f>IFERROR(X436/H436,"0")+IFERROR(X437/H437,"0")+IFERROR(X438/H438,"0")</f>
        <v>28.409090909090907</v>
      </c>
      <c r="Y439" s="545">
        <f>IFERROR(Y436/H436,"0")+IFERROR(Y437/H437,"0")+IFERROR(Y438/H438,"0")</f>
        <v>29</v>
      </c>
      <c r="Z439" s="545">
        <f>IFERROR(IF(Z436="",0,Z436),"0")+IFERROR(IF(Z437="",0,Z437),"0")+IFERROR(IF(Z438="",0,Z438),"0")</f>
        <v>0.34683999999999998</v>
      </c>
      <c r="AA439" s="546"/>
      <c r="AB439" s="546"/>
      <c r="AC439" s="546"/>
    </row>
    <row r="440" spans="1:68" x14ac:dyDescent="0.2">
      <c r="A440" s="555"/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6"/>
      <c r="P440" s="553" t="s">
        <v>71</v>
      </c>
      <c r="Q440" s="548"/>
      <c r="R440" s="548"/>
      <c r="S440" s="548"/>
      <c r="T440" s="548"/>
      <c r="U440" s="548"/>
      <c r="V440" s="549"/>
      <c r="W440" s="37" t="s">
        <v>69</v>
      </c>
      <c r="X440" s="545">
        <f>IFERROR(SUM(X436:X438),"0")</f>
        <v>150</v>
      </c>
      <c r="Y440" s="545">
        <f>IFERROR(SUM(Y436:Y438),"0")</f>
        <v>153.12</v>
      </c>
      <c r="Z440" s="37"/>
      <c r="AA440" s="546"/>
      <c r="AB440" s="546"/>
      <c r="AC440" s="546"/>
    </row>
    <row r="441" spans="1:68" ht="14.25" hidden="1" customHeight="1" x14ac:dyDescent="0.25">
      <c r="A441" s="559" t="s">
        <v>64</v>
      </c>
      <c r="B441" s="555"/>
      <c r="C441" s="555"/>
      <c r="D441" s="555"/>
      <c r="E441" s="555"/>
      <c r="F441" s="555"/>
      <c r="G441" s="555"/>
      <c r="H441" s="555"/>
      <c r="I441" s="555"/>
      <c r="J441" s="555"/>
      <c r="K441" s="555"/>
      <c r="L441" s="555"/>
      <c r="M441" s="555"/>
      <c r="N441" s="555"/>
      <c r="O441" s="555"/>
      <c r="P441" s="555"/>
      <c r="Q441" s="555"/>
      <c r="R441" s="555"/>
      <c r="S441" s="555"/>
      <c r="T441" s="555"/>
      <c r="U441" s="555"/>
      <c r="V441" s="555"/>
      <c r="W441" s="555"/>
      <c r="X441" s="555"/>
      <c r="Y441" s="555"/>
      <c r="Z441" s="555"/>
      <c r="AA441" s="539"/>
      <c r="AB441" s="539"/>
      <c r="AC441" s="539"/>
    </row>
    <row r="442" spans="1:68" ht="27" customHeight="1" x14ac:dyDescent="0.25">
      <c r="A442" s="54" t="s">
        <v>676</v>
      </c>
      <c r="B442" s="54" t="s">
        <v>677</v>
      </c>
      <c r="C442" s="31">
        <v>4301031349</v>
      </c>
      <c r="D442" s="560">
        <v>4680115883116</v>
      </c>
      <c r="E442" s="561"/>
      <c r="F442" s="542">
        <v>0.88</v>
      </c>
      <c r="G442" s="32">
        <v>6</v>
      </c>
      <c r="H442" s="542">
        <v>5.28</v>
      </c>
      <c r="I442" s="542">
        <v>5.64</v>
      </c>
      <c r="J442" s="32">
        <v>104</v>
      </c>
      <c r="K442" s="32" t="s">
        <v>104</v>
      </c>
      <c r="L442" s="32" t="s">
        <v>105</v>
      </c>
      <c r="M442" s="33" t="s">
        <v>106</v>
      </c>
      <c r="N442" s="33"/>
      <c r="O442" s="32">
        <v>70</v>
      </c>
      <c r="P442" s="7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1"/>
      <c r="R442" s="551"/>
      <c r="S442" s="551"/>
      <c r="T442" s="552"/>
      <c r="U442" s="34"/>
      <c r="V442" s="34"/>
      <c r="W442" s="35" t="s">
        <v>69</v>
      </c>
      <c r="X442" s="543">
        <v>110</v>
      </c>
      <c r="Y442" s="544">
        <f t="shared" ref="Y442:Y447" si="53">IFERROR(IF(X442="",0,CEILING((X442/$H442),1)*$H442),"")</f>
        <v>110.88000000000001</v>
      </c>
      <c r="Z442" s="36">
        <f>IFERROR(IF(Y442=0,"",ROUNDUP(Y442/H442,0)*0.01196),"")</f>
        <v>0.25115999999999999</v>
      </c>
      <c r="AA442" s="56"/>
      <c r="AB442" s="57"/>
      <c r="AC442" s="491" t="s">
        <v>678</v>
      </c>
      <c r="AG442" s="64"/>
      <c r="AJ442" s="68" t="s">
        <v>90</v>
      </c>
      <c r="AK442" s="68">
        <v>42.24</v>
      </c>
      <c r="BB442" s="492" t="s">
        <v>1</v>
      </c>
      <c r="BM442" s="64">
        <f t="shared" ref="BM442:BM447" si="54">IFERROR(X442*I442/H442,"0")</f>
        <v>117.49999999999999</v>
      </c>
      <c r="BN442" s="64">
        <f t="shared" ref="BN442:BN447" si="55">IFERROR(Y442*I442/H442,"0")</f>
        <v>118.44</v>
      </c>
      <c r="BO442" s="64">
        <f t="shared" ref="BO442:BO447" si="56">IFERROR(1/J442*(X442/H442),"0")</f>
        <v>0.20032051282051283</v>
      </c>
      <c r="BP442" s="64">
        <f t="shared" ref="BP442:BP447" si="57">IFERROR(1/J442*(Y442/H442),"0")</f>
        <v>0.20192307692307693</v>
      </c>
    </row>
    <row r="443" spans="1:68" ht="27" customHeight="1" x14ac:dyDescent="0.25">
      <c r="A443" s="54" t="s">
        <v>679</v>
      </c>
      <c r="B443" s="54" t="s">
        <v>680</v>
      </c>
      <c r="C443" s="31">
        <v>4301031350</v>
      </c>
      <c r="D443" s="560">
        <v>4680115883093</v>
      </c>
      <c r="E443" s="561"/>
      <c r="F443" s="542">
        <v>0.88</v>
      </c>
      <c r="G443" s="32">
        <v>6</v>
      </c>
      <c r="H443" s="542">
        <v>5.28</v>
      </c>
      <c r="I443" s="542">
        <v>5.64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84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1"/>
      <c r="R443" s="551"/>
      <c r="S443" s="551"/>
      <c r="T443" s="552"/>
      <c r="U443" s="34"/>
      <c r="V443" s="34"/>
      <c r="W443" s="35" t="s">
        <v>69</v>
      </c>
      <c r="X443" s="543">
        <v>90</v>
      </c>
      <c r="Y443" s="544">
        <f t="shared" si="53"/>
        <v>95.04</v>
      </c>
      <c r="Z443" s="36">
        <f>IFERROR(IF(Y443=0,"",ROUNDUP(Y443/H443,0)*0.01196),"")</f>
        <v>0.21528</v>
      </c>
      <c r="AA443" s="56"/>
      <c r="AB443" s="57"/>
      <c r="AC443" s="493" t="s">
        <v>681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96.136363636363626</v>
      </c>
      <c r="BN443" s="64">
        <f t="shared" si="55"/>
        <v>101.52000000000001</v>
      </c>
      <c r="BO443" s="64">
        <f t="shared" si="56"/>
        <v>0.16389860139860138</v>
      </c>
      <c r="BP443" s="64">
        <f t="shared" si="57"/>
        <v>0.17307692307692307</v>
      </c>
    </row>
    <row r="444" spans="1:68" ht="27" customHeight="1" x14ac:dyDescent="0.25">
      <c r="A444" s="54" t="s">
        <v>682</v>
      </c>
      <c r="B444" s="54" t="s">
        <v>683</v>
      </c>
      <c r="C444" s="31">
        <v>4301031353</v>
      </c>
      <c r="D444" s="560">
        <v>4680115883109</v>
      </c>
      <c r="E444" s="561"/>
      <c r="F444" s="542">
        <v>0.88</v>
      </c>
      <c r="G444" s="32">
        <v>6</v>
      </c>
      <c r="H444" s="542">
        <v>5.28</v>
      </c>
      <c r="I444" s="542">
        <v>5.64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60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1"/>
      <c r="R444" s="551"/>
      <c r="S444" s="551"/>
      <c r="T444" s="552"/>
      <c r="U444" s="34"/>
      <c r="V444" s="34"/>
      <c r="W444" s="35" t="s">
        <v>69</v>
      </c>
      <c r="X444" s="543">
        <v>120</v>
      </c>
      <c r="Y444" s="544">
        <f t="shared" si="53"/>
        <v>121.44000000000001</v>
      </c>
      <c r="Z444" s="36">
        <f>IFERROR(IF(Y444=0,"",ROUNDUP(Y444/H444,0)*0.01196),"")</f>
        <v>0.27507999999999999</v>
      </c>
      <c r="AA444" s="56"/>
      <c r="AB444" s="57"/>
      <c r="AC444" s="495" t="s">
        <v>684</v>
      </c>
      <c r="AG444" s="64"/>
      <c r="AJ444" s="68" t="s">
        <v>90</v>
      </c>
      <c r="AK444" s="68">
        <v>42.24</v>
      </c>
      <c r="BB444" s="496" t="s">
        <v>1</v>
      </c>
      <c r="BM444" s="64">
        <f t="shared" si="54"/>
        <v>128.18181818181816</v>
      </c>
      <c r="BN444" s="64">
        <f t="shared" si="55"/>
        <v>129.72</v>
      </c>
      <c r="BO444" s="64">
        <f t="shared" si="56"/>
        <v>0.21853146853146854</v>
      </c>
      <c r="BP444" s="64">
        <f t="shared" si="57"/>
        <v>0.22115384615384617</v>
      </c>
    </row>
    <row r="445" spans="1:68" ht="27" hidden="1" customHeight="1" x14ac:dyDescent="0.25">
      <c r="A445" s="54" t="s">
        <v>685</v>
      </c>
      <c r="B445" s="54" t="s">
        <v>686</v>
      </c>
      <c r="C445" s="31">
        <v>4301031419</v>
      </c>
      <c r="D445" s="560">
        <v>4680115882072</v>
      </c>
      <c r="E445" s="561"/>
      <c r="F445" s="542">
        <v>0.6</v>
      </c>
      <c r="G445" s="32">
        <v>8</v>
      </c>
      <c r="H445" s="542">
        <v>4.8</v>
      </c>
      <c r="I445" s="542">
        <v>6.93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84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1"/>
      <c r="R445" s="551"/>
      <c r="S445" s="551"/>
      <c r="T445" s="552"/>
      <c r="U445" s="34"/>
      <c r="V445" s="34"/>
      <c r="W445" s="35" t="s">
        <v>69</v>
      </c>
      <c r="X445" s="543">
        <v>0</v>
      </c>
      <c r="Y445" s="544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hidden="1" customHeight="1" x14ac:dyDescent="0.25">
      <c r="A446" s="54" t="s">
        <v>687</v>
      </c>
      <c r="B446" s="54" t="s">
        <v>688</v>
      </c>
      <c r="C446" s="31">
        <v>4301031418</v>
      </c>
      <c r="D446" s="560">
        <v>4680115882102</v>
      </c>
      <c r="E446" s="561"/>
      <c r="F446" s="542">
        <v>0.6</v>
      </c>
      <c r="G446" s="32">
        <v>8</v>
      </c>
      <c r="H446" s="542">
        <v>4.8</v>
      </c>
      <c r="I446" s="542">
        <v>6.69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2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1"/>
      <c r="R446" s="551"/>
      <c r="S446" s="551"/>
      <c r="T446" s="552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hidden="1" customHeight="1" x14ac:dyDescent="0.25">
      <c r="A447" s="54" t="s">
        <v>689</v>
      </c>
      <c r="B447" s="54" t="s">
        <v>690</v>
      </c>
      <c r="C447" s="31">
        <v>4301031417</v>
      </c>
      <c r="D447" s="560">
        <v>4680115882096</v>
      </c>
      <c r="E447" s="561"/>
      <c r="F447" s="542">
        <v>0.6</v>
      </c>
      <c r="G447" s="32">
        <v>8</v>
      </c>
      <c r="H447" s="542">
        <v>4.8</v>
      </c>
      <c r="I447" s="542">
        <v>6.69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60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1"/>
      <c r="R447" s="551"/>
      <c r="S447" s="551"/>
      <c r="T447" s="552"/>
      <c r="U447" s="34"/>
      <c r="V447" s="34"/>
      <c r="W447" s="35" t="s">
        <v>69</v>
      </c>
      <c r="X447" s="543">
        <v>0</v>
      </c>
      <c r="Y447" s="544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684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x14ac:dyDescent="0.2">
      <c r="A448" s="554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53" t="s">
        <v>71</v>
      </c>
      <c r="Q448" s="548"/>
      <c r="R448" s="548"/>
      <c r="S448" s="548"/>
      <c r="T448" s="548"/>
      <c r="U448" s="548"/>
      <c r="V448" s="549"/>
      <c r="W448" s="37" t="s">
        <v>72</v>
      </c>
      <c r="X448" s="545">
        <f>IFERROR(X442/H442,"0")+IFERROR(X443/H443,"0")+IFERROR(X444/H444,"0")+IFERROR(X445/H445,"0")+IFERROR(X446/H446,"0")+IFERROR(X447/H447,"0")</f>
        <v>60.606060606060602</v>
      </c>
      <c r="Y448" s="545">
        <f>IFERROR(Y442/H442,"0")+IFERROR(Y443/H443,"0")+IFERROR(Y444/H444,"0")+IFERROR(Y445/H445,"0")+IFERROR(Y446/H446,"0")+IFERROR(Y447/H447,"0")</f>
        <v>62</v>
      </c>
      <c r="Z448" s="545">
        <f>IFERROR(IF(Z442="",0,Z442),"0")+IFERROR(IF(Z443="",0,Z443),"0")+IFERROR(IF(Z444="",0,Z444),"0")+IFERROR(IF(Z445="",0,Z445),"0")+IFERROR(IF(Z446="",0,Z446),"0")+IFERROR(IF(Z447="",0,Z447),"0")</f>
        <v>0.74151999999999996</v>
      </c>
      <c r="AA448" s="546"/>
      <c r="AB448" s="546"/>
      <c r="AC448" s="546"/>
    </row>
    <row r="449" spans="1:68" x14ac:dyDescent="0.2">
      <c r="A449" s="555"/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6"/>
      <c r="P449" s="553" t="s">
        <v>71</v>
      </c>
      <c r="Q449" s="548"/>
      <c r="R449" s="548"/>
      <c r="S449" s="548"/>
      <c r="T449" s="548"/>
      <c r="U449" s="548"/>
      <c r="V449" s="549"/>
      <c r="W449" s="37" t="s">
        <v>69</v>
      </c>
      <c r="X449" s="545">
        <f>IFERROR(SUM(X442:X447),"0")</f>
        <v>320</v>
      </c>
      <c r="Y449" s="545">
        <f>IFERROR(SUM(Y442:Y447),"0")</f>
        <v>327.36</v>
      </c>
      <c r="Z449" s="37"/>
      <c r="AA449" s="546"/>
      <c r="AB449" s="546"/>
      <c r="AC449" s="546"/>
    </row>
    <row r="450" spans="1:68" ht="14.25" hidden="1" customHeight="1" x14ac:dyDescent="0.25">
      <c r="A450" s="559" t="s">
        <v>73</v>
      </c>
      <c r="B450" s="555"/>
      <c r="C450" s="555"/>
      <c r="D450" s="555"/>
      <c r="E450" s="555"/>
      <c r="F450" s="555"/>
      <c r="G450" s="555"/>
      <c r="H450" s="555"/>
      <c r="I450" s="555"/>
      <c r="J450" s="555"/>
      <c r="K450" s="555"/>
      <c r="L450" s="555"/>
      <c r="M450" s="555"/>
      <c r="N450" s="555"/>
      <c r="O450" s="555"/>
      <c r="P450" s="555"/>
      <c r="Q450" s="555"/>
      <c r="R450" s="555"/>
      <c r="S450" s="555"/>
      <c r="T450" s="555"/>
      <c r="U450" s="555"/>
      <c r="V450" s="555"/>
      <c r="W450" s="555"/>
      <c r="X450" s="555"/>
      <c r="Y450" s="555"/>
      <c r="Z450" s="555"/>
      <c r="AA450" s="539"/>
      <c r="AB450" s="539"/>
      <c r="AC450" s="539"/>
    </row>
    <row r="451" spans="1:68" ht="16.5" hidden="1" customHeight="1" x14ac:dyDescent="0.25">
      <c r="A451" s="54" t="s">
        <v>691</v>
      </c>
      <c r="B451" s="54" t="s">
        <v>692</v>
      </c>
      <c r="C451" s="31">
        <v>4301051232</v>
      </c>
      <c r="D451" s="560">
        <v>4607091383409</v>
      </c>
      <c r="E451" s="561"/>
      <c r="F451" s="542">
        <v>1.3</v>
      </c>
      <c r="G451" s="32">
        <v>6</v>
      </c>
      <c r="H451" s="542">
        <v>7.8</v>
      </c>
      <c r="I451" s="542">
        <v>8.3010000000000002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37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1"/>
      <c r="R451" s="551"/>
      <c r="S451" s="551"/>
      <c r="T451" s="552"/>
      <c r="U451" s="34"/>
      <c r="V451" s="34"/>
      <c r="W451" s="35" t="s">
        <v>69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hidden="1" customHeight="1" x14ac:dyDescent="0.25">
      <c r="A452" s="54" t="s">
        <v>694</v>
      </c>
      <c r="B452" s="54" t="s">
        <v>695</v>
      </c>
      <c r="C452" s="31">
        <v>4301051233</v>
      </c>
      <c r="D452" s="560">
        <v>4607091383416</v>
      </c>
      <c r="E452" s="561"/>
      <c r="F452" s="542">
        <v>1.3</v>
      </c>
      <c r="G452" s="32">
        <v>6</v>
      </c>
      <c r="H452" s="542">
        <v>7.8</v>
      </c>
      <c r="I452" s="542">
        <v>8.3010000000000002</v>
      </c>
      <c r="J452" s="32">
        <v>64</v>
      </c>
      <c r="K452" s="32" t="s">
        <v>104</v>
      </c>
      <c r="L452" s="32"/>
      <c r="M452" s="33" t="s">
        <v>77</v>
      </c>
      <c r="N452" s="33"/>
      <c r="O452" s="32">
        <v>45</v>
      </c>
      <c r="P452" s="86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1"/>
      <c r="R452" s="551"/>
      <c r="S452" s="551"/>
      <c r="T452" s="552"/>
      <c r="U452" s="34"/>
      <c r="V452" s="34"/>
      <c r="W452" s="35" t="s">
        <v>69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697</v>
      </c>
      <c r="B453" s="54" t="s">
        <v>698</v>
      </c>
      <c r="C453" s="31">
        <v>4301051064</v>
      </c>
      <c r="D453" s="560">
        <v>4680115883536</v>
      </c>
      <c r="E453" s="561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77</v>
      </c>
      <c r="N453" s="33"/>
      <c r="O453" s="32">
        <v>45</v>
      </c>
      <c r="P453" s="84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1"/>
      <c r="R453" s="551"/>
      <c r="S453" s="551"/>
      <c r="T453" s="552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699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554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53" t="s">
        <v>71</v>
      </c>
      <c r="Q454" s="548"/>
      <c r="R454" s="548"/>
      <c r="S454" s="548"/>
      <c r="T454" s="548"/>
      <c r="U454" s="548"/>
      <c r="V454" s="549"/>
      <c r="W454" s="37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hidden="1" x14ac:dyDescent="0.2">
      <c r="A455" s="555"/>
      <c r="B455" s="555"/>
      <c r="C455" s="555"/>
      <c r="D455" s="555"/>
      <c r="E455" s="555"/>
      <c r="F455" s="555"/>
      <c r="G455" s="555"/>
      <c r="H455" s="555"/>
      <c r="I455" s="555"/>
      <c r="J455" s="555"/>
      <c r="K455" s="555"/>
      <c r="L455" s="555"/>
      <c r="M455" s="555"/>
      <c r="N455" s="555"/>
      <c r="O455" s="556"/>
      <c r="P455" s="553" t="s">
        <v>71</v>
      </c>
      <c r="Q455" s="548"/>
      <c r="R455" s="548"/>
      <c r="S455" s="548"/>
      <c r="T455" s="548"/>
      <c r="U455" s="548"/>
      <c r="V455" s="549"/>
      <c r="W455" s="37" t="s">
        <v>69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hidden="1" customHeight="1" x14ac:dyDescent="0.2">
      <c r="A456" s="647" t="s">
        <v>700</v>
      </c>
      <c r="B456" s="648"/>
      <c r="C456" s="648"/>
      <c r="D456" s="648"/>
      <c r="E456" s="648"/>
      <c r="F456" s="648"/>
      <c r="G456" s="648"/>
      <c r="H456" s="648"/>
      <c r="I456" s="648"/>
      <c r="J456" s="648"/>
      <c r="K456" s="648"/>
      <c r="L456" s="648"/>
      <c r="M456" s="648"/>
      <c r="N456" s="648"/>
      <c r="O456" s="648"/>
      <c r="P456" s="648"/>
      <c r="Q456" s="648"/>
      <c r="R456" s="648"/>
      <c r="S456" s="648"/>
      <c r="T456" s="648"/>
      <c r="U456" s="648"/>
      <c r="V456" s="648"/>
      <c r="W456" s="648"/>
      <c r="X456" s="648"/>
      <c r="Y456" s="648"/>
      <c r="Z456" s="648"/>
      <c r="AA456" s="48"/>
      <c r="AB456" s="48"/>
      <c r="AC456" s="48"/>
    </row>
    <row r="457" spans="1:68" ht="16.5" hidden="1" customHeight="1" x14ac:dyDescent="0.25">
      <c r="A457" s="599" t="s">
        <v>700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8"/>
      <c r="AB457" s="538"/>
      <c r="AC457" s="538"/>
    </row>
    <row r="458" spans="1:68" ht="14.25" hidden="1" customHeight="1" x14ac:dyDescent="0.25">
      <c r="A458" s="559" t="s">
        <v>101</v>
      </c>
      <c r="B458" s="555"/>
      <c r="C458" s="555"/>
      <c r="D458" s="555"/>
      <c r="E458" s="555"/>
      <c r="F458" s="555"/>
      <c r="G458" s="555"/>
      <c r="H458" s="555"/>
      <c r="I458" s="555"/>
      <c r="J458" s="555"/>
      <c r="K458" s="555"/>
      <c r="L458" s="555"/>
      <c r="M458" s="555"/>
      <c r="N458" s="555"/>
      <c r="O458" s="555"/>
      <c r="P458" s="555"/>
      <c r="Q458" s="555"/>
      <c r="R458" s="555"/>
      <c r="S458" s="555"/>
      <c r="T458" s="555"/>
      <c r="U458" s="555"/>
      <c r="V458" s="555"/>
      <c r="W458" s="555"/>
      <c r="X458" s="555"/>
      <c r="Y458" s="555"/>
      <c r="Z458" s="555"/>
      <c r="AA458" s="539"/>
      <c r="AB458" s="539"/>
      <c r="AC458" s="539"/>
    </row>
    <row r="459" spans="1:68" ht="27" hidden="1" customHeight="1" x14ac:dyDescent="0.25">
      <c r="A459" s="54" t="s">
        <v>701</v>
      </c>
      <c r="B459" s="54" t="s">
        <v>702</v>
      </c>
      <c r="C459" s="31">
        <v>4301011763</v>
      </c>
      <c r="D459" s="560">
        <v>4640242181011</v>
      </c>
      <c r="E459" s="561"/>
      <c r="F459" s="542">
        <v>1.35</v>
      </c>
      <c r="G459" s="32">
        <v>8</v>
      </c>
      <c r="H459" s="542">
        <v>10.8</v>
      </c>
      <c r="I459" s="542">
        <v>11.234999999999999</v>
      </c>
      <c r="J459" s="32">
        <v>64</v>
      </c>
      <c r="K459" s="32" t="s">
        <v>104</v>
      </c>
      <c r="L459" s="32"/>
      <c r="M459" s="33" t="s">
        <v>77</v>
      </c>
      <c r="N459" s="33"/>
      <c r="O459" s="32">
        <v>55</v>
      </c>
      <c r="P459" s="70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1"/>
      <c r="R459" s="551"/>
      <c r="S459" s="551"/>
      <c r="T459" s="552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704</v>
      </c>
      <c r="B460" s="54" t="s">
        <v>705</v>
      </c>
      <c r="C460" s="31">
        <v>4301011585</v>
      </c>
      <c r="D460" s="560">
        <v>4640242180441</v>
      </c>
      <c r="E460" s="561"/>
      <c r="F460" s="542">
        <v>1.5</v>
      </c>
      <c r="G460" s="32">
        <v>8</v>
      </c>
      <c r="H460" s="542">
        <v>12</v>
      </c>
      <c r="I460" s="542">
        <v>12.435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67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1"/>
      <c r="R460" s="551"/>
      <c r="S460" s="551"/>
      <c r="T460" s="552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706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707</v>
      </c>
      <c r="B461" s="54" t="s">
        <v>708</v>
      </c>
      <c r="C461" s="31">
        <v>4301011584</v>
      </c>
      <c r="D461" s="560">
        <v>4640242180564</v>
      </c>
      <c r="E461" s="561"/>
      <c r="F461" s="542">
        <v>1.5</v>
      </c>
      <c r="G461" s="32">
        <v>8</v>
      </c>
      <c r="H461" s="542">
        <v>12</v>
      </c>
      <c r="I461" s="542">
        <v>12.435</v>
      </c>
      <c r="J461" s="32">
        <v>64</v>
      </c>
      <c r="K461" s="32" t="s">
        <v>104</v>
      </c>
      <c r="L461" s="32" t="s">
        <v>105</v>
      </c>
      <c r="M461" s="33" t="s">
        <v>106</v>
      </c>
      <c r="N461" s="33"/>
      <c r="O461" s="32">
        <v>50</v>
      </c>
      <c r="P461" s="66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1"/>
      <c r="R461" s="551"/>
      <c r="S461" s="551"/>
      <c r="T461" s="552"/>
      <c r="U461" s="34"/>
      <c r="V461" s="34"/>
      <c r="W461" s="35" t="s">
        <v>69</v>
      </c>
      <c r="X461" s="543">
        <v>120</v>
      </c>
      <c r="Y461" s="544">
        <f>IFERROR(IF(X461="",0,CEILING((X461/$H461),1)*$H461),"")</f>
        <v>120</v>
      </c>
      <c r="Z461" s="36">
        <f>IFERROR(IF(Y461=0,"",ROUNDUP(Y461/H461,0)*0.01898),"")</f>
        <v>0.1898</v>
      </c>
      <c r="AA461" s="56"/>
      <c r="AB461" s="57"/>
      <c r="AC461" s="513" t="s">
        <v>709</v>
      </c>
      <c r="AG461" s="64"/>
      <c r="AJ461" s="68" t="s">
        <v>90</v>
      </c>
      <c r="AK461" s="68">
        <v>96</v>
      </c>
      <c r="BB461" s="514" t="s">
        <v>1</v>
      </c>
      <c r="BM461" s="64">
        <f>IFERROR(X461*I461/H461,"0")</f>
        <v>124.35000000000001</v>
      </c>
      <c r="BN461" s="64">
        <f>IFERROR(Y461*I461/H461,"0")</f>
        <v>124.35000000000001</v>
      </c>
      <c r="BO461" s="64">
        <f>IFERROR(1/J461*(X461/H461),"0")</f>
        <v>0.15625</v>
      </c>
      <c r="BP461" s="64">
        <f>IFERROR(1/J461*(Y461/H461),"0")</f>
        <v>0.15625</v>
      </c>
    </row>
    <row r="462" spans="1:68" ht="27" hidden="1" customHeight="1" x14ac:dyDescent="0.25">
      <c r="A462" s="54" t="s">
        <v>710</v>
      </c>
      <c r="B462" s="54" t="s">
        <v>711</v>
      </c>
      <c r="C462" s="31">
        <v>4301011764</v>
      </c>
      <c r="D462" s="560">
        <v>4640242181189</v>
      </c>
      <c r="E462" s="561"/>
      <c r="F462" s="542">
        <v>0.4</v>
      </c>
      <c r="G462" s="32">
        <v>10</v>
      </c>
      <c r="H462" s="542">
        <v>4</v>
      </c>
      <c r="I462" s="542">
        <v>4.21</v>
      </c>
      <c r="J462" s="32">
        <v>132</v>
      </c>
      <c r="K462" s="32" t="s">
        <v>110</v>
      </c>
      <c r="L462" s="32"/>
      <c r="M462" s="33" t="s">
        <v>77</v>
      </c>
      <c r="N462" s="33"/>
      <c r="O462" s="32">
        <v>55</v>
      </c>
      <c r="P462" s="66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1"/>
      <c r="R462" s="551"/>
      <c r="S462" s="551"/>
      <c r="T462" s="552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703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54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53" t="s">
        <v>71</v>
      </c>
      <c r="Q463" s="548"/>
      <c r="R463" s="548"/>
      <c r="S463" s="548"/>
      <c r="T463" s="548"/>
      <c r="U463" s="548"/>
      <c r="V463" s="549"/>
      <c r="W463" s="37" t="s">
        <v>72</v>
      </c>
      <c r="X463" s="545">
        <f>IFERROR(X459/H459,"0")+IFERROR(X460/H460,"0")+IFERROR(X461/H461,"0")+IFERROR(X462/H462,"0")</f>
        <v>10</v>
      </c>
      <c r="Y463" s="545">
        <f>IFERROR(Y459/H459,"0")+IFERROR(Y460/H460,"0")+IFERROR(Y461/H461,"0")+IFERROR(Y462/H462,"0")</f>
        <v>10</v>
      </c>
      <c r="Z463" s="545">
        <f>IFERROR(IF(Z459="",0,Z459),"0")+IFERROR(IF(Z460="",0,Z460),"0")+IFERROR(IF(Z461="",0,Z461),"0")+IFERROR(IF(Z462="",0,Z462),"0")</f>
        <v>0.1898</v>
      </c>
      <c r="AA463" s="546"/>
      <c r="AB463" s="546"/>
      <c r="AC463" s="546"/>
    </row>
    <row r="464" spans="1:68" x14ac:dyDescent="0.2">
      <c r="A464" s="555"/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6"/>
      <c r="P464" s="553" t="s">
        <v>71</v>
      </c>
      <c r="Q464" s="548"/>
      <c r="R464" s="548"/>
      <c r="S464" s="548"/>
      <c r="T464" s="548"/>
      <c r="U464" s="548"/>
      <c r="V464" s="549"/>
      <c r="W464" s="37" t="s">
        <v>69</v>
      </c>
      <c r="X464" s="545">
        <f>IFERROR(SUM(X459:X462),"0")</f>
        <v>120</v>
      </c>
      <c r="Y464" s="545">
        <f>IFERROR(SUM(Y459:Y462),"0")</f>
        <v>120</v>
      </c>
      <c r="Z464" s="37"/>
      <c r="AA464" s="546"/>
      <c r="AB464" s="546"/>
      <c r="AC464" s="546"/>
    </row>
    <row r="465" spans="1:68" ht="14.25" hidden="1" customHeight="1" x14ac:dyDescent="0.25">
      <c r="A465" s="559" t="s">
        <v>136</v>
      </c>
      <c r="B465" s="555"/>
      <c r="C465" s="555"/>
      <c r="D465" s="555"/>
      <c r="E465" s="555"/>
      <c r="F465" s="555"/>
      <c r="G465" s="555"/>
      <c r="H465" s="555"/>
      <c r="I465" s="555"/>
      <c r="J465" s="555"/>
      <c r="K465" s="555"/>
      <c r="L465" s="555"/>
      <c r="M465" s="555"/>
      <c r="N465" s="555"/>
      <c r="O465" s="555"/>
      <c r="P465" s="555"/>
      <c r="Q465" s="555"/>
      <c r="R465" s="555"/>
      <c r="S465" s="555"/>
      <c r="T465" s="555"/>
      <c r="U465" s="555"/>
      <c r="V465" s="555"/>
      <c r="W465" s="555"/>
      <c r="X465" s="555"/>
      <c r="Y465" s="555"/>
      <c r="Z465" s="555"/>
      <c r="AA465" s="539"/>
      <c r="AB465" s="539"/>
      <c r="AC465" s="539"/>
    </row>
    <row r="466" spans="1:68" ht="27" hidden="1" customHeight="1" x14ac:dyDescent="0.25">
      <c r="A466" s="54" t="s">
        <v>712</v>
      </c>
      <c r="B466" s="54" t="s">
        <v>713</v>
      </c>
      <c r="C466" s="31">
        <v>4301020400</v>
      </c>
      <c r="D466" s="560">
        <v>4640242180519</v>
      </c>
      <c r="E466" s="561"/>
      <c r="F466" s="542">
        <v>1.5</v>
      </c>
      <c r="G466" s="32">
        <v>8</v>
      </c>
      <c r="H466" s="542">
        <v>12</v>
      </c>
      <c r="I466" s="542">
        <v>12.435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80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1"/>
      <c r="R466" s="551"/>
      <c r="S466" s="551"/>
      <c r="T466" s="552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715</v>
      </c>
      <c r="B467" s="54" t="s">
        <v>716</v>
      </c>
      <c r="C467" s="31">
        <v>4301020260</v>
      </c>
      <c r="D467" s="560">
        <v>4640242180526</v>
      </c>
      <c r="E467" s="561"/>
      <c r="F467" s="542">
        <v>1.8</v>
      </c>
      <c r="G467" s="32">
        <v>6</v>
      </c>
      <c r="H467" s="542">
        <v>10.8</v>
      </c>
      <c r="I467" s="542">
        <v>11.234999999999999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78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1"/>
      <c r="R467" s="551"/>
      <c r="S467" s="551"/>
      <c r="T467" s="552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718</v>
      </c>
      <c r="B468" s="54" t="s">
        <v>719</v>
      </c>
      <c r="C468" s="31">
        <v>4301020295</v>
      </c>
      <c r="D468" s="560">
        <v>4640242181363</v>
      </c>
      <c r="E468" s="561"/>
      <c r="F468" s="542">
        <v>0.4</v>
      </c>
      <c r="G468" s="32">
        <v>10</v>
      </c>
      <c r="H468" s="542">
        <v>4</v>
      </c>
      <c r="I468" s="542">
        <v>4.21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87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1"/>
      <c r="R468" s="551"/>
      <c r="S468" s="551"/>
      <c r="T468" s="552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720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54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53" t="s">
        <v>71</v>
      </c>
      <c r="Q469" s="548"/>
      <c r="R469" s="548"/>
      <c r="S469" s="548"/>
      <c r="T469" s="548"/>
      <c r="U469" s="548"/>
      <c r="V469" s="549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hidden="1" x14ac:dyDescent="0.2">
      <c r="A470" s="555"/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6"/>
      <c r="P470" s="553" t="s">
        <v>71</v>
      </c>
      <c r="Q470" s="548"/>
      <c r="R470" s="548"/>
      <c r="S470" s="548"/>
      <c r="T470" s="548"/>
      <c r="U470" s="548"/>
      <c r="V470" s="549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hidden="1" customHeight="1" x14ac:dyDescent="0.25">
      <c r="A471" s="559" t="s">
        <v>64</v>
      </c>
      <c r="B471" s="555"/>
      <c r="C471" s="555"/>
      <c r="D471" s="555"/>
      <c r="E471" s="555"/>
      <c r="F471" s="555"/>
      <c r="G471" s="555"/>
      <c r="H471" s="555"/>
      <c r="I471" s="555"/>
      <c r="J471" s="555"/>
      <c r="K471" s="555"/>
      <c r="L471" s="555"/>
      <c r="M471" s="555"/>
      <c r="N471" s="555"/>
      <c r="O471" s="555"/>
      <c r="P471" s="555"/>
      <c r="Q471" s="555"/>
      <c r="R471" s="555"/>
      <c r="S471" s="555"/>
      <c r="T471" s="555"/>
      <c r="U471" s="555"/>
      <c r="V471" s="555"/>
      <c r="W471" s="555"/>
      <c r="X471" s="555"/>
      <c r="Y471" s="555"/>
      <c r="Z471" s="555"/>
      <c r="AA471" s="539"/>
      <c r="AB471" s="539"/>
      <c r="AC471" s="539"/>
    </row>
    <row r="472" spans="1:68" ht="27" customHeight="1" x14ac:dyDescent="0.25">
      <c r="A472" s="54" t="s">
        <v>721</v>
      </c>
      <c r="B472" s="54" t="s">
        <v>722</v>
      </c>
      <c r="C472" s="31">
        <v>4301031280</v>
      </c>
      <c r="D472" s="560">
        <v>4640242180816</v>
      </c>
      <c r="E472" s="561"/>
      <c r="F472" s="542">
        <v>0.7</v>
      </c>
      <c r="G472" s="32">
        <v>6</v>
      </c>
      <c r="H472" s="542">
        <v>4.2</v>
      </c>
      <c r="I472" s="542">
        <v>4.47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69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1"/>
      <c r="R472" s="551"/>
      <c r="S472" s="551"/>
      <c r="T472" s="552"/>
      <c r="U472" s="34"/>
      <c r="V472" s="34"/>
      <c r="W472" s="35" t="s">
        <v>69</v>
      </c>
      <c r="X472" s="543">
        <v>60</v>
      </c>
      <c r="Y472" s="544">
        <f>IFERROR(IF(X472="",0,CEILING((X472/$H472),1)*$H472),"")</f>
        <v>63</v>
      </c>
      <c r="Z472" s="36">
        <f>IFERROR(IF(Y472=0,"",ROUNDUP(Y472/H472,0)*0.00902),"")</f>
        <v>0.1353</v>
      </c>
      <c r="AA472" s="56"/>
      <c r="AB472" s="57"/>
      <c r="AC472" s="523" t="s">
        <v>723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63.857142857142854</v>
      </c>
      <c r="BN472" s="64">
        <f>IFERROR(Y472*I472/H472,"0")</f>
        <v>67.049999999999983</v>
      </c>
      <c r="BO472" s="64">
        <f>IFERROR(1/J472*(X472/H472),"0")</f>
        <v>0.10822510822510822</v>
      </c>
      <c r="BP472" s="64">
        <f>IFERROR(1/J472*(Y472/H472),"0")</f>
        <v>0.11363636363636365</v>
      </c>
    </row>
    <row r="473" spans="1:68" ht="27" customHeight="1" x14ac:dyDescent="0.25">
      <c r="A473" s="54" t="s">
        <v>724</v>
      </c>
      <c r="B473" s="54" t="s">
        <v>725</v>
      </c>
      <c r="C473" s="31">
        <v>4301031244</v>
      </c>
      <c r="D473" s="560">
        <v>4640242180595</v>
      </c>
      <c r="E473" s="561"/>
      <c r="F473" s="542">
        <v>0.7</v>
      </c>
      <c r="G473" s="32">
        <v>6</v>
      </c>
      <c r="H473" s="542">
        <v>4.2</v>
      </c>
      <c r="I473" s="542">
        <v>4.47</v>
      </c>
      <c r="J473" s="32">
        <v>132</v>
      </c>
      <c r="K473" s="32" t="s">
        <v>110</v>
      </c>
      <c r="L473" s="32" t="s">
        <v>111</v>
      </c>
      <c r="M473" s="33" t="s">
        <v>68</v>
      </c>
      <c r="N473" s="33"/>
      <c r="O473" s="32">
        <v>40</v>
      </c>
      <c r="P473" s="847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1"/>
      <c r="R473" s="551"/>
      <c r="S473" s="551"/>
      <c r="T473" s="552"/>
      <c r="U473" s="34"/>
      <c r="V473" s="34"/>
      <c r="W473" s="35" t="s">
        <v>69</v>
      </c>
      <c r="X473" s="543">
        <v>60</v>
      </c>
      <c r="Y473" s="544">
        <f>IFERROR(IF(X473="",0,CEILING((X473/$H473),1)*$H473),"")</f>
        <v>63</v>
      </c>
      <c r="Z473" s="36">
        <f>IFERROR(IF(Y473=0,"",ROUNDUP(Y473/H473,0)*0.00902),"")</f>
        <v>0.1353</v>
      </c>
      <c r="AA473" s="56"/>
      <c r="AB473" s="57"/>
      <c r="AC473" s="525" t="s">
        <v>726</v>
      </c>
      <c r="AG473" s="64"/>
      <c r="AJ473" s="68" t="s">
        <v>90</v>
      </c>
      <c r="AK473" s="68">
        <v>50.4</v>
      </c>
      <c r="BB473" s="526" t="s">
        <v>1</v>
      </c>
      <c r="BM473" s="64">
        <f>IFERROR(X473*I473/H473,"0")</f>
        <v>63.857142857142854</v>
      </c>
      <c r="BN473" s="64">
        <f>IFERROR(Y473*I473/H473,"0")</f>
        <v>67.049999999999983</v>
      </c>
      <c r="BO473" s="64">
        <f>IFERROR(1/J473*(X473/H473),"0")</f>
        <v>0.10822510822510822</v>
      </c>
      <c r="BP473" s="64">
        <f>IFERROR(1/J473*(Y473/H473),"0")</f>
        <v>0.11363636363636365</v>
      </c>
    </row>
    <row r="474" spans="1:68" x14ac:dyDescent="0.2">
      <c r="A474" s="554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53" t="s">
        <v>71</v>
      </c>
      <c r="Q474" s="548"/>
      <c r="R474" s="548"/>
      <c r="S474" s="548"/>
      <c r="T474" s="548"/>
      <c r="U474" s="548"/>
      <c r="V474" s="549"/>
      <c r="W474" s="37" t="s">
        <v>72</v>
      </c>
      <c r="X474" s="545">
        <f>IFERROR(X472/H472,"0")+IFERROR(X473/H473,"0")</f>
        <v>28.571428571428569</v>
      </c>
      <c r="Y474" s="545">
        <f>IFERROR(Y472/H472,"0")+IFERROR(Y473/H473,"0")</f>
        <v>30</v>
      </c>
      <c r="Z474" s="545">
        <f>IFERROR(IF(Z472="",0,Z472),"0")+IFERROR(IF(Z473="",0,Z473),"0")</f>
        <v>0.27060000000000001</v>
      </c>
      <c r="AA474" s="546"/>
      <c r="AB474" s="546"/>
      <c r="AC474" s="546"/>
    </row>
    <row r="475" spans="1:68" x14ac:dyDescent="0.2">
      <c r="A475" s="555"/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6"/>
      <c r="P475" s="553" t="s">
        <v>71</v>
      </c>
      <c r="Q475" s="548"/>
      <c r="R475" s="548"/>
      <c r="S475" s="548"/>
      <c r="T475" s="548"/>
      <c r="U475" s="548"/>
      <c r="V475" s="549"/>
      <c r="W475" s="37" t="s">
        <v>69</v>
      </c>
      <c r="X475" s="545">
        <f>IFERROR(SUM(X472:X473),"0")</f>
        <v>120</v>
      </c>
      <c r="Y475" s="545">
        <f>IFERROR(SUM(Y472:Y473),"0")</f>
        <v>126</v>
      </c>
      <c r="Z475" s="37"/>
      <c r="AA475" s="546"/>
      <c r="AB475" s="546"/>
      <c r="AC475" s="546"/>
    </row>
    <row r="476" spans="1:68" ht="14.25" hidden="1" customHeight="1" x14ac:dyDescent="0.25">
      <c r="A476" s="559" t="s">
        <v>73</v>
      </c>
      <c r="B476" s="555"/>
      <c r="C476" s="555"/>
      <c r="D476" s="555"/>
      <c r="E476" s="555"/>
      <c r="F476" s="555"/>
      <c r="G476" s="555"/>
      <c r="H476" s="555"/>
      <c r="I476" s="555"/>
      <c r="J476" s="555"/>
      <c r="K476" s="555"/>
      <c r="L476" s="555"/>
      <c r="M476" s="555"/>
      <c r="N476" s="555"/>
      <c r="O476" s="555"/>
      <c r="P476" s="555"/>
      <c r="Q476" s="555"/>
      <c r="R476" s="555"/>
      <c r="S476" s="555"/>
      <c r="T476" s="555"/>
      <c r="U476" s="555"/>
      <c r="V476" s="555"/>
      <c r="W476" s="555"/>
      <c r="X476" s="555"/>
      <c r="Y476" s="555"/>
      <c r="Z476" s="555"/>
      <c r="AA476" s="539"/>
      <c r="AB476" s="539"/>
      <c r="AC476" s="539"/>
    </row>
    <row r="477" spans="1:68" ht="27" hidden="1" customHeight="1" x14ac:dyDescent="0.25">
      <c r="A477" s="54" t="s">
        <v>727</v>
      </c>
      <c r="B477" s="54" t="s">
        <v>728</v>
      </c>
      <c r="C477" s="31">
        <v>4301052046</v>
      </c>
      <c r="D477" s="560">
        <v>4640242180533</v>
      </c>
      <c r="E477" s="561"/>
      <c r="F477" s="542">
        <v>1.5</v>
      </c>
      <c r="G477" s="32">
        <v>6</v>
      </c>
      <c r="H477" s="542">
        <v>9</v>
      </c>
      <c r="I477" s="542">
        <v>9.5190000000000001</v>
      </c>
      <c r="J477" s="32">
        <v>64</v>
      </c>
      <c r="K477" s="32" t="s">
        <v>104</v>
      </c>
      <c r="L477" s="32" t="s">
        <v>105</v>
      </c>
      <c r="M477" s="33" t="s">
        <v>84</v>
      </c>
      <c r="N477" s="33"/>
      <c r="O477" s="32">
        <v>45</v>
      </c>
      <c r="P477" s="72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1"/>
      <c r="R477" s="551"/>
      <c r="S477" s="551"/>
      <c r="T477" s="552"/>
      <c r="U477" s="34"/>
      <c r="V477" s="34"/>
      <c r="W477" s="35" t="s">
        <v>69</v>
      </c>
      <c r="X477" s="543">
        <v>0</v>
      </c>
      <c r="Y477" s="544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729</v>
      </c>
      <c r="AG477" s="64"/>
      <c r="AJ477" s="68" t="s">
        <v>90</v>
      </c>
      <c r="AK477" s="68">
        <v>72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idden="1" x14ac:dyDescent="0.2">
      <c r="A478" s="554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53" t="s">
        <v>71</v>
      </c>
      <c r="Q478" s="548"/>
      <c r="R478" s="548"/>
      <c r="S478" s="548"/>
      <c r="T478" s="548"/>
      <c r="U478" s="548"/>
      <c r="V478" s="549"/>
      <c r="W478" s="37" t="s">
        <v>72</v>
      </c>
      <c r="X478" s="545">
        <f>IFERROR(X477/H477,"0")</f>
        <v>0</v>
      </c>
      <c r="Y478" s="545">
        <f>IFERROR(Y477/H477,"0")</f>
        <v>0</v>
      </c>
      <c r="Z478" s="545">
        <f>IFERROR(IF(Z477="",0,Z477),"0")</f>
        <v>0</v>
      </c>
      <c r="AA478" s="546"/>
      <c r="AB478" s="546"/>
      <c r="AC478" s="546"/>
    </row>
    <row r="479" spans="1:68" hidden="1" x14ac:dyDescent="0.2">
      <c r="A479" s="555"/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6"/>
      <c r="P479" s="553" t="s">
        <v>71</v>
      </c>
      <c r="Q479" s="548"/>
      <c r="R479" s="548"/>
      <c r="S479" s="548"/>
      <c r="T479" s="548"/>
      <c r="U479" s="548"/>
      <c r="V479" s="549"/>
      <c r="W479" s="37" t="s">
        <v>69</v>
      </c>
      <c r="X479" s="545">
        <f>IFERROR(SUM(X477:X477),"0")</f>
        <v>0</v>
      </c>
      <c r="Y479" s="545">
        <f>IFERROR(SUM(Y477:Y477),"0")</f>
        <v>0</v>
      </c>
      <c r="Z479" s="37"/>
      <c r="AA479" s="546"/>
      <c r="AB479" s="546"/>
      <c r="AC479" s="546"/>
    </row>
    <row r="480" spans="1:68" ht="14.25" hidden="1" customHeight="1" x14ac:dyDescent="0.25">
      <c r="A480" s="559" t="s">
        <v>166</v>
      </c>
      <c r="B480" s="555"/>
      <c r="C480" s="555"/>
      <c r="D480" s="555"/>
      <c r="E480" s="555"/>
      <c r="F480" s="555"/>
      <c r="G480" s="555"/>
      <c r="H480" s="555"/>
      <c r="I480" s="555"/>
      <c r="J480" s="555"/>
      <c r="K480" s="555"/>
      <c r="L480" s="555"/>
      <c r="M480" s="555"/>
      <c r="N480" s="555"/>
      <c r="O480" s="555"/>
      <c r="P480" s="555"/>
      <c r="Q480" s="555"/>
      <c r="R480" s="555"/>
      <c r="S480" s="555"/>
      <c r="T480" s="555"/>
      <c r="U480" s="555"/>
      <c r="V480" s="555"/>
      <c r="W480" s="555"/>
      <c r="X480" s="555"/>
      <c r="Y480" s="555"/>
      <c r="Z480" s="555"/>
      <c r="AA480" s="539"/>
      <c r="AB480" s="539"/>
      <c r="AC480" s="539"/>
    </row>
    <row r="481" spans="1:68" ht="27" hidden="1" customHeight="1" x14ac:dyDescent="0.25">
      <c r="A481" s="54" t="s">
        <v>730</v>
      </c>
      <c r="B481" s="54" t="s">
        <v>731</v>
      </c>
      <c r="C481" s="31">
        <v>4301060491</v>
      </c>
      <c r="D481" s="560">
        <v>4640242180120</v>
      </c>
      <c r="E481" s="561"/>
      <c r="F481" s="542">
        <v>1.5</v>
      </c>
      <c r="G481" s="32">
        <v>6</v>
      </c>
      <c r="H481" s="542">
        <v>9</v>
      </c>
      <c r="I481" s="542">
        <v>9.4350000000000005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80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1"/>
      <c r="R481" s="551"/>
      <c r="S481" s="551"/>
      <c r="T481" s="552"/>
      <c r="U481" s="34"/>
      <c r="V481" s="34"/>
      <c r="W481" s="35" t="s">
        <v>69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733</v>
      </c>
      <c r="B482" s="54" t="s">
        <v>734</v>
      </c>
      <c r="C482" s="31">
        <v>4301060493</v>
      </c>
      <c r="D482" s="560">
        <v>4640242180137</v>
      </c>
      <c r="E482" s="561"/>
      <c r="F482" s="542">
        <v>1.5</v>
      </c>
      <c r="G482" s="32">
        <v>6</v>
      </c>
      <c r="H482" s="542">
        <v>9</v>
      </c>
      <c r="I482" s="542">
        <v>9.4350000000000005</v>
      </c>
      <c r="J482" s="32">
        <v>64</v>
      </c>
      <c r="K482" s="32" t="s">
        <v>104</v>
      </c>
      <c r="L482" s="32"/>
      <c r="M482" s="33" t="s">
        <v>77</v>
      </c>
      <c r="N482" s="33"/>
      <c r="O482" s="32">
        <v>40</v>
      </c>
      <c r="P482" s="81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1"/>
      <c r="R482" s="551"/>
      <c r="S482" s="551"/>
      <c r="T482" s="552"/>
      <c r="U482" s="34"/>
      <c r="V482" s="34"/>
      <c r="W482" s="35" t="s">
        <v>69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735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54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53" t="s">
        <v>71</v>
      </c>
      <c r="Q483" s="548"/>
      <c r="R483" s="548"/>
      <c r="S483" s="548"/>
      <c r="T483" s="548"/>
      <c r="U483" s="548"/>
      <c r="V483" s="549"/>
      <c r="W483" s="37" t="s">
        <v>72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hidden="1" x14ac:dyDescent="0.2">
      <c r="A484" s="555"/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6"/>
      <c r="P484" s="553" t="s">
        <v>71</v>
      </c>
      <c r="Q484" s="548"/>
      <c r="R484" s="548"/>
      <c r="S484" s="548"/>
      <c r="T484" s="548"/>
      <c r="U484" s="548"/>
      <c r="V484" s="549"/>
      <c r="W484" s="37" t="s">
        <v>69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hidden="1" customHeight="1" x14ac:dyDescent="0.25">
      <c r="A485" s="599" t="s">
        <v>736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8"/>
      <c r="AB485" s="538"/>
      <c r="AC485" s="538"/>
    </row>
    <row r="486" spans="1:68" ht="14.25" hidden="1" customHeight="1" x14ac:dyDescent="0.25">
      <c r="A486" s="559" t="s">
        <v>136</v>
      </c>
      <c r="B486" s="555"/>
      <c r="C486" s="555"/>
      <c r="D486" s="555"/>
      <c r="E486" s="555"/>
      <c r="F486" s="555"/>
      <c r="G486" s="555"/>
      <c r="H486" s="555"/>
      <c r="I486" s="555"/>
      <c r="J486" s="555"/>
      <c r="K486" s="555"/>
      <c r="L486" s="555"/>
      <c r="M486" s="555"/>
      <c r="N486" s="555"/>
      <c r="O486" s="555"/>
      <c r="P486" s="555"/>
      <c r="Q486" s="555"/>
      <c r="R486" s="555"/>
      <c r="S486" s="555"/>
      <c r="T486" s="555"/>
      <c r="U486" s="555"/>
      <c r="V486" s="555"/>
      <c r="W486" s="555"/>
      <c r="X486" s="555"/>
      <c r="Y486" s="555"/>
      <c r="Z486" s="555"/>
      <c r="AA486" s="539"/>
      <c r="AB486" s="539"/>
      <c r="AC486" s="539"/>
    </row>
    <row r="487" spans="1:68" ht="27" hidden="1" customHeight="1" x14ac:dyDescent="0.25">
      <c r="A487" s="54" t="s">
        <v>737</v>
      </c>
      <c r="B487" s="54" t="s">
        <v>738</v>
      </c>
      <c r="C487" s="31">
        <v>4301020314</v>
      </c>
      <c r="D487" s="560">
        <v>4640242180090</v>
      </c>
      <c r="E487" s="561"/>
      <c r="F487" s="542">
        <v>1.5</v>
      </c>
      <c r="G487" s="32">
        <v>8</v>
      </c>
      <c r="H487" s="542">
        <v>12</v>
      </c>
      <c r="I487" s="542">
        <v>12.435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67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1"/>
      <c r="R487" s="551"/>
      <c r="S487" s="551"/>
      <c r="T487" s="552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739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54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53" t="s">
        <v>71</v>
      </c>
      <c r="Q488" s="548"/>
      <c r="R488" s="548"/>
      <c r="S488" s="548"/>
      <c r="T488" s="548"/>
      <c r="U488" s="548"/>
      <c r="V488" s="549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hidden="1" x14ac:dyDescent="0.2">
      <c r="A489" s="555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556"/>
      <c r="P489" s="553" t="s">
        <v>71</v>
      </c>
      <c r="Q489" s="548"/>
      <c r="R489" s="548"/>
      <c r="S489" s="548"/>
      <c r="T489" s="548"/>
      <c r="U489" s="548"/>
      <c r="V489" s="549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3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32"/>
      <c r="P490" s="591" t="s">
        <v>740</v>
      </c>
      <c r="Q490" s="592"/>
      <c r="R490" s="592"/>
      <c r="S490" s="592"/>
      <c r="T490" s="592"/>
      <c r="U490" s="592"/>
      <c r="V490" s="579"/>
      <c r="W490" s="37" t="s">
        <v>69</v>
      </c>
      <c r="X490" s="545">
        <f>IFERROR(X24+X32+X36+X44+X48+X58+X64+X70+X78+X83+X90+X97+X105+X111+X118+X122+X128+X133+X138+X145+X151+X155+X161+X173+X179+X183+X189+X194+X205+X217+X222+X236+X240+X244+X252+X261+X269+X276+X282+X286+X296+X306+X314+X320+X327+X333+X340+X352+X357+X362+X366+X372+X377+X382+X396+X401+X406+X413+X418+X434+X440+X449+X455+X464+X470+X475+X479+X484+X489,"0")</f>
        <v>17929.919999999998</v>
      </c>
      <c r="Y490" s="545">
        <f>IFERROR(Y24+Y32+Y36+Y44+Y48+Y58+Y64+Y70+Y78+Y83+Y90+Y97+Y105+Y111+Y118+Y122+Y128+Y133+Y138+Y145+Y151+Y155+Y161+Y173+Y179+Y183+Y189+Y194+Y205+Y217+Y222+Y236+Y240+Y244+Y252+Y261+Y269+Y276+Y282+Y286+Y296+Y306+Y314+Y320+Y327+Y333+Y340+Y352+Y357+Y362+Y366+Y372+Y377+Y382+Y396+Y401+Y406+Y413+Y418+Y434+Y440+Y449+Y455+Y464+Y470+Y475+Y479+Y484+Y489,"0")</f>
        <v>18065.07</v>
      </c>
      <c r="Z490" s="37"/>
      <c r="AA490" s="546"/>
      <c r="AB490" s="546"/>
      <c r="AC490" s="546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32"/>
      <c r="P491" s="591" t="s">
        <v>741</v>
      </c>
      <c r="Q491" s="592"/>
      <c r="R491" s="592"/>
      <c r="S491" s="592"/>
      <c r="T491" s="592"/>
      <c r="U491" s="592"/>
      <c r="V491" s="579"/>
      <c r="W491" s="37" t="s">
        <v>69</v>
      </c>
      <c r="X491" s="545">
        <f>IFERROR(SUM(BM22:BM487),"0")</f>
        <v>18801.720778323564</v>
      </c>
      <c r="Y491" s="545">
        <f>IFERROR(SUM(BN22:BN487),"0")</f>
        <v>18944.586000000003</v>
      </c>
      <c r="Z491" s="37"/>
      <c r="AA491" s="546"/>
      <c r="AB491" s="546"/>
      <c r="AC491" s="546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32"/>
      <c r="P492" s="591" t="s">
        <v>742</v>
      </c>
      <c r="Q492" s="592"/>
      <c r="R492" s="592"/>
      <c r="S492" s="592"/>
      <c r="T492" s="592"/>
      <c r="U492" s="592"/>
      <c r="V492" s="579"/>
      <c r="W492" s="37" t="s">
        <v>743</v>
      </c>
      <c r="X492" s="38">
        <f>ROUNDUP(SUM(BO22:BO487),0)</f>
        <v>30</v>
      </c>
      <c r="Y492" s="38">
        <f>ROUNDUP(SUM(BP22:BP487),0)</f>
        <v>30</v>
      </c>
      <c r="Z492" s="37"/>
      <c r="AA492" s="546"/>
      <c r="AB492" s="546"/>
      <c r="AC492" s="546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32"/>
      <c r="P493" s="591" t="s">
        <v>744</v>
      </c>
      <c r="Q493" s="592"/>
      <c r="R493" s="592"/>
      <c r="S493" s="592"/>
      <c r="T493" s="592"/>
      <c r="U493" s="592"/>
      <c r="V493" s="579"/>
      <c r="W493" s="37" t="s">
        <v>69</v>
      </c>
      <c r="X493" s="545">
        <f>GrossWeightTotal+PalletQtyTotal*25</f>
        <v>19551.720778323564</v>
      </c>
      <c r="Y493" s="545">
        <f>GrossWeightTotalR+PalletQtyTotalR*25</f>
        <v>19694.586000000003</v>
      </c>
      <c r="Z493" s="37"/>
      <c r="AA493" s="546"/>
      <c r="AB493" s="546"/>
      <c r="AC493" s="546"/>
    </row>
    <row r="494" spans="1:68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32"/>
      <c r="P494" s="591" t="s">
        <v>745</v>
      </c>
      <c r="Q494" s="592"/>
      <c r="R494" s="592"/>
      <c r="S494" s="592"/>
      <c r="T494" s="592"/>
      <c r="U494" s="592"/>
      <c r="V494" s="579"/>
      <c r="W494" s="37" t="s">
        <v>743</v>
      </c>
      <c r="X494" s="545">
        <f>IFERROR(X23+X31+X35+X43+X47+X57+X63+X69+X77+X82+X89+X96+X104+X110+X117+X121+X127+X132+X137+X144+X150+X154+X160+X172+X178+X182+X188+X193+X204+X216+X221+X235+X239+X243+X251+X260+X268+X275+X281+X285+X295+X305+X313+X319+X326+X332+X339+X351+X356+X361+X365+X371+X376+X381+X395+X400+X405+X412+X417+X433+X439+X448+X454+X463+X469+X474+X478+X483+X488,"0")</f>
        <v>2079.8863948910102</v>
      </c>
      <c r="Y494" s="545">
        <f>IFERROR(Y23+Y31+Y35+Y43+Y47+Y57+Y63+Y69+Y77+Y82+Y89+Y96+Y104+Y110+Y117+Y121+Y127+Y132+Y137+Y144+Y150+Y154+Y160+Y172+Y178+Y182+Y188+Y193+Y204+Y216+Y221+Y235+Y239+Y243+Y251+Y260+Y268+Y275+Y281+Y285+Y295+Y305+Y313+Y319+Y326+Y332+Y339+Y351+Y356+Y361+Y365+Y371+Y376+Y381+Y395+Y400+Y405+Y412+Y417+Y433+Y439+Y448+Y454+Y463+Y469+Y474+Y478+Y483+Y488,"0")</f>
        <v>2101</v>
      </c>
      <c r="Z494" s="37"/>
      <c r="AA494" s="546"/>
      <c r="AB494" s="546"/>
      <c r="AC494" s="546"/>
    </row>
    <row r="495" spans="1:68" ht="14.25" hidden="1" customHeight="1" x14ac:dyDescent="0.2">
      <c r="A495" s="555"/>
      <c r="B495" s="555"/>
      <c r="C495" s="555"/>
      <c r="D495" s="555"/>
      <c r="E495" s="555"/>
      <c r="F495" s="555"/>
      <c r="G495" s="555"/>
      <c r="H495" s="555"/>
      <c r="I495" s="555"/>
      <c r="J495" s="555"/>
      <c r="K495" s="555"/>
      <c r="L495" s="555"/>
      <c r="M495" s="555"/>
      <c r="N495" s="555"/>
      <c r="O495" s="732"/>
      <c r="P495" s="591" t="s">
        <v>746</v>
      </c>
      <c r="Q495" s="592"/>
      <c r="R495" s="592"/>
      <c r="S495" s="592"/>
      <c r="T495" s="592"/>
      <c r="U495" s="592"/>
      <c r="V495" s="579"/>
      <c r="W495" s="39" t="s">
        <v>747</v>
      </c>
      <c r="X495" s="37"/>
      <c r="Y495" s="37"/>
      <c r="Z495" s="37">
        <f>IFERROR(Z23+Z31+Z35+Z43+Z47+Z57+Z63+Z69+Z77+Z82+Z89+Z96+Z104+Z110+Z117+Z121+Z127+Z132+Z137+Z144+Z150+Z154+Z160+Z172+Z178+Z182+Z188+Z193+Z204+Z216+Z221+Z235+Z239+Z243+Z251+Z260+Z268+Z275+Z281+Z285+Z295+Z305+Z313+Z319+Z326+Z332+Z339+Z351+Z356+Z361+Z365+Z371+Z376+Z381+Z395+Z400+Z405+Z412+Z417+Z433+Z439+Z448+Z454+Z463+Z469+Z474+Z478+Z483+Z488,"0")</f>
        <v>34.56434999999999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748</v>
      </c>
      <c r="B497" s="540" t="s">
        <v>63</v>
      </c>
      <c r="C497" s="593" t="s">
        <v>99</v>
      </c>
      <c r="D497" s="597"/>
      <c r="E497" s="597"/>
      <c r="F497" s="597"/>
      <c r="G497" s="597"/>
      <c r="H497" s="598"/>
      <c r="I497" s="593" t="s">
        <v>257</v>
      </c>
      <c r="J497" s="597"/>
      <c r="K497" s="597"/>
      <c r="L497" s="597"/>
      <c r="M497" s="597"/>
      <c r="N497" s="597"/>
      <c r="O497" s="597"/>
      <c r="P497" s="597"/>
      <c r="Q497" s="597"/>
      <c r="R497" s="598"/>
      <c r="S497" s="593" t="s">
        <v>538</v>
      </c>
      <c r="T497" s="598"/>
      <c r="U497" s="593" t="s">
        <v>589</v>
      </c>
      <c r="V497" s="597"/>
      <c r="W497" s="598"/>
      <c r="X497" s="540" t="s">
        <v>640</v>
      </c>
      <c r="Y497" s="593" t="s">
        <v>700</v>
      </c>
      <c r="Z497" s="598"/>
      <c r="AB497" s="52"/>
      <c r="AC497" s="52"/>
      <c r="AF497" s="541"/>
    </row>
    <row r="498" spans="1:32" ht="14.25" customHeight="1" thickTop="1" x14ac:dyDescent="0.2">
      <c r="A498" s="845" t="s">
        <v>749</v>
      </c>
      <c r="B498" s="593" t="s">
        <v>63</v>
      </c>
      <c r="C498" s="593" t="s">
        <v>100</v>
      </c>
      <c r="D498" s="593" t="s">
        <v>117</v>
      </c>
      <c r="E498" s="593" t="s">
        <v>173</v>
      </c>
      <c r="F498" s="593" t="s">
        <v>192</v>
      </c>
      <c r="G498" s="593" t="s">
        <v>222</v>
      </c>
      <c r="H498" s="593" t="s">
        <v>99</v>
      </c>
      <c r="I498" s="593" t="s">
        <v>258</v>
      </c>
      <c r="J498" s="593" t="s">
        <v>299</v>
      </c>
      <c r="K498" s="593" t="s">
        <v>359</v>
      </c>
      <c r="L498" s="593" t="s">
        <v>401</v>
      </c>
      <c r="M498" s="593" t="s">
        <v>417</v>
      </c>
      <c r="N498" s="541"/>
      <c r="O498" s="593" t="s">
        <v>428</v>
      </c>
      <c r="P498" s="593" t="s">
        <v>437</v>
      </c>
      <c r="Q498" s="593" t="s">
        <v>447</v>
      </c>
      <c r="R498" s="593" t="s">
        <v>528</v>
      </c>
      <c r="S498" s="593" t="s">
        <v>539</v>
      </c>
      <c r="T498" s="593" t="s">
        <v>573</v>
      </c>
      <c r="U498" s="593" t="s">
        <v>590</v>
      </c>
      <c r="V498" s="593" t="s">
        <v>621</v>
      </c>
      <c r="W498" s="593" t="s">
        <v>636</v>
      </c>
      <c r="X498" s="593" t="s">
        <v>640</v>
      </c>
      <c r="Y498" s="593" t="s">
        <v>700</v>
      </c>
      <c r="Z498" s="593" t="s">
        <v>736</v>
      </c>
      <c r="AB498" s="52"/>
      <c r="AC498" s="52"/>
      <c r="AF498" s="541"/>
    </row>
    <row r="499" spans="1:32" ht="13.5" customHeight="1" thickBot="1" x14ac:dyDescent="0.25">
      <c r="A499" s="846"/>
      <c r="B499" s="594"/>
      <c r="C499" s="594"/>
      <c r="D499" s="594"/>
      <c r="E499" s="594"/>
      <c r="F499" s="594"/>
      <c r="G499" s="594"/>
      <c r="H499" s="594"/>
      <c r="I499" s="594"/>
      <c r="J499" s="594"/>
      <c r="K499" s="594"/>
      <c r="L499" s="594"/>
      <c r="M499" s="594"/>
      <c r="N499" s="541"/>
      <c r="O499" s="594"/>
      <c r="P499" s="594"/>
      <c r="Q499" s="594"/>
      <c r="R499" s="594"/>
      <c r="S499" s="594"/>
      <c r="T499" s="594"/>
      <c r="U499" s="594"/>
      <c r="V499" s="594"/>
      <c r="W499" s="594"/>
      <c r="X499" s="594"/>
      <c r="Y499" s="594"/>
      <c r="Z499" s="594"/>
      <c r="AB499" s="52"/>
      <c r="AC499" s="52"/>
      <c r="AF499" s="541"/>
    </row>
    <row r="500" spans="1:32" ht="18" customHeight="1" thickTop="1" thickBot="1" x14ac:dyDescent="0.25">
      <c r="A500" s="40" t="s">
        <v>750</v>
      </c>
      <c r="B500" s="46">
        <f>IFERROR(Y22*1,"0")+IFERROR(Y26*1,"0")+IFERROR(Y27*1,"0")+IFERROR(Y28*1,"0")+IFERROR(Y29*1,"0")+IFERROR(Y30*1,"0")+IFERROR(Y34*1,"0")</f>
        <v>0</v>
      </c>
      <c r="C500" s="46">
        <f>IFERROR(Y40*1,"0")+IFERROR(Y41*1,"0")+IFERROR(Y42*1,"0")+IFERROR(Y46*1,"0")</f>
        <v>0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76*1,"0")+IFERROR(Y80*1,"0")+IFERROR(Y81*1,"0")</f>
        <v>47.7</v>
      </c>
      <c r="E500" s="46">
        <f>IFERROR(Y86*1,"0")+IFERROR(Y87*1,"0")+IFERROR(Y88*1,"0")+IFERROR(Y92*1,"0")+IFERROR(Y93*1,"0")+IFERROR(Y94*1,"0")+IFERROR(Y95*1,"0")</f>
        <v>32.4</v>
      </c>
      <c r="F500" s="46">
        <f>IFERROR(Y100*1,"0")+IFERROR(Y101*1,"0")+IFERROR(Y102*1,"0")+IFERROR(Y103*1,"0")+IFERROR(Y107*1,"0")+IFERROR(Y108*1,"0")+IFERROR(Y109*1,"0")+IFERROR(Y113*1,"0")+IFERROR(Y114*1,"0")+IFERROR(Y115*1,"0")+IFERROR(Y116*1,"0")+IFERROR(Y120*1,"0")</f>
        <v>105.3</v>
      </c>
      <c r="G500" s="46">
        <f>IFERROR(Y125*1,"0")+IFERROR(Y126*1,"0")+IFERROR(Y130*1,"0")+IFERROR(Y131*1,"0")+IFERROR(Y135*1,"0")+IFERROR(Y136*1,"0")</f>
        <v>25.92</v>
      </c>
      <c r="H500" s="46">
        <f>IFERROR(Y141*1,"0")+IFERROR(Y142*1,"0")+IFERROR(Y143*1,"0")+IFERROR(Y147*1,"0")+IFERROR(Y148*1,"0")+IFERROR(Y149*1,"0")+IFERROR(Y153*1,"0")</f>
        <v>0</v>
      </c>
      <c r="I500" s="46">
        <f>IFERROR(Y159*1,"0")+IFERROR(Y163*1,"0")+IFERROR(Y164*1,"0")+IFERROR(Y165*1,"0")+IFERROR(Y166*1,"0")+IFERROR(Y167*1,"0")+IFERROR(Y168*1,"0")+IFERROR(Y169*1,"0")+IFERROR(Y170*1,"0")+IFERROR(Y171*1,"0")+IFERROR(Y175*1,"0")+IFERROR(Y176*1,"0")+IFERROR(Y177*1,"0")+IFERROR(Y181*1,"0")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155.4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1706.7000000000003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2.9699999999999998</v>
      </c>
      <c r="L500" s="46">
        <f>IFERROR(Y255*1,"0")+IFERROR(Y256*1,"0")+IFERROR(Y257*1,"0")+IFERROR(Y258*1,"0")+IFERROR(Y259*1,"0")</f>
        <v>43.2</v>
      </c>
      <c r="M500" s="46">
        <f>IFERROR(Y264*1,"0")+IFERROR(Y265*1,"0")+IFERROR(Y266*1,"0")+IFERROR(Y267*1,"0")</f>
        <v>0</v>
      </c>
      <c r="N500" s="541"/>
      <c r="O500" s="46">
        <f>IFERROR(Y272*1,"0")+IFERROR(Y273*1,"0")+IFERROR(Y274*1,"0")</f>
        <v>0</v>
      </c>
      <c r="P500" s="46">
        <f>IFERROR(Y279*1,"0")+IFERROR(Y280*1,"0")+IFERROR(Y284*1,"0")</f>
        <v>0</v>
      </c>
      <c r="Q500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312*1,"0")+IFERROR(Y316*1,"0")+IFERROR(Y317*1,"0")+IFERROR(Y318*1,"0")+IFERROR(Y322*1,"0")+IFERROR(Y323*1,"0")+IFERROR(Y324*1,"0")+IFERROR(Y325*1,"0")+IFERROR(Y329*1,"0")+IFERROR(Y330*1,"0")+IFERROR(Y331*1,"0")</f>
        <v>7054.2</v>
      </c>
      <c r="R500" s="46">
        <f>IFERROR(Y336*1,"0")+IFERROR(Y337*1,"0")+IFERROR(Y338*1,"0")</f>
        <v>91.5</v>
      </c>
      <c r="S500" s="46">
        <f>IFERROR(Y344*1,"0")+IFERROR(Y345*1,"0")+IFERROR(Y346*1,"0")+IFERROR(Y347*1,"0")+IFERROR(Y348*1,"0")+IFERROR(Y349*1,"0")+IFERROR(Y350*1,"0")+IFERROR(Y354*1,"0")+IFERROR(Y355*1,"0")+IFERROR(Y359*1,"0")+IFERROR(Y360*1,"0")+IFERROR(Y364*1,"0")</f>
        <v>7227</v>
      </c>
      <c r="T500" s="46">
        <f>IFERROR(Y369*1,"0")+IFERROR(Y370*1,"0")+IFERROR(Y374*1,"0")+IFERROR(Y375*1,"0")+IFERROR(Y379*1,"0")+IFERROR(Y380*1,"0")</f>
        <v>365.34000000000003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124.2</v>
      </c>
      <c r="V500" s="46">
        <f>IFERROR(Y404*1,"0")+IFERROR(Y408*1,"0")+IFERROR(Y409*1,"0")+IFERROR(Y410*1,"0")+IFERROR(Y411*1,"0")</f>
        <v>135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702.24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246</v>
      </c>
      <c r="Z500" s="46">
        <f>IFERROR(Y487*1,"0")</f>
        <v>0</v>
      </c>
      <c r="AB500" s="52"/>
      <c r="AC500" s="52"/>
      <c r="AF500" s="541"/>
    </row>
  </sheetData>
  <sheetProtection algorithmName="SHA-512" hashValue="4efQlcu9ET08ur9i+bDHog3waEsrvZbLNN6te4paXSV0K/HuWkwVDF5kw1GQg5AERwQHnL9uAYwGtXQUUtLDEg==" saltValue="TJqi8uokMy2z8VoYIS5dng==" spinCount="100000" sheet="1" objects="1" scenarios="1" sort="0" autoFilter="0" pivotTables="0"/>
  <autoFilter ref="A18:AF49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93"/>
        <filter val="1 410,00"/>
        <filter val="1 500,00"/>
        <filter val="1 700,00"/>
        <filter val="1 750,00"/>
        <filter val="10,00"/>
        <filter val="100,00"/>
        <filter val="110,00"/>
        <filter val="116,67"/>
        <filter val="12,00"/>
        <filter val="12,35"/>
        <filter val="120,00"/>
        <filter val="130,00"/>
        <filter val="14,64"/>
        <filter val="140,00"/>
        <filter val="150,00"/>
        <filter val="157,41"/>
        <filter val="16,67"/>
        <filter val="160,00"/>
        <filter val="17 929,92"/>
        <filter val="18 801,72"/>
        <filter val="185,00"/>
        <filter val="19 551,72"/>
        <filter val="2 079,89"/>
        <filter val="2,00"/>
        <filter val="2,02"/>
        <filter val="2,56"/>
        <filter val="2,67"/>
        <filter val="2,81"/>
        <filter val="2,86"/>
        <filter val="20,00"/>
        <filter val="22,22"/>
        <filter val="220,00"/>
        <filter val="230,00"/>
        <filter val="24,00"/>
        <filter val="24,07"/>
        <filter val="240,00"/>
        <filter val="26,67"/>
        <filter val="261,11"/>
        <filter val="272,00"/>
        <filter val="28,41"/>
        <filter val="28,57"/>
        <filter val="280,00"/>
        <filter val="3,00"/>
        <filter val="3,70"/>
        <filter val="30"/>
        <filter val="30,00"/>
        <filter val="300,00"/>
        <filter val="320,00"/>
        <filter val="34,80"/>
        <filter val="35,71"/>
        <filter val="350,00"/>
        <filter val="380,00"/>
        <filter val="4 500,00"/>
        <filter val="40,00"/>
        <filter val="41,67"/>
        <filter val="42,24"/>
        <filter val="450,00"/>
        <filter val="48,00"/>
        <filter val="5 000,00"/>
        <filter val="500,00"/>
        <filter val="60,00"/>
        <filter val="60,61"/>
        <filter val="641,03"/>
        <filter val="7,92"/>
        <filter val="70,00"/>
        <filter val="720,00"/>
        <filter val="8,00"/>
        <filter val="80,00"/>
        <filter val="89,28"/>
        <filter val="9,00"/>
        <filter val="9,52"/>
        <filter val="90,00"/>
        <filter val="96,00"/>
      </filters>
    </filterColumn>
    <filterColumn colId="29" showButton="0"/>
    <filterColumn colId="30" showButton="0"/>
  </autoFilter>
  <mergeCells count="876">
    <mergeCell ref="D472:E472"/>
    <mergeCell ref="D410:E410"/>
    <mergeCell ref="A441:Z441"/>
    <mergeCell ref="A270:Z270"/>
    <mergeCell ref="A368:Z368"/>
    <mergeCell ref="D426:E426"/>
    <mergeCell ref="P464:V464"/>
    <mergeCell ref="P452:T452"/>
    <mergeCell ref="P448:V448"/>
    <mergeCell ref="P404:T404"/>
    <mergeCell ref="D360:E360"/>
    <mergeCell ref="D431:E431"/>
    <mergeCell ref="P468:T468"/>
    <mergeCell ref="A415:Z415"/>
    <mergeCell ref="H9:I9"/>
    <mergeCell ref="P24:V24"/>
    <mergeCell ref="A49:Z49"/>
    <mergeCell ref="P260:V260"/>
    <mergeCell ref="P89:V89"/>
    <mergeCell ref="P389:T389"/>
    <mergeCell ref="A383:Z383"/>
    <mergeCell ref="A334:Z334"/>
    <mergeCell ref="P391:T391"/>
    <mergeCell ref="D312:E312"/>
    <mergeCell ref="P220:T220"/>
    <mergeCell ref="A65:Z65"/>
    <mergeCell ref="A363:Z363"/>
    <mergeCell ref="D238:E238"/>
    <mergeCell ref="A216:O217"/>
    <mergeCell ref="P86:T86"/>
    <mergeCell ref="P213:T213"/>
    <mergeCell ref="A281:O282"/>
    <mergeCell ref="A378:Z378"/>
    <mergeCell ref="P249:T249"/>
    <mergeCell ref="P81:T81"/>
    <mergeCell ref="P56:T56"/>
    <mergeCell ref="V10:W10"/>
    <mergeCell ref="P379:T379"/>
    <mergeCell ref="R1:T1"/>
    <mergeCell ref="P28:T28"/>
    <mergeCell ref="A351:O352"/>
    <mergeCell ref="P392:T392"/>
    <mergeCell ref="P386:T386"/>
    <mergeCell ref="P215:T215"/>
    <mergeCell ref="A381:O382"/>
    <mergeCell ref="P165:T165"/>
    <mergeCell ref="P432:T432"/>
    <mergeCell ref="P400:V400"/>
    <mergeCell ref="A89:O90"/>
    <mergeCell ref="D73:E73"/>
    <mergeCell ref="P77:V77"/>
    <mergeCell ref="P30:T30"/>
    <mergeCell ref="P179:V179"/>
    <mergeCell ref="P290:T290"/>
    <mergeCell ref="P377:V377"/>
    <mergeCell ref="A63:O64"/>
    <mergeCell ref="B17:B18"/>
    <mergeCell ref="A77:O78"/>
    <mergeCell ref="D131:E131"/>
    <mergeCell ref="D258:E258"/>
    <mergeCell ref="P235:V235"/>
    <mergeCell ref="A358:Z358"/>
    <mergeCell ref="T498:T499"/>
    <mergeCell ref="P443:T443"/>
    <mergeCell ref="D197:E197"/>
    <mergeCell ref="D53:E53"/>
    <mergeCell ref="A84:Z84"/>
    <mergeCell ref="D411:E411"/>
    <mergeCell ref="D289:E289"/>
    <mergeCell ref="D482:E482"/>
    <mergeCell ref="P395:V395"/>
    <mergeCell ref="C497:H497"/>
    <mergeCell ref="P209:T209"/>
    <mergeCell ref="A385:Z385"/>
    <mergeCell ref="P147:T147"/>
    <mergeCell ref="P445:T445"/>
    <mergeCell ref="A193:O194"/>
    <mergeCell ref="A498:A499"/>
    <mergeCell ref="P473:T473"/>
    <mergeCell ref="S497:T497"/>
    <mergeCell ref="V498:V499"/>
    <mergeCell ref="P453:T453"/>
    <mergeCell ref="A474:O475"/>
    <mergeCell ref="D473:E473"/>
    <mergeCell ref="D60:E60"/>
    <mergeCell ref="P73:T73"/>
    <mergeCell ref="W17:W18"/>
    <mergeCell ref="P261:V261"/>
    <mergeCell ref="P90:V90"/>
    <mergeCell ref="P332:V332"/>
    <mergeCell ref="P217:V217"/>
    <mergeCell ref="A384:Z384"/>
    <mergeCell ref="P161:V161"/>
    <mergeCell ref="A376:O377"/>
    <mergeCell ref="P234:T234"/>
    <mergeCell ref="P154:V154"/>
    <mergeCell ref="A321:Z321"/>
    <mergeCell ref="D142:E142"/>
    <mergeCell ref="P266:T266"/>
    <mergeCell ref="P95:T95"/>
    <mergeCell ref="P331:T331"/>
    <mergeCell ref="P182:V182"/>
    <mergeCell ref="D290:E290"/>
    <mergeCell ref="D94:E94"/>
    <mergeCell ref="A356:O357"/>
    <mergeCell ref="D52:E52"/>
    <mergeCell ref="D27:E27"/>
    <mergeCell ref="P26:T26"/>
    <mergeCell ref="P316:T316"/>
    <mergeCell ref="D66:E66"/>
    <mergeCell ref="D7:M7"/>
    <mergeCell ref="A373:Z373"/>
    <mergeCell ref="A405:O406"/>
    <mergeCell ref="P327:V327"/>
    <mergeCell ref="A152:Z152"/>
    <mergeCell ref="P92:T92"/>
    <mergeCell ref="A450:Z450"/>
    <mergeCell ref="P394:T394"/>
    <mergeCell ref="D442:E442"/>
    <mergeCell ref="D302:E302"/>
    <mergeCell ref="D429:E429"/>
    <mergeCell ref="P29:T29"/>
    <mergeCell ref="P100:T100"/>
    <mergeCell ref="P265:T265"/>
    <mergeCell ref="P94:T94"/>
    <mergeCell ref="D379:E379"/>
    <mergeCell ref="D208:E208"/>
    <mergeCell ref="D81:E81"/>
    <mergeCell ref="D8:M8"/>
    <mergeCell ref="D300:E300"/>
    <mergeCell ref="P329:T329"/>
    <mergeCell ref="P251:V251"/>
    <mergeCell ref="P118:V118"/>
    <mergeCell ref="A241:Z241"/>
    <mergeCell ref="H1:Q1"/>
    <mergeCell ref="A448:O449"/>
    <mergeCell ref="A99:Z99"/>
    <mergeCell ref="A397:Z397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P340:V340"/>
    <mergeCell ref="P242:T242"/>
    <mergeCell ref="A239:O240"/>
    <mergeCell ref="D92:E92"/>
    <mergeCell ref="D55:E55"/>
    <mergeCell ref="D30:E30"/>
    <mergeCell ref="D67:E67"/>
    <mergeCell ref="A140:Z140"/>
    <mergeCell ref="D5:E5"/>
    <mergeCell ref="D303:E303"/>
    <mergeCell ref="P42:T42"/>
    <mergeCell ref="P482:T482"/>
    <mergeCell ref="D354:E354"/>
    <mergeCell ref="A332:O333"/>
    <mergeCell ref="D274:E274"/>
    <mergeCell ref="D301:E301"/>
    <mergeCell ref="D147:E147"/>
    <mergeCell ref="P116:T116"/>
    <mergeCell ref="P103:T103"/>
    <mergeCell ref="P230:T230"/>
    <mergeCell ref="A469:O470"/>
    <mergeCell ref="D211:E211"/>
    <mergeCell ref="P168:T168"/>
    <mergeCell ref="P178:V178"/>
    <mergeCell ref="P276:V276"/>
    <mergeCell ref="P463:V463"/>
    <mergeCell ref="A263:Z263"/>
    <mergeCell ref="P264:T264"/>
    <mergeCell ref="D126:E126"/>
    <mergeCell ref="P437:T437"/>
    <mergeCell ref="D187:E187"/>
    <mergeCell ref="A361:O362"/>
    <mergeCell ref="P231:T231"/>
    <mergeCell ref="D423:E423"/>
    <mergeCell ref="P302:T302"/>
    <mergeCell ref="U498:U499"/>
    <mergeCell ref="P475:V475"/>
    <mergeCell ref="W498:W499"/>
    <mergeCell ref="P269:V269"/>
    <mergeCell ref="A45:Z45"/>
    <mergeCell ref="A458:Z458"/>
    <mergeCell ref="A343:Z343"/>
    <mergeCell ref="A287:Z287"/>
    <mergeCell ref="P35:V35"/>
    <mergeCell ref="P333:V333"/>
    <mergeCell ref="D316:E316"/>
    <mergeCell ref="P273:T273"/>
    <mergeCell ref="D387:E387"/>
    <mergeCell ref="D443:E443"/>
    <mergeCell ref="D272:E272"/>
    <mergeCell ref="A218:Z218"/>
    <mergeCell ref="D210:E210"/>
    <mergeCell ref="D308:E308"/>
    <mergeCell ref="D380:E380"/>
    <mergeCell ref="P337:T337"/>
    <mergeCell ref="D209:E209"/>
    <mergeCell ref="P188:V188"/>
    <mergeCell ref="P166:T166"/>
    <mergeCell ref="D445:E445"/>
    <mergeCell ref="D1:F1"/>
    <mergeCell ref="P466:T466"/>
    <mergeCell ref="A71:Z71"/>
    <mergeCell ref="P488:V488"/>
    <mergeCell ref="A307:Z307"/>
    <mergeCell ref="P282:V282"/>
    <mergeCell ref="P111:V111"/>
    <mergeCell ref="J17:J18"/>
    <mergeCell ref="L17:L18"/>
    <mergeCell ref="P17:T18"/>
    <mergeCell ref="P423:T423"/>
    <mergeCell ref="A182:O183"/>
    <mergeCell ref="P52:T52"/>
    <mergeCell ref="A117:O118"/>
    <mergeCell ref="P350:T350"/>
    <mergeCell ref="P481:T481"/>
    <mergeCell ref="I17:I18"/>
    <mergeCell ref="D141:E141"/>
    <mergeCell ref="A319:O320"/>
    <mergeCell ref="D135:E135"/>
    <mergeCell ref="A417:O418"/>
    <mergeCell ref="P470:V470"/>
    <mergeCell ref="D72:E72"/>
    <mergeCell ref="P295:V295"/>
    <mergeCell ref="B498:B499"/>
    <mergeCell ref="A184:Z184"/>
    <mergeCell ref="P48:V48"/>
    <mergeCell ref="P490:V490"/>
    <mergeCell ref="P426:T426"/>
    <mergeCell ref="P255:T255"/>
    <mergeCell ref="A342:Z342"/>
    <mergeCell ref="A407:Z407"/>
    <mergeCell ref="P192:T192"/>
    <mergeCell ref="P428:T428"/>
    <mergeCell ref="D100:E100"/>
    <mergeCell ref="P284:T284"/>
    <mergeCell ref="P113:T113"/>
    <mergeCell ref="A471:Z471"/>
    <mergeCell ref="P250:T250"/>
    <mergeCell ref="D329:E329"/>
    <mergeCell ref="A402:Z402"/>
    <mergeCell ref="D229:E229"/>
    <mergeCell ref="P131:T131"/>
    <mergeCell ref="P187:T187"/>
    <mergeCell ref="D375:E375"/>
    <mergeCell ref="P429:T429"/>
    <mergeCell ref="P258:T258"/>
    <mergeCell ref="D369:E369"/>
    <mergeCell ref="Q9:R9"/>
    <mergeCell ref="P312:T312"/>
    <mergeCell ref="D451:E451"/>
    <mergeCell ref="D255:E255"/>
    <mergeCell ref="P36:V36"/>
    <mergeCell ref="P478:V478"/>
    <mergeCell ref="D322:E322"/>
    <mergeCell ref="Q11:R11"/>
    <mergeCell ref="K498:K499"/>
    <mergeCell ref="D453:E453"/>
    <mergeCell ref="P417:V417"/>
    <mergeCell ref="P467:T467"/>
    <mergeCell ref="P442:T442"/>
    <mergeCell ref="P489:V489"/>
    <mergeCell ref="P491:V491"/>
    <mergeCell ref="P127:V127"/>
    <mergeCell ref="D9:E9"/>
    <mergeCell ref="P197:T197"/>
    <mergeCell ref="F9:G9"/>
    <mergeCell ref="P53:T53"/>
    <mergeCell ref="D167:E167"/>
    <mergeCell ref="P422:T422"/>
    <mergeCell ref="P289:T289"/>
    <mergeCell ref="D232:E232"/>
    <mergeCell ref="A6:C6"/>
    <mergeCell ref="D309:E309"/>
    <mergeCell ref="D113:E113"/>
    <mergeCell ref="P416:T416"/>
    <mergeCell ref="P167:T167"/>
    <mergeCell ref="P142:T142"/>
    <mergeCell ref="D148:E148"/>
    <mergeCell ref="D88:E88"/>
    <mergeCell ref="D26:E26"/>
    <mergeCell ref="D324:E324"/>
    <mergeCell ref="D311:E311"/>
    <mergeCell ref="D115:E115"/>
    <mergeCell ref="P55:T55"/>
    <mergeCell ref="P280:T280"/>
    <mergeCell ref="Q12:R12"/>
    <mergeCell ref="P169:T169"/>
    <mergeCell ref="P411:T411"/>
    <mergeCell ref="D388:E388"/>
    <mergeCell ref="P183:V183"/>
    <mergeCell ref="P246:T246"/>
    <mergeCell ref="A43:O44"/>
    <mergeCell ref="P133:V133"/>
    <mergeCell ref="D390:E390"/>
    <mergeCell ref="A123:Z123"/>
    <mergeCell ref="A5:C5"/>
    <mergeCell ref="P418:V418"/>
    <mergeCell ref="P412:V412"/>
    <mergeCell ref="A237:Z237"/>
    <mergeCell ref="P64:V64"/>
    <mergeCell ref="H498:H499"/>
    <mergeCell ref="P362:V362"/>
    <mergeCell ref="J498:J499"/>
    <mergeCell ref="A485:Z485"/>
    <mergeCell ref="A174:Z174"/>
    <mergeCell ref="D337:E337"/>
    <mergeCell ref="D166:E166"/>
    <mergeCell ref="P128:V128"/>
    <mergeCell ref="A17:A18"/>
    <mergeCell ref="P300:T300"/>
    <mergeCell ref="K17:K18"/>
    <mergeCell ref="C17:C18"/>
    <mergeCell ref="P431:T431"/>
    <mergeCell ref="D103:E103"/>
    <mergeCell ref="A488:O489"/>
    <mergeCell ref="D230:E230"/>
    <mergeCell ref="D168:E168"/>
    <mergeCell ref="D466:E466"/>
    <mergeCell ref="P66:T66"/>
    <mergeCell ref="P15:T16"/>
    <mergeCell ref="A132:O133"/>
    <mergeCell ref="D116:E116"/>
    <mergeCell ref="A275:O276"/>
    <mergeCell ref="P219:T219"/>
    <mergeCell ref="A335:Z335"/>
    <mergeCell ref="P272:T272"/>
    <mergeCell ref="D460:E460"/>
    <mergeCell ref="P210:T210"/>
    <mergeCell ref="P439:V439"/>
    <mergeCell ref="D398:E398"/>
    <mergeCell ref="A69:O70"/>
    <mergeCell ref="P433:V433"/>
    <mergeCell ref="P308:T308"/>
    <mergeCell ref="D416:E416"/>
    <mergeCell ref="P427:T427"/>
    <mergeCell ref="D264:E264"/>
    <mergeCell ref="D93:E93"/>
    <mergeCell ref="D391:E391"/>
    <mergeCell ref="D220:E220"/>
    <mergeCell ref="A195:Z195"/>
    <mergeCell ref="P434:V434"/>
    <mergeCell ref="A433:O434"/>
    <mergeCell ref="A253:Z253"/>
    <mergeCell ref="A12:M12"/>
    <mergeCell ref="A180:Z180"/>
    <mergeCell ref="D487:E487"/>
    <mergeCell ref="P74:T74"/>
    <mergeCell ref="P243:V243"/>
    <mergeCell ref="A190:Z190"/>
    <mergeCell ref="A19:Z19"/>
    <mergeCell ref="P310:T310"/>
    <mergeCell ref="A14:M14"/>
    <mergeCell ref="D280:E280"/>
    <mergeCell ref="A160:O161"/>
    <mergeCell ref="A353:Z353"/>
    <mergeCell ref="P163:T163"/>
    <mergeCell ref="D109:E109"/>
    <mergeCell ref="A480:Z480"/>
    <mergeCell ref="D467:E467"/>
    <mergeCell ref="P424:T424"/>
    <mergeCell ref="D345:E345"/>
    <mergeCell ref="A79:Z79"/>
    <mergeCell ref="D399:E399"/>
    <mergeCell ref="A439:O440"/>
    <mergeCell ref="P309:T309"/>
    <mergeCell ref="P88:T88"/>
    <mergeCell ref="P51:T51"/>
    <mergeCell ref="T5:U5"/>
    <mergeCell ref="P76:T76"/>
    <mergeCell ref="G498:G499"/>
    <mergeCell ref="V5:W5"/>
    <mergeCell ref="P374:T374"/>
    <mergeCell ref="I498:I499"/>
    <mergeCell ref="D246:E246"/>
    <mergeCell ref="P203:T203"/>
    <mergeCell ref="D46:E46"/>
    <mergeCell ref="D40:E40"/>
    <mergeCell ref="A295:O296"/>
    <mergeCell ref="D338:E338"/>
    <mergeCell ref="D233:E233"/>
    <mergeCell ref="D409:E409"/>
    <mergeCell ref="Q8:R8"/>
    <mergeCell ref="P311:T311"/>
    <mergeCell ref="P438:T438"/>
    <mergeCell ref="D444:E444"/>
    <mergeCell ref="P267:T267"/>
    <mergeCell ref="D248:E248"/>
    <mergeCell ref="D219:E219"/>
    <mergeCell ref="P425:T425"/>
    <mergeCell ref="P83:V83"/>
    <mergeCell ref="A82:O83"/>
    <mergeCell ref="T6:U9"/>
    <mergeCell ref="P319:V319"/>
    <mergeCell ref="Q10:R10"/>
    <mergeCell ref="D41:E41"/>
    <mergeCell ref="A490:O495"/>
    <mergeCell ref="A37:Z37"/>
    <mergeCell ref="P320:V320"/>
    <mergeCell ref="P314:V314"/>
    <mergeCell ref="P387:T387"/>
    <mergeCell ref="A139:Z139"/>
    <mergeCell ref="D422:E422"/>
    <mergeCell ref="D74:E74"/>
    <mergeCell ref="P151:V151"/>
    <mergeCell ref="D130:E130"/>
    <mergeCell ref="P451:T451"/>
    <mergeCell ref="P449:V449"/>
    <mergeCell ref="D201:E201"/>
    <mergeCell ref="A204:O205"/>
    <mergeCell ref="P87:T87"/>
    <mergeCell ref="D68:E68"/>
    <mergeCell ref="D424:E424"/>
    <mergeCell ref="P322:T322"/>
    <mergeCell ref="A285:O286"/>
    <mergeCell ref="P211:T211"/>
    <mergeCell ref="R498:R499"/>
    <mergeCell ref="P313:V313"/>
    <mergeCell ref="P380:T380"/>
    <mergeCell ref="P58:V58"/>
    <mergeCell ref="A13:M13"/>
    <mergeCell ref="A119:Z119"/>
    <mergeCell ref="D87:E87"/>
    <mergeCell ref="P244:V244"/>
    <mergeCell ref="A367:Z367"/>
    <mergeCell ref="P115:T115"/>
    <mergeCell ref="D61:E61"/>
    <mergeCell ref="A15:M15"/>
    <mergeCell ref="P238:T238"/>
    <mergeCell ref="D346:E346"/>
    <mergeCell ref="P229:T229"/>
    <mergeCell ref="A419:Z419"/>
    <mergeCell ref="D477:E477"/>
    <mergeCell ref="P375:T375"/>
    <mergeCell ref="D125:E125"/>
    <mergeCell ref="P446:T446"/>
    <mergeCell ref="P207:T207"/>
    <mergeCell ref="P299:T299"/>
    <mergeCell ref="P172:V172"/>
    <mergeCell ref="P150:V150"/>
    <mergeCell ref="J9:M9"/>
    <mergeCell ref="D348:E348"/>
    <mergeCell ref="P141:T141"/>
    <mergeCell ref="P454:V454"/>
    <mergeCell ref="D62:E62"/>
    <mergeCell ref="D56:E56"/>
    <mergeCell ref="Q498:Q499"/>
    <mergeCell ref="P233:T233"/>
    <mergeCell ref="S498:S499"/>
    <mergeCell ref="D347:E347"/>
    <mergeCell ref="P304:T304"/>
    <mergeCell ref="D176:E176"/>
    <mergeCell ref="A154:O155"/>
    <mergeCell ref="P155:V155"/>
    <mergeCell ref="D114:E114"/>
    <mergeCell ref="P143:T143"/>
    <mergeCell ref="P248:T248"/>
    <mergeCell ref="A365:O366"/>
    <mergeCell ref="D51:E51"/>
    <mergeCell ref="P477:T477"/>
    <mergeCell ref="D349:E349"/>
    <mergeCell ref="A38:Z38"/>
    <mergeCell ref="P455:V455"/>
    <mergeCell ref="A454:O455"/>
    <mergeCell ref="A486:Z486"/>
    <mergeCell ref="P483:V483"/>
    <mergeCell ref="D436:E436"/>
    <mergeCell ref="A305:O306"/>
    <mergeCell ref="P346:T346"/>
    <mergeCell ref="D292:E292"/>
    <mergeCell ref="A243:O244"/>
    <mergeCell ref="D227:E227"/>
    <mergeCell ref="A463:O464"/>
    <mergeCell ref="P317:T317"/>
    <mergeCell ref="D323:E323"/>
    <mergeCell ref="D394:E394"/>
    <mergeCell ref="D279:E279"/>
    <mergeCell ref="A254:Z254"/>
    <mergeCell ref="A483:O484"/>
    <mergeCell ref="P440:V440"/>
    <mergeCell ref="P303:T303"/>
    <mergeCell ref="D330:E330"/>
    <mergeCell ref="A421:Z421"/>
    <mergeCell ref="P306:V306"/>
    <mergeCell ref="D350:E350"/>
    <mergeCell ref="D325:E325"/>
    <mergeCell ref="P484:V484"/>
    <mergeCell ref="P324:T324"/>
    <mergeCell ref="H17:H18"/>
    <mergeCell ref="A146:Z146"/>
    <mergeCell ref="P388:T388"/>
    <mergeCell ref="P459:T459"/>
    <mergeCell ref="D198:E198"/>
    <mergeCell ref="P275:V275"/>
    <mergeCell ref="P104:V104"/>
    <mergeCell ref="D427:E427"/>
    <mergeCell ref="P27:T27"/>
    <mergeCell ref="P325:T325"/>
    <mergeCell ref="D75:E75"/>
    <mergeCell ref="P390:T390"/>
    <mergeCell ref="D298:E298"/>
    <mergeCell ref="D181:E181"/>
    <mergeCell ref="A221:O222"/>
    <mergeCell ref="A158:Z158"/>
    <mergeCell ref="D273:E273"/>
    <mergeCell ref="P252:V252"/>
    <mergeCell ref="P105:V105"/>
    <mergeCell ref="P366:V366"/>
    <mergeCell ref="A144:O145"/>
    <mergeCell ref="P212:T212"/>
    <mergeCell ref="P359:T359"/>
    <mergeCell ref="A178:O179"/>
    <mergeCell ref="AA17:AA18"/>
    <mergeCell ref="H10:M10"/>
    <mergeCell ref="AC17:AC18"/>
    <mergeCell ref="P279:T279"/>
    <mergeCell ref="A420:Z420"/>
    <mergeCell ref="P472:T472"/>
    <mergeCell ref="D393:E393"/>
    <mergeCell ref="A224:Z224"/>
    <mergeCell ref="P108:T108"/>
    <mergeCell ref="A104:O105"/>
    <mergeCell ref="A435:Z435"/>
    <mergeCell ref="P177:T177"/>
    <mergeCell ref="P93:T93"/>
    <mergeCell ref="P57:V57"/>
    <mergeCell ref="G17:G18"/>
    <mergeCell ref="P121:V121"/>
    <mergeCell ref="D80:E80"/>
    <mergeCell ref="P130:T130"/>
    <mergeCell ref="D136:E136"/>
    <mergeCell ref="P46:T46"/>
    <mergeCell ref="P409:T409"/>
    <mergeCell ref="D461:E461"/>
    <mergeCell ref="P61:T61"/>
    <mergeCell ref="D200:E200"/>
    <mergeCell ref="P487:T487"/>
    <mergeCell ref="A235:O236"/>
    <mergeCell ref="A288:Z288"/>
    <mergeCell ref="D153:E153"/>
    <mergeCell ref="P318:T318"/>
    <mergeCell ref="P256:T256"/>
    <mergeCell ref="V6:W9"/>
    <mergeCell ref="D199:E199"/>
    <mergeCell ref="D364:E364"/>
    <mergeCell ref="P109:T109"/>
    <mergeCell ref="A59:Z59"/>
    <mergeCell ref="P274:T274"/>
    <mergeCell ref="D186:E186"/>
    <mergeCell ref="P345:T345"/>
    <mergeCell ref="P22:T22"/>
    <mergeCell ref="D428:E428"/>
    <mergeCell ref="P40:T40"/>
    <mergeCell ref="P236:V236"/>
    <mergeCell ref="P257:T257"/>
    <mergeCell ref="P80:T80"/>
    <mergeCell ref="Z17:Z18"/>
    <mergeCell ref="P173:V173"/>
    <mergeCell ref="A172:O173"/>
    <mergeCell ref="P227:T227"/>
    <mergeCell ref="P498:P499"/>
    <mergeCell ref="AB17:AB18"/>
    <mergeCell ref="I497:R497"/>
    <mergeCell ref="A283:Z283"/>
    <mergeCell ref="D446:E446"/>
    <mergeCell ref="A277:Z277"/>
    <mergeCell ref="P44:V44"/>
    <mergeCell ref="H5:M5"/>
    <mergeCell ref="P31:V31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6:M6"/>
    <mergeCell ref="P175:T175"/>
    <mergeCell ref="A85:Z85"/>
    <mergeCell ref="A278:Z278"/>
    <mergeCell ref="P460:T460"/>
    <mergeCell ref="D143:E143"/>
    <mergeCell ref="P398:T398"/>
    <mergeCell ref="D498:D499"/>
    <mergeCell ref="D481:E481"/>
    <mergeCell ref="P226:T226"/>
    <mergeCell ref="F498:F499"/>
    <mergeCell ref="D256:E256"/>
    <mergeCell ref="D207:E207"/>
    <mergeCell ref="P462:T462"/>
    <mergeCell ref="P164:T164"/>
    <mergeCell ref="A150:O151"/>
    <mergeCell ref="D299:E299"/>
    <mergeCell ref="D370:E370"/>
    <mergeCell ref="P405:V405"/>
    <mergeCell ref="P399:T399"/>
    <mergeCell ref="P413:V413"/>
    <mergeCell ref="D159:E159"/>
    <mergeCell ref="A403:Z403"/>
    <mergeCell ref="P382:V382"/>
    <mergeCell ref="P357:V357"/>
    <mergeCell ref="D459:E459"/>
    <mergeCell ref="A271:Z271"/>
    <mergeCell ref="P240:V240"/>
    <mergeCell ref="Y498:Y499"/>
    <mergeCell ref="A412:O413"/>
    <mergeCell ref="D225:E225"/>
    <mergeCell ref="D257:E257"/>
    <mergeCell ref="P214:T214"/>
    <mergeCell ref="D213:E213"/>
    <mergeCell ref="D86:E86"/>
    <mergeCell ref="A457:Z457"/>
    <mergeCell ref="A110:O111"/>
    <mergeCell ref="P107:T107"/>
    <mergeCell ref="P101:T101"/>
    <mergeCell ref="P63:V63"/>
    <mergeCell ref="D386:E386"/>
    <mergeCell ref="D203:E203"/>
    <mergeCell ref="P232:T232"/>
    <mergeCell ref="P330:T330"/>
    <mergeCell ref="P159:T159"/>
    <mergeCell ref="D438:E438"/>
    <mergeCell ref="D267:E267"/>
    <mergeCell ref="D425:E425"/>
    <mergeCell ref="D359:E359"/>
    <mergeCell ref="D215:E215"/>
    <mergeCell ref="P194:V194"/>
    <mergeCell ref="D169:E169"/>
    <mergeCell ref="P204:V204"/>
    <mergeCell ref="D447:E447"/>
    <mergeCell ref="A127:O128"/>
    <mergeCell ref="P301:T301"/>
    <mergeCell ref="P34:T34"/>
    <mergeCell ref="A478:O479"/>
    <mergeCell ref="P348:T348"/>
    <mergeCell ref="D294:E294"/>
    <mergeCell ref="P323:T323"/>
    <mergeCell ref="A414:Z414"/>
    <mergeCell ref="D231:E231"/>
    <mergeCell ref="A91:Z91"/>
    <mergeCell ref="P70:V70"/>
    <mergeCell ref="A156:Z156"/>
    <mergeCell ref="P82:V82"/>
    <mergeCell ref="A134:Z134"/>
    <mergeCell ref="D108:E108"/>
    <mergeCell ref="A98:Z98"/>
    <mergeCell ref="P110:V110"/>
    <mergeCell ref="A162:Z162"/>
    <mergeCell ref="P208:T208"/>
    <mergeCell ref="P153:T153"/>
    <mergeCell ref="P221:V221"/>
    <mergeCell ref="P326:V326"/>
    <mergeCell ref="P393:T393"/>
    <mergeCell ref="Q13:R13"/>
    <mergeCell ref="P401:V401"/>
    <mergeCell ref="P268:V268"/>
    <mergeCell ref="P339:V339"/>
    <mergeCell ref="D318:E318"/>
    <mergeCell ref="D389:E389"/>
    <mergeCell ref="P201:T201"/>
    <mergeCell ref="P97:V97"/>
    <mergeCell ref="P47:V47"/>
    <mergeCell ref="P176:T176"/>
    <mergeCell ref="P247:T247"/>
    <mergeCell ref="P114:T114"/>
    <mergeCell ref="P41:T41"/>
    <mergeCell ref="A328:Z328"/>
    <mergeCell ref="A157:Z157"/>
    <mergeCell ref="A35:O36"/>
    <mergeCell ref="D149:E149"/>
    <mergeCell ref="D22:E22"/>
    <mergeCell ref="D374:E374"/>
    <mergeCell ref="P396:V396"/>
    <mergeCell ref="A395:O396"/>
    <mergeCell ref="P259:T259"/>
    <mergeCell ref="P32:V32"/>
    <mergeCell ref="A400:O401"/>
    <mergeCell ref="P479:V479"/>
    <mergeCell ref="A339:O340"/>
    <mergeCell ref="M17:M18"/>
    <mergeCell ref="O17:O18"/>
    <mergeCell ref="C498:C499"/>
    <mergeCell ref="P336:T336"/>
    <mergeCell ref="E498:E499"/>
    <mergeCell ref="P494:V494"/>
    <mergeCell ref="P430:T430"/>
    <mergeCell ref="A297:Z297"/>
    <mergeCell ref="P102:T102"/>
    <mergeCell ref="P189:V189"/>
    <mergeCell ref="A185:Z185"/>
    <mergeCell ref="P196:T196"/>
    <mergeCell ref="D177:E177"/>
    <mergeCell ref="A313:O314"/>
    <mergeCell ref="P354:T354"/>
    <mergeCell ref="P352:V352"/>
    <mergeCell ref="P281:V281"/>
    <mergeCell ref="D226:E226"/>
    <mergeCell ref="D164:E164"/>
    <mergeCell ref="D462:E462"/>
    <mergeCell ref="X498:X499"/>
    <mergeCell ref="P474:V474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A371:O372"/>
    <mergeCell ref="D228:E228"/>
    <mergeCell ref="D404:E404"/>
    <mergeCell ref="A23:O24"/>
    <mergeCell ref="D10:E10"/>
    <mergeCell ref="P135:T135"/>
    <mergeCell ref="P191:T191"/>
    <mergeCell ref="A121:O122"/>
    <mergeCell ref="D34:E34"/>
    <mergeCell ref="F10:G10"/>
    <mergeCell ref="P349:T349"/>
    <mergeCell ref="P78:V78"/>
    <mergeCell ref="F5:G5"/>
    <mergeCell ref="V11:W11"/>
    <mergeCell ref="A9:C9"/>
    <mergeCell ref="P125:T125"/>
    <mergeCell ref="Z498:Z499"/>
    <mergeCell ref="P376:V376"/>
    <mergeCell ref="P205:V205"/>
    <mergeCell ref="D310:E310"/>
    <mergeCell ref="P364:T364"/>
    <mergeCell ref="AD17:AF18"/>
    <mergeCell ref="D101:E101"/>
    <mergeCell ref="P117:V117"/>
    <mergeCell ref="D76:E76"/>
    <mergeCell ref="P365:V365"/>
    <mergeCell ref="P144:V144"/>
    <mergeCell ref="A25:Z25"/>
    <mergeCell ref="P67:T67"/>
    <mergeCell ref="D430:E430"/>
    <mergeCell ref="D175:E175"/>
    <mergeCell ref="P186:T186"/>
    <mergeCell ref="D392:E392"/>
    <mergeCell ref="P469:V469"/>
    <mergeCell ref="A465:Z465"/>
    <mergeCell ref="A223:Z223"/>
    <mergeCell ref="A326:O327"/>
    <mergeCell ref="D165:E165"/>
    <mergeCell ref="P75:T75"/>
    <mergeCell ref="P406:V406"/>
    <mergeCell ref="D29:E29"/>
    <mergeCell ref="P344:T344"/>
    <mergeCell ref="D265:E265"/>
    <mergeCell ref="A20:Z20"/>
    <mergeCell ref="P493:V493"/>
    <mergeCell ref="D452:E452"/>
    <mergeCell ref="P371:V371"/>
    <mergeCell ref="A112:Z112"/>
    <mergeCell ref="P408:T408"/>
    <mergeCell ref="P137:V137"/>
    <mergeCell ref="D247:E247"/>
    <mergeCell ref="P132:V132"/>
    <mergeCell ref="P72:T72"/>
    <mergeCell ref="A31:O32"/>
    <mergeCell ref="A33:Z33"/>
    <mergeCell ref="P145:V145"/>
    <mergeCell ref="P23:V23"/>
    <mergeCell ref="D54:E54"/>
    <mergeCell ref="P160:V160"/>
    <mergeCell ref="P444:T444"/>
    <mergeCell ref="D408:E408"/>
    <mergeCell ref="P292:T292"/>
    <mergeCell ref="P492:V492"/>
    <mergeCell ref="P286:V286"/>
    <mergeCell ref="P495:V495"/>
    <mergeCell ref="P351:V351"/>
    <mergeCell ref="P239:V239"/>
    <mergeCell ref="M498:M499"/>
    <mergeCell ref="O498:O499"/>
    <mergeCell ref="D249:E249"/>
    <mergeCell ref="A476:Z476"/>
    <mergeCell ref="D170:E170"/>
    <mergeCell ref="D468:E468"/>
    <mergeCell ref="P436:T436"/>
    <mergeCell ref="D196:E196"/>
    <mergeCell ref="P294:T294"/>
    <mergeCell ref="U497:W497"/>
    <mergeCell ref="P381:V381"/>
    <mergeCell ref="A206:Z206"/>
    <mergeCell ref="A262:Z262"/>
    <mergeCell ref="P447:T447"/>
    <mergeCell ref="P410:T410"/>
    <mergeCell ref="P372:V372"/>
    <mergeCell ref="D331:E331"/>
    <mergeCell ref="D355:E355"/>
    <mergeCell ref="D293:E293"/>
    <mergeCell ref="D191:E191"/>
    <mergeCell ref="L498:L499"/>
    <mergeCell ref="Y17:Y18"/>
    <mergeCell ref="A260:O261"/>
    <mergeCell ref="U17:V17"/>
    <mergeCell ref="Q5:R5"/>
    <mergeCell ref="N17:N18"/>
    <mergeCell ref="P370:T370"/>
    <mergeCell ref="D242:E242"/>
    <mergeCell ref="A315:Z315"/>
    <mergeCell ref="P199:T199"/>
    <mergeCell ref="D120:E120"/>
    <mergeCell ref="F17:F18"/>
    <mergeCell ref="D107:E107"/>
    <mergeCell ref="P291:T291"/>
    <mergeCell ref="D163:E163"/>
    <mergeCell ref="D234:E234"/>
    <mergeCell ref="P136:T136"/>
    <mergeCell ref="P305:V305"/>
    <mergeCell ref="P228:T228"/>
    <mergeCell ref="D171:E171"/>
    <mergeCell ref="P355:T355"/>
    <mergeCell ref="D336:E336"/>
    <mergeCell ref="P293:T293"/>
    <mergeCell ref="Q6:R6"/>
    <mergeCell ref="P200:T200"/>
    <mergeCell ref="P122:V122"/>
    <mergeCell ref="A245:Z245"/>
    <mergeCell ref="P43:V43"/>
    <mergeCell ref="A39:Z39"/>
    <mergeCell ref="P285:V285"/>
    <mergeCell ref="P60:T60"/>
    <mergeCell ref="D291:E291"/>
    <mergeCell ref="D266:E266"/>
    <mergeCell ref="P149:T149"/>
    <mergeCell ref="D95:E95"/>
    <mergeCell ref="A251:O252"/>
    <mergeCell ref="A106:Z106"/>
    <mergeCell ref="P62:T62"/>
    <mergeCell ref="D202:E202"/>
    <mergeCell ref="P148:T148"/>
    <mergeCell ref="A47:O48"/>
    <mergeCell ref="A96:O97"/>
    <mergeCell ref="P68:T68"/>
    <mergeCell ref="A50:Z50"/>
    <mergeCell ref="P96:V96"/>
    <mergeCell ref="A124:Z124"/>
    <mergeCell ref="P170:T170"/>
    <mergeCell ref="D102:E102"/>
    <mergeCell ref="P181:T181"/>
    <mergeCell ref="A8:C8"/>
    <mergeCell ref="P360:T360"/>
    <mergeCell ref="P138:V138"/>
    <mergeCell ref="A137:O138"/>
    <mergeCell ref="A268:O269"/>
    <mergeCell ref="A10:C10"/>
    <mergeCell ref="P126:T126"/>
    <mergeCell ref="P361:V361"/>
    <mergeCell ref="P69:V69"/>
    <mergeCell ref="A21:Z21"/>
    <mergeCell ref="A129:Z129"/>
    <mergeCell ref="D192:E192"/>
    <mergeCell ref="P296:V296"/>
    <mergeCell ref="P356:V356"/>
    <mergeCell ref="D42:E42"/>
    <mergeCell ref="P338:T338"/>
    <mergeCell ref="D344:E344"/>
    <mergeCell ref="D17:E18"/>
    <mergeCell ref="P202:T202"/>
    <mergeCell ref="D250:E250"/>
    <mergeCell ref="A188:O189"/>
    <mergeCell ref="X17:X18"/>
    <mergeCell ref="P216:V216"/>
    <mergeCell ref="V12:W1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:X52 X55:X56 X60 X62 X74 X76 X80:X81 X86 X88 X92 X95 X100:X102 X113:X116 X120 X125:X126 X130:X131 X136 X142 X147 X149 X163 X165:X167 X169 X187 X196:X201 X203 X209:X215 X219 X228 X233 X255 X257 X259 X274 X284 X290:X294 X298:X299 X301:X302 X304 X308 X311 X316:X318 X325 X336:X338 X344:X347 X350 X354 X359:X360 X369:X370 X374 X379:X380 X386 X388 X398:X399 X408 X422:X424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751</v>
      </c>
      <c r="H1" s="52"/>
    </row>
    <row r="3" spans="2:8" x14ac:dyDescent="0.2">
      <c r="B3" s="47" t="s">
        <v>752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753</v>
      </c>
      <c r="D6" s="47" t="s">
        <v>754</v>
      </c>
      <c r="E6" s="47"/>
    </row>
    <row r="8" spans="2:8" x14ac:dyDescent="0.2">
      <c r="B8" s="47" t="s">
        <v>19</v>
      </c>
      <c r="C8" s="47" t="s">
        <v>753</v>
      </c>
      <c r="D8" s="47"/>
      <c r="E8" s="47"/>
    </row>
    <row r="10" spans="2:8" x14ac:dyDescent="0.2">
      <c r="B10" s="47" t="s">
        <v>755</v>
      </c>
      <c r="C10" s="47"/>
      <c r="D10" s="47"/>
      <c r="E10" s="47"/>
    </row>
    <row r="11" spans="2:8" x14ac:dyDescent="0.2">
      <c r="B11" s="47" t="s">
        <v>756</v>
      </c>
      <c r="C11" s="47"/>
      <c r="D11" s="47"/>
      <c r="E11" s="47"/>
    </row>
    <row r="12" spans="2:8" x14ac:dyDescent="0.2">
      <c r="B12" s="47" t="s">
        <v>757</v>
      </c>
      <c r="C12" s="47"/>
      <c r="D12" s="47"/>
      <c r="E12" s="47"/>
    </row>
    <row r="13" spans="2:8" x14ac:dyDescent="0.2">
      <c r="B13" s="47" t="s">
        <v>758</v>
      </c>
      <c r="C13" s="47"/>
      <c r="D13" s="47"/>
      <c r="E13" s="47"/>
    </row>
    <row r="14" spans="2:8" x14ac:dyDescent="0.2">
      <c r="B14" s="47" t="s">
        <v>759</v>
      </c>
      <c r="C14" s="47"/>
      <c r="D14" s="47"/>
      <c r="E14" s="47"/>
    </row>
    <row r="15" spans="2:8" x14ac:dyDescent="0.2">
      <c r="B15" s="47" t="s">
        <v>760</v>
      </c>
      <c r="C15" s="47"/>
      <c r="D15" s="47"/>
      <c r="E15" s="47"/>
    </row>
    <row r="16" spans="2:8" x14ac:dyDescent="0.2">
      <c r="B16" s="47" t="s">
        <v>761</v>
      </c>
      <c r="C16" s="47"/>
      <c r="D16" s="47"/>
      <c r="E16" s="47"/>
    </row>
    <row r="17" spans="2:5" x14ac:dyDescent="0.2">
      <c r="B17" s="47" t="s">
        <v>762</v>
      </c>
      <c r="C17" s="47"/>
      <c r="D17" s="47"/>
      <c r="E17" s="47"/>
    </row>
    <row r="18" spans="2:5" x14ac:dyDescent="0.2">
      <c r="B18" s="47" t="s">
        <v>763</v>
      </c>
      <c r="C18" s="47"/>
      <c r="D18" s="47"/>
      <c r="E18" s="47"/>
    </row>
    <row r="19" spans="2:5" x14ac:dyDescent="0.2">
      <c r="B19" s="47" t="s">
        <v>764</v>
      </c>
      <c r="C19" s="47"/>
      <c r="D19" s="47"/>
      <c r="E19" s="47"/>
    </row>
    <row r="20" spans="2:5" x14ac:dyDescent="0.2">
      <c r="B20" s="47" t="s">
        <v>765</v>
      </c>
      <c r="C20" s="47"/>
      <c r="D20" s="47"/>
      <c r="E20" s="47"/>
    </row>
  </sheetData>
  <sheetProtection algorithmName="SHA-512" hashValue="NAIXsgQB2/GNNbKRXJpQr6+vkWn9vZKzd+8R5zPbMIB/OlNKwKlhKXWiieuhf2FB6PGEGxNzKvsvEJEDSHwARA==" saltValue="NEjtz6VHokuOeXTVtmzD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2025-11-04T09:31:18Z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