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A11375-F499-453F-AFD0-E143EEA343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Q498" i="1" s="1"/>
  <c r="P288" i="1"/>
  <c r="X285" i="1"/>
  <c r="X284" i="1"/>
  <c r="BO283" i="1"/>
  <c r="BM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X490" i="1" s="1"/>
  <c r="BM22" i="1"/>
  <c r="Y22" i="1"/>
  <c r="B498" i="1" s="1"/>
  <c r="P22" i="1"/>
  <c r="H10" i="1"/>
  <c r="A9" i="1"/>
  <c r="A10" i="1" s="1"/>
  <c r="D7" i="1"/>
  <c r="Q6" i="1"/>
  <c r="P2" i="1"/>
  <c r="Y43" i="1" l="1"/>
  <c r="Z53" i="1"/>
  <c r="BN53" i="1"/>
  <c r="Z73" i="1"/>
  <c r="BN73" i="1"/>
  <c r="Z92" i="1"/>
  <c r="BN92" i="1"/>
  <c r="Z107" i="1"/>
  <c r="BN107" i="1"/>
  <c r="Z130" i="1"/>
  <c r="BN130" i="1"/>
  <c r="Y171" i="1"/>
  <c r="Z168" i="1"/>
  <c r="BN168" i="1"/>
  <c r="Z180" i="1"/>
  <c r="Z181" i="1" s="1"/>
  <c r="BN180" i="1"/>
  <c r="BP180" i="1"/>
  <c r="Y181" i="1"/>
  <c r="Z185" i="1"/>
  <c r="BN185" i="1"/>
  <c r="Y188" i="1"/>
  <c r="Z200" i="1"/>
  <c r="BN200" i="1"/>
  <c r="Z210" i="1"/>
  <c r="BN210" i="1"/>
  <c r="Z225" i="1"/>
  <c r="BN225" i="1"/>
  <c r="Z233" i="1"/>
  <c r="BN233" i="1"/>
  <c r="Y251" i="1"/>
  <c r="Z254" i="1"/>
  <c r="BN254" i="1"/>
  <c r="Z265" i="1"/>
  <c r="BN265" i="1"/>
  <c r="Z290" i="1"/>
  <c r="BN290" i="1"/>
  <c r="Z300" i="1"/>
  <c r="BN300" i="1"/>
  <c r="Z310" i="1"/>
  <c r="BN310" i="1"/>
  <c r="Z329" i="1"/>
  <c r="BN329" i="1"/>
  <c r="Z344" i="1"/>
  <c r="BN344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BP298" i="1"/>
  <c r="BN298" i="1"/>
  <c r="Z298" i="1"/>
  <c r="BP308" i="1"/>
  <c r="BN308" i="1"/>
  <c r="Z308" i="1"/>
  <c r="Y325" i="1"/>
  <c r="BP320" i="1"/>
  <c r="BN320" i="1"/>
  <c r="Z320" i="1"/>
  <c r="Y331" i="1"/>
  <c r="BP327" i="1"/>
  <c r="BN327" i="1"/>
  <c r="Z327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30" i="1"/>
  <c r="BN30" i="1"/>
  <c r="Z42" i="1"/>
  <c r="BN42" i="1"/>
  <c r="Z46" i="1"/>
  <c r="Z47" i="1" s="1"/>
  <c r="BN46" i="1"/>
  <c r="BP46" i="1"/>
  <c r="Y47" i="1"/>
  <c r="Z51" i="1"/>
  <c r="BN51" i="1"/>
  <c r="Z55" i="1"/>
  <c r="BN55" i="1"/>
  <c r="Y64" i="1"/>
  <c r="Z67" i="1"/>
  <c r="BN67" i="1"/>
  <c r="Y76" i="1"/>
  <c r="Z75" i="1"/>
  <c r="BN75" i="1"/>
  <c r="Y81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Y127" i="1"/>
  <c r="Z134" i="1"/>
  <c r="BN134" i="1"/>
  <c r="BP134" i="1"/>
  <c r="Y137" i="1"/>
  <c r="H498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Y178" i="1"/>
  <c r="Z176" i="1"/>
  <c r="BN176" i="1"/>
  <c r="Z191" i="1"/>
  <c r="BN191" i="1"/>
  <c r="Z197" i="1"/>
  <c r="BN197" i="1"/>
  <c r="Z202" i="1"/>
  <c r="BN202" i="1"/>
  <c r="Y216" i="1"/>
  <c r="Z208" i="1"/>
  <c r="BN208" i="1"/>
  <c r="Z212" i="1"/>
  <c r="BN212" i="1"/>
  <c r="Z218" i="1"/>
  <c r="BN218" i="1"/>
  <c r="BP218" i="1"/>
  <c r="K49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N272" i="1"/>
  <c r="P498" i="1"/>
  <c r="Z283" i="1"/>
  <c r="Z284" i="1" s="1"/>
  <c r="BN283" i="1"/>
  <c r="BP283" i="1"/>
  <c r="Y284" i="1"/>
  <c r="Z288" i="1"/>
  <c r="BN288" i="1"/>
  <c r="BP288" i="1"/>
  <c r="Z292" i="1"/>
  <c r="BN292" i="1"/>
  <c r="Y304" i="1"/>
  <c r="BP302" i="1"/>
  <c r="BN302" i="1"/>
  <c r="Z302" i="1"/>
  <c r="Y318" i="1"/>
  <c r="BP314" i="1"/>
  <c r="BN314" i="1"/>
  <c r="Z314" i="1"/>
  <c r="BP321" i="1"/>
  <c r="BN321" i="1"/>
  <c r="Z321" i="1"/>
  <c r="BP334" i="1"/>
  <c r="BN334" i="1"/>
  <c r="Z334" i="1"/>
  <c r="BP347" i="1"/>
  <c r="BN347" i="1"/>
  <c r="Z347" i="1"/>
  <c r="U498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2" i="1"/>
  <c r="Y379" i="1"/>
  <c r="Y453" i="1"/>
  <c r="Y452" i="1"/>
  <c r="F9" i="1"/>
  <c r="J9" i="1"/>
  <c r="F10" i="1"/>
  <c r="Z22" i="1"/>
  <c r="Z23" i="1" s="1"/>
  <c r="BN22" i="1"/>
  <c r="BP22" i="1"/>
  <c r="Y23" i="1"/>
  <c r="X488" i="1"/>
  <c r="Z26" i="1"/>
  <c r="BN26" i="1"/>
  <c r="BP26" i="1"/>
  <c r="Z28" i="1"/>
  <c r="BN28" i="1"/>
  <c r="BP29" i="1"/>
  <c r="BN29" i="1"/>
  <c r="Y31" i="1"/>
  <c r="BP41" i="1"/>
  <c r="BN41" i="1"/>
  <c r="Z41" i="1"/>
  <c r="Z43" i="1" s="1"/>
  <c r="H9" i="1"/>
  <c r="Y24" i="1"/>
  <c r="Y58" i="1"/>
  <c r="BP52" i="1"/>
  <c r="BN52" i="1"/>
  <c r="Z52" i="1"/>
  <c r="C498" i="1"/>
  <c r="Y44" i="1"/>
  <c r="D498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BN100" i="1"/>
  <c r="BP100" i="1"/>
  <c r="Z102" i="1"/>
  <c r="Z103" i="1" s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8" i="1"/>
  <c r="Y160" i="1"/>
  <c r="Z163" i="1"/>
  <c r="BN163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Y204" i="1"/>
  <c r="Z196" i="1"/>
  <c r="BN196" i="1"/>
  <c r="Z198" i="1"/>
  <c r="BN198" i="1"/>
  <c r="BP199" i="1"/>
  <c r="BN199" i="1"/>
  <c r="Z199" i="1"/>
  <c r="Y203" i="1"/>
  <c r="BP207" i="1"/>
  <c r="BN207" i="1"/>
  <c r="Z207" i="1"/>
  <c r="Y215" i="1"/>
  <c r="BP211" i="1"/>
  <c r="BN211" i="1"/>
  <c r="Z211" i="1"/>
  <c r="Y89" i="1"/>
  <c r="Y144" i="1"/>
  <c r="BP201" i="1"/>
  <c r="BN201" i="1"/>
  <c r="Z201" i="1"/>
  <c r="Z203" i="1" s="1"/>
  <c r="BP209" i="1"/>
  <c r="BN209" i="1"/>
  <c r="Z209" i="1"/>
  <c r="BP213" i="1"/>
  <c r="BN213" i="1"/>
  <c r="Z213" i="1"/>
  <c r="Y221" i="1"/>
  <c r="Y234" i="1"/>
  <c r="Y250" i="1"/>
  <c r="Y259" i="1"/>
  <c r="Y268" i="1"/>
  <c r="Y275" i="1"/>
  <c r="Y280" i="1"/>
  <c r="Y293" i="1"/>
  <c r="Y303" i="1"/>
  <c r="Y311" i="1"/>
  <c r="Y317" i="1"/>
  <c r="Y324" i="1"/>
  <c r="Y330" i="1"/>
  <c r="Y337" i="1"/>
  <c r="Y350" i="1"/>
  <c r="BP368" i="1"/>
  <c r="BN368" i="1"/>
  <c r="Z368" i="1"/>
  <c r="Z369" i="1" s="1"/>
  <c r="Y370" i="1"/>
  <c r="Y375" i="1"/>
  <c r="BP372" i="1"/>
  <c r="BN372" i="1"/>
  <c r="Z372" i="1"/>
  <c r="Z374" i="1" s="1"/>
  <c r="BP386" i="1"/>
  <c r="BN386" i="1"/>
  <c r="Z386" i="1"/>
  <c r="BP390" i="1"/>
  <c r="BN390" i="1"/>
  <c r="Z390" i="1"/>
  <c r="BP407" i="1"/>
  <c r="BN407" i="1"/>
  <c r="Z407" i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Y472" i="1"/>
  <c r="L498" i="1"/>
  <c r="Z219" i="1"/>
  <c r="Z220" i="1" s="1"/>
  <c r="BN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BN246" i="1"/>
  <c r="Z248" i="1"/>
  <c r="BN248" i="1"/>
  <c r="Z255" i="1"/>
  <c r="BN255" i="1"/>
  <c r="Z257" i="1"/>
  <c r="BN257" i="1"/>
  <c r="M498" i="1"/>
  <c r="Z264" i="1"/>
  <c r="BN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Z289" i="1"/>
  <c r="BN289" i="1"/>
  <c r="Z291" i="1"/>
  <c r="BN291" i="1"/>
  <c r="Y294" i="1"/>
  <c r="Z297" i="1"/>
  <c r="BN297" i="1"/>
  <c r="Z299" i="1"/>
  <c r="BN299" i="1"/>
  <c r="Z301" i="1"/>
  <c r="BN301" i="1"/>
  <c r="Z307" i="1"/>
  <c r="BN307" i="1"/>
  <c r="Z309" i="1"/>
  <c r="BN309" i="1"/>
  <c r="Z315" i="1"/>
  <c r="Z317" i="1" s="1"/>
  <c r="BN315" i="1"/>
  <c r="Z322" i="1"/>
  <c r="BN322" i="1"/>
  <c r="Z328" i="1"/>
  <c r="BN328" i="1"/>
  <c r="R498" i="1"/>
  <c r="Z335" i="1"/>
  <c r="Z337" i="1" s="1"/>
  <c r="BN335" i="1"/>
  <c r="Y338" i="1"/>
  <c r="S498" i="1"/>
  <c r="Z343" i="1"/>
  <c r="BN343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49" i="1" l="1"/>
  <c r="Z330" i="1"/>
  <c r="Z324" i="1"/>
  <c r="Z472" i="1"/>
  <c r="Z171" i="1"/>
  <c r="Z293" i="1"/>
  <c r="Z259" i="1"/>
  <c r="Z250" i="1"/>
  <c r="Z461" i="1"/>
  <c r="Z410" i="1"/>
  <c r="Z311" i="1"/>
  <c r="Z303" i="1"/>
  <c r="Z267" i="1"/>
  <c r="Z215" i="1"/>
  <c r="Z57" i="1"/>
  <c r="Z446" i="1"/>
  <c r="Z431" i="1"/>
  <c r="Z393" i="1"/>
  <c r="Y488" i="1"/>
  <c r="Y490" i="1"/>
  <c r="Z274" i="1"/>
  <c r="Z234" i="1"/>
  <c r="Z149" i="1"/>
  <c r="Z143" i="1"/>
  <c r="Z116" i="1"/>
  <c r="Z109" i="1"/>
  <c r="Z76" i="1"/>
  <c r="Z69" i="1"/>
  <c r="Z63" i="1"/>
  <c r="Z31" i="1"/>
  <c r="Z493" i="1" s="1"/>
  <c r="Y492" i="1"/>
  <c r="Y489" i="1"/>
  <c r="Y491" i="1" s="1"/>
</calcChain>
</file>

<file path=xl/sharedStrings.xml><?xml version="1.0" encoding="utf-8"?>
<sst xmlns="http://schemas.openxmlformats.org/spreadsheetml/2006/main" count="2272" uniqueCount="763">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</sst>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14" sqref="AA11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45971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166.66666666666666</v>
      </c>
      <c r="Y116" s="541">
        <f>IFERROR(Y112/H112,"0")+IFERROR(Y113/H113,"0")+IFERROR(Y114/H114,"0")+IFERROR(Y115/H115,"0")</f>
        <v>167</v>
      </c>
      <c r="Z116" s="541">
        <f>IFERROR(IF(Z112="",0,Z112),"0")+IFERROR(IF(Z113="",0,Z113),"0")+IFERROR(IF(Z114="",0,Z114),"0")+IFERROR(IF(Z115="",0,Z115),"0")</f>
        <v>1.08717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450</v>
      </c>
      <c r="Y117" s="541">
        <f>IFERROR(SUM(Y112:Y115),"0")</f>
        <v>450.90000000000003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hidden="1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hidden="1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idden="1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hidden="1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hidden="1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hidden="1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1060</v>
      </c>
      <c r="Y377" s="540">
        <f>IFERROR(IF(X377="",0,CEILING((X377/$H377),1)*$H377),"")</f>
        <v>1062</v>
      </c>
      <c r="Z377" s="36">
        <f>IFERROR(IF(Y377=0,"",ROUNDUP(Y377/H377,0)*0.01898),"")</f>
        <v>2.2396400000000001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1118.1822222222222</v>
      </c>
      <c r="BN377" s="64">
        <f>IFERROR(Y377*I377/H377,"0")</f>
        <v>1120.2920000000001</v>
      </c>
      <c r="BO377" s="64">
        <f>IFERROR(1/J377*(X377/H377),"0")</f>
        <v>1.8402777777777777</v>
      </c>
      <c r="BP377" s="64">
        <f>IFERROR(1/J377*(Y377/H377),"0")</f>
        <v>1.84375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117.77777777777777</v>
      </c>
      <c r="Y379" s="541">
        <f>IFERROR(Y377/H377,"0")+IFERROR(Y378/H378,"0")</f>
        <v>118</v>
      </c>
      <c r="Z379" s="541">
        <f>IFERROR(IF(Z377="",0,Z377),"0")+IFERROR(IF(Z378="",0,Z378),"0")</f>
        <v>2.2396400000000001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1060</v>
      </c>
      <c r="Y380" s="541">
        <f>IFERROR(SUM(Y377:Y378),"0")</f>
        <v>1062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400</v>
      </c>
      <c r="Y422" s="540">
        <f t="shared" si="42"/>
        <v>401.28000000000003</v>
      </c>
      <c r="Z422" s="36">
        <f t="shared" si="43"/>
        <v>0.90895999999999999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426.5151515151515</v>
      </c>
      <c r="BN422" s="64">
        <f t="shared" si="45"/>
        <v>427.88</v>
      </c>
      <c r="BO422" s="64">
        <f t="shared" si="46"/>
        <v>0.72843822843822836</v>
      </c>
      <c r="BP422" s="64">
        <f t="shared" si="47"/>
        <v>0.73076923076923084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300</v>
      </c>
      <c r="Y425" s="540">
        <f t="shared" si="42"/>
        <v>300.96000000000004</v>
      </c>
      <c r="Z425" s="36">
        <f t="shared" si="43"/>
        <v>0.68171999999999999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319.88636363636363</v>
      </c>
      <c r="BN425" s="64">
        <f t="shared" si="45"/>
        <v>320.91000000000003</v>
      </c>
      <c r="BO425" s="64">
        <f t="shared" si="46"/>
        <v>0.54632867132867136</v>
      </c>
      <c r="BP425" s="64">
        <f t="shared" si="47"/>
        <v>0.54807692307692313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132.57575757575756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133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1.5906799999999999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700</v>
      </c>
      <c r="Y432" s="541">
        <f>IFERROR(SUM(Y420:Y430),"0")</f>
        <v>702.24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2210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2215.1400000000003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2356.5837373737372</v>
      </c>
      <c r="Y489" s="541">
        <f>IFERROR(SUM(BN22:BN485),"0")</f>
        <v>2362.0659999999998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2481.5837373737372</v>
      </c>
      <c r="Y491" s="541">
        <f>GrossWeightTotalR+PalletQtyTotalR*25</f>
        <v>2487.0659999999998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417.02020202020202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418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4.9174899999999999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450.90000000000003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46">
        <f>IFERROR(Y367*1,"0")+IFERROR(Y368*1,"0")+IFERROR(Y372*1,"0")+IFERROR(Y373*1,"0")+IFERROR(Y377*1,"0")+IFERROR(Y378*1,"0")</f>
        <v>1062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702.24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00"/>
        <filter val="117,78"/>
        <filter val="132,58"/>
        <filter val="166,67"/>
        <filter val="2 210,00"/>
        <filter val="2 356,58"/>
        <filter val="2 481,58"/>
        <filter val="300,00"/>
        <filter val="400,00"/>
        <filter val="417,02"/>
        <filter val="450,00"/>
        <filter val="5"/>
        <filter val="700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