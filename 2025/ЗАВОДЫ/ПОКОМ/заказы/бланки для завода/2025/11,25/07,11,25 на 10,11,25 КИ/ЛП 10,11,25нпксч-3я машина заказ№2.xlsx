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B465BD1-DCCA-441E-B957-7E551C90C29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BP278" i="1" s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Y274" i="1" s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Z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Z22" i="1" l="1"/>
  <c r="Z23" i="1" s="1"/>
  <c r="BN22" i="1"/>
  <c r="BP22" i="1"/>
  <c r="Z26" i="1"/>
  <c r="BN26" i="1"/>
  <c r="Z42" i="1"/>
  <c r="BN42" i="1"/>
  <c r="Y57" i="1"/>
  <c r="Z61" i="1"/>
  <c r="BN61" i="1"/>
  <c r="Z87" i="1"/>
  <c r="BN87" i="1"/>
  <c r="Y95" i="1"/>
  <c r="Z102" i="1"/>
  <c r="BN102" i="1"/>
  <c r="Z114" i="1"/>
  <c r="BN114" i="1"/>
  <c r="Z142" i="1"/>
  <c r="BN142" i="1"/>
  <c r="Z169" i="1"/>
  <c r="BN169" i="1"/>
  <c r="Z198" i="1"/>
  <c r="BN198" i="1"/>
  <c r="Z208" i="1"/>
  <c r="BN208" i="1"/>
  <c r="Z219" i="1"/>
  <c r="BN219" i="1"/>
  <c r="Z230" i="1"/>
  <c r="BN230" i="1"/>
  <c r="Z255" i="1"/>
  <c r="BN255" i="1"/>
  <c r="Z271" i="1"/>
  <c r="BN271" i="1"/>
  <c r="BP271" i="1"/>
  <c r="Z293" i="1"/>
  <c r="BN293" i="1"/>
  <c r="Z303" i="1"/>
  <c r="BN303" i="1"/>
  <c r="Z315" i="1"/>
  <c r="BN315" i="1"/>
  <c r="Z330" i="1"/>
  <c r="BN330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F9" i="1"/>
  <c r="F10" i="1"/>
  <c r="Y149" i="1"/>
  <c r="Y305" i="1"/>
  <c r="BP297" i="1"/>
  <c r="BN297" i="1"/>
  <c r="BP301" i="1"/>
  <c r="BN301" i="1"/>
  <c r="Z301" i="1"/>
  <c r="BP311" i="1"/>
  <c r="BN311" i="1"/>
  <c r="Z311" i="1"/>
  <c r="BP324" i="1"/>
  <c r="BN324" i="1"/>
  <c r="Z324" i="1"/>
  <c r="BP328" i="1"/>
  <c r="BN328" i="1"/>
  <c r="Z328" i="1"/>
  <c r="BP345" i="1"/>
  <c r="BN345" i="1"/>
  <c r="Z345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Y76" i="1"/>
  <c r="Z80" i="1"/>
  <c r="BN80" i="1"/>
  <c r="Z85" i="1"/>
  <c r="BN85" i="1"/>
  <c r="Z91" i="1"/>
  <c r="BN91" i="1"/>
  <c r="BP91" i="1"/>
  <c r="Z100" i="1"/>
  <c r="BN100" i="1"/>
  <c r="Z106" i="1"/>
  <c r="BN106" i="1"/>
  <c r="Z112" i="1"/>
  <c r="BN112" i="1"/>
  <c r="BP112" i="1"/>
  <c r="Z125" i="1"/>
  <c r="BN125" i="1"/>
  <c r="Y131" i="1"/>
  <c r="Z135" i="1"/>
  <c r="BN135" i="1"/>
  <c r="Z140" i="1"/>
  <c r="BN140" i="1"/>
  <c r="Z146" i="1"/>
  <c r="BN146" i="1"/>
  <c r="BP146" i="1"/>
  <c r="Z163" i="1"/>
  <c r="BN163" i="1"/>
  <c r="Z167" i="1"/>
  <c r="BN167" i="1"/>
  <c r="Z175" i="1"/>
  <c r="BN175" i="1"/>
  <c r="Z196" i="1"/>
  <c r="BN196" i="1"/>
  <c r="Z200" i="1"/>
  <c r="BN200" i="1"/>
  <c r="Z206" i="1"/>
  <c r="BN206" i="1"/>
  <c r="Z213" i="1"/>
  <c r="BN213" i="1"/>
  <c r="Z224" i="1"/>
  <c r="BN224" i="1"/>
  <c r="Z228" i="1"/>
  <c r="BN228" i="1"/>
  <c r="Z232" i="1"/>
  <c r="BN232" i="1"/>
  <c r="Z248" i="1"/>
  <c r="BN248" i="1"/>
  <c r="Z257" i="1"/>
  <c r="BN257" i="1"/>
  <c r="Z266" i="1"/>
  <c r="BN266" i="1"/>
  <c r="Z273" i="1"/>
  <c r="BN273" i="1"/>
  <c r="Z278" i="1"/>
  <c r="BN278" i="1"/>
  <c r="Z291" i="1"/>
  <c r="BN291" i="1"/>
  <c r="Z297" i="1"/>
  <c r="BP307" i="1"/>
  <c r="BN307" i="1"/>
  <c r="Z307" i="1"/>
  <c r="BP317" i="1"/>
  <c r="BN317" i="1"/>
  <c r="Z317" i="1"/>
  <c r="BP335" i="1"/>
  <c r="BN335" i="1"/>
  <c r="Z335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26" i="1"/>
  <c r="Y325" i="1"/>
  <c r="Y380" i="1"/>
  <c r="Y454" i="1"/>
  <c r="Y453" i="1"/>
  <c r="Z346" i="1"/>
  <c r="BN346" i="1"/>
  <c r="Y31" i="1"/>
  <c r="Y43" i="1"/>
  <c r="Y58" i="1"/>
  <c r="Y64" i="1"/>
  <c r="Y70" i="1"/>
  <c r="BP86" i="1"/>
  <c r="BN86" i="1"/>
  <c r="Z86" i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4" i="1"/>
  <c r="BN214" i="1"/>
  <c r="Z214" i="1"/>
  <c r="Y216" i="1"/>
  <c r="Y221" i="1"/>
  <c r="BP218" i="1"/>
  <c r="BN218" i="1"/>
  <c r="Z218" i="1"/>
  <c r="Z220" i="1" s="1"/>
  <c r="Y220" i="1"/>
  <c r="BP279" i="1"/>
  <c r="BN279" i="1"/>
  <c r="Z279" i="1"/>
  <c r="Z280" i="1" s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Z331" i="1" s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BP75" i="1"/>
  <c r="BN75" i="1"/>
  <c r="Z75" i="1"/>
  <c r="Y77" i="1"/>
  <c r="Y82" i="1"/>
  <c r="BP79" i="1"/>
  <c r="BN79" i="1"/>
  <c r="Z79" i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BP258" i="1"/>
  <c r="BN258" i="1"/>
  <c r="Z258" i="1"/>
  <c r="Y260" i="1"/>
  <c r="M499" i="1"/>
  <c r="Y268" i="1"/>
  <c r="BP263" i="1"/>
  <c r="BN263" i="1"/>
  <c r="Z263" i="1"/>
  <c r="Z267" i="1" s="1"/>
  <c r="Y267" i="1"/>
  <c r="BP272" i="1"/>
  <c r="BN272" i="1"/>
  <c r="Z272" i="1"/>
  <c r="Z274" i="1" s="1"/>
  <c r="BP290" i="1"/>
  <c r="BN290" i="1"/>
  <c r="Z290" i="1"/>
  <c r="BP298" i="1"/>
  <c r="BN298" i="1"/>
  <c r="Z298" i="1"/>
  <c r="BP302" i="1"/>
  <c r="BN302" i="1"/>
  <c r="Z302" i="1"/>
  <c r="Y313" i="1"/>
  <c r="BP310" i="1"/>
  <c r="BN310" i="1"/>
  <c r="Z310" i="1"/>
  <c r="Y319" i="1"/>
  <c r="BP323" i="1"/>
  <c r="BN323" i="1"/>
  <c r="Z323" i="1"/>
  <c r="Z325" i="1" s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8" i="1" l="1"/>
  <c r="Z453" i="1"/>
  <c r="Z399" i="1"/>
  <c r="Z312" i="1"/>
  <c r="Z116" i="1"/>
  <c r="Z95" i="1"/>
  <c r="Z81" i="1"/>
  <c r="Z76" i="1"/>
  <c r="Z63" i="1"/>
  <c r="Z143" i="1"/>
  <c r="Z88" i="1"/>
  <c r="Z304" i="1"/>
  <c r="Z259" i="1"/>
  <c r="Z250" i="1"/>
  <c r="Z350" i="1"/>
  <c r="Z215" i="1"/>
  <c r="Z103" i="1"/>
  <c r="Z234" i="1"/>
  <c r="Y491" i="1"/>
  <c r="Z57" i="1"/>
  <c r="Y490" i="1"/>
  <c r="Z31" i="1"/>
  <c r="Y493" i="1"/>
  <c r="X492" i="1"/>
  <c r="Y492" i="1"/>
  <c r="Z394" i="1"/>
  <c r="Z294" i="1"/>
  <c r="Z171" i="1"/>
  <c r="Z438" i="1"/>
  <c r="Z447" i="1"/>
  <c r="Z432" i="1"/>
  <c r="Z69" i="1"/>
  <c r="Y489" i="1"/>
  <c r="Z203" i="1"/>
  <c r="Z177" i="1"/>
  <c r="Z494" i="1" l="1"/>
</calcChain>
</file>

<file path=xl/sharedStrings.xml><?xml version="1.0" encoding="utf-8"?>
<sst xmlns="http://schemas.openxmlformats.org/spreadsheetml/2006/main" count="2347" uniqueCount="766">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</sst>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0" borderId="25" xfId="0" applyBorder="1" applyProtection="1">
      <protection hidden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4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802" t="s">
        <v>0</v>
      </c>
      <c r="E1" s="758"/>
      <c r="F1" s="758"/>
      <c r="G1" s="12" t="s">
        <v>1</v>
      </c>
      <c r="H1" s="802" t="s">
        <v>2</v>
      </c>
      <c r="I1" s="758"/>
      <c r="J1" s="758"/>
      <c r="K1" s="758"/>
      <c r="L1" s="758"/>
      <c r="M1" s="758"/>
      <c r="N1" s="758"/>
      <c r="O1" s="758"/>
      <c r="P1" s="758"/>
      <c r="Q1" s="758"/>
      <c r="R1" s="855" t="s">
        <v>3</v>
      </c>
      <c r="S1" s="758"/>
      <c r="T1" s="75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775" t="s">
        <v>8</v>
      </c>
      <c r="B5" s="634"/>
      <c r="C5" s="578"/>
      <c r="D5" s="660"/>
      <c r="E5" s="662"/>
      <c r="F5" s="606" t="s">
        <v>9</v>
      </c>
      <c r="G5" s="578"/>
      <c r="H5" s="660" t="s">
        <v>765</v>
      </c>
      <c r="I5" s="661"/>
      <c r="J5" s="661"/>
      <c r="K5" s="661"/>
      <c r="L5" s="661"/>
      <c r="M5" s="662"/>
      <c r="N5" s="58"/>
      <c r="P5" s="24" t="s">
        <v>10</v>
      </c>
      <c r="Q5" s="587">
        <v>45971</v>
      </c>
      <c r="R5" s="588"/>
      <c r="T5" s="734" t="s">
        <v>11</v>
      </c>
      <c r="U5" s="569"/>
      <c r="V5" s="735" t="s">
        <v>12</v>
      </c>
      <c r="W5" s="588"/>
      <c r="AB5" s="51"/>
      <c r="AC5" s="51"/>
      <c r="AD5" s="51"/>
      <c r="AE5" s="51"/>
    </row>
    <row r="6" spans="1:32" s="538" customFormat="1" ht="24" customHeight="1" x14ac:dyDescent="0.2">
      <c r="A6" s="775" t="s">
        <v>13</v>
      </c>
      <c r="B6" s="634"/>
      <c r="C6" s="578"/>
      <c r="D6" s="664" t="s">
        <v>14</v>
      </c>
      <c r="E6" s="665"/>
      <c r="F6" s="665"/>
      <c r="G6" s="665"/>
      <c r="H6" s="665"/>
      <c r="I6" s="665"/>
      <c r="J6" s="665"/>
      <c r="K6" s="665"/>
      <c r="L6" s="665"/>
      <c r="M6" s="588"/>
      <c r="N6" s="59"/>
      <c r="P6" s="24" t="s">
        <v>15</v>
      </c>
      <c r="Q6" s="628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41" t="s">
        <v>16</v>
      </c>
      <c r="U6" s="569"/>
      <c r="V6" s="682" t="s">
        <v>17</v>
      </c>
      <c r="W6" s="683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811" t="str">
        <f>IFERROR(VLOOKUP(DeliveryAddress,Table,3,0),1)</f>
        <v>1</v>
      </c>
      <c r="E7" s="812"/>
      <c r="F7" s="812"/>
      <c r="G7" s="812"/>
      <c r="H7" s="812"/>
      <c r="I7" s="812"/>
      <c r="J7" s="812"/>
      <c r="K7" s="812"/>
      <c r="L7" s="812"/>
      <c r="M7" s="738"/>
      <c r="N7" s="60"/>
      <c r="P7" s="24"/>
      <c r="Q7" s="42"/>
      <c r="R7" s="42"/>
      <c r="T7" s="554"/>
      <c r="U7" s="569"/>
      <c r="V7" s="684"/>
      <c r="W7" s="685"/>
      <c r="AB7" s="51"/>
      <c r="AC7" s="51"/>
      <c r="AD7" s="51"/>
      <c r="AE7" s="51"/>
    </row>
    <row r="8" spans="1:32" s="538" customFormat="1" ht="25.5" customHeight="1" x14ac:dyDescent="0.2">
      <c r="A8" s="571" t="s">
        <v>18</v>
      </c>
      <c r="B8" s="548"/>
      <c r="C8" s="549"/>
      <c r="D8" s="814" t="s">
        <v>19</v>
      </c>
      <c r="E8" s="815"/>
      <c r="F8" s="815"/>
      <c r="G8" s="815"/>
      <c r="H8" s="815"/>
      <c r="I8" s="815"/>
      <c r="J8" s="815"/>
      <c r="K8" s="815"/>
      <c r="L8" s="815"/>
      <c r="M8" s="816"/>
      <c r="N8" s="61"/>
      <c r="P8" s="24" t="s">
        <v>20</v>
      </c>
      <c r="Q8" s="737">
        <v>0.45833333333333331</v>
      </c>
      <c r="R8" s="738"/>
      <c r="T8" s="554"/>
      <c r="U8" s="569"/>
      <c r="V8" s="684"/>
      <c r="W8" s="685"/>
      <c r="AB8" s="51"/>
      <c r="AC8" s="51"/>
      <c r="AD8" s="51"/>
      <c r="AE8" s="51"/>
    </row>
    <row r="9" spans="1:32" s="538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13"/>
      <c r="E9" s="614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723" t="str">
        <f>IF(AND($A$9="Тип доверенности/получателя при получении в адресе перегруза:",$D$9="Разовая доверенность"),"Введите ФИО","")</f>
        <v/>
      </c>
      <c r="I9" s="614"/>
      <c r="J9" s="7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4"/>
      <c r="L9" s="614"/>
      <c r="M9" s="614"/>
      <c r="N9" s="539"/>
      <c r="P9" s="26" t="s">
        <v>21</v>
      </c>
      <c r="Q9" s="806"/>
      <c r="R9" s="610"/>
      <c r="T9" s="554"/>
      <c r="U9" s="569"/>
      <c r="V9" s="686"/>
      <c r="W9" s="687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13"/>
      <c r="E10" s="614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05" t="str">
        <f>IFERROR(VLOOKUP($D$10,Proxy,2,FALSE),"")</f>
        <v/>
      </c>
      <c r="I10" s="554"/>
      <c r="J10" s="554"/>
      <c r="K10" s="554"/>
      <c r="L10" s="554"/>
      <c r="M10" s="554"/>
      <c r="N10" s="537"/>
      <c r="P10" s="26" t="s">
        <v>22</v>
      </c>
      <c r="Q10" s="742"/>
      <c r="R10" s="743"/>
      <c r="U10" s="24" t="s">
        <v>23</v>
      </c>
      <c r="V10" s="842" t="s">
        <v>24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7"/>
      <c r="R11" s="588"/>
      <c r="U11" s="24" t="s">
        <v>27</v>
      </c>
      <c r="V11" s="609" t="s">
        <v>28</v>
      </c>
      <c r="W11" s="610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744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578"/>
      <c r="N12" s="62"/>
      <c r="P12" s="24" t="s">
        <v>30</v>
      </c>
      <c r="Q12" s="737"/>
      <c r="R12" s="738"/>
      <c r="S12" s="23"/>
      <c r="U12" s="24"/>
      <c r="V12" s="758"/>
      <c r="W12" s="554"/>
      <c r="AB12" s="51"/>
      <c r="AC12" s="51"/>
      <c r="AD12" s="51"/>
      <c r="AE12" s="51"/>
    </row>
    <row r="13" spans="1:32" s="538" customFormat="1" ht="23.25" customHeight="1" x14ac:dyDescent="0.2">
      <c r="A13" s="744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578"/>
      <c r="N13" s="62"/>
      <c r="O13" s="26"/>
      <c r="P13" s="26" t="s">
        <v>32</v>
      </c>
      <c r="Q13" s="609"/>
      <c r="R13" s="61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744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57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578"/>
      <c r="N15" s="63"/>
      <c r="P15" s="820" t="s">
        <v>35</v>
      </c>
      <c r="Q15" s="758"/>
      <c r="R15" s="758"/>
      <c r="S15" s="758"/>
      <c r="T15" s="75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6" t="s">
        <v>36</v>
      </c>
      <c r="B17" s="556" t="s">
        <v>37</v>
      </c>
      <c r="C17" s="776" t="s">
        <v>38</v>
      </c>
      <c r="D17" s="556" t="s">
        <v>39</v>
      </c>
      <c r="E17" s="557"/>
      <c r="F17" s="556" t="s">
        <v>40</v>
      </c>
      <c r="G17" s="556" t="s">
        <v>41</v>
      </c>
      <c r="H17" s="556" t="s">
        <v>42</v>
      </c>
      <c r="I17" s="556" t="s">
        <v>43</v>
      </c>
      <c r="J17" s="556" t="s">
        <v>44</v>
      </c>
      <c r="K17" s="556" t="s">
        <v>45</v>
      </c>
      <c r="L17" s="556" t="s">
        <v>46</v>
      </c>
      <c r="M17" s="556" t="s">
        <v>47</v>
      </c>
      <c r="N17" s="556" t="s">
        <v>48</v>
      </c>
      <c r="O17" s="556" t="s">
        <v>49</v>
      </c>
      <c r="P17" s="556" t="s">
        <v>50</v>
      </c>
      <c r="Q17" s="817"/>
      <c r="R17" s="817"/>
      <c r="S17" s="817"/>
      <c r="T17" s="557"/>
      <c r="U17" s="577" t="s">
        <v>51</v>
      </c>
      <c r="V17" s="578"/>
      <c r="W17" s="556" t="s">
        <v>52</v>
      </c>
      <c r="X17" s="556" t="s">
        <v>53</v>
      </c>
      <c r="Y17" s="579" t="s">
        <v>54</v>
      </c>
      <c r="Z17" s="677" t="s">
        <v>55</v>
      </c>
      <c r="AA17" s="600" t="s">
        <v>56</v>
      </c>
      <c r="AB17" s="600" t="s">
        <v>57</v>
      </c>
      <c r="AC17" s="600" t="s">
        <v>58</v>
      </c>
      <c r="AD17" s="600" t="s">
        <v>59</v>
      </c>
      <c r="AE17" s="601"/>
      <c r="AF17" s="602"/>
      <c r="AG17" s="66"/>
      <c r="BD17" s="65" t="s">
        <v>60</v>
      </c>
    </row>
    <row r="18" spans="1:68" ht="14.25" customHeight="1" x14ac:dyDescent="0.2">
      <c r="A18" s="563"/>
      <c r="B18" s="563"/>
      <c r="C18" s="563"/>
      <c r="D18" s="558"/>
      <c r="E18" s="559"/>
      <c r="F18" s="563"/>
      <c r="G18" s="563"/>
      <c r="H18" s="563"/>
      <c r="I18" s="563"/>
      <c r="J18" s="563"/>
      <c r="K18" s="563"/>
      <c r="L18" s="563"/>
      <c r="M18" s="563"/>
      <c r="N18" s="563"/>
      <c r="O18" s="563"/>
      <c r="P18" s="558"/>
      <c r="Q18" s="818"/>
      <c r="R18" s="818"/>
      <c r="S18" s="818"/>
      <c r="T18" s="559"/>
      <c r="U18" s="67" t="s">
        <v>61</v>
      </c>
      <c r="V18" s="67" t="s">
        <v>62</v>
      </c>
      <c r="W18" s="563"/>
      <c r="X18" s="563"/>
      <c r="Y18" s="580"/>
      <c r="Z18" s="678"/>
      <c r="AA18" s="679"/>
      <c r="AB18" s="679"/>
      <c r="AC18" s="679"/>
      <c r="AD18" s="603"/>
      <c r="AE18" s="604"/>
      <c r="AF18" s="605"/>
      <c r="AG18" s="66"/>
      <c r="BD18" s="65"/>
    </row>
    <row r="19" spans="1:68" ht="27.75" hidden="1" customHeight="1" x14ac:dyDescent="0.2">
      <c r="A19" s="645" t="s">
        <v>63</v>
      </c>
      <c r="B19" s="646"/>
      <c r="C19" s="646"/>
      <c r="D19" s="646"/>
      <c r="E19" s="646"/>
      <c r="F19" s="646"/>
      <c r="G19" s="646"/>
      <c r="H19" s="646"/>
      <c r="I19" s="646"/>
      <c r="J19" s="646"/>
      <c r="K19" s="646"/>
      <c r="L19" s="646"/>
      <c r="M19" s="646"/>
      <c r="N19" s="646"/>
      <c r="O19" s="646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48"/>
      <c r="AB19" s="48"/>
      <c r="AC19" s="48"/>
    </row>
    <row r="20" spans="1:68" ht="16.5" hidden="1" customHeight="1" x14ac:dyDescent="0.25">
      <c r="A20" s="57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0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9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1"/>
      <c r="R22" s="551"/>
      <c r="S22" s="551"/>
      <c r="T22" s="552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0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5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1"/>
      <c r="R26" s="551"/>
      <c r="S26" s="551"/>
      <c r="T26" s="552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1"/>
      <c r="R27" s="551"/>
      <c r="S27" s="551"/>
      <c r="T27" s="552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1"/>
      <c r="R28" s="551"/>
      <c r="S28" s="551"/>
      <c r="T28" s="552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1"/>
      <c r="R29" s="551"/>
      <c r="S29" s="551"/>
      <c r="T29" s="552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6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1"/>
      <c r="R30" s="551"/>
      <c r="S30" s="551"/>
      <c r="T30" s="552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0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1"/>
      <c r="R34" s="551"/>
      <c r="S34" s="551"/>
      <c r="T34" s="552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5" t="s">
        <v>99</v>
      </c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6"/>
      <c r="P37" s="646"/>
      <c r="Q37" s="646"/>
      <c r="R37" s="646"/>
      <c r="S37" s="646"/>
      <c r="T37" s="646"/>
      <c r="U37" s="646"/>
      <c r="V37" s="646"/>
      <c r="W37" s="646"/>
      <c r="X37" s="646"/>
      <c r="Y37" s="646"/>
      <c r="Z37" s="646"/>
      <c r="AA37" s="48"/>
      <c r="AB37" s="48"/>
      <c r="AC37" s="48"/>
    </row>
    <row r="38" spans="1:68" ht="16.5" hidden="1" customHeight="1" x14ac:dyDescent="0.25">
      <c r="A38" s="570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0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1"/>
      <c r="R40" s="551"/>
      <c r="S40" s="551"/>
      <c r="T40" s="552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1"/>
      <c r="R41" s="551"/>
      <c r="S41" s="551"/>
      <c r="T41" s="552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1"/>
      <c r="R42" s="551"/>
      <c r="S42" s="551"/>
      <c r="T42" s="552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0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1"/>
      <c r="R46" s="551"/>
      <c r="S46" s="551"/>
      <c r="T46" s="552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0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0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1"/>
      <c r="R51" s="551"/>
      <c r="S51" s="551"/>
      <c r="T51" s="552"/>
      <c r="U51" s="34"/>
      <c r="V51" s="34"/>
      <c r="W51" s="35" t="s">
        <v>69</v>
      </c>
      <c r="X51" s="541">
        <v>50</v>
      </c>
      <c r="Y51" s="542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51.830357142857146</v>
      </c>
      <c r="BN51" s="64">
        <f t="shared" ref="BN51:BN56" si="2">IFERROR(Y51*I51/H51,"0")</f>
        <v>58.050000000000004</v>
      </c>
      <c r="BO51" s="64">
        <f t="shared" ref="BO51:BO56" si="3">IFERROR(1/J51*(X51/H51),"0")</f>
        <v>6.9754464285714288E-2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1"/>
      <c r="R52" s="551"/>
      <c r="S52" s="551"/>
      <c r="T52" s="552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8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1"/>
      <c r="R53" s="551"/>
      <c r="S53" s="551"/>
      <c r="T53" s="552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1"/>
      <c r="R54" s="551"/>
      <c r="S54" s="551"/>
      <c r="T54" s="552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1"/>
      <c r="R55" s="551"/>
      <c r="S55" s="551"/>
      <c r="T55" s="552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1"/>
      <c r="R56" s="551"/>
      <c r="S56" s="551"/>
      <c r="T56" s="552"/>
      <c r="U56" s="34"/>
      <c r="V56" s="34"/>
      <c r="W56" s="35" t="s">
        <v>69</v>
      </c>
      <c r="X56" s="541">
        <v>800</v>
      </c>
      <c r="Y56" s="542">
        <f t="shared" si="0"/>
        <v>801</v>
      </c>
      <c r="Z56" s="36">
        <f>IFERROR(IF(Y56=0,"",ROUNDUP(Y56/H56,0)*0.00902),"")</f>
        <v>1.6055600000000001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833.77777777777783</v>
      </c>
      <c r="BN56" s="64">
        <f t="shared" si="2"/>
        <v>834.82000000000016</v>
      </c>
      <c r="BO56" s="64">
        <f t="shared" si="3"/>
        <v>1.3468013468013469</v>
      </c>
      <c r="BP56" s="64">
        <f t="shared" si="4"/>
        <v>1.3484848484848486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191.50132275132273</v>
      </c>
      <c r="Y57" s="543">
        <f>IFERROR(Y51/H51,"0")+IFERROR(Y52/H52,"0")+IFERROR(Y53/H53,"0")+IFERROR(Y54/H54,"0")+IFERROR(Y55/H55,"0")+IFERROR(Y56/H56,"0")</f>
        <v>193</v>
      </c>
      <c r="Z57" s="543">
        <f>IFERROR(IF(Z51="",0,Z51),"0")+IFERROR(IF(Z52="",0,Z52),"0")+IFERROR(IF(Z53="",0,Z53),"0")+IFERROR(IF(Z54="",0,Z54),"0")+IFERROR(IF(Z55="",0,Z55),"0")+IFERROR(IF(Z56="",0,Z56),"0")</f>
        <v>1.8902600000000001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950</v>
      </c>
      <c r="Y58" s="543">
        <f>IFERROR(SUM(Y51:Y56),"0")</f>
        <v>965</v>
      </c>
      <c r="Z58" s="37"/>
      <c r="AA58" s="544"/>
      <c r="AB58" s="544"/>
      <c r="AC58" s="544"/>
    </row>
    <row r="59" spans="1:68" ht="14.25" hidden="1" customHeight="1" x14ac:dyDescent="0.25">
      <c r="A59" s="560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1"/>
      <c r="R60" s="551"/>
      <c r="S60" s="551"/>
      <c r="T60" s="552"/>
      <c r="U60" s="34"/>
      <c r="V60" s="34"/>
      <c r="W60" s="35" t="s">
        <v>69</v>
      </c>
      <c r="X60" s="541">
        <v>50</v>
      </c>
      <c r="Y60" s="542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1"/>
      <c r="R61" s="551"/>
      <c r="S61" s="551"/>
      <c r="T61" s="552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1"/>
      <c r="R62" s="551"/>
      <c r="S62" s="551"/>
      <c r="T62" s="552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4.6296296296296298</v>
      </c>
      <c r="Y63" s="543">
        <f>IFERROR(Y60/H60,"0")+IFERROR(Y61/H61,"0")+IFERROR(Y62/H62,"0")</f>
        <v>5</v>
      </c>
      <c r="Z63" s="543">
        <f>IFERROR(IF(Z60="",0,Z60),"0")+IFERROR(IF(Z61="",0,Z61),"0")+IFERROR(IF(Z62="",0,Z62),"0")</f>
        <v>9.4899999999999998E-2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50</v>
      </c>
      <c r="Y64" s="543">
        <f>IFERROR(SUM(Y60:Y62),"0")</f>
        <v>54</v>
      </c>
      <c r="Z64" s="37"/>
      <c r="AA64" s="544"/>
      <c r="AB64" s="544"/>
      <c r="AC64" s="544"/>
    </row>
    <row r="65" spans="1:68" ht="14.25" hidden="1" customHeight="1" x14ac:dyDescent="0.25">
      <c r="A65" s="560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8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1"/>
      <c r="R66" s="551"/>
      <c r="S66" s="551"/>
      <c r="T66" s="552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0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1"/>
      <c r="R67" s="551"/>
      <c r="S67" s="551"/>
      <c r="T67" s="552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7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1"/>
      <c r="R68" s="551"/>
      <c r="S68" s="551"/>
      <c r="T68" s="552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0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1"/>
      <c r="R72" s="551"/>
      <c r="S72" s="551"/>
      <c r="T72" s="552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3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1"/>
      <c r="R73" s="551"/>
      <c r="S73" s="551"/>
      <c r="T73" s="552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5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1"/>
      <c r="R74" s="551"/>
      <c r="S74" s="551"/>
      <c r="T74" s="552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1"/>
      <c r="R75" s="551"/>
      <c r="S75" s="551"/>
      <c r="T75" s="552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0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3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1"/>
      <c r="R79" s="551"/>
      <c r="S79" s="551"/>
      <c r="T79" s="552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7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1"/>
      <c r="R80" s="551"/>
      <c r="S80" s="551"/>
      <c r="T80" s="552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70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0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1"/>
      <c r="R85" s="551"/>
      <c r="S85" s="551"/>
      <c r="T85" s="552"/>
      <c r="U85" s="34"/>
      <c r="V85" s="34"/>
      <c r="W85" s="35" t="s">
        <v>69</v>
      </c>
      <c r="X85" s="541">
        <v>100</v>
      </c>
      <c r="Y85" s="542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5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1"/>
      <c r="R86" s="551"/>
      <c r="S86" s="551"/>
      <c r="T86" s="552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4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1"/>
      <c r="R87" s="551"/>
      <c r="S87" s="551"/>
      <c r="T87" s="552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9.2592592592592595</v>
      </c>
      <c r="Y88" s="543">
        <f>IFERROR(Y85/H85,"0")+IFERROR(Y86/H86,"0")+IFERROR(Y87/H87,"0")</f>
        <v>10</v>
      </c>
      <c r="Z88" s="543">
        <f>IFERROR(IF(Z85="",0,Z85),"0")+IFERROR(IF(Z86="",0,Z86),"0")+IFERROR(IF(Z87="",0,Z87),"0")</f>
        <v>0.1898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100</v>
      </c>
      <c r="Y89" s="543">
        <f>IFERROR(SUM(Y85:Y87),"0")</f>
        <v>108</v>
      </c>
      <c r="Z89" s="37"/>
      <c r="AA89" s="544"/>
      <c r="AB89" s="544"/>
      <c r="AC89" s="544"/>
    </row>
    <row r="90" spans="1:68" ht="14.25" hidden="1" customHeight="1" x14ac:dyDescent="0.25">
      <c r="A90" s="560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16.5" hidden="1" customHeight="1" x14ac:dyDescent="0.25">
      <c r="A91" s="54" t="s">
        <v>179</v>
      </c>
      <c r="B91" s="54" t="s">
        <v>180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1"/>
      <c r="R91" s="551"/>
      <c r="S91" s="551"/>
      <c r="T91" s="552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1"/>
      <c r="R92" s="551"/>
      <c r="S92" s="551"/>
      <c r="T92" s="552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7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1"/>
      <c r="R93" s="551"/>
      <c r="S93" s="551"/>
      <c r="T93" s="552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1"/>
      <c r="R94" s="551"/>
      <c r="S94" s="551"/>
      <c r="T94" s="552"/>
      <c r="U94" s="34"/>
      <c r="V94" s="34"/>
      <c r="W94" s="35" t="s">
        <v>69</v>
      </c>
      <c r="X94" s="541">
        <v>150</v>
      </c>
      <c r="Y94" s="542">
        <f>IFERROR(IF(X94="",0,CEILING((X94/$H94),1)*$H94),"")</f>
        <v>150.47999999999999</v>
      </c>
      <c r="Z94" s="36">
        <f>IFERROR(IF(Y94=0,"",ROUNDUP(Y94/H94,0)*0.00651),"")</f>
        <v>0.49476000000000003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169.54545454545453</v>
      </c>
      <c r="BN94" s="64">
        <f>IFERROR(Y94*I94/H94,"0")</f>
        <v>170.08799999999999</v>
      </c>
      <c r="BO94" s="64">
        <f>IFERROR(1/J94*(X94/H94),"0")</f>
        <v>0.41625041625041631</v>
      </c>
      <c r="BP94" s="64">
        <f>IFERROR(1/J94*(Y94/H94),"0")</f>
        <v>0.4175824175824176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75.757575757575765</v>
      </c>
      <c r="Y95" s="543">
        <f>IFERROR(Y91/H91,"0")+IFERROR(Y92/H92,"0")+IFERROR(Y93/H93,"0")+IFERROR(Y94/H94,"0")</f>
        <v>76</v>
      </c>
      <c r="Z95" s="543">
        <f>IFERROR(IF(Z91="",0,Z91),"0")+IFERROR(IF(Z92="",0,Z92),"0")+IFERROR(IF(Z93="",0,Z93),"0")+IFERROR(IF(Z94="",0,Z94),"0")</f>
        <v>0.49476000000000003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150</v>
      </c>
      <c r="Y96" s="543">
        <f>IFERROR(SUM(Y91:Y94),"0")</f>
        <v>150.47999999999999</v>
      </c>
      <c r="Z96" s="37"/>
      <c r="AA96" s="544"/>
      <c r="AB96" s="544"/>
      <c r="AC96" s="544"/>
    </row>
    <row r="97" spans="1:68" ht="16.5" hidden="1" customHeight="1" x14ac:dyDescent="0.25">
      <c r="A97" s="57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0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4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1"/>
      <c r="R99" s="551"/>
      <c r="S99" s="551"/>
      <c r="T99" s="552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1"/>
      <c r="R100" s="551"/>
      <c r="S100" s="551"/>
      <c r="T100" s="552"/>
      <c r="U100" s="34"/>
      <c r="V100" s="34"/>
      <c r="W100" s="35" t="s">
        <v>69</v>
      </c>
      <c r="X100" s="541">
        <v>120</v>
      </c>
      <c r="Y100" s="542">
        <f>IFERROR(IF(X100="",0,CEILING((X100/$H100),1)*$H100),"")</f>
        <v>120</v>
      </c>
      <c r="Z100" s="36">
        <f>IFERROR(IF(Y100=0,"",ROUNDUP(Y100/H100,0)*0.00902),"")</f>
        <v>0.28864000000000001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126.08</v>
      </c>
      <c r="BN100" s="64">
        <f>IFERROR(Y100*I100/H100,"0")</f>
        <v>126.08</v>
      </c>
      <c r="BO100" s="64">
        <f>IFERROR(1/J100*(X100/H100),"0")</f>
        <v>0.24242424242424243</v>
      </c>
      <c r="BP100" s="64">
        <f>IFERROR(1/J100*(Y100/H100),"0")</f>
        <v>0.24242424242424243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1"/>
      <c r="R101" s="551"/>
      <c r="S101" s="551"/>
      <c r="T101" s="552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3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1"/>
      <c r="R102" s="551"/>
      <c r="S102" s="551"/>
      <c r="T102" s="552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32</v>
      </c>
      <c r="Y103" s="543">
        <f>IFERROR(Y99/H99,"0")+IFERROR(Y100/H100,"0")+IFERROR(Y101/H101,"0")+IFERROR(Y102/H102,"0")</f>
        <v>32</v>
      </c>
      <c r="Z103" s="543">
        <f>IFERROR(IF(Z99="",0,Z99),"0")+IFERROR(IF(Z100="",0,Z100),"0")+IFERROR(IF(Z101="",0,Z101),"0")+IFERROR(IF(Z102="",0,Z102),"0")</f>
        <v>0.28864000000000001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120</v>
      </c>
      <c r="Y104" s="543">
        <f>IFERROR(SUM(Y99:Y102),"0")</f>
        <v>120</v>
      </c>
      <c r="Z104" s="37"/>
      <c r="AA104" s="544"/>
      <c r="AB104" s="544"/>
      <c r="AC104" s="544"/>
    </row>
    <row r="105" spans="1:68" ht="14.25" hidden="1" customHeight="1" x14ac:dyDescent="0.25">
      <c r="A105" s="560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1"/>
      <c r="R106" s="551"/>
      <c r="S106" s="551"/>
      <c r="T106" s="552"/>
      <c r="U106" s="34"/>
      <c r="V106" s="34"/>
      <c r="W106" s="35" t="s">
        <v>69</v>
      </c>
      <c r="X106" s="541">
        <v>100</v>
      </c>
      <c r="Y106" s="542">
        <f>IFERROR(IF(X106="",0,CEILING((X106/$H106),1)*$H106),"")</f>
        <v>108</v>
      </c>
      <c r="Z106" s="36">
        <f>IFERROR(IF(Y106=0,"",ROUNDUP(Y106/H106,0)*0.01898),"")</f>
        <v>0.1898</v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103.79629629629629</v>
      </c>
      <c r="BN106" s="64">
        <f>IFERROR(Y106*I106/H106,"0")</f>
        <v>112.1</v>
      </c>
      <c r="BO106" s="64">
        <f>IFERROR(1/J106*(X106/H106),"0")</f>
        <v>0.14467592592592593</v>
      </c>
      <c r="BP106" s="64">
        <f>IFERROR(1/J106*(Y106/H106),"0")</f>
        <v>0.15625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0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1"/>
      <c r="R107" s="551"/>
      <c r="S107" s="551"/>
      <c r="T107" s="552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9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1"/>
      <c r="R108" s="551"/>
      <c r="S108" s="551"/>
      <c r="T108" s="552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9.2592592592592595</v>
      </c>
      <c r="Y109" s="543">
        <f>IFERROR(Y106/H106,"0")+IFERROR(Y107/H107,"0")+IFERROR(Y108/H108,"0")</f>
        <v>10</v>
      </c>
      <c r="Z109" s="543">
        <f>IFERROR(IF(Z106="",0,Z106),"0")+IFERROR(IF(Z107="",0,Z107),"0")+IFERROR(IF(Z108="",0,Z108),"0")</f>
        <v>0.1898</v>
      </c>
      <c r="AA109" s="544"/>
      <c r="AB109" s="544"/>
      <c r="AC109" s="544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100</v>
      </c>
      <c r="Y110" s="543">
        <f>IFERROR(SUM(Y106:Y108),"0")</f>
        <v>108</v>
      </c>
      <c r="Z110" s="37"/>
      <c r="AA110" s="544"/>
      <c r="AB110" s="544"/>
      <c r="AC110" s="544"/>
    </row>
    <row r="111" spans="1:68" ht="14.25" hidden="1" customHeight="1" x14ac:dyDescent="0.25">
      <c r="A111" s="560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1"/>
      <c r="R112" s="551"/>
      <c r="S112" s="551"/>
      <c r="T112" s="552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79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1"/>
      <c r="R113" s="551"/>
      <c r="S113" s="551"/>
      <c r="T113" s="552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1"/>
      <c r="R114" s="551"/>
      <c r="S114" s="551"/>
      <c r="T114" s="552"/>
      <c r="U114" s="34"/>
      <c r="V114" s="34"/>
      <c r="W114" s="35" t="s">
        <v>69</v>
      </c>
      <c r="X114" s="541">
        <v>600</v>
      </c>
      <c r="Y114" s="542">
        <f>IFERROR(IF(X114="",0,CEILING((X114/$H114),1)*$H114),"")</f>
        <v>602.1</v>
      </c>
      <c r="Z114" s="36">
        <f>IFERROR(IF(Y114=0,"",ROUNDUP(Y114/H114,0)*0.00651),"")</f>
        <v>1.45173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656</v>
      </c>
      <c r="BN114" s="64">
        <f>IFERROR(Y114*I114/H114,"0")</f>
        <v>658.29599999999994</v>
      </c>
      <c r="BO114" s="64">
        <f>IFERROR(1/J114*(X114/H114),"0")</f>
        <v>1.2210012210012209</v>
      </c>
      <c r="BP114" s="64">
        <f>IFERROR(1/J114*(Y114/H114),"0")</f>
        <v>1.2252747252747254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1"/>
      <c r="R115" s="551"/>
      <c r="S115" s="551"/>
      <c r="T115" s="552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222.2222222222222</v>
      </c>
      <c r="Y116" s="543">
        <f>IFERROR(Y112/H112,"0")+IFERROR(Y113/H113,"0")+IFERROR(Y114/H114,"0")+IFERROR(Y115/H115,"0")</f>
        <v>223</v>
      </c>
      <c r="Z116" s="543">
        <f>IFERROR(IF(Z112="",0,Z112),"0")+IFERROR(IF(Z113="",0,Z113),"0")+IFERROR(IF(Z114="",0,Z114),"0")+IFERROR(IF(Z115="",0,Z115),"0")</f>
        <v>1.45173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600</v>
      </c>
      <c r="Y117" s="543">
        <f>IFERROR(SUM(Y112:Y115),"0")</f>
        <v>602.1</v>
      </c>
      <c r="Z117" s="37"/>
      <c r="AA117" s="544"/>
      <c r="AB117" s="544"/>
      <c r="AC117" s="544"/>
    </row>
    <row r="118" spans="1:68" ht="14.25" hidden="1" customHeight="1" x14ac:dyDescent="0.25">
      <c r="A118" s="560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1"/>
      <c r="R119" s="551"/>
      <c r="S119" s="551"/>
      <c r="T119" s="552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7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0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1"/>
      <c r="R124" s="551"/>
      <c r="S124" s="551"/>
      <c r="T124" s="552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5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1"/>
      <c r="R125" s="551"/>
      <c r="S125" s="551"/>
      <c r="T125" s="552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0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7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1"/>
      <c r="R129" s="551"/>
      <c r="S129" s="551"/>
      <c r="T129" s="552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1"/>
      <c r="R130" s="551"/>
      <c r="S130" s="551"/>
      <c r="T130" s="552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0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1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1"/>
      <c r="R134" s="551"/>
      <c r="S134" s="551"/>
      <c r="T134" s="552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1"/>
      <c r="R135" s="551"/>
      <c r="S135" s="551"/>
      <c r="T135" s="552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70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0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3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1"/>
      <c r="R140" s="551"/>
      <c r="S140" s="551"/>
      <c r="T140" s="552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1"/>
      <c r="R141" s="551"/>
      <c r="S141" s="551"/>
      <c r="T141" s="552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5">
        <v>4680115886810</v>
      </c>
      <c r="E142" s="546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7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1"/>
      <c r="R142" s="551"/>
      <c r="S142" s="551"/>
      <c r="T142" s="552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47" t="s">
        <v>71</v>
      </c>
      <c r="Q143" s="548"/>
      <c r="R143" s="548"/>
      <c r="S143" s="548"/>
      <c r="T143" s="548"/>
      <c r="U143" s="548"/>
      <c r="V143" s="549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47" t="s">
        <v>71</v>
      </c>
      <c r="Q144" s="548"/>
      <c r="R144" s="548"/>
      <c r="S144" s="548"/>
      <c r="T144" s="548"/>
      <c r="U144" s="548"/>
      <c r="V144" s="549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0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5">
        <v>4607091387667</v>
      </c>
      <c r="E146" s="546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1"/>
      <c r="R146" s="551"/>
      <c r="S146" s="551"/>
      <c r="T146" s="552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1"/>
      <c r="R147" s="551"/>
      <c r="S147" s="551"/>
      <c r="T147" s="552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5">
        <v>4607091382426</v>
      </c>
      <c r="E148" s="546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1"/>
      <c r="R148" s="551"/>
      <c r="S148" s="551"/>
      <c r="T148" s="552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47" t="s">
        <v>71</v>
      </c>
      <c r="Q149" s="548"/>
      <c r="R149" s="548"/>
      <c r="S149" s="548"/>
      <c r="T149" s="548"/>
      <c r="U149" s="548"/>
      <c r="V149" s="549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47" t="s">
        <v>71</v>
      </c>
      <c r="Q150" s="548"/>
      <c r="R150" s="548"/>
      <c r="S150" s="548"/>
      <c r="T150" s="548"/>
      <c r="U150" s="548"/>
      <c r="V150" s="549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0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5">
        <v>4680115887459</v>
      </c>
      <c r="E152" s="546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61" t="s">
        <v>252</v>
      </c>
      <c r="Q152" s="551"/>
      <c r="R152" s="551"/>
      <c r="S152" s="551"/>
      <c r="T152" s="552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47" t="s">
        <v>71</v>
      </c>
      <c r="Q153" s="548"/>
      <c r="R153" s="548"/>
      <c r="S153" s="548"/>
      <c r="T153" s="548"/>
      <c r="U153" s="548"/>
      <c r="V153" s="549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47" t="s">
        <v>71</v>
      </c>
      <c r="Q154" s="548"/>
      <c r="R154" s="548"/>
      <c r="S154" s="548"/>
      <c r="T154" s="548"/>
      <c r="U154" s="548"/>
      <c r="V154" s="549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45" t="s">
        <v>255</v>
      </c>
      <c r="B155" s="646"/>
      <c r="C155" s="646"/>
      <c r="D155" s="646"/>
      <c r="E155" s="646"/>
      <c r="F155" s="646"/>
      <c r="G155" s="646"/>
      <c r="H155" s="646"/>
      <c r="I155" s="646"/>
      <c r="J155" s="646"/>
      <c r="K155" s="646"/>
      <c r="L155" s="646"/>
      <c r="M155" s="646"/>
      <c r="N155" s="646"/>
      <c r="O155" s="646"/>
      <c r="P155" s="646"/>
      <c r="Q155" s="646"/>
      <c r="R155" s="646"/>
      <c r="S155" s="646"/>
      <c r="T155" s="646"/>
      <c r="U155" s="646"/>
      <c r="V155" s="646"/>
      <c r="W155" s="646"/>
      <c r="X155" s="646"/>
      <c r="Y155" s="646"/>
      <c r="Z155" s="646"/>
      <c r="AA155" s="48"/>
      <c r="AB155" s="48"/>
      <c r="AC155" s="48"/>
    </row>
    <row r="156" spans="1:68" ht="16.5" hidden="1" customHeight="1" x14ac:dyDescent="0.25">
      <c r="A156" s="570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6"/>
      <c r="AB156" s="536"/>
      <c r="AC156" s="536"/>
    </row>
    <row r="157" spans="1:68" ht="14.25" hidden="1" customHeight="1" x14ac:dyDescent="0.25">
      <c r="A157" s="560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5">
        <v>4680115886223</v>
      </c>
      <c r="E158" s="546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1"/>
      <c r="R158" s="551"/>
      <c r="S158" s="551"/>
      <c r="T158" s="552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47" t="s">
        <v>71</v>
      </c>
      <c r="Q159" s="548"/>
      <c r="R159" s="548"/>
      <c r="S159" s="548"/>
      <c r="T159" s="548"/>
      <c r="U159" s="548"/>
      <c r="V159" s="549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47" t="s">
        <v>71</v>
      </c>
      <c r="Q160" s="548"/>
      <c r="R160" s="548"/>
      <c r="S160" s="548"/>
      <c r="T160" s="548"/>
      <c r="U160" s="548"/>
      <c r="V160" s="549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0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5">
        <v>4680115880993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6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1"/>
      <c r="R162" s="551"/>
      <c r="S162" s="551"/>
      <c r="T162" s="552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5">
        <v>4680115881761</v>
      </c>
      <c r="E163" s="546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1"/>
      <c r="R163" s="551"/>
      <c r="S163" s="551"/>
      <c r="T163" s="552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5">
        <v>4680115881563</v>
      </c>
      <c r="E164" s="546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6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1"/>
      <c r="R164" s="551"/>
      <c r="S164" s="551"/>
      <c r="T164" s="552"/>
      <c r="U164" s="34"/>
      <c r="V164" s="34"/>
      <c r="W164" s="35" t="s">
        <v>69</v>
      </c>
      <c r="X164" s="541">
        <v>100</v>
      </c>
      <c r="Y164" s="542">
        <f t="shared" si="5"/>
        <v>100.80000000000001</v>
      </c>
      <c r="Z164" s="36">
        <f>IFERROR(IF(Y164=0,"",ROUNDUP(Y164/H164,0)*0.00902),"")</f>
        <v>0.21648000000000001</v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104.5238095238095</v>
      </c>
      <c r="BN164" s="64">
        <f t="shared" si="7"/>
        <v>105.36</v>
      </c>
      <c r="BO164" s="64">
        <f t="shared" si="8"/>
        <v>0.18037518037518038</v>
      </c>
      <c r="BP164" s="64">
        <f t="shared" si="9"/>
        <v>0.18181818181818182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5">
        <v>4680115880986</v>
      </c>
      <c r="E165" s="546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1"/>
      <c r="R165" s="551"/>
      <c r="S165" s="551"/>
      <c r="T165" s="552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1"/>
      <c r="R166" s="551"/>
      <c r="S166" s="551"/>
      <c r="T166" s="552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1"/>
      <c r="R167" s="551"/>
      <c r="S167" s="551"/>
      <c r="T167" s="552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75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1"/>
      <c r="R168" s="551"/>
      <c r="S168" s="551"/>
      <c r="T168" s="552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1"/>
      <c r="R169" s="551"/>
      <c r="S169" s="551"/>
      <c r="T169" s="552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1"/>
      <c r="R170" s="551"/>
      <c r="S170" s="551"/>
      <c r="T170" s="552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23.80952380952381</v>
      </c>
      <c r="Y171" s="543">
        <f>IFERROR(Y162/H162,"0")+IFERROR(Y163/H163,"0")+IFERROR(Y164/H164,"0")+IFERROR(Y165/H165,"0")+IFERROR(Y166/H166,"0")+IFERROR(Y167/H167,"0")+IFERROR(Y168/H168,"0")+IFERROR(Y169/H169,"0")+IFERROR(Y170/H170,"0")</f>
        <v>24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0.21648000000000001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IFERROR(SUM(X162:X170),"0")</f>
        <v>100</v>
      </c>
      <c r="Y172" s="543">
        <f>IFERROR(SUM(Y162:Y170),"0")</f>
        <v>100.80000000000001</v>
      </c>
      <c r="Z172" s="37"/>
      <c r="AA172" s="544"/>
      <c r="AB172" s="544"/>
      <c r="AC172" s="544"/>
    </row>
    <row r="173" spans="1:68" ht="14.25" hidden="1" customHeight="1" x14ac:dyDescent="0.25">
      <c r="A173" s="560" t="s">
        <v>93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1"/>
      <c r="R174" s="551"/>
      <c r="S174" s="551"/>
      <c r="T174" s="552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1"/>
      <c r="R175" s="551"/>
      <c r="S175" s="551"/>
      <c r="T175" s="552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1"/>
      <c r="R176" s="551"/>
      <c r="S176" s="551"/>
      <c r="T176" s="552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0" t="s">
        <v>294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8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1"/>
      <c r="R180" s="551"/>
      <c r="S180" s="551"/>
      <c r="T180" s="552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70" t="s">
        <v>297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0" t="s">
        <v>101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7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1"/>
      <c r="R185" s="551"/>
      <c r="S185" s="551"/>
      <c r="T185" s="552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6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1"/>
      <c r="R186" s="551"/>
      <c r="S186" s="551"/>
      <c r="T186" s="552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0" t="s">
        <v>136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69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1"/>
      <c r="R190" s="551"/>
      <c r="S190" s="551"/>
      <c r="T190" s="552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6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1"/>
      <c r="R191" s="551"/>
      <c r="S191" s="551"/>
      <c r="T191" s="552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0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77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1"/>
      <c r="R195" s="551"/>
      <c r="S195" s="551"/>
      <c r="T195" s="552"/>
      <c r="U195" s="34"/>
      <c r="V195" s="34"/>
      <c r="W195" s="35" t="s">
        <v>69</v>
      </c>
      <c r="X195" s="541">
        <v>200</v>
      </c>
      <c r="Y195" s="542">
        <f t="shared" ref="Y195:Y202" si="10">IFERROR(IF(X195="",0,CEILING((X195/$H195),1)*$H195),"")</f>
        <v>205.20000000000002</v>
      </c>
      <c r="Z195" s="36">
        <f>IFERROR(IF(Y195=0,"",ROUNDUP(Y195/H195,0)*0.00902),"")</f>
        <v>0.34276000000000001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207.03703703703701</v>
      </c>
      <c r="BN195" s="64">
        <f t="shared" ref="BN195:BN202" si="12">IFERROR(Y195*I195/H195,"0")</f>
        <v>212.42</v>
      </c>
      <c r="BO195" s="64">
        <f t="shared" ref="BO195:BO202" si="13">IFERROR(1/J195*(X195/H195),"0")</f>
        <v>0.28058361391694725</v>
      </c>
      <c r="BP195" s="64">
        <f t="shared" ref="BP195:BP202" si="14">IFERROR(1/J195*(Y195/H195),"0")</f>
        <v>0.2878787878787879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1"/>
      <c r="R196" s="551"/>
      <c r="S196" s="551"/>
      <c r="T196" s="552"/>
      <c r="U196" s="34"/>
      <c r="V196" s="34"/>
      <c r="W196" s="35" t="s">
        <v>69</v>
      </c>
      <c r="X196" s="541">
        <v>200</v>
      </c>
      <c r="Y196" s="542">
        <f t="shared" si="10"/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207.03703703703701</v>
      </c>
      <c r="BN196" s="64">
        <f t="shared" si="12"/>
        <v>212.42</v>
      </c>
      <c r="BO196" s="64">
        <f t="shared" si="13"/>
        <v>0.28058361391694725</v>
      </c>
      <c r="BP196" s="64">
        <f t="shared" si="14"/>
        <v>0.2878787878787879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1"/>
      <c r="R197" s="551"/>
      <c r="S197" s="551"/>
      <c r="T197" s="552"/>
      <c r="U197" s="34"/>
      <c r="V197" s="34"/>
      <c r="W197" s="35" t="s">
        <v>69</v>
      </c>
      <c r="X197" s="541">
        <v>300</v>
      </c>
      <c r="Y197" s="542">
        <f t="shared" si="10"/>
        <v>302.40000000000003</v>
      </c>
      <c r="Z197" s="36">
        <f>IFERROR(IF(Y197=0,"",ROUNDUP(Y197/H197,0)*0.00902),"")</f>
        <v>0.50512000000000001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310.55555555555554</v>
      </c>
      <c r="BN197" s="64">
        <f t="shared" si="12"/>
        <v>313.04000000000002</v>
      </c>
      <c r="BO197" s="64">
        <f t="shared" si="13"/>
        <v>0.42087542087542085</v>
      </c>
      <c r="BP197" s="64">
        <f t="shared" si="14"/>
        <v>0.42424242424242425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1"/>
      <c r="R198" s="551"/>
      <c r="S198" s="551"/>
      <c r="T198" s="552"/>
      <c r="U198" s="34"/>
      <c r="V198" s="34"/>
      <c r="W198" s="35" t="s">
        <v>69</v>
      </c>
      <c r="X198" s="541">
        <v>200</v>
      </c>
      <c r="Y198" s="542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58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1"/>
      <c r="R199" s="551"/>
      <c r="S199" s="551"/>
      <c r="T199" s="552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1"/>
      <c r="R200" s="551"/>
      <c r="S200" s="551"/>
      <c r="T200" s="552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1"/>
      <c r="R201" s="551"/>
      <c r="S201" s="551"/>
      <c r="T201" s="552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5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1"/>
      <c r="R202" s="551"/>
      <c r="S202" s="551"/>
      <c r="T202" s="552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166.66666666666666</v>
      </c>
      <c r="Y203" s="543">
        <f>IFERROR(Y195/H195,"0")+IFERROR(Y196/H196,"0")+IFERROR(Y197/H197,"0")+IFERROR(Y198/H198,"0")+IFERROR(Y199/H199,"0")+IFERROR(Y200/H200,"0")+IFERROR(Y201/H201,"0")+IFERROR(Y202/H202,"0")</f>
        <v>170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1.5334000000000001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900</v>
      </c>
      <c r="Y204" s="543">
        <f>IFERROR(SUM(Y195:Y202),"0")</f>
        <v>918.00000000000011</v>
      </c>
      <c r="Z204" s="37"/>
      <c r="AA204" s="544"/>
      <c r="AB204" s="544"/>
      <c r="AC204" s="544"/>
    </row>
    <row r="205" spans="1:68" ht="14.25" hidden="1" customHeight="1" x14ac:dyDescent="0.25">
      <c r="A205" s="560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1"/>
      <c r="R206" s="551"/>
      <c r="S206" s="551"/>
      <c r="T206" s="552"/>
      <c r="U206" s="34"/>
      <c r="V206" s="34"/>
      <c r="W206" s="35" t="s">
        <v>69</v>
      </c>
      <c r="X206" s="541">
        <v>50</v>
      </c>
      <c r="Y206" s="542">
        <f t="shared" ref="Y206:Y214" si="15">IFERROR(IF(X206="",0,CEILING((X206/$H206),1)*$H206),"")</f>
        <v>56.699999999999996</v>
      </c>
      <c r="Z206" s="36">
        <f>IFERROR(IF(Y206=0,"",ROUNDUP(Y206/H206,0)*0.01898),"")</f>
        <v>0.13286000000000001</v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53.049382716049386</v>
      </c>
      <c r="BN206" s="64">
        <f t="shared" ref="BN206:BN214" si="17">IFERROR(Y206*I206/H206,"0")</f>
        <v>60.157999999999994</v>
      </c>
      <c r="BO206" s="64">
        <f t="shared" ref="BO206:BO214" si="18">IFERROR(1/J206*(X206/H206),"0")</f>
        <v>9.6450617283950615E-2</v>
      </c>
      <c r="BP206" s="64">
        <f t="shared" ref="BP206:BP214" si="19">IFERROR(1/J206*(Y206/H206),"0")</f>
        <v>0.109375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1"/>
      <c r="R207" s="551"/>
      <c r="S207" s="551"/>
      <c r="T207" s="552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1"/>
      <c r="R208" s="551"/>
      <c r="S208" s="551"/>
      <c r="T208" s="552"/>
      <c r="U208" s="34"/>
      <c r="V208" s="34"/>
      <c r="W208" s="35" t="s">
        <v>69</v>
      </c>
      <c r="X208" s="541">
        <v>150</v>
      </c>
      <c r="Y208" s="542">
        <f t="shared" si="15"/>
        <v>156.6</v>
      </c>
      <c r="Z208" s="36">
        <f>IFERROR(IF(Y208=0,"",ROUNDUP(Y208/H208,0)*0.01898),"")</f>
        <v>0.34164</v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158.51724137931038</v>
      </c>
      <c r="BN208" s="64">
        <f t="shared" si="17"/>
        <v>165.49200000000002</v>
      </c>
      <c r="BO208" s="64">
        <f t="shared" si="18"/>
        <v>0.26939655172413796</v>
      </c>
      <c r="BP208" s="64">
        <f t="shared" si="19"/>
        <v>0.28125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83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1"/>
      <c r="R209" s="551"/>
      <c r="S209" s="551"/>
      <c r="T209" s="552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1"/>
      <c r="R210" s="551"/>
      <c r="S210" s="551"/>
      <c r="T210" s="552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3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1"/>
      <c r="R211" s="551"/>
      <c r="S211" s="551"/>
      <c r="T211" s="552"/>
      <c r="U211" s="34"/>
      <c r="V211" s="34"/>
      <c r="W211" s="35" t="s">
        <v>69</v>
      </c>
      <c r="X211" s="541">
        <v>400</v>
      </c>
      <c r="Y211" s="542">
        <f t="shared" si="15"/>
        <v>400.8</v>
      </c>
      <c r="Z211" s="36">
        <f t="shared" si="20"/>
        <v>1.08717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442</v>
      </c>
      <c r="BN211" s="64">
        <f t="shared" si="17"/>
        <v>442.88400000000007</v>
      </c>
      <c r="BO211" s="64">
        <f t="shared" si="18"/>
        <v>0.91575091575091594</v>
      </c>
      <c r="BP211" s="64">
        <f t="shared" si="19"/>
        <v>0.91758241758241765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1"/>
      <c r="R212" s="551"/>
      <c r="S212" s="551"/>
      <c r="T212" s="552"/>
      <c r="U212" s="34"/>
      <c r="V212" s="34"/>
      <c r="W212" s="35" t="s">
        <v>69</v>
      </c>
      <c r="X212" s="541">
        <v>400</v>
      </c>
      <c r="Y212" s="542">
        <f t="shared" si="15"/>
        <v>400.8</v>
      </c>
      <c r="Z212" s="36">
        <f t="shared" si="20"/>
        <v>1.08717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442</v>
      </c>
      <c r="BN212" s="64">
        <f t="shared" si="17"/>
        <v>442.88400000000007</v>
      </c>
      <c r="BO212" s="64">
        <f t="shared" si="18"/>
        <v>0.91575091575091594</v>
      </c>
      <c r="BP212" s="64">
        <f t="shared" si="19"/>
        <v>0.91758241758241765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85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1"/>
      <c r="R213" s="551"/>
      <c r="S213" s="551"/>
      <c r="T213" s="552"/>
      <c r="U213" s="34"/>
      <c r="V213" s="34"/>
      <c r="W213" s="35" t="s">
        <v>69</v>
      </c>
      <c r="X213" s="541">
        <v>200</v>
      </c>
      <c r="Y213" s="542">
        <f t="shared" si="15"/>
        <v>201.6</v>
      </c>
      <c r="Z213" s="36">
        <f t="shared" si="20"/>
        <v>0.54683999999999999</v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221</v>
      </c>
      <c r="BN213" s="64">
        <f t="shared" si="17"/>
        <v>222.768</v>
      </c>
      <c r="BO213" s="64">
        <f t="shared" si="18"/>
        <v>0.45787545787545797</v>
      </c>
      <c r="BP213" s="64">
        <f t="shared" si="19"/>
        <v>0.46153846153846156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6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1"/>
      <c r="R214" s="551"/>
      <c r="S214" s="551"/>
      <c r="T214" s="552"/>
      <c r="U214" s="34"/>
      <c r="V214" s="34"/>
      <c r="W214" s="35" t="s">
        <v>69</v>
      </c>
      <c r="X214" s="541">
        <v>200</v>
      </c>
      <c r="Y214" s="542">
        <f t="shared" si="15"/>
        <v>201.6</v>
      </c>
      <c r="Z214" s="36">
        <f t="shared" si="20"/>
        <v>0.54683999999999999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523.41421881651775</v>
      </c>
      <c r="Y215" s="543">
        <f>IFERROR(Y206/H206,"0")+IFERROR(Y207/H207,"0")+IFERROR(Y208/H208,"0")+IFERROR(Y209/H209,"0")+IFERROR(Y210/H210,"0")+IFERROR(Y211/H211,"0")+IFERROR(Y212/H212,"0")+IFERROR(Y213/H213,"0")+IFERROR(Y214/H214,"0")</f>
        <v>527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3.7425199999999998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1400</v>
      </c>
      <c r="Y216" s="543">
        <f>IFERROR(SUM(Y206:Y214),"0")</f>
        <v>1418.1</v>
      </c>
      <c r="Z216" s="37"/>
      <c r="AA216" s="544"/>
      <c r="AB216" s="544"/>
      <c r="AC216" s="544"/>
    </row>
    <row r="217" spans="1:68" ht="14.25" hidden="1" customHeight="1" x14ac:dyDescent="0.25">
      <c r="A217" s="560" t="s">
        <v>164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57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1"/>
      <c r="R218" s="551"/>
      <c r="S218" s="551"/>
      <c r="T218" s="552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1"/>
      <c r="R219" s="551"/>
      <c r="S219" s="551"/>
      <c r="T219" s="552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70" t="s">
        <v>357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0" t="s">
        <v>101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1"/>
      <c r="R224" s="551"/>
      <c r="S224" s="551"/>
      <c r="T224" s="552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1"/>
      <c r="R225" s="551"/>
      <c r="S225" s="551"/>
      <c r="T225" s="552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1"/>
      <c r="R226" s="551"/>
      <c r="S226" s="551"/>
      <c r="T226" s="552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6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1"/>
      <c r="R227" s="551"/>
      <c r="S227" s="551"/>
      <c r="T227" s="552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9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1"/>
      <c r="R228" s="551"/>
      <c r="S228" s="551"/>
      <c r="T228" s="552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1"/>
      <c r="R229" s="551"/>
      <c r="S229" s="551"/>
      <c r="T229" s="552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75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1"/>
      <c r="R230" s="551"/>
      <c r="S230" s="551"/>
      <c r="T230" s="552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8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1"/>
      <c r="R231" s="551"/>
      <c r="S231" s="551"/>
      <c r="T231" s="552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1"/>
      <c r="R232" s="551"/>
      <c r="S232" s="551"/>
      <c r="T232" s="552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1"/>
      <c r="R233" s="551"/>
      <c r="S233" s="551"/>
      <c r="T233" s="552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0" t="s">
        <v>136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1"/>
      <c r="R237" s="551"/>
      <c r="S237" s="551"/>
      <c r="T237" s="552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0" t="s">
        <v>383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1"/>
      <c r="R241" s="551"/>
      <c r="S241" s="551"/>
      <c r="T241" s="552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0" t="s">
        <v>387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1"/>
      <c r="R245" s="551"/>
      <c r="S245" s="551"/>
      <c r="T245" s="552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8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1"/>
      <c r="R246" s="551"/>
      <c r="S246" s="551"/>
      <c r="T246" s="552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1"/>
      <c r="R247" s="551"/>
      <c r="S247" s="551"/>
      <c r="T247" s="552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1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1"/>
      <c r="R248" s="551"/>
      <c r="S248" s="551"/>
      <c r="T248" s="552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1"/>
      <c r="R249" s="551"/>
      <c r="S249" s="551"/>
      <c r="T249" s="552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70" t="s">
        <v>399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0" t="s">
        <v>101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69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1"/>
      <c r="R254" s="551"/>
      <c r="S254" s="551"/>
      <c r="T254" s="552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80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1"/>
      <c r="R255" s="551"/>
      <c r="S255" s="551"/>
      <c r="T255" s="552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68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1"/>
      <c r="R256" s="551"/>
      <c r="S256" s="551"/>
      <c r="T256" s="552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6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1"/>
      <c r="R257" s="551"/>
      <c r="S257" s="551"/>
      <c r="T257" s="552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79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1"/>
      <c r="R258" s="551"/>
      <c r="S258" s="551"/>
      <c r="T258" s="552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70" t="s">
        <v>415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0" t="s">
        <v>101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59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1"/>
      <c r="R263" s="551"/>
      <c r="S263" s="551"/>
      <c r="T263" s="552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7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1"/>
      <c r="R264" s="551"/>
      <c r="S264" s="551"/>
      <c r="T264" s="552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8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1"/>
      <c r="R265" s="551"/>
      <c r="S265" s="551"/>
      <c r="T265" s="552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8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1"/>
      <c r="R266" s="551"/>
      <c r="S266" s="551"/>
      <c r="T266" s="552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70" t="s">
        <v>426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0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2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1"/>
      <c r="R271" s="551"/>
      <c r="S271" s="551"/>
      <c r="T271" s="552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1"/>
      <c r="R272" s="551"/>
      <c r="S272" s="551"/>
      <c r="T272" s="552"/>
      <c r="U272" s="34"/>
      <c r="V272" s="34"/>
      <c r="W272" s="35" t="s">
        <v>69</v>
      </c>
      <c r="X272" s="541">
        <v>50</v>
      </c>
      <c r="Y272" s="542">
        <f>IFERROR(IF(X272="",0,CEILING((X272/$H272),1)*$H272),"")</f>
        <v>50.4</v>
      </c>
      <c r="Z272" s="36">
        <f>IFERROR(IF(Y272=0,"",ROUNDUP(Y272/H272,0)*0.00651),"")</f>
        <v>0.13671</v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55.25</v>
      </c>
      <c r="BN272" s="64">
        <f>IFERROR(Y272*I272/H272,"0")</f>
        <v>55.692</v>
      </c>
      <c r="BO272" s="64">
        <f>IFERROR(1/J272*(X272/H272),"0")</f>
        <v>0.11446886446886449</v>
      </c>
      <c r="BP272" s="64">
        <f>IFERROR(1/J272*(Y272/H272),"0")</f>
        <v>0.11538461538461539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80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1"/>
      <c r="R273" s="551"/>
      <c r="S273" s="551"/>
      <c r="T273" s="552"/>
      <c r="U273" s="34"/>
      <c r="V273" s="34"/>
      <c r="W273" s="35" t="s">
        <v>69</v>
      </c>
      <c r="X273" s="541">
        <v>50</v>
      </c>
      <c r="Y273" s="542">
        <f>IFERROR(IF(X273="",0,CEILING((X273/$H273),1)*$H273),"")</f>
        <v>50.4</v>
      </c>
      <c r="Z273" s="36">
        <f>IFERROR(IF(Y273=0,"",ROUNDUP(Y273/H273,0)*0.00651),"")</f>
        <v>0.13671</v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53.75</v>
      </c>
      <c r="BN273" s="64">
        <f>IFERROR(Y273*I273/H273,"0")</f>
        <v>54.180000000000007</v>
      </c>
      <c r="BO273" s="64">
        <f>IFERROR(1/J273*(X273/H273),"0")</f>
        <v>0.11446886446886449</v>
      </c>
      <c r="BP273" s="64">
        <f>IFERROR(1/J273*(Y273/H273),"0")</f>
        <v>0.11538461538461539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41.666666666666671</v>
      </c>
      <c r="Y274" s="543">
        <f>IFERROR(Y271/H271,"0")+IFERROR(Y272/H272,"0")+IFERROR(Y273/H273,"0")</f>
        <v>42</v>
      </c>
      <c r="Z274" s="543">
        <f>IFERROR(IF(Z271="",0,Z271),"0")+IFERROR(IF(Z272="",0,Z272),"0")+IFERROR(IF(Z273="",0,Z273),"0")</f>
        <v>0.27342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100</v>
      </c>
      <c r="Y275" s="543">
        <f>IFERROR(SUM(Y271:Y273),"0")</f>
        <v>100.8</v>
      </c>
      <c r="Z275" s="37"/>
      <c r="AA275" s="544"/>
      <c r="AB275" s="544"/>
      <c r="AC275" s="544"/>
    </row>
    <row r="276" spans="1:68" ht="16.5" hidden="1" customHeight="1" x14ac:dyDescent="0.25">
      <c r="A276" s="570" t="s">
        <v>435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0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0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1"/>
      <c r="R278" s="551"/>
      <c r="S278" s="551"/>
      <c r="T278" s="552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9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1"/>
      <c r="R279" s="551"/>
      <c r="S279" s="551"/>
      <c r="T279" s="552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0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1"/>
      <c r="R283" s="551"/>
      <c r="S283" s="551"/>
      <c r="T283" s="552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3"/>
      <c r="B284" s="554"/>
      <c r="C284" s="554"/>
      <c r="D284" s="554"/>
      <c r="E284" s="554"/>
      <c r="F284" s="554"/>
      <c r="G284" s="554"/>
      <c r="H284" s="554"/>
      <c r="I284" s="554"/>
      <c r="J284" s="554"/>
      <c r="K284" s="554"/>
      <c r="L284" s="554"/>
      <c r="M284" s="554"/>
      <c r="N284" s="554"/>
      <c r="O284" s="555"/>
      <c r="P284" s="547" t="s">
        <v>71</v>
      </c>
      <c r="Q284" s="548"/>
      <c r="R284" s="548"/>
      <c r="S284" s="548"/>
      <c r="T284" s="548"/>
      <c r="U284" s="548"/>
      <c r="V284" s="549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hidden="1" x14ac:dyDescent="0.2">
      <c r="A285" s="554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47" t="s">
        <v>71</v>
      </c>
      <c r="Q285" s="548"/>
      <c r="R285" s="548"/>
      <c r="S285" s="548"/>
      <c r="T285" s="548"/>
      <c r="U285" s="548"/>
      <c r="V285" s="549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hidden="1" customHeight="1" x14ac:dyDescent="0.25">
      <c r="A286" s="570" t="s">
        <v>445</v>
      </c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4"/>
      <c r="P286" s="554"/>
      <c r="Q286" s="554"/>
      <c r="R286" s="554"/>
      <c r="S286" s="554"/>
      <c r="T286" s="554"/>
      <c r="U286" s="554"/>
      <c r="V286" s="554"/>
      <c r="W286" s="554"/>
      <c r="X286" s="554"/>
      <c r="Y286" s="554"/>
      <c r="Z286" s="554"/>
      <c r="AA286" s="536"/>
      <c r="AB286" s="536"/>
      <c r="AC286" s="536"/>
    </row>
    <row r="287" spans="1:68" ht="14.25" hidden="1" customHeight="1" x14ac:dyDescent="0.25">
      <c r="A287" s="560" t="s">
        <v>101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4301012126</v>
      </c>
      <c r="D288" s="545">
        <v>4607091386004</v>
      </c>
      <c r="E288" s="546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59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51"/>
      <c r="R288" s="551"/>
      <c r="S288" s="551"/>
      <c r="T288" s="552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76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1"/>
      <c r="R289" s="551"/>
      <c r="S289" s="551"/>
      <c r="T289" s="552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1"/>
      <c r="R290" s="551"/>
      <c r="S290" s="551"/>
      <c r="T290" s="552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5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1"/>
      <c r="R291" s="551"/>
      <c r="S291" s="551"/>
      <c r="T291" s="552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65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1"/>
      <c r="R292" s="551"/>
      <c r="S292" s="551"/>
      <c r="T292" s="552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1"/>
      <c r="R293" s="551"/>
      <c r="S293" s="551"/>
      <c r="T293" s="552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47" t="s">
        <v>71</v>
      </c>
      <c r="Q294" s="548"/>
      <c r="R294" s="548"/>
      <c r="S294" s="548"/>
      <c r="T294" s="548"/>
      <c r="U294" s="548"/>
      <c r="V294" s="549"/>
      <c r="W294" s="37" t="s">
        <v>72</v>
      </c>
      <c r="X294" s="543">
        <f>IFERROR(X288/H288,"0")+IFERROR(X289/H289,"0")+IFERROR(X290/H290,"0")+IFERROR(X291/H291,"0")+IFERROR(X292/H292,"0")+IFERROR(X293/H293,"0")</f>
        <v>0</v>
      </c>
      <c r="Y294" s="543">
        <f>IFERROR(Y288/H288,"0")+IFERROR(Y289/H289,"0")+IFERROR(Y290/H290,"0")+IFERROR(Y291/H291,"0")+IFERROR(Y292/H292,"0")+IFERROR(Y293/H293,"0")</f>
        <v>0</v>
      </c>
      <c r="Z294" s="543">
        <f>IFERROR(IF(Z288="",0,Z288),"0")+IFERROR(IF(Z289="",0,Z289),"0")+IFERROR(IF(Z290="",0,Z290),"0")+IFERROR(IF(Z291="",0,Z291),"0")+IFERROR(IF(Z292="",0,Z292),"0")+IFERROR(IF(Z293="",0,Z293),"0")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47" t="s">
        <v>71</v>
      </c>
      <c r="Q295" s="548"/>
      <c r="R295" s="548"/>
      <c r="S295" s="548"/>
      <c r="T295" s="548"/>
      <c r="U295" s="548"/>
      <c r="V295" s="549"/>
      <c r="W295" s="37" t="s">
        <v>69</v>
      </c>
      <c r="X295" s="543">
        <f>IFERROR(SUM(X288:X293),"0")</f>
        <v>0</v>
      </c>
      <c r="Y295" s="543">
        <f>IFERROR(SUM(Y288:Y293),"0")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0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5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1"/>
      <c r="R297" s="551"/>
      <c r="S297" s="551"/>
      <c r="T297" s="552"/>
      <c r="U297" s="34"/>
      <c r="V297" s="34"/>
      <c r="W297" s="35" t="s">
        <v>69</v>
      </c>
      <c r="X297" s="541">
        <v>0</v>
      </c>
      <c r="Y297" s="542">
        <f t="shared" ref="Y297:Y303" si="31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0</v>
      </c>
      <c r="BN297" s="64">
        <f t="shared" ref="BN297:BN303" si="33">IFERROR(Y297*I297/H297,"0")</f>
        <v>0</v>
      </c>
      <c r="BO297" s="64">
        <f t="shared" ref="BO297:BO303" si="34">IFERROR(1/J297*(X297/H297),"0")</f>
        <v>0</v>
      </c>
      <c r="BP297" s="64">
        <f t="shared" ref="BP297:BP303" si="35">IFERROR(1/J297*(Y297/H297),"0")</f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6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1"/>
      <c r="R298" s="551"/>
      <c r="S298" s="551"/>
      <c r="T298" s="552"/>
      <c r="U298" s="34"/>
      <c r="V298" s="34"/>
      <c r="W298" s="35" t="s">
        <v>69</v>
      </c>
      <c r="X298" s="541">
        <v>0</v>
      </c>
      <c r="Y298" s="542">
        <f t="shared" si="31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1"/>
      <c r="R299" s="551"/>
      <c r="S299" s="551"/>
      <c r="T299" s="552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7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1"/>
      <c r="R300" s="551"/>
      <c r="S300" s="551"/>
      <c r="T300" s="552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64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1"/>
      <c r="R301" s="551"/>
      <c r="S301" s="551"/>
      <c r="T301" s="552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1"/>
      <c r="R302" s="551"/>
      <c r="S302" s="551"/>
      <c r="T302" s="552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1"/>
      <c r="R303" s="551"/>
      <c r="S303" s="551"/>
      <c r="T303" s="552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47" t="s">
        <v>71</v>
      </c>
      <c r="Q304" s="548"/>
      <c r="R304" s="548"/>
      <c r="S304" s="548"/>
      <c r="T304" s="548"/>
      <c r="U304" s="548"/>
      <c r="V304" s="54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47" t="s">
        <v>71</v>
      </c>
      <c r="Q305" s="548"/>
      <c r="R305" s="548"/>
      <c r="S305" s="548"/>
      <c r="T305" s="548"/>
      <c r="U305" s="548"/>
      <c r="V305" s="54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0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5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1"/>
      <c r="R307" s="551"/>
      <c r="S307" s="551"/>
      <c r="T307" s="552"/>
      <c r="U307" s="34"/>
      <c r="V307" s="34"/>
      <c r="W307" s="35" t="s">
        <v>69</v>
      </c>
      <c r="X307" s="541">
        <v>50</v>
      </c>
      <c r="Y307" s="542">
        <f>IFERROR(IF(X307="",0,CEILING((X307/$H307),1)*$H307),"")</f>
        <v>54.6</v>
      </c>
      <c r="Z307" s="36">
        <f>IFERROR(IF(Y307=0,"",ROUNDUP(Y307/H307,0)*0.01898),"")</f>
        <v>0.13286000000000001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53.128205128205131</v>
      </c>
      <c r="BN307" s="64">
        <f>IFERROR(Y307*I307/H307,"0")</f>
        <v>58.016000000000005</v>
      </c>
      <c r="BO307" s="64">
        <f>IFERROR(1/J307*(X307/H307),"0")</f>
        <v>0.10016025641025642</v>
      </c>
      <c r="BP307" s="64">
        <f>IFERROR(1/J307*(Y307/H307),"0")</f>
        <v>0.109375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1"/>
      <c r="R308" s="551"/>
      <c r="S308" s="551"/>
      <c r="T308" s="552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3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1"/>
      <c r="R309" s="551"/>
      <c r="S309" s="551"/>
      <c r="T309" s="552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7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1"/>
      <c r="R310" s="551"/>
      <c r="S310" s="551"/>
      <c r="T310" s="552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4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1"/>
      <c r="R311" s="551"/>
      <c r="S311" s="551"/>
      <c r="T311" s="552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IFERROR(X307/H307,"0")+IFERROR(X308/H308,"0")+IFERROR(X309/H309,"0")+IFERROR(X310/H310,"0")+IFERROR(X311/H311,"0")</f>
        <v>6.4102564102564106</v>
      </c>
      <c r="Y312" s="543">
        <f>IFERROR(Y307/H307,"0")+IFERROR(Y308/H308,"0")+IFERROR(Y309/H309,"0")+IFERROR(Y310/H310,"0")+IFERROR(Y311/H311,"0")</f>
        <v>7</v>
      </c>
      <c r="Z312" s="543">
        <f>IFERROR(IF(Z307="",0,Z307),"0")+IFERROR(IF(Z308="",0,Z308),"0")+IFERROR(IF(Z309="",0,Z309),"0")+IFERROR(IF(Z310="",0,Z310),"0")+IFERROR(IF(Z311="",0,Z311),"0")</f>
        <v>0.13286000000000001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IFERROR(SUM(X307:X311),"0")</f>
        <v>50</v>
      </c>
      <c r="Y313" s="543">
        <f>IFERROR(SUM(Y307:Y311),"0")</f>
        <v>54.6</v>
      </c>
      <c r="Z313" s="37"/>
      <c r="AA313" s="544"/>
      <c r="AB313" s="544"/>
      <c r="AC313" s="544"/>
    </row>
    <row r="314" spans="1:68" ht="14.25" hidden="1" customHeight="1" x14ac:dyDescent="0.25">
      <c r="A314" s="560" t="s">
        <v>164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5"/>
      <c r="AB314" s="535"/>
      <c r="AC314" s="535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8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1"/>
      <c r="R315" s="551"/>
      <c r="S315" s="551"/>
      <c r="T315" s="552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1"/>
      <c r="R316" s="551"/>
      <c r="S316" s="551"/>
      <c r="T316" s="552"/>
      <c r="U316" s="34"/>
      <c r="V316" s="34"/>
      <c r="W316" s="35" t="s">
        <v>69</v>
      </c>
      <c r="X316" s="541">
        <v>170</v>
      </c>
      <c r="Y316" s="542">
        <f>IFERROR(IF(X316="",0,CEILING((X316/$H316),1)*$H316),"")</f>
        <v>171.6</v>
      </c>
      <c r="Z316" s="36">
        <f>IFERROR(IF(Y316=0,"",ROUNDUP(Y316/H316,0)*0.01898),"")</f>
        <v>0.41755999999999999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180.76666666666668</v>
      </c>
      <c r="BN316" s="64">
        <f>IFERROR(Y316*I316/H316,"0")</f>
        <v>182.46800000000002</v>
      </c>
      <c r="BO316" s="64">
        <f>IFERROR(1/J316*(X316/H316),"0")</f>
        <v>0.34054487179487181</v>
      </c>
      <c r="BP316" s="64">
        <f>IFERROR(1/J316*(Y316/H316),"0")</f>
        <v>0.34375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5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1"/>
      <c r="R317" s="551"/>
      <c r="S317" s="551"/>
      <c r="T317" s="552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21.794871794871796</v>
      </c>
      <c r="Y318" s="543">
        <f>IFERROR(Y315/H315,"0")+IFERROR(Y316/H316,"0")+IFERROR(Y317/H317,"0")</f>
        <v>22</v>
      </c>
      <c r="Z318" s="543">
        <f>IFERROR(IF(Z315="",0,Z315),"0")+IFERROR(IF(Z316="",0,Z316),"0")+IFERROR(IF(Z317="",0,Z317),"0")</f>
        <v>0.41755999999999999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170</v>
      </c>
      <c r="Y319" s="543">
        <f>IFERROR(SUM(Y315:Y317),"0")</f>
        <v>171.6</v>
      </c>
      <c r="Z319" s="37"/>
      <c r="AA319" s="544"/>
      <c r="AB319" s="544"/>
      <c r="AC319" s="544"/>
    </row>
    <row r="320" spans="1:68" ht="14.25" hidden="1" customHeight="1" x14ac:dyDescent="0.25">
      <c r="A320" s="560" t="s">
        <v>93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5"/>
      <c r="AB320" s="535"/>
      <c r="AC320" s="535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5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1"/>
      <c r="R321" s="551"/>
      <c r="S321" s="551"/>
      <c r="T321" s="552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9" t="s">
        <v>511</v>
      </c>
      <c r="Q322" s="551"/>
      <c r="R322" s="551"/>
      <c r="S322" s="551"/>
      <c r="T322" s="552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6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1"/>
      <c r="R323" s="551"/>
      <c r="S323" s="551"/>
      <c r="T323" s="552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515</v>
      </c>
      <c r="B324" s="54" t="s">
        <v>516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6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1"/>
      <c r="R324" s="551"/>
      <c r="S324" s="551"/>
      <c r="T324" s="552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0" t="s">
        <v>517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5"/>
      <c r="AB327" s="535"/>
      <c r="AC327" s="535"/>
    </row>
    <row r="328" spans="1:68" ht="16.5" hidden="1" customHeight="1" x14ac:dyDescent="0.25">
      <c r="A328" s="54" t="s">
        <v>518</v>
      </c>
      <c r="B328" s="54" t="s">
        <v>519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8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1"/>
      <c r="R328" s="551"/>
      <c r="S328" s="551"/>
      <c r="T328" s="552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8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1"/>
      <c r="R329" s="551"/>
      <c r="S329" s="551"/>
      <c r="T329" s="552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1"/>
      <c r="R330" s="551"/>
      <c r="S330" s="551"/>
      <c r="T330" s="552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70" t="s">
        <v>526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hidden="1" customHeight="1" x14ac:dyDescent="0.25">
      <c r="A334" s="560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5"/>
      <c r="AB334" s="535"/>
      <c r="AC334" s="535"/>
    </row>
    <row r="335" spans="1:68" ht="27" hidden="1" customHeight="1" x14ac:dyDescent="0.25">
      <c r="A335" s="54" t="s">
        <v>527</v>
      </c>
      <c r="B335" s="54" t="s">
        <v>528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6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1"/>
      <c r="R335" s="551"/>
      <c r="S335" s="551"/>
      <c r="T335" s="552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6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1"/>
      <c r="R336" s="551"/>
      <c r="S336" s="551"/>
      <c r="T336" s="552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86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1"/>
      <c r="R337" s="551"/>
      <c r="S337" s="551"/>
      <c r="T337" s="552"/>
      <c r="U337" s="34"/>
      <c r="V337" s="34"/>
      <c r="W337" s="35" t="s">
        <v>69</v>
      </c>
      <c r="X337" s="541">
        <v>50</v>
      </c>
      <c r="Y337" s="542">
        <f>IFERROR(IF(X337="",0,CEILING((X337/$H337),1)*$H337),"")</f>
        <v>50.400000000000006</v>
      </c>
      <c r="Z337" s="36">
        <f>IFERROR(IF(Y337=0,"",ROUNDUP(Y337/H337,0)*0.00651),"")</f>
        <v>0.15623999999999999</v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55.714285714285715</v>
      </c>
      <c r="BN337" s="64">
        <f>IFERROR(Y337*I337/H337,"0")</f>
        <v>56.160000000000004</v>
      </c>
      <c r="BO337" s="64">
        <f>IFERROR(1/J337*(X337/H337),"0")</f>
        <v>0.13082155939298798</v>
      </c>
      <c r="BP337" s="64">
        <f>IFERROR(1/J337*(Y337/H337),"0")</f>
        <v>0.13186813186813187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23.80952380952381</v>
      </c>
      <c r="Y338" s="543">
        <f>IFERROR(Y335/H335,"0")+IFERROR(Y336/H336,"0")+IFERROR(Y337/H337,"0")</f>
        <v>24</v>
      </c>
      <c r="Z338" s="543">
        <f>IFERROR(IF(Z335="",0,Z335),"0")+IFERROR(IF(Z336="",0,Z336),"0")+IFERROR(IF(Z337="",0,Z337),"0")</f>
        <v>0.15623999999999999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50</v>
      </c>
      <c r="Y339" s="543">
        <f>IFERROR(SUM(Y335:Y337),"0")</f>
        <v>50.400000000000006</v>
      </c>
      <c r="Z339" s="37"/>
      <c r="AA339" s="544"/>
      <c r="AB339" s="544"/>
      <c r="AC339" s="544"/>
    </row>
    <row r="340" spans="1:68" ht="27.75" hidden="1" customHeight="1" x14ac:dyDescent="0.2">
      <c r="A340" s="645" t="s">
        <v>536</v>
      </c>
      <c r="B340" s="646"/>
      <c r="C340" s="646"/>
      <c r="D340" s="646"/>
      <c r="E340" s="646"/>
      <c r="F340" s="646"/>
      <c r="G340" s="646"/>
      <c r="H340" s="646"/>
      <c r="I340" s="646"/>
      <c r="J340" s="646"/>
      <c r="K340" s="646"/>
      <c r="L340" s="646"/>
      <c r="M340" s="646"/>
      <c r="N340" s="646"/>
      <c r="O340" s="646"/>
      <c r="P340" s="646"/>
      <c r="Q340" s="646"/>
      <c r="R340" s="646"/>
      <c r="S340" s="646"/>
      <c r="T340" s="646"/>
      <c r="U340" s="646"/>
      <c r="V340" s="646"/>
      <c r="W340" s="646"/>
      <c r="X340" s="646"/>
      <c r="Y340" s="646"/>
      <c r="Z340" s="646"/>
      <c r="AA340" s="48"/>
      <c r="AB340" s="48"/>
      <c r="AC340" s="48"/>
    </row>
    <row r="341" spans="1:68" ht="16.5" hidden="1" customHeight="1" x14ac:dyDescent="0.25">
      <c r="A341" s="570" t="s">
        <v>537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hidden="1" customHeight="1" x14ac:dyDescent="0.25">
      <c r="A342" s="560" t="s">
        <v>101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6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1"/>
      <c r="R343" s="551"/>
      <c r="S343" s="551"/>
      <c r="T343" s="552"/>
      <c r="U343" s="34"/>
      <c r="V343" s="34"/>
      <c r="W343" s="35" t="s">
        <v>69</v>
      </c>
      <c r="X343" s="541">
        <v>300</v>
      </c>
      <c r="Y343" s="542">
        <f t="shared" ref="Y343:Y349" si="36">IFERROR(IF(X343="",0,CEILING((X343/$H343),1)*$H343),"")</f>
        <v>300</v>
      </c>
      <c r="Z343" s="36">
        <f>IFERROR(IF(Y343=0,"",ROUNDUP(Y343/H343,0)*0.02175),"")</f>
        <v>0.43499999999999994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309.39999999999998</v>
      </c>
      <c r="BN343" s="64">
        <f t="shared" ref="BN343:BN349" si="38">IFERROR(Y343*I343/H343,"0")</f>
        <v>309.39999999999998</v>
      </c>
      <c r="BO343" s="64">
        <f t="shared" ref="BO343:BO349" si="39">IFERROR(1/J343*(X343/H343),"0")</f>
        <v>0.41666666666666663</v>
      </c>
      <c r="BP343" s="64">
        <f t="shared" ref="BP343:BP349" si="40">IFERROR(1/J343*(Y343/H343),"0")</f>
        <v>0.41666666666666663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1"/>
      <c r="R344" s="551"/>
      <c r="S344" s="551"/>
      <c r="T344" s="552"/>
      <c r="U344" s="34"/>
      <c r="V344" s="34"/>
      <c r="W344" s="35" t="s">
        <v>69</v>
      </c>
      <c r="X344" s="541">
        <v>100</v>
      </c>
      <c r="Y344" s="542">
        <f t="shared" si="36"/>
        <v>105</v>
      </c>
      <c r="Z344" s="36">
        <f>IFERROR(IF(Y344=0,"",ROUNDUP(Y344/H344,0)*0.02175),"")</f>
        <v>0.15225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103.13333333333334</v>
      </c>
      <c r="BN344" s="64">
        <f t="shared" si="38"/>
        <v>108.29</v>
      </c>
      <c r="BO344" s="64">
        <f t="shared" si="39"/>
        <v>0.1388888888888889</v>
      </c>
      <c r="BP344" s="64">
        <f t="shared" si="40"/>
        <v>0.14583333333333331</v>
      </c>
    </row>
    <row r="345" spans="1:68" ht="37.5" hidden="1" customHeight="1" x14ac:dyDescent="0.25">
      <c r="A345" s="54" t="s">
        <v>544</v>
      </c>
      <c r="B345" s="54" t="s">
        <v>545</v>
      </c>
      <c r="C345" s="31">
        <v>4301011867</v>
      </c>
      <c r="D345" s="545">
        <v>4680115884830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1"/>
      <c r="R345" s="551"/>
      <c r="S345" s="551"/>
      <c r="T345" s="552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5">
        <v>4680115887046</v>
      </c>
      <c r="E346" s="546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03" t="s">
        <v>549</v>
      </c>
      <c r="Q346" s="551"/>
      <c r="R346" s="551"/>
      <c r="S346" s="551"/>
      <c r="T346" s="552"/>
      <c r="U346" s="34"/>
      <c r="V346" s="34"/>
      <c r="W346" s="35" t="s">
        <v>69</v>
      </c>
      <c r="X346" s="541">
        <v>100</v>
      </c>
      <c r="Y346" s="542">
        <f t="shared" si="36"/>
        <v>105</v>
      </c>
      <c r="Z346" s="36">
        <f>IFERROR(IF(Y346=0,"",ROUNDUP(Y346/H346,0)*0.02175),"")</f>
        <v>0.15225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103.13333333333334</v>
      </c>
      <c r="BN346" s="64">
        <f t="shared" si="38"/>
        <v>108.29</v>
      </c>
      <c r="BO346" s="64">
        <f t="shared" si="39"/>
        <v>0.1388888888888889</v>
      </c>
      <c r="BP346" s="64">
        <f t="shared" si="40"/>
        <v>0.14583333333333331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6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1"/>
      <c r="R347" s="551"/>
      <c r="S347" s="551"/>
      <c r="T347" s="552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554</v>
      </c>
      <c r="B348" s="54" t="s">
        <v>555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6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1"/>
      <c r="R348" s="551"/>
      <c r="S348" s="551"/>
      <c r="T348" s="552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556</v>
      </c>
      <c r="B349" s="54" t="s">
        <v>557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6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1"/>
      <c r="R349" s="551"/>
      <c r="S349" s="551"/>
      <c r="T349" s="552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33.333333333333336</v>
      </c>
      <c r="Y350" s="543">
        <f>IFERROR(Y343/H343,"0")+IFERROR(Y344/H344,"0")+IFERROR(Y345/H345,"0")+IFERROR(Y346/H346,"0")+IFERROR(Y347/H347,"0")+IFERROR(Y348/H348,"0")+IFERROR(Y349/H349,"0")</f>
        <v>34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0.73949999999999994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500</v>
      </c>
      <c r="Y351" s="543">
        <f>IFERROR(SUM(Y343:Y349),"0")</f>
        <v>510</v>
      </c>
      <c r="Z351" s="37"/>
      <c r="AA351" s="544"/>
      <c r="AB351" s="544"/>
      <c r="AC351" s="544"/>
    </row>
    <row r="352" spans="1:68" ht="14.25" hidden="1" customHeight="1" x14ac:dyDescent="0.25">
      <c r="A352" s="560" t="s">
        <v>136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77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1"/>
      <c r="R353" s="551"/>
      <c r="S353" s="551"/>
      <c r="T353" s="552"/>
      <c r="U353" s="34"/>
      <c r="V353" s="34"/>
      <c r="W353" s="35" t="s">
        <v>69</v>
      </c>
      <c r="X353" s="541">
        <v>500</v>
      </c>
      <c r="Y353" s="542">
        <f>IFERROR(IF(X353="",0,CEILING((X353/$H353),1)*$H353),"")</f>
        <v>510</v>
      </c>
      <c r="Z353" s="36">
        <f>IFERROR(IF(Y353=0,"",ROUNDUP(Y353/H353,0)*0.02175),"")</f>
        <v>0.73949999999999994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515.66666666666663</v>
      </c>
      <c r="BN353" s="64">
        <f>IFERROR(Y353*I353/H353,"0")</f>
        <v>525.98</v>
      </c>
      <c r="BO353" s="64">
        <f>IFERROR(1/J353*(X353/H353),"0")</f>
        <v>0.69444444444444442</v>
      </c>
      <c r="BP353" s="64">
        <f>IFERROR(1/J353*(Y353/H353),"0")</f>
        <v>0.70833333333333326</v>
      </c>
    </row>
    <row r="354" spans="1:68" ht="16.5" hidden="1" customHeight="1" x14ac:dyDescent="0.25">
      <c r="A354" s="54" t="s">
        <v>561</v>
      </c>
      <c r="B354" s="54" t="s">
        <v>562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6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1"/>
      <c r="R354" s="551"/>
      <c r="S354" s="551"/>
      <c r="T354" s="552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33.333333333333336</v>
      </c>
      <c r="Y355" s="543">
        <f>IFERROR(Y353/H353,"0")+IFERROR(Y354/H354,"0")</f>
        <v>34</v>
      </c>
      <c r="Z355" s="543">
        <f>IFERROR(IF(Z353="",0,Z353),"0")+IFERROR(IF(Z354="",0,Z354),"0")</f>
        <v>0.73949999999999994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500</v>
      </c>
      <c r="Y356" s="543">
        <f>IFERROR(SUM(Y353:Y354),"0")</f>
        <v>510</v>
      </c>
      <c r="Z356" s="37"/>
      <c r="AA356" s="544"/>
      <c r="AB356" s="544"/>
      <c r="AC356" s="544"/>
    </row>
    <row r="357" spans="1:68" ht="14.25" hidden="1" customHeight="1" x14ac:dyDescent="0.25">
      <c r="A357" s="560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5"/>
      <c r="AB357" s="535"/>
      <c r="AC357" s="535"/>
    </row>
    <row r="358" spans="1:68" ht="27" hidden="1" customHeight="1" x14ac:dyDescent="0.25">
      <c r="A358" s="54" t="s">
        <v>563</v>
      </c>
      <c r="B358" s="54" t="s">
        <v>564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7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1"/>
      <c r="R358" s="551"/>
      <c r="S358" s="551"/>
      <c r="T358" s="552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566</v>
      </c>
      <c r="B359" s="54" t="s">
        <v>567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1"/>
      <c r="R359" s="551"/>
      <c r="S359" s="551"/>
      <c r="T359" s="552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0" t="s">
        <v>164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5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1"/>
      <c r="R363" s="551"/>
      <c r="S363" s="551"/>
      <c r="T363" s="552"/>
      <c r="U363" s="34"/>
      <c r="V363" s="34"/>
      <c r="W363" s="35" t="s">
        <v>69</v>
      </c>
      <c r="X363" s="541">
        <v>120</v>
      </c>
      <c r="Y363" s="542">
        <f>IFERROR(IF(X363="",0,CEILING((X363/$H363),1)*$H363),"")</f>
        <v>126</v>
      </c>
      <c r="Z363" s="36">
        <f>IFERROR(IF(Y363=0,"",ROUNDUP(Y363/H363,0)*0.01898),"")</f>
        <v>0.26572000000000001</v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126.58666666666666</v>
      </c>
      <c r="BN363" s="64">
        <f>IFERROR(Y363*I363/H363,"0")</f>
        <v>132.916</v>
      </c>
      <c r="BO363" s="64">
        <f>IFERROR(1/J363*(X363/H363),"0")</f>
        <v>0.20833333333333334</v>
      </c>
      <c r="BP363" s="64">
        <f>IFERROR(1/J363*(Y363/H363),"0")</f>
        <v>0.21875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13.333333333333334</v>
      </c>
      <c r="Y364" s="543">
        <f>IFERROR(Y363/H363,"0")</f>
        <v>14</v>
      </c>
      <c r="Z364" s="543">
        <f>IFERROR(IF(Z363="",0,Z363),"0")</f>
        <v>0.26572000000000001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120</v>
      </c>
      <c r="Y365" s="543">
        <f>IFERROR(SUM(Y363:Y363),"0")</f>
        <v>126</v>
      </c>
      <c r="Z365" s="37"/>
      <c r="AA365" s="544"/>
      <c r="AB365" s="544"/>
      <c r="AC365" s="544"/>
    </row>
    <row r="366" spans="1:68" ht="16.5" hidden="1" customHeight="1" x14ac:dyDescent="0.25">
      <c r="A366" s="570" t="s">
        <v>572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hidden="1" customHeight="1" x14ac:dyDescent="0.25">
      <c r="A367" s="560" t="s">
        <v>101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5"/>
      <c r="AB367" s="535"/>
      <c r="AC367" s="535"/>
    </row>
    <row r="368" spans="1:68" ht="37.5" customHeight="1" x14ac:dyDescent="0.25">
      <c r="A368" s="54" t="s">
        <v>573</v>
      </c>
      <c r="B368" s="54" t="s">
        <v>574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58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1"/>
      <c r="R368" s="551"/>
      <c r="S368" s="551"/>
      <c r="T368" s="552"/>
      <c r="U368" s="34"/>
      <c r="V368" s="34"/>
      <c r="W368" s="35" t="s">
        <v>69</v>
      </c>
      <c r="X368" s="541">
        <v>150</v>
      </c>
      <c r="Y368" s="542">
        <f>IFERROR(IF(X368="",0,CEILING((X368/$H368),1)*$H368),"")</f>
        <v>156</v>
      </c>
      <c r="Z368" s="36">
        <f>IFERROR(IF(Y368=0,"",ROUNDUP(Y368/H368,0)*0.01898),"")</f>
        <v>0.24674000000000001</v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155.125</v>
      </c>
      <c r="BN368" s="64">
        <f>IFERROR(Y368*I368/H368,"0")</f>
        <v>161.33000000000001</v>
      </c>
      <c r="BO368" s="64">
        <f>IFERROR(1/J368*(X368/H368),"0")</f>
        <v>0.1953125</v>
      </c>
      <c r="BP368" s="64">
        <f>IFERROR(1/J368*(Y368/H368),"0")</f>
        <v>0.203125</v>
      </c>
    </row>
    <row r="369" spans="1:68" ht="37.5" hidden="1" customHeight="1" x14ac:dyDescent="0.25">
      <c r="A369" s="54" t="s">
        <v>576</v>
      </c>
      <c r="B369" s="54" t="s">
        <v>577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62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1"/>
      <c r="R369" s="551"/>
      <c r="S369" s="551"/>
      <c r="T369" s="552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12.5</v>
      </c>
      <c r="Y370" s="543">
        <f>IFERROR(Y368/H368,"0")+IFERROR(Y369/H369,"0")</f>
        <v>13</v>
      </c>
      <c r="Z370" s="543">
        <f>IFERROR(IF(Z368="",0,Z368),"0")+IFERROR(IF(Z369="",0,Z369),"0")</f>
        <v>0.24674000000000001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150</v>
      </c>
      <c r="Y371" s="543">
        <f>IFERROR(SUM(Y368:Y369),"0")</f>
        <v>156</v>
      </c>
      <c r="Z371" s="37"/>
      <c r="AA371" s="544"/>
      <c r="AB371" s="544"/>
      <c r="AC371" s="544"/>
    </row>
    <row r="372" spans="1:68" ht="14.25" hidden="1" customHeight="1" x14ac:dyDescent="0.25">
      <c r="A372" s="560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5"/>
      <c r="AB372" s="535"/>
      <c r="AC372" s="535"/>
    </row>
    <row r="373" spans="1:68" ht="27" hidden="1" customHeight="1" x14ac:dyDescent="0.25">
      <c r="A373" s="54" t="s">
        <v>578</v>
      </c>
      <c r="B373" s="54" t="s">
        <v>579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5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1"/>
      <c r="R373" s="551"/>
      <c r="S373" s="551"/>
      <c r="T373" s="552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578</v>
      </c>
      <c r="B374" s="54" t="s">
        <v>581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1"/>
      <c r="R374" s="551"/>
      <c r="S374" s="551"/>
      <c r="T374" s="552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0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5"/>
      <c r="AB377" s="535"/>
      <c r="AC377" s="535"/>
    </row>
    <row r="378" spans="1:68" ht="27" hidden="1" customHeight="1" x14ac:dyDescent="0.25">
      <c r="A378" s="54" t="s">
        <v>583</v>
      </c>
      <c r="B378" s="54" t="s">
        <v>584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1"/>
      <c r="R378" s="551"/>
      <c r="S378" s="551"/>
      <c r="T378" s="552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8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1"/>
      <c r="R379" s="551"/>
      <c r="S379" s="551"/>
      <c r="T379" s="552"/>
      <c r="U379" s="34"/>
      <c r="V379" s="34"/>
      <c r="W379" s="35" t="s">
        <v>69</v>
      </c>
      <c r="X379" s="541">
        <v>350</v>
      </c>
      <c r="Y379" s="542">
        <f>IFERROR(IF(X379="",0,CEILING((X379/$H379),1)*$H379),"")</f>
        <v>350.4</v>
      </c>
      <c r="Z379" s="36">
        <f>IFERROR(IF(Y379=0,"",ROUNDUP(Y379/H379,0)*0.00651),"")</f>
        <v>0.95045999999999997</v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388.50000000000006</v>
      </c>
      <c r="BN379" s="64">
        <f>IFERROR(Y379*I379/H379,"0")</f>
        <v>388.94400000000002</v>
      </c>
      <c r="BO379" s="64">
        <f>IFERROR(1/J379*(X379/H379),"0")</f>
        <v>0.80128205128205143</v>
      </c>
      <c r="BP379" s="64">
        <f>IFERROR(1/J379*(Y379/H379),"0")</f>
        <v>0.80219780219780223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145.83333333333334</v>
      </c>
      <c r="Y380" s="543">
        <f>IFERROR(Y378/H378,"0")+IFERROR(Y379/H379,"0")</f>
        <v>146</v>
      </c>
      <c r="Z380" s="543">
        <f>IFERROR(IF(Z378="",0,Z378),"0")+IFERROR(IF(Z379="",0,Z379),"0")</f>
        <v>0.95045999999999997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350</v>
      </c>
      <c r="Y381" s="543">
        <f>IFERROR(SUM(Y378:Y379),"0")</f>
        <v>350.4</v>
      </c>
      <c r="Z381" s="37"/>
      <c r="AA381" s="544"/>
      <c r="AB381" s="544"/>
      <c r="AC381" s="544"/>
    </row>
    <row r="382" spans="1:68" ht="27.75" hidden="1" customHeight="1" x14ac:dyDescent="0.2">
      <c r="A382" s="645" t="s">
        <v>588</v>
      </c>
      <c r="B382" s="646"/>
      <c r="C382" s="646"/>
      <c r="D382" s="646"/>
      <c r="E382" s="646"/>
      <c r="F382" s="646"/>
      <c r="G382" s="646"/>
      <c r="H382" s="646"/>
      <c r="I382" s="646"/>
      <c r="J382" s="646"/>
      <c r="K382" s="646"/>
      <c r="L382" s="646"/>
      <c r="M382" s="646"/>
      <c r="N382" s="646"/>
      <c r="O382" s="646"/>
      <c r="P382" s="646"/>
      <c r="Q382" s="646"/>
      <c r="R382" s="646"/>
      <c r="S382" s="646"/>
      <c r="T382" s="646"/>
      <c r="U382" s="646"/>
      <c r="V382" s="646"/>
      <c r="W382" s="646"/>
      <c r="X382" s="646"/>
      <c r="Y382" s="646"/>
      <c r="Z382" s="646"/>
      <c r="AA382" s="48"/>
      <c r="AB382" s="48"/>
      <c r="AC382" s="48"/>
    </row>
    <row r="383" spans="1:68" ht="16.5" hidden="1" customHeight="1" x14ac:dyDescent="0.25">
      <c r="A383" s="570" t="s">
        <v>589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0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5"/>
      <c r="AB384" s="535"/>
      <c r="AC384" s="535"/>
    </row>
    <row r="385" spans="1:68" ht="27" hidden="1" customHeight="1" x14ac:dyDescent="0.25">
      <c r="A385" s="54" t="s">
        <v>590</v>
      </c>
      <c r="B385" s="54" t="s">
        <v>591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1"/>
      <c r="R385" s="551"/>
      <c r="S385" s="551"/>
      <c r="T385" s="552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1"/>
      <c r="R386" s="551"/>
      <c r="S386" s="551"/>
      <c r="T386" s="552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1"/>
      <c r="R387" s="551"/>
      <c r="S387" s="551"/>
      <c r="T387" s="552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599</v>
      </c>
      <c r="B388" s="54" t="s">
        <v>600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1"/>
      <c r="R388" s="551"/>
      <c r="S388" s="551"/>
      <c r="T388" s="552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1"/>
      <c r="R389" s="551"/>
      <c r="S389" s="551"/>
      <c r="T389" s="552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603</v>
      </c>
      <c r="B390" s="54" t="s">
        <v>604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1"/>
      <c r="R390" s="551"/>
      <c r="S390" s="551"/>
      <c r="T390" s="552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1"/>
      <c r="R391" s="551"/>
      <c r="S391" s="551"/>
      <c r="T391" s="552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1"/>
      <c r="R392" s="551"/>
      <c r="S392" s="551"/>
      <c r="T392" s="552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612</v>
      </c>
      <c r="B393" s="54" t="s">
        <v>613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5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1"/>
      <c r="R393" s="551"/>
      <c r="S393" s="551"/>
      <c r="T393" s="552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0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5"/>
      <c r="AB396" s="535"/>
      <c r="AC396" s="535"/>
    </row>
    <row r="397" spans="1:68" ht="27" hidden="1" customHeight="1" x14ac:dyDescent="0.25">
      <c r="A397" s="54" t="s">
        <v>614</v>
      </c>
      <c r="B397" s="54" t="s">
        <v>615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1"/>
      <c r="R397" s="551"/>
      <c r="S397" s="551"/>
      <c r="T397" s="552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617</v>
      </c>
      <c r="B398" s="54" t="s">
        <v>618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6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1"/>
      <c r="R398" s="551"/>
      <c r="S398" s="551"/>
      <c r="T398" s="552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0" t="s">
        <v>620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0" t="s">
        <v>136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5"/>
      <c r="AB402" s="535"/>
      <c r="AC402" s="535"/>
    </row>
    <row r="403" spans="1:68" ht="27" hidden="1" customHeight="1" x14ac:dyDescent="0.25">
      <c r="A403" s="54" t="s">
        <v>621</v>
      </c>
      <c r="B403" s="54" t="s">
        <v>622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1"/>
      <c r="R403" s="551"/>
      <c r="S403" s="551"/>
      <c r="T403" s="552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0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5"/>
      <c r="AB406" s="535"/>
      <c r="AC406" s="535"/>
    </row>
    <row r="407" spans="1:68" ht="27" hidden="1" customHeight="1" x14ac:dyDescent="0.25">
      <c r="A407" s="54" t="s">
        <v>624</v>
      </c>
      <c r="B407" s="54" t="s">
        <v>625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84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1"/>
      <c r="R407" s="551"/>
      <c r="S407" s="551"/>
      <c r="T407" s="552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1"/>
      <c r="R408" s="551"/>
      <c r="S408" s="551"/>
      <c r="T408" s="552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1"/>
      <c r="R409" s="551"/>
      <c r="S409" s="551"/>
      <c r="T409" s="552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633</v>
      </c>
      <c r="B410" s="54" t="s">
        <v>634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1"/>
      <c r="R410" s="551"/>
      <c r="S410" s="551"/>
      <c r="T410" s="552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70" t="s">
        <v>635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0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5"/>
      <c r="AB414" s="535"/>
      <c r="AC414" s="535"/>
    </row>
    <row r="415" spans="1:68" ht="27" hidden="1" customHeight="1" x14ac:dyDescent="0.25">
      <c r="A415" s="54" t="s">
        <v>636</v>
      </c>
      <c r="B415" s="54" t="s">
        <v>637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1"/>
      <c r="R415" s="551"/>
      <c r="S415" s="551"/>
      <c r="T415" s="552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5" t="s">
        <v>639</v>
      </c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6"/>
      <c r="P418" s="646"/>
      <c r="Q418" s="646"/>
      <c r="R418" s="646"/>
      <c r="S418" s="646"/>
      <c r="T418" s="646"/>
      <c r="U418" s="646"/>
      <c r="V418" s="646"/>
      <c r="W418" s="646"/>
      <c r="X418" s="646"/>
      <c r="Y418" s="646"/>
      <c r="Z418" s="646"/>
      <c r="AA418" s="48"/>
      <c r="AB418" s="48"/>
      <c r="AC418" s="48"/>
    </row>
    <row r="419" spans="1:68" ht="16.5" hidden="1" customHeight="1" x14ac:dyDescent="0.25">
      <c r="A419" s="570" t="s">
        <v>639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0" t="s">
        <v>101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5"/>
      <c r="AB420" s="535"/>
      <c r="AC420" s="535"/>
    </row>
    <row r="421" spans="1:68" ht="27" hidden="1" customHeight="1" x14ac:dyDescent="0.25">
      <c r="A421" s="54" t="s">
        <v>640</v>
      </c>
      <c r="B421" s="54" t="s">
        <v>641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6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1"/>
      <c r="R421" s="551"/>
      <c r="S421" s="551"/>
      <c r="T421" s="552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1"/>
      <c r="R422" s="551"/>
      <c r="S422" s="551"/>
      <c r="T422" s="552"/>
      <c r="U422" s="34"/>
      <c r="V422" s="34"/>
      <c r="W422" s="35" t="s">
        <v>69</v>
      </c>
      <c r="X422" s="541">
        <v>200</v>
      </c>
      <c r="Y422" s="542">
        <f t="shared" si="47"/>
        <v>200.64000000000001</v>
      </c>
      <c r="Z422" s="36">
        <f t="shared" si="48"/>
        <v>0.45448</v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213.25757575757575</v>
      </c>
      <c r="BN422" s="64">
        <f t="shared" si="50"/>
        <v>213.94</v>
      </c>
      <c r="BO422" s="64">
        <f t="shared" si="51"/>
        <v>0.36421911421911418</v>
      </c>
      <c r="BP422" s="64">
        <f t="shared" si="52"/>
        <v>0.36538461538461542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7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1"/>
      <c r="R423" s="551"/>
      <c r="S423" s="551"/>
      <c r="T423" s="552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648</v>
      </c>
      <c r="B424" s="54" t="s">
        <v>649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4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1"/>
      <c r="R424" s="551"/>
      <c r="S424" s="551"/>
      <c r="T424" s="552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651</v>
      </c>
      <c r="B425" s="54" t="s">
        <v>652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1"/>
      <c r="R425" s="551"/>
      <c r="S425" s="551"/>
      <c r="T425" s="552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8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1"/>
      <c r="R426" s="551"/>
      <c r="S426" s="551"/>
      <c r="T426" s="552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657</v>
      </c>
      <c r="B427" s="54" t="s">
        <v>658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1"/>
      <c r="R427" s="551"/>
      <c r="S427" s="551"/>
      <c r="T427" s="552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1"/>
      <c r="R428" s="551"/>
      <c r="S428" s="551"/>
      <c r="T428" s="552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79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1"/>
      <c r="R429" s="551"/>
      <c r="S429" s="551"/>
      <c r="T429" s="552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63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1"/>
      <c r="R430" s="551"/>
      <c r="S430" s="551"/>
      <c r="T430" s="552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7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1"/>
      <c r="R431" s="551"/>
      <c r="S431" s="551"/>
      <c r="T431" s="552"/>
      <c r="U431" s="34"/>
      <c r="V431" s="34"/>
      <c r="W431" s="35" t="s">
        <v>69</v>
      </c>
      <c r="X431" s="541">
        <v>1000</v>
      </c>
      <c r="Y431" s="542">
        <f t="shared" si="47"/>
        <v>1003.1999999999999</v>
      </c>
      <c r="Z431" s="36">
        <f>IFERROR(IF(Y431=0,"",ROUNDUP(Y431/H431,0)*0.00902),"")</f>
        <v>1.8851800000000001</v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1439.5833333333335</v>
      </c>
      <c r="BN431" s="64">
        <f t="shared" si="50"/>
        <v>1444.19</v>
      </c>
      <c r="BO431" s="64">
        <f t="shared" si="51"/>
        <v>1.5782828282828285</v>
      </c>
      <c r="BP431" s="64">
        <f t="shared" si="52"/>
        <v>1.5833333333333335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246.21212121212122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247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2.3396600000000003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1200</v>
      </c>
      <c r="Y433" s="543">
        <f>IFERROR(SUM(Y421:Y431),"0")</f>
        <v>1203.8399999999999</v>
      </c>
      <c r="Z433" s="37"/>
      <c r="AA433" s="544"/>
      <c r="AB433" s="544"/>
      <c r="AC433" s="544"/>
    </row>
    <row r="434" spans="1:68" ht="14.25" hidden="1" customHeight="1" x14ac:dyDescent="0.25">
      <c r="A434" s="560" t="s">
        <v>136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5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1"/>
      <c r="R435" s="551"/>
      <c r="S435" s="551"/>
      <c r="T435" s="552"/>
      <c r="U435" s="34"/>
      <c r="V435" s="34"/>
      <c r="W435" s="35" t="s">
        <v>69</v>
      </c>
      <c r="X435" s="541">
        <v>1000</v>
      </c>
      <c r="Y435" s="542">
        <f>IFERROR(IF(X435="",0,CEILING((X435/$H435),1)*$H435),"")</f>
        <v>1003.2</v>
      </c>
      <c r="Z435" s="36">
        <f>IFERROR(IF(Y435=0,"",ROUNDUP(Y435/H435,0)*0.01196),"")</f>
        <v>2.2724000000000002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1066.2878787878788</v>
      </c>
      <c r="BN435" s="64">
        <f>IFERROR(Y435*I435/H435,"0")</f>
        <v>1069.7</v>
      </c>
      <c r="BO435" s="64">
        <f>IFERROR(1/J435*(X435/H435),"0")</f>
        <v>1.821095571095571</v>
      </c>
      <c r="BP435" s="64">
        <f>IFERROR(1/J435*(Y435/H435),"0")</f>
        <v>1.8269230769230771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1"/>
      <c r="R436" s="551"/>
      <c r="S436" s="551"/>
      <c r="T436" s="552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673</v>
      </c>
      <c r="B437" s="54" t="s">
        <v>674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8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1"/>
      <c r="R437" s="551"/>
      <c r="S437" s="551"/>
      <c r="T437" s="552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189.39393939393938</v>
      </c>
      <c r="Y438" s="543">
        <f>IFERROR(Y435/H435,"0")+IFERROR(Y436/H436,"0")+IFERROR(Y437/H437,"0")</f>
        <v>190</v>
      </c>
      <c r="Z438" s="543">
        <f>IFERROR(IF(Z435="",0,Z435),"0")+IFERROR(IF(Z436="",0,Z436),"0")+IFERROR(IF(Z437="",0,Z437),"0")</f>
        <v>2.2724000000000002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1000</v>
      </c>
      <c r="Y439" s="543">
        <f>IFERROR(SUM(Y435:Y437),"0")</f>
        <v>1003.2</v>
      </c>
      <c r="Z439" s="37"/>
      <c r="AA439" s="544"/>
      <c r="AB439" s="544"/>
      <c r="AC439" s="544"/>
    </row>
    <row r="440" spans="1:68" ht="14.25" hidden="1" customHeight="1" x14ac:dyDescent="0.25">
      <c r="A440" s="560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5"/>
      <c r="AB440" s="535"/>
      <c r="AC440" s="535"/>
    </row>
    <row r="441" spans="1:68" ht="27" hidden="1" customHeight="1" x14ac:dyDescent="0.25">
      <c r="A441" s="54" t="s">
        <v>675</v>
      </c>
      <c r="B441" s="54" t="s">
        <v>676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1"/>
      <c r="R441" s="551"/>
      <c r="S441" s="551"/>
      <c r="T441" s="552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hidden="1" customHeight="1" x14ac:dyDescent="0.25">
      <c r="A442" s="54" t="s">
        <v>678</v>
      </c>
      <c r="B442" s="54" t="s">
        <v>679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79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1"/>
      <c r="R442" s="551"/>
      <c r="S442" s="551"/>
      <c r="T442" s="552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1"/>
      <c r="R443" s="551"/>
      <c r="S443" s="551"/>
      <c r="T443" s="552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684</v>
      </c>
      <c r="B444" s="54" t="s">
        <v>685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5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1"/>
      <c r="R444" s="551"/>
      <c r="S444" s="551"/>
      <c r="T444" s="552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686</v>
      </c>
      <c r="B445" s="54" t="s">
        <v>687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8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1"/>
      <c r="R445" s="551"/>
      <c r="S445" s="551"/>
      <c r="T445" s="552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5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1"/>
      <c r="R446" s="551"/>
      <c r="S446" s="551"/>
      <c r="T446" s="552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idden="1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60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5"/>
      <c r="AB449" s="535"/>
      <c r="AC449" s="535"/>
    </row>
    <row r="450" spans="1:68" ht="16.5" hidden="1" customHeight="1" x14ac:dyDescent="0.25">
      <c r="A450" s="54" t="s">
        <v>690</v>
      </c>
      <c r="B450" s="54" t="s">
        <v>691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77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1"/>
      <c r="R450" s="551"/>
      <c r="S450" s="551"/>
      <c r="T450" s="552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693</v>
      </c>
      <c r="B451" s="54" t="s">
        <v>694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65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1"/>
      <c r="R451" s="551"/>
      <c r="S451" s="551"/>
      <c r="T451" s="552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6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1"/>
      <c r="R452" s="551"/>
      <c r="S452" s="551"/>
      <c r="T452" s="552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5" t="s">
        <v>699</v>
      </c>
      <c r="B455" s="646"/>
      <c r="C455" s="646"/>
      <c r="D455" s="646"/>
      <c r="E455" s="646"/>
      <c r="F455" s="646"/>
      <c r="G455" s="646"/>
      <c r="H455" s="646"/>
      <c r="I455" s="646"/>
      <c r="J455" s="646"/>
      <c r="K455" s="646"/>
      <c r="L455" s="646"/>
      <c r="M455" s="646"/>
      <c r="N455" s="646"/>
      <c r="O455" s="646"/>
      <c r="P455" s="646"/>
      <c r="Q455" s="646"/>
      <c r="R455" s="646"/>
      <c r="S455" s="646"/>
      <c r="T455" s="646"/>
      <c r="U455" s="646"/>
      <c r="V455" s="646"/>
      <c r="W455" s="646"/>
      <c r="X455" s="646"/>
      <c r="Y455" s="646"/>
      <c r="Z455" s="646"/>
      <c r="AA455" s="48"/>
      <c r="AB455" s="48"/>
      <c r="AC455" s="48"/>
    </row>
    <row r="456" spans="1:68" ht="16.5" hidden="1" customHeight="1" x14ac:dyDescent="0.25">
      <c r="A456" s="570" t="s">
        <v>699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0" t="s">
        <v>101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5"/>
      <c r="AB457" s="535"/>
      <c r="AC457" s="535"/>
    </row>
    <row r="458" spans="1:68" ht="27" hidden="1" customHeight="1" x14ac:dyDescent="0.25">
      <c r="A458" s="54" t="s">
        <v>700</v>
      </c>
      <c r="B458" s="54" t="s">
        <v>701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83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1"/>
      <c r="R458" s="551"/>
      <c r="S458" s="551"/>
      <c r="T458" s="552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1"/>
      <c r="R459" s="551"/>
      <c r="S459" s="551"/>
      <c r="T459" s="552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1"/>
      <c r="R460" s="551"/>
      <c r="S460" s="551"/>
      <c r="T460" s="552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709</v>
      </c>
      <c r="B461" s="54" t="s">
        <v>710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6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1"/>
      <c r="R461" s="551"/>
      <c r="S461" s="551"/>
      <c r="T461" s="552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0" t="s">
        <v>136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5"/>
      <c r="AB464" s="535"/>
      <c r="AC464" s="535"/>
    </row>
    <row r="465" spans="1:68" ht="27" hidden="1" customHeight="1" x14ac:dyDescent="0.25">
      <c r="A465" s="54" t="s">
        <v>711</v>
      </c>
      <c r="B465" s="54" t="s">
        <v>712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1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1"/>
      <c r="R465" s="551"/>
      <c r="S465" s="551"/>
      <c r="T465" s="552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1"/>
      <c r="R466" s="551"/>
      <c r="S466" s="551"/>
      <c r="T466" s="552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717</v>
      </c>
      <c r="B467" s="54" t="s">
        <v>718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79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1"/>
      <c r="R467" s="551"/>
      <c r="S467" s="551"/>
      <c r="T467" s="552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0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5"/>
      <c r="AB470" s="535"/>
      <c r="AC470" s="535"/>
    </row>
    <row r="471" spans="1:68" ht="27" hidden="1" customHeight="1" x14ac:dyDescent="0.25">
      <c r="A471" s="54" t="s">
        <v>720</v>
      </c>
      <c r="B471" s="54" t="s">
        <v>721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8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1"/>
      <c r="R471" s="551"/>
      <c r="S471" s="551"/>
      <c r="T471" s="552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723</v>
      </c>
      <c r="B472" s="54" t="s">
        <v>724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9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1"/>
      <c r="R472" s="551"/>
      <c r="S472" s="551"/>
      <c r="T472" s="552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0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5"/>
      <c r="AB475" s="535"/>
      <c r="AC475" s="535"/>
    </row>
    <row r="476" spans="1:68" ht="27" hidden="1" customHeight="1" x14ac:dyDescent="0.25">
      <c r="A476" s="54" t="s">
        <v>726</v>
      </c>
      <c r="B476" s="54" t="s">
        <v>727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84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1"/>
      <c r="R476" s="551"/>
      <c r="S476" s="551"/>
      <c r="T476" s="552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0" t="s">
        <v>164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5"/>
      <c r="AB479" s="535"/>
      <c r="AC479" s="535"/>
    </row>
    <row r="480" spans="1:68" ht="27" hidden="1" customHeight="1" x14ac:dyDescent="0.25">
      <c r="A480" s="54" t="s">
        <v>729</v>
      </c>
      <c r="B480" s="54" t="s">
        <v>730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7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1"/>
      <c r="R480" s="551"/>
      <c r="S480" s="551"/>
      <c r="T480" s="552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732</v>
      </c>
      <c r="B481" s="54" t="s">
        <v>733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1"/>
      <c r="R481" s="551"/>
      <c r="S481" s="551"/>
      <c r="T481" s="552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0" t="s">
        <v>735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0" t="s">
        <v>136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5"/>
      <c r="AB485" s="535"/>
      <c r="AC485" s="535"/>
    </row>
    <row r="486" spans="1:68" ht="27" hidden="1" customHeight="1" x14ac:dyDescent="0.25">
      <c r="A486" s="54" t="s">
        <v>736</v>
      </c>
      <c r="B486" s="54" t="s">
        <v>737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1"/>
      <c r="R486" s="551"/>
      <c r="S486" s="551"/>
      <c r="T486" s="552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68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69"/>
      <c r="P489" s="633" t="s">
        <v>739</v>
      </c>
      <c r="Q489" s="634"/>
      <c r="R489" s="634"/>
      <c r="S489" s="634"/>
      <c r="T489" s="634"/>
      <c r="U489" s="634"/>
      <c r="V489" s="578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8660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8781.32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569"/>
      <c r="P490" s="633" t="s">
        <v>740</v>
      </c>
      <c r="Q490" s="634"/>
      <c r="R490" s="634"/>
      <c r="S490" s="634"/>
      <c r="T490" s="634"/>
      <c r="U490" s="634"/>
      <c r="V490" s="578"/>
      <c r="W490" s="37" t="s">
        <v>69</v>
      </c>
      <c r="X490" s="543">
        <f>IFERROR(SUM(BM22:BM486),"0")</f>
        <v>9594.0606721769072</v>
      </c>
      <c r="Y490" s="543">
        <f>IFERROR(SUM(BN22:BN486),"0")</f>
        <v>9722.2980000000007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569"/>
      <c r="P491" s="633" t="s">
        <v>741</v>
      </c>
      <c r="Q491" s="634"/>
      <c r="R491" s="634"/>
      <c r="S491" s="634"/>
      <c r="T491" s="634"/>
      <c r="U491" s="634"/>
      <c r="V491" s="578"/>
      <c r="W491" s="37" t="s">
        <v>742</v>
      </c>
      <c r="X491" s="38">
        <f>ROUNDUP(SUM(BO22:BO486),0)</f>
        <v>16</v>
      </c>
      <c r="Y491" s="38">
        <f>ROUNDUP(SUM(BP22:BP486),0)</f>
        <v>16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569"/>
      <c r="P492" s="633" t="s">
        <v>743</v>
      </c>
      <c r="Q492" s="634"/>
      <c r="R492" s="634"/>
      <c r="S492" s="634"/>
      <c r="T492" s="634"/>
      <c r="U492" s="634"/>
      <c r="V492" s="578"/>
      <c r="W492" s="37" t="s">
        <v>69</v>
      </c>
      <c r="X492" s="543">
        <f>GrossWeightTotal+PalletQtyTotal*25</f>
        <v>9994.0606721769072</v>
      </c>
      <c r="Y492" s="543">
        <f>GrossWeightTotalR+PalletQtyTotalR*25</f>
        <v>10122.298000000001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569"/>
      <c r="P493" s="633" t="s">
        <v>744</v>
      </c>
      <c r="Q493" s="634"/>
      <c r="R493" s="634"/>
      <c r="S493" s="634"/>
      <c r="T493" s="634"/>
      <c r="U493" s="634"/>
      <c r="V493" s="578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2026.1403907926892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2043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569"/>
      <c r="P494" s="633" t="s">
        <v>745</v>
      </c>
      <c r="Q494" s="634"/>
      <c r="R494" s="634"/>
      <c r="S494" s="634"/>
      <c r="T494" s="634"/>
      <c r="U494" s="634"/>
      <c r="V494" s="578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18.626350000000002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61" t="s">
        <v>99</v>
      </c>
      <c r="D496" s="639"/>
      <c r="E496" s="639"/>
      <c r="F496" s="639"/>
      <c r="G496" s="639"/>
      <c r="H496" s="630"/>
      <c r="I496" s="561" t="s">
        <v>255</v>
      </c>
      <c r="J496" s="639"/>
      <c r="K496" s="639"/>
      <c r="L496" s="639"/>
      <c r="M496" s="639"/>
      <c r="N496" s="639"/>
      <c r="O496" s="639"/>
      <c r="P496" s="639"/>
      <c r="Q496" s="639"/>
      <c r="R496" s="630"/>
      <c r="S496" s="561" t="s">
        <v>536</v>
      </c>
      <c r="T496" s="630"/>
      <c r="U496" s="561" t="s">
        <v>588</v>
      </c>
      <c r="V496" s="639"/>
      <c r="W496" s="630"/>
      <c r="X496" s="533" t="s">
        <v>639</v>
      </c>
      <c r="Y496" s="561" t="s">
        <v>699</v>
      </c>
      <c r="Z496" s="630"/>
      <c r="AB496" s="52"/>
      <c r="AC496" s="52"/>
      <c r="AF496" s="534"/>
    </row>
    <row r="497" spans="1:32" ht="14.25" customHeight="1" thickTop="1" x14ac:dyDescent="0.2">
      <c r="A497" s="584" t="s">
        <v>748</v>
      </c>
      <c r="B497" s="561" t="s">
        <v>63</v>
      </c>
      <c r="C497" s="561" t="s">
        <v>100</v>
      </c>
      <c r="D497" s="561" t="s">
        <v>117</v>
      </c>
      <c r="E497" s="561" t="s">
        <v>171</v>
      </c>
      <c r="F497" s="561" t="s">
        <v>190</v>
      </c>
      <c r="G497" s="561" t="s">
        <v>220</v>
      </c>
      <c r="H497" s="561" t="s">
        <v>99</v>
      </c>
      <c r="I497" s="561" t="s">
        <v>256</v>
      </c>
      <c r="J497" s="561" t="s">
        <v>297</v>
      </c>
      <c r="K497" s="561" t="s">
        <v>357</v>
      </c>
      <c r="L497" s="561" t="s">
        <v>399</v>
      </c>
      <c r="M497" s="561" t="s">
        <v>415</v>
      </c>
      <c r="N497" s="534"/>
      <c r="O497" s="561" t="s">
        <v>426</v>
      </c>
      <c r="P497" s="561" t="s">
        <v>435</v>
      </c>
      <c r="Q497" s="561" t="s">
        <v>445</v>
      </c>
      <c r="R497" s="561" t="s">
        <v>526</v>
      </c>
      <c r="S497" s="561" t="s">
        <v>537</v>
      </c>
      <c r="T497" s="561" t="s">
        <v>572</v>
      </c>
      <c r="U497" s="561" t="s">
        <v>589</v>
      </c>
      <c r="V497" s="561" t="s">
        <v>620</v>
      </c>
      <c r="W497" s="561" t="s">
        <v>635</v>
      </c>
      <c r="X497" s="561" t="s">
        <v>639</v>
      </c>
      <c r="Y497" s="561" t="s">
        <v>699</v>
      </c>
      <c r="Z497" s="561" t="s">
        <v>735</v>
      </c>
      <c r="AB497" s="52"/>
      <c r="AC497" s="52"/>
      <c r="AF497" s="534"/>
    </row>
    <row r="498" spans="1:32" ht="13.5" customHeight="1" thickBot="1" x14ac:dyDescent="0.25">
      <c r="A498" s="585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34"/>
      <c r="O498" s="562"/>
      <c r="P498" s="562"/>
      <c r="Q498" s="562"/>
      <c r="R498" s="562"/>
      <c r="S498" s="562"/>
      <c r="T498" s="562"/>
      <c r="U498" s="562"/>
      <c r="V498" s="562"/>
      <c r="W498" s="562"/>
      <c r="X498" s="562"/>
      <c r="Y498" s="562"/>
      <c r="Z498" s="562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1019</v>
      </c>
      <c r="E499" s="46">
        <f>IFERROR(Y85*1,"0")+IFERROR(Y86*1,"0")+IFERROR(Y87*1,"0")+IFERROR(Y91*1,"0")+IFERROR(Y92*1,"0")+IFERROR(Y93*1,"0")+IFERROR(Y94*1,"0")</f>
        <v>258.48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830.1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100.80000000000001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2336.1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100.8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226.2</v>
      </c>
      <c r="R499" s="46">
        <f>IFERROR(Y335*1,"0")+IFERROR(Y336*1,"0")+IFERROR(Y337*1,"0")</f>
        <v>50.400000000000006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1146</v>
      </c>
      <c r="T499" s="46">
        <f>IFERROR(Y368*1,"0")+IFERROR(Y369*1,"0")+IFERROR(Y373*1,"0")+IFERROR(Y374*1,"0")+IFERROR(Y378*1,"0")+IFERROR(Y379*1,"0")</f>
        <v>506.4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2207.04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400,00"/>
        <filter val="100,00"/>
        <filter val="12,50"/>
        <filter val="120,00"/>
        <filter val="13,33"/>
        <filter val="145,83"/>
        <filter val="150,00"/>
        <filter val="16"/>
        <filter val="166,67"/>
        <filter val="170,00"/>
        <filter val="189,39"/>
        <filter val="191,50"/>
        <filter val="2 026,14"/>
        <filter val="200,00"/>
        <filter val="21,79"/>
        <filter val="222,22"/>
        <filter val="23,81"/>
        <filter val="246,21"/>
        <filter val="300,00"/>
        <filter val="32,00"/>
        <filter val="33,33"/>
        <filter val="350,00"/>
        <filter val="4,63"/>
        <filter val="400,00"/>
        <filter val="41,67"/>
        <filter val="50,00"/>
        <filter val="500,00"/>
        <filter val="523,41"/>
        <filter val="6,41"/>
        <filter val="600,00"/>
        <filter val="75,76"/>
        <filter val="8 660,00"/>
        <filter val="800,00"/>
        <filter val="9 594,06"/>
        <filter val="9 994,06"/>
        <filter val="9,26"/>
        <filter val="900,00"/>
        <filter val="950,00"/>
      </filters>
    </filterColumn>
    <filterColumn colId="29" showButton="0"/>
    <filterColumn colId="30" showButton="0"/>
  </autoFilter>
  <mergeCells count="874">
    <mergeCell ref="A65:Z65"/>
    <mergeCell ref="P391:T391"/>
    <mergeCell ref="D426:E426"/>
    <mergeCell ref="A234:O235"/>
    <mergeCell ref="B17:B18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A380:O381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A63:O64"/>
    <mergeCell ref="A270:Z270"/>
    <mergeCell ref="H9:I9"/>
    <mergeCell ref="A49:Z49"/>
    <mergeCell ref="P24:V24"/>
    <mergeCell ref="P89:V89"/>
    <mergeCell ref="P260:V260"/>
    <mergeCell ref="P389:T389"/>
    <mergeCell ref="A334:Z334"/>
    <mergeCell ref="A383:Z383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P407:T407"/>
    <mergeCell ref="D245:E245"/>
    <mergeCell ref="A282:Z282"/>
    <mergeCell ref="D301:E301"/>
    <mergeCell ref="P86:T86"/>
    <mergeCell ref="P328:T328"/>
    <mergeCell ref="D134:E134"/>
    <mergeCell ref="P213:T213"/>
    <mergeCell ref="P249:T249"/>
    <mergeCell ref="D363:E363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266:T266"/>
    <mergeCell ref="P182:V182"/>
    <mergeCell ref="D124:E124"/>
    <mergeCell ref="P56:T56"/>
    <mergeCell ref="P448:V448"/>
    <mergeCell ref="D297:E297"/>
    <mergeCell ref="P88:V88"/>
    <mergeCell ref="P259:V259"/>
    <mergeCell ref="A78:Z78"/>
    <mergeCell ref="P153:V153"/>
    <mergeCell ref="P79:T79"/>
    <mergeCell ref="D60:E60"/>
    <mergeCell ref="P73:T73"/>
    <mergeCell ref="P315:T315"/>
    <mergeCell ref="P437:T437"/>
    <mergeCell ref="P231:T231"/>
    <mergeCell ref="P42:T42"/>
    <mergeCell ref="H497:H498"/>
    <mergeCell ref="J497:J498"/>
    <mergeCell ref="P395:V395"/>
    <mergeCell ref="P209:T209"/>
    <mergeCell ref="P147:T147"/>
    <mergeCell ref="P445:T445"/>
    <mergeCell ref="P458:T458"/>
    <mergeCell ref="P487:V487"/>
    <mergeCell ref="P477:V477"/>
    <mergeCell ref="A473:O474"/>
    <mergeCell ref="P476:T476"/>
    <mergeCell ref="P471:T471"/>
    <mergeCell ref="D486:E486"/>
    <mergeCell ref="P452:T452"/>
    <mergeCell ref="D472:E472"/>
    <mergeCell ref="P453:V453"/>
    <mergeCell ref="A205:Z205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A350:O351"/>
    <mergeCell ref="D263:E263"/>
    <mergeCell ref="D290:E290"/>
    <mergeCell ref="D94:E94"/>
    <mergeCell ref="P148:T148"/>
    <mergeCell ref="A109:O110"/>
    <mergeCell ref="D353:E353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67:E67"/>
    <mergeCell ref="P109:V109"/>
    <mergeCell ref="P17:T18"/>
    <mergeCell ref="I17:I18"/>
    <mergeCell ref="P36:V36"/>
    <mergeCell ref="A43:O44"/>
    <mergeCell ref="P53:T53"/>
    <mergeCell ref="D91:E91"/>
    <mergeCell ref="D52:E52"/>
    <mergeCell ref="D27:E27"/>
    <mergeCell ref="P15:T16"/>
    <mergeCell ref="P58:V58"/>
    <mergeCell ref="D61:E61"/>
    <mergeCell ref="P29:T29"/>
    <mergeCell ref="F9:G9"/>
    <mergeCell ref="H1:Q1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P489:V489"/>
    <mergeCell ref="P119:T119"/>
    <mergeCell ref="P246:T246"/>
    <mergeCell ref="D167:E167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A482:O483"/>
    <mergeCell ref="A416:O417"/>
    <mergeCell ref="D158:E158"/>
    <mergeCell ref="D329:E329"/>
    <mergeCell ref="D229:E229"/>
    <mergeCell ref="A402:Z402"/>
    <mergeCell ref="D388:E388"/>
    <mergeCell ref="P442:T442"/>
    <mergeCell ref="P467:T467"/>
    <mergeCell ref="D390:E390"/>
    <mergeCell ref="P197:T197"/>
    <mergeCell ref="P166:T166"/>
    <mergeCell ref="D442:E442"/>
    <mergeCell ref="D302:E302"/>
    <mergeCell ref="D429:E429"/>
    <mergeCell ref="A159:O160"/>
    <mergeCell ref="P271:T271"/>
    <mergeCell ref="P416:V416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D255:E255"/>
    <mergeCell ref="P478:V478"/>
    <mergeCell ref="A97:Z97"/>
    <mergeCell ref="D322:E322"/>
    <mergeCell ref="P280:V280"/>
    <mergeCell ref="P274:V274"/>
    <mergeCell ref="A366:Z366"/>
    <mergeCell ref="P490:V490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A6:C6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P491:V491"/>
    <mergeCell ref="O497:O498"/>
    <mergeCell ref="D309:E309"/>
    <mergeCell ref="D113:E113"/>
    <mergeCell ref="A438:O439"/>
    <mergeCell ref="D106:E106"/>
    <mergeCell ref="P185:T185"/>
    <mergeCell ref="P427:T427"/>
    <mergeCell ref="P283:T283"/>
    <mergeCell ref="P110:V110"/>
    <mergeCell ref="A338:O339"/>
    <mergeCell ref="P208:T208"/>
    <mergeCell ref="A261:Z261"/>
    <mergeCell ref="P338:V338"/>
    <mergeCell ref="P313:V313"/>
    <mergeCell ref="A138:Z138"/>
    <mergeCell ref="P115:T115"/>
    <mergeCell ref="D254:E254"/>
    <mergeCell ref="P289:T289"/>
    <mergeCell ref="P422:T422"/>
    <mergeCell ref="D232:E232"/>
    <mergeCell ref="D403:E403"/>
    <mergeCell ref="A382:Z382"/>
    <mergeCell ref="A116:O117"/>
    <mergeCell ref="P428:T428"/>
    <mergeCell ref="P113:T113"/>
    <mergeCell ref="A173:Z173"/>
    <mergeCell ref="P129:T12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P219:T219"/>
    <mergeCell ref="D162:E162"/>
    <mergeCell ref="A69:O70"/>
    <mergeCell ref="P272:T272"/>
    <mergeCell ref="P210:T210"/>
    <mergeCell ref="A267:O268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A367:Z367"/>
    <mergeCell ref="A183:Z183"/>
    <mergeCell ref="D346:E346"/>
    <mergeCell ref="P229:T229"/>
    <mergeCell ref="D328:E328"/>
    <mergeCell ref="P136:V136"/>
    <mergeCell ref="A253:Z253"/>
    <mergeCell ref="A286:Z286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P85:T85"/>
    <mergeCell ref="P454:V454"/>
    <mergeCell ref="D56:E56"/>
    <mergeCell ref="P206:T206"/>
    <mergeCell ref="P233:T233"/>
    <mergeCell ref="D176:E176"/>
    <mergeCell ref="D347:E347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P446:T446"/>
    <mergeCell ref="D425:E425"/>
    <mergeCell ref="P451:T451"/>
    <mergeCell ref="A470:Z470"/>
    <mergeCell ref="D424:E424"/>
    <mergeCell ref="P324:T324"/>
    <mergeCell ref="P492:V492"/>
    <mergeCell ref="A327:Z327"/>
    <mergeCell ref="P474:V474"/>
    <mergeCell ref="A269:Z269"/>
    <mergeCell ref="D445:E445"/>
    <mergeCell ref="D398:E398"/>
    <mergeCell ref="P439:V439"/>
    <mergeCell ref="P308:T308"/>
    <mergeCell ref="P433:V433"/>
    <mergeCell ref="U497:U498"/>
    <mergeCell ref="I496:R496"/>
    <mergeCell ref="P493:V493"/>
    <mergeCell ref="A447:O448"/>
    <mergeCell ref="L497:L498"/>
    <mergeCell ref="A318:O319"/>
    <mergeCell ref="P47:V47"/>
    <mergeCell ref="P176:T176"/>
    <mergeCell ref="P114:T114"/>
    <mergeCell ref="P247:T247"/>
    <mergeCell ref="P241:T241"/>
    <mergeCell ref="A157:Z157"/>
    <mergeCell ref="A455:Z455"/>
    <mergeCell ref="A222:Z222"/>
    <mergeCell ref="P301:T301"/>
    <mergeCell ref="D385:E385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D373:E373"/>
    <mergeCell ref="A242:O243"/>
    <mergeCell ref="P112:T112"/>
    <mergeCell ref="A179:Z179"/>
    <mergeCell ref="A153:O154"/>
    <mergeCell ref="A133:Z133"/>
    <mergeCell ref="D125:E125"/>
    <mergeCell ref="A143:O144"/>
    <mergeCell ref="P70:V70"/>
    <mergeCell ref="A156:Z156"/>
    <mergeCell ref="P116:V116"/>
    <mergeCell ref="P103:V103"/>
    <mergeCell ref="D114:E114"/>
    <mergeCell ref="A88:O89"/>
    <mergeCell ref="P193:V193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323:E323"/>
    <mergeCell ref="D29:E29"/>
    <mergeCell ref="D265:E265"/>
    <mergeCell ref="P344:T344"/>
    <mergeCell ref="A20:Z20"/>
    <mergeCell ref="P371:V371"/>
    <mergeCell ref="A103:O104"/>
    <mergeCell ref="M17:M18"/>
    <mergeCell ref="O17:O18"/>
    <mergeCell ref="P336:T336"/>
    <mergeCell ref="P131:V131"/>
    <mergeCell ref="P187:V187"/>
    <mergeCell ref="P41:T41"/>
    <mergeCell ref="D22:E22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D10:E10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G497:G498"/>
    <mergeCell ref="Q497:Q498"/>
    <mergeCell ref="P72:T72"/>
    <mergeCell ref="W497:W498"/>
    <mergeCell ref="D430:E430"/>
    <mergeCell ref="P469:V469"/>
    <mergeCell ref="P486:T486"/>
    <mergeCell ref="D450:E450"/>
    <mergeCell ref="D452:E452"/>
    <mergeCell ref="B497:B498"/>
    <mergeCell ref="P415:T415"/>
    <mergeCell ref="S496:T496"/>
    <mergeCell ref="A453:O454"/>
    <mergeCell ref="P430:T430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A31:O32"/>
    <mergeCell ref="A23:O24"/>
    <mergeCell ref="A35:O36"/>
    <mergeCell ref="P34:T34"/>
    <mergeCell ref="P32:V32"/>
    <mergeCell ref="D202:E202"/>
    <mergeCell ref="D224:E224"/>
    <mergeCell ref="P230:T230"/>
    <mergeCell ref="P168:T168"/>
    <mergeCell ref="D211:E211"/>
    <mergeCell ref="D214:E214"/>
    <mergeCell ref="D100:E100"/>
    <mergeCell ref="D87:E87"/>
    <mergeCell ref="A47:O48"/>
    <mergeCell ref="P100:T100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  <mergeCell ref="A440:Z440"/>
    <mergeCell ref="V497:V49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