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2A5CAF-223E-44B0-AAD2-A49E85BD344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Y303" i="1" s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BP245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E498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92" i="1" l="1"/>
  <c r="BN92" i="1"/>
  <c r="Z92" i="1"/>
  <c r="BP130" i="1"/>
  <c r="BN130" i="1"/>
  <c r="Z130" i="1"/>
  <c r="Y182" i="1"/>
  <c r="Y181" i="1"/>
  <c r="BP180" i="1"/>
  <c r="BN180" i="1"/>
  <c r="Z180" i="1"/>
  <c r="Z181" i="1" s="1"/>
  <c r="BP185" i="1"/>
  <c r="BN185" i="1"/>
  <c r="Z185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5" i="1"/>
  <c r="BN345" i="1"/>
  <c r="Z345" i="1"/>
  <c r="BP390" i="1"/>
  <c r="BN390" i="1"/>
  <c r="Z390" i="1"/>
  <c r="BP425" i="1"/>
  <c r="BN425" i="1"/>
  <c r="Z425" i="1"/>
  <c r="BP451" i="1"/>
  <c r="BN451" i="1"/>
  <c r="Z451" i="1"/>
  <c r="Z30" i="1"/>
  <c r="BN30" i="1"/>
  <c r="Z53" i="1"/>
  <c r="BN53" i="1"/>
  <c r="Z73" i="1"/>
  <c r="BN73" i="1"/>
  <c r="BP107" i="1"/>
  <c r="BN107" i="1"/>
  <c r="Z107" i="1"/>
  <c r="BP168" i="1"/>
  <c r="BN168" i="1"/>
  <c r="Z168" i="1"/>
  <c r="BP200" i="1"/>
  <c r="BN200" i="1"/>
  <c r="Z200" i="1"/>
  <c r="BP225" i="1"/>
  <c r="BN225" i="1"/>
  <c r="Z225" i="1"/>
  <c r="BP254" i="1"/>
  <c r="BN254" i="1"/>
  <c r="Z254" i="1"/>
  <c r="BP290" i="1"/>
  <c r="BN290" i="1"/>
  <c r="Z290" i="1"/>
  <c r="BP310" i="1"/>
  <c r="BN310" i="1"/>
  <c r="Z310" i="1"/>
  <c r="BP344" i="1"/>
  <c r="BN344" i="1"/>
  <c r="Z344" i="1"/>
  <c r="BP372" i="1"/>
  <c r="BN372" i="1"/>
  <c r="Z372" i="1"/>
  <c r="BP409" i="1"/>
  <c r="BN409" i="1"/>
  <c r="Z409" i="1"/>
  <c r="BP441" i="1"/>
  <c r="BN441" i="1"/>
  <c r="Z441" i="1"/>
  <c r="BP471" i="1"/>
  <c r="BN471" i="1"/>
  <c r="Z471" i="1"/>
  <c r="Y477" i="1"/>
  <c r="Y476" i="1"/>
  <c r="BP475" i="1"/>
  <c r="BN475" i="1"/>
  <c r="Z475" i="1"/>
  <c r="Z476" i="1" s="1"/>
  <c r="BP479" i="1"/>
  <c r="BN479" i="1"/>
  <c r="Z479" i="1"/>
  <c r="Y172" i="1"/>
  <c r="BP298" i="1"/>
  <c r="BN298" i="1"/>
  <c r="Z298" i="1"/>
  <c r="BP308" i="1"/>
  <c r="BN308" i="1"/>
  <c r="Z308" i="1"/>
  <c r="BP323" i="1"/>
  <c r="BN323" i="1"/>
  <c r="Z323" i="1"/>
  <c r="Y349" i="1"/>
  <c r="BP342" i="1"/>
  <c r="BN342" i="1"/>
  <c r="Z342" i="1"/>
  <c r="BP368" i="1"/>
  <c r="BN368" i="1"/>
  <c r="Z368" i="1"/>
  <c r="BP388" i="1"/>
  <c r="BN388" i="1"/>
  <c r="Z388" i="1"/>
  <c r="BP407" i="1"/>
  <c r="BN407" i="1"/>
  <c r="Z407" i="1"/>
  <c r="BP423" i="1"/>
  <c r="BN423" i="1"/>
  <c r="Z423" i="1"/>
  <c r="BP435" i="1"/>
  <c r="BN435" i="1"/>
  <c r="Z435" i="1"/>
  <c r="BP449" i="1"/>
  <c r="BN449" i="1"/>
  <c r="Z449" i="1"/>
  <c r="BP465" i="1"/>
  <c r="BN465" i="1"/>
  <c r="Z465" i="1"/>
  <c r="X488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67" i="1"/>
  <c r="BN67" i="1"/>
  <c r="Y77" i="1"/>
  <c r="Z75" i="1"/>
  <c r="BN75" i="1"/>
  <c r="Y81" i="1"/>
  <c r="Z86" i="1"/>
  <c r="BN86" i="1"/>
  <c r="Y96" i="1"/>
  <c r="Z94" i="1"/>
  <c r="BN94" i="1"/>
  <c r="Z101" i="1"/>
  <c r="BN101" i="1"/>
  <c r="Y109" i="1"/>
  <c r="Z113" i="1"/>
  <c r="BN113" i="1"/>
  <c r="Z119" i="1"/>
  <c r="Z120" i="1" s="1"/>
  <c r="BN119" i="1"/>
  <c r="BP119" i="1"/>
  <c r="Y120" i="1"/>
  <c r="Z124" i="1"/>
  <c r="BN124" i="1"/>
  <c r="Z134" i="1"/>
  <c r="BN134" i="1"/>
  <c r="BP134" i="1"/>
  <c r="H498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2" i="1"/>
  <c r="BN162" i="1"/>
  <c r="BP162" i="1"/>
  <c r="Z166" i="1"/>
  <c r="BN166" i="1"/>
  <c r="Z170" i="1"/>
  <c r="BN170" i="1"/>
  <c r="Y178" i="1"/>
  <c r="Z176" i="1"/>
  <c r="BN176" i="1"/>
  <c r="Z191" i="1"/>
  <c r="BN191" i="1"/>
  <c r="Z197" i="1"/>
  <c r="BN197" i="1"/>
  <c r="Z198" i="1"/>
  <c r="BN198" i="1"/>
  <c r="Z202" i="1"/>
  <c r="BN202" i="1"/>
  <c r="Z208" i="1"/>
  <c r="BN208" i="1"/>
  <c r="Z212" i="1"/>
  <c r="BN212" i="1"/>
  <c r="Z218" i="1"/>
  <c r="BN218" i="1"/>
  <c r="BP218" i="1"/>
  <c r="Y221" i="1"/>
  <c r="K49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Y250" i="1"/>
  <c r="Z249" i="1"/>
  <c r="BN249" i="1"/>
  <c r="L498" i="1"/>
  <c r="Z256" i="1"/>
  <c r="BN256" i="1"/>
  <c r="Z263" i="1"/>
  <c r="BN263" i="1"/>
  <c r="Z272" i="1"/>
  <c r="BN272" i="1"/>
  <c r="BP288" i="1"/>
  <c r="BN288" i="1"/>
  <c r="BP292" i="1"/>
  <c r="BN292" i="1"/>
  <c r="Z292" i="1"/>
  <c r="BP302" i="1"/>
  <c r="BN302" i="1"/>
  <c r="Z302" i="1"/>
  <c r="Y318" i="1"/>
  <c r="BP314" i="1"/>
  <c r="BN314" i="1"/>
  <c r="Z314" i="1"/>
  <c r="BP329" i="1"/>
  <c r="BN329" i="1"/>
  <c r="Z329" i="1"/>
  <c r="BP334" i="1"/>
  <c r="BN334" i="1"/>
  <c r="Z334" i="1"/>
  <c r="BP347" i="1"/>
  <c r="BN347" i="1"/>
  <c r="Z347" i="1"/>
  <c r="BP378" i="1"/>
  <c r="BN378" i="1"/>
  <c r="Z378" i="1"/>
  <c r="BP384" i="1"/>
  <c r="BN384" i="1"/>
  <c r="Z384" i="1"/>
  <c r="BP392" i="1"/>
  <c r="BN392" i="1"/>
  <c r="Z392" i="1"/>
  <c r="Y416" i="1"/>
  <c r="W498" i="1"/>
  <c r="Y415" i="1"/>
  <c r="BP414" i="1"/>
  <c r="BN414" i="1"/>
  <c r="Z414" i="1"/>
  <c r="Z415" i="1" s="1"/>
  <c r="BP420" i="1"/>
  <c r="BN420" i="1"/>
  <c r="Z420" i="1"/>
  <c r="BP427" i="1"/>
  <c r="BN427" i="1"/>
  <c r="Z427" i="1"/>
  <c r="BP443" i="1"/>
  <c r="BN443" i="1"/>
  <c r="Z443" i="1"/>
  <c r="Y461" i="1"/>
  <c r="BP457" i="1"/>
  <c r="BN457" i="1"/>
  <c r="Z457" i="1"/>
  <c r="Y312" i="1"/>
  <c r="Y331" i="1"/>
  <c r="Y330" i="1"/>
  <c r="Y337" i="1"/>
  <c r="Y374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BP199" i="1"/>
  <c r="BN199" i="1"/>
  <c r="Z199" i="1"/>
  <c r="Y203" i="1"/>
  <c r="BP207" i="1"/>
  <c r="BN207" i="1"/>
  <c r="Z207" i="1"/>
  <c r="BP211" i="1"/>
  <c r="BN211" i="1"/>
  <c r="Z211" i="1"/>
  <c r="Y215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D498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498" i="1"/>
  <c r="Z100" i="1"/>
  <c r="BN100" i="1"/>
  <c r="Z102" i="1"/>
  <c r="BN102" i="1"/>
  <c r="Y103" i="1"/>
  <c r="Z106" i="1"/>
  <c r="BN106" i="1"/>
  <c r="BP106" i="1"/>
  <c r="Z108" i="1"/>
  <c r="BN108" i="1"/>
  <c r="Z112" i="1"/>
  <c r="BN112" i="1"/>
  <c r="BP112" i="1"/>
  <c r="Z114" i="1"/>
  <c r="BN114" i="1"/>
  <c r="G498" i="1"/>
  <c r="Z125" i="1"/>
  <c r="Z126" i="1" s="1"/>
  <c r="BN125" i="1"/>
  <c r="Y126" i="1"/>
  <c r="Z129" i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498" i="1"/>
  <c r="Y160" i="1"/>
  <c r="Z163" i="1"/>
  <c r="BN163" i="1"/>
  <c r="Z165" i="1"/>
  <c r="BN165" i="1"/>
  <c r="Z167" i="1"/>
  <c r="BN167" i="1"/>
  <c r="Z169" i="1"/>
  <c r="BN169" i="1"/>
  <c r="Z175" i="1"/>
  <c r="Z177" i="1" s="1"/>
  <c r="BN175" i="1"/>
  <c r="J498" i="1"/>
  <c r="Z186" i="1"/>
  <c r="Z187" i="1" s="1"/>
  <c r="BN186" i="1"/>
  <c r="Y187" i="1"/>
  <c r="Z190" i="1"/>
  <c r="Z192" i="1" s="1"/>
  <c r="BN190" i="1"/>
  <c r="BP190" i="1"/>
  <c r="Y204" i="1"/>
  <c r="Z196" i="1"/>
  <c r="BN196" i="1"/>
  <c r="BP201" i="1"/>
  <c r="BN201" i="1"/>
  <c r="Z201" i="1"/>
  <c r="Y216" i="1"/>
  <c r="BP209" i="1"/>
  <c r="BN209" i="1"/>
  <c r="Z209" i="1"/>
  <c r="BP213" i="1"/>
  <c r="BN213" i="1"/>
  <c r="Z213" i="1"/>
  <c r="Z219" i="1"/>
  <c r="Z220" i="1" s="1"/>
  <c r="BN219" i="1"/>
  <c r="BP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BN246" i="1"/>
  <c r="BP246" i="1"/>
  <c r="Z248" i="1"/>
  <c r="BN248" i="1"/>
  <c r="BP255" i="1"/>
  <c r="BN255" i="1"/>
  <c r="Z255" i="1"/>
  <c r="Y259" i="1"/>
  <c r="BP264" i="1"/>
  <c r="BN264" i="1"/>
  <c r="Z264" i="1"/>
  <c r="BP273" i="1"/>
  <c r="BN273" i="1"/>
  <c r="Z273" i="1"/>
  <c r="P498" i="1"/>
  <c r="Y281" i="1"/>
  <c r="BP278" i="1"/>
  <c r="BN278" i="1"/>
  <c r="Z278" i="1"/>
  <c r="Z280" i="1" s="1"/>
  <c r="Q498" i="1"/>
  <c r="BP291" i="1"/>
  <c r="BN291" i="1"/>
  <c r="Z291" i="1"/>
  <c r="Y304" i="1"/>
  <c r="BP299" i="1"/>
  <c r="BN299" i="1"/>
  <c r="Z299" i="1"/>
  <c r="BP307" i="1"/>
  <c r="BN307" i="1"/>
  <c r="Z307" i="1"/>
  <c r="Y311" i="1"/>
  <c r="BP315" i="1"/>
  <c r="BN315" i="1"/>
  <c r="Z315" i="1"/>
  <c r="Z317" i="1" s="1"/>
  <c r="Y325" i="1"/>
  <c r="BP328" i="1"/>
  <c r="BN328" i="1"/>
  <c r="Z328" i="1"/>
  <c r="BP343" i="1"/>
  <c r="BN343" i="1"/>
  <c r="Z343" i="1"/>
  <c r="S498" i="1"/>
  <c r="BP348" i="1"/>
  <c r="BN348" i="1"/>
  <c r="Z348" i="1"/>
  <c r="Y350" i="1"/>
  <c r="Y355" i="1"/>
  <c r="BP352" i="1"/>
  <c r="BN352" i="1"/>
  <c r="Z352" i="1"/>
  <c r="Z354" i="1" s="1"/>
  <c r="Y359" i="1"/>
  <c r="BP373" i="1"/>
  <c r="BN373" i="1"/>
  <c r="Z373" i="1"/>
  <c r="Y375" i="1"/>
  <c r="Y380" i="1"/>
  <c r="BP377" i="1"/>
  <c r="BN377" i="1"/>
  <c r="Z377" i="1"/>
  <c r="Z379" i="1" s="1"/>
  <c r="U498" i="1"/>
  <c r="BP387" i="1"/>
  <c r="BN387" i="1"/>
  <c r="Z387" i="1"/>
  <c r="BP391" i="1"/>
  <c r="BN391" i="1"/>
  <c r="Z391" i="1"/>
  <c r="Y398" i="1"/>
  <c r="BP408" i="1"/>
  <c r="BN408" i="1"/>
  <c r="Z408" i="1"/>
  <c r="Y234" i="1"/>
  <c r="BP257" i="1"/>
  <c r="BN257" i="1"/>
  <c r="Z257" i="1"/>
  <c r="BP266" i="1"/>
  <c r="BN266" i="1"/>
  <c r="Z266" i="1"/>
  <c r="Y268" i="1"/>
  <c r="Y274" i="1"/>
  <c r="BP271" i="1"/>
  <c r="BN271" i="1"/>
  <c r="Z271" i="1"/>
  <c r="O498" i="1"/>
  <c r="BP289" i="1"/>
  <c r="BN289" i="1"/>
  <c r="Z289" i="1"/>
  <c r="Z293" i="1" s="1"/>
  <c r="Y293" i="1"/>
  <c r="BP297" i="1"/>
  <c r="BN297" i="1"/>
  <c r="Z297" i="1"/>
  <c r="BP301" i="1"/>
  <c r="BN301" i="1"/>
  <c r="Z301" i="1"/>
  <c r="BP309" i="1"/>
  <c r="BN309" i="1"/>
  <c r="Z309" i="1"/>
  <c r="BP322" i="1"/>
  <c r="BN322" i="1"/>
  <c r="Z322" i="1"/>
  <c r="Z324" i="1" s="1"/>
  <c r="BP335" i="1"/>
  <c r="BN335" i="1"/>
  <c r="Z335" i="1"/>
  <c r="Z337" i="1" s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Y410" i="1"/>
  <c r="BP421" i="1"/>
  <c r="BN421" i="1"/>
  <c r="Z421" i="1"/>
  <c r="Y432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Y446" i="1"/>
  <c r="BP450" i="1"/>
  <c r="BN450" i="1"/>
  <c r="Z450" i="1"/>
  <c r="Z452" i="1" s="1"/>
  <c r="BP460" i="1"/>
  <c r="BN460" i="1"/>
  <c r="Z460" i="1"/>
  <c r="Y462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260" i="1"/>
  <c r="M498" i="1"/>
  <c r="Y267" i="1"/>
  <c r="Y294" i="1"/>
  <c r="R498" i="1"/>
  <c r="Y338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Y453" i="1"/>
  <c r="Y452" i="1"/>
  <c r="BP458" i="1"/>
  <c r="BN458" i="1"/>
  <c r="Z458" i="1"/>
  <c r="BP466" i="1"/>
  <c r="BN466" i="1"/>
  <c r="Z466" i="1"/>
  <c r="Y468" i="1"/>
  <c r="Y473" i="1"/>
  <c r="BP470" i="1"/>
  <c r="BN470" i="1"/>
  <c r="Z470" i="1"/>
  <c r="Z472" i="1" s="1"/>
  <c r="Y481" i="1"/>
  <c r="Y498" i="1"/>
  <c r="Z393" i="1" l="1"/>
  <c r="Z369" i="1"/>
  <c r="Z274" i="1"/>
  <c r="Z259" i="1"/>
  <c r="Z374" i="1"/>
  <c r="Z330" i="1"/>
  <c r="Z131" i="1"/>
  <c r="Z103" i="1"/>
  <c r="Z57" i="1"/>
  <c r="Y489" i="1"/>
  <c r="Z215" i="1"/>
  <c r="Z461" i="1"/>
  <c r="Z446" i="1"/>
  <c r="Z431" i="1"/>
  <c r="Z410" i="1"/>
  <c r="Z311" i="1"/>
  <c r="Z303" i="1"/>
  <c r="Z349" i="1"/>
  <c r="Z250" i="1"/>
  <c r="Z203" i="1"/>
  <c r="Z171" i="1"/>
  <c r="Z109" i="1"/>
  <c r="Z76" i="1"/>
  <c r="Y490" i="1"/>
  <c r="Z63" i="1"/>
  <c r="Z31" i="1"/>
  <c r="Y492" i="1"/>
  <c r="Y491" i="1"/>
  <c r="Z467" i="1"/>
  <c r="Z437" i="1"/>
  <c r="Z267" i="1"/>
  <c r="Z149" i="1"/>
  <c r="Z143" i="1"/>
  <c r="Z116" i="1"/>
  <c r="Z95" i="1"/>
  <c r="Z88" i="1"/>
  <c r="Z69" i="1"/>
  <c r="Y488" i="1"/>
  <c r="X491" i="1"/>
  <c r="Z493" i="1" l="1"/>
</calcChain>
</file>

<file path=xl/sharedStrings.xml><?xml version="1.0" encoding="utf-8"?>
<sst xmlns="http://schemas.openxmlformats.org/spreadsheetml/2006/main" count="2279" uniqueCount="764">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</sst>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763</v>
      </c>
      <c r="I5" s="759"/>
      <c r="J5" s="759"/>
      <c r="K5" s="759"/>
      <c r="L5" s="759"/>
      <c r="M5" s="617"/>
      <c r="N5" s="58"/>
      <c r="P5" s="24" t="s">
        <v>10</v>
      </c>
      <c r="Q5" s="834">
        <v>45971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0.375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300</v>
      </c>
      <c r="Y41" s="540">
        <f>IFERROR(IF(X41="",0,CEILING((X41/$H41),1)*$H41),"")</f>
        <v>300</v>
      </c>
      <c r="Z41" s="36">
        <f>IFERROR(IF(Y41=0,"",ROUNDUP(Y41/H41,0)*0.00902),"")</f>
        <v>0.67649999999999999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314.25000000000006</v>
      </c>
      <c r="BN41" s="64">
        <f>IFERROR(Y41*I41/H41,"0")</f>
        <v>314.25000000000006</v>
      </c>
      <c r="BO41" s="64">
        <f>IFERROR(1/J41*(X41/H41),"0")</f>
        <v>0.56818181818181823</v>
      </c>
      <c r="BP41" s="64">
        <f>IFERROR(1/J41*(Y41/H41),"0")</f>
        <v>0.56818181818181823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84.259259259259267</v>
      </c>
      <c r="Y43" s="541">
        <f>IFERROR(Y40/H40,"0")+IFERROR(Y41/H41,"0")+IFERROR(Y42/H42,"0")</f>
        <v>85</v>
      </c>
      <c r="Z43" s="541">
        <f>IFERROR(IF(Z40="",0,Z40),"0")+IFERROR(IF(Z41="",0,Z41),"0")+IFERROR(IF(Z42="",0,Z42),"0")</f>
        <v>0.86629999999999996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400</v>
      </c>
      <c r="Y44" s="541">
        <f>IFERROR(SUM(Y40:Y42),"0")</f>
        <v>408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330</v>
      </c>
      <c r="Y52" s="540">
        <f t="shared" si="0"/>
        <v>334.8</v>
      </c>
      <c r="Z52" s="36">
        <f>IFERROR(IF(Y52=0,"",ROUNDUP(Y52/H52,0)*0.01898),"")</f>
        <v>0.58838000000000001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342.52777777777777</v>
      </c>
      <c r="BN52" s="64">
        <f t="shared" si="2"/>
        <v>347.51000000000005</v>
      </c>
      <c r="BO52" s="64">
        <f t="shared" si="3"/>
        <v>0.47743055555555552</v>
      </c>
      <c r="BP52" s="64">
        <f t="shared" si="4"/>
        <v>0.484375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450</v>
      </c>
      <c r="Y56" s="540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130.55555555555554</v>
      </c>
      <c r="Y57" s="541">
        <f>IFERROR(Y51/H51,"0")+IFERROR(Y52/H52,"0")+IFERROR(Y53/H53,"0")+IFERROR(Y54/H54,"0")+IFERROR(Y55/H55,"0")+IFERROR(Y56/H56,"0")</f>
        <v>131</v>
      </c>
      <c r="Z57" s="541">
        <f>IFERROR(IF(Z51="",0,Z51),"0")+IFERROR(IF(Z52="",0,Z52),"0")+IFERROR(IF(Z53="",0,Z53),"0")+IFERROR(IF(Z54="",0,Z54),"0")+IFERROR(IF(Z55="",0,Z55),"0")+IFERROR(IF(Z56="",0,Z56),"0")</f>
        <v>1.49038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780</v>
      </c>
      <c r="Y58" s="541">
        <f>IFERROR(SUM(Y51:Y56),"0")</f>
        <v>784.8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280</v>
      </c>
      <c r="Y60" s="540">
        <f>IFERROR(IF(X60="",0,CEILING((X60/$H60),1)*$H60),"")</f>
        <v>280.8</v>
      </c>
      <c r="Z60" s="36">
        <f>IFERROR(IF(Y60=0,"",ROUNDUP(Y60/H60,0)*0.01898),"")</f>
        <v>0.49348000000000003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290.62962962962962</v>
      </c>
      <c r="BN60" s="64">
        <f>IFERROR(Y60*I60/H60,"0")</f>
        <v>291.46000000000004</v>
      </c>
      <c r="BO60" s="64">
        <f>IFERROR(1/J60*(X60/H60),"0")</f>
        <v>0.40509259259259256</v>
      </c>
      <c r="BP60" s="64">
        <f>IFERROR(1/J60*(Y60/H60),"0")</f>
        <v>0.40625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292.5</v>
      </c>
      <c r="Y62" s="540">
        <f>IFERROR(IF(X62="",0,CEILING((X62/$H62),1)*$H62),"")</f>
        <v>294.3</v>
      </c>
      <c r="Z62" s="36">
        <f>IFERROR(IF(Y62=0,"",ROUNDUP(Y62/H62,0)*0.00651),"")</f>
        <v>0.70959000000000005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311.99999999999994</v>
      </c>
      <c r="BN62" s="64">
        <f>IFERROR(Y62*I62/H62,"0")</f>
        <v>313.91999999999996</v>
      </c>
      <c r="BO62" s="64">
        <f>IFERROR(1/J62*(X62/H62),"0")</f>
        <v>0.59523809523809523</v>
      </c>
      <c r="BP62" s="64">
        <f>IFERROR(1/J62*(Y62/H62),"0")</f>
        <v>0.59890109890109899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134.25925925925924</v>
      </c>
      <c r="Y63" s="541">
        <f>IFERROR(Y60/H60,"0")+IFERROR(Y61/H61,"0")+IFERROR(Y62/H62,"0")</f>
        <v>135</v>
      </c>
      <c r="Z63" s="541">
        <f>IFERROR(IF(Z60="",0,Z60),"0")+IFERROR(IF(Z61="",0,Z61),"0")+IFERROR(IF(Z62="",0,Z62),"0")</f>
        <v>1.2030700000000001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572.5</v>
      </c>
      <c r="Y64" s="541">
        <f>IFERROR(SUM(Y60:Y62),"0")</f>
        <v>575.1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20</v>
      </c>
      <c r="Y79" s="540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2.5641025641025643</v>
      </c>
      <c r="Y81" s="541">
        <f>IFERROR(Y79/H79,"0")+IFERROR(Y80/H80,"0")</f>
        <v>3</v>
      </c>
      <c r="Z81" s="541">
        <f>IFERROR(IF(Z79="",0,Z79),"0")+IFERROR(IF(Z80="",0,Z80),"0")</f>
        <v>5.6940000000000004E-2</v>
      </c>
      <c r="AA81" s="542"/>
      <c r="AB81" s="542"/>
      <c r="AC81" s="542"/>
    </row>
    <row r="82" spans="1:68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20</v>
      </c>
      <c r="Y82" s="541">
        <f>IFERROR(SUM(Y79:Y80),"0")</f>
        <v>23.4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280</v>
      </c>
      <c r="Y85" s="540">
        <f>IFERROR(IF(X85="",0,CEILING((X85/$H85),1)*$H85),"")</f>
        <v>280.8</v>
      </c>
      <c r="Z85" s="36">
        <f>IFERROR(IF(Y85=0,"",ROUNDUP(Y85/H85,0)*0.01898),"")</f>
        <v>0.49348000000000003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290.62962962962962</v>
      </c>
      <c r="BN85" s="64">
        <f>IFERROR(Y85*I85/H85,"0")</f>
        <v>291.46000000000004</v>
      </c>
      <c r="BO85" s="64">
        <f>IFERROR(1/J85*(X85/H85),"0")</f>
        <v>0.40509259259259256</v>
      </c>
      <c r="BP85" s="64">
        <f>IFERROR(1/J85*(Y85/H85),"0")</f>
        <v>0.40625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75.925925925925924</v>
      </c>
      <c r="Y88" s="541">
        <f>IFERROR(Y85/H85,"0")+IFERROR(Y86/H86,"0")+IFERROR(Y87/H87,"0")</f>
        <v>76</v>
      </c>
      <c r="Z88" s="541">
        <f>IFERROR(IF(Z85="",0,Z85),"0")+IFERROR(IF(Z86="",0,Z86),"0")+IFERROR(IF(Z87="",0,Z87),"0")</f>
        <v>0.94447999999999999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505</v>
      </c>
      <c r="Y89" s="541">
        <f>IFERROR(SUM(Y85:Y87),"0")</f>
        <v>505.8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650</v>
      </c>
      <c r="Y91" s="540">
        <f>IFERROR(IF(X91="",0,CEILING((X91/$H91),1)*$H91),"")</f>
        <v>656.1</v>
      </c>
      <c r="Z91" s="36">
        <f>IFERROR(IF(Y91=0,"",ROUNDUP(Y91/H91,0)*0.01898),"")</f>
        <v>1.53738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689.64197530864192</v>
      </c>
      <c r="BN91" s="64">
        <f>IFERROR(Y91*I91/H91,"0")</f>
        <v>696.11400000000003</v>
      </c>
      <c r="BO91" s="64">
        <f>IFERROR(1/J91*(X91/H91),"0")</f>
        <v>1.253858024691358</v>
      </c>
      <c r="BP91" s="64">
        <f>IFERROR(1/J91*(Y91/H91),"0")</f>
        <v>1.265625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495</v>
      </c>
      <c r="Y93" s="540">
        <f>IFERROR(IF(X93="",0,CEILING((X93/$H93),1)*$H93),"")</f>
        <v>496.8</v>
      </c>
      <c r="Z93" s="36">
        <f>IFERROR(IF(Y93=0,"",ROUNDUP(Y93/H93,0)*0.00651),"")</f>
        <v>1.19784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541.19999999999993</v>
      </c>
      <c r="BN93" s="64">
        <f>IFERROR(Y93*I93/H93,"0")</f>
        <v>543.16800000000001</v>
      </c>
      <c r="BO93" s="64">
        <f>IFERROR(1/J93*(X93/H93),"0")</f>
        <v>1.0073260073260073</v>
      </c>
      <c r="BP93" s="64">
        <f>IFERROR(1/J93*(Y93/H93),"0")</f>
        <v>1.0109890109890112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263.58024691358025</v>
      </c>
      <c r="Y95" s="541">
        <f>IFERROR(Y91/H91,"0")+IFERROR(Y92/H92,"0")+IFERROR(Y93/H93,"0")+IFERROR(Y94/H94,"0")</f>
        <v>265</v>
      </c>
      <c r="Z95" s="541">
        <f>IFERROR(IF(Z91="",0,Z91),"0")+IFERROR(IF(Z92="",0,Z92),"0")+IFERROR(IF(Z93="",0,Z93),"0")+IFERROR(IF(Z94="",0,Z94),"0")</f>
        <v>2.73522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1145</v>
      </c>
      <c r="Y96" s="541">
        <f>IFERROR(SUM(Y91:Y94),"0")</f>
        <v>1152.9000000000001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810</v>
      </c>
      <c r="Y101" s="540">
        <f>IFERROR(IF(X101="",0,CEILING((X101/$H101),1)*$H101),"")</f>
        <v>810</v>
      </c>
      <c r="Z101" s="36">
        <f>IFERROR(IF(Y101=0,"",ROUNDUP(Y101/H101,0)*0.00902),"")</f>
        <v>1.6236000000000002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844.2</v>
      </c>
      <c r="BN101" s="64">
        <f>IFERROR(Y101*I101/H101,"0")</f>
        <v>844.2</v>
      </c>
      <c r="BO101" s="64">
        <f>IFERROR(1/J101*(X101/H101),"0")</f>
        <v>1.3636363636363638</v>
      </c>
      <c r="BP101" s="64">
        <f>IFERROR(1/J101*(Y101/H101),"0")</f>
        <v>1.3636363636363638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180</v>
      </c>
      <c r="Y103" s="541">
        <f>IFERROR(Y99/H99,"0")+IFERROR(Y100/H100,"0")+IFERROR(Y101/H101,"0")+IFERROR(Y102/H102,"0")</f>
        <v>180</v>
      </c>
      <c r="Z103" s="541">
        <f>IFERROR(IF(Z99="",0,Z99),"0")+IFERROR(IF(Z100="",0,Z100),"0")+IFERROR(IF(Z101="",0,Z101),"0")+IFERROR(IF(Z102="",0,Z102),"0")</f>
        <v>1.6236000000000002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810</v>
      </c>
      <c r="Y104" s="541">
        <f>IFERROR(SUM(Y99:Y102),"0")</f>
        <v>810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230</v>
      </c>
      <c r="Y112" s="540">
        <f>IFERROR(IF(X112="",0,CEILING((X112/$H112),1)*$H112),"")</f>
        <v>234.89999999999998</v>
      </c>
      <c r="Z112" s="36">
        <f>IFERROR(IF(Y112=0,"",ROUNDUP(Y112/H112,0)*0.01898),"")</f>
        <v>0.55042000000000002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243.85679012345676</v>
      </c>
      <c r="BN112" s="64">
        <f>IFERROR(Y112*I112/H112,"0")</f>
        <v>249.05199999999996</v>
      </c>
      <c r="BO112" s="64">
        <f>IFERROR(1/J112*(X112/H112),"0")</f>
        <v>0.44367283950617287</v>
      </c>
      <c r="BP112" s="64">
        <f>IFERROR(1/J112*(Y112/H112),"0")</f>
        <v>0.453125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675</v>
      </c>
      <c r="Y114" s="540">
        <f>IFERROR(IF(X114="",0,CEILING((X114/$H114),1)*$H114),"")</f>
        <v>675</v>
      </c>
      <c r="Z114" s="36">
        <f>IFERROR(IF(Y114=0,"",ROUNDUP(Y114/H114,0)*0.00651),"")</f>
        <v>1.6274999999999999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737.99999999999989</v>
      </c>
      <c r="BN114" s="64">
        <f>IFERROR(Y114*I114/H114,"0")</f>
        <v>737.99999999999989</v>
      </c>
      <c r="BO114" s="64">
        <f>IFERROR(1/J114*(X114/H114),"0")</f>
        <v>1.3736263736263736</v>
      </c>
      <c r="BP114" s="64">
        <f>IFERROR(1/J114*(Y114/H114),"0")</f>
        <v>1.3736263736263736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33</v>
      </c>
      <c r="Y115" s="540">
        <f>IFERROR(IF(X115="",0,CEILING((X115/$H115),1)*$H115),"")</f>
        <v>34.200000000000003</v>
      </c>
      <c r="Z115" s="36">
        <f>IFERROR(IF(Y115=0,"",ROUNDUP(Y115/H115,0)*0.00651),"")</f>
        <v>0.12369000000000001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36.300000000000004</v>
      </c>
      <c r="BN115" s="64">
        <f>IFERROR(Y115*I115/H115,"0")</f>
        <v>37.620000000000005</v>
      </c>
      <c r="BO115" s="64">
        <f>IFERROR(1/J115*(X115/H115),"0")</f>
        <v>0.10073260073260074</v>
      </c>
      <c r="BP115" s="64">
        <f>IFERROR(1/J115*(Y115/H115),"0")</f>
        <v>0.1043956043956044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296.72839506172835</v>
      </c>
      <c r="Y116" s="541">
        <f>IFERROR(Y112/H112,"0")+IFERROR(Y113/H113,"0")+IFERROR(Y114/H114,"0")+IFERROR(Y115/H115,"0")</f>
        <v>298</v>
      </c>
      <c r="Z116" s="541">
        <f>IFERROR(IF(Z112="",0,Z112),"0")+IFERROR(IF(Z113="",0,Z113),"0")+IFERROR(IF(Z114="",0,Z114),"0")+IFERROR(IF(Z115="",0,Z115),"0")</f>
        <v>2.3016099999999997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938</v>
      </c>
      <c r="Y117" s="541">
        <f>IFERROR(SUM(Y112:Y115),"0")</f>
        <v>944.1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59.400000000000013</v>
      </c>
      <c r="Y119" s="540">
        <f>IFERROR(IF(X119="",0,CEILING((X119/$H119),1)*$H119),"")</f>
        <v>59.4</v>
      </c>
      <c r="Z119" s="36">
        <f>IFERROR(IF(Y119=0,"",ROUNDUP(Y119/H119,0)*0.00651),"")</f>
        <v>0.1953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67.140000000000015</v>
      </c>
      <c r="BN119" s="64">
        <f>IFERROR(Y119*I119/H119,"0")</f>
        <v>67.14</v>
      </c>
      <c r="BO119" s="64">
        <f>IFERROR(1/J119*(X119/H119),"0")</f>
        <v>0.16483516483516489</v>
      </c>
      <c r="BP119" s="64">
        <f>IFERROR(1/J119*(Y119/H119),"0")</f>
        <v>0.16483516483516486</v>
      </c>
    </row>
    <row r="120" spans="1:68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30.000000000000007</v>
      </c>
      <c r="Y120" s="541">
        <f>IFERROR(Y119/H119,"0")</f>
        <v>30</v>
      </c>
      <c r="Z120" s="541">
        <f>IFERROR(IF(Z119="",0,Z119),"0")</f>
        <v>0.1953</v>
      </c>
      <c r="AA120" s="542"/>
      <c r="AB120" s="542"/>
      <c r="AC120" s="542"/>
    </row>
    <row r="121" spans="1:68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59.400000000000013</v>
      </c>
      <c r="Y121" s="541">
        <f>IFERROR(SUM(Y119:Y119),"0")</f>
        <v>59.4</v>
      </c>
      <c r="Z121" s="37"/>
      <c r="AA121" s="542"/>
      <c r="AB121" s="542"/>
      <c r="AC121" s="542"/>
    </row>
    <row r="122" spans="1:68" ht="16.5" hidden="1" customHeight="1" x14ac:dyDescent="0.25">
      <c r="A122" s="548" t="s">
        <v>221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66.5</v>
      </c>
      <c r="Y130" s="540">
        <f>IFERROR(IF(X130="",0,CEILING((X130/$H130),1)*$H130),"")</f>
        <v>67.199999999999989</v>
      </c>
      <c r="Z130" s="36">
        <f>IFERROR(IF(Y130=0,"",ROUNDUP(Y130/H130,0)*0.00651),"")</f>
        <v>0.15623999999999999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72.864999999999995</v>
      </c>
      <c r="BN130" s="64">
        <f>IFERROR(Y130*I130/H130,"0")</f>
        <v>73.631999999999991</v>
      </c>
      <c r="BO130" s="64">
        <f>IFERROR(1/J130*(X130/H130),"0")</f>
        <v>0.1304945054945055</v>
      </c>
      <c r="BP130" s="64">
        <f>IFERROR(1/J130*(Y130/H130),"0")</f>
        <v>0.13186813186813187</v>
      </c>
    </row>
    <row r="131" spans="1:68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23.75</v>
      </c>
      <c r="Y131" s="541">
        <f>IFERROR(Y129/H129,"0")+IFERROR(Y130/H130,"0")</f>
        <v>23.999999999999996</v>
      </c>
      <c r="Z131" s="541">
        <f>IFERROR(IF(Z129="",0,Z129),"0")+IFERROR(IF(Z130="",0,Z130),"0")</f>
        <v>0.15623999999999999</v>
      </c>
      <c r="AA131" s="542"/>
      <c r="AB131" s="542"/>
      <c r="AC131" s="542"/>
    </row>
    <row r="132" spans="1:68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66.5</v>
      </c>
      <c r="Y132" s="541">
        <f>IFERROR(SUM(Y129:Y130),"0")</f>
        <v>67.199999999999989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66</v>
      </c>
      <c r="Y135" s="540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25</v>
      </c>
      <c r="Y136" s="541">
        <f>IFERROR(Y134/H134,"0")+IFERROR(Y135/H135,"0")</f>
        <v>25</v>
      </c>
      <c r="Z136" s="541">
        <f>IFERROR(IF(Z134="",0,Z134),"0")+IFERROR(IF(Z135="",0,Z135),"0")</f>
        <v>0.16275000000000001</v>
      </c>
      <c r="AA136" s="542"/>
      <c r="AB136" s="542"/>
      <c r="AC136" s="542"/>
    </row>
    <row r="137" spans="1:68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66</v>
      </c>
      <c r="Y137" s="541">
        <f>IFERROR(SUM(Y134:Y135),"0")</f>
        <v>66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256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257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120</v>
      </c>
      <c r="Y162" s="540">
        <f t="shared" ref="Y162:Y170" si="5">IFERROR(IF(X162="",0,CEILING((X162/$H162),1)*$H162),"")</f>
        <v>121.80000000000001</v>
      </c>
      <c r="Z162" s="36">
        <f>IFERROR(IF(Y162=0,"",ROUNDUP(Y162/H162,0)*0.00902),"")</f>
        <v>0.26158000000000003</v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127.14285714285714</v>
      </c>
      <c r="BN162" s="64">
        <f t="shared" ref="BN162:BN170" si="7">IFERROR(Y162*I162/H162,"0")</f>
        <v>129.05000000000001</v>
      </c>
      <c r="BO162" s="64">
        <f t="shared" ref="BO162:BO170" si="8">IFERROR(1/J162*(X162/H162),"0")</f>
        <v>0.21645021645021645</v>
      </c>
      <c r="BP162" s="64">
        <f t="shared" ref="BP162:BP170" si="9">IFERROR(1/J162*(Y162/H162),"0")</f>
        <v>0.2196969696969697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50</v>
      </c>
      <c r="Y163" s="540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52.976190476190474</v>
      </c>
      <c r="BN163" s="64">
        <f t="shared" si="7"/>
        <v>53.400000000000006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130</v>
      </c>
      <c r="Y164" s="540">
        <f t="shared" si="5"/>
        <v>130.20000000000002</v>
      </c>
      <c r="Z164" s="36">
        <f>IFERROR(IF(Y164=0,"",ROUNDUP(Y164/H164,0)*0.00902),"")</f>
        <v>0.27961999999999998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135.88095238095235</v>
      </c>
      <c r="BN164" s="64">
        <f t="shared" si="7"/>
        <v>136.09</v>
      </c>
      <c r="BO164" s="64">
        <f t="shared" si="8"/>
        <v>0.23448773448773449</v>
      </c>
      <c r="BP164" s="64">
        <f t="shared" si="9"/>
        <v>0.23484848484848489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133</v>
      </c>
      <c r="Y165" s="540">
        <f t="shared" si="5"/>
        <v>134.4</v>
      </c>
      <c r="Z165" s="36">
        <f>IFERROR(IF(Y165=0,"",ROUNDUP(Y165/H165,0)*0.00502),"")</f>
        <v>0.32128000000000001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141.23333333333332</v>
      </c>
      <c r="BN165" s="64">
        <f t="shared" si="7"/>
        <v>142.72</v>
      </c>
      <c r="BO165" s="64">
        <f t="shared" si="8"/>
        <v>0.27065527065527067</v>
      </c>
      <c r="BP165" s="64">
        <f t="shared" si="9"/>
        <v>0.27350427350427353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140</v>
      </c>
      <c r="Y166" s="540">
        <f t="shared" si="5"/>
        <v>140.70000000000002</v>
      </c>
      <c r="Z166" s="36">
        <f>IFERROR(IF(Y166=0,"",ROUNDUP(Y166/H166,0)*0.00502),"")</f>
        <v>0.33634000000000003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148.66666666666666</v>
      </c>
      <c r="BN166" s="64">
        <f t="shared" si="7"/>
        <v>149.41</v>
      </c>
      <c r="BO166" s="64">
        <f t="shared" si="8"/>
        <v>0.28490028490028491</v>
      </c>
      <c r="BP166" s="64">
        <f t="shared" si="9"/>
        <v>0.28632478632478636</v>
      </c>
    </row>
    <row r="167" spans="1:68" ht="27" hidden="1" customHeight="1" x14ac:dyDescent="0.25">
      <c r="A167" s="54" t="s">
        <v>275</v>
      </c>
      <c r="B167" s="54" t="s">
        <v>276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262.5</v>
      </c>
      <c r="Y168" s="540">
        <f t="shared" si="5"/>
        <v>262.5</v>
      </c>
      <c r="Z168" s="36">
        <f>IFERROR(IF(Y168=0,"",ROUNDUP(Y168/H168,0)*0.00502),"")</f>
        <v>0.62750000000000006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275</v>
      </c>
      <c r="BN168" s="64">
        <f t="shared" si="7"/>
        <v>275</v>
      </c>
      <c r="BO168" s="64">
        <f t="shared" si="8"/>
        <v>0.53418803418803429</v>
      </c>
      <c r="BP168" s="64">
        <f t="shared" si="9"/>
        <v>0.53418803418803429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326.42857142857144</v>
      </c>
      <c r="Y171" s="541">
        <f>IFERROR(Y162/H162,"0")+IFERROR(Y163/H163,"0")+IFERROR(Y164/H164,"0")+IFERROR(Y165/H165,"0")+IFERROR(Y166/H166,"0")+IFERROR(Y167/H167,"0")+IFERROR(Y168/H168,"0")+IFERROR(Y169/H169,"0")+IFERROR(Y170/H170,"0")</f>
        <v>328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1.9345600000000003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835.5</v>
      </c>
      <c r="Y172" s="541">
        <f>IFERROR(SUM(Y162:Y170),"0")</f>
        <v>840.00000000000011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285</v>
      </c>
      <c r="B174" s="54" t="s">
        <v>286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13.888888888888889</v>
      </c>
      <c r="Y177" s="541">
        <f>IFERROR(Y174/H174,"0")+IFERROR(Y175/H175,"0")+IFERROR(Y176/H176,"0")</f>
        <v>15</v>
      </c>
      <c r="Z177" s="541">
        <f>IFERROR(IF(Z174="",0,Z174),"0")+IFERROR(IF(Z175="",0,Z175),"0")+IFERROR(IF(Z176="",0,Z176),"0")</f>
        <v>8.8499999999999995E-2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17.5</v>
      </c>
      <c r="Y178" s="541">
        <f>IFERROR(SUM(Y174:Y176),"0")</f>
        <v>18.899999999999999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295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7.0000000000000009</v>
      </c>
      <c r="Y180" s="540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5.5555555555555562</v>
      </c>
      <c r="Y181" s="541">
        <f>IFERROR(Y180/H180,"0")</f>
        <v>6</v>
      </c>
      <c r="Z181" s="541">
        <f>IFERROR(IF(Z180="",0,Z180),"0")</f>
        <v>3.5400000000000001E-2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7.0000000000000009</v>
      </c>
      <c r="Y182" s="541">
        <f>IFERROR(SUM(Y180:Y180),"0")</f>
        <v>7.5600000000000005</v>
      </c>
      <c r="Z182" s="37"/>
      <c r="AA182" s="542"/>
      <c r="AB182" s="542"/>
      <c r="AC182" s="542"/>
    </row>
    <row r="183" spans="1:68" ht="16.5" hidden="1" customHeight="1" x14ac:dyDescent="0.25">
      <c r="A183" s="548" t="s">
        <v>298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299</v>
      </c>
      <c r="B185" s="54" t="s">
        <v>300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302</v>
      </c>
      <c r="B186" s="54" t="s">
        <v>303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304</v>
      </c>
      <c r="B190" s="54" t="s">
        <v>305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307</v>
      </c>
      <c r="B191" s="54" t="s">
        <v>308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240</v>
      </c>
      <c r="Y195" s="540">
        <f t="shared" ref="Y195:Y202" si="10">IFERROR(IF(X195="",0,CEILING((X195/$H195),1)*$H195),"")</f>
        <v>243.00000000000003</v>
      </c>
      <c r="Z195" s="36">
        <f>IFERROR(IF(Y195=0,"",ROUNDUP(Y195/H195,0)*0.00902),"")</f>
        <v>0.40590000000000004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248.4444444444444</v>
      </c>
      <c r="BN195" s="64">
        <f t="shared" ref="BN195:BN202" si="12">IFERROR(Y195*I195/H195,"0")</f>
        <v>251.55</v>
      </c>
      <c r="BO195" s="64">
        <f t="shared" ref="BO195:BO202" si="13">IFERROR(1/J195*(X195/H195),"0")</f>
        <v>0.33670033670033672</v>
      </c>
      <c r="BP195" s="64">
        <f t="shared" ref="BP195:BP202" si="14">IFERROR(1/J195*(Y195/H195),"0")</f>
        <v>0.34090909090909094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370</v>
      </c>
      <c r="Y197" s="540">
        <f t="shared" si="10"/>
        <v>372.6</v>
      </c>
      <c r="Z197" s="36">
        <f>IFERROR(IF(Y197=0,"",ROUNDUP(Y197/H197,0)*0.00902),"")</f>
        <v>0.62238000000000004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383.01851851851842</v>
      </c>
      <c r="BN197" s="64">
        <f t="shared" si="12"/>
        <v>385.71000000000004</v>
      </c>
      <c r="BO197" s="64">
        <f t="shared" si="13"/>
        <v>0.51907968574635244</v>
      </c>
      <c r="BP197" s="64">
        <f t="shared" si="14"/>
        <v>0.52272727272727271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80</v>
      </c>
      <c r="Y198" s="540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180</v>
      </c>
      <c r="Y199" s="540">
        <f t="shared" si="10"/>
        <v>180</v>
      </c>
      <c r="Z199" s="36">
        <f>IFERROR(IF(Y199=0,"",ROUNDUP(Y199/H199,0)*0.00502),"")</f>
        <v>0.502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192.99999999999997</v>
      </c>
      <c r="BN199" s="64">
        <f t="shared" si="12"/>
        <v>192.99999999999997</v>
      </c>
      <c r="BO199" s="64">
        <f t="shared" si="13"/>
        <v>0.42735042735042739</v>
      </c>
      <c r="BP199" s="64">
        <f t="shared" si="14"/>
        <v>0.42735042735042739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99</v>
      </c>
      <c r="Y200" s="540">
        <f t="shared" si="10"/>
        <v>99</v>
      </c>
      <c r="Z200" s="36">
        <f>IFERROR(IF(Y200=0,"",ROUNDUP(Y200/H200,0)*0.00502),"")</f>
        <v>0.27610000000000001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104.5</v>
      </c>
      <c r="BN200" s="64">
        <f t="shared" si="12"/>
        <v>104.5</v>
      </c>
      <c r="BO200" s="64">
        <f t="shared" si="13"/>
        <v>0.23504273504273507</v>
      </c>
      <c r="BP200" s="64">
        <f t="shared" si="14"/>
        <v>0.23504273504273507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105</v>
      </c>
      <c r="Y201" s="540">
        <f t="shared" si="10"/>
        <v>106.2</v>
      </c>
      <c r="Z201" s="36">
        <f>IFERROR(IF(Y201=0,"",ROUNDUP(Y201/H201,0)*0.00502),"")</f>
        <v>0.29618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110.83333333333333</v>
      </c>
      <c r="BN201" s="64">
        <f t="shared" si="12"/>
        <v>112.1</v>
      </c>
      <c r="BO201" s="64">
        <f t="shared" si="13"/>
        <v>0.2492877492877493</v>
      </c>
      <c r="BP201" s="64">
        <f t="shared" si="14"/>
        <v>0.25213675213675218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66</v>
      </c>
      <c r="Y202" s="540">
        <f t="shared" si="10"/>
        <v>66.600000000000009</v>
      </c>
      <c r="Z202" s="36">
        <f>IFERROR(IF(Y202=0,"",ROUNDUP(Y202/H202,0)*0.00502),"")</f>
        <v>0.18574000000000002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69.666666666666657</v>
      </c>
      <c r="BN202" s="64">
        <f t="shared" si="12"/>
        <v>70.3</v>
      </c>
      <c r="BO202" s="64">
        <f t="shared" si="13"/>
        <v>0.15669515669515671</v>
      </c>
      <c r="BP202" s="64">
        <f t="shared" si="14"/>
        <v>0.15811965811965817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387.03703703703707</v>
      </c>
      <c r="Y203" s="541">
        <f>IFERROR(Y195/H195,"0")+IFERROR(Y196/H196,"0")+IFERROR(Y197/H197,"0")+IFERROR(Y198/H198,"0")+IFERROR(Y199/H199,"0")+IFERROR(Y200/H200,"0")+IFERROR(Y201/H201,"0")+IFERROR(Y202/H202,"0")</f>
        <v>390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2.5138000000000003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1190</v>
      </c>
      <c r="Y204" s="541">
        <f>IFERROR(SUM(Y195:Y202),"0")</f>
        <v>1202.3999999999999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329</v>
      </c>
      <c r="B206" s="54" t="s">
        <v>330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332</v>
      </c>
      <c r="B207" s="54" t="s">
        <v>333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130</v>
      </c>
      <c r="Y208" s="540">
        <f t="shared" si="15"/>
        <v>130.5</v>
      </c>
      <c r="Z208" s="36">
        <f>IFERROR(IF(Y208=0,"",ROUNDUP(Y208/H208,0)*0.01898),"")</f>
        <v>0.28470000000000001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137.38160919540232</v>
      </c>
      <c r="BN208" s="64">
        <f t="shared" si="17"/>
        <v>137.91000000000003</v>
      </c>
      <c r="BO208" s="64">
        <f t="shared" si="18"/>
        <v>0.2334770114942529</v>
      </c>
      <c r="BP208" s="64">
        <f t="shared" si="19"/>
        <v>0.23437500000000003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500</v>
      </c>
      <c r="Y209" s="540">
        <f t="shared" si="15"/>
        <v>501.59999999999997</v>
      </c>
      <c r="Z209" s="36">
        <f t="shared" ref="Z209:Z214" si="20">IFERROR(IF(Y209=0,"",ROUNDUP(Y209/H209,0)*0.00651),"")</f>
        <v>1.36059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556.25</v>
      </c>
      <c r="BN209" s="64">
        <f t="shared" si="17"/>
        <v>558.03</v>
      </c>
      <c r="BO209" s="64">
        <f t="shared" si="18"/>
        <v>1.1446886446886448</v>
      </c>
      <c r="BP209" s="64">
        <f t="shared" si="19"/>
        <v>1.1483516483516485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400</v>
      </c>
      <c r="Y211" s="540">
        <f t="shared" si="15"/>
        <v>400.8</v>
      </c>
      <c r="Z211" s="36">
        <f t="shared" si="20"/>
        <v>1.08717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hidden="1" customHeight="1" x14ac:dyDescent="0.25">
      <c r="A212" s="54" t="s">
        <v>345</v>
      </c>
      <c r="B212" s="54" t="s">
        <v>346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152</v>
      </c>
      <c r="Y213" s="540">
        <f t="shared" si="15"/>
        <v>153.6</v>
      </c>
      <c r="Z213" s="36">
        <f t="shared" si="20"/>
        <v>0.41664000000000001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167.96000000000004</v>
      </c>
      <c r="BN213" s="64">
        <f t="shared" si="17"/>
        <v>169.72800000000001</v>
      </c>
      <c r="BO213" s="64">
        <f t="shared" si="18"/>
        <v>0.34798534798534803</v>
      </c>
      <c r="BP213" s="64">
        <f t="shared" si="19"/>
        <v>0.35164835164835168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340</v>
      </c>
      <c r="Y214" s="540">
        <f t="shared" si="15"/>
        <v>340.8</v>
      </c>
      <c r="Z214" s="36">
        <f t="shared" si="20"/>
        <v>0.92442000000000002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376.55</v>
      </c>
      <c r="BN214" s="64">
        <f t="shared" si="17"/>
        <v>377.43600000000004</v>
      </c>
      <c r="BO214" s="64">
        <f t="shared" si="18"/>
        <v>0.77838827838827851</v>
      </c>
      <c r="BP214" s="64">
        <f t="shared" si="19"/>
        <v>0.78021978021978033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594.94252873563221</v>
      </c>
      <c r="Y215" s="541">
        <f>IFERROR(Y206/H206,"0")+IFERROR(Y207/H207,"0")+IFERROR(Y208/H208,"0")+IFERROR(Y209/H209,"0")+IFERROR(Y210/H210,"0")+IFERROR(Y211/H211,"0")+IFERROR(Y212/H212,"0")+IFERROR(Y213/H213,"0")+IFERROR(Y214/H214,"0")</f>
        <v>597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4.0735200000000003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1522</v>
      </c>
      <c r="Y216" s="541">
        <f>IFERROR(SUM(Y206:Y214),"0")</f>
        <v>1527.2999999999997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24</v>
      </c>
      <c r="Y218" s="540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40</v>
      </c>
      <c r="Y219" s="540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26.666666666666668</v>
      </c>
      <c r="Y220" s="541">
        <f>IFERROR(Y218/H218,"0")+IFERROR(Y219/H219,"0")</f>
        <v>27</v>
      </c>
      <c r="Z220" s="541">
        <f>IFERROR(IF(Z218="",0,Z218),"0")+IFERROR(IF(Z219="",0,Z219),"0")</f>
        <v>0.17577000000000001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64</v>
      </c>
      <c r="Y221" s="541">
        <f>IFERROR(SUM(Y218:Y219),"0")</f>
        <v>64.8</v>
      </c>
      <c r="Z221" s="37"/>
      <c r="AA221" s="542"/>
      <c r="AB221" s="542"/>
      <c r="AC221" s="542"/>
    </row>
    <row r="222" spans="1:68" ht="16.5" hidden="1" customHeight="1" x14ac:dyDescent="0.25">
      <c r="A222" s="548" t="s">
        <v>358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359</v>
      </c>
      <c r="B224" s="54" t="s">
        <v>360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362</v>
      </c>
      <c r="B225" s="54" t="s">
        <v>363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60</v>
      </c>
      <c r="Y226" s="540">
        <f t="shared" si="21"/>
        <v>69.599999999999994</v>
      </c>
      <c r="Z226" s="36">
        <f>IFERROR(IF(Y226=0,"",ROUNDUP(Y226/H226,0)*0.01898),"")</f>
        <v>0.11388000000000001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62.12068965517242</v>
      </c>
      <c r="BN226" s="64">
        <f t="shared" si="23"/>
        <v>72.06</v>
      </c>
      <c r="BO226" s="64">
        <f t="shared" si="24"/>
        <v>8.0818965517241381E-2</v>
      </c>
      <c r="BP226" s="64">
        <f t="shared" si="25"/>
        <v>9.375E-2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8</v>
      </c>
      <c r="Y227" s="540">
        <f t="shared" si="21"/>
        <v>8</v>
      </c>
      <c r="Z227" s="36">
        <f>IFERROR(IF(Y227=0,"",ROUNDUP(Y227/H227,0)*0.00902),"")</f>
        <v>1.804E-2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8.3800000000000008</v>
      </c>
      <c r="BN227" s="64">
        <f t="shared" si="23"/>
        <v>8.3800000000000008</v>
      </c>
      <c r="BO227" s="64">
        <f t="shared" si="24"/>
        <v>1.5151515151515152E-2</v>
      </c>
      <c r="BP227" s="64">
        <f t="shared" si="25"/>
        <v>1.5151515151515152E-2</v>
      </c>
    </row>
    <row r="228" spans="1:68" ht="27" hidden="1" customHeight="1" x14ac:dyDescent="0.25">
      <c r="A228" s="54" t="s">
        <v>368</v>
      </c>
      <c r="B228" s="54" t="s">
        <v>370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372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76</v>
      </c>
      <c r="Y232" s="540">
        <f t="shared" si="21"/>
        <v>76</v>
      </c>
      <c r="Z232" s="36">
        <f>IFERROR(IF(Y232=0,"",ROUNDUP(Y232/H232,0)*0.00902),"")</f>
        <v>0.17138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79.610000000000014</v>
      </c>
      <c r="BN232" s="64">
        <f t="shared" si="23"/>
        <v>79.610000000000014</v>
      </c>
      <c r="BO232" s="64">
        <f t="shared" si="24"/>
        <v>0.14393939393939395</v>
      </c>
      <c r="BP232" s="64">
        <f t="shared" si="25"/>
        <v>0.14393939393939395</v>
      </c>
    </row>
    <row r="233" spans="1:68" ht="27" hidden="1" customHeight="1" x14ac:dyDescent="0.25">
      <c r="A233" s="54" t="s">
        <v>378</v>
      </c>
      <c r="B233" s="54" t="s">
        <v>380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26.172413793103448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27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0.30330000000000001</v>
      </c>
      <c r="AA234" s="542"/>
      <c r="AB234" s="542"/>
      <c r="AC234" s="542"/>
    </row>
    <row r="235" spans="1:68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144</v>
      </c>
      <c r="Y235" s="541">
        <f>IFERROR(SUM(Y224:Y233),"0")</f>
        <v>153.6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381</v>
      </c>
      <c r="B237" s="54" t="s">
        <v>382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384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6</v>
      </c>
      <c r="Y241" s="540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6.5833333333333339</v>
      </c>
      <c r="BN241" s="64">
        <f>IFERROR(Y241*I241/H241,"0")</f>
        <v>7.9</v>
      </c>
      <c r="BO241" s="64">
        <f>IFERROR(1/J241*(X241/H241),"0")</f>
        <v>1.5432098765432096E-2</v>
      </c>
      <c r="BP241" s="64">
        <f>IFERROR(1/J241*(Y241/H241),"0")</f>
        <v>1.8518518518518517E-2</v>
      </c>
    </row>
    <row r="242" spans="1:68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3.333333333333333</v>
      </c>
      <c r="Y242" s="541">
        <f>IFERROR(Y241/H241,"0")</f>
        <v>4</v>
      </c>
      <c r="Z242" s="541">
        <f>IFERROR(IF(Z241="",0,Z241),"0")</f>
        <v>2.3599999999999999E-2</v>
      </c>
      <c r="AA242" s="542"/>
      <c r="AB242" s="542"/>
      <c r="AC242" s="542"/>
    </row>
    <row r="243" spans="1:68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6</v>
      </c>
      <c r="Y243" s="541">
        <f>IFERROR(SUM(Y241:Y241),"0")</f>
        <v>7.2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388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389</v>
      </c>
      <c r="B245" s="54" t="s">
        <v>390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392</v>
      </c>
      <c r="B246" s="54" t="s">
        <v>393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394</v>
      </c>
      <c r="B247" s="54" t="s">
        <v>395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396</v>
      </c>
      <c r="B248" s="54" t="s">
        <v>397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400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401</v>
      </c>
      <c r="B254" s="54" t="s">
        <v>402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404</v>
      </c>
      <c r="B255" s="54" t="s">
        <v>405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407</v>
      </c>
      <c r="B256" s="54" t="s">
        <v>408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413</v>
      </c>
      <c r="B258" s="54" t="s">
        <v>414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416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417</v>
      </c>
      <c r="B263" s="54" t="s">
        <v>418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419</v>
      </c>
      <c r="B264" s="54" t="s">
        <v>420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422</v>
      </c>
      <c r="B265" s="54" t="s">
        <v>423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424</v>
      </c>
      <c r="B266" s="54" t="s">
        <v>425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427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428</v>
      </c>
      <c r="B271" s="54" t="s">
        <v>429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96</v>
      </c>
      <c r="Y272" s="540">
        <f>IFERROR(IF(X272="",0,CEILING((X272/$H272),1)*$H272),"")</f>
        <v>96</v>
      </c>
      <c r="Z272" s="36">
        <f>IFERROR(IF(Y272=0,"",ROUNDUP(Y272/H272,0)*0.00651),"")</f>
        <v>0.26040000000000002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106.08000000000001</v>
      </c>
      <c r="BN272" s="64">
        <f>IFERROR(Y272*I272/H272,"0")</f>
        <v>106.08000000000001</v>
      </c>
      <c r="BO272" s="64">
        <f>IFERROR(1/J272*(X272/H272),"0")</f>
        <v>0.2197802197802198</v>
      </c>
      <c r="BP272" s="64">
        <f>IFERROR(1/J272*(Y272/H272),"0")</f>
        <v>0.2197802197802198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280</v>
      </c>
      <c r="Y273" s="540">
        <f>IFERROR(IF(X273="",0,CEILING((X273/$H273),1)*$H273),"")</f>
        <v>280.8</v>
      </c>
      <c r="Z273" s="36">
        <f>IFERROR(IF(Y273=0,"",ROUNDUP(Y273/H273,0)*0.00651),"")</f>
        <v>0.76167000000000007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301</v>
      </c>
      <c r="BN273" s="64">
        <f>IFERROR(Y273*I273/H273,"0")</f>
        <v>301.86</v>
      </c>
      <c r="BO273" s="64">
        <f>IFERROR(1/J273*(X273/H273),"0")</f>
        <v>0.64102564102564108</v>
      </c>
      <c r="BP273" s="64">
        <f>IFERROR(1/J273*(Y273/H273),"0")</f>
        <v>0.64285714285714302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156.66666666666669</v>
      </c>
      <c r="Y274" s="541">
        <f>IFERROR(Y271/H271,"0")+IFERROR(Y272/H272,"0")+IFERROR(Y273/H273,"0")</f>
        <v>157</v>
      </c>
      <c r="Z274" s="541">
        <f>IFERROR(IF(Z271="",0,Z271),"0")+IFERROR(IF(Z272="",0,Z272),"0")+IFERROR(IF(Z273="",0,Z273),"0")</f>
        <v>1.02207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376</v>
      </c>
      <c r="Y275" s="541">
        <f>IFERROR(SUM(Y271:Y273),"0")</f>
        <v>376.8</v>
      </c>
      <c r="Z275" s="37"/>
      <c r="AA275" s="542"/>
      <c r="AB275" s="542"/>
      <c r="AC275" s="542"/>
    </row>
    <row r="276" spans="1:68" ht="16.5" hidden="1" customHeight="1" x14ac:dyDescent="0.25">
      <c r="A276" s="548" t="s">
        <v>436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437</v>
      </c>
      <c r="B278" s="54" t="s">
        <v>438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20</v>
      </c>
      <c r="Y279" s="540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21.5</v>
      </c>
      <c r="BN279" s="64">
        <f>IFERROR(Y279*I279/H279,"0")</f>
        <v>23.22</v>
      </c>
      <c r="BO279" s="64">
        <f>IFERROR(1/J279*(X279/H279),"0")</f>
        <v>4.5787545787545791E-2</v>
      </c>
      <c r="BP279" s="64">
        <f>IFERROR(1/J279*(Y279/H279),"0")</f>
        <v>4.9450549450549455E-2</v>
      </c>
    </row>
    <row r="280" spans="1:68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8.3333333333333339</v>
      </c>
      <c r="Y280" s="541">
        <f>IFERROR(Y278/H278,"0")+IFERROR(Y279/H279,"0")</f>
        <v>9</v>
      </c>
      <c r="Z280" s="541">
        <f>IFERROR(IF(Z278="",0,Z278),"0")+IFERROR(IF(Z279="",0,Z279),"0")</f>
        <v>5.8590000000000003E-2</v>
      </c>
      <c r="AA280" s="542"/>
      <c r="AB280" s="542"/>
      <c r="AC280" s="542"/>
    </row>
    <row r="281" spans="1:68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20</v>
      </c>
      <c r="Y281" s="541">
        <f>IFERROR(SUM(Y278:Y279),"0")</f>
        <v>21.599999999999998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443</v>
      </c>
      <c r="B283" s="54" t="s">
        <v>444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446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447</v>
      </c>
      <c r="B288" s="54" t="s">
        <v>448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450</v>
      </c>
      <c r="B289" s="54" t="s">
        <v>451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453</v>
      </c>
      <c r="B290" s="54" t="s">
        <v>454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456</v>
      </c>
      <c r="B291" s="54" t="s">
        <v>457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461</v>
      </c>
      <c r="B296" s="54" t="s">
        <v>462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464</v>
      </c>
      <c r="B297" s="54" t="s">
        <v>465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467</v>
      </c>
      <c r="B298" s="54" t="s">
        <v>468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470</v>
      </c>
      <c r="B299" s="54" t="s">
        <v>471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105</v>
      </c>
      <c r="Y300" s="540">
        <f t="shared" si="26"/>
        <v>105</v>
      </c>
      <c r="Z300" s="36">
        <f>IFERROR(IF(Y300=0,"",ROUNDUP(Y300/H300,0)*0.00502),"")</f>
        <v>0.251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110.00000000000001</v>
      </c>
      <c r="BN300" s="64">
        <f t="shared" si="28"/>
        <v>110.00000000000001</v>
      </c>
      <c r="BO300" s="64">
        <f t="shared" si="29"/>
        <v>0.21367521367521369</v>
      </c>
      <c r="BP300" s="64">
        <f t="shared" si="30"/>
        <v>0.21367521367521369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39</v>
      </c>
      <c r="Y302" s="540">
        <f t="shared" si="26"/>
        <v>39.6</v>
      </c>
      <c r="Z302" s="36">
        <f>IFERROR(IF(Y302=0,"",ROUNDUP(Y302/H302,0)*0.00651),"")</f>
        <v>0.14322000000000001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43.94</v>
      </c>
      <c r="BN302" s="64">
        <f t="shared" si="28"/>
        <v>44.616</v>
      </c>
      <c r="BO302" s="64">
        <f t="shared" si="29"/>
        <v>0.11904761904761907</v>
      </c>
      <c r="BP302" s="64">
        <f t="shared" si="30"/>
        <v>0.12087912087912089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71.666666666666671</v>
      </c>
      <c r="Y303" s="541">
        <f>IFERROR(Y296/H296,"0")+IFERROR(Y297/H297,"0")+IFERROR(Y298/H298,"0")+IFERROR(Y299/H299,"0")+IFERROR(Y300/H300,"0")+IFERROR(Y301/H301,"0")+IFERROR(Y302/H302,"0")</f>
        <v>72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0.39422000000000001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144</v>
      </c>
      <c r="Y304" s="541">
        <f>IFERROR(SUM(Y296:Y302),"0")</f>
        <v>144.6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480</v>
      </c>
      <c r="B306" s="54" t="s">
        <v>481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483</v>
      </c>
      <c r="B307" s="54" t="s">
        <v>484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486</v>
      </c>
      <c r="B308" s="54" t="s">
        <v>487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489</v>
      </c>
      <c r="B309" s="54" t="s">
        <v>490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492</v>
      </c>
      <c r="B310" s="54" t="s">
        <v>493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40</v>
      </c>
      <c r="Y314" s="540">
        <f>IFERROR(IF(X314="",0,CEILING((X314/$H314),1)*$H314),"")</f>
        <v>42</v>
      </c>
      <c r="Z314" s="36">
        <f>IFERROR(IF(Y314=0,"",ROUNDUP(Y314/H314,0)*0.01898),"")</f>
        <v>9.4899999999999998E-2</v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42.352380952380948</v>
      </c>
      <c r="BN314" s="64">
        <f>IFERROR(Y314*I314/H314,"0")</f>
        <v>44.47</v>
      </c>
      <c r="BO314" s="64">
        <f>IFERROR(1/J314*(X314/H314),"0")</f>
        <v>7.4404761904761904E-2</v>
      </c>
      <c r="BP314" s="64">
        <f>IFERROR(1/J314*(Y314/H314),"0")</f>
        <v>7.8125E-2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650</v>
      </c>
      <c r="Y315" s="540">
        <f>IFERROR(IF(X315="",0,CEILING((X315/$H315),1)*$H315),"")</f>
        <v>655.19999999999993</v>
      </c>
      <c r="Z315" s="36">
        <f>IFERROR(IF(Y315=0,"",ROUNDUP(Y315/H315,0)*0.01898),"")</f>
        <v>1.59432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691.16666666666674</v>
      </c>
      <c r="BN315" s="64">
        <f>IFERROR(Y315*I315/H315,"0")</f>
        <v>696.69600000000003</v>
      </c>
      <c r="BO315" s="64">
        <f>IFERROR(1/J315*(X315/H315),"0")</f>
        <v>1.3020833333333333</v>
      </c>
      <c r="BP315" s="64">
        <f>IFERROR(1/J315*(Y315/H315),"0")</f>
        <v>1.3125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350</v>
      </c>
      <c r="Y316" s="540">
        <f>IFERROR(IF(X316="",0,CEILING((X316/$H316),1)*$H316),"")</f>
        <v>352.8</v>
      </c>
      <c r="Z316" s="36">
        <f>IFERROR(IF(Y316=0,"",ROUNDUP(Y316/H316,0)*0.01898),"")</f>
        <v>0.79715999999999998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370.58333333333331</v>
      </c>
      <c r="BN316" s="64">
        <f>IFERROR(Y316*I316/H316,"0")</f>
        <v>373.548</v>
      </c>
      <c r="BO316" s="64">
        <f>IFERROR(1/J316*(X316/H316),"0")</f>
        <v>0.65104166666666663</v>
      </c>
      <c r="BP316" s="64">
        <f>IFERROR(1/J316*(Y316/H316),"0")</f>
        <v>0.65625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129.76190476190476</v>
      </c>
      <c r="Y317" s="541">
        <f>IFERROR(Y314/H314,"0")+IFERROR(Y315/H315,"0")+IFERROR(Y316/H316,"0")</f>
        <v>131</v>
      </c>
      <c r="Z317" s="541">
        <f>IFERROR(IF(Z314="",0,Z314),"0")+IFERROR(IF(Z315="",0,Z315),"0")+IFERROR(IF(Z316="",0,Z316),"0")</f>
        <v>2.48638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1040</v>
      </c>
      <c r="Y318" s="541">
        <f>IFERROR(SUM(Y314:Y316),"0")</f>
        <v>1050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504</v>
      </c>
      <c r="B320" s="54" t="s">
        <v>505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507</v>
      </c>
      <c r="B321" s="54" t="s">
        <v>508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509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510</v>
      </c>
      <c r="B322" s="54" t="s">
        <v>511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513</v>
      </c>
      <c r="B323" s="54" t="s">
        <v>514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515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20</v>
      </c>
      <c r="Y327" s="540">
        <f>IFERROR(IF(X327="",0,CEILING((X327/$H327),1)*$H327),"")</f>
        <v>20</v>
      </c>
      <c r="Z327" s="36">
        <f>IFERROR(IF(Y327=0,"",ROUNDUP(Y327/H327,0)*0.00474),"")</f>
        <v>4.7400000000000005E-2</v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22.400000000000002</v>
      </c>
      <c r="BN327" s="64">
        <f>IFERROR(Y327*I327/H327,"0")</f>
        <v>22.400000000000002</v>
      </c>
      <c r="BO327" s="64">
        <f>IFERROR(1/J327*(X327/H327),"0")</f>
        <v>4.2016806722689072E-2</v>
      </c>
      <c r="BP327" s="64">
        <f>IFERROR(1/J327*(Y327/H327),"0")</f>
        <v>4.2016806722689072E-2</v>
      </c>
    </row>
    <row r="328" spans="1:68" ht="27" hidden="1" customHeight="1" x14ac:dyDescent="0.25">
      <c r="A328" s="54" t="s">
        <v>520</v>
      </c>
      <c r="B328" s="54" t="s">
        <v>521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10</v>
      </c>
      <c r="Y330" s="541">
        <f>IFERROR(Y327/H327,"0")+IFERROR(Y328/H328,"0")+IFERROR(Y329/H329,"0")</f>
        <v>10</v>
      </c>
      <c r="Z330" s="541">
        <f>IFERROR(IF(Z327="",0,Z327),"0")+IFERROR(IF(Z328="",0,Z328),"0")+IFERROR(IF(Z329="",0,Z329),"0")</f>
        <v>4.7400000000000005E-2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20</v>
      </c>
      <c r="Y331" s="541">
        <f>IFERROR(SUM(Y327:Y329),"0")</f>
        <v>20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524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525</v>
      </c>
      <c r="B334" s="54" t="s">
        <v>526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909.99999999999989</v>
      </c>
      <c r="Y335" s="540">
        <f>IFERROR(IF(X335="",0,CEILING((X335/$H335),1)*$H335),"")</f>
        <v>911.40000000000009</v>
      </c>
      <c r="Z335" s="36">
        <f>IFERROR(IF(Y335=0,"",ROUNDUP(Y335/H335,0)*0.00651),"")</f>
        <v>2.8253400000000002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1019.1999999999998</v>
      </c>
      <c r="BN335" s="64">
        <f>IFERROR(Y335*I335/H335,"0")</f>
        <v>1020.7679999999999</v>
      </c>
      <c r="BO335" s="64">
        <f>IFERROR(1/J335*(X335/H335),"0")</f>
        <v>2.3809523809523809</v>
      </c>
      <c r="BP335" s="64">
        <f>IFERROR(1/J335*(Y335/H335),"0")</f>
        <v>2.3846153846153846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385</v>
      </c>
      <c r="Y336" s="540">
        <f>IFERROR(IF(X336="",0,CEILING((X336/$H336),1)*$H336),"")</f>
        <v>386.40000000000003</v>
      </c>
      <c r="Z336" s="36">
        <f>IFERROR(IF(Y336=0,"",ROUNDUP(Y336/H336,0)*0.00651),"")</f>
        <v>1.19784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428.99999999999994</v>
      </c>
      <c r="BN336" s="64">
        <f>IFERROR(Y336*I336/H336,"0")</f>
        <v>430.56</v>
      </c>
      <c r="BO336" s="64">
        <f>IFERROR(1/J336*(X336/H336),"0")</f>
        <v>1.0073260073260073</v>
      </c>
      <c r="BP336" s="64">
        <f>IFERROR(1/J336*(Y336/H336),"0")</f>
        <v>1.0109890109890112</v>
      </c>
    </row>
    <row r="337" spans="1:68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616.66666666666652</v>
      </c>
      <c r="Y337" s="541">
        <f>IFERROR(Y334/H334,"0")+IFERROR(Y335/H335,"0")+IFERROR(Y336/H336,"0")</f>
        <v>618</v>
      </c>
      <c r="Z337" s="541">
        <f>IFERROR(IF(Z334="",0,Z334),"0")+IFERROR(IF(Z335="",0,Z335),"0")+IFERROR(IF(Z336="",0,Z336),"0")</f>
        <v>4.02318</v>
      </c>
      <c r="AA337" s="542"/>
      <c r="AB337" s="542"/>
      <c r="AC337" s="542"/>
    </row>
    <row r="338" spans="1:68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1295</v>
      </c>
      <c r="Y338" s="541">
        <f>IFERROR(SUM(Y334:Y336),"0")</f>
        <v>1297.8000000000002</v>
      </c>
      <c r="Z338" s="37"/>
      <c r="AA338" s="542"/>
      <c r="AB338" s="542"/>
      <c r="AC338" s="542"/>
    </row>
    <row r="339" spans="1:68" ht="27.75" hidden="1" customHeight="1" x14ac:dyDescent="0.2">
      <c r="A339" s="695" t="s">
        <v>534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535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1200</v>
      </c>
      <c r="Y342" s="540">
        <f t="shared" ref="Y342:Y348" si="31">IFERROR(IF(X342="",0,CEILING((X342/$H342),1)*$H342),"")</f>
        <v>1200</v>
      </c>
      <c r="Z342" s="36">
        <f>IFERROR(IF(Y342=0,"",ROUNDUP(Y342/H342,0)*0.02175),"")</f>
        <v>1.7399999999999998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1237.5999999999999</v>
      </c>
      <c r="BN342" s="64">
        <f t="shared" ref="BN342:BN348" si="33">IFERROR(Y342*I342/H342,"0")</f>
        <v>1237.5999999999999</v>
      </c>
      <c r="BO342" s="64">
        <f t="shared" ref="BO342:BO348" si="34">IFERROR(1/J342*(X342/H342),"0")</f>
        <v>1.6666666666666665</v>
      </c>
      <c r="BP342" s="64">
        <f t="shared" ref="BP342:BP348" si="35">IFERROR(1/J342*(Y342/H342),"0")</f>
        <v>1.6666666666666665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400</v>
      </c>
      <c r="Y343" s="540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412.53333333333336</v>
      </c>
      <c r="BN343" s="64">
        <f t="shared" si="33"/>
        <v>417.69</v>
      </c>
      <c r="BO343" s="64">
        <f t="shared" si="34"/>
        <v>0.55555555555555558</v>
      </c>
      <c r="BP343" s="64">
        <f t="shared" si="35"/>
        <v>0.5625</v>
      </c>
    </row>
    <row r="344" spans="1:68" ht="37.5" hidden="1" customHeight="1" x14ac:dyDescent="0.25">
      <c r="A344" s="54" t="s">
        <v>542</v>
      </c>
      <c r="B344" s="54" t="s">
        <v>543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547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600</v>
      </c>
      <c r="Y345" s="540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25</v>
      </c>
      <c r="Y348" s="540">
        <f t="shared" si="31"/>
        <v>25</v>
      </c>
      <c r="Z348" s="36">
        <f>IFERROR(IF(Y348=0,"",ROUNDUP(Y348/H348,0)*0.00902),"")</f>
        <v>4.5100000000000001E-2</v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25.95</v>
      </c>
      <c r="BN348" s="64">
        <f t="shared" si="33"/>
        <v>25.95</v>
      </c>
      <c r="BO348" s="64">
        <f t="shared" si="34"/>
        <v>3.787878787878788E-2</v>
      </c>
      <c r="BP348" s="64">
        <f t="shared" si="35"/>
        <v>3.787878787878788E-2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151.66666666666669</v>
      </c>
      <c r="Y349" s="541">
        <f>IFERROR(Y342/H342,"0")+IFERROR(Y343/H343,"0")+IFERROR(Y344/H344,"0")+IFERROR(Y345/H345,"0")+IFERROR(Y346/H346,"0")+IFERROR(Y347/H347,"0")+IFERROR(Y348/H348,"0")</f>
        <v>152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3.2423499999999996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2225</v>
      </c>
      <c r="Y350" s="541">
        <f>IFERROR(SUM(Y342:Y348),"0")</f>
        <v>2230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400</v>
      </c>
      <c r="Y352" s="540">
        <f>IFERROR(IF(X352="",0,CEILING((X352/$H352),1)*$H352),"")</f>
        <v>405</v>
      </c>
      <c r="Z352" s="36">
        <f>IFERROR(IF(Y352=0,"",ROUNDUP(Y352/H352,0)*0.02175),"")</f>
        <v>0.58724999999999994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412.53333333333336</v>
      </c>
      <c r="BN352" s="64">
        <f>IFERROR(Y352*I352/H352,"0")</f>
        <v>417.69</v>
      </c>
      <c r="BO352" s="64">
        <f>IFERROR(1/J352*(X352/H352),"0")</f>
        <v>0.55555555555555558</v>
      </c>
      <c r="BP352" s="64">
        <f>IFERROR(1/J352*(Y352/H352),"0")</f>
        <v>0.5625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12</v>
      </c>
      <c r="Y353" s="540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29.666666666666668</v>
      </c>
      <c r="Y354" s="541">
        <f>IFERROR(Y352/H352,"0")+IFERROR(Y353/H353,"0")</f>
        <v>30</v>
      </c>
      <c r="Z354" s="541">
        <f>IFERROR(IF(Z352="",0,Z352),"0")+IFERROR(IF(Z353="",0,Z353),"0")</f>
        <v>0.61430999999999991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412</v>
      </c>
      <c r="Y355" s="541">
        <f>IFERROR(SUM(Y352:Y353),"0")</f>
        <v>417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561</v>
      </c>
      <c r="B357" s="54" t="s">
        <v>562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hidden="1" customHeight="1" x14ac:dyDescent="0.25">
      <c r="A365" s="548" t="s">
        <v>570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60</v>
      </c>
      <c r="Y367" s="540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62.050000000000004</v>
      </c>
      <c r="BN367" s="64">
        <f>IFERROR(Y367*I367/H367,"0")</f>
        <v>62.050000000000004</v>
      </c>
      <c r="BO367" s="64">
        <f>IFERROR(1/J367*(X367/H367),"0")</f>
        <v>7.8125E-2</v>
      </c>
      <c r="BP367" s="64">
        <f>IFERROR(1/J367*(Y367/H367),"0")</f>
        <v>7.8125E-2</v>
      </c>
    </row>
    <row r="368" spans="1:68" ht="37.5" hidden="1" customHeight="1" x14ac:dyDescent="0.25">
      <c r="A368" s="54" t="s">
        <v>574</v>
      </c>
      <c r="B368" s="54" t="s">
        <v>575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5</v>
      </c>
      <c r="Y369" s="541">
        <f>IFERROR(Y367/H367,"0")+IFERROR(Y368/H368,"0")</f>
        <v>5</v>
      </c>
      <c r="Z369" s="541">
        <f>IFERROR(IF(Z367="",0,Z367),"0")+IFERROR(IF(Z368="",0,Z368),"0")</f>
        <v>9.4899999999999998E-2</v>
      </c>
      <c r="AA369" s="542"/>
      <c r="AB369" s="542"/>
      <c r="AC369" s="542"/>
    </row>
    <row r="370" spans="1:68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60</v>
      </c>
      <c r="Y370" s="541">
        <f>IFERROR(SUM(Y367:Y368),"0")</f>
        <v>60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576</v>
      </c>
      <c r="B372" s="54" t="s">
        <v>577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576</v>
      </c>
      <c r="B373" s="54" t="s">
        <v>579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90</v>
      </c>
      <c r="Y377" s="540">
        <f>IFERROR(IF(X377="",0,CEILING((X377/$H377),1)*$H377),"")</f>
        <v>90</v>
      </c>
      <c r="Z377" s="36">
        <f>IFERROR(IF(Y377=0,"",ROUNDUP(Y377/H377,0)*0.01898),"")</f>
        <v>0.1898</v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94.94</v>
      </c>
      <c r="BN377" s="64">
        <f>IFERROR(Y377*I377/H377,"0")</f>
        <v>94.94</v>
      </c>
      <c r="BO377" s="64">
        <f>IFERROR(1/J377*(X377/H377),"0")</f>
        <v>0.15625</v>
      </c>
      <c r="BP377" s="64">
        <f>IFERROR(1/J377*(Y377/H377),"0")</f>
        <v>0.15625</v>
      </c>
    </row>
    <row r="378" spans="1:68" ht="27" hidden="1" customHeight="1" x14ac:dyDescent="0.25">
      <c r="A378" s="54" t="s">
        <v>584</v>
      </c>
      <c r="B378" s="54" t="s">
        <v>585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10</v>
      </c>
      <c r="Y379" s="541">
        <f>IFERROR(Y377/H377,"0")+IFERROR(Y378/H378,"0")</f>
        <v>10</v>
      </c>
      <c r="Z379" s="541">
        <f>IFERROR(IF(Z377="",0,Z377),"0")+IFERROR(IF(Z378="",0,Z378),"0")</f>
        <v>0.1898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90</v>
      </c>
      <c r="Y380" s="541">
        <f>IFERROR(SUM(Y377:Y378),"0")</f>
        <v>90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586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587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588</v>
      </c>
      <c r="B384" s="54" t="s">
        <v>589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591</v>
      </c>
      <c r="B385" s="54" t="s">
        <v>592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594</v>
      </c>
      <c r="B386" s="54" t="s">
        <v>595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597</v>
      </c>
      <c r="B387" s="54" t="s">
        <v>598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35</v>
      </c>
      <c r="Y388" s="540">
        <f t="shared" si="36"/>
        <v>35.700000000000003</v>
      </c>
      <c r="Z388" s="36">
        <f t="shared" si="41"/>
        <v>8.5339999999999999E-2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37.166666666666664</v>
      </c>
      <c r="BN388" s="64">
        <f t="shared" si="38"/>
        <v>37.910000000000004</v>
      </c>
      <c r="BO388" s="64">
        <f t="shared" si="39"/>
        <v>7.1225071225071226E-2</v>
      </c>
      <c r="BP388" s="64">
        <f t="shared" si="40"/>
        <v>7.2649572649572655E-2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77</v>
      </c>
      <c r="Y389" s="540">
        <f t="shared" si="36"/>
        <v>77.7</v>
      </c>
      <c r="Z389" s="36">
        <f t="shared" si="41"/>
        <v>0.18574000000000002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81.766666666666666</v>
      </c>
      <c r="BN389" s="64">
        <f t="shared" si="38"/>
        <v>82.51</v>
      </c>
      <c r="BO389" s="64">
        <f t="shared" si="39"/>
        <v>0.15669515669515671</v>
      </c>
      <c r="BP389" s="64">
        <f t="shared" si="40"/>
        <v>0.15811965811965814</v>
      </c>
    </row>
    <row r="390" spans="1:68" ht="27" hidden="1" customHeight="1" x14ac:dyDescent="0.25">
      <c r="A390" s="54" t="s">
        <v>604</v>
      </c>
      <c r="B390" s="54" t="s">
        <v>605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52.5</v>
      </c>
      <c r="Y391" s="540">
        <f t="shared" si="36"/>
        <v>52.5</v>
      </c>
      <c r="Z391" s="36">
        <f t="shared" si="41"/>
        <v>0.1255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55.75</v>
      </c>
      <c r="BN391" s="64">
        <f t="shared" si="38"/>
        <v>55.75</v>
      </c>
      <c r="BO391" s="64">
        <f t="shared" si="39"/>
        <v>0.10683760683760685</v>
      </c>
      <c r="BP391" s="64">
        <f t="shared" si="40"/>
        <v>0.10683760683760685</v>
      </c>
    </row>
    <row r="392" spans="1:68" ht="37.5" hidden="1" customHeight="1" x14ac:dyDescent="0.25">
      <c r="A392" s="54" t="s">
        <v>610</v>
      </c>
      <c r="B392" s="54" t="s">
        <v>611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78.333333333333329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79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0.39657999999999999</v>
      </c>
      <c r="AA393" s="542"/>
      <c r="AB393" s="542"/>
      <c r="AC393" s="542"/>
    </row>
    <row r="394" spans="1:68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164.5</v>
      </c>
      <c r="Y394" s="541">
        <f>IFERROR(SUM(Y384:Y392),"0")</f>
        <v>165.9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612</v>
      </c>
      <c r="B396" s="54" t="s">
        <v>613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615</v>
      </c>
      <c r="B397" s="54" t="s">
        <v>616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618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619</v>
      </c>
      <c r="B402" s="54" t="s">
        <v>620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622</v>
      </c>
      <c r="B406" s="54" t="s">
        <v>623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625</v>
      </c>
      <c r="B407" s="54" t="s">
        <v>626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628</v>
      </c>
      <c r="B408" s="54" t="s">
        <v>629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17.5</v>
      </c>
      <c r="Y409" s="540">
        <f>IFERROR(IF(X409="",0,CEILING((X409/$H409),1)*$H409),"")</f>
        <v>18.900000000000002</v>
      </c>
      <c r="Z409" s="36">
        <f>IFERROR(IF(Y409=0,"",ROUNDUP(Y409/H409,0)*0.00502),"")</f>
        <v>4.5179999999999998E-2</v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18.583333333333332</v>
      </c>
      <c r="BN409" s="64">
        <f>IFERROR(Y409*I409/H409,"0")</f>
        <v>20.07</v>
      </c>
      <c r="BO409" s="64">
        <f>IFERROR(1/J409*(X409/H409),"0")</f>
        <v>3.5612535612535613E-2</v>
      </c>
      <c r="BP409" s="64">
        <f>IFERROR(1/J409*(Y409/H409),"0")</f>
        <v>3.8461538461538464E-2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8.3333333333333321</v>
      </c>
      <c r="Y410" s="541">
        <f>IFERROR(Y406/H406,"0")+IFERROR(Y407/H407,"0")+IFERROR(Y408/H408,"0")+IFERROR(Y409/H409,"0")</f>
        <v>9</v>
      </c>
      <c r="Z410" s="541">
        <f>IFERROR(IF(Z406="",0,Z406),"0")+IFERROR(IF(Z407="",0,Z407),"0")+IFERROR(IF(Z408="",0,Z408),"0")+IFERROR(IF(Z409="",0,Z409),"0")</f>
        <v>4.5179999999999998E-2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17.5</v>
      </c>
      <c r="Y411" s="541">
        <f>IFERROR(SUM(Y406:Y409),"0")</f>
        <v>18.900000000000002</v>
      </c>
      <c r="Z411" s="37"/>
      <c r="AA411" s="542"/>
      <c r="AB411" s="542"/>
      <c r="AC411" s="542"/>
    </row>
    <row r="412" spans="1:68" ht="16.5" hidden="1" customHeight="1" x14ac:dyDescent="0.25">
      <c r="A412" s="548" t="s">
        <v>633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hidden="1" customHeight="1" x14ac:dyDescent="0.2">
      <c r="A417" s="695" t="s">
        <v>637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637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70</v>
      </c>
      <c r="Y420" s="540">
        <f t="shared" ref="Y420:Y430" si="42">IFERROR(IF(X420="",0,CEILING((X420/$H420),1)*$H420),"")</f>
        <v>73.92</v>
      </c>
      <c r="Z420" s="36">
        <f t="shared" ref="Z420:Z425" si="43">IFERROR(IF(Y420=0,"",ROUNDUP(Y420/H420,0)*0.01196),"")</f>
        <v>0.16744000000000001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74.640151515151501</v>
      </c>
      <c r="BN420" s="64">
        <f t="shared" ref="BN420:BN430" si="45">IFERROR(Y420*I420/H420,"0")</f>
        <v>78.819999999999993</v>
      </c>
      <c r="BO420" s="64">
        <f t="shared" ref="BO420:BO430" si="46">IFERROR(1/J420*(X420/H420),"0")</f>
        <v>0.12747668997668998</v>
      </c>
      <c r="BP420" s="64">
        <f t="shared" ref="BP420:BP430" si="47">IFERROR(1/J420*(Y420/H420),"0")</f>
        <v>0.13461538461538464</v>
      </c>
    </row>
    <row r="421" spans="1:68" ht="27" hidden="1" customHeight="1" x14ac:dyDescent="0.25">
      <c r="A421" s="54" t="s">
        <v>640</v>
      </c>
      <c r="B421" s="54" t="s">
        <v>641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643</v>
      </c>
      <c r="B422" s="54" t="s">
        <v>644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646</v>
      </c>
      <c r="B423" s="54" t="s">
        <v>647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649</v>
      </c>
      <c r="B424" s="54" t="s">
        <v>650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110</v>
      </c>
      <c r="Y425" s="540">
        <f t="shared" si="42"/>
        <v>110.88000000000001</v>
      </c>
      <c r="Z425" s="36">
        <f t="shared" si="43"/>
        <v>0.25115999999999999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117.29166666666666</v>
      </c>
      <c r="BN425" s="64">
        <f t="shared" si="45"/>
        <v>118.23</v>
      </c>
      <c r="BO425" s="64">
        <f t="shared" si="46"/>
        <v>0.20032051282051283</v>
      </c>
      <c r="BP425" s="64">
        <f t="shared" si="47"/>
        <v>0.20192307692307693</v>
      </c>
    </row>
    <row r="426" spans="1:68" ht="27" hidden="1" customHeight="1" x14ac:dyDescent="0.25">
      <c r="A426" s="54" t="s">
        <v>655</v>
      </c>
      <c r="B426" s="54" t="s">
        <v>656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60</v>
      </c>
      <c r="Y427" s="540">
        <f t="shared" si="42"/>
        <v>62.4</v>
      </c>
      <c r="Z427" s="36">
        <f>IFERROR(IF(Y427=0,"",ROUNDUP(Y427/H427,0)*0.00902),"")</f>
        <v>0.11726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86.375000000000014</v>
      </c>
      <c r="BN427" s="64">
        <f t="shared" si="45"/>
        <v>89.830000000000013</v>
      </c>
      <c r="BO427" s="64">
        <f t="shared" si="46"/>
        <v>9.4696969696969696E-2</v>
      </c>
      <c r="BP427" s="64">
        <f t="shared" si="47"/>
        <v>9.8484848484848481E-2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108</v>
      </c>
      <c r="Y430" s="540">
        <f t="shared" si="42"/>
        <v>110.39999999999999</v>
      </c>
      <c r="Z430" s="36">
        <f>IFERROR(IF(Y430=0,"",ROUNDUP(Y430/H430,0)*0.00902),"")</f>
        <v>0.20746000000000001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155.47499999999999</v>
      </c>
      <c r="BN430" s="64">
        <f t="shared" si="45"/>
        <v>158.92999999999998</v>
      </c>
      <c r="BO430" s="64">
        <f t="shared" si="46"/>
        <v>0.17045454545454547</v>
      </c>
      <c r="BP430" s="64">
        <f t="shared" si="47"/>
        <v>0.17424242424242425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69.090909090909093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0.74331999999999998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348</v>
      </c>
      <c r="Y432" s="541">
        <f>IFERROR(SUM(Y420:Y430),"0")</f>
        <v>357.6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100</v>
      </c>
      <c r="Y434" s="540">
        <f>IFERROR(IF(X434="",0,CEILING((X434/$H434),1)*$H434),"")</f>
        <v>100.32000000000001</v>
      </c>
      <c r="Z434" s="36">
        <f>IFERROR(IF(Y434=0,"",ROUNDUP(Y434/H434,0)*0.01196),"")</f>
        <v>0.22724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106.62878787878788</v>
      </c>
      <c r="BN434" s="64">
        <f>IFERROR(Y434*I434/H434,"0")</f>
        <v>106.97</v>
      </c>
      <c r="BO434" s="64">
        <f>IFERROR(1/J434*(X434/H434),"0")</f>
        <v>0.18210955710955709</v>
      </c>
      <c r="BP434" s="64">
        <f>IFERROR(1/J434*(Y434/H434),"0")</f>
        <v>0.18269230769230771</v>
      </c>
    </row>
    <row r="435" spans="1:68" ht="16.5" hidden="1" customHeight="1" x14ac:dyDescent="0.25">
      <c r="A435" s="54" t="s">
        <v>669</v>
      </c>
      <c r="B435" s="54" t="s">
        <v>670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18.939393939393938</v>
      </c>
      <c r="Y437" s="541">
        <f>IFERROR(Y434/H434,"0")+IFERROR(Y435/H435,"0")+IFERROR(Y436/H436,"0")</f>
        <v>19</v>
      </c>
      <c r="Z437" s="541">
        <f>IFERROR(IF(Z434="",0,Z434),"0")+IFERROR(IF(Z435="",0,Z435),"0")+IFERROR(IF(Z436="",0,Z436),"0")</f>
        <v>0.22724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100</v>
      </c>
      <c r="Y438" s="541">
        <f>IFERROR(SUM(Y434:Y436),"0")</f>
        <v>100.32000000000001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50</v>
      </c>
      <c r="Y440" s="540">
        <f t="shared" ref="Y440:Y445" si="48">IFERROR(IF(X440="",0,CEILING((X440/$H440),1)*$H440),"")</f>
        <v>52.800000000000004</v>
      </c>
      <c r="Z440" s="36">
        <f>IFERROR(IF(Y440=0,"",ROUNDUP(Y440/H440,0)*0.01196),"")</f>
        <v>0.1196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53.314393939393938</v>
      </c>
      <c r="BN440" s="64">
        <f t="shared" ref="BN440:BN445" si="50">IFERROR(Y440*I440/H440,"0")</f>
        <v>56.3</v>
      </c>
      <c r="BO440" s="64">
        <f t="shared" ref="BO440:BO445" si="51">IFERROR(1/J440*(X440/H440),"0")</f>
        <v>9.1054778554778545E-2</v>
      </c>
      <c r="BP440" s="64">
        <f t="shared" ref="BP440:BP445" si="52">IFERROR(1/J440*(Y440/H440),"0")</f>
        <v>9.6153846153846159E-2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80</v>
      </c>
      <c r="Y441" s="540">
        <f t="shared" si="48"/>
        <v>84.48</v>
      </c>
      <c r="Z441" s="36">
        <f>IFERROR(IF(Y441=0,"",ROUNDUP(Y441/H441,0)*0.01196),"")</f>
        <v>0.19136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85.303030303030297</v>
      </c>
      <c r="BN441" s="64">
        <f t="shared" si="50"/>
        <v>90.08</v>
      </c>
      <c r="BO441" s="64">
        <f t="shared" si="51"/>
        <v>0.14568764568764569</v>
      </c>
      <c r="BP441" s="64">
        <f t="shared" si="52"/>
        <v>0.15384615384615385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90</v>
      </c>
      <c r="Y442" s="540">
        <f t="shared" si="48"/>
        <v>95.04</v>
      </c>
      <c r="Z442" s="36">
        <f>IFERROR(IF(Y442=0,"",ROUNDUP(Y442/H442,0)*0.01196),"")</f>
        <v>0.21528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95.965909090909079</v>
      </c>
      <c r="BN442" s="64">
        <f t="shared" si="50"/>
        <v>101.33999999999999</v>
      </c>
      <c r="BO442" s="64">
        <f t="shared" si="51"/>
        <v>0.16389860139860138</v>
      </c>
      <c r="BP442" s="64">
        <f t="shared" si="52"/>
        <v>0.17307692307692307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114</v>
      </c>
      <c r="Y443" s="540">
        <f t="shared" si="48"/>
        <v>115.19999999999999</v>
      </c>
      <c r="Z443" s="36">
        <f>IFERROR(IF(Y443=0,"",ROUNDUP(Y443/H443,0)*0.00902),"")</f>
        <v>0.21648000000000001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164.11250000000001</v>
      </c>
      <c r="BN443" s="64">
        <f t="shared" si="50"/>
        <v>165.84</v>
      </c>
      <c r="BO443" s="64">
        <f t="shared" si="51"/>
        <v>0.17992424242424243</v>
      </c>
      <c r="BP443" s="64">
        <f t="shared" si="52"/>
        <v>0.18181818181818182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108</v>
      </c>
      <c r="Y445" s="540">
        <f t="shared" si="48"/>
        <v>110.39999999999999</v>
      </c>
      <c r="Z445" s="36">
        <f>IFERROR(IF(Y445=0,"",ROUNDUP(Y445/H445,0)*0.00902),"")</f>
        <v>0.20746000000000001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150.07500000000002</v>
      </c>
      <c r="BN445" s="64">
        <f t="shared" si="50"/>
        <v>153.41</v>
      </c>
      <c r="BO445" s="64">
        <f t="shared" si="51"/>
        <v>0.17045454545454547</v>
      </c>
      <c r="BP445" s="64">
        <f t="shared" si="52"/>
        <v>0.17424242424242425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91.666666666666657</v>
      </c>
      <c r="Y446" s="541">
        <f>IFERROR(Y440/H440,"0")+IFERROR(Y441/H441,"0")+IFERROR(Y442/H442,"0")+IFERROR(Y443/H443,"0")+IFERROR(Y444/H444,"0")+IFERROR(Y445/H445,"0")</f>
        <v>95</v>
      </c>
      <c r="Z446" s="541">
        <f>IFERROR(IF(Z440="",0,Z440),"0")+IFERROR(IF(Z441="",0,Z441),"0")+IFERROR(IF(Z442="",0,Z442),"0")+IFERROR(IF(Z443="",0,Z443),"0")+IFERROR(IF(Z444="",0,Z444),"0")+IFERROR(IF(Z445="",0,Z445),"0")</f>
        <v>0.98626000000000003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460</v>
      </c>
      <c r="Y447" s="541">
        <f>IFERROR(SUM(Y440:Y445),"0")</f>
        <v>477.11999999999995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688</v>
      </c>
      <c r="B449" s="54" t="s">
        <v>689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691</v>
      </c>
      <c r="B450" s="54" t="s">
        <v>692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694</v>
      </c>
      <c r="B451" s="54" t="s">
        <v>695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697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697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698</v>
      </c>
      <c r="B457" s="54" t="s">
        <v>699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701</v>
      </c>
      <c r="B458" s="54" t="s">
        <v>702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704</v>
      </c>
      <c r="B459" s="54" t="s">
        <v>705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707</v>
      </c>
      <c r="B460" s="54" t="s">
        <v>708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709</v>
      </c>
      <c r="B464" s="54" t="s">
        <v>710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712</v>
      </c>
      <c r="B465" s="54" t="s">
        <v>713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715</v>
      </c>
      <c r="B466" s="54" t="s">
        <v>716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718</v>
      </c>
      <c r="B470" s="54" t="s">
        <v>719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721</v>
      </c>
      <c r="B471" s="54" t="s">
        <v>722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1500</v>
      </c>
      <c r="Y475" s="540">
        <f>IFERROR(IF(X475="",0,CEILING((X475/$H475),1)*$H475),"")</f>
        <v>1503</v>
      </c>
      <c r="Z475" s="36">
        <f>IFERROR(IF(Y475=0,"",ROUNDUP(Y475/H475,0)*0.01898),"")</f>
        <v>3.1696599999999999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1582.3333333333333</v>
      </c>
      <c r="BN475" s="64">
        <f>IFERROR(Y475*I475/H475,"0")</f>
        <v>1585.498</v>
      </c>
      <c r="BO475" s="64">
        <f>IFERROR(1/J475*(X475/H475),"0")</f>
        <v>2.6041666666666665</v>
      </c>
      <c r="BP475" s="64">
        <f>IFERROR(1/J475*(Y475/H475),"0")</f>
        <v>2.609375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166.66666666666666</v>
      </c>
      <c r="Y476" s="541">
        <f>IFERROR(Y475/H475,"0")</f>
        <v>167</v>
      </c>
      <c r="Z476" s="541">
        <f>IFERROR(IF(Z475="",0,Z475),"0")</f>
        <v>3.1696599999999999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1500</v>
      </c>
      <c r="Y477" s="541">
        <f>IFERROR(SUM(Y475:Y475),"0")</f>
        <v>1503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727</v>
      </c>
      <c r="B479" s="54" t="s">
        <v>728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730</v>
      </c>
      <c r="B480" s="54" t="s">
        <v>731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733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734</v>
      </c>
      <c r="B485" s="54" t="s">
        <v>735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737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17540.400000000001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17676.5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738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18809.566259272862</v>
      </c>
      <c r="Y489" s="541">
        <f>IFERROR(SUM(BN22:BN485),"0")</f>
        <v>18957.386000000006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739</v>
      </c>
      <c r="Q490" s="624"/>
      <c r="R490" s="624"/>
      <c r="S490" s="624"/>
      <c r="T490" s="624"/>
      <c r="U490" s="624"/>
      <c r="V490" s="625"/>
      <c r="W490" s="37" t="s">
        <v>740</v>
      </c>
      <c r="X490" s="38">
        <f>ROUNDUP(SUM(BO22:BO485),0)</f>
        <v>33</v>
      </c>
      <c r="Y490" s="38">
        <f>ROUNDUP(SUM(BP22:BP485),0)</f>
        <v>34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741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19634.566259272862</v>
      </c>
      <c r="Y491" s="541">
        <f>GrossWeightTotalR+PalletQtyTotalR*25</f>
        <v>19807.386000000006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742</v>
      </c>
      <c r="Q492" s="624"/>
      <c r="R492" s="624"/>
      <c r="S492" s="624"/>
      <c r="T492" s="624"/>
      <c r="U492" s="624"/>
      <c r="V492" s="625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4296.995503325963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4325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743</v>
      </c>
      <c r="Q493" s="624"/>
      <c r="R493" s="624"/>
      <c r="S493" s="624"/>
      <c r="T493" s="624"/>
      <c r="U493" s="624"/>
      <c r="V493" s="625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38.956140000000005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256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534</v>
      </c>
      <c r="T495" s="592"/>
      <c r="U495" s="571" t="s">
        <v>586</v>
      </c>
      <c r="V495" s="591"/>
      <c r="W495" s="592"/>
      <c r="X495" s="536" t="s">
        <v>637</v>
      </c>
      <c r="Y495" s="571" t="s">
        <v>697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746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221</v>
      </c>
      <c r="H496" s="571" t="s">
        <v>97</v>
      </c>
      <c r="I496" s="571" t="s">
        <v>257</v>
      </c>
      <c r="J496" s="571" t="s">
        <v>298</v>
      </c>
      <c r="K496" s="571" t="s">
        <v>358</v>
      </c>
      <c r="L496" s="571" t="s">
        <v>400</v>
      </c>
      <c r="M496" s="571" t="s">
        <v>416</v>
      </c>
      <c r="N496" s="537"/>
      <c r="O496" s="571" t="s">
        <v>427</v>
      </c>
      <c r="P496" s="571" t="s">
        <v>436</v>
      </c>
      <c r="Q496" s="571" t="s">
        <v>446</v>
      </c>
      <c r="R496" s="571" t="s">
        <v>524</v>
      </c>
      <c r="S496" s="571" t="s">
        <v>535</v>
      </c>
      <c r="T496" s="571" t="s">
        <v>570</v>
      </c>
      <c r="U496" s="571" t="s">
        <v>587</v>
      </c>
      <c r="V496" s="571" t="s">
        <v>618</v>
      </c>
      <c r="W496" s="571" t="s">
        <v>633</v>
      </c>
      <c r="X496" s="571" t="s">
        <v>637</v>
      </c>
      <c r="Y496" s="571" t="s">
        <v>697</v>
      </c>
      <c r="Z496" s="571" t="s">
        <v>733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1383.3</v>
      </c>
      <c r="E498" s="46">
        <f>IFERROR(Y85*1,"0")+IFERROR(Y86*1,"0")+IFERROR(Y87*1,"0")+IFERROR(Y91*1,"0")+IFERROR(Y92*1,"0")+IFERROR(Y93*1,"0")+IFERROR(Y94*1,"0")</f>
        <v>1658.7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1813.5000000000002</v>
      </c>
      <c r="G498" s="46">
        <f>IFERROR(Y124*1,"0")+IFERROR(Y125*1,"0")+IFERROR(Y129*1,"0")+IFERROR(Y130*1,"0")+IFERROR(Y134*1,"0")+IFERROR(Y135*1,"0")</f>
        <v>213.2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866.46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2794.5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160.79999999999998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376.8</v>
      </c>
      <c r="P498" s="46">
        <f>IFERROR(Y278*1,"0")+IFERROR(Y279*1,"0")+IFERROR(Y283*1,"0")</f>
        <v>21.599999999999998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1214.5999999999999</v>
      </c>
      <c r="R498" s="46">
        <f>IFERROR(Y334*1,"0")+IFERROR(Y335*1,"0")+IFERROR(Y336*1,"0")</f>
        <v>1297.8000000000002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2674</v>
      </c>
      <c r="T498" s="46">
        <f>IFERROR(Y367*1,"0")+IFERROR(Y368*1,"0")+IFERROR(Y372*1,"0")+IFERROR(Y373*1,"0")+IFERROR(Y377*1,"0")+IFERROR(Y378*1,"0")</f>
        <v>150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165.9</v>
      </c>
      <c r="V498" s="46">
        <f>IFERROR(Y402*1,"0")+IFERROR(Y406*1,"0")+IFERROR(Y407*1,"0")+IFERROR(Y408*1,"0")+IFERROR(Y409*1,"0")</f>
        <v>18.900000000000002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935.04000000000008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1503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 145,00"/>
        <filter val="1 190,00"/>
        <filter val="1 200,00"/>
        <filter val="1 295,00"/>
        <filter val="1 500,00"/>
        <filter val="1 522,00"/>
        <filter val="10,00"/>
        <filter val="10,50"/>
        <filter val="100,00"/>
        <filter val="105,00"/>
        <filter val="108,00"/>
        <filter val="110,00"/>
        <filter val="114,00"/>
        <filter val="12,00"/>
        <filter val="120,00"/>
        <filter val="129,76"/>
        <filter val="13,89"/>
        <filter val="130,00"/>
        <filter val="130,56"/>
        <filter val="133,00"/>
        <filter val="134,26"/>
        <filter val="140,00"/>
        <filter val="144,00"/>
        <filter val="151,67"/>
        <filter val="152,00"/>
        <filter val="156,67"/>
        <filter val="16,67"/>
        <filter val="164,50"/>
        <filter val="166,67"/>
        <filter val="17 540,40"/>
        <filter val="17,50"/>
        <filter val="18 809,57"/>
        <filter val="18,00"/>
        <filter val="18,94"/>
        <filter val="180,00"/>
        <filter val="19 634,57"/>
        <filter val="2 225,00"/>
        <filter val="2,22"/>
        <filter val="2,56"/>
        <filter val="20,00"/>
        <filter val="225,00"/>
        <filter val="23,75"/>
        <filter val="230,00"/>
        <filter val="24,00"/>
        <filter val="240,00"/>
        <filter val="25,00"/>
        <filter val="26,17"/>
        <filter val="26,67"/>
        <filter val="262,50"/>
        <filter val="263,58"/>
        <filter val="280,00"/>
        <filter val="29,67"/>
        <filter val="292,50"/>
        <filter val="296,73"/>
        <filter val="3,33"/>
        <filter val="30,00"/>
        <filter val="300,00"/>
        <filter val="326,43"/>
        <filter val="33"/>
        <filter val="33,00"/>
        <filter val="330,00"/>
        <filter val="340,00"/>
        <filter val="348,00"/>
        <filter val="35,00"/>
        <filter val="350,00"/>
        <filter val="370,00"/>
        <filter val="376,00"/>
        <filter val="385,00"/>
        <filter val="387,04"/>
        <filter val="39,00"/>
        <filter val="4 297,00"/>
        <filter val="40,00"/>
        <filter val="400,00"/>
        <filter val="412,00"/>
        <filter val="450,00"/>
        <filter val="460,00"/>
        <filter val="495,00"/>
        <filter val="5,00"/>
        <filter val="5,56"/>
        <filter val="50,00"/>
        <filter val="500,00"/>
        <filter val="505,00"/>
        <filter val="52,50"/>
        <filter val="572,50"/>
        <filter val="59,40"/>
        <filter val="594,94"/>
        <filter val="6,00"/>
        <filter val="60,00"/>
        <filter val="600,00"/>
        <filter val="616,67"/>
        <filter val="64,00"/>
        <filter val="650,00"/>
        <filter val="66,00"/>
        <filter val="66,50"/>
        <filter val="675,00"/>
        <filter val="69,09"/>
        <filter val="7,00"/>
        <filter val="70,00"/>
        <filter val="71,67"/>
        <filter val="75,93"/>
        <filter val="76,00"/>
        <filter val="77,00"/>
        <filter val="78,33"/>
        <filter val="780,00"/>
        <filter val="8,00"/>
        <filter val="8,33"/>
        <filter val="80,00"/>
        <filter val="810,00"/>
        <filter val="835,50"/>
        <filter val="84,26"/>
        <filter val="90,00"/>
        <filter val="91,67"/>
        <filter val="910,00"/>
        <filter val="938,00"/>
        <filter val="96,00"/>
        <filter val="99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