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6C23B0F-E67F-4C65-9543-FC072260BEB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BP40" i="1" l="1"/>
  <c r="BN40" i="1"/>
  <c r="Z40" i="1"/>
  <c r="BP74" i="1"/>
  <c r="BN74" i="1"/>
  <c r="Z74" i="1"/>
  <c r="BP80" i="1"/>
  <c r="BN80" i="1"/>
  <c r="Z80" i="1"/>
  <c r="BP85" i="1"/>
  <c r="BN85" i="1"/>
  <c r="Z85" i="1"/>
  <c r="BP112" i="1"/>
  <c r="BN112" i="1"/>
  <c r="Z112" i="1"/>
  <c r="BP164" i="1"/>
  <c r="BN164" i="1"/>
  <c r="Z164" i="1"/>
  <c r="BP201" i="1"/>
  <c r="BN201" i="1"/>
  <c r="Z201" i="1"/>
  <c r="BP229" i="1"/>
  <c r="BN229" i="1"/>
  <c r="Z229" i="1"/>
  <c r="BP267" i="1"/>
  <c r="BN267" i="1"/>
  <c r="Z267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Z453" i="1" s="1"/>
  <c r="X489" i="1"/>
  <c r="Y32" i="1"/>
  <c r="Z34" i="1"/>
  <c r="Z35" i="1" s="1"/>
  <c r="BN34" i="1"/>
  <c r="BP34" i="1"/>
  <c r="Y35" i="1"/>
  <c r="BP55" i="1"/>
  <c r="BN55" i="1"/>
  <c r="Z55" i="1"/>
  <c r="BP100" i="1"/>
  <c r="BN100" i="1"/>
  <c r="Z100" i="1"/>
  <c r="BP135" i="1"/>
  <c r="BN135" i="1"/>
  <c r="Z135" i="1"/>
  <c r="BP140" i="1"/>
  <c r="BN140" i="1"/>
  <c r="Z140" i="1"/>
  <c r="Z143" i="1" s="1"/>
  <c r="BP176" i="1"/>
  <c r="BN176" i="1"/>
  <c r="Z176" i="1"/>
  <c r="BP211" i="1"/>
  <c r="BN211" i="1"/>
  <c r="Z211" i="1"/>
  <c r="BP212" i="1"/>
  <c r="BN212" i="1"/>
  <c r="Z212" i="1"/>
  <c r="BP249" i="1"/>
  <c r="BN249" i="1"/>
  <c r="Z249" i="1"/>
  <c r="BP299" i="1"/>
  <c r="BN299" i="1"/>
  <c r="Z299" i="1"/>
  <c r="BP328" i="1"/>
  <c r="BN328" i="1"/>
  <c r="Z328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338" i="1"/>
  <c r="BP87" i="1"/>
  <c r="BN87" i="1"/>
  <c r="Z87" i="1"/>
  <c r="BP102" i="1"/>
  <c r="BN102" i="1"/>
  <c r="Z102" i="1"/>
  <c r="BP114" i="1"/>
  <c r="BN114" i="1"/>
  <c r="Z114" i="1"/>
  <c r="BP142" i="1"/>
  <c r="BN142" i="1"/>
  <c r="Z142" i="1"/>
  <c r="BP166" i="1"/>
  <c r="BN166" i="1"/>
  <c r="Z166" i="1"/>
  <c r="J9" i="1"/>
  <c r="BP187" i="1"/>
  <c r="BN187" i="1"/>
  <c r="Z187" i="1"/>
  <c r="BP191" i="1"/>
  <c r="BN191" i="1"/>
  <c r="Z191" i="1"/>
  <c r="BP203" i="1"/>
  <c r="BN203" i="1"/>
  <c r="Z203" i="1"/>
  <c r="BP214" i="1"/>
  <c r="BN214" i="1"/>
  <c r="Z214" i="1"/>
  <c r="BP231" i="1"/>
  <c r="BN231" i="1"/>
  <c r="Z231" i="1"/>
  <c r="BP256" i="1"/>
  <c r="BN256" i="1"/>
  <c r="Z256" i="1"/>
  <c r="BP272" i="1"/>
  <c r="BN272" i="1"/>
  <c r="Z272" i="1"/>
  <c r="Y286" i="1"/>
  <c r="BP284" i="1"/>
  <c r="BN284" i="1"/>
  <c r="Z284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Z72" i="1"/>
  <c r="BN72" i="1"/>
  <c r="BP93" i="1"/>
  <c r="BN93" i="1"/>
  <c r="Z93" i="1"/>
  <c r="BP108" i="1"/>
  <c r="BN108" i="1"/>
  <c r="Z108" i="1"/>
  <c r="Y131" i="1"/>
  <c r="BP129" i="1"/>
  <c r="BN129" i="1"/>
  <c r="Z129" i="1"/>
  <c r="BP148" i="1"/>
  <c r="BN148" i="1"/>
  <c r="Z148" i="1"/>
  <c r="BP162" i="1"/>
  <c r="BN162" i="1"/>
  <c r="Z162" i="1"/>
  <c r="BP170" i="1"/>
  <c r="BN170" i="1"/>
  <c r="Z170" i="1"/>
  <c r="BP199" i="1"/>
  <c r="BN199" i="1"/>
  <c r="Z199" i="1"/>
  <c r="BP209" i="1"/>
  <c r="BN209" i="1"/>
  <c r="Z209" i="1"/>
  <c r="BP227" i="1"/>
  <c r="BN227" i="1"/>
  <c r="Z227" i="1"/>
  <c r="BP247" i="1"/>
  <c r="BN247" i="1"/>
  <c r="Z247" i="1"/>
  <c r="BP265" i="1"/>
  <c r="BN265" i="1"/>
  <c r="Z265" i="1"/>
  <c r="BP279" i="1"/>
  <c r="BN279" i="1"/>
  <c r="Z279" i="1"/>
  <c r="BP293" i="1"/>
  <c r="BN293" i="1"/>
  <c r="Z293" i="1"/>
  <c r="BP309" i="1"/>
  <c r="BN309" i="1"/>
  <c r="Z309" i="1"/>
  <c r="Y326" i="1"/>
  <c r="BP321" i="1"/>
  <c r="BN321" i="1"/>
  <c r="Z321" i="1"/>
  <c r="Z325" i="1" s="1"/>
  <c r="Y325" i="1"/>
  <c r="BP330" i="1"/>
  <c r="BN330" i="1"/>
  <c r="Z330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95" i="1"/>
  <c r="Y116" i="1"/>
  <c r="Y150" i="1"/>
  <c r="Y149" i="1"/>
  <c r="BP301" i="1"/>
  <c r="BN301" i="1"/>
  <c r="Z301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80" i="1"/>
  <c r="Y454" i="1"/>
  <c r="Y453" i="1"/>
  <c r="Y31" i="1"/>
  <c r="Y43" i="1"/>
  <c r="Y58" i="1"/>
  <c r="Y64" i="1"/>
  <c r="Y69" i="1"/>
  <c r="BP73" i="1"/>
  <c r="BN73" i="1"/>
  <c r="Z73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Y275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Y282" i="1"/>
  <c r="BP285" i="1"/>
  <c r="BN285" i="1"/>
  <c r="Z285" i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38" i="1" l="1"/>
  <c r="Z380" i="1"/>
  <c r="Z305" i="1"/>
  <c r="Z295" i="1"/>
  <c r="Z286" i="1"/>
  <c r="Z281" i="1"/>
  <c r="Z188" i="1"/>
  <c r="Z116" i="1"/>
  <c r="Z95" i="1"/>
  <c r="Z331" i="1"/>
  <c r="Z275" i="1"/>
  <c r="Z411" i="1"/>
  <c r="Z350" i="1"/>
  <c r="Z69" i="1"/>
  <c r="Y490" i="1"/>
  <c r="Z235" i="1"/>
  <c r="Z216" i="1"/>
  <c r="Z172" i="1"/>
  <c r="Z76" i="1"/>
  <c r="Z462" i="1"/>
  <c r="Y491" i="1"/>
  <c r="Z57" i="1"/>
  <c r="Z31" i="1"/>
  <c r="Y493" i="1"/>
  <c r="Y492" i="1"/>
  <c r="Z394" i="1"/>
  <c r="Y489" i="1"/>
  <c r="Z204" i="1"/>
  <c r="Z178" i="1"/>
  <c r="Z103" i="1"/>
  <c r="Z447" i="1"/>
  <c r="Z432" i="1"/>
  <c r="Z312" i="1"/>
  <c r="Z63" i="1"/>
  <c r="X492" i="1"/>
  <c r="Z268" i="1"/>
  <c r="Z260" i="1"/>
  <c r="Z251" i="1"/>
  <c r="Z494" i="1" l="1"/>
</calcChain>
</file>

<file path=xl/sharedStrings.xml><?xml version="1.0" encoding="utf-8"?>
<sst xmlns="http://schemas.openxmlformats.org/spreadsheetml/2006/main" count="2259" uniqueCount="768">
  <si>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</si>
  <si>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</si>
  <si>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</si>
  <si>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</si>
  <si>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</si>
  <si>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</si>
  <si>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</si>
  <si>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</si>
  <si>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</si>
  <si>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</si>
  <si>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</si>
  <si>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</si>
  <si>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</si>
  <si>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</si>
  <si>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</si>
  <si>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</si>
  <si>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</si>
  <si>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</si>
  <si>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</si>
  <si>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</si>
  <si>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</si>
  <si>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</si>
  <si>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</si>
  <si>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</si>
  <si>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</si>
  <si>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</si>
  <si>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</si>
  <si>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</si>
  <si>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</si>
  <si>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</si>
  <si>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</si>
  <si>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</si>
  <si>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</si>
  <si>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</si>
  <si>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</si>
  <si>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</si>
  <si>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</si>
  <si>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</si>
  <si>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</si>
  <si>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</si>
  <si>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</si>
  <si>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</si>
  <si>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</si>
  <si>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</si>
  <si>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</si>
  <si>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</si>
  <si>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</si>
  <si>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</si>
  <si>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</si>
  <si>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</si>
  <si>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</si>
  <si>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</si>
  <si>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</si>
  <si>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</si>
  <si>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</si>
  <si>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</si>
  <si>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</si>
  <si>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</si>
  <si>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</si>
  <si>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</si>
  <si>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</si>
  <si>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</si>
  <si>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</si>
  <si>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</si>
  <si>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</si>
  <si>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</si>
  <si>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</si>
  <si>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</si>
  <si>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</si>
  <si>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</si>
  <si>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</si>
  <si>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</si>
  <si>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</si>
  <si>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</si>
  <si>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</si>
  <si>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</si>
  <si>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</si>
  <si>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</si>
  <si>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</si>
  <si>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</si>
  <si>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</si>
  <si>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</si>
  <si>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</si>
  <si>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</si>
  <si>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</si>
  <si>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</si>
  <si>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</si>
  <si>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</si>
  <si>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</si>
  <si>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</si>
  <si>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</si>
  <si>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</si>
  <si>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</si>
  <si>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</si>
  <si>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</si>
  <si>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</si>
  <si>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</si>
  <si>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</si>
  <si>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</si>
  <si>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</si>
  <si>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</si>
  <si>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</si>
  <si>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</si>
  <si>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</si>
  <si>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</si>
  <si>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</si>
  <si>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</si>
  <si>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</si>
  <si>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</si>
  <si>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</si>
  <si>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</si>
  <si>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</si>
  <si>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</si>
  <si>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</si>
  <si>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</si>
  <si>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</si>
  <si>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</si>
  <si>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</si>
  <si>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</si>
  <si>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</si>
  <si>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</si>
  <si>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</si>
  <si>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</si>
  <si>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</si>
  <si>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</si>
  <si>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</si>
  <si>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</si>
  <si>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</si>
  <si>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</si>
  <si>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</si>
  <si>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</si>
  <si>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</si>
  <si>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</si>
  <si>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</si>
  <si>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</si>
  <si>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</si>
  <si>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</si>
  <si>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</si>
  <si>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</si>
  <si>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</si>
  <si>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</si>
  <si>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</si>
  <si>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</si>
  <si>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</si>
  <si>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</si>
  <si>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</si>
  <si>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</si>
  <si>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</si>
  <si>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</si>
  <si>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</si>
  <si>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</si>
  <si>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</si>
  <si>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</si>
  <si>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</si>
  <si>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</si>
  <si>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</si>
  <si>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</si>
  <si>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</si>
  <si>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</si>
  <si>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</si>
  <si>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</si>
  <si>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</si>
  <si>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</si>
  <si>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</si>
  <si>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</si>
  <si>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</si>
  <si>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</si>
  <si>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</si>
  <si>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</si>
  <si>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</si>
  <si>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</si>
  <si>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</si>
  <si>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</si>
  <si>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</si>
  <si>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</si>
  <si>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</si>
  <si>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</si>
  <si>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</si>
  <si>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</si>
  <si>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</si>
  <si>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</si>
  <si>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</si>
  <si>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</si>
  <si>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</si>
  <si>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</si>
  <si>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</si>
  <si>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</si>
  <si>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</si>
  <si>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</si>
  <si>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</si>
  <si>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</si>
  <si>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</si>
  <si>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</si>
  <si>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</si>
  <si>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</si>
  <si>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</si>
  <si>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</si>
  <si>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</si>
  <si>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</si>
  <si>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</si>
  <si>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</si>
  <si>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</si>
  <si>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</si>
  <si>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</si>
  <si>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</si>
  <si>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</si>
  <si>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</si>
  <si>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</si>
  <si>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</si>
  <si>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</si>
  <si>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</si>
  <si>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</si>
  <si>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</si>
  <si>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</si>
  <si>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</si>
  <si>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</si>
  <si>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</si>
  <si>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</si>
  <si>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</si>
  <si>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</si>
  <si>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</si>
  <si>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</si>
  <si>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</si>
  <si>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</si>
  <si>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</si>
  <si>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</si>
  <si>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</si>
  <si>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</si>
  <si>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</si>
  <si>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</si>
  <si>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</si>
  <si>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</si>
  <si>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</si>
  <si>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</si>
  <si>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</si>
  <si>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</si>
  <si>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</si>
  <si>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</si>
  <si>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</si>
  <si>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</si>
  <si>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</si>
  <si>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</si>
  <si>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</si>
  <si>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</si>
  <si>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</si>
  <si>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</si>
  <si>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</si>
  <si>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</si>
  <si>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</si>
  <si>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</si>
  <si>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</si>
  <si>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</si>
  <si>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</si>
  <si>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</si>
  <si>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</si>
  <si>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</si>
  <si>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</si>
  <si>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</si>
  <si>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</si>
  <si>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</si>
  <si>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</si>
  <si>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</si>
  <si>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</si>
  <si>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</si>
  <si>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</si>
  <si>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</si>
  <si>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</si>
  <si>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</si>
  <si>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</si>
  <si>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</si>
  <si>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</si>
  <si>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</si>
  <si>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</si>
  <si>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</si>
  <si>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</si>
  <si>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</si>
  <si>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</si>
  <si>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</si>
  <si>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</si>
  <si>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</si>
  <si>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</si>
  <si>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</si>
  <si>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</si>
  <si>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</si>
  <si>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</si>
  <si>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</si>
  <si>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</si>
  <si>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</si>
  <si>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</si>
  <si>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</si>
  <si>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</si>
  <si>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</si>
  <si>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</si>
  <si>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</si>
  <si>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</si>
  <si>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</si>
  <si>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</si>
  <si>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</si>
  <si>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</si>
  <si>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</si>
  <si>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</si>
  <si>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</si>
  <si>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</si>
  <si>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</si>
  <si>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</si>
  <si>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</si>
  <si>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</si>
  <si>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</si>
  <si>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</si>
  <si>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</si>
  <si>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</si>
  <si>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</si>
  <si>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</si>
  <si>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</si>
  <si>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</si>
  <si>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</si>
  <si>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</si>
  <si>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</si>
  <si>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</si>
  <si>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</si>
  <si>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</si>
  <si>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</si>
  <si>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</si>
  <si>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</si>
  <si>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</si>
  <si>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</si>
  <si>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</si>
  <si>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</si>
  <si>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</si>
  <si>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</si>
  <si>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</si>
  <si>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</si>
  <si>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</si>
  <si>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</si>
  <si>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</si>
  <si>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</si>
  <si>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</si>
  <si>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</si>
  <si>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</si>
  <si>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</si>
  <si>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</si>
  <si>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</si>
  <si>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</si>
  <si>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</si>
  <si>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</si>
  <si>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</si>
  <si>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</si>
  <si>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</si>
  <si>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</si>
  <si>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</si>
  <si>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</si>
  <si>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</si>
  <si>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</si>
  <si>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</si>
  <si>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</si>
  <si>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</si>
  <si>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</si>
  <si>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</si>
  <si>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</si>
  <si>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</si>
  <si>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</si>
  <si>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</si>
  <si>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</si>
  <si>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</si>
  <si>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</si>
  <si>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</si>
  <si>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</si>
  <si>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</si>
  <si>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</si>
  <si>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</si>
  <si>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</si>
  <si>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</si>
  <si>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</si>
  <si>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</si>
  <si>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</si>
  <si>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</si>
  <si>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</si>
  <si>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</si>
  <si>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</si>
  <si>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</si>
  <si>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</si>
  <si>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</si>
  <si>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</si>
  <si>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</si>
  <si>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</si>
  <si>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</si>
  <si>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</si>
  <si>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</si>
  <si>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</si>
  <si>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</si>
  <si>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</si>
  <si>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</si>
  <si>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</si>
  <si>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</si>
  <si>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</si>
  <si>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</si>
  <si>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</si>
  <si>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</si>
  <si>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</si>
  <si>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</si>
  <si>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</si>
  <si>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</si>
  <si>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</si>
  <si>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</si>
  <si>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</si>
  <si>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</si>
  <si>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</si>
  <si>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</si>
  <si>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</si>
  <si>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</si>
  <si>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</si>
  <si>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</si>
  <si>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</si>
  <si>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</si>
  <si>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</si>
  <si>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</si>
  <si>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</si>
  <si>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</si>
  <si>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</si>
  <si>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</si>
  <si>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</si>
  <si>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</si>
  <si>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</si>
  <si>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</si>
  <si>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</si>
  <si>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</si>
  <si>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</si>
  <si>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</si>
  <si>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</si>
  <si>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</si>
  <si>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</si>
  <si>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</si>
  <si>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</si>
  <si>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</si>
  <si>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</si>
  <si>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</si>
  <si>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</si>
  <si>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</si>
  <si>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</si>
  <si>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</si>
  <si>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</si>
  <si>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</si>
  <si>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</si>
  <si>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</si>
  <si>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</si>
  <si>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</si>
  <si>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</si>
  <si>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</si>
  <si>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</si>
  <si>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</si>
  <si>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</si>
  <si>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</si>
  <si>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</si>
  <si>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</si>
  <si>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</si>
  <si>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</si>
  <si>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</si>
  <si>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</si>
  <si>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</si>
  <si>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</si>
  <si>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</si>
  <si>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</si>
  <si>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</si>
  <si>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</si>
  <si>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</si>
  <si>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</si>
  <si>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</si>
  <si>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</si>
  <si>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</si>
  <si>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</si>
  <si>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</si>
  <si>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</si>
  <si>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</si>
  <si>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</si>
  <si>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</si>
  <si>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</si>
  <si>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</si>
  <si>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</si>
  <si>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</si>
  <si>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</si>
  <si>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</si>
  <si>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</si>
  <si>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</si>
  <si>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</si>
  <si>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</si>
  <si>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</si>
  <si>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</si>
  <si>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</si>
  <si>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</si>
  <si>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</si>
  <si>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</si>
  <si>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</si>
  <si>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</si>
  <si>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</si>
  <si>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</si>
  <si>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</si>
  <si>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</si>
  <si>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</si>
  <si>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</si>
  <si>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</si>
  <si>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</si>
  <si>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</si>
  <si>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</si>
  <si>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</si>
  <si>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</si>
  <si>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</si>
  <si>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</si>
  <si>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</si>
  <si>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</si>
  <si>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</si>
  <si>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</si>
  <si>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</si>
  <si>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</si>
  <si>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</si>
  <si>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</si>
  <si>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</si>
  <si>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</si>
  <si>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</si>
  <si>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</si>
  <si>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</si>
  <si>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</si>
  <si>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</si>
  <si>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</si>
  <si>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</si>
  <si>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</si>
  <si>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</si>
  <si>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</si>
  <si>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</si>
  <si>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</si>
  <si>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</si>
  <si>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</si>
  <si>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</si>
  <si>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</si>
  <si>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</si>
  <si>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</si>
  <si>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</si>
  <si>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</si>
  <si>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</si>
  <si>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</si>
  <si>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</si>
  <si>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</si>
  <si>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</si>
  <si>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</si>
  <si>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</si>
  <si>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</si>
  <si>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</si>
  <si>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</si>
  <si>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</si>
  <si>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</si>
  <si>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</si>
  <si>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</si>
  <si>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</si>
  <si>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</si>
  <si>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</si>
  <si>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</si>
  <si>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</si>
  <si>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</si>
  <si>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</si>
  <si>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</si>
  <si>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</si>
  <si>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</si>
  <si>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</si>
  <si>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</si>
  <si>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</si>
  <si>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</si>
  <si>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</si>
  <si>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</si>
  <si>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</si>
  <si>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</si>
  <si>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</si>
  <si>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</si>
  <si>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</si>
  <si>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</si>
  <si>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</si>
  <si>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</si>
  <si>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</si>
  <si>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</si>
  <si>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</si>
  <si>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</si>
  <si>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</si>
  <si>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</si>
  <si>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</si>
  <si>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</si>
  <si>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</si>
  <si>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</si>
  <si>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</si>
  <si>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</si>
  <si>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</si>
  <si>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</si>
  <si>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</si>
  <si>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</si>
  <si>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</si>
  <si>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</si>
  <si>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</si>
  <si>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</si>
  <si>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</si>
  <si>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</si>
  <si>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</si>
  <si>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</si>
  <si>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</si>
  <si>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</si>
  <si>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</si>
  <si>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</si>
  <si>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</si>
  <si>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</si>
  <si>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</si>
  <si>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</si>
  <si>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</si>
  <si>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</si>
  <si>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</si>
  <si>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</si>
  <si>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</si>
  <si>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</si>
  <si>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</si>
  <si>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</si>
  <si>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</si>
  <si>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</si>
  <si>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</si>
  <si>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</si>
  <si>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</si>
  <si>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</si>
  <si>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</si>
  <si>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</si>
  <si>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</si>
  <si>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</si>
  <si>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</si>
  <si>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</si>
  <si>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</si>
  <si>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</si>
  <si>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</si>
  <si>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</si>
  <si>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</si>
  <si>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</si>
  <si>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</si>
  <si>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</si>
  <si>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</si>
  <si>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</si>
  <si>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</si>
  <si>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</si>
  <si>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</si>
  <si>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</si>
  <si>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</si>
  <si>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</si>
  <si>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</si>
  <si>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</si>
  <si>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</si>
  <si>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</si>
  <si>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</si>
  <si>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</si>
  <si>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</si>
  <si>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</si>
  <si>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</si>
  <si>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</si>
  <si>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</si>
  <si>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</si>
  <si>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</si>
  <si>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</si>
  <si>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</si>
  <si>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</si>
  <si>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</si>
  <si>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</si>
  <si>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</si>
  <si>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</si>
  <si>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</si>
  <si>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</si>
  <si>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</si>
  <si>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</si>
  <si>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</si>
  <si>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</si>
  <si>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</si>
  <si>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</si>
  <si>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</si>
  <si>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</si>
  <si>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</si>
  <si>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</si>
  <si>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</si>
  <si>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</si>
  <si>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</si>
  <si>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</si>
  <si>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</si>
  <si>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</si>
  <si>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</si>
  <si>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</si>
  <si>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</si>
  <si>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</si>
  <si>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</si>
  <si>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</si>
  <si>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</si>
  <si>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</si>
  <si>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</si>
  <si>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</si>
  <si>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</si>
  <si>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</si>
  <si>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</si>
  <si>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</si>
  <si>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</si>
  <si>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</si>
  <si>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</si>
  <si>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</si>
  <si>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</si>
  <si>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</si>
  <si>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</si>
  <si>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</si>
  <si>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</si>
  <si>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</si>
  <si>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</si>
  <si>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</si>
  <si>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</si>
  <si>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</si>
  <si>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</si>
  <si>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</si>
  <si>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</si>
  <si>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</si>
  <si>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</si>
  <si>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</si>
  <si>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</si>
  <si>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</si>
  <si>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</si>
  <si>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</si>
  <si>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</si>
  <si>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</si>
  <si>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</si>
  <si>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</si>
  <si>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</si>
  <si>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</si>
  <si>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</si>
  <si>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</si>
  <si>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</si>
  <si>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</si>
  <si>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</si>
  <si>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</si>
  <si>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</si>
  <si>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</si>
  <si>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</si>
  <si>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</si>
  <si>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</si>
  <si>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</si>
  <si>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</si>
  <si>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</si>
  <si>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</si>
  <si>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</si>
  <si>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</si>
  <si>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</si>
  <si>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</si>
  <si>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</si>
  <si>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</si>
  <si>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</si>
  <si>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</si>
  <si>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</si>
  <si>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</si>
  <si>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</si>
  <si>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</si>
  <si>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</si>
  <si>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</si>
  <si>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</si>
  <si>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</si>
  <si>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</si>
  <si>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</si>
  <si>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</si>
  <si>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</si>
  <si>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</si>
  <si>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</si>
  <si>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</si>
  <si>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</si>
  <si>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</si>
  <si>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</si>
  <si>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</si>
  <si>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8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</si>
</sst>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45980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Среда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0.45833333333333331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219</v>
      </c>
      <c r="Y40" s="542">
        <f>IFERROR(IF(X40="",0,CEILING((X40/$H40),1)*$H40),"")</f>
        <v>226.8</v>
      </c>
      <c r="Z40" s="36">
        <f>IFERROR(IF(Y40=0,"",ROUNDUP(Y40/H40,0)*0.01898),"")</f>
        <v>0.39857999999999999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227.3138888888889</v>
      </c>
      <c r="BN40" s="64">
        <f>IFERROR(Y40*I40/H40,"0")</f>
        <v>235.41000000000003</v>
      </c>
      <c r="BO40" s="64">
        <f>IFERROR(1/J40*(X40/H40),"0")</f>
        <v>0.31684027777777773</v>
      </c>
      <c r="BP40" s="64">
        <f>IFERROR(1/J40*(Y40/H40),"0")</f>
        <v>0.328125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59</v>
      </c>
      <c r="Y42" s="542">
        <f>IFERROR(IF(X42="",0,CEILING((X42/$H42),1)*$H42),"")</f>
        <v>59.2</v>
      </c>
      <c r="Z42" s="36">
        <f>IFERROR(IF(Y42=0,"",ROUNDUP(Y42/H42,0)*0.00902),"")</f>
        <v>0.14432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62.029729729729731</v>
      </c>
      <c r="BN42" s="64">
        <f>IFERROR(Y42*I42/H42,"0")</f>
        <v>62.24</v>
      </c>
      <c r="BO42" s="64">
        <f>IFERROR(1/J42*(X42/H42),"0")</f>
        <v>0.1208026208026208</v>
      </c>
      <c r="BP42" s="64">
        <f>IFERROR(1/J42*(Y42/H42),"0")</f>
        <v>0.12121212121212122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36.223723723723722</v>
      </c>
      <c r="Y43" s="543">
        <f>IFERROR(Y40/H40,"0")+IFERROR(Y41/H41,"0")+IFERROR(Y42/H42,"0")</f>
        <v>37</v>
      </c>
      <c r="Z43" s="543">
        <f>IFERROR(IF(Z40="",0,Z40),"0")+IFERROR(IF(Z41="",0,Z41),"0")+IFERROR(IF(Z42="",0,Z42),"0")</f>
        <v>0.54289999999999994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278</v>
      </c>
      <c r="Y44" s="543">
        <f>IFERROR(SUM(Y40:Y42),"0")</f>
        <v>286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86</v>
      </c>
      <c r="Y52" s="542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89.264814814814812</v>
      </c>
      <c r="BN52" s="64">
        <f t="shared" si="2"/>
        <v>89.68</v>
      </c>
      <c r="BO52" s="64">
        <f t="shared" si="3"/>
        <v>0.12442129629629629</v>
      </c>
      <c r="BP52" s="64">
        <f t="shared" si="4"/>
        <v>0.125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7.9629629629629628</v>
      </c>
      <c r="Y57" s="543">
        <f>IFERROR(Y51/H51,"0")+IFERROR(Y52/H52,"0")+IFERROR(Y53/H53,"0")+IFERROR(Y54/H54,"0")+IFERROR(Y55/H55,"0")+IFERROR(Y56/H56,"0")</f>
        <v>8</v>
      </c>
      <c r="Z57" s="543">
        <f>IFERROR(IF(Z51="",0,Z51),"0")+IFERROR(IF(Z52="",0,Z52),"0")+IFERROR(IF(Z53="",0,Z53),"0")+IFERROR(IF(Z54="",0,Z54),"0")+IFERROR(IF(Z55="",0,Z55),"0")+IFERROR(IF(Z56="",0,Z56),"0")</f>
        <v>0.15184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86</v>
      </c>
      <c r="Y58" s="543">
        <f>IFERROR(SUM(Y51:Y56),"0")</f>
        <v>86.4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98</v>
      </c>
      <c r="Y60" s="542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101.72037037037038</v>
      </c>
      <c r="BN60" s="64">
        <f>IFERROR(Y60*I60/H60,"0")</f>
        <v>112.1</v>
      </c>
      <c r="BO60" s="64">
        <f>IFERROR(1/J60*(X60/H60),"0")</f>
        <v>0.14178240740740738</v>
      </c>
      <c r="BP60" s="64">
        <f>IFERROR(1/J60*(Y60/H60),"0")</f>
        <v>0.15625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9.0740740740740726</v>
      </c>
      <c r="Y63" s="543">
        <f>IFERROR(Y60/H60,"0")+IFERROR(Y61/H61,"0")+IFERROR(Y62/H62,"0")</f>
        <v>10</v>
      </c>
      <c r="Z63" s="543">
        <f>IFERROR(IF(Z60="",0,Z60),"0")+IFERROR(IF(Z61="",0,Z61),"0")+IFERROR(IF(Z62="",0,Z62),"0")</f>
        <v>0.1898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98</v>
      </c>
      <c r="Y64" s="543">
        <f>IFERROR(SUM(Y60:Y62),"0")</f>
        <v>108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165</v>
      </c>
      <c r="Y85" s="542">
        <f>IFERROR(IF(X85="",0,CEILING((X85/$H85),1)*$H85),"")</f>
        <v>172.8</v>
      </c>
      <c r="Z85" s="36">
        <f>IFERROR(IF(Y85=0,"",ROUNDUP(Y85/H85,0)*0.01898),"")</f>
        <v>0.30368000000000001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171.26388888888889</v>
      </c>
      <c r="BN85" s="64">
        <f>IFERROR(Y85*I85/H85,"0")</f>
        <v>179.36</v>
      </c>
      <c r="BO85" s="64">
        <f>IFERROR(1/J85*(X85/H85),"0")</f>
        <v>0.23871527777777776</v>
      </c>
      <c r="BP85" s="64">
        <f>IFERROR(1/J85*(Y85/H85),"0")</f>
        <v>0.25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78</v>
      </c>
      <c r="Y87" s="542">
        <f>IFERROR(IF(X87="",0,CEILING((X87/$H87),1)*$H87),"")</f>
        <v>81</v>
      </c>
      <c r="Z87" s="36">
        <f>IFERROR(IF(Y87=0,"",ROUNDUP(Y87/H87,0)*0.00902),"")</f>
        <v>0.16236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81.293333333333351</v>
      </c>
      <c r="BN87" s="64">
        <f>IFERROR(Y87*I87/H87,"0")</f>
        <v>84.420000000000016</v>
      </c>
      <c r="BO87" s="64">
        <f>IFERROR(1/J87*(X87/H87),"0")</f>
        <v>0.1313131313131313</v>
      </c>
      <c r="BP87" s="64">
        <f>IFERROR(1/J87*(Y87/H87),"0")</f>
        <v>0.13636363636363635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32.611111111111107</v>
      </c>
      <c r="Y88" s="543">
        <f>IFERROR(Y85/H85,"0")+IFERROR(Y86/H86,"0")+IFERROR(Y87/H87,"0")</f>
        <v>34</v>
      </c>
      <c r="Z88" s="543">
        <f>IFERROR(IF(Z85="",0,Z85),"0")+IFERROR(IF(Z86="",0,Z86),"0")+IFERROR(IF(Z87="",0,Z87),"0")</f>
        <v>0.46604000000000001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243</v>
      </c>
      <c r="Y89" s="543">
        <f>IFERROR(SUM(Y85:Y87),"0")</f>
        <v>253.8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49</v>
      </c>
      <c r="Y93" s="542">
        <f>IFERROR(IF(X93="",0,CEILING((X93/$H93),1)*$H93),"")</f>
        <v>51.300000000000004</v>
      </c>
      <c r="Z93" s="36">
        <f>IFERROR(IF(Y93=0,"",ROUNDUP(Y93/H93,0)*0.00651),"")</f>
        <v>0.12369000000000001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53.573333333333331</v>
      </c>
      <c r="BN93" s="64">
        <f>IFERROR(Y93*I93/H93,"0")</f>
        <v>56.088000000000001</v>
      </c>
      <c r="BO93" s="64">
        <f>IFERROR(1/J93*(X93/H93),"0")</f>
        <v>9.9715099715099703E-2</v>
      </c>
      <c r="BP93" s="64">
        <f>IFERROR(1/J93*(Y93/H93),"0")</f>
        <v>0.1043956043956044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18.148148148148145</v>
      </c>
      <c r="Y95" s="543">
        <f>IFERROR(Y91/H91,"0")+IFERROR(Y92/H92,"0")+IFERROR(Y93/H93,"0")+IFERROR(Y94/H94,"0")</f>
        <v>19</v>
      </c>
      <c r="Z95" s="543">
        <f>IFERROR(IF(Z91="",0,Z91),"0")+IFERROR(IF(Z92="",0,Z92),"0")+IFERROR(IF(Z93="",0,Z93),"0")+IFERROR(IF(Z94="",0,Z94),"0")</f>
        <v>0.12369000000000001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49</v>
      </c>
      <c r="Y96" s="543">
        <f>IFERROR(SUM(Y91:Y94),"0")</f>
        <v>51.300000000000004</v>
      </c>
      <c r="Z96" s="37"/>
      <c r="AA96" s="544"/>
      <c r="AB96" s="544"/>
      <c r="AC96" s="544"/>
    </row>
    <row r="97" spans="1:68" ht="16.5" hidden="1" customHeight="1" x14ac:dyDescent="0.25">
      <c r="A97" s="566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175</v>
      </c>
      <c r="Y99" s="542">
        <f>IFERROR(IF(X99="",0,CEILING((X99/$H99),1)*$H99),"")</f>
        <v>183.60000000000002</v>
      </c>
      <c r="Z99" s="36">
        <f>IFERROR(IF(Y99=0,"",ROUNDUP(Y99/H99,0)*0.01898),"")</f>
        <v>0.32266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181.64351851851853</v>
      </c>
      <c r="BN99" s="64">
        <f>IFERROR(Y99*I99/H99,"0")</f>
        <v>190.57000000000002</v>
      </c>
      <c r="BO99" s="64">
        <f>IFERROR(1/J99*(X99/H99),"0")</f>
        <v>0.25318287037037035</v>
      </c>
      <c r="BP99" s="64">
        <f>IFERROR(1/J99*(Y99/H99),"0")</f>
        <v>0.265625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47</v>
      </c>
      <c r="Y101" s="542">
        <f>IFERROR(IF(X101="",0,CEILING((X101/$H101),1)*$H101),"")</f>
        <v>49.5</v>
      </c>
      <c r="Z101" s="36">
        <f>IFERROR(IF(Y101=0,"",ROUNDUP(Y101/H101,0)*0.00902),"")</f>
        <v>9.9220000000000003E-2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48.984444444444449</v>
      </c>
      <c r="BN101" s="64">
        <f>IFERROR(Y101*I101/H101,"0")</f>
        <v>51.59</v>
      </c>
      <c r="BO101" s="64">
        <f>IFERROR(1/J101*(X101/H101),"0")</f>
        <v>7.9124579124579125E-2</v>
      </c>
      <c r="BP101" s="64">
        <f>IFERROR(1/J101*(Y101/H101),"0")</f>
        <v>8.3333333333333343E-2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26.648148148148145</v>
      </c>
      <c r="Y103" s="543">
        <f>IFERROR(Y99/H99,"0")+IFERROR(Y100/H100,"0")+IFERROR(Y101/H101,"0")+IFERROR(Y102/H102,"0")</f>
        <v>28</v>
      </c>
      <c r="Z103" s="543">
        <f>IFERROR(IF(Z99="",0,Z99),"0")+IFERROR(IF(Z100="",0,Z100),"0")+IFERROR(IF(Z101="",0,Z101),"0")+IFERROR(IF(Z102="",0,Z102),"0")</f>
        <v>0.42188000000000003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222</v>
      </c>
      <c r="Y104" s="543">
        <f>IFERROR(SUM(Y99:Y102),"0")</f>
        <v>233.10000000000002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28</v>
      </c>
      <c r="Y108" s="542">
        <f>IFERROR(IF(X108="",0,CEILING((X108/$H108),1)*$H108),"")</f>
        <v>28.799999999999997</v>
      </c>
      <c r="Z108" s="36">
        <f>IFERROR(IF(Y108=0,"",ROUNDUP(Y108/H108,0)*0.00651),"")</f>
        <v>7.8119999999999995E-2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30.100000000000005</v>
      </c>
      <c r="BN108" s="64">
        <f>IFERROR(Y108*I108/H108,"0")</f>
        <v>30.959999999999997</v>
      </c>
      <c r="BO108" s="64">
        <f>IFERROR(1/J108*(X108/H108),"0")</f>
        <v>6.4102564102564111E-2</v>
      </c>
      <c r="BP108" s="64">
        <f>IFERROR(1/J108*(Y108/H108),"0")</f>
        <v>6.5934065934065936E-2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11.666666666666668</v>
      </c>
      <c r="Y109" s="543">
        <f>IFERROR(Y106/H106,"0")+IFERROR(Y107/H107,"0")+IFERROR(Y108/H108,"0")</f>
        <v>12</v>
      </c>
      <c r="Z109" s="543">
        <f>IFERROR(IF(Z106="",0,Z106),"0")+IFERROR(IF(Z107="",0,Z107),"0")+IFERROR(IF(Z108="",0,Z108),"0")</f>
        <v>7.8119999999999995E-2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28</v>
      </c>
      <c r="Y110" s="543">
        <f>IFERROR(SUM(Y106:Y108),"0")</f>
        <v>28.799999999999997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72</v>
      </c>
      <c r="Y112" s="542">
        <f>IFERROR(IF(X112="",0,CEILING((X112/$H112),1)*$H112),"")</f>
        <v>72.899999999999991</v>
      </c>
      <c r="Z112" s="36">
        <f>IFERROR(IF(Y112=0,"",ROUNDUP(Y112/H112,0)*0.01898),"")</f>
        <v>0.17082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76.337777777777774</v>
      </c>
      <c r="BN112" s="64">
        <f>IFERROR(Y112*I112/H112,"0")</f>
        <v>77.291999999999987</v>
      </c>
      <c r="BO112" s="64">
        <f>IFERROR(1/J112*(X112/H112),"0")</f>
        <v>0.1388888888888889</v>
      </c>
      <c r="BP112" s="64">
        <f>IFERROR(1/J112*(Y112/H112),"0")</f>
        <v>0.140625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85</v>
      </c>
      <c r="Y114" s="542">
        <f>IFERROR(IF(X114="",0,CEILING((X114/$H114),1)*$H114),"")</f>
        <v>86.4</v>
      </c>
      <c r="Z114" s="36">
        <f>IFERROR(IF(Y114=0,"",ROUNDUP(Y114/H114,0)*0.00651),"")</f>
        <v>0.20832000000000001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92.933333333333323</v>
      </c>
      <c r="BN114" s="64">
        <f>IFERROR(Y114*I114/H114,"0")</f>
        <v>94.463999999999999</v>
      </c>
      <c r="BO114" s="64">
        <f>IFERROR(1/J114*(X114/H114),"0")</f>
        <v>0.17297517297517298</v>
      </c>
      <c r="BP114" s="64">
        <f>IFERROR(1/J114*(Y114/H114),"0")</f>
        <v>0.17582417582417584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40.370370370370367</v>
      </c>
      <c r="Y116" s="543">
        <f>IFERROR(Y112/H112,"0")+IFERROR(Y113/H113,"0")+IFERROR(Y114/H114,"0")+IFERROR(Y115/H115,"0")</f>
        <v>41</v>
      </c>
      <c r="Z116" s="543">
        <f>IFERROR(IF(Z112="",0,Z112),"0")+IFERROR(IF(Z113="",0,Z113),"0")+IFERROR(IF(Z114="",0,Z114),"0")+IFERROR(IF(Z115="",0,Z115),"0")</f>
        <v>0.37914000000000003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157</v>
      </c>
      <c r="Y117" s="543">
        <f>IFERROR(SUM(Y112:Y115),"0")</f>
        <v>159.30000000000001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hidden="1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hidden="1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108</v>
      </c>
      <c r="Y209" s="542">
        <f t="shared" si="15"/>
        <v>113.1</v>
      </c>
      <c r="Z209" s="36">
        <f>IFERROR(IF(Y209=0,"",ROUNDUP(Y209/H209,0)*0.01898),"")</f>
        <v>0.24674000000000001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114.13241379310347</v>
      </c>
      <c r="BN209" s="64">
        <f t="shared" si="17"/>
        <v>119.52200000000001</v>
      </c>
      <c r="BO209" s="64">
        <f t="shared" si="18"/>
        <v>0.19396551724137934</v>
      </c>
      <c r="BP209" s="64">
        <f t="shared" si="19"/>
        <v>0.203125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243</v>
      </c>
      <c r="Y212" s="542">
        <f t="shared" si="15"/>
        <v>244.79999999999998</v>
      </c>
      <c r="Z212" s="36">
        <f t="shared" si="20"/>
        <v>0.66402000000000005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268.51500000000004</v>
      </c>
      <c r="BN212" s="64">
        <f t="shared" si="17"/>
        <v>270.50400000000002</v>
      </c>
      <c r="BO212" s="64">
        <f t="shared" si="18"/>
        <v>0.55631868131868134</v>
      </c>
      <c r="BP212" s="64">
        <f t="shared" si="19"/>
        <v>0.56043956043956045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121</v>
      </c>
      <c r="Y213" s="542">
        <f t="shared" si="15"/>
        <v>122.39999999999999</v>
      </c>
      <c r="Z213" s="36">
        <f t="shared" si="20"/>
        <v>0.33201000000000003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133.70500000000001</v>
      </c>
      <c r="BN213" s="64">
        <f t="shared" si="17"/>
        <v>135.25200000000001</v>
      </c>
      <c r="BO213" s="64">
        <f t="shared" si="18"/>
        <v>0.27701465201465209</v>
      </c>
      <c r="BP213" s="64">
        <f t="shared" si="19"/>
        <v>0.28021978021978022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164.08045977011494</v>
      </c>
      <c r="Y216" s="543">
        <f>IFERROR(Y207/H207,"0")+IFERROR(Y208/H208,"0")+IFERROR(Y209/H209,"0")+IFERROR(Y210/H210,"0")+IFERROR(Y211/H211,"0")+IFERROR(Y212/H212,"0")+IFERROR(Y213/H213,"0")+IFERROR(Y214/H214,"0")+IFERROR(Y215/H215,"0")</f>
        <v>166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1.2427700000000002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472</v>
      </c>
      <c r="Y217" s="543">
        <f>IFERROR(SUM(Y207:Y215),"0")</f>
        <v>480.29999999999995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6</v>
      </c>
      <c r="Y330" s="542">
        <f>IFERROR(IF(X330="",0,CEILING((X330/$H330),1)*$H330),"")</f>
        <v>6</v>
      </c>
      <c r="Z330" s="36">
        <f>IFERROR(IF(Y330=0,"",ROUNDUP(Y330/H330,0)*0.00474),"")</f>
        <v>1.422E-2</v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6.7200000000000006</v>
      </c>
      <c r="BN330" s="64">
        <f>IFERROR(Y330*I330/H330,"0")</f>
        <v>6.7200000000000006</v>
      </c>
      <c r="BO330" s="64">
        <f>IFERROR(1/J330*(X330/H330),"0")</f>
        <v>1.2605042016806723E-2</v>
      </c>
      <c r="BP330" s="64">
        <f>IFERROR(1/J330*(Y330/H330),"0")</f>
        <v>1.2605042016806723E-2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3</v>
      </c>
      <c r="Y331" s="543">
        <f>IFERROR(Y328/H328,"0")+IFERROR(Y329/H329,"0")+IFERROR(Y330/H330,"0")</f>
        <v>3</v>
      </c>
      <c r="Z331" s="543">
        <f>IFERROR(IF(Z328="",0,Z328),"0")+IFERROR(IF(Z329="",0,Z329),"0")+IFERROR(IF(Z330="",0,Z330),"0")</f>
        <v>1.422E-2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6</v>
      </c>
      <c r="Y332" s="543">
        <f>IFERROR(SUM(Y328:Y330),"0")</f>
        <v>6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449</v>
      </c>
      <c r="Y343" s="542">
        <f t="shared" ref="Y343:Y349" si="31">IFERROR(IF(X343="",0,CEILING((X343/$H343),1)*$H343),"")</f>
        <v>450</v>
      </c>
      <c r="Z343" s="36">
        <f>IFERROR(IF(Y343=0,"",ROUNDUP(Y343/H343,0)*0.02175),"")</f>
        <v>0.65249999999999997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463.06866666666673</v>
      </c>
      <c r="BN343" s="64">
        <f t="shared" ref="BN343:BN349" si="33">IFERROR(Y343*I343/H343,"0")</f>
        <v>464.1</v>
      </c>
      <c r="BO343" s="64">
        <f t="shared" ref="BO343:BO349" si="34">IFERROR(1/J343*(X343/H343),"0")</f>
        <v>0.62361111111111112</v>
      </c>
      <c r="BP343" s="64">
        <f t="shared" ref="BP343:BP349" si="35">IFERROR(1/J343*(Y343/H343),"0")</f>
        <v>0.625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276</v>
      </c>
      <c r="Y344" s="542">
        <f t="shared" si="31"/>
        <v>285</v>
      </c>
      <c r="Z344" s="36">
        <f>IFERROR(IF(Y344=0,"",ROUNDUP(Y344/H344,0)*0.02175),"")</f>
        <v>0.41324999999999995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284.64800000000002</v>
      </c>
      <c r="BN344" s="64">
        <f t="shared" si="33"/>
        <v>293.93</v>
      </c>
      <c r="BO344" s="64">
        <f t="shared" si="34"/>
        <v>0.3833333333333333</v>
      </c>
      <c r="BP344" s="64">
        <f t="shared" si="35"/>
        <v>0.39583333333333331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262</v>
      </c>
      <c r="Y345" s="542">
        <f t="shared" si="31"/>
        <v>270</v>
      </c>
      <c r="Z345" s="36">
        <f>IFERROR(IF(Y345=0,"",ROUNDUP(Y345/H345,0)*0.02175),"")</f>
        <v>0.39149999999999996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270.20933333333335</v>
      </c>
      <c r="BN345" s="64">
        <f t="shared" si="33"/>
        <v>278.46000000000004</v>
      </c>
      <c r="BO345" s="64">
        <f t="shared" si="34"/>
        <v>0.36388888888888882</v>
      </c>
      <c r="BP345" s="64">
        <f t="shared" si="35"/>
        <v>0.375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312</v>
      </c>
      <c r="Y346" s="542">
        <f t="shared" si="31"/>
        <v>315</v>
      </c>
      <c r="Z346" s="36">
        <f>IFERROR(IF(Y346=0,"",ROUNDUP(Y346/H346,0)*0.02175),"")</f>
        <v>0.45674999999999999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321.77600000000001</v>
      </c>
      <c r="BN346" s="64">
        <f t="shared" si="33"/>
        <v>324.87</v>
      </c>
      <c r="BO346" s="64">
        <f t="shared" si="34"/>
        <v>0.43333333333333335</v>
      </c>
      <c r="BP346" s="64">
        <f t="shared" si="35"/>
        <v>0.4375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86.6</v>
      </c>
      <c r="Y350" s="543">
        <f>IFERROR(Y343/H343,"0")+IFERROR(Y344/H344,"0")+IFERROR(Y345/H345,"0")+IFERROR(Y346/H346,"0")+IFERROR(Y347/H347,"0")+IFERROR(Y348/H348,"0")+IFERROR(Y349/H349,"0")</f>
        <v>88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1.9139999999999999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1299</v>
      </c>
      <c r="Y351" s="543">
        <f>IFERROR(SUM(Y343:Y349),"0")</f>
        <v>1320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526</v>
      </c>
      <c r="Y353" s="542">
        <f>IFERROR(IF(X353="",0,CEILING((X353/$H353),1)*$H353),"")</f>
        <v>540</v>
      </c>
      <c r="Z353" s="36">
        <f>IFERROR(IF(Y353=0,"",ROUNDUP(Y353/H353,0)*0.02175),"")</f>
        <v>0.78299999999999992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542.4813333333334</v>
      </c>
      <c r="BN353" s="64">
        <f>IFERROR(Y353*I353/H353,"0")</f>
        <v>556.92000000000007</v>
      </c>
      <c r="BO353" s="64">
        <f>IFERROR(1/J353*(X353/H353),"0")</f>
        <v>0.73055555555555562</v>
      </c>
      <c r="BP353" s="64">
        <f>IFERROR(1/J353*(Y353/H353),"0")</f>
        <v>0.75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35.06666666666667</v>
      </c>
      <c r="Y355" s="543">
        <f>IFERROR(Y353/H353,"0")+IFERROR(Y354/H354,"0")</f>
        <v>36</v>
      </c>
      <c r="Z355" s="543">
        <f>IFERROR(IF(Z353="",0,Z353),"0")+IFERROR(IF(Z354="",0,Z354),"0")</f>
        <v>0.78299999999999992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526</v>
      </c>
      <c r="Y356" s="543">
        <f>IFERROR(SUM(Y353:Y354),"0")</f>
        <v>540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hidden="1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hidden="1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180</v>
      </c>
      <c r="Y423" s="542">
        <f t="shared" si="42"/>
        <v>184.8</v>
      </c>
      <c r="Z423" s="36">
        <f t="shared" si="43"/>
        <v>0.41860000000000003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191.93181818181816</v>
      </c>
      <c r="BN423" s="64">
        <f t="shared" si="45"/>
        <v>197.04999999999998</v>
      </c>
      <c r="BO423" s="64">
        <f t="shared" si="46"/>
        <v>0.32779720279720276</v>
      </c>
      <c r="BP423" s="64">
        <f t="shared" si="47"/>
        <v>0.33653846153846156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327</v>
      </c>
      <c r="Y426" s="542">
        <f t="shared" si="42"/>
        <v>327.36</v>
      </c>
      <c r="Z426" s="36">
        <f t="shared" si="43"/>
        <v>0.74151999999999996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348.67613636363632</v>
      </c>
      <c r="BN426" s="64">
        <f t="shared" si="45"/>
        <v>349.06</v>
      </c>
      <c r="BO426" s="64">
        <f t="shared" si="46"/>
        <v>0.59549825174825177</v>
      </c>
      <c r="BP426" s="64">
        <f t="shared" si="47"/>
        <v>0.59615384615384615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96.022727272727266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97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1.16012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507</v>
      </c>
      <c r="Y433" s="543">
        <f>IFERROR(SUM(Y421:Y431),"0")</f>
        <v>512.16000000000008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158</v>
      </c>
      <c r="Y435" s="542">
        <f>IFERROR(IF(X435="",0,CEILING((X435/$H435),1)*$H435),"")</f>
        <v>158.4</v>
      </c>
      <c r="Z435" s="36">
        <f>IFERROR(IF(Y435=0,"",ROUNDUP(Y435/H435,0)*0.01196),"")</f>
        <v>0.35880000000000001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168.47348484848484</v>
      </c>
      <c r="BN435" s="64">
        <f>IFERROR(Y435*I435/H435,"0")</f>
        <v>168.9</v>
      </c>
      <c r="BO435" s="64">
        <f>IFERROR(1/J435*(X435/H435),"0")</f>
        <v>0.28773310023310023</v>
      </c>
      <c r="BP435" s="64">
        <f>IFERROR(1/J435*(Y435/H435),"0")</f>
        <v>0.28846153846153849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29.924242424242422</v>
      </c>
      <c r="Y438" s="543">
        <f>IFERROR(Y435/H435,"0")+IFERROR(Y436/H436,"0")+IFERROR(Y437/H437,"0")</f>
        <v>30</v>
      </c>
      <c r="Z438" s="543">
        <f>IFERROR(IF(Z435="",0,Z435),"0")+IFERROR(IF(Z436="",0,Z436),"0")+IFERROR(IF(Z437="",0,Z437),"0")</f>
        <v>0.35880000000000001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158</v>
      </c>
      <c r="Y439" s="543">
        <f>IFERROR(SUM(Y435:Y437),"0")</f>
        <v>158.4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hidden="1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138</v>
      </c>
      <c r="Y443" s="542">
        <f t="shared" si="48"/>
        <v>142.56</v>
      </c>
      <c r="Z443" s="36">
        <f>IFERROR(IF(Y443=0,"",ROUNDUP(Y443/H443,0)*0.01196),"")</f>
        <v>0.32291999999999998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147.14772727272725</v>
      </c>
      <c r="BN443" s="64">
        <f t="shared" si="50"/>
        <v>152.01</v>
      </c>
      <c r="BO443" s="64">
        <f t="shared" si="51"/>
        <v>0.2513111888111888</v>
      </c>
      <c r="BP443" s="64">
        <f t="shared" si="52"/>
        <v>0.25961538461538464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26.136363636363637</v>
      </c>
      <c r="Y447" s="543">
        <f>IFERROR(Y441/H441,"0")+IFERROR(Y442/H442,"0")+IFERROR(Y443/H443,"0")+IFERROR(Y444/H444,"0")+IFERROR(Y445/H445,"0")+IFERROR(Y446/H446,"0")</f>
        <v>27</v>
      </c>
      <c r="Z447" s="543">
        <f>IFERROR(IF(Z441="",0,Z441),"0")+IFERROR(IF(Z442="",0,Z442),"0")+IFERROR(IF(Z443="",0,Z443),"0")+IFERROR(IF(Z444="",0,Z444),"0")+IFERROR(IF(Z445="",0,Z445),"0")+IFERROR(IF(Z446="",0,Z446),"0")</f>
        <v>0.32291999999999998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138</v>
      </c>
      <c r="Y448" s="543">
        <f>IFERROR(SUM(Y441:Y446),"0")</f>
        <v>142.56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4267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4366.12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4477.9433472265364</v>
      </c>
      <c r="Y490" s="543">
        <f>IFERROR(SUM(BN22:BN486),"0")</f>
        <v>4581.4719999999998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7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4652.9433472265364</v>
      </c>
      <c r="Y492" s="543">
        <f>GrossWeightTotalR+PalletQtyTotalR*25</f>
        <v>4781.4719999999998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623.53566497532006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636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8.1492399999999989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189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286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194.4</v>
      </c>
      <c r="E499" s="46">
        <f>IFERROR(Y85*1,"0")+IFERROR(Y86*1,"0")+IFERROR(Y87*1,"0")+IFERROR(Y91*1,"0")+IFERROR(Y92*1,"0")+IFERROR(Y93*1,"0")+IFERROR(Y94*1,"0")</f>
        <v>305.10000000000002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421.20000000000005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480.29999999999995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6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1860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813.12000000000012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99,00"/>
        <filter val="108,00"/>
        <filter val="11,67"/>
        <filter val="121,00"/>
        <filter val="138,00"/>
        <filter val="157,00"/>
        <filter val="158,00"/>
        <filter val="164,08"/>
        <filter val="165,00"/>
        <filter val="175,00"/>
        <filter val="18,15"/>
        <filter val="180,00"/>
        <filter val="219,00"/>
        <filter val="222,00"/>
        <filter val="243,00"/>
        <filter val="26,14"/>
        <filter val="26,65"/>
        <filter val="262,00"/>
        <filter val="276,00"/>
        <filter val="278,00"/>
        <filter val="28,00"/>
        <filter val="29,92"/>
        <filter val="3,00"/>
        <filter val="312,00"/>
        <filter val="32,61"/>
        <filter val="327,00"/>
        <filter val="35,07"/>
        <filter val="36,22"/>
        <filter val="4 267,00"/>
        <filter val="4 477,94"/>
        <filter val="4 652,94"/>
        <filter val="40,37"/>
        <filter val="449,00"/>
        <filter val="47,00"/>
        <filter val="472,00"/>
        <filter val="49,00"/>
        <filter val="507,00"/>
        <filter val="526,00"/>
        <filter val="59,00"/>
        <filter val="6,00"/>
        <filter val="623,54"/>
        <filter val="7"/>
        <filter val="7,96"/>
        <filter val="72,00"/>
        <filter val="78,00"/>
        <filter val="85,00"/>
        <filter val="86,00"/>
        <filter val="86,60"/>
        <filter val="9,07"/>
        <filter val="96,02"/>
        <filter val="98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2025-11-17T10:41:49Z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