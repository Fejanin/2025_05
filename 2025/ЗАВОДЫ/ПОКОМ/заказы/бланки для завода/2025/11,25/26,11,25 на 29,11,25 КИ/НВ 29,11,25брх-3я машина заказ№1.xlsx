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2B1085-24AE-41E7-9190-1EA7691BAF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Z278" i="1" s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F10" i="1"/>
  <c r="F9" i="1"/>
  <c r="A9" i="1"/>
  <c r="A10" i="1" s="1"/>
  <c r="D7" i="1"/>
  <c r="Q6" i="1"/>
  <c r="P2" i="1"/>
  <c r="Y23" i="1" l="1"/>
  <c r="BP22" i="1"/>
  <c r="BN22" i="1"/>
  <c r="Z22" i="1"/>
  <c r="Z23" i="1" s="1"/>
  <c r="BP26" i="1"/>
  <c r="BN26" i="1"/>
  <c r="Z26" i="1"/>
  <c r="BP61" i="1"/>
  <c r="BN61" i="1"/>
  <c r="Z61" i="1"/>
  <c r="BP99" i="1"/>
  <c r="BN99" i="1"/>
  <c r="Z99" i="1"/>
  <c r="BP141" i="1"/>
  <c r="BN141" i="1"/>
  <c r="Z141" i="1"/>
  <c r="BP145" i="1"/>
  <c r="BN145" i="1"/>
  <c r="Z145" i="1"/>
  <c r="BP165" i="1"/>
  <c r="BN165" i="1"/>
  <c r="Z165" i="1"/>
  <c r="BP200" i="1"/>
  <c r="BN200" i="1"/>
  <c r="Z200" i="1"/>
  <c r="BP226" i="1"/>
  <c r="BN226" i="1"/>
  <c r="Z226" i="1"/>
  <c r="BP264" i="1"/>
  <c r="BN264" i="1"/>
  <c r="Z264" i="1"/>
  <c r="BP292" i="1"/>
  <c r="BN292" i="1"/>
  <c r="Z292" i="1"/>
  <c r="BP322" i="1"/>
  <c r="BN322" i="1"/>
  <c r="Z322" i="1"/>
  <c r="BP377" i="1"/>
  <c r="BN377" i="1"/>
  <c r="Z377" i="1"/>
  <c r="BP423" i="1"/>
  <c r="BN423" i="1"/>
  <c r="Z423" i="1"/>
  <c r="BP449" i="1"/>
  <c r="BN449" i="1"/>
  <c r="Z449" i="1"/>
  <c r="BP42" i="1"/>
  <c r="BN42" i="1"/>
  <c r="Z42" i="1"/>
  <c r="BP79" i="1"/>
  <c r="BN79" i="1"/>
  <c r="Z79" i="1"/>
  <c r="BP115" i="1"/>
  <c r="BN115" i="1"/>
  <c r="Z115" i="1"/>
  <c r="BP164" i="1"/>
  <c r="BN164" i="1"/>
  <c r="Z164" i="1"/>
  <c r="BP186" i="1"/>
  <c r="BN186" i="1"/>
  <c r="Z186" i="1"/>
  <c r="BP210" i="1"/>
  <c r="BN210" i="1"/>
  <c r="Z210" i="1"/>
  <c r="BP246" i="1"/>
  <c r="BN246" i="1"/>
  <c r="Z246" i="1"/>
  <c r="BP308" i="1"/>
  <c r="BN308" i="1"/>
  <c r="Z308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57" i="1"/>
  <c r="BP75" i="1"/>
  <c r="BN75" i="1"/>
  <c r="Z75" i="1"/>
  <c r="BP94" i="1"/>
  <c r="BN94" i="1"/>
  <c r="Z94" i="1"/>
  <c r="BP113" i="1"/>
  <c r="BN113" i="1"/>
  <c r="Z113" i="1"/>
  <c r="Y136" i="1"/>
  <c r="BP134" i="1"/>
  <c r="BN134" i="1"/>
  <c r="Z134" i="1"/>
  <c r="BP162" i="1"/>
  <c r="BN162" i="1"/>
  <c r="Z162" i="1"/>
  <c r="BP175" i="1"/>
  <c r="BN175" i="1"/>
  <c r="Z175" i="1"/>
  <c r="BP198" i="1"/>
  <c r="BN198" i="1"/>
  <c r="Z198" i="1"/>
  <c r="BP208" i="1"/>
  <c r="BN208" i="1"/>
  <c r="Z208" i="1"/>
  <c r="Y220" i="1"/>
  <c r="BN218" i="1"/>
  <c r="Z218" i="1"/>
  <c r="BP219" i="1"/>
  <c r="BN219" i="1"/>
  <c r="Z219" i="1"/>
  <c r="BP224" i="1"/>
  <c r="BN224" i="1"/>
  <c r="Z224" i="1"/>
  <c r="BP232" i="1"/>
  <c r="BN232" i="1"/>
  <c r="Z232" i="1"/>
  <c r="BP257" i="1"/>
  <c r="BN257" i="1"/>
  <c r="Z257" i="1"/>
  <c r="BP273" i="1"/>
  <c r="BN273" i="1"/>
  <c r="Z273" i="1"/>
  <c r="J9" i="1"/>
  <c r="X488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BP147" i="1"/>
  <c r="BN147" i="1"/>
  <c r="Z147" i="1"/>
  <c r="BP167" i="1"/>
  <c r="BN167" i="1"/>
  <c r="Z167" i="1"/>
  <c r="Y192" i="1"/>
  <c r="BP190" i="1"/>
  <c r="BN190" i="1"/>
  <c r="Z190" i="1"/>
  <c r="BP202" i="1"/>
  <c r="BN202" i="1"/>
  <c r="Z202" i="1"/>
  <c r="BP212" i="1"/>
  <c r="BN212" i="1"/>
  <c r="Z212" i="1"/>
  <c r="BP228" i="1"/>
  <c r="BN228" i="1"/>
  <c r="Z228" i="1"/>
  <c r="BP248" i="1"/>
  <c r="BN248" i="1"/>
  <c r="Z248" i="1"/>
  <c r="BP266" i="1"/>
  <c r="BN266" i="1"/>
  <c r="Z266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81" i="1"/>
  <c r="Y216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18" i="1"/>
  <c r="Y317" i="1"/>
  <c r="Y379" i="1"/>
  <c r="Y453" i="1"/>
  <c r="Y452" i="1"/>
  <c r="Y31" i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0" i="1"/>
  <c r="X492" i="1"/>
  <c r="Y24" i="1"/>
  <c r="Z27" i="1"/>
  <c r="BN27" i="1"/>
  <c r="Z29" i="1"/>
  <c r="BN29" i="1"/>
  <c r="C498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Y76" i="1"/>
  <c r="BP80" i="1"/>
  <c r="BN80" i="1"/>
  <c r="Z80" i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Y137" i="1"/>
  <c r="H498" i="1"/>
  <c r="Y143" i="1"/>
  <c r="BP140" i="1"/>
  <c r="BN140" i="1"/>
  <c r="Z140" i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Y482" i="1"/>
  <c r="Z498" i="1"/>
  <c r="Y486" i="1"/>
  <c r="BP485" i="1"/>
  <c r="BN485" i="1"/>
  <c r="Z485" i="1"/>
  <c r="Z486" i="1" s="1"/>
  <c r="Y487" i="1"/>
  <c r="Z481" i="1" l="1"/>
  <c r="Z349" i="1"/>
  <c r="Z330" i="1"/>
  <c r="Z324" i="1"/>
  <c r="Z311" i="1"/>
  <c r="Z472" i="1"/>
  <c r="Z215" i="1"/>
  <c r="Z177" i="1"/>
  <c r="Z142" i="1"/>
  <c r="Z136" i="1"/>
  <c r="Z88" i="1"/>
  <c r="Z81" i="1"/>
  <c r="Z76" i="1"/>
  <c r="Z148" i="1"/>
  <c r="Z220" i="1"/>
  <c r="Z57" i="1"/>
  <c r="Z31" i="1"/>
  <c r="Z461" i="1"/>
  <c r="Y490" i="1"/>
  <c r="Z103" i="1"/>
  <c r="Y492" i="1"/>
  <c r="Z437" i="1"/>
  <c r="Z446" i="1"/>
  <c r="Z410" i="1"/>
  <c r="Z234" i="1"/>
  <c r="Z203" i="1"/>
  <c r="Z69" i="1"/>
  <c r="Y489" i="1"/>
  <c r="Y491" i="1" s="1"/>
  <c r="Z393" i="1"/>
  <c r="Z337" i="1"/>
  <c r="Z63" i="1"/>
  <c r="X491" i="1"/>
  <c r="Z304" i="1"/>
  <c r="Z294" i="1"/>
  <c r="Z116" i="1"/>
  <c r="Z95" i="1"/>
  <c r="Z431" i="1"/>
  <c r="Z267" i="1"/>
  <c r="Z259" i="1"/>
  <c r="Z250" i="1"/>
  <c r="Z171" i="1"/>
  <c r="Y488" i="1"/>
  <c r="Z493" i="1" l="1"/>
</calcChain>
</file>

<file path=xl/sharedStrings.xml><?xml version="1.0" encoding="utf-8"?>
<sst xmlns="http://schemas.openxmlformats.org/spreadsheetml/2006/main" count="2195" uniqueCount="760">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</sst>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45990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0.45833333333333331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30</v>
      </c>
      <c r="Y40" s="540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13</v>
      </c>
      <c r="Y42" s="540">
        <f>IFERROR(IF(X42="",0,CEILING((X42/$H42),1)*$H42),"")</f>
        <v>14.8</v>
      </c>
      <c r="Z42" s="36">
        <f>IFERROR(IF(Y42=0,"",ROUNDUP(Y42/H42,0)*0.00902),"")</f>
        <v>3.6080000000000001E-2</v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13.667567567567566</v>
      </c>
      <c r="BN42" s="64">
        <f>IFERROR(Y42*I42/H42,"0")</f>
        <v>15.56</v>
      </c>
      <c r="BO42" s="64">
        <f>IFERROR(1/J42*(X42/H42),"0")</f>
        <v>2.6617526617526616E-2</v>
      </c>
      <c r="BP42" s="64">
        <f>IFERROR(1/J42*(Y42/H42),"0")</f>
        <v>3.0303030303030304E-2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6.2912912912912908</v>
      </c>
      <c r="Y43" s="541">
        <f>IFERROR(Y40/H40,"0")+IFERROR(Y41/H41,"0")+IFERROR(Y42/H42,"0")</f>
        <v>7</v>
      </c>
      <c r="Z43" s="541">
        <f>IFERROR(IF(Z40="",0,Z40),"0")+IFERROR(IF(Z41="",0,Z41),"0")+IFERROR(IF(Z42="",0,Z42),"0")</f>
        <v>9.3020000000000005E-2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43</v>
      </c>
      <c r="Y44" s="541">
        <f>IFERROR(SUM(Y40:Y42),"0")</f>
        <v>47.2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111</v>
      </c>
      <c r="B46" s="54" t="s">
        <v>112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113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114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115</v>
      </c>
      <c r="B51" s="54" t="s">
        <v>116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117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118</v>
      </c>
      <c r="B52" s="54" t="s">
        <v>119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/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124</v>
      </c>
      <c r="B54" s="54" t="s">
        <v>125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/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28</v>
      </c>
      <c r="Y54" s="540">
        <f t="shared" si="0"/>
        <v>28</v>
      </c>
      <c r="Z54" s="36">
        <f>IFERROR(IF(Y54=0,"",ROUNDUP(Y54/H54,0)*0.00902),"")</f>
        <v>6.3140000000000002E-2</v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29.330000000000002</v>
      </c>
      <c r="BN54" s="64">
        <f t="shared" si="2"/>
        <v>29.330000000000002</v>
      </c>
      <c r="BO54" s="64">
        <f t="shared" si="3"/>
        <v>5.3030303030303032E-2</v>
      </c>
      <c r="BP54" s="64">
        <f t="shared" si="4"/>
        <v>5.3030303030303032E-2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7</v>
      </c>
      <c r="Y57" s="541">
        <f>IFERROR(Y51/H51,"0")+IFERROR(Y52/H52,"0")+IFERROR(Y53/H53,"0")+IFERROR(Y54/H54,"0")+IFERROR(Y55/H55,"0")+IFERROR(Y56/H56,"0")</f>
        <v>7</v>
      </c>
      <c r="Z57" s="541">
        <f>IFERROR(IF(Z51="",0,Z51),"0")+IFERROR(IF(Z52="",0,Z52),"0")+IFERROR(IF(Z53="",0,Z53),"0")+IFERROR(IF(Z54="",0,Z54),"0")+IFERROR(IF(Z55="",0,Z55),"0")+IFERROR(IF(Z56="",0,Z56),"0")</f>
        <v>6.3140000000000002E-2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28</v>
      </c>
      <c r="Y58" s="541">
        <f>IFERROR(SUM(Y51:Y56),"0")</f>
        <v>28</v>
      </c>
      <c r="Z58" s="37"/>
      <c r="AA58" s="542"/>
      <c r="AB58" s="542"/>
      <c r="AC58" s="542"/>
    </row>
    <row r="59" spans="1:68" ht="14.25" hidden="1" customHeight="1" x14ac:dyDescent="0.25">
      <c r="A59" s="556" t="s">
        <v>133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hidden="1" customHeight="1" x14ac:dyDescent="0.25">
      <c r="A60" s="54" t="s">
        <v>134</v>
      </c>
      <c r="B60" s="54" t="s">
        <v>135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/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136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137</v>
      </c>
      <c r="B61" s="54" t="s">
        <v>138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136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139</v>
      </c>
      <c r="B62" s="54" t="s">
        <v>140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136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141</v>
      </c>
      <c r="B66" s="54" t="s">
        <v>142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143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144</v>
      </c>
      <c r="B67" s="54" t="s">
        <v>145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161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/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168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hidden="1" customHeight="1" x14ac:dyDescent="0.25">
      <c r="A85" s="54" t="s">
        <v>169</v>
      </c>
      <c r="B85" s="54" t="s">
        <v>170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/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11</v>
      </c>
      <c r="Y87" s="540">
        <f>IFERROR(IF(X87="",0,CEILING((X87/$H87),1)*$H87),"")</f>
        <v>13.5</v>
      </c>
      <c r="Z87" s="36">
        <f>IFERROR(IF(Y87=0,"",ROUNDUP(Y87/H87,0)*0.00902),"")</f>
        <v>2.7060000000000001E-2</v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11.464444444444446</v>
      </c>
      <c r="BN87" s="64">
        <f>IFERROR(Y87*I87/H87,"0")</f>
        <v>14.07</v>
      </c>
      <c r="BO87" s="64">
        <f>IFERROR(1/J87*(X87/H87),"0")</f>
        <v>1.8518518518518521E-2</v>
      </c>
      <c r="BP87" s="64">
        <f>IFERROR(1/J87*(Y87/H87),"0")</f>
        <v>2.2727272727272728E-2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2.4444444444444446</v>
      </c>
      <c r="Y88" s="541">
        <f>IFERROR(Y85/H85,"0")+IFERROR(Y86/H86,"0")+IFERROR(Y87/H87,"0")</f>
        <v>3</v>
      </c>
      <c r="Z88" s="541">
        <f>IFERROR(IF(Z85="",0,Z85),"0")+IFERROR(IF(Z86="",0,Z86),"0")+IFERROR(IF(Z87="",0,Z87),"0")</f>
        <v>2.7060000000000001E-2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11</v>
      </c>
      <c r="Y89" s="541">
        <f>IFERROR(SUM(Y85:Y87),"0")</f>
        <v>13.5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176</v>
      </c>
      <c r="B91" s="54" t="s">
        <v>177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78</v>
      </c>
      <c r="Y91" s="540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178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82.757037037037037</v>
      </c>
      <c r="BN91" s="64">
        <f>IFERROR(Y91*I91/H91,"0")</f>
        <v>85.94</v>
      </c>
      <c r="BO91" s="64">
        <f>IFERROR(1/J91*(X91/H91),"0")</f>
        <v>0.15046296296296297</v>
      </c>
      <c r="BP91" s="64">
        <f>IFERROR(1/J91*(Y91/H91),"0")</f>
        <v>0.15625</v>
      </c>
    </row>
    <row r="92" spans="1:68" ht="27" hidden="1" customHeight="1" x14ac:dyDescent="0.25">
      <c r="A92" s="54" t="s">
        <v>179</v>
      </c>
      <c r="B92" s="54" t="s">
        <v>180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182</v>
      </c>
      <c r="B93" s="54" t="s">
        <v>183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184</v>
      </c>
      <c r="B94" s="54" t="s">
        <v>185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186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9.6296296296296298</v>
      </c>
      <c r="Y95" s="541">
        <f>IFERROR(Y91/H91,"0")+IFERROR(Y92/H92,"0")+IFERROR(Y93/H93,"0")+IFERROR(Y94/H94,"0")</f>
        <v>10</v>
      </c>
      <c r="Z95" s="541">
        <f>IFERROR(IF(Z91="",0,Z91),"0")+IFERROR(IF(Z92="",0,Z92),"0")+IFERROR(IF(Z93="",0,Z93),"0")+IFERROR(IF(Z94="",0,Z94),"0")</f>
        <v>0.1898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78</v>
      </c>
      <c r="Y96" s="541">
        <f>IFERROR(SUM(Y91:Y94),"0")</f>
        <v>81</v>
      </c>
      <c r="Z96" s="37"/>
      <c r="AA96" s="542"/>
      <c r="AB96" s="542"/>
      <c r="AC96" s="542"/>
    </row>
    <row r="97" spans="1:68" ht="16.5" hidden="1" customHeight="1" x14ac:dyDescent="0.25">
      <c r="A97" s="553" t="s">
        <v>187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188</v>
      </c>
      <c r="B99" s="54" t="s">
        <v>189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253</v>
      </c>
      <c r="Y99" s="540">
        <f>IFERROR(IF(X99="",0,CEILING((X99/$H99),1)*$H99),"")</f>
        <v>259.20000000000005</v>
      </c>
      <c r="Z99" s="36">
        <f>IFERROR(IF(Y99=0,"",ROUNDUP(Y99/H99,0)*0.01898),"")</f>
        <v>0.45552000000000004</v>
      </c>
      <c r="AA99" s="56"/>
      <c r="AB99" s="57"/>
      <c r="AC99" s="141" t="s">
        <v>190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262.60462962962964</v>
      </c>
      <c r="BN99" s="64">
        <f>IFERROR(Y99*I99/H99,"0")</f>
        <v>269.04000000000002</v>
      </c>
      <c r="BO99" s="64">
        <f>IFERROR(1/J99*(X99/H99),"0")</f>
        <v>0.36603009259259256</v>
      </c>
      <c r="BP99" s="64">
        <f>IFERROR(1/J99*(Y99/H99),"0")</f>
        <v>0.37500000000000006</v>
      </c>
    </row>
    <row r="100" spans="1:68" ht="37.5" hidden="1" customHeight="1" x14ac:dyDescent="0.25">
      <c r="A100" s="54" t="s">
        <v>191</v>
      </c>
      <c r="B100" s="54" t="s">
        <v>192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190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193</v>
      </c>
      <c r="B101" s="54" t="s">
        <v>194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195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40</v>
      </c>
      <c r="Y101" s="540">
        <f>IFERROR(IF(X101="",0,CEILING((X101/$H101),1)*$H101),"")</f>
        <v>40.5</v>
      </c>
      <c r="Z101" s="36">
        <f>IFERROR(IF(Y101=0,"",ROUNDUP(Y101/H101,0)*0.00902),"")</f>
        <v>8.1180000000000002E-2</v>
      </c>
      <c r="AA101" s="56"/>
      <c r="AB101" s="57"/>
      <c r="AC101" s="145" t="s">
        <v>190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41.688888888888897</v>
      </c>
      <c r="BN101" s="64">
        <f>IFERROR(Y101*I101/H101,"0")</f>
        <v>42.210000000000008</v>
      </c>
      <c r="BO101" s="64">
        <f>IFERROR(1/J101*(X101/H101),"0")</f>
        <v>6.7340067340067339E-2</v>
      </c>
      <c r="BP101" s="64">
        <f>IFERROR(1/J101*(Y101/H101),"0")</f>
        <v>6.8181818181818177E-2</v>
      </c>
    </row>
    <row r="102" spans="1:68" ht="37.5" hidden="1" customHeight="1" x14ac:dyDescent="0.25">
      <c r="A102" s="54" t="s">
        <v>196</v>
      </c>
      <c r="B102" s="54" t="s">
        <v>197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190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32.31481481481481</v>
      </c>
      <c r="Y103" s="541">
        <f>IFERROR(Y99/H99,"0")+IFERROR(Y100/H100,"0")+IFERROR(Y101/H101,"0")+IFERROR(Y102/H102,"0")</f>
        <v>33</v>
      </c>
      <c r="Z103" s="541">
        <f>IFERROR(IF(Z99="",0,Z99),"0")+IFERROR(IF(Z100="",0,Z100),"0")+IFERROR(IF(Z101="",0,Z101),"0")+IFERROR(IF(Z102="",0,Z102),"0")</f>
        <v>0.53670000000000007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293</v>
      </c>
      <c r="Y104" s="541">
        <f>IFERROR(SUM(Y99:Y102),"0")</f>
        <v>299.70000000000005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133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198</v>
      </c>
      <c r="B106" s="54" t="s">
        <v>199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/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201</v>
      </c>
      <c r="B107" s="54" t="s">
        <v>202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25</v>
      </c>
      <c r="Y108" s="540">
        <f>IFERROR(IF(X108="",0,CEILING((X108/$H108),1)*$H108),"")</f>
        <v>26.4</v>
      </c>
      <c r="Z108" s="36">
        <f>IFERROR(IF(Y108=0,"",ROUNDUP(Y108/H108,0)*0.00651),"")</f>
        <v>7.1610000000000007E-2</v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26.875</v>
      </c>
      <c r="BN108" s="64">
        <f>IFERROR(Y108*I108/H108,"0")</f>
        <v>28.38</v>
      </c>
      <c r="BO108" s="64">
        <f>IFERROR(1/J108*(X108/H108),"0")</f>
        <v>5.7234432234432246E-2</v>
      </c>
      <c r="BP108" s="64">
        <f>IFERROR(1/J108*(Y108/H108),"0")</f>
        <v>6.0439560439560447E-2</v>
      </c>
    </row>
    <row r="109" spans="1:68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10.416666666666668</v>
      </c>
      <c r="Y109" s="541">
        <f>IFERROR(Y106/H106,"0")+IFERROR(Y107/H107,"0")+IFERROR(Y108/H108,"0")</f>
        <v>11</v>
      </c>
      <c r="Z109" s="541">
        <f>IFERROR(IF(Z106="",0,Z106),"0")+IFERROR(IF(Z107="",0,Z107),"0")+IFERROR(IF(Z108="",0,Z108),"0")</f>
        <v>7.1610000000000007E-2</v>
      </c>
      <c r="AA109" s="542"/>
      <c r="AB109" s="542"/>
      <c r="AC109" s="542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25</v>
      </c>
      <c r="Y110" s="541">
        <f>IFERROR(SUM(Y106:Y108),"0")</f>
        <v>26.4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hidden="1" customHeight="1" x14ac:dyDescent="0.25">
      <c r="A112" s="54" t="s">
        <v>205</v>
      </c>
      <c r="B112" s="54" t="s">
        <v>206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208</v>
      </c>
      <c r="B113" s="54" t="s">
        <v>209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210</v>
      </c>
      <c r="B114" s="54" t="s">
        <v>211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212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207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161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133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195</v>
      </c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195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/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11</v>
      </c>
      <c r="Y168" s="540">
        <f t="shared" si="5"/>
        <v>12.600000000000001</v>
      </c>
      <c r="Z168" s="36">
        <f>IFERROR(IF(Y168=0,"",ROUNDUP(Y168/H168,0)*0.00502),"")</f>
        <v>3.0120000000000001E-2</v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11.523809523809526</v>
      </c>
      <c r="BN168" s="64">
        <f t="shared" si="7"/>
        <v>13.200000000000003</v>
      </c>
      <c r="BO168" s="64">
        <f t="shared" si="8"/>
        <v>2.2385022385022386E-2</v>
      </c>
      <c r="BP168" s="64">
        <f t="shared" si="9"/>
        <v>2.5641025641025644E-2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5.2380952380952381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6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3.0120000000000001E-2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11</v>
      </c>
      <c r="Y172" s="541">
        <f>IFERROR(SUM(Y161:Y170),"0")</f>
        <v>12.600000000000001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0.79365079365079361</v>
      </c>
      <c r="Y177" s="541">
        <f>IFERROR(Y174/H174,"0")+IFERROR(Y175/H175,"0")+IFERROR(Y176/H176,"0")</f>
        <v>1</v>
      </c>
      <c r="Z177" s="541">
        <f>IFERROR(IF(Z174="",0,Z174),"0")+IFERROR(IF(Z175="",0,Z175),"0")+IFERROR(IF(Z176="",0,Z176),"0")</f>
        <v>5.8999999999999999E-3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1</v>
      </c>
      <c r="Y178" s="541">
        <f>IFERROR(SUM(Y174:Y176),"0")</f>
        <v>1.26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1</v>
      </c>
      <c r="Y180" s="540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0.79365079365079361</v>
      </c>
      <c r="Y181" s="541">
        <f>IFERROR(Y180/H180,"0")</f>
        <v>1</v>
      </c>
      <c r="Z181" s="541">
        <f>IFERROR(IF(Z180="",0,Z180),"0")</f>
        <v>5.8999999999999999E-3</v>
      </c>
      <c r="AA181" s="542"/>
      <c r="AB181" s="542"/>
      <c r="AC181" s="542"/>
    </row>
    <row r="182" spans="1:68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1</v>
      </c>
      <c r="Y182" s="541">
        <f>IFERROR(SUM(Y180:Y180),"0")</f>
        <v>1.26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133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195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143</v>
      </c>
      <c r="Y195" s="540">
        <f t="shared" ref="Y195:Y202" si="10">IFERROR(IF(X195="",0,CEILING((X195/$H195),1)*$H195),"")</f>
        <v>145.80000000000001</v>
      </c>
      <c r="Z195" s="36">
        <f>IFERROR(IF(Y195=0,"",ROUNDUP(Y195/H195,0)*0.00902),"")</f>
        <v>0.24354000000000001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148.03148148148148</v>
      </c>
      <c r="BN195" s="64">
        <f t="shared" ref="BN195:BN202" si="12">IFERROR(Y195*I195/H195,"0")</f>
        <v>150.93</v>
      </c>
      <c r="BO195" s="64">
        <f t="shared" ref="BO195:BO202" si="13">IFERROR(1/J195*(X195/H195),"0")</f>
        <v>0.20061728395061729</v>
      </c>
      <c r="BP195" s="64">
        <f t="shared" ref="BP195:BP202" si="14">IFERROR(1/J195*(Y195/H195),"0")</f>
        <v>0.20454545454545456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195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56</v>
      </c>
      <c r="Y196" s="540">
        <f t="shared" si="10"/>
        <v>59.400000000000006</v>
      </c>
      <c r="Z196" s="36">
        <f>IFERROR(IF(Y196=0,"",ROUNDUP(Y196/H196,0)*0.00902),"")</f>
        <v>9.9220000000000003E-2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57.970370370370361</v>
      </c>
      <c r="BN196" s="64">
        <f t="shared" si="12"/>
        <v>61.49</v>
      </c>
      <c r="BO196" s="64">
        <f t="shared" si="13"/>
        <v>7.8563411896745233E-2</v>
      </c>
      <c r="BP196" s="64">
        <f t="shared" si="14"/>
        <v>8.3333333333333343E-2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195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294</v>
      </c>
      <c r="Y198" s="540">
        <f t="shared" si="10"/>
        <v>297</v>
      </c>
      <c r="Z198" s="36">
        <f>IFERROR(IF(Y198=0,"",ROUNDUP(Y198/H198,0)*0.00902),"")</f>
        <v>0.49609999999999999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304.34444444444443</v>
      </c>
      <c r="BN198" s="64">
        <f t="shared" si="12"/>
        <v>307.45</v>
      </c>
      <c r="BO198" s="64">
        <f t="shared" si="13"/>
        <v>0.41245791245791247</v>
      </c>
      <c r="BP198" s="64">
        <f t="shared" si="14"/>
        <v>0.41666666666666663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/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7</v>
      </c>
      <c r="Y199" s="540">
        <f t="shared" si="10"/>
        <v>7.2</v>
      </c>
      <c r="Z199" s="36">
        <f>IFERROR(IF(Y199=0,"",ROUNDUP(Y199/H199,0)*0.00502),"")</f>
        <v>2.0080000000000001E-2</v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7.5055555555555555</v>
      </c>
      <c r="BN199" s="64">
        <f t="shared" si="12"/>
        <v>7.7199999999999989</v>
      </c>
      <c r="BO199" s="64">
        <f t="shared" si="13"/>
        <v>1.6619183285849954E-2</v>
      </c>
      <c r="BP199" s="64">
        <f t="shared" si="14"/>
        <v>1.7094017094017096E-2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/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/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95.185185185185176</v>
      </c>
      <c r="Y203" s="541">
        <f>IFERROR(Y195/H195,"0")+IFERROR(Y196/H196,"0")+IFERROR(Y197/H197,"0")+IFERROR(Y198/H198,"0")+IFERROR(Y199/H199,"0")+IFERROR(Y200/H200,"0")+IFERROR(Y201/H201,"0")+IFERROR(Y202/H202,"0")</f>
        <v>97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0.85893999999999993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500</v>
      </c>
      <c r="Y204" s="541">
        <f>IFERROR(SUM(Y195:Y202),"0")</f>
        <v>509.40000000000003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/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212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108</v>
      </c>
      <c r="Y209" s="540">
        <f t="shared" si="15"/>
        <v>108</v>
      </c>
      <c r="Z209" s="36">
        <f t="shared" ref="Z209:Z214" si="20">IFERROR(IF(Y209=0,"",ROUNDUP(Y209/H209,0)*0.00651),"")</f>
        <v>0.29294999999999999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120.15</v>
      </c>
      <c r="BN209" s="64">
        <f t="shared" si="17"/>
        <v>120.15</v>
      </c>
      <c r="BO209" s="64">
        <f t="shared" si="18"/>
        <v>0.24725274725274726</v>
      </c>
      <c r="BP209" s="64">
        <f t="shared" si="19"/>
        <v>0.24725274725274726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212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146</v>
      </c>
      <c r="Y211" s="540">
        <f t="shared" si="15"/>
        <v>146.4</v>
      </c>
      <c r="Z211" s="36">
        <f t="shared" si="20"/>
        <v>0.39711000000000002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161.33000000000001</v>
      </c>
      <c r="BN211" s="64">
        <f t="shared" si="17"/>
        <v>161.77200000000002</v>
      </c>
      <c r="BO211" s="64">
        <f t="shared" si="18"/>
        <v>0.33424908424908428</v>
      </c>
      <c r="BP211" s="64">
        <f t="shared" si="19"/>
        <v>0.33516483516483525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212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70</v>
      </c>
      <c r="Y212" s="540">
        <f t="shared" si="15"/>
        <v>72</v>
      </c>
      <c r="Z212" s="36">
        <f t="shared" si="20"/>
        <v>0.1953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77.350000000000009</v>
      </c>
      <c r="BN212" s="64">
        <f t="shared" si="17"/>
        <v>79.560000000000016</v>
      </c>
      <c r="BO212" s="64">
        <f t="shared" si="18"/>
        <v>0.16025641025641027</v>
      </c>
      <c r="BP212" s="64">
        <f t="shared" si="19"/>
        <v>0.16483516483516486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212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9</v>
      </c>
      <c r="Y213" s="540">
        <f t="shared" si="15"/>
        <v>9.6</v>
      </c>
      <c r="Z213" s="36">
        <f t="shared" si="20"/>
        <v>2.6040000000000001E-2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9.9450000000000021</v>
      </c>
      <c r="BN213" s="64">
        <f t="shared" si="17"/>
        <v>10.608000000000001</v>
      </c>
      <c r="BO213" s="64">
        <f t="shared" si="18"/>
        <v>2.0604395604395608E-2</v>
      </c>
      <c r="BP213" s="64">
        <f t="shared" si="19"/>
        <v>2.197802197802198E-2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212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21</v>
      </c>
      <c r="Y214" s="540">
        <f t="shared" si="15"/>
        <v>21.599999999999998</v>
      </c>
      <c r="Z214" s="36">
        <f t="shared" si="20"/>
        <v>5.8590000000000003E-2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23.2575</v>
      </c>
      <c r="BN214" s="64">
        <f t="shared" si="17"/>
        <v>23.921999999999997</v>
      </c>
      <c r="BO214" s="64">
        <f t="shared" si="18"/>
        <v>4.807692307692308E-2</v>
      </c>
      <c r="BP214" s="64">
        <f t="shared" si="19"/>
        <v>4.9450549450549455E-2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147.5</v>
      </c>
      <c r="Y215" s="541">
        <f>IFERROR(Y206/H206,"0")+IFERROR(Y207/H207,"0")+IFERROR(Y208/H208,"0")+IFERROR(Y209/H209,"0")+IFERROR(Y210/H210,"0")+IFERROR(Y211/H211,"0")+IFERROR(Y212/H212,"0")+IFERROR(Y213/H213,"0")+IFERROR(Y214/H214,"0")</f>
        <v>149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0.96999000000000002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354</v>
      </c>
      <c r="Y216" s="541">
        <f>IFERROR(SUM(Y206:Y214),"0")</f>
        <v>357.6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161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10</v>
      </c>
      <c r="Y219" s="540">
        <f>IFERROR(IF(X219="",0,CEILING((X219/$H219),1)*$H219),"")</f>
        <v>12</v>
      </c>
      <c r="Z219" s="36">
        <f>IFERROR(IF(Y219=0,"",ROUNDUP(Y219/H219,0)*0.00651),"")</f>
        <v>3.2550000000000003E-2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11.050000000000002</v>
      </c>
      <c r="BN219" s="64">
        <f>IFERROR(Y219*I219/H219,"0")</f>
        <v>13.260000000000002</v>
      </c>
      <c r="BO219" s="64">
        <f>IFERROR(1/J219*(X219/H219),"0")</f>
        <v>2.2893772893772896E-2</v>
      </c>
      <c r="BP219" s="64">
        <f>IFERROR(1/J219*(Y219/H219),"0")</f>
        <v>2.7472527472527476E-2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4.166666666666667</v>
      </c>
      <c r="Y220" s="541">
        <f>IFERROR(Y218/H218,"0")+IFERROR(Y219/H219,"0")</f>
        <v>5</v>
      </c>
      <c r="Z220" s="541">
        <f>IFERROR(IF(Z218="",0,Z218),"0")+IFERROR(IF(Z219="",0,Z219),"0")</f>
        <v>3.2550000000000003E-2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10</v>
      </c>
      <c r="Y221" s="541">
        <f>IFERROR(SUM(Y218:Y219),"0")</f>
        <v>12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4301012196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4301011824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4301012195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4301011722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133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212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212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8</v>
      </c>
      <c r="Y273" s="540">
        <f>IFERROR(IF(X273="",0,CEILING((X273/$H273),1)*$H273),"")</f>
        <v>9.6</v>
      </c>
      <c r="Z273" s="36">
        <f>IFERROR(IF(Y273=0,"",ROUNDUP(Y273/H273,0)*0.00651),"")</f>
        <v>2.6040000000000001E-2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8.6000000000000014</v>
      </c>
      <c r="BN273" s="64">
        <f>IFERROR(Y273*I273/H273,"0")</f>
        <v>10.32</v>
      </c>
      <c r="BO273" s="64">
        <f>IFERROR(1/J273*(X273/H273),"0")</f>
        <v>1.8315018315018316E-2</v>
      </c>
      <c r="BP273" s="64">
        <f>IFERROR(1/J273*(Y273/H273),"0")</f>
        <v>2.197802197802198E-2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3.3333333333333335</v>
      </c>
      <c r="Y274" s="541">
        <f>IFERROR(Y271/H271,"0")+IFERROR(Y272/H272,"0")+IFERROR(Y273/H273,"0")</f>
        <v>4</v>
      </c>
      <c r="Z274" s="541">
        <f>IFERROR(IF(Z271="",0,Z271),"0")+IFERROR(IF(Z272="",0,Z272),"0")+IFERROR(IF(Z273="",0,Z273),"0")</f>
        <v>2.6040000000000001E-2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8</v>
      </c>
      <c r="Y275" s="541">
        <f>IFERROR(SUM(Y271:Y273),"0")</f>
        <v>9.6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161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4</v>
      </c>
      <c r="Y321" s="540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4.3026315789473681</v>
      </c>
      <c r="BN321" s="64">
        <f>IFERROR(Y321*I321/H321,"0")</f>
        <v>6.5399999999999991</v>
      </c>
      <c r="BO321" s="64">
        <f>IFERROR(1/J321*(X321/H321),"0")</f>
        <v>9.9681020733652318E-3</v>
      </c>
      <c r="BP321" s="64">
        <f>IFERROR(1/J321*(Y321/H321),"0")</f>
        <v>1.5151515151515152E-2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/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1.3157894736842106</v>
      </c>
      <c r="Y324" s="541">
        <f>IFERROR(Y320/H320,"0")+IFERROR(Y321/H321,"0")+IFERROR(Y322/H322,"0")+IFERROR(Y323/H323,"0")</f>
        <v>2</v>
      </c>
      <c r="Z324" s="541">
        <f>IFERROR(IF(Z320="",0,Z320),"0")+IFERROR(IF(Z321="",0,Z321),"0")+IFERROR(IF(Z322="",0,Z322),"0")+IFERROR(IF(Z323="",0,Z323),"0")</f>
        <v>1.804E-2</v>
      </c>
      <c r="AA324" s="542"/>
      <c r="AB324" s="542"/>
      <c r="AC324" s="542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4</v>
      </c>
      <c r="Y325" s="541">
        <f>IFERROR(SUM(Y320:Y323),"0")</f>
        <v>6.08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569</v>
      </c>
      <c r="Y342" s="540">
        <f t="shared" ref="Y342:Y348" si="31">IFERROR(IF(X342="",0,CEILING((X342/$H342),1)*$H342),"")</f>
        <v>570</v>
      </c>
      <c r="Z342" s="36">
        <f>IFERROR(IF(Y342=0,"",ROUNDUP(Y342/H342,0)*0.02175),"")</f>
        <v>0.8264999999999999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586.82866666666666</v>
      </c>
      <c r="BN342" s="64">
        <f t="shared" ref="BN342:BN348" si="33">IFERROR(Y342*I342/H342,"0")</f>
        <v>587.86</v>
      </c>
      <c r="BO342" s="64">
        <f t="shared" ref="BO342:BO348" si="34">IFERROR(1/J342*(X342/H342),"0")</f>
        <v>0.79027777777777763</v>
      </c>
      <c r="BP342" s="64">
        <f t="shared" ref="BP342:BP348" si="35">IFERROR(1/J342*(Y342/H342),"0")</f>
        <v>0.79166666666666663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458</v>
      </c>
      <c r="Y343" s="540">
        <f t="shared" si="31"/>
        <v>465</v>
      </c>
      <c r="Z343" s="36">
        <f>IFERROR(IF(Y343=0,"",ROUNDUP(Y343/H343,0)*0.02175),"")</f>
        <v>0.6742499999999999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472.35066666666665</v>
      </c>
      <c r="BN343" s="64">
        <f t="shared" si="33"/>
        <v>479.57</v>
      </c>
      <c r="BO343" s="64">
        <f t="shared" si="34"/>
        <v>0.63611111111111107</v>
      </c>
      <c r="BP343" s="64">
        <f t="shared" si="35"/>
        <v>0.64583333333333326</v>
      </c>
    </row>
    <row r="344" spans="1:68" ht="27" customHeight="1" x14ac:dyDescent="0.25">
      <c r="A344" s="54" t="s">
        <v>539</v>
      </c>
      <c r="B344" s="54" t="s">
        <v>540</v>
      </c>
      <c r="C344" s="31">
        <v>4301012215</v>
      </c>
      <c r="D344" s="543">
        <v>4680115887046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/>
      <c r="M344" s="33" t="s">
        <v>83</v>
      </c>
      <c r="N344" s="33"/>
      <c r="O344" s="32">
        <v>60</v>
      </c>
      <c r="P344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385</v>
      </c>
      <c r="Y344" s="540">
        <f t="shared" si="31"/>
        <v>390</v>
      </c>
      <c r="Z344" s="36">
        <f>IFERROR(IF(Y344=0,"",ROUNDUP(Y344/H344,0)*0.02175),"")</f>
        <v>0.5655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397.06333333333333</v>
      </c>
      <c r="BN344" s="64">
        <f t="shared" si="33"/>
        <v>402.22</v>
      </c>
      <c r="BO344" s="64">
        <f t="shared" si="34"/>
        <v>0.53472222222222221</v>
      </c>
      <c r="BP344" s="64">
        <f t="shared" si="35"/>
        <v>0.54166666666666663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3">
        <v>4680115884830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 t="s">
        <v>102</v>
      </c>
      <c r="M345" s="33" t="s">
        <v>67</v>
      </c>
      <c r="N345" s="33"/>
      <c r="O345" s="32">
        <v>60</v>
      </c>
      <c r="P345" s="75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 t="s">
        <v>105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94.13333333333334</v>
      </c>
      <c r="Y349" s="541">
        <f>IFERROR(Y342/H342,"0")+IFERROR(Y343/H343,"0")+IFERROR(Y344/H344,"0")+IFERROR(Y345/H345,"0")+IFERROR(Y346/H346,"0")+IFERROR(Y347/H347,"0")+IFERROR(Y348/H348,"0")</f>
        <v>95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2.0662499999999997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1412</v>
      </c>
      <c r="Y350" s="541">
        <f>IFERROR(SUM(Y342:Y348),"0")</f>
        <v>1425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133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535</v>
      </c>
      <c r="Y352" s="540">
        <f>IFERROR(IF(X352="",0,CEILING((X352/$H352),1)*$H352),"")</f>
        <v>540</v>
      </c>
      <c r="Z352" s="36">
        <f>IFERROR(IF(Y352=0,"",ROUNDUP(Y352/H352,0)*0.02175),"")</f>
        <v>0.78299999999999992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551.76333333333343</v>
      </c>
      <c r="BN352" s="64">
        <f>IFERROR(Y352*I352/H352,"0")</f>
        <v>556.92000000000007</v>
      </c>
      <c r="BO352" s="64">
        <f>IFERROR(1/J352*(X352/H352),"0")</f>
        <v>0.74305555555555547</v>
      </c>
      <c r="BP352" s="64">
        <f>IFERROR(1/J352*(Y352/H352),"0")</f>
        <v>0.75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35.666666666666664</v>
      </c>
      <c r="Y354" s="541">
        <f>IFERROR(Y352/H352,"0")+IFERROR(Y353/H353,"0")</f>
        <v>36</v>
      </c>
      <c r="Z354" s="541">
        <f>IFERROR(IF(Z352="",0,Z352),"0")+IFERROR(IF(Z353="",0,Z353),"0")</f>
        <v>0.78299999999999992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535</v>
      </c>
      <c r="Y355" s="541">
        <f>IFERROR(SUM(Y352:Y353),"0")</f>
        <v>540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5</v>
      </c>
      <c r="Y358" s="540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5.2744444444444447</v>
      </c>
      <c r="BN358" s="64">
        <f>IFERROR(Y358*I358/H358,"0")</f>
        <v>9.4939999999999998</v>
      </c>
      <c r="BO358" s="64">
        <f>IFERROR(1/J358*(X358/H358),"0")</f>
        <v>8.6805555555555559E-3</v>
      </c>
      <c r="BP358" s="64">
        <f>IFERROR(1/J358*(Y358/H358),"0")</f>
        <v>1.5625E-2</v>
      </c>
    </row>
    <row r="359" spans="1:68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0.55555555555555558</v>
      </c>
      <c r="Y359" s="541">
        <f>IFERROR(Y357/H357,"0")+IFERROR(Y358/H358,"0")</f>
        <v>1</v>
      </c>
      <c r="Z359" s="541">
        <f>IFERROR(IF(Z357="",0,Z357),"0")+IFERROR(IF(Z358="",0,Z358),"0")</f>
        <v>1.898E-2</v>
      </c>
      <c r="AA359" s="542"/>
      <c r="AB359" s="542"/>
      <c r="AC359" s="542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5</v>
      </c>
      <c r="Y360" s="541">
        <f>IFERROR(SUM(Y357:Y358),"0")</f>
        <v>9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161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47</v>
      </c>
      <c r="Y362" s="540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49.579777777777771</v>
      </c>
      <c r="BN362" s="64">
        <f>IFERROR(Y362*I362/H362,"0")</f>
        <v>56.963999999999992</v>
      </c>
      <c r="BO362" s="64">
        <f>IFERROR(1/J362*(X362/H362),"0")</f>
        <v>8.1597222222222224E-2</v>
      </c>
      <c r="BP362" s="64">
        <f>IFERROR(1/J362*(Y362/H362),"0")</f>
        <v>9.375E-2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5.2222222222222223</v>
      </c>
      <c r="Y363" s="541">
        <f>IFERROR(Y362/H362,"0")</f>
        <v>6</v>
      </c>
      <c r="Z363" s="541">
        <f>IFERROR(IF(Z362="",0,Z362),"0")</f>
        <v>0.11388000000000001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47</v>
      </c>
      <c r="Y364" s="541">
        <f>IFERROR(SUM(Y362:Y362),"0")</f>
        <v>54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4301031457</v>
      </c>
      <c r="D372" s="543">
        <v>4607091384802</v>
      </c>
      <c r="E372" s="544"/>
      <c r="F372" s="538">
        <v>0.7</v>
      </c>
      <c r="G372" s="32">
        <v>6</v>
      </c>
      <c r="H372" s="538">
        <v>4.2</v>
      </c>
      <c r="I372" s="538">
        <v>4.45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50</v>
      </c>
      <c r="P372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4301031303</v>
      </c>
      <c r="D373" s="543">
        <v>4607091384802</v>
      </c>
      <c r="E373" s="544"/>
      <c r="F373" s="538">
        <v>0.73</v>
      </c>
      <c r="G373" s="32">
        <v>6</v>
      </c>
      <c r="H373" s="538">
        <v>4.38</v>
      </c>
      <c r="I373" s="538">
        <v>4.63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146</v>
      </c>
      <c r="Y377" s="540">
        <f>IFERROR(IF(X377="",0,CEILING((X377/$H377),1)*$H377),"")</f>
        <v>153</v>
      </c>
      <c r="Z377" s="36">
        <f>IFERROR(IF(Y377=0,"",ROUNDUP(Y377/H377,0)*0.01898),"")</f>
        <v>0.32266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154.01377777777779</v>
      </c>
      <c r="BN377" s="64">
        <f>IFERROR(Y377*I377/H377,"0")</f>
        <v>161.398</v>
      </c>
      <c r="BO377" s="64">
        <f>IFERROR(1/J377*(X377/H377),"0")</f>
        <v>0.25347222222222221</v>
      </c>
      <c r="BP377" s="64">
        <f>IFERROR(1/J377*(Y377/H377),"0")</f>
        <v>0.265625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/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16.222222222222221</v>
      </c>
      <c r="Y379" s="541">
        <f>IFERROR(Y377/H377,"0")+IFERROR(Y378/H378,"0")</f>
        <v>17</v>
      </c>
      <c r="Z379" s="541">
        <f>IFERROR(IF(Z377="",0,Z377),"0")+IFERROR(IF(Z378="",0,Z378),"0")</f>
        <v>0.32266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146</v>
      </c>
      <c r="Y380" s="541">
        <f>IFERROR(SUM(Y377:Y378),"0")</f>
        <v>153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195</v>
      </c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133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195</v>
      </c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/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/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17</v>
      </c>
      <c r="Y422" s="540">
        <f t="shared" si="42"/>
        <v>21.12</v>
      </c>
      <c r="Z422" s="36">
        <f t="shared" si="43"/>
        <v>4.7840000000000001E-2</v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18.126893939393938</v>
      </c>
      <c r="BN422" s="64">
        <f t="shared" si="45"/>
        <v>22.52</v>
      </c>
      <c r="BO422" s="64">
        <f t="shared" si="46"/>
        <v>3.0958624708624712E-2</v>
      </c>
      <c r="BP422" s="64">
        <f t="shared" si="47"/>
        <v>3.8461538461538464E-2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hidden="1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3.2196969696969697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4.7840000000000001E-2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17</v>
      </c>
      <c r="Y432" s="541">
        <f>IFERROR(SUM(Y420:Y430),"0")</f>
        <v>21.12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133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hidden="1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/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hidden="1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15</v>
      </c>
      <c r="Y441" s="540">
        <f t="shared" si="48"/>
        <v>15.84</v>
      </c>
      <c r="Z441" s="36">
        <f>IFERROR(IF(Y441=0,"",ROUNDUP(Y441/H441,0)*0.01196),"")</f>
        <v>3.5880000000000002E-2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15.994318181818182</v>
      </c>
      <c r="BN441" s="64">
        <f t="shared" si="50"/>
        <v>16.889999999999997</v>
      </c>
      <c r="BO441" s="64">
        <f t="shared" si="51"/>
        <v>2.7316433566433568E-2</v>
      </c>
      <c r="BP441" s="64">
        <f t="shared" si="52"/>
        <v>2.8846153846153848E-2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2.8409090909090908</v>
      </c>
      <c r="Y446" s="541">
        <f>IFERROR(Y440/H440,"0")+IFERROR(Y441/H441,"0")+IFERROR(Y442/H442,"0")+IFERROR(Y443/H443,"0")+IFERROR(Y444/H444,"0")+IFERROR(Y445/H445,"0")</f>
        <v>3</v>
      </c>
      <c r="Z446" s="541">
        <f>IFERROR(IF(Z440="",0,Z440),"0")+IFERROR(IF(Z441="",0,Z441),"0")+IFERROR(IF(Z442="",0,Z442),"0")+IFERROR(IF(Z443="",0,Z443),"0")+IFERROR(IF(Z444="",0,Z444),"0")+IFERROR(IF(Z445="",0,Z445),"0")</f>
        <v>3.5880000000000002E-2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15</v>
      </c>
      <c r="Y447" s="541">
        <f>IFERROR(SUM(Y440:Y445),"0")</f>
        <v>15.84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133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161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3544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3623.56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3698.1840488338639</v>
      </c>
      <c r="Y489" s="541">
        <f>IFERROR(SUM(BN22:BN485),"0")</f>
        <v>3781.8180000000007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6</v>
      </c>
      <c r="Y490" s="38">
        <f>ROUNDUP(SUM(BP22:BP485),0)</f>
        <v>6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3848.1840488338639</v>
      </c>
      <c r="Y491" s="541">
        <f>GrossWeightTotalR+PalletQtyTotalR*25</f>
        <v>3931.8180000000007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484.28382439171918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498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6.3172999999999995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114</v>
      </c>
      <c r="E496" s="571" t="s">
        <v>168</v>
      </c>
      <c r="F496" s="571" t="s">
        <v>187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47.2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28</v>
      </c>
      <c r="E498" s="46">
        <f>IFERROR(Y85*1,"0")+IFERROR(Y86*1,"0")+IFERROR(Y87*1,"0")+IFERROR(Y91*1,"0")+IFERROR(Y92*1,"0")+IFERROR(Y93*1,"0")+IFERROR(Y94*1,"0")</f>
        <v>94.5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326.10000000000002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15.120000000000001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879.00000000000011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9.6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6.08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2028</v>
      </c>
      <c r="T498" s="46">
        <f>IFERROR(Y367*1,"0")+IFERROR(Y368*1,"0")+IFERROR(Y372*1,"0")+IFERROR(Y373*1,"0")+IFERROR(Y377*1,"0")+IFERROR(Y378*1,"0")</f>
        <v>153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36.96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sjPdOyRhinC/HzYTEOBq0hfreTHGhl3s1Ap+P/BZth+EUaCNRrIuk9VfFcweojzKEjQWuj7+/2DpT42JYLy0XA==" saltValue="Kz5XMYVeZZPnwFENFvzmN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9"/>
        <filter val="1 412,00"/>
        <filter val="1,00"/>
        <filter val="1,32"/>
        <filter val="10,00"/>
        <filter val="10,42"/>
        <filter val="108,00"/>
        <filter val="11,00"/>
        <filter val="13,00"/>
        <filter val="143,00"/>
        <filter val="146,00"/>
        <filter val="147,50"/>
        <filter val="15,00"/>
        <filter val="16,22"/>
        <filter val="17,00"/>
        <filter val="2,44"/>
        <filter val="2,84"/>
        <filter val="21,00"/>
        <filter val="25,00"/>
        <filter val="253,00"/>
        <filter val="28,00"/>
        <filter val="293,00"/>
        <filter val="294,00"/>
        <filter val="3 544,00"/>
        <filter val="3 698,18"/>
        <filter val="3 848,18"/>
        <filter val="3,22"/>
        <filter val="3,33"/>
        <filter val="30,00"/>
        <filter val="32,31"/>
        <filter val="35,67"/>
        <filter val="354,00"/>
        <filter val="385,00"/>
        <filter val="4,00"/>
        <filter val="4,17"/>
        <filter val="40,00"/>
        <filter val="43,00"/>
        <filter val="458,00"/>
        <filter val="47,00"/>
        <filter val="484,28"/>
        <filter val="5,00"/>
        <filter val="5,22"/>
        <filter val="5,24"/>
        <filter val="500,00"/>
        <filter val="535,00"/>
        <filter val="56,00"/>
        <filter val="569,00"/>
        <filter val="6"/>
        <filter val="6,29"/>
        <filter val="7,00"/>
        <filter val="70,00"/>
        <filter val="78,00"/>
        <filter val="8,00"/>
        <filter val="9,00"/>
        <filter val="9,63"/>
        <filter val="94,13"/>
        <filter val="95,19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3 X345 X352 X377 X384 X406 X423 X425 X434 X440:X442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o6wLfWe5oGBFJAKlsH9GGAWAkXzT1Bu74OBNBHB51bKTRheP4wNpmjGYgFJiIfZhcKER92wsGCr/B8bXE+BD1g==" saltValue="UZzdPl21l3IVlP/qNmJL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2025-11-26T10:23:06Z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