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700E9B0-0BC1-42D3-96FA-48DE3FDCD3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BP466" i="1" s="1"/>
  <c r="P466" i="1"/>
  <c r="BO465" i="1"/>
  <c r="BM465" i="1"/>
  <c r="Y465" i="1"/>
  <c r="P465" i="1"/>
  <c r="BO464" i="1"/>
  <c r="BM464" i="1"/>
  <c r="Y464" i="1"/>
  <c r="BP464" i="1" s="1"/>
  <c r="P464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BP458" i="1" s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BP444" i="1" s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BP407" i="1" s="1"/>
  <c r="P407" i="1"/>
  <c r="BO406" i="1"/>
  <c r="BM406" i="1"/>
  <c r="Y406" i="1"/>
  <c r="Y411" i="1" s="1"/>
  <c r="P406" i="1"/>
  <c r="X404" i="1"/>
  <c r="X403" i="1"/>
  <c r="BO402" i="1"/>
  <c r="BM402" i="1"/>
  <c r="Y402" i="1"/>
  <c r="V498" i="1" s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BP384" i="1" s="1"/>
  <c r="P384" i="1"/>
  <c r="X380" i="1"/>
  <c r="X379" i="1"/>
  <c r="BO378" i="1"/>
  <c r="BM378" i="1"/>
  <c r="Y378" i="1"/>
  <c r="BP378" i="1" s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O372" i="1"/>
  <c r="BM372" i="1"/>
  <c r="Y372" i="1"/>
  <c r="BP372" i="1" s="1"/>
  <c r="P372" i="1"/>
  <c r="X370" i="1"/>
  <c r="X369" i="1"/>
  <c r="BO368" i="1"/>
  <c r="BM368" i="1"/>
  <c r="Y368" i="1"/>
  <c r="BP368" i="1" s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Z342" i="1" s="1"/>
  <c r="P342" i="1"/>
  <c r="X338" i="1"/>
  <c r="X337" i="1"/>
  <c r="BO336" i="1"/>
  <c r="BM336" i="1"/>
  <c r="Y336" i="1"/>
  <c r="BP336" i="1" s="1"/>
  <c r="P336" i="1"/>
  <c r="BO335" i="1"/>
  <c r="BM335" i="1"/>
  <c r="Y335" i="1"/>
  <c r="BP335" i="1" s="1"/>
  <c r="P335" i="1"/>
  <c r="BO334" i="1"/>
  <c r="BM334" i="1"/>
  <c r="Y334" i="1"/>
  <c r="R498" i="1" s="1"/>
  <c r="P334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Y318" i="1" s="1"/>
  <c r="P314" i="1"/>
  <c r="X312" i="1"/>
  <c r="X311" i="1"/>
  <c r="BO310" i="1"/>
  <c r="BM310" i="1"/>
  <c r="Y310" i="1"/>
  <c r="BP310" i="1" s="1"/>
  <c r="P310" i="1"/>
  <c r="BO309" i="1"/>
  <c r="BM309" i="1"/>
  <c r="Y309" i="1"/>
  <c r="BP309" i="1" s="1"/>
  <c r="P309" i="1"/>
  <c r="BO308" i="1"/>
  <c r="BM308" i="1"/>
  <c r="Y308" i="1"/>
  <c r="BP308" i="1" s="1"/>
  <c r="P308" i="1"/>
  <c r="BO307" i="1"/>
  <c r="BM307" i="1"/>
  <c r="Y307" i="1"/>
  <c r="Y311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BP298" i="1" s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P284" i="1" s="1"/>
  <c r="BO283" i="1"/>
  <c r="BM283" i="1"/>
  <c r="Y283" i="1"/>
  <c r="Y286" i="1" s="1"/>
  <c r="P283" i="1"/>
  <c r="X281" i="1"/>
  <c r="X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BP195" i="1" s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8" i="1" s="1"/>
  <c r="X23" i="1"/>
  <c r="BO22" i="1"/>
  <c r="X490" i="1" s="1"/>
  <c r="BM22" i="1"/>
  <c r="Y22" i="1"/>
  <c r="B498" i="1" s="1"/>
  <c r="P22" i="1"/>
  <c r="H10" i="1"/>
  <c r="A9" i="1"/>
  <c r="A10" i="1" s="1"/>
  <c r="D7" i="1"/>
  <c r="Q6" i="1"/>
  <c r="P2" i="1"/>
  <c r="Z29" i="1" l="1"/>
  <c r="BN29" i="1"/>
  <c r="Z56" i="1"/>
  <c r="BN56" i="1"/>
  <c r="Z68" i="1"/>
  <c r="BN68" i="1"/>
  <c r="Y76" i="1"/>
  <c r="Z85" i="1"/>
  <c r="BN85" i="1"/>
  <c r="Y88" i="1"/>
  <c r="Z100" i="1"/>
  <c r="BN100" i="1"/>
  <c r="Z112" i="1"/>
  <c r="BN112" i="1"/>
  <c r="Y117" i="1"/>
  <c r="Z135" i="1"/>
  <c r="BN135" i="1"/>
  <c r="Z174" i="1"/>
  <c r="BN174" i="1"/>
  <c r="Y177" i="1"/>
  <c r="Z195" i="1"/>
  <c r="BN195" i="1"/>
  <c r="Z207" i="1"/>
  <c r="BN207" i="1"/>
  <c r="Z219" i="1"/>
  <c r="BN219" i="1"/>
  <c r="Z230" i="1"/>
  <c r="BN230" i="1"/>
  <c r="Z255" i="1"/>
  <c r="BN255" i="1"/>
  <c r="Z271" i="1"/>
  <c r="BN271" i="1"/>
  <c r="Y274" i="1"/>
  <c r="Z298" i="1"/>
  <c r="BN298" i="1"/>
  <c r="Z310" i="1"/>
  <c r="BN310" i="1"/>
  <c r="Z322" i="1"/>
  <c r="BN322" i="1"/>
  <c r="Z347" i="1"/>
  <c r="BN347" i="1"/>
  <c r="Z378" i="1"/>
  <c r="BN378" i="1"/>
  <c r="Z390" i="1"/>
  <c r="BN390" i="1"/>
  <c r="Z409" i="1"/>
  <c r="BN409" i="1"/>
  <c r="X498" i="1"/>
  <c r="Z426" i="1"/>
  <c r="BN426" i="1"/>
  <c r="Z436" i="1"/>
  <c r="BN436" i="1"/>
  <c r="Y446" i="1"/>
  <c r="Z450" i="1"/>
  <c r="BN450" i="1"/>
  <c r="Z466" i="1"/>
  <c r="BN466" i="1"/>
  <c r="Y131" i="1"/>
  <c r="BP129" i="1"/>
  <c r="BN129" i="1"/>
  <c r="Z129" i="1"/>
  <c r="BP163" i="1"/>
  <c r="BN163" i="1"/>
  <c r="Z163" i="1"/>
  <c r="BP170" i="1"/>
  <c r="BN170" i="1"/>
  <c r="Z170" i="1"/>
  <c r="BP191" i="1"/>
  <c r="BN191" i="1"/>
  <c r="Z191" i="1"/>
  <c r="BP201" i="1"/>
  <c r="BN201" i="1"/>
  <c r="Z201" i="1"/>
  <c r="BP213" i="1"/>
  <c r="BN213" i="1"/>
  <c r="Z213" i="1"/>
  <c r="X489" i="1"/>
  <c r="X491" i="1" s="1"/>
  <c r="X492" i="1"/>
  <c r="Z27" i="1"/>
  <c r="BN27" i="1"/>
  <c r="Z41" i="1"/>
  <c r="BN41" i="1"/>
  <c r="D498" i="1"/>
  <c r="Z54" i="1"/>
  <c r="BN54" i="1"/>
  <c r="Z60" i="1"/>
  <c r="BN60" i="1"/>
  <c r="BP60" i="1"/>
  <c r="Y63" i="1"/>
  <c r="Z66" i="1"/>
  <c r="BN66" i="1"/>
  <c r="BP66" i="1"/>
  <c r="Y69" i="1"/>
  <c r="Z72" i="1"/>
  <c r="BN72" i="1"/>
  <c r="BP72" i="1"/>
  <c r="Y77" i="1"/>
  <c r="Z80" i="1"/>
  <c r="BN80" i="1"/>
  <c r="Z87" i="1"/>
  <c r="BN87" i="1"/>
  <c r="Y95" i="1"/>
  <c r="Z93" i="1"/>
  <c r="BN93" i="1"/>
  <c r="F498" i="1"/>
  <c r="Z102" i="1"/>
  <c r="BN102" i="1"/>
  <c r="Y110" i="1"/>
  <c r="Z108" i="1"/>
  <c r="BN108" i="1"/>
  <c r="Y116" i="1"/>
  <c r="Z114" i="1"/>
  <c r="BN114" i="1"/>
  <c r="G498" i="1"/>
  <c r="BP140" i="1"/>
  <c r="BN140" i="1"/>
  <c r="Z140" i="1"/>
  <c r="BP166" i="1"/>
  <c r="BN166" i="1"/>
  <c r="Z166" i="1"/>
  <c r="BP176" i="1"/>
  <c r="BN176" i="1"/>
  <c r="Z176" i="1"/>
  <c r="BP197" i="1"/>
  <c r="BN197" i="1"/>
  <c r="Z197" i="1"/>
  <c r="BP209" i="1"/>
  <c r="BN209" i="1"/>
  <c r="Z209" i="1"/>
  <c r="Y132" i="1"/>
  <c r="Y143" i="1"/>
  <c r="Y149" i="1"/>
  <c r="Y171" i="1"/>
  <c r="Y178" i="1"/>
  <c r="Z224" i="1"/>
  <c r="BN224" i="1"/>
  <c r="Y235" i="1"/>
  <c r="Z228" i="1"/>
  <c r="BN228" i="1"/>
  <c r="Z232" i="1"/>
  <c r="BN232" i="1"/>
  <c r="Y251" i="1"/>
  <c r="Z248" i="1"/>
  <c r="BN248" i="1"/>
  <c r="L498" i="1"/>
  <c r="Z257" i="1"/>
  <c r="BN257" i="1"/>
  <c r="M498" i="1"/>
  <c r="Z266" i="1"/>
  <c r="BN266" i="1"/>
  <c r="Z273" i="1"/>
  <c r="BN273" i="1"/>
  <c r="Q498" i="1"/>
  <c r="Z292" i="1"/>
  <c r="BN292" i="1"/>
  <c r="Y305" i="1"/>
  <c r="Z300" i="1"/>
  <c r="BN300" i="1"/>
  <c r="Z308" i="1"/>
  <c r="BN308" i="1"/>
  <c r="Z314" i="1"/>
  <c r="BN314" i="1"/>
  <c r="BP314" i="1"/>
  <c r="Y317" i="1"/>
  <c r="Z320" i="1"/>
  <c r="BN320" i="1"/>
  <c r="BP320" i="1"/>
  <c r="Y325" i="1"/>
  <c r="Z328" i="1"/>
  <c r="BN328" i="1"/>
  <c r="Z335" i="1"/>
  <c r="BN335" i="1"/>
  <c r="Z345" i="1"/>
  <c r="BN345" i="1"/>
  <c r="Z353" i="1"/>
  <c r="BN353" i="1"/>
  <c r="Y359" i="1"/>
  <c r="Z368" i="1"/>
  <c r="BN368" i="1"/>
  <c r="Z372" i="1"/>
  <c r="BN372" i="1"/>
  <c r="Z384" i="1"/>
  <c r="BN384" i="1"/>
  <c r="Z388" i="1"/>
  <c r="BN388" i="1"/>
  <c r="Z392" i="1"/>
  <c r="BN392" i="1"/>
  <c r="Y398" i="1"/>
  <c r="Z407" i="1"/>
  <c r="BN407" i="1"/>
  <c r="Z414" i="1"/>
  <c r="Z415" i="1" s="1"/>
  <c r="BN414" i="1"/>
  <c r="BP414" i="1"/>
  <c r="Z420" i="1"/>
  <c r="BN420" i="1"/>
  <c r="BP420" i="1"/>
  <c r="Z424" i="1"/>
  <c r="BN424" i="1"/>
  <c r="Z428" i="1"/>
  <c r="BN428" i="1"/>
  <c r="Z434" i="1"/>
  <c r="BN434" i="1"/>
  <c r="Z440" i="1"/>
  <c r="BN440" i="1"/>
  <c r="BP440" i="1"/>
  <c r="Z444" i="1"/>
  <c r="BN444" i="1"/>
  <c r="Z458" i="1"/>
  <c r="BN458" i="1"/>
  <c r="Z464" i="1"/>
  <c r="BN464" i="1"/>
  <c r="Z470" i="1"/>
  <c r="BN470" i="1"/>
  <c r="BP470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BN67" i="1"/>
  <c r="BP67" i="1"/>
  <c r="Z73" i="1"/>
  <c r="BN73" i="1"/>
  <c r="BP73" i="1"/>
  <c r="Z75" i="1"/>
  <c r="BN75" i="1"/>
  <c r="Z79" i="1"/>
  <c r="BN79" i="1"/>
  <c r="BP79" i="1"/>
  <c r="Y82" i="1"/>
  <c r="E498" i="1"/>
  <c r="Z86" i="1"/>
  <c r="Z88" i="1" s="1"/>
  <c r="BN86" i="1"/>
  <c r="BP86" i="1"/>
  <c r="Y89" i="1"/>
  <c r="Z92" i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8" i="1"/>
  <c r="Z141" i="1"/>
  <c r="Z142" i="1" s="1"/>
  <c r="BN141" i="1"/>
  <c r="BP141" i="1"/>
  <c r="Y142" i="1"/>
  <c r="Z145" i="1"/>
  <c r="BN145" i="1"/>
  <c r="BP145" i="1"/>
  <c r="Z147" i="1"/>
  <c r="BN147" i="1"/>
  <c r="Y148" i="1"/>
  <c r="I498" i="1"/>
  <c r="Y159" i="1"/>
  <c r="Z162" i="1"/>
  <c r="BN162" i="1"/>
  <c r="Z164" i="1"/>
  <c r="BN164" i="1"/>
  <c r="Z165" i="1"/>
  <c r="BN165" i="1"/>
  <c r="Z167" i="1"/>
  <c r="BN167" i="1"/>
  <c r="Z169" i="1"/>
  <c r="BN169" i="1"/>
  <c r="Y172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Y203" i="1"/>
  <c r="Z196" i="1"/>
  <c r="BN196" i="1"/>
  <c r="Z198" i="1"/>
  <c r="BN198" i="1"/>
  <c r="BP202" i="1"/>
  <c r="BN202" i="1"/>
  <c r="Z202" i="1"/>
  <c r="Y204" i="1"/>
  <c r="Y215" i="1"/>
  <c r="BP206" i="1"/>
  <c r="BN206" i="1"/>
  <c r="Z206" i="1"/>
  <c r="BP210" i="1"/>
  <c r="BN210" i="1"/>
  <c r="Z210" i="1"/>
  <c r="BP214" i="1"/>
  <c r="BN214" i="1"/>
  <c r="Z214" i="1"/>
  <c r="Y216" i="1"/>
  <c r="H9" i="1"/>
  <c r="Y24" i="1"/>
  <c r="Y44" i="1"/>
  <c r="Y57" i="1"/>
  <c r="Y103" i="1"/>
  <c r="Y126" i="1"/>
  <c r="BP200" i="1"/>
  <c r="BN200" i="1"/>
  <c r="Z200" i="1"/>
  <c r="BP208" i="1"/>
  <c r="BN208" i="1"/>
  <c r="Z208" i="1"/>
  <c r="BP212" i="1"/>
  <c r="BN212" i="1"/>
  <c r="Z212" i="1"/>
  <c r="Z218" i="1"/>
  <c r="Z220" i="1" s="1"/>
  <c r="BN218" i="1"/>
  <c r="BP218" i="1"/>
  <c r="Y221" i="1"/>
  <c r="K498" i="1"/>
  <c r="Z225" i="1"/>
  <c r="BN225" i="1"/>
  <c r="BP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Y268" i="1"/>
  <c r="O498" i="1"/>
  <c r="Z272" i="1"/>
  <c r="Z274" i="1" s="1"/>
  <c r="BN272" i="1"/>
  <c r="BP272" i="1"/>
  <c r="Y275" i="1"/>
  <c r="P498" i="1"/>
  <c r="Z279" i="1"/>
  <c r="Z280" i="1" s="1"/>
  <c r="BN279" i="1"/>
  <c r="BP279" i="1"/>
  <c r="Y280" i="1"/>
  <c r="Z283" i="1"/>
  <c r="BN283" i="1"/>
  <c r="BP283" i="1"/>
  <c r="Z284" i="1"/>
  <c r="BN284" i="1"/>
  <c r="Y285" i="1"/>
  <c r="Z289" i="1"/>
  <c r="BN289" i="1"/>
  <c r="BP289" i="1"/>
  <c r="Z291" i="1"/>
  <c r="BN291" i="1"/>
  <c r="Z293" i="1"/>
  <c r="BN293" i="1"/>
  <c r="Y294" i="1"/>
  <c r="Z297" i="1"/>
  <c r="BN297" i="1"/>
  <c r="BP297" i="1"/>
  <c r="Z299" i="1"/>
  <c r="BN299" i="1"/>
  <c r="Z301" i="1"/>
  <c r="BN301" i="1"/>
  <c r="Z303" i="1"/>
  <c r="BN303" i="1"/>
  <c r="Y304" i="1"/>
  <c r="Z307" i="1"/>
  <c r="BN307" i="1"/>
  <c r="BP307" i="1"/>
  <c r="Z309" i="1"/>
  <c r="BN309" i="1"/>
  <c r="Y312" i="1"/>
  <c r="Z315" i="1"/>
  <c r="Z317" i="1" s="1"/>
  <c r="BN315" i="1"/>
  <c r="BP315" i="1"/>
  <c r="Z321" i="1"/>
  <c r="BN321" i="1"/>
  <c r="BP321" i="1"/>
  <c r="Z323" i="1"/>
  <c r="BN323" i="1"/>
  <c r="Z327" i="1"/>
  <c r="BN327" i="1"/>
  <c r="BP327" i="1"/>
  <c r="Z329" i="1"/>
  <c r="BN329" i="1"/>
  <c r="Y330" i="1"/>
  <c r="Z334" i="1"/>
  <c r="BN334" i="1"/>
  <c r="BP334" i="1"/>
  <c r="Z336" i="1"/>
  <c r="BN336" i="1"/>
  <c r="Y337" i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Y374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260" i="1"/>
  <c r="Y267" i="1"/>
  <c r="Y295" i="1"/>
  <c r="Y338" i="1"/>
  <c r="S498" i="1"/>
  <c r="Y349" i="1"/>
  <c r="BP342" i="1"/>
  <c r="BN342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0" i="1"/>
  <c r="BP377" i="1"/>
  <c r="BN377" i="1"/>
  <c r="Z377" i="1"/>
  <c r="BP387" i="1"/>
  <c r="BN387" i="1"/>
  <c r="Z387" i="1"/>
  <c r="BP391" i="1"/>
  <c r="BN391" i="1"/>
  <c r="Z391" i="1"/>
  <c r="Y404" i="1"/>
  <c r="Y410" i="1"/>
  <c r="BP423" i="1"/>
  <c r="BN423" i="1"/>
  <c r="Z423" i="1"/>
  <c r="BP427" i="1"/>
  <c r="BN427" i="1"/>
  <c r="Z427" i="1"/>
  <c r="Y431" i="1"/>
  <c r="BP435" i="1"/>
  <c r="BN435" i="1"/>
  <c r="Z435" i="1"/>
  <c r="Z437" i="1" s="1"/>
  <c r="BP443" i="1"/>
  <c r="BN443" i="1"/>
  <c r="Z443" i="1"/>
  <c r="BP451" i="1"/>
  <c r="BN451" i="1"/>
  <c r="Z451" i="1"/>
  <c r="Y453" i="1"/>
  <c r="Y498" i="1"/>
  <c r="Y462" i="1"/>
  <c r="BP457" i="1"/>
  <c r="BN457" i="1"/>
  <c r="Z457" i="1"/>
  <c r="Y461" i="1"/>
  <c r="BP465" i="1"/>
  <c r="BN465" i="1"/>
  <c r="Z465" i="1"/>
  <c r="Z467" i="1" s="1"/>
  <c r="U498" i="1"/>
  <c r="Y394" i="1"/>
  <c r="Z402" i="1"/>
  <c r="Z403" i="1" s="1"/>
  <c r="BN402" i="1"/>
  <c r="BP402" i="1"/>
  <c r="Y403" i="1"/>
  <c r="Z406" i="1"/>
  <c r="BN406" i="1"/>
  <c r="BP406" i="1"/>
  <c r="Z408" i="1"/>
  <c r="BN408" i="1"/>
  <c r="W498" i="1"/>
  <c r="Y416" i="1"/>
  <c r="BP421" i="1"/>
  <c r="BN421" i="1"/>
  <c r="Z421" i="1"/>
  <c r="BP425" i="1"/>
  <c r="BN425" i="1"/>
  <c r="Z425" i="1"/>
  <c r="BP429" i="1"/>
  <c r="BN429" i="1"/>
  <c r="Z429" i="1"/>
  <c r="Y438" i="1"/>
  <c r="Y437" i="1"/>
  <c r="BP441" i="1"/>
  <c r="BN441" i="1"/>
  <c r="Z441" i="1"/>
  <c r="BP445" i="1"/>
  <c r="BN445" i="1"/>
  <c r="Z445" i="1"/>
  <c r="Y447" i="1"/>
  <c r="Y452" i="1"/>
  <c r="BP449" i="1"/>
  <c r="BN449" i="1"/>
  <c r="Z449" i="1"/>
  <c r="BP459" i="1"/>
  <c r="BN459" i="1"/>
  <c r="Z459" i="1"/>
  <c r="Y468" i="1"/>
  <c r="Y467" i="1"/>
  <c r="BP471" i="1"/>
  <c r="BN471" i="1"/>
  <c r="Z471" i="1"/>
  <c r="Y473" i="1"/>
  <c r="Y476" i="1"/>
  <c r="BP475" i="1"/>
  <c r="BN475" i="1"/>
  <c r="Z475" i="1"/>
  <c r="Z476" i="1" s="1"/>
  <c r="Y477" i="1"/>
  <c r="Y432" i="1"/>
  <c r="Z479" i="1"/>
  <c r="BN479" i="1"/>
  <c r="BP479" i="1"/>
  <c r="Y482" i="1"/>
  <c r="Y487" i="1"/>
  <c r="Z480" i="1"/>
  <c r="BN480" i="1"/>
  <c r="Z485" i="1"/>
  <c r="Z486" i="1" s="1"/>
  <c r="BN485" i="1"/>
  <c r="BP485" i="1"/>
  <c r="Y486" i="1"/>
  <c r="Z481" i="1" l="1"/>
  <c r="Z472" i="1"/>
  <c r="Z452" i="1"/>
  <c r="Z446" i="1"/>
  <c r="Z431" i="1"/>
  <c r="Z379" i="1"/>
  <c r="Z349" i="1"/>
  <c r="Z324" i="1"/>
  <c r="Z81" i="1"/>
  <c r="Z69" i="1"/>
  <c r="Z203" i="1"/>
  <c r="Z171" i="1"/>
  <c r="Z393" i="1"/>
  <c r="Z337" i="1"/>
  <c r="Z330" i="1"/>
  <c r="Z311" i="1"/>
  <c r="Z304" i="1"/>
  <c r="Z294" i="1"/>
  <c r="Z285" i="1"/>
  <c r="Z267" i="1"/>
  <c r="Z259" i="1"/>
  <c r="Z250" i="1"/>
  <c r="Z234" i="1"/>
  <c r="Z116" i="1"/>
  <c r="Z95" i="1"/>
  <c r="Z76" i="1"/>
  <c r="Z57" i="1"/>
  <c r="Z148" i="1"/>
  <c r="Z103" i="1"/>
  <c r="Y492" i="1"/>
  <c r="Y489" i="1"/>
  <c r="Z410" i="1"/>
  <c r="Z461" i="1"/>
  <c r="Y488" i="1"/>
  <c r="Z215" i="1"/>
  <c r="Z43" i="1"/>
  <c r="Z493" i="1" s="1"/>
  <c r="Z31" i="1"/>
  <c r="Y490" i="1"/>
  <c r="Y491" i="1" l="1"/>
</calcChain>
</file>

<file path=xl/sharedStrings.xml><?xml version="1.0" encoding="utf-8"?>
<sst xmlns="http://schemas.openxmlformats.org/spreadsheetml/2006/main" count="2271" uniqueCount="760">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</sst>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45990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0.41666666666666669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hidden="1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126</v>
      </c>
      <c r="Y91" s="540">
        <f>IFERROR(IF(X91="",0,CEILING((X91/$H91),1)*$H91),"")</f>
        <v>129.6</v>
      </c>
      <c r="Z91" s="36">
        <f>IFERROR(IF(Y91=0,"",ROUNDUP(Y91/H91,0)*0.01898),"")</f>
        <v>0.30368000000000001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133.68444444444444</v>
      </c>
      <c r="BN91" s="64">
        <f>IFERROR(Y91*I91/H91,"0")</f>
        <v>137.50399999999999</v>
      </c>
      <c r="BO91" s="64">
        <f>IFERROR(1/J91*(X91/H91),"0")</f>
        <v>0.24305555555555555</v>
      </c>
      <c r="BP91" s="64">
        <f>IFERROR(1/J91*(Y91/H91),"0")</f>
        <v>0.25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15.555555555555555</v>
      </c>
      <c r="Y95" s="541">
        <f>IFERROR(Y91/H91,"0")+IFERROR(Y92/H92,"0")+IFERROR(Y93/H93,"0")+IFERROR(Y94/H94,"0")</f>
        <v>16</v>
      </c>
      <c r="Z95" s="541">
        <f>IFERROR(IF(Z91="",0,Z91),"0")+IFERROR(IF(Z92="",0,Z92),"0")+IFERROR(IF(Z93="",0,Z93),"0")+IFERROR(IF(Z94="",0,Z94),"0")</f>
        <v>0.30368000000000001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126</v>
      </c>
      <c r="Y96" s="541">
        <f>IFERROR(SUM(Y91:Y94),"0")</f>
        <v>129.6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124</v>
      </c>
      <c r="Y112" s="540">
        <f>IFERROR(IF(X112="",0,CEILING((X112/$H112),1)*$H112),"")</f>
        <v>129.6</v>
      </c>
      <c r="Z112" s="36">
        <f>IFERROR(IF(Y112=0,"",ROUNDUP(Y112/H112,0)*0.01898),"")</f>
        <v>0.30368000000000001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131.47061728395059</v>
      </c>
      <c r="BN112" s="64">
        <f>IFERROR(Y112*I112/H112,"0")</f>
        <v>137.40799999999999</v>
      </c>
      <c r="BO112" s="64">
        <f>IFERROR(1/J112*(X112/H112),"0")</f>
        <v>0.23919753086419754</v>
      </c>
      <c r="BP112" s="64">
        <f>IFERROR(1/J112*(Y112/H112),"0")</f>
        <v>0.25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15.308641975308642</v>
      </c>
      <c r="Y116" s="541">
        <f>IFERROR(Y112/H112,"0")+IFERROR(Y113/H113,"0")+IFERROR(Y114/H114,"0")+IFERROR(Y115/H115,"0")</f>
        <v>16</v>
      </c>
      <c r="Z116" s="541">
        <f>IFERROR(IF(Z112="",0,Z112),"0")+IFERROR(IF(Z113="",0,Z113),"0")+IFERROR(IF(Z114="",0,Z114),"0")+IFERROR(IF(Z115="",0,Z115),"0")</f>
        <v>0.30368000000000001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124</v>
      </c>
      <c r="Y117" s="541">
        <f>IFERROR(SUM(Y112:Y115),"0")</f>
        <v>129.6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131</v>
      </c>
      <c r="Y211" s="540">
        <f t="shared" si="15"/>
        <v>132</v>
      </c>
      <c r="Z211" s="36">
        <f t="shared" si="20"/>
        <v>0.35805000000000003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144.75500000000002</v>
      </c>
      <c r="BN211" s="64">
        <f t="shared" si="17"/>
        <v>145.86000000000001</v>
      </c>
      <c r="BO211" s="64">
        <f t="shared" si="18"/>
        <v>0.29990842490842495</v>
      </c>
      <c r="BP211" s="64">
        <f t="shared" si="19"/>
        <v>0.30219780219780223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112</v>
      </c>
      <c r="Y212" s="540">
        <f t="shared" si="15"/>
        <v>112.8</v>
      </c>
      <c r="Z212" s="36">
        <f t="shared" si="20"/>
        <v>0.30597000000000002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123.76</v>
      </c>
      <c r="BN212" s="64">
        <f t="shared" si="17"/>
        <v>124.64400000000001</v>
      </c>
      <c r="BO212" s="64">
        <f t="shared" si="18"/>
        <v>0.25641025641025644</v>
      </c>
      <c r="BP212" s="64">
        <f t="shared" si="19"/>
        <v>0.25824175824175827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101.25</v>
      </c>
      <c r="Y215" s="541">
        <f>IFERROR(Y206/H206,"0")+IFERROR(Y207/H207,"0")+IFERROR(Y208/H208,"0")+IFERROR(Y209/H209,"0")+IFERROR(Y210/H210,"0")+IFERROR(Y211/H211,"0")+IFERROR(Y212/H212,"0")+IFERROR(Y213/H213,"0")+IFERROR(Y214/H214,"0")</f>
        <v>102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0.66402000000000005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243</v>
      </c>
      <c r="Y216" s="541">
        <f>IFERROR(SUM(Y206:Y214),"0")</f>
        <v>244.8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52</v>
      </c>
      <c r="Y272" s="540">
        <f>IFERROR(IF(X272="",0,CEILING((X272/$H272),1)*$H272),"")</f>
        <v>52.8</v>
      </c>
      <c r="Z272" s="36">
        <f>IFERROR(IF(Y272=0,"",ROUNDUP(Y272/H272,0)*0.00651),"")</f>
        <v>0.14322000000000001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57.46</v>
      </c>
      <c r="BN272" s="64">
        <f>IFERROR(Y272*I272/H272,"0")</f>
        <v>58.344000000000001</v>
      </c>
      <c r="BO272" s="64">
        <f>IFERROR(1/J272*(X272/H272),"0")</f>
        <v>0.11904761904761907</v>
      </c>
      <c r="BP272" s="64">
        <f>IFERROR(1/J272*(Y272/H272),"0")</f>
        <v>0.12087912087912089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53</v>
      </c>
      <c r="Y273" s="540">
        <f>IFERROR(IF(X273="",0,CEILING((X273/$H273),1)*$H273),"")</f>
        <v>55.199999999999996</v>
      </c>
      <c r="Z273" s="36">
        <f>IFERROR(IF(Y273=0,"",ROUNDUP(Y273/H273,0)*0.00651),"")</f>
        <v>0.14973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56.975000000000009</v>
      </c>
      <c r="BN273" s="64">
        <f>IFERROR(Y273*I273/H273,"0")</f>
        <v>59.34</v>
      </c>
      <c r="BO273" s="64">
        <f>IFERROR(1/J273*(X273/H273),"0")</f>
        <v>0.12133699633699636</v>
      </c>
      <c r="BP273" s="64">
        <f>IFERROR(1/J273*(Y273/H273),"0")</f>
        <v>0.1263736263736264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43.75</v>
      </c>
      <c r="Y274" s="541">
        <f>IFERROR(Y271/H271,"0")+IFERROR(Y272/H272,"0")+IFERROR(Y273/H273,"0")</f>
        <v>45</v>
      </c>
      <c r="Z274" s="541">
        <f>IFERROR(IF(Z271="",0,Z271),"0")+IFERROR(IF(Z272="",0,Z272),"0")+IFERROR(IF(Z273="",0,Z273),"0")</f>
        <v>0.29295000000000004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105</v>
      </c>
      <c r="Y275" s="541">
        <f>IFERROR(SUM(Y271:Y273),"0")</f>
        <v>108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90</v>
      </c>
      <c r="Y315" s="540">
        <f>IFERROR(IF(X315="",0,CEILING((X315/$H315),1)*$H315),"")</f>
        <v>93.6</v>
      </c>
      <c r="Z315" s="36">
        <f>IFERROR(IF(Y315=0,"",ROUNDUP(Y315/H315,0)*0.01898),"")</f>
        <v>0.22776000000000002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95.7</v>
      </c>
      <c r="BN315" s="64">
        <f>IFERROR(Y315*I315/H315,"0")</f>
        <v>99.528000000000006</v>
      </c>
      <c r="BO315" s="64">
        <f>IFERROR(1/J315*(X315/H315),"0")</f>
        <v>0.18028846153846154</v>
      </c>
      <c r="BP315" s="64">
        <f>IFERROR(1/J315*(Y315/H315),"0")</f>
        <v>0.1875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11.538461538461538</v>
      </c>
      <c r="Y317" s="541">
        <f>IFERROR(Y314/H314,"0")+IFERROR(Y315/H315,"0")+IFERROR(Y316/H316,"0")</f>
        <v>12</v>
      </c>
      <c r="Z317" s="541">
        <f>IFERROR(IF(Z314="",0,Z314),"0")+IFERROR(IF(Z315="",0,Z315),"0")+IFERROR(IF(Z316="",0,Z316),"0")</f>
        <v>0.22776000000000002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90</v>
      </c>
      <c r="Y318" s="541">
        <f>IFERROR(SUM(Y314:Y316),"0")</f>
        <v>93.6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140</v>
      </c>
      <c r="Y342" s="540">
        <f t="shared" ref="Y342:Y348" si="31">IFERROR(IF(X342="",0,CEILING((X342/$H342),1)*$H342),"")</f>
        <v>150</v>
      </c>
      <c r="Z342" s="36">
        <f>IFERROR(IF(Y342=0,"",ROUNDUP(Y342/H342,0)*0.02175),"")</f>
        <v>0.21749999999999997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144.38666666666668</v>
      </c>
      <c r="BN342" s="64">
        <f t="shared" ref="BN342:BN348" si="33">IFERROR(Y342*I342/H342,"0")</f>
        <v>154.69999999999999</v>
      </c>
      <c r="BO342" s="64">
        <f t="shared" ref="BO342:BO348" si="34">IFERROR(1/J342*(X342/H342),"0")</f>
        <v>0.19444444444444445</v>
      </c>
      <c r="BP342" s="64">
        <f t="shared" ref="BP342:BP348" si="35">IFERROR(1/J342*(Y342/H342),"0")</f>
        <v>0.20833333333333331</v>
      </c>
    </row>
    <row r="343" spans="1:68" ht="27" hidden="1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120</v>
      </c>
      <c r="Y345" s="540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123.76</v>
      </c>
      <c r="BN345" s="64">
        <f t="shared" si="33"/>
        <v>123.76</v>
      </c>
      <c r="BO345" s="64">
        <f t="shared" si="34"/>
        <v>0.16666666666666666</v>
      </c>
      <c r="BP345" s="64">
        <f t="shared" si="35"/>
        <v>0.16666666666666666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17.333333333333336</v>
      </c>
      <c r="Y349" s="541">
        <f>IFERROR(Y342/H342,"0")+IFERROR(Y343/H343,"0")+IFERROR(Y344/H344,"0")+IFERROR(Y345/H345,"0")+IFERROR(Y346/H346,"0")+IFERROR(Y347/H347,"0")+IFERROR(Y348/H348,"0")</f>
        <v>18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0.39149999999999996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260</v>
      </c>
      <c r="Y350" s="541">
        <f>IFERROR(SUM(Y342:Y348),"0")</f>
        <v>270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170</v>
      </c>
      <c r="Y352" s="540">
        <f>IFERROR(IF(X352="",0,CEILING((X352/$H352),1)*$H352),"")</f>
        <v>180</v>
      </c>
      <c r="Z352" s="36">
        <f>IFERROR(IF(Y352=0,"",ROUNDUP(Y352/H352,0)*0.02175),"")</f>
        <v>0.26100000000000001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175.32666666666668</v>
      </c>
      <c r="BN352" s="64">
        <f>IFERROR(Y352*I352/H352,"0")</f>
        <v>185.64</v>
      </c>
      <c r="BO352" s="64">
        <f>IFERROR(1/J352*(X352/H352),"0")</f>
        <v>0.2361111111111111</v>
      </c>
      <c r="BP352" s="64">
        <f>IFERROR(1/J352*(Y352/H352),"0")</f>
        <v>0.25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11.333333333333334</v>
      </c>
      <c r="Y354" s="541">
        <f>IFERROR(Y352/H352,"0")+IFERROR(Y353/H353,"0")</f>
        <v>12</v>
      </c>
      <c r="Z354" s="541">
        <f>IFERROR(IF(Z352="",0,Z352),"0")+IFERROR(IF(Z353="",0,Z353),"0")</f>
        <v>0.26100000000000001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170</v>
      </c>
      <c r="Y355" s="541">
        <f>IFERROR(SUM(Y352:Y353),"0")</f>
        <v>180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290</v>
      </c>
      <c r="Y425" s="540">
        <f t="shared" si="42"/>
        <v>290.40000000000003</v>
      </c>
      <c r="Z425" s="36">
        <f t="shared" si="43"/>
        <v>0.65780000000000005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309.22348484848482</v>
      </c>
      <c r="BN425" s="64">
        <f t="shared" si="45"/>
        <v>309.65000000000003</v>
      </c>
      <c r="BO425" s="64">
        <f t="shared" si="46"/>
        <v>0.52811771561771559</v>
      </c>
      <c r="BP425" s="64">
        <f t="shared" si="47"/>
        <v>0.52884615384615397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54.924242424242422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55.000000000000007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0.65780000000000005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290</v>
      </c>
      <c r="Y432" s="541">
        <f>IFERROR(SUM(Y420:Y430),"0")</f>
        <v>290.40000000000003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160</v>
      </c>
      <c r="Y434" s="540">
        <f>IFERROR(IF(X434="",0,CEILING((X434/$H434),1)*$H434),"")</f>
        <v>163.68</v>
      </c>
      <c r="Z434" s="36">
        <f>IFERROR(IF(Y434=0,"",ROUNDUP(Y434/H434,0)*0.01196),"")</f>
        <v>0.37075999999999998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170.60606060606059</v>
      </c>
      <c r="BN434" s="64">
        <f>IFERROR(Y434*I434/H434,"0")</f>
        <v>174.53</v>
      </c>
      <c r="BO434" s="64">
        <f>IFERROR(1/J434*(X434/H434),"0")</f>
        <v>0.29137529137529139</v>
      </c>
      <c r="BP434" s="64">
        <f>IFERROR(1/J434*(Y434/H434),"0")</f>
        <v>0.29807692307692307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30.303030303030301</v>
      </c>
      <c r="Y437" s="541">
        <f>IFERROR(Y434/H434,"0")+IFERROR(Y435/H435,"0")+IFERROR(Y436/H436,"0")</f>
        <v>31</v>
      </c>
      <c r="Z437" s="541">
        <f>IFERROR(IF(Z434="",0,Z434),"0")+IFERROR(IF(Z435="",0,Z435),"0")+IFERROR(IF(Z436="",0,Z436),"0")</f>
        <v>0.37075999999999998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160</v>
      </c>
      <c r="Y438" s="541">
        <f>IFERROR(SUM(Y434:Y436),"0")</f>
        <v>163.68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45</v>
      </c>
      <c r="Y440" s="540">
        <f t="shared" ref="Y440:Y445" si="48">IFERROR(IF(X440="",0,CEILING((X440/$H440),1)*$H440),"")</f>
        <v>47.52</v>
      </c>
      <c r="Z440" s="36">
        <f>IFERROR(IF(Y440=0,"",ROUNDUP(Y440/H440,0)*0.01196),"")</f>
        <v>0.10764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47.98295454545454</v>
      </c>
      <c r="BN440" s="64">
        <f t="shared" ref="BN440:BN445" si="50">IFERROR(Y440*I440/H440,"0")</f>
        <v>50.669999999999995</v>
      </c>
      <c r="BO440" s="64">
        <f t="shared" ref="BO440:BO445" si="51">IFERROR(1/J440*(X440/H440),"0")</f>
        <v>8.1949300699300689E-2</v>
      </c>
      <c r="BP440" s="64">
        <f t="shared" ref="BP440:BP445" si="52">IFERROR(1/J440*(Y440/H440),"0")</f>
        <v>8.6538461538461536E-2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76</v>
      </c>
      <c r="Y441" s="540">
        <f t="shared" si="48"/>
        <v>79.2</v>
      </c>
      <c r="Z441" s="36">
        <f>IFERROR(IF(Y441=0,"",ROUNDUP(Y441/H441,0)*0.01196),"")</f>
        <v>0.1794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81.037878787878782</v>
      </c>
      <c r="BN441" s="64">
        <f t="shared" si="50"/>
        <v>84.45</v>
      </c>
      <c r="BO441" s="64">
        <f t="shared" si="51"/>
        <v>0.13840326340326339</v>
      </c>
      <c r="BP441" s="64">
        <f t="shared" si="52"/>
        <v>0.14423076923076925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74</v>
      </c>
      <c r="Y442" s="540">
        <f t="shared" si="48"/>
        <v>79.2</v>
      </c>
      <c r="Z442" s="36">
        <f>IFERROR(IF(Y442=0,"",ROUNDUP(Y442/H442,0)*0.01196),"")</f>
        <v>0.1794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78.905303030303031</v>
      </c>
      <c r="BN442" s="64">
        <f t="shared" si="50"/>
        <v>84.45</v>
      </c>
      <c r="BO442" s="64">
        <f t="shared" si="51"/>
        <v>0.13476107226107226</v>
      </c>
      <c r="BP442" s="64">
        <f t="shared" si="52"/>
        <v>0.14423076923076925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36.93181818181818</v>
      </c>
      <c r="Y446" s="541">
        <f>IFERROR(Y440/H440,"0")+IFERROR(Y441/H441,"0")+IFERROR(Y442/H442,"0")+IFERROR(Y443/H443,"0")+IFERROR(Y444/H444,"0")+IFERROR(Y445/H445,"0")</f>
        <v>39</v>
      </c>
      <c r="Z446" s="541">
        <f>IFERROR(IF(Z440="",0,Z440),"0")+IFERROR(IF(Z441="",0,Z441),"0")+IFERROR(IF(Z442="",0,Z442),"0")+IFERROR(IF(Z443="",0,Z443),"0")+IFERROR(IF(Z444="",0,Z444),"0")+IFERROR(IF(Z445="",0,Z445),"0")</f>
        <v>0.46644000000000002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195</v>
      </c>
      <c r="Y447" s="541">
        <f>IFERROR(SUM(Y440:Y445),"0")</f>
        <v>205.92000000000002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1763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1815.6000000000001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1875.0340768799099</v>
      </c>
      <c r="Y489" s="541">
        <f>IFERROR(SUM(BN22:BN485),"0")</f>
        <v>1930.4780000000003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4</v>
      </c>
      <c r="Y490" s="38">
        <f>ROUNDUP(SUM(BP22:BP485),0)</f>
        <v>4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1975.0340768799099</v>
      </c>
      <c r="Y491" s="541">
        <f>GrossWeightTotalR+PalletQtyTotalR*25</f>
        <v>2030.4780000000003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338.22841664508337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346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3.9395900000000004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189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129.6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244.8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108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93.6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450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660.00000000000011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63,00"/>
        <filter val="1 875,03"/>
        <filter val="1 975,03"/>
        <filter val="101,25"/>
        <filter val="105,00"/>
        <filter val="11,33"/>
        <filter val="11,54"/>
        <filter val="112,00"/>
        <filter val="120,00"/>
        <filter val="124,00"/>
        <filter val="126,00"/>
        <filter val="131,00"/>
        <filter val="140,00"/>
        <filter val="15,31"/>
        <filter val="15,56"/>
        <filter val="160,00"/>
        <filter val="17,33"/>
        <filter val="170,00"/>
        <filter val="195,00"/>
        <filter val="243,00"/>
        <filter val="260,00"/>
        <filter val="290,00"/>
        <filter val="30,30"/>
        <filter val="338,23"/>
        <filter val="36,93"/>
        <filter val="4"/>
        <filter val="43,75"/>
        <filter val="45,00"/>
        <filter val="52,00"/>
        <filter val="53,00"/>
        <filter val="54,92"/>
        <filter val="74,00"/>
        <filter val="76,00"/>
        <filter val="90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