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4079E2A-B300-4DF0-9ABD-3DA60C25492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P297" i="1"/>
  <c r="BO297" i="1"/>
  <c r="BN297" i="1"/>
  <c r="BM297" i="1"/>
  <c r="Z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Z210" i="1" s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Y187" i="1" s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Y126" i="1" s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M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9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489" i="1" s="1"/>
  <c r="X23" i="1"/>
  <c r="BO22" i="1"/>
  <c r="X491" i="1" s="1"/>
  <c r="BM22" i="1"/>
  <c r="Y22" i="1"/>
  <c r="B499" i="1" s="1"/>
  <c r="P22" i="1"/>
  <c r="H10" i="1"/>
  <c r="A9" i="1"/>
  <c r="A10" i="1" s="1"/>
  <c r="D7" i="1"/>
  <c r="Q6" i="1"/>
  <c r="P2" i="1"/>
  <c r="BP56" i="1" l="1"/>
  <c r="BN56" i="1"/>
  <c r="Z56" i="1"/>
  <c r="BP85" i="1"/>
  <c r="Y88" i="1"/>
  <c r="BN85" i="1"/>
  <c r="Z85" i="1"/>
  <c r="BP87" i="1"/>
  <c r="BN87" i="1"/>
  <c r="Z87" i="1"/>
  <c r="BP91" i="1"/>
  <c r="BN91" i="1"/>
  <c r="Z91" i="1"/>
  <c r="BP135" i="1"/>
  <c r="BN135" i="1"/>
  <c r="Z135" i="1"/>
  <c r="BP165" i="1"/>
  <c r="BN165" i="1"/>
  <c r="Z165" i="1"/>
  <c r="BP200" i="1"/>
  <c r="BN200" i="1"/>
  <c r="Z200" i="1"/>
  <c r="BP224" i="1"/>
  <c r="BN224" i="1"/>
  <c r="Z224" i="1"/>
  <c r="BP257" i="1"/>
  <c r="BN257" i="1"/>
  <c r="Z257" i="1"/>
  <c r="BP291" i="1"/>
  <c r="BN291" i="1"/>
  <c r="Z291" i="1"/>
  <c r="BP311" i="1"/>
  <c r="BN311" i="1"/>
  <c r="Z311" i="1"/>
  <c r="BP345" i="1"/>
  <c r="BN345" i="1"/>
  <c r="Z345" i="1"/>
  <c r="BP378" i="1"/>
  <c r="BN378" i="1"/>
  <c r="Z378" i="1"/>
  <c r="BP424" i="1"/>
  <c r="BN424" i="1"/>
  <c r="Z424" i="1"/>
  <c r="BP450" i="1"/>
  <c r="BN450" i="1"/>
  <c r="Z450" i="1"/>
  <c r="Z29" i="1"/>
  <c r="BN29" i="1"/>
  <c r="BP68" i="1"/>
  <c r="BN68" i="1"/>
  <c r="Z68" i="1"/>
  <c r="BP106" i="1"/>
  <c r="BN106" i="1"/>
  <c r="Z106" i="1"/>
  <c r="BP146" i="1"/>
  <c r="BN146" i="1"/>
  <c r="Z146" i="1"/>
  <c r="BP186" i="1"/>
  <c r="BN186" i="1"/>
  <c r="Z186" i="1"/>
  <c r="BP232" i="1"/>
  <c r="BN232" i="1"/>
  <c r="Z232" i="1"/>
  <c r="BP273" i="1"/>
  <c r="BN273" i="1"/>
  <c r="Z273" i="1"/>
  <c r="BP301" i="1"/>
  <c r="BN301" i="1"/>
  <c r="Z301" i="1"/>
  <c r="BP328" i="1"/>
  <c r="BN328" i="1"/>
  <c r="Z328" i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Y96" i="1"/>
  <c r="Y149" i="1"/>
  <c r="Y338" i="1"/>
  <c r="BP93" i="1"/>
  <c r="BN93" i="1"/>
  <c r="Z93" i="1"/>
  <c r="BP108" i="1"/>
  <c r="BN108" i="1"/>
  <c r="Z108" i="1"/>
  <c r="BP112" i="1"/>
  <c r="BN112" i="1"/>
  <c r="Z112" i="1"/>
  <c r="BP140" i="1"/>
  <c r="BN140" i="1"/>
  <c r="Z140" i="1"/>
  <c r="BP163" i="1"/>
  <c r="BN163" i="1"/>
  <c r="Z163" i="1"/>
  <c r="BP175" i="1"/>
  <c r="BN175" i="1"/>
  <c r="Z175" i="1"/>
  <c r="BP198" i="1"/>
  <c r="BN198" i="1"/>
  <c r="Z198" i="1"/>
  <c r="BP208" i="1"/>
  <c r="BN208" i="1"/>
  <c r="Z208" i="1"/>
  <c r="BP219" i="1"/>
  <c r="BN219" i="1"/>
  <c r="Z219" i="1"/>
  <c r="BP230" i="1"/>
  <c r="BN230" i="1"/>
  <c r="Z230" i="1"/>
  <c r="BP255" i="1"/>
  <c r="BN255" i="1"/>
  <c r="Z255" i="1"/>
  <c r="BP271" i="1"/>
  <c r="BN271" i="1"/>
  <c r="Z271" i="1"/>
  <c r="BP293" i="1"/>
  <c r="BN293" i="1"/>
  <c r="Z293" i="1"/>
  <c r="X490" i="1"/>
  <c r="X492" i="1" s="1"/>
  <c r="X493" i="1"/>
  <c r="Z27" i="1"/>
  <c r="BN27" i="1"/>
  <c r="Z41" i="1"/>
  <c r="BN41" i="1"/>
  <c r="D499" i="1"/>
  <c r="Z54" i="1"/>
  <c r="BN54" i="1"/>
  <c r="Z60" i="1"/>
  <c r="BN60" i="1"/>
  <c r="BP60" i="1"/>
  <c r="Y63" i="1"/>
  <c r="Z66" i="1"/>
  <c r="BN66" i="1"/>
  <c r="BP66" i="1"/>
  <c r="Y69" i="1"/>
  <c r="Z72" i="1"/>
  <c r="BN72" i="1"/>
  <c r="Y77" i="1"/>
  <c r="Z80" i="1"/>
  <c r="BN80" i="1"/>
  <c r="BP102" i="1"/>
  <c r="BN102" i="1"/>
  <c r="Z102" i="1"/>
  <c r="BP125" i="1"/>
  <c r="BN125" i="1"/>
  <c r="Z125" i="1"/>
  <c r="BP129" i="1"/>
  <c r="BN129" i="1"/>
  <c r="Z129" i="1"/>
  <c r="Y143" i="1"/>
  <c r="BP148" i="1"/>
  <c r="BN148" i="1"/>
  <c r="Z148" i="1"/>
  <c r="BP167" i="1"/>
  <c r="BN167" i="1"/>
  <c r="Z167" i="1"/>
  <c r="Y192" i="1"/>
  <c r="BP190" i="1"/>
  <c r="BN190" i="1"/>
  <c r="Z190" i="1"/>
  <c r="BP202" i="1"/>
  <c r="BN202" i="1"/>
  <c r="Z202" i="1"/>
  <c r="BP211" i="1"/>
  <c r="BN211" i="1"/>
  <c r="Z211" i="1"/>
  <c r="BP226" i="1"/>
  <c r="BN226" i="1"/>
  <c r="Z226" i="1"/>
  <c r="BP246" i="1"/>
  <c r="BN246" i="1"/>
  <c r="Z246" i="1"/>
  <c r="BP264" i="1"/>
  <c r="BN264" i="1"/>
  <c r="Z264" i="1"/>
  <c r="Y274" i="1"/>
  <c r="BP289" i="1"/>
  <c r="BN289" i="1"/>
  <c r="Z289" i="1"/>
  <c r="BP299" i="1"/>
  <c r="BN299" i="1"/>
  <c r="Z299" i="1"/>
  <c r="BP309" i="1"/>
  <c r="BN309" i="1"/>
  <c r="Z309" i="1"/>
  <c r="Y326" i="1"/>
  <c r="BP321" i="1"/>
  <c r="BN321" i="1"/>
  <c r="Z321" i="1"/>
  <c r="Y325" i="1"/>
  <c r="BP330" i="1"/>
  <c r="BN330" i="1"/>
  <c r="Z330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110" i="1"/>
  <c r="Y109" i="1"/>
  <c r="Y117" i="1"/>
  <c r="Y305" i="1"/>
  <c r="BP303" i="1"/>
  <c r="BN303" i="1"/>
  <c r="Z303" i="1"/>
  <c r="BP315" i="1"/>
  <c r="BN315" i="1"/>
  <c r="Z315" i="1"/>
  <c r="BP322" i="1"/>
  <c r="BN322" i="1"/>
  <c r="Z322" i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380" i="1"/>
  <c r="Y454" i="1"/>
  <c r="Y453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Z61" i="1"/>
  <c r="Z63" i="1" s="1"/>
  <c r="BN61" i="1"/>
  <c r="BP61" i="1"/>
  <c r="Z67" i="1"/>
  <c r="BN67" i="1"/>
  <c r="BP67" i="1"/>
  <c r="Y76" i="1"/>
  <c r="Z73" i="1"/>
  <c r="BN73" i="1"/>
  <c r="BP73" i="1"/>
  <c r="BP86" i="1"/>
  <c r="BN86" i="1"/>
  <c r="Z86" i="1"/>
  <c r="Z88" i="1" s="1"/>
  <c r="Y95" i="1"/>
  <c r="BP94" i="1"/>
  <c r="BN94" i="1"/>
  <c r="Z94" i="1"/>
  <c r="F499" i="1"/>
  <c r="Y104" i="1"/>
  <c r="BP99" i="1"/>
  <c r="BN99" i="1"/>
  <c r="Z99" i="1"/>
  <c r="Y103" i="1"/>
  <c r="BP107" i="1"/>
  <c r="BN107" i="1"/>
  <c r="Z107" i="1"/>
  <c r="Y116" i="1"/>
  <c r="BP115" i="1"/>
  <c r="BN115" i="1"/>
  <c r="Z115" i="1"/>
  <c r="Y120" i="1"/>
  <c r="BP119" i="1"/>
  <c r="BN119" i="1"/>
  <c r="Z119" i="1"/>
  <c r="Z120" i="1" s="1"/>
  <c r="Y121" i="1"/>
  <c r="G499" i="1"/>
  <c r="Y127" i="1"/>
  <c r="BP124" i="1"/>
  <c r="BN124" i="1"/>
  <c r="Z124" i="1"/>
  <c r="Y131" i="1"/>
  <c r="BP141" i="1"/>
  <c r="BN141" i="1"/>
  <c r="Z141" i="1"/>
  <c r="Z143" i="1" s="1"/>
  <c r="Y150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Y171" i="1"/>
  <c r="BP162" i="1"/>
  <c r="BN162" i="1"/>
  <c r="Z162" i="1"/>
  <c r="BP166" i="1"/>
  <c r="BN166" i="1"/>
  <c r="Z166" i="1"/>
  <c r="BP170" i="1"/>
  <c r="BN170" i="1"/>
  <c r="Z170" i="1"/>
  <c r="Y172" i="1"/>
  <c r="Y177" i="1"/>
  <c r="BP174" i="1"/>
  <c r="BN174" i="1"/>
  <c r="Z174" i="1"/>
  <c r="BP191" i="1"/>
  <c r="BN191" i="1"/>
  <c r="Z191" i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4" i="1"/>
  <c r="BN214" i="1"/>
  <c r="Z214" i="1"/>
  <c r="Y216" i="1"/>
  <c r="Y221" i="1"/>
  <c r="BP218" i="1"/>
  <c r="BN218" i="1"/>
  <c r="Z218" i="1"/>
  <c r="Y220" i="1"/>
  <c r="BP279" i="1"/>
  <c r="BN279" i="1"/>
  <c r="Z279" i="1"/>
  <c r="Z280" i="1" s="1"/>
  <c r="Y281" i="1"/>
  <c r="Y284" i="1"/>
  <c r="BP283" i="1"/>
  <c r="BN283" i="1"/>
  <c r="Z283" i="1"/>
  <c r="Z284" i="1" s="1"/>
  <c r="Y285" i="1"/>
  <c r="Q499" i="1"/>
  <c r="Y295" i="1"/>
  <c r="BP288" i="1"/>
  <c r="BN288" i="1"/>
  <c r="Z288" i="1"/>
  <c r="Y294" i="1"/>
  <c r="BP292" i="1"/>
  <c r="BN292" i="1"/>
  <c r="Z292" i="1"/>
  <c r="BP329" i="1"/>
  <c r="BN329" i="1"/>
  <c r="Z329" i="1"/>
  <c r="Y331" i="1"/>
  <c r="H9" i="1"/>
  <c r="Y24" i="1"/>
  <c r="Y44" i="1"/>
  <c r="Y57" i="1"/>
  <c r="BP75" i="1"/>
  <c r="BN75" i="1"/>
  <c r="Z75" i="1"/>
  <c r="Y82" i="1"/>
  <c r="BP79" i="1"/>
  <c r="BN79" i="1"/>
  <c r="Z79" i="1"/>
  <c r="Z81" i="1" s="1"/>
  <c r="BP92" i="1"/>
  <c r="BN92" i="1"/>
  <c r="Z92" i="1"/>
  <c r="BP101" i="1"/>
  <c r="BN101" i="1"/>
  <c r="Z101" i="1"/>
  <c r="BP113" i="1"/>
  <c r="BN113" i="1"/>
  <c r="Z113" i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Z149" i="1" s="1"/>
  <c r="BP164" i="1"/>
  <c r="BN164" i="1"/>
  <c r="Z164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9" i="1"/>
  <c r="Y188" i="1"/>
  <c r="BP185" i="1"/>
  <c r="BN185" i="1"/>
  <c r="Z185" i="1"/>
  <c r="BP197" i="1"/>
  <c r="BN197" i="1"/>
  <c r="Z197" i="1"/>
  <c r="BP201" i="1"/>
  <c r="BN201" i="1"/>
  <c r="Z201" i="1"/>
  <c r="BP209" i="1"/>
  <c r="BN209" i="1"/>
  <c r="Z209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300" i="1"/>
  <c r="BN300" i="1"/>
  <c r="Z300" i="1"/>
  <c r="Y304" i="1"/>
  <c r="BP308" i="1"/>
  <c r="BN308" i="1"/>
  <c r="Z308" i="1"/>
  <c r="Y312" i="1"/>
  <c r="BP316" i="1"/>
  <c r="BN316" i="1"/>
  <c r="Z316" i="1"/>
  <c r="Z318" i="1" s="1"/>
  <c r="Y318" i="1"/>
  <c r="BP344" i="1"/>
  <c r="BN344" i="1"/>
  <c r="Z344" i="1"/>
  <c r="Y351" i="1"/>
  <c r="E499" i="1"/>
  <c r="Y89" i="1"/>
  <c r="H499" i="1"/>
  <c r="Y144" i="1"/>
  <c r="Y215" i="1"/>
  <c r="BP210" i="1"/>
  <c r="BN210" i="1"/>
  <c r="BP212" i="1"/>
  <c r="BN212" i="1"/>
  <c r="Z212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BP258" i="1"/>
  <c r="BN258" i="1"/>
  <c r="Z258" i="1"/>
  <c r="Y260" i="1"/>
  <c r="M499" i="1"/>
  <c r="Y268" i="1"/>
  <c r="BP263" i="1"/>
  <c r="BN263" i="1"/>
  <c r="Z263" i="1"/>
  <c r="Z267" i="1" s="1"/>
  <c r="Y267" i="1"/>
  <c r="Z274" i="1"/>
  <c r="BP272" i="1"/>
  <c r="BN272" i="1"/>
  <c r="Z272" i="1"/>
  <c r="BP290" i="1"/>
  <c r="BN290" i="1"/>
  <c r="Z290" i="1"/>
  <c r="BP298" i="1"/>
  <c r="BN298" i="1"/>
  <c r="Z298" i="1"/>
  <c r="BP302" i="1"/>
  <c r="BN302" i="1"/>
  <c r="Z302" i="1"/>
  <c r="Y313" i="1"/>
  <c r="BP310" i="1"/>
  <c r="BN310" i="1"/>
  <c r="Z310" i="1"/>
  <c r="Y319" i="1"/>
  <c r="BP323" i="1"/>
  <c r="BN323" i="1"/>
  <c r="Z323" i="1"/>
  <c r="Z325" i="1" s="1"/>
  <c r="Y332" i="1"/>
  <c r="Z338" i="1"/>
  <c r="BP336" i="1"/>
  <c r="BN336" i="1"/>
  <c r="Z336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Z380" i="1"/>
  <c r="L499" i="1"/>
  <c r="BP349" i="1"/>
  <c r="BN349" i="1"/>
  <c r="Z349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Z41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K499" i="1"/>
  <c r="Y234" i="1"/>
  <c r="O499" i="1"/>
  <c r="Y275" i="1"/>
  <c r="P499" i="1"/>
  <c r="Y280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62" i="1" l="1"/>
  <c r="Z453" i="1"/>
  <c r="Z399" i="1"/>
  <c r="Z187" i="1"/>
  <c r="Z331" i="1"/>
  <c r="Z220" i="1"/>
  <c r="Z215" i="1"/>
  <c r="Z192" i="1"/>
  <c r="Z126" i="1"/>
  <c r="Z109" i="1"/>
  <c r="Z69" i="1"/>
  <c r="Z234" i="1"/>
  <c r="Z350" i="1"/>
  <c r="Z76" i="1"/>
  <c r="Z438" i="1"/>
  <c r="Z432" i="1"/>
  <c r="Z304" i="1"/>
  <c r="Z312" i="1"/>
  <c r="Z116" i="1"/>
  <c r="Z95" i="1"/>
  <c r="Z57" i="1"/>
  <c r="Z43" i="1"/>
  <c r="Z494" i="1" s="1"/>
  <c r="Z31" i="1"/>
  <c r="Z259" i="1"/>
  <c r="Z250" i="1"/>
  <c r="Z203" i="1"/>
  <c r="Z177" i="1"/>
  <c r="Y493" i="1"/>
  <c r="Y490" i="1"/>
  <c r="Z447" i="1"/>
  <c r="Z394" i="1"/>
  <c r="Y489" i="1"/>
  <c r="Z294" i="1"/>
  <c r="Z171" i="1"/>
  <c r="Z103" i="1"/>
  <c r="Y491" i="1"/>
  <c r="Y492" i="1" l="1"/>
</calcChain>
</file>

<file path=xl/sharedStrings.xml><?xml version="1.0" encoding="utf-8"?>
<sst xmlns="http://schemas.openxmlformats.org/spreadsheetml/2006/main" count="2347" uniqueCount="766">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</sst>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75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0" fillId="0" borderId="25" xfId="0" applyBorder="1" applyProtection="1">
      <protection hidden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47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44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3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9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802" t="s">
        <v>0</v>
      </c>
      <c r="E1" s="758"/>
      <c r="F1" s="758"/>
      <c r="G1" s="12" t="s">
        <v>1</v>
      </c>
      <c r="H1" s="802" t="s">
        <v>2</v>
      </c>
      <c r="I1" s="758"/>
      <c r="J1" s="758"/>
      <c r="K1" s="758"/>
      <c r="L1" s="758"/>
      <c r="M1" s="758"/>
      <c r="N1" s="758"/>
      <c r="O1" s="758"/>
      <c r="P1" s="758"/>
      <c r="Q1" s="758"/>
      <c r="R1" s="855" t="s">
        <v>3</v>
      </c>
      <c r="S1" s="758"/>
      <c r="T1" s="75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775" t="s">
        <v>8</v>
      </c>
      <c r="B5" s="634"/>
      <c r="C5" s="578"/>
      <c r="D5" s="660"/>
      <c r="E5" s="662"/>
      <c r="F5" s="606" t="s">
        <v>9</v>
      </c>
      <c r="G5" s="578"/>
      <c r="H5" s="660" t="s">
        <v>765</v>
      </c>
      <c r="I5" s="661"/>
      <c r="J5" s="661"/>
      <c r="K5" s="661"/>
      <c r="L5" s="661"/>
      <c r="M5" s="662"/>
      <c r="N5" s="58"/>
      <c r="P5" s="24" t="s">
        <v>10</v>
      </c>
      <c r="Q5" s="587">
        <v>45974</v>
      </c>
      <c r="R5" s="588"/>
      <c r="T5" s="734" t="s">
        <v>11</v>
      </c>
      <c r="U5" s="569"/>
      <c r="V5" s="735" t="s">
        <v>12</v>
      </c>
      <c r="W5" s="588"/>
      <c r="AB5" s="51"/>
      <c r="AC5" s="51"/>
      <c r="AD5" s="51"/>
      <c r="AE5" s="51"/>
    </row>
    <row r="6" spans="1:32" s="538" customFormat="1" ht="24" customHeight="1" x14ac:dyDescent="0.2">
      <c r="A6" s="775" t="s">
        <v>13</v>
      </c>
      <c r="B6" s="634"/>
      <c r="C6" s="578"/>
      <c r="D6" s="664" t="s">
        <v>14</v>
      </c>
      <c r="E6" s="665"/>
      <c r="F6" s="665"/>
      <c r="G6" s="665"/>
      <c r="H6" s="665"/>
      <c r="I6" s="665"/>
      <c r="J6" s="665"/>
      <c r="K6" s="665"/>
      <c r="L6" s="665"/>
      <c r="M6" s="588"/>
      <c r="N6" s="59"/>
      <c r="P6" s="24" t="s">
        <v>15</v>
      </c>
      <c r="Q6" s="628" t="str">
        <f>IF(Q5=0," ",CHOOSE(WEEKDAY(Q5,2),"Понедельник","Вторник","Среда","Четверг","Пятница","Суббота","Воскресенье"))</f>
        <v>Четверг</v>
      </c>
      <c r="R6" s="546"/>
      <c r="T6" s="741" t="s">
        <v>16</v>
      </c>
      <c r="U6" s="569"/>
      <c r="V6" s="682" t="s">
        <v>17</v>
      </c>
      <c r="W6" s="683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811" t="str">
        <f>IFERROR(VLOOKUP(DeliveryAddress,Table,3,0),1)</f>
        <v>1</v>
      </c>
      <c r="E7" s="812"/>
      <c r="F7" s="812"/>
      <c r="G7" s="812"/>
      <c r="H7" s="812"/>
      <c r="I7" s="812"/>
      <c r="J7" s="812"/>
      <c r="K7" s="812"/>
      <c r="L7" s="812"/>
      <c r="M7" s="738"/>
      <c r="N7" s="60"/>
      <c r="P7" s="24"/>
      <c r="Q7" s="42"/>
      <c r="R7" s="42"/>
      <c r="T7" s="554"/>
      <c r="U7" s="569"/>
      <c r="V7" s="684"/>
      <c r="W7" s="685"/>
      <c r="AB7" s="51"/>
      <c r="AC7" s="51"/>
      <c r="AD7" s="51"/>
      <c r="AE7" s="51"/>
    </row>
    <row r="8" spans="1:32" s="538" customFormat="1" ht="25.5" customHeight="1" x14ac:dyDescent="0.2">
      <c r="A8" s="571" t="s">
        <v>18</v>
      </c>
      <c r="B8" s="548"/>
      <c r="C8" s="549"/>
      <c r="D8" s="814" t="s">
        <v>19</v>
      </c>
      <c r="E8" s="815"/>
      <c r="F8" s="815"/>
      <c r="G8" s="815"/>
      <c r="H8" s="815"/>
      <c r="I8" s="815"/>
      <c r="J8" s="815"/>
      <c r="K8" s="815"/>
      <c r="L8" s="815"/>
      <c r="M8" s="816"/>
      <c r="N8" s="61"/>
      <c r="P8" s="24" t="s">
        <v>20</v>
      </c>
      <c r="Q8" s="737">
        <v>0.45833333333333331</v>
      </c>
      <c r="R8" s="738"/>
      <c r="T8" s="554"/>
      <c r="U8" s="569"/>
      <c r="V8" s="684"/>
      <c r="W8" s="685"/>
      <c r="AB8" s="51"/>
      <c r="AC8" s="51"/>
      <c r="AD8" s="51"/>
      <c r="AE8" s="51"/>
    </row>
    <row r="9" spans="1:32" s="538" customFormat="1" ht="39.950000000000003" customHeight="1" x14ac:dyDescent="0.2">
      <c r="A9" s="5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13"/>
      <c r="E9" s="614"/>
      <c r="F9" s="5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723" t="str">
        <f>IF(AND($A$9="Тип доверенности/получателя при получении в адресе перегруза:",$D$9="Разовая доверенность"),"Введите ФИО","")</f>
        <v/>
      </c>
      <c r="I9" s="614"/>
      <c r="J9" s="7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4"/>
      <c r="L9" s="614"/>
      <c r="M9" s="614"/>
      <c r="N9" s="539"/>
      <c r="P9" s="26" t="s">
        <v>21</v>
      </c>
      <c r="Q9" s="806"/>
      <c r="R9" s="610"/>
      <c r="T9" s="554"/>
      <c r="U9" s="569"/>
      <c r="V9" s="686"/>
      <c r="W9" s="687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5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13"/>
      <c r="E10" s="614"/>
      <c r="F10" s="5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05" t="str">
        <f>IFERROR(VLOOKUP($D$10,Proxy,2,FALSE),"")</f>
        <v/>
      </c>
      <c r="I10" s="554"/>
      <c r="J10" s="554"/>
      <c r="K10" s="554"/>
      <c r="L10" s="554"/>
      <c r="M10" s="554"/>
      <c r="N10" s="537"/>
      <c r="P10" s="26" t="s">
        <v>22</v>
      </c>
      <c r="Q10" s="742"/>
      <c r="R10" s="743"/>
      <c r="U10" s="24" t="s">
        <v>23</v>
      </c>
      <c r="V10" s="842" t="s">
        <v>24</v>
      </c>
      <c r="W10" s="683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7"/>
      <c r="R11" s="588"/>
      <c r="U11" s="24" t="s">
        <v>27</v>
      </c>
      <c r="V11" s="609" t="s">
        <v>28</v>
      </c>
      <c r="W11" s="610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744" t="s">
        <v>29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578"/>
      <c r="N12" s="62"/>
      <c r="P12" s="24" t="s">
        <v>30</v>
      </c>
      <c r="Q12" s="737"/>
      <c r="R12" s="738"/>
      <c r="S12" s="23"/>
      <c r="U12" s="24"/>
      <c r="V12" s="758"/>
      <c r="W12" s="554"/>
      <c r="AB12" s="51"/>
      <c r="AC12" s="51"/>
      <c r="AD12" s="51"/>
      <c r="AE12" s="51"/>
    </row>
    <row r="13" spans="1:32" s="538" customFormat="1" ht="23.25" customHeight="1" x14ac:dyDescent="0.2">
      <c r="A13" s="744" t="s">
        <v>31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578"/>
      <c r="N13" s="62"/>
      <c r="O13" s="26"/>
      <c r="P13" s="26" t="s">
        <v>32</v>
      </c>
      <c r="Q13" s="609"/>
      <c r="R13" s="61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744" t="s">
        <v>33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57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757" t="s">
        <v>34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578"/>
      <c r="N15" s="63"/>
      <c r="P15" s="820" t="s">
        <v>35</v>
      </c>
      <c r="Q15" s="758"/>
      <c r="R15" s="758"/>
      <c r="S15" s="758"/>
      <c r="T15" s="75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21"/>
      <c r="Q16" s="821"/>
      <c r="R16" s="821"/>
      <c r="S16" s="821"/>
      <c r="T16" s="82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6" t="s">
        <v>36</v>
      </c>
      <c r="B17" s="556" t="s">
        <v>37</v>
      </c>
      <c r="C17" s="776" t="s">
        <v>38</v>
      </c>
      <c r="D17" s="556" t="s">
        <v>39</v>
      </c>
      <c r="E17" s="557"/>
      <c r="F17" s="556" t="s">
        <v>40</v>
      </c>
      <c r="G17" s="556" t="s">
        <v>41</v>
      </c>
      <c r="H17" s="556" t="s">
        <v>42</v>
      </c>
      <c r="I17" s="556" t="s">
        <v>43</v>
      </c>
      <c r="J17" s="556" t="s">
        <v>44</v>
      </c>
      <c r="K17" s="556" t="s">
        <v>45</v>
      </c>
      <c r="L17" s="556" t="s">
        <v>46</v>
      </c>
      <c r="M17" s="556" t="s">
        <v>47</v>
      </c>
      <c r="N17" s="556" t="s">
        <v>48</v>
      </c>
      <c r="O17" s="556" t="s">
        <v>49</v>
      </c>
      <c r="P17" s="556" t="s">
        <v>50</v>
      </c>
      <c r="Q17" s="817"/>
      <c r="R17" s="817"/>
      <c r="S17" s="817"/>
      <c r="T17" s="557"/>
      <c r="U17" s="577" t="s">
        <v>51</v>
      </c>
      <c r="V17" s="578"/>
      <c r="W17" s="556" t="s">
        <v>52</v>
      </c>
      <c r="X17" s="556" t="s">
        <v>53</v>
      </c>
      <c r="Y17" s="579" t="s">
        <v>54</v>
      </c>
      <c r="Z17" s="677" t="s">
        <v>55</v>
      </c>
      <c r="AA17" s="600" t="s">
        <v>56</v>
      </c>
      <c r="AB17" s="600" t="s">
        <v>57</v>
      </c>
      <c r="AC17" s="600" t="s">
        <v>58</v>
      </c>
      <c r="AD17" s="600" t="s">
        <v>59</v>
      </c>
      <c r="AE17" s="601"/>
      <c r="AF17" s="602"/>
      <c r="AG17" s="66"/>
      <c r="BD17" s="65" t="s">
        <v>60</v>
      </c>
    </row>
    <row r="18" spans="1:68" ht="14.25" customHeight="1" x14ac:dyDescent="0.2">
      <c r="A18" s="563"/>
      <c r="B18" s="563"/>
      <c r="C18" s="563"/>
      <c r="D18" s="558"/>
      <c r="E18" s="559"/>
      <c r="F18" s="563"/>
      <c r="G18" s="563"/>
      <c r="H18" s="563"/>
      <c r="I18" s="563"/>
      <c r="J18" s="563"/>
      <c r="K18" s="563"/>
      <c r="L18" s="563"/>
      <c r="M18" s="563"/>
      <c r="N18" s="563"/>
      <c r="O18" s="563"/>
      <c r="P18" s="558"/>
      <c r="Q18" s="818"/>
      <c r="R18" s="818"/>
      <c r="S18" s="818"/>
      <c r="T18" s="559"/>
      <c r="U18" s="67" t="s">
        <v>61</v>
      </c>
      <c r="V18" s="67" t="s">
        <v>62</v>
      </c>
      <c r="W18" s="563"/>
      <c r="X18" s="563"/>
      <c r="Y18" s="580"/>
      <c r="Z18" s="678"/>
      <c r="AA18" s="679"/>
      <c r="AB18" s="679"/>
      <c r="AC18" s="679"/>
      <c r="AD18" s="603"/>
      <c r="AE18" s="604"/>
      <c r="AF18" s="605"/>
      <c r="AG18" s="66"/>
      <c r="BD18" s="65"/>
    </row>
    <row r="19" spans="1:68" ht="27.75" hidden="1" customHeight="1" x14ac:dyDescent="0.2">
      <c r="A19" s="645" t="s">
        <v>63</v>
      </c>
      <c r="B19" s="646"/>
      <c r="C19" s="646"/>
      <c r="D19" s="646"/>
      <c r="E19" s="646"/>
      <c r="F19" s="646"/>
      <c r="G19" s="646"/>
      <c r="H19" s="646"/>
      <c r="I19" s="646"/>
      <c r="J19" s="646"/>
      <c r="K19" s="646"/>
      <c r="L19" s="646"/>
      <c r="M19" s="646"/>
      <c r="N19" s="646"/>
      <c r="O19" s="646"/>
      <c r="P19" s="646"/>
      <c r="Q19" s="646"/>
      <c r="R19" s="646"/>
      <c r="S19" s="646"/>
      <c r="T19" s="646"/>
      <c r="U19" s="646"/>
      <c r="V19" s="646"/>
      <c r="W19" s="646"/>
      <c r="X19" s="646"/>
      <c r="Y19" s="646"/>
      <c r="Z19" s="646"/>
      <c r="AA19" s="48"/>
      <c r="AB19" s="48"/>
      <c r="AC19" s="48"/>
    </row>
    <row r="20" spans="1:68" ht="16.5" hidden="1" customHeight="1" x14ac:dyDescent="0.25">
      <c r="A20" s="57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0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9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1"/>
      <c r="R22" s="551"/>
      <c r="S22" s="551"/>
      <c r="T22" s="552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47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47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0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5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1"/>
      <c r="R26" s="551"/>
      <c r="S26" s="551"/>
      <c r="T26" s="552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1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1"/>
      <c r="R27" s="551"/>
      <c r="S27" s="551"/>
      <c r="T27" s="552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5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1"/>
      <c r="R28" s="551"/>
      <c r="S28" s="551"/>
      <c r="T28" s="552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8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1"/>
      <c r="R29" s="551"/>
      <c r="S29" s="551"/>
      <c r="T29" s="552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86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1"/>
      <c r="R30" s="551"/>
      <c r="S30" s="551"/>
      <c r="T30" s="552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47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47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0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5"/>
      <c r="AB33" s="535"/>
      <c r="AC33" s="535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64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1"/>
      <c r="R34" s="551"/>
      <c r="S34" s="551"/>
      <c r="T34" s="552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47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47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45" t="s">
        <v>99</v>
      </c>
      <c r="B37" s="646"/>
      <c r="C37" s="646"/>
      <c r="D37" s="646"/>
      <c r="E37" s="646"/>
      <c r="F37" s="646"/>
      <c r="G37" s="646"/>
      <c r="H37" s="646"/>
      <c r="I37" s="646"/>
      <c r="J37" s="646"/>
      <c r="K37" s="646"/>
      <c r="L37" s="646"/>
      <c r="M37" s="646"/>
      <c r="N37" s="646"/>
      <c r="O37" s="646"/>
      <c r="P37" s="646"/>
      <c r="Q37" s="646"/>
      <c r="R37" s="646"/>
      <c r="S37" s="646"/>
      <c r="T37" s="646"/>
      <c r="U37" s="646"/>
      <c r="V37" s="646"/>
      <c r="W37" s="646"/>
      <c r="X37" s="646"/>
      <c r="Y37" s="646"/>
      <c r="Z37" s="646"/>
      <c r="AA37" s="48"/>
      <c r="AB37" s="48"/>
      <c r="AC37" s="48"/>
    </row>
    <row r="38" spans="1:68" ht="16.5" hidden="1" customHeight="1" x14ac:dyDescent="0.25">
      <c r="A38" s="570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0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5"/>
      <c r="AB39" s="535"/>
      <c r="AC39" s="53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1"/>
      <c r="R40" s="551"/>
      <c r="S40" s="551"/>
      <c r="T40" s="552"/>
      <c r="U40" s="34"/>
      <c r="V40" s="34"/>
      <c r="W40" s="35" t="s">
        <v>69</v>
      </c>
      <c r="X40" s="541">
        <v>670</v>
      </c>
      <c r="Y40" s="542">
        <f>IFERROR(IF(X40="",0,CEILING((X40/$H40),1)*$H40),"")</f>
        <v>680.40000000000009</v>
      </c>
      <c r="Z40" s="36">
        <f>IFERROR(IF(Y40=0,"",ROUNDUP(Y40/H40,0)*0.01898),"")</f>
        <v>1.19574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695.43518518518522</v>
      </c>
      <c r="BN40" s="64">
        <f>IFERROR(Y40*I40/H40,"0")</f>
        <v>706.23000000000013</v>
      </c>
      <c r="BO40" s="64">
        <f>IFERROR(1/J40*(X40/H40),"0")</f>
        <v>0.96932870370370361</v>
      </c>
      <c r="BP40" s="64">
        <f>IFERROR(1/J40*(Y40/H40),"0")</f>
        <v>0.98437500000000011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1"/>
      <c r="R41" s="551"/>
      <c r="S41" s="551"/>
      <c r="T41" s="552"/>
      <c r="U41" s="34"/>
      <c r="V41" s="34"/>
      <c r="W41" s="35" t="s">
        <v>69</v>
      </c>
      <c r="X41" s="541">
        <v>144</v>
      </c>
      <c r="Y41" s="542">
        <f>IFERROR(IF(X41="",0,CEILING((X41/$H41),1)*$H41),"")</f>
        <v>144</v>
      </c>
      <c r="Z41" s="36">
        <f>IFERROR(IF(Y41=0,"",ROUNDUP(Y41/H41,0)*0.00902),"")</f>
        <v>0.32472000000000001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150.84</v>
      </c>
      <c r="BN41" s="64">
        <f>IFERROR(Y41*I41/H41,"0")</f>
        <v>150.84</v>
      </c>
      <c r="BO41" s="64">
        <f>IFERROR(1/J41*(X41/H41),"0")</f>
        <v>0.27272727272727271</v>
      </c>
      <c r="BP41" s="64">
        <f>IFERROR(1/J41*(Y41/H41),"0")</f>
        <v>0.27272727272727271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8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1"/>
      <c r="R42" s="551"/>
      <c r="S42" s="551"/>
      <c r="T42" s="552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47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3">
        <f>IFERROR(X40/H40,"0")+IFERROR(X41/H41,"0")+IFERROR(X42/H42,"0")</f>
        <v>98.037037037037038</v>
      </c>
      <c r="Y43" s="543">
        <f>IFERROR(Y40/H40,"0")+IFERROR(Y41/H41,"0")+IFERROR(Y42/H42,"0")</f>
        <v>99</v>
      </c>
      <c r="Z43" s="543">
        <f>IFERROR(IF(Z40="",0,Z40),"0")+IFERROR(IF(Z41="",0,Z41),"0")+IFERROR(IF(Z42="",0,Z42),"0")</f>
        <v>1.5204599999999999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47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3">
        <f>IFERROR(SUM(X40:X42),"0")</f>
        <v>814</v>
      </c>
      <c r="Y44" s="543">
        <f>IFERROR(SUM(Y40:Y42),"0")</f>
        <v>824.40000000000009</v>
      </c>
      <c r="Z44" s="37"/>
      <c r="AA44" s="544"/>
      <c r="AB44" s="544"/>
      <c r="AC44" s="544"/>
    </row>
    <row r="45" spans="1:68" ht="14.25" hidden="1" customHeight="1" x14ac:dyDescent="0.25">
      <c r="A45" s="560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5"/>
      <c r="AB45" s="535"/>
      <c r="AC45" s="535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69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1"/>
      <c r="R46" s="551"/>
      <c r="S46" s="551"/>
      <c r="T46" s="552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47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47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70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0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5"/>
      <c r="AB50" s="535"/>
      <c r="AC50" s="535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3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1"/>
      <c r="R51" s="551"/>
      <c r="S51" s="551"/>
      <c r="T51" s="552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7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1"/>
      <c r="R52" s="551"/>
      <c r="S52" s="551"/>
      <c r="T52" s="552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81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1"/>
      <c r="R53" s="551"/>
      <c r="S53" s="551"/>
      <c r="T53" s="552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1"/>
      <c r="R54" s="551"/>
      <c r="S54" s="551"/>
      <c r="T54" s="552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78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1"/>
      <c r="R55" s="551"/>
      <c r="S55" s="551"/>
      <c r="T55" s="552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8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1"/>
      <c r="R56" s="551"/>
      <c r="S56" s="551"/>
      <c r="T56" s="552"/>
      <c r="U56" s="34"/>
      <c r="V56" s="34"/>
      <c r="W56" s="35" t="s">
        <v>69</v>
      </c>
      <c r="X56" s="541">
        <v>1782</v>
      </c>
      <c r="Y56" s="542">
        <f t="shared" si="0"/>
        <v>1782</v>
      </c>
      <c r="Z56" s="36">
        <f>IFERROR(IF(Y56=0,"",ROUNDUP(Y56/H56,0)*0.00902),"")</f>
        <v>3.57192</v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1857.24</v>
      </c>
      <c r="BN56" s="64">
        <f t="shared" si="2"/>
        <v>1857.24</v>
      </c>
      <c r="BO56" s="64">
        <f t="shared" si="3"/>
        <v>3</v>
      </c>
      <c r="BP56" s="64">
        <f t="shared" si="4"/>
        <v>3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47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3">
        <f>IFERROR(X51/H51,"0")+IFERROR(X52/H52,"0")+IFERROR(X53/H53,"0")+IFERROR(X54/H54,"0")+IFERROR(X55/H55,"0")+IFERROR(X56/H56,"0")</f>
        <v>396</v>
      </c>
      <c r="Y57" s="543">
        <f>IFERROR(Y51/H51,"0")+IFERROR(Y52/H52,"0")+IFERROR(Y53/H53,"0")+IFERROR(Y54/H54,"0")+IFERROR(Y55/H55,"0")+IFERROR(Y56/H56,"0")</f>
        <v>396</v>
      </c>
      <c r="Z57" s="543">
        <f>IFERROR(IF(Z51="",0,Z51),"0")+IFERROR(IF(Z52="",0,Z52),"0")+IFERROR(IF(Z53="",0,Z53),"0")+IFERROR(IF(Z54="",0,Z54),"0")+IFERROR(IF(Z55="",0,Z55),"0")+IFERROR(IF(Z56="",0,Z56),"0")</f>
        <v>3.57192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47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3">
        <f>IFERROR(SUM(X51:X56),"0")</f>
        <v>1782</v>
      </c>
      <c r="Y58" s="543">
        <f>IFERROR(SUM(Y51:Y56),"0")</f>
        <v>1782</v>
      </c>
      <c r="Z58" s="37"/>
      <c r="AA58" s="544"/>
      <c r="AB58" s="544"/>
      <c r="AC58" s="544"/>
    </row>
    <row r="59" spans="1:68" ht="14.25" hidden="1" customHeight="1" x14ac:dyDescent="0.25">
      <c r="A59" s="560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5"/>
      <c r="AB59" s="535"/>
      <c r="AC59" s="53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57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1"/>
      <c r="R60" s="551"/>
      <c r="S60" s="551"/>
      <c r="T60" s="552"/>
      <c r="U60" s="34"/>
      <c r="V60" s="34"/>
      <c r="W60" s="35" t="s">
        <v>69</v>
      </c>
      <c r="X60" s="541">
        <v>1900</v>
      </c>
      <c r="Y60" s="542">
        <f>IFERROR(IF(X60="",0,CEILING((X60/$H60),1)*$H60),"")</f>
        <v>1900.8000000000002</v>
      </c>
      <c r="Z60" s="36">
        <f>IFERROR(IF(Y60=0,"",ROUNDUP(Y60/H60,0)*0.01898),"")</f>
        <v>3.3404799999999999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1972.1296296296296</v>
      </c>
      <c r="BN60" s="64">
        <f>IFERROR(Y60*I60/H60,"0")</f>
        <v>1972.9600000000003</v>
      </c>
      <c r="BO60" s="64">
        <f>IFERROR(1/J60*(X60/H60),"0")</f>
        <v>2.7488425925925926</v>
      </c>
      <c r="BP60" s="64">
        <f>IFERROR(1/J60*(Y60/H60),"0")</f>
        <v>2.75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1"/>
      <c r="R61" s="551"/>
      <c r="S61" s="551"/>
      <c r="T61" s="552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1"/>
      <c r="R62" s="551"/>
      <c r="S62" s="551"/>
      <c r="T62" s="552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47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3">
        <f>IFERROR(X60/H60,"0")+IFERROR(X61/H61,"0")+IFERROR(X62/H62,"0")</f>
        <v>175.92592592592592</v>
      </c>
      <c r="Y63" s="543">
        <f>IFERROR(Y60/H60,"0")+IFERROR(Y61/H61,"0")+IFERROR(Y62/H62,"0")</f>
        <v>176</v>
      </c>
      <c r="Z63" s="543">
        <f>IFERROR(IF(Z60="",0,Z60),"0")+IFERROR(IF(Z61="",0,Z61),"0")+IFERROR(IF(Z62="",0,Z62),"0")</f>
        <v>3.3404799999999999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47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3">
        <f>IFERROR(SUM(X60:X62),"0")</f>
        <v>1900</v>
      </c>
      <c r="Y64" s="543">
        <f>IFERROR(SUM(Y60:Y62),"0")</f>
        <v>1900.8000000000002</v>
      </c>
      <c r="Z64" s="37"/>
      <c r="AA64" s="544"/>
      <c r="AB64" s="544"/>
      <c r="AC64" s="544"/>
    </row>
    <row r="65" spans="1:68" ht="14.25" hidden="1" customHeight="1" x14ac:dyDescent="0.25">
      <c r="A65" s="560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5"/>
      <c r="AB65" s="535"/>
      <c r="AC65" s="535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8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1"/>
      <c r="R66" s="551"/>
      <c r="S66" s="551"/>
      <c r="T66" s="552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0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1"/>
      <c r="R67" s="551"/>
      <c r="S67" s="551"/>
      <c r="T67" s="552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7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1"/>
      <c r="R68" s="551"/>
      <c r="S68" s="551"/>
      <c r="T68" s="552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47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47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0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5"/>
      <c r="AB71" s="535"/>
      <c r="AC71" s="535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58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1"/>
      <c r="R72" s="551"/>
      <c r="S72" s="551"/>
      <c r="T72" s="552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83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1"/>
      <c r="R73" s="551"/>
      <c r="S73" s="551"/>
      <c r="T73" s="552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5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1"/>
      <c r="R74" s="551"/>
      <c r="S74" s="551"/>
      <c r="T74" s="552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61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1"/>
      <c r="R75" s="551"/>
      <c r="S75" s="551"/>
      <c r="T75" s="552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47" t="s">
        <v>71</v>
      </c>
      <c r="Q76" s="548"/>
      <c r="R76" s="548"/>
      <c r="S76" s="548"/>
      <c r="T76" s="548"/>
      <c r="U76" s="548"/>
      <c r="V76" s="54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47" t="s">
        <v>71</v>
      </c>
      <c r="Q77" s="548"/>
      <c r="R77" s="548"/>
      <c r="S77" s="548"/>
      <c r="T77" s="548"/>
      <c r="U77" s="548"/>
      <c r="V77" s="54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0" t="s">
        <v>164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5"/>
      <c r="AB78" s="535"/>
      <c r="AC78" s="535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83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1"/>
      <c r="R79" s="551"/>
      <c r="S79" s="551"/>
      <c r="T79" s="552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67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1"/>
      <c r="R80" s="551"/>
      <c r="S80" s="551"/>
      <c r="T80" s="552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47" t="s">
        <v>71</v>
      </c>
      <c r="Q81" s="548"/>
      <c r="R81" s="548"/>
      <c r="S81" s="548"/>
      <c r="T81" s="548"/>
      <c r="U81" s="548"/>
      <c r="V81" s="54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47" t="s">
        <v>71</v>
      </c>
      <c r="Q82" s="548"/>
      <c r="R82" s="548"/>
      <c r="S82" s="548"/>
      <c r="T82" s="548"/>
      <c r="U82" s="548"/>
      <c r="V82" s="54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70" t="s">
        <v>171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0" t="s">
        <v>101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5"/>
      <c r="AB84" s="535"/>
      <c r="AC84" s="535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7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1"/>
      <c r="R85" s="551"/>
      <c r="S85" s="551"/>
      <c r="T85" s="552"/>
      <c r="U85" s="34"/>
      <c r="V85" s="34"/>
      <c r="W85" s="35" t="s">
        <v>69</v>
      </c>
      <c r="X85" s="541">
        <v>600</v>
      </c>
      <c r="Y85" s="542">
        <f>IFERROR(IF(X85="",0,CEILING((X85/$H85),1)*$H85),"")</f>
        <v>604.80000000000007</v>
      </c>
      <c r="Z85" s="36">
        <f>IFERROR(IF(Y85=0,"",ROUNDUP(Y85/H85,0)*0.01898),"")</f>
        <v>1.06288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622.77777777777783</v>
      </c>
      <c r="BN85" s="64">
        <f>IFERROR(Y85*I85/H85,"0")</f>
        <v>627.76</v>
      </c>
      <c r="BO85" s="64">
        <f>IFERROR(1/J85*(X85/H85),"0")</f>
        <v>0.86805555555555547</v>
      </c>
      <c r="BP85" s="64">
        <f>IFERROR(1/J85*(Y85/H85),"0")</f>
        <v>0.875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85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1"/>
      <c r="R86" s="551"/>
      <c r="S86" s="551"/>
      <c r="T86" s="552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4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1"/>
      <c r="R87" s="551"/>
      <c r="S87" s="551"/>
      <c r="T87" s="552"/>
      <c r="U87" s="34"/>
      <c r="V87" s="34"/>
      <c r="W87" s="35" t="s">
        <v>69</v>
      </c>
      <c r="X87" s="541">
        <v>225</v>
      </c>
      <c r="Y87" s="542">
        <f>IFERROR(IF(X87="",0,CEILING((X87/$H87),1)*$H87),"")</f>
        <v>225</v>
      </c>
      <c r="Z87" s="36">
        <f>IFERROR(IF(Y87=0,"",ROUNDUP(Y87/H87,0)*0.00902),"")</f>
        <v>0.45100000000000001</v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234.5</v>
      </c>
      <c r="BN87" s="64">
        <f>IFERROR(Y87*I87/H87,"0")</f>
        <v>234.5</v>
      </c>
      <c r="BO87" s="64">
        <f>IFERROR(1/J87*(X87/H87),"0")</f>
        <v>0.37878787878787878</v>
      </c>
      <c r="BP87" s="64">
        <f>IFERROR(1/J87*(Y87/H87),"0")</f>
        <v>0.37878787878787878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47" t="s">
        <v>71</v>
      </c>
      <c r="Q88" s="548"/>
      <c r="R88" s="548"/>
      <c r="S88" s="548"/>
      <c r="T88" s="548"/>
      <c r="U88" s="548"/>
      <c r="V88" s="549"/>
      <c r="W88" s="37" t="s">
        <v>72</v>
      </c>
      <c r="X88" s="543">
        <f>IFERROR(X85/H85,"0")+IFERROR(X86/H86,"0")+IFERROR(X87/H87,"0")</f>
        <v>105.55555555555554</v>
      </c>
      <c r="Y88" s="543">
        <f>IFERROR(Y85/H85,"0")+IFERROR(Y86/H86,"0")+IFERROR(Y87/H87,"0")</f>
        <v>106</v>
      </c>
      <c r="Z88" s="543">
        <f>IFERROR(IF(Z85="",0,Z85),"0")+IFERROR(IF(Z86="",0,Z86),"0")+IFERROR(IF(Z87="",0,Z87),"0")</f>
        <v>1.5138800000000001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47" t="s">
        <v>71</v>
      </c>
      <c r="Q89" s="548"/>
      <c r="R89" s="548"/>
      <c r="S89" s="548"/>
      <c r="T89" s="548"/>
      <c r="U89" s="548"/>
      <c r="V89" s="549"/>
      <c r="W89" s="37" t="s">
        <v>69</v>
      </c>
      <c r="X89" s="543">
        <f>IFERROR(SUM(X85:X87),"0")</f>
        <v>825</v>
      </c>
      <c r="Y89" s="543">
        <f>IFERROR(SUM(Y85:Y87),"0")</f>
        <v>829.80000000000007</v>
      </c>
      <c r="Z89" s="37"/>
      <c r="AA89" s="544"/>
      <c r="AB89" s="544"/>
      <c r="AC89" s="544"/>
    </row>
    <row r="90" spans="1:68" ht="14.25" hidden="1" customHeight="1" x14ac:dyDescent="0.25">
      <c r="A90" s="560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5"/>
      <c r="AB90" s="535"/>
      <c r="AC90" s="535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1"/>
      <c r="R91" s="551"/>
      <c r="S91" s="551"/>
      <c r="T91" s="552"/>
      <c r="U91" s="34"/>
      <c r="V91" s="34"/>
      <c r="W91" s="35" t="s">
        <v>69</v>
      </c>
      <c r="X91" s="541">
        <v>200</v>
      </c>
      <c r="Y91" s="542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1"/>
      <c r="R92" s="551"/>
      <c r="S92" s="551"/>
      <c r="T92" s="552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67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1"/>
      <c r="R93" s="551"/>
      <c r="S93" s="551"/>
      <c r="T93" s="552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8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1"/>
      <c r="R94" s="551"/>
      <c r="S94" s="551"/>
      <c r="T94" s="552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47" t="s">
        <v>71</v>
      </c>
      <c r="Q95" s="548"/>
      <c r="R95" s="548"/>
      <c r="S95" s="548"/>
      <c r="T95" s="548"/>
      <c r="U95" s="548"/>
      <c r="V95" s="549"/>
      <c r="W95" s="37" t="s">
        <v>72</v>
      </c>
      <c r="X95" s="543">
        <f>IFERROR(X91/H91,"0")+IFERROR(X92/H92,"0")+IFERROR(X93/H93,"0")+IFERROR(X94/H94,"0")</f>
        <v>24.691358024691358</v>
      </c>
      <c r="Y95" s="543">
        <f>IFERROR(Y91/H91,"0")+IFERROR(Y92/H92,"0")+IFERROR(Y93/H93,"0")+IFERROR(Y94/H94,"0")</f>
        <v>25</v>
      </c>
      <c r="Z95" s="543">
        <f>IFERROR(IF(Z91="",0,Z91),"0")+IFERROR(IF(Z92="",0,Z92),"0")+IFERROR(IF(Z93="",0,Z93),"0")+IFERROR(IF(Z94="",0,Z94),"0")</f>
        <v>0.47450000000000003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47" t="s">
        <v>71</v>
      </c>
      <c r="Q96" s="548"/>
      <c r="R96" s="548"/>
      <c r="S96" s="548"/>
      <c r="T96" s="548"/>
      <c r="U96" s="548"/>
      <c r="V96" s="549"/>
      <c r="W96" s="37" t="s">
        <v>69</v>
      </c>
      <c r="X96" s="543">
        <f>IFERROR(SUM(X91:X94),"0")</f>
        <v>200</v>
      </c>
      <c r="Y96" s="543">
        <f>IFERROR(SUM(Y91:Y94),"0")</f>
        <v>202.5</v>
      </c>
      <c r="Z96" s="37"/>
      <c r="AA96" s="544"/>
      <c r="AB96" s="544"/>
      <c r="AC96" s="544"/>
    </row>
    <row r="97" spans="1:68" ht="16.5" hidden="1" customHeight="1" x14ac:dyDescent="0.25">
      <c r="A97" s="570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0" t="s">
        <v>101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5"/>
      <c r="AB98" s="535"/>
      <c r="AC98" s="53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84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1"/>
      <c r="R99" s="551"/>
      <c r="S99" s="551"/>
      <c r="T99" s="552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8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1"/>
      <c r="R100" s="551"/>
      <c r="S100" s="551"/>
      <c r="T100" s="552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0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1"/>
      <c r="R101" s="551"/>
      <c r="S101" s="551"/>
      <c r="T101" s="552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63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1"/>
      <c r="R102" s="551"/>
      <c r="S102" s="551"/>
      <c r="T102" s="552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47" t="s">
        <v>71</v>
      </c>
      <c r="Q103" s="548"/>
      <c r="R103" s="548"/>
      <c r="S103" s="548"/>
      <c r="T103" s="548"/>
      <c r="U103" s="548"/>
      <c r="V103" s="549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47" t="s">
        <v>71</v>
      </c>
      <c r="Q104" s="548"/>
      <c r="R104" s="548"/>
      <c r="S104" s="548"/>
      <c r="T104" s="548"/>
      <c r="U104" s="548"/>
      <c r="V104" s="549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60" t="s">
        <v>136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6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1"/>
      <c r="R106" s="551"/>
      <c r="S106" s="551"/>
      <c r="T106" s="552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0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1"/>
      <c r="R107" s="551"/>
      <c r="S107" s="551"/>
      <c r="T107" s="552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69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1"/>
      <c r="R108" s="551"/>
      <c r="S108" s="551"/>
      <c r="T108" s="552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47" t="s">
        <v>71</v>
      </c>
      <c r="Q109" s="548"/>
      <c r="R109" s="548"/>
      <c r="S109" s="548"/>
      <c r="T109" s="548"/>
      <c r="U109" s="548"/>
      <c r="V109" s="54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47" t="s">
        <v>71</v>
      </c>
      <c r="Q110" s="548"/>
      <c r="R110" s="548"/>
      <c r="S110" s="548"/>
      <c r="T110" s="548"/>
      <c r="U110" s="548"/>
      <c r="V110" s="54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0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6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1"/>
      <c r="R112" s="551"/>
      <c r="S112" s="551"/>
      <c r="T112" s="552"/>
      <c r="U112" s="34"/>
      <c r="V112" s="34"/>
      <c r="W112" s="35" t="s">
        <v>69</v>
      </c>
      <c r="X112" s="541">
        <v>500</v>
      </c>
      <c r="Y112" s="542">
        <f>IFERROR(IF(X112="",0,CEILING((X112/$H112),1)*$H112),"")</f>
        <v>502.2</v>
      </c>
      <c r="Z112" s="36">
        <f>IFERROR(IF(Y112=0,"",ROUNDUP(Y112/H112,0)*0.01898),"")</f>
        <v>1.17676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530.12345679012344</v>
      </c>
      <c r="BN112" s="64">
        <f>IFERROR(Y112*I112/H112,"0")</f>
        <v>532.4559999999999</v>
      </c>
      <c r="BO112" s="64">
        <f>IFERROR(1/J112*(X112/H112),"0")</f>
        <v>0.96450617283950624</v>
      </c>
      <c r="BP112" s="64">
        <f>IFERROR(1/J112*(Y112/H112),"0")</f>
        <v>0.96875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79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1"/>
      <c r="R113" s="551"/>
      <c r="S113" s="551"/>
      <c r="T113" s="552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6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1"/>
      <c r="R114" s="551"/>
      <c r="S114" s="551"/>
      <c r="T114" s="552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6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1"/>
      <c r="R115" s="551"/>
      <c r="S115" s="551"/>
      <c r="T115" s="552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47" t="s">
        <v>71</v>
      </c>
      <c r="Q116" s="548"/>
      <c r="R116" s="548"/>
      <c r="S116" s="548"/>
      <c r="T116" s="548"/>
      <c r="U116" s="548"/>
      <c r="V116" s="549"/>
      <c r="W116" s="37" t="s">
        <v>72</v>
      </c>
      <c r="X116" s="543">
        <f>IFERROR(X112/H112,"0")+IFERROR(X113/H113,"0")+IFERROR(X114/H114,"0")+IFERROR(X115/H115,"0")</f>
        <v>61.728395061728399</v>
      </c>
      <c r="Y116" s="543">
        <f>IFERROR(Y112/H112,"0")+IFERROR(Y113/H113,"0")+IFERROR(Y114/H114,"0")+IFERROR(Y115/H115,"0")</f>
        <v>62</v>
      </c>
      <c r="Z116" s="543">
        <f>IFERROR(IF(Z112="",0,Z112),"0")+IFERROR(IF(Z113="",0,Z113),"0")+IFERROR(IF(Z114="",0,Z114),"0")+IFERROR(IF(Z115="",0,Z115),"0")</f>
        <v>1.17676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47" t="s">
        <v>71</v>
      </c>
      <c r="Q117" s="548"/>
      <c r="R117" s="548"/>
      <c r="S117" s="548"/>
      <c r="T117" s="548"/>
      <c r="U117" s="548"/>
      <c r="V117" s="549"/>
      <c r="W117" s="37" t="s">
        <v>69</v>
      </c>
      <c r="X117" s="543">
        <f>IFERROR(SUM(X112:X115),"0")</f>
        <v>500</v>
      </c>
      <c r="Y117" s="543">
        <f>IFERROR(SUM(Y112:Y115),"0")</f>
        <v>502.2</v>
      </c>
      <c r="Z117" s="37"/>
      <c r="AA117" s="544"/>
      <c r="AB117" s="544"/>
      <c r="AC117" s="544"/>
    </row>
    <row r="118" spans="1:68" ht="14.25" hidden="1" customHeight="1" x14ac:dyDescent="0.25">
      <c r="A118" s="560" t="s">
        <v>164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80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1"/>
      <c r="R119" s="551"/>
      <c r="S119" s="551"/>
      <c r="T119" s="552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47" t="s">
        <v>71</v>
      </c>
      <c r="Q120" s="548"/>
      <c r="R120" s="548"/>
      <c r="S120" s="548"/>
      <c r="T120" s="548"/>
      <c r="U120" s="548"/>
      <c r="V120" s="54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47" t="s">
        <v>71</v>
      </c>
      <c r="Q121" s="548"/>
      <c r="R121" s="548"/>
      <c r="S121" s="548"/>
      <c r="T121" s="548"/>
      <c r="U121" s="548"/>
      <c r="V121" s="54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7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0" t="s">
        <v>101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5"/>
      <c r="AB123" s="535"/>
      <c r="AC123" s="535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57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1"/>
      <c r="R124" s="551"/>
      <c r="S124" s="551"/>
      <c r="T124" s="552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5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1"/>
      <c r="R125" s="551"/>
      <c r="S125" s="551"/>
      <c r="T125" s="552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47" t="s">
        <v>71</v>
      </c>
      <c r="Q126" s="548"/>
      <c r="R126" s="548"/>
      <c r="S126" s="548"/>
      <c r="T126" s="548"/>
      <c r="U126" s="548"/>
      <c r="V126" s="54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47" t="s">
        <v>71</v>
      </c>
      <c r="Q127" s="548"/>
      <c r="R127" s="548"/>
      <c r="S127" s="548"/>
      <c r="T127" s="548"/>
      <c r="U127" s="548"/>
      <c r="V127" s="54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0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7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1"/>
      <c r="R129" s="551"/>
      <c r="S129" s="551"/>
      <c r="T129" s="552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69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1"/>
      <c r="R130" s="551"/>
      <c r="S130" s="551"/>
      <c r="T130" s="552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47" t="s">
        <v>71</v>
      </c>
      <c r="Q131" s="548"/>
      <c r="R131" s="548"/>
      <c r="S131" s="548"/>
      <c r="T131" s="548"/>
      <c r="U131" s="548"/>
      <c r="V131" s="54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47" t="s">
        <v>71</v>
      </c>
      <c r="Q132" s="548"/>
      <c r="R132" s="548"/>
      <c r="S132" s="548"/>
      <c r="T132" s="548"/>
      <c r="U132" s="548"/>
      <c r="V132" s="54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0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71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1"/>
      <c r="R134" s="551"/>
      <c r="S134" s="551"/>
      <c r="T134" s="552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6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1"/>
      <c r="R135" s="551"/>
      <c r="S135" s="551"/>
      <c r="T135" s="552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47" t="s">
        <v>71</v>
      </c>
      <c r="Q136" s="548"/>
      <c r="R136" s="548"/>
      <c r="S136" s="548"/>
      <c r="T136" s="548"/>
      <c r="U136" s="548"/>
      <c r="V136" s="54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47" t="s">
        <v>71</v>
      </c>
      <c r="Q137" s="548"/>
      <c r="R137" s="548"/>
      <c r="S137" s="548"/>
      <c r="T137" s="548"/>
      <c r="U137" s="548"/>
      <c r="V137" s="54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70" t="s">
        <v>99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0" t="s">
        <v>101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3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1"/>
      <c r="R140" s="551"/>
      <c r="S140" s="551"/>
      <c r="T140" s="552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1"/>
      <c r="R141" s="551"/>
      <c r="S141" s="551"/>
      <c r="T141" s="552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5">
        <v>4680115886810</v>
      </c>
      <c r="E142" s="546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784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1"/>
      <c r="R142" s="551"/>
      <c r="S142" s="551"/>
      <c r="T142" s="552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3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47" t="s">
        <v>71</v>
      </c>
      <c r="Q143" s="548"/>
      <c r="R143" s="548"/>
      <c r="S143" s="548"/>
      <c r="T143" s="548"/>
      <c r="U143" s="548"/>
      <c r="V143" s="549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4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47" t="s">
        <v>71</v>
      </c>
      <c r="Q144" s="548"/>
      <c r="R144" s="548"/>
      <c r="S144" s="548"/>
      <c r="T144" s="548"/>
      <c r="U144" s="548"/>
      <c r="V144" s="549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60" t="s">
        <v>64</v>
      </c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4"/>
      <c r="P145" s="554"/>
      <c r="Q145" s="554"/>
      <c r="R145" s="554"/>
      <c r="S145" s="554"/>
      <c r="T145" s="554"/>
      <c r="U145" s="554"/>
      <c r="V145" s="554"/>
      <c r="W145" s="554"/>
      <c r="X145" s="554"/>
      <c r="Y145" s="554"/>
      <c r="Z145" s="554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5">
        <v>4607091387667</v>
      </c>
      <c r="E146" s="546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6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1"/>
      <c r="R146" s="551"/>
      <c r="S146" s="551"/>
      <c r="T146" s="552"/>
      <c r="U146" s="34"/>
      <c r="V146" s="34"/>
      <c r="W146" s="35" t="s">
        <v>69</v>
      </c>
      <c r="X146" s="541">
        <v>60</v>
      </c>
      <c r="Y146" s="542">
        <f>IFERROR(IF(X146="",0,CEILING((X146/$H146),1)*$H146),"")</f>
        <v>63</v>
      </c>
      <c r="Z146" s="36">
        <f>IFERROR(IF(Y146=0,"",ROUNDUP(Y146/H146,0)*0.01898),"")</f>
        <v>0.13286000000000001</v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63.733333333333334</v>
      </c>
      <c r="BN146" s="64">
        <f>IFERROR(Y146*I146/H146,"0")</f>
        <v>66.920000000000016</v>
      </c>
      <c r="BO146" s="64">
        <f>IFERROR(1/J146*(X146/H146),"0")</f>
        <v>0.10416666666666667</v>
      </c>
      <c r="BP146" s="64">
        <f>IFERROR(1/J146*(Y146/H146),"0")</f>
        <v>0.109375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5">
        <v>4607091387636</v>
      </c>
      <c r="E147" s="546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8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1"/>
      <c r="R147" s="551"/>
      <c r="S147" s="551"/>
      <c r="T147" s="552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5">
        <v>4607091382426</v>
      </c>
      <c r="E148" s="546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1"/>
      <c r="R148" s="551"/>
      <c r="S148" s="551"/>
      <c r="T148" s="552"/>
      <c r="U148" s="34"/>
      <c r="V148" s="34"/>
      <c r="W148" s="35" t="s">
        <v>69</v>
      </c>
      <c r="X148" s="541">
        <v>150</v>
      </c>
      <c r="Y148" s="542">
        <f>IFERROR(IF(X148="",0,CEILING((X148/$H148),1)*$H148),"")</f>
        <v>153</v>
      </c>
      <c r="Z148" s="36">
        <f>IFERROR(IF(Y148=0,"",ROUNDUP(Y148/H148,0)*0.01898),"")</f>
        <v>0.32266</v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159.33333333333334</v>
      </c>
      <c r="BN148" s="64">
        <f>IFERROR(Y148*I148/H148,"0")</f>
        <v>162.52000000000001</v>
      </c>
      <c r="BO148" s="64">
        <f>IFERROR(1/J148*(X148/H148),"0")</f>
        <v>0.26041666666666669</v>
      </c>
      <c r="BP148" s="64">
        <f>IFERROR(1/J148*(Y148/H148),"0")</f>
        <v>0.265625</v>
      </c>
    </row>
    <row r="149" spans="1:68" x14ac:dyDescent="0.2">
      <c r="A149" s="553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47" t="s">
        <v>71</v>
      </c>
      <c r="Q149" s="548"/>
      <c r="R149" s="548"/>
      <c r="S149" s="548"/>
      <c r="T149" s="548"/>
      <c r="U149" s="548"/>
      <c r="V149" s="549"/>
      <c r="W149" s="37" t="s">
        <v>72</v>
      </c>
      <c r="X149" s="543">
        <f>IFERROR(X146/H146,"0")+IFERROR(X147/H147,"0")+IFERROR(X148/H148,"0")</f>
        <v>23.333333333333336</v>
      </c>
      <c r="Y149" s="543">
        <f>IFERROR(Y146/H146,"0")+IFERROR(Y147/H147,"0")+IFERROR(Y148/H148,"0")</f>
        <v>24</v>
      </c>
      <c r="Z149" s="543">
        <f>IFERROR(IF(Z146="",0,Z146),"0")+IFERROR(IF(Z147="",0,Z147),"0")+IFERROR(IF(Z148="",0,Z148),"0")</f>
        <v>0.45552000000000004</v>
      </c>
      <c r="AA149" s="544"/>
      <c r="AB149" s="544"/>
      <c r="AC149" s="544"/>
    </row>
    <row r="150" spans="1:68" x14ac:dyDescent="0.2">
      <c r="A150" s="554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47" t="s">
        <v>71</v>
      </c>
      <c r="Q150" s="548"/>
      <c r="R150" s="548"/>
      <c r="S150" s="548"/>
      <c r="T150" s="548"/>
      <c r="U150" s="548"/>
      <c r="V150" s="549"/>
      <c r="W150" s="37" t="s">
        <v>69</v>
      </c>
      <c r="X150" s="543">
        <f>IFERROR(SUM(X146:X148),"0")</f>
        <v>210</v>
      </c>
      <c r="Y150" s="543">
        <f>IFERROR(SUM(Y146:Y148),"0")</f>
        <v>216</v>
      </c>
      <c r="Z150" s="37"/>
      <c r="AA150" s="544"/>
      <c r="AB150" s="544"/>
      <c r="AC150" s="544"/>
    </row>
    <row r="151" spans="1:68" ht="14.25" hidden="1" customHeight="1" x14ac:dyDescent="0.25">
      <c r="A151" s="560" t="s">
        <v>73</v>
      </c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S151" s="554"/>
      <c r="T151" s="554"/>
      <c r="U151" s="554"/>
      <c r="V151" s="554"/>
      <c r="W151" s="554"/>
      <c r="X151" s="554"/>
      <c r="Y151" s="554"/>
      <c r="Z151" s="554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5">
        <v>4680115887459</v>
      </c>
      <c r="E152" s="546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861" t="s">
        <v>252</v>
      </c>
      <c r="Q152" s="551"/>
      <c r="R152" s="551"/>
      <c r="S152" s="551"/>
      <c r="T152" s="552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3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47" t="s">
        <v>71</v>
      </c>
      <c r="Q153" s="548"/>
      <c r="R153" s="548"/>
      <c r="S153" s="548"/>
      <c r="T153" s="548"/>
      <c r="U153" s="548"/>
      <c r="V153" s="549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4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47" t="s">
        <v>71</v>
      </c>
      <c r="Q154" s="548"/>
      <c r="R154" s="548"/>
      <c r="S154" s="548"/>
      <c r="T154" s="548"/>
      <c r="U154" s="548"/>
      <c r="V154" s="549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45" t="s">
        <v>255</v>
      </c>
      <c r="B155" s="646"/>
      <c r="C155" s="646"/>
      <c r="D155" s="646"/>
      <c r="E155" s="646"/>
      <c r="F155" s="646"/>
      <c r="G155" s="646"/>
      <c r="H155" s="646"/>
      <c r="I155" s="646"/>
      <c r="J155" s="646"/>
      <c r="K155" s="646"/>
      <c r="L155" s="646"/>
      <c r="M155" s="646"/>
      <c r="N155" s="646"/>
      <c r="O155" s="646"/>
      <c r="P155" s="646"/>
      <c r="Q155" s="646"/>
      <c r="R155" s="646"/>
      <c r="S155" s="646"/>
      <c r="T155" s="646"/>
      <c r="U155" s="646"/>
      <c r="V155" s="646"/>
      <c r="W155" s="646"/>
      <c r="X155" s="646"/>
      <c r="Y155" s="646"/>
      <c r="Z155" s="646"/>
      <c r="AA155" s="48"/>
      <c r="AB155" s="48"/>
      <c r="AC155" s="48"/>
    </row>
    <row r="156" spans="1:68" ht="16.5" hidden="1" customHeight="1" x14ac:dyDescent="0.25">
      <c r="A156" s="570" t="s">
        <v>256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6"/>
      <c r="AB156" s="536"/>
      <c r="AC156" s="536"/>
    </row>
    <row r="157" spans="1:68" ht="14.25" hidden="1" customHeight="1" x14ac:dyDescent="0.25">
      <c r="A157" s="560" t="s">
        <v>136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5">
        <v>4680115886223</v>
      </c>
      <c r="E158" s="546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1"/>
      <c r="R158" s="551"/>
      <c r="S158" s="551"/>
      <c r="T158" s="552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3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47" t="s">
        <v>71</v>
      </c>
      <c r="Q159" s="548"/>
      <c r="R159" s="548"/>
      <c r="S159" s="548"/>
      <c r="T159" s="548"/>
      <c r="U159" s="548"/>
      <c r="V159" s="549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4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47" t="s">
        <v>71</v>
      </c>
      <c r="Q160" s="548"/>
      <c r="R160" s="548"/>
      <c r="S160" s="548"/>
      <c r="T160" s="548"/>
      <c r="U160" s="548"/>
      <c r="V160" s="549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60" t="s">
        <v>64</v>
      </c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4"/>
      <c r="P161" s="554"/>
      <c r="Q161" s="554"/>
      <c r="R161" s="554"/>
      <c r="S161" s="554"/>
      <c r="T161" s="554"/>
      <c r="U161" s="554"/>
      <c r="V161" s="554"/>
      <c r="W161" s="554"/>
      <c r="X161" s="554"/>
      <c r="Y161" s="554"/>
      <c r="Z161" s="554"/>
      <c r="AA161" s="535"/>
      <c r="AB161" s="535"/>
      <c r="AC161" s="535"/>
    </row>
    <row r="162" spans="1:68" ht="27" hidden="1" customHeight="1" x14ac:dyDescent="0.25">
      <c r="A162" s="54" t="s">
        <v>260</v>
      </c>
      <c r="B162" s="54" t="s">
        <v>261</v>
      </c>
      <c r="C162" s="31">
        <v>4301031191</v>
      </c>
      <c r="D162" s="545">
        <v>4680115880993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111</v>
      </c>
      <c r="M162" s="33" t="s">
        <v>68</v>
      </c>
      <c r="N162" s="33"/>
      <c r="O162" s="32">
        <v>40</v>
      </c>
      <c r="P162" s="6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1"/>
      <c r="R162" s="551"/>
      <c r="S162" s="551"/>
      <c r="T162" s="552"/>
      <c r="U162" s="34"/>
      <c r="V162" s="34"/>
      <c r="W162" s="35" t="s">
        <v>69</v>
      </c>
      <c r="X162" s="541">
        <v>0</v>
      </c>
      <c r="Y162" s="542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 t="s">
        <v>90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4301031204</v>
      </c>
      <c r="D163" s="545">
        <v>4680115881761</v>
      </c>
      <c r="E163" s="546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7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1"/>
      <c r="R163" s="551"/>
      <c r="S163" s="551"/>
      <c r="T163" s="552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266</v>
      </c>
      <c r="B164" s="54" t="s">
        <v>267</v>
      </c>
      <c r="C164" s="31">
        <v>4301031201</v>
      </c>
      <c r="D164" s="545">
        <v>4680115881563</v>
      </c>
      <c r="E164" s="546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68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1"/>
      <c r="R164" s="551"/>
      <c r="S164" s="551"/>
      <c r="T164" s="552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90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269</v>
      </c>
      <c r="B165" s="54" t="s">
        <v>270</v>
      </c>
      <c r="C165" s="31">
        <v>4301031199</v>
      </c>
      <c r="D165" s="545">
        <v>4680115880986</v>
      </c>
      <c r="E165" s="546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8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1"/>
      <c r="R165" s="551"/>
      <c r="S165" s="551"/>
      <c r="T165" s="552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90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271</v>
      </c>
      <c r="M166" s="33" t="s">
        <v>68</v>
      </c>
      <c r="N166" s="33"/>
      <c r="O166" s="32">
        <v>40</v>
      </c>
      <c r="P166" s="8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1"/>
      <c r="R166" s="551"/>
      <c r="S166" s="551"/>
      <c r="T166" s="552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78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1"/>
      <c r="R167" s="551"/>
      <c r="S167" s="551"/>
      <c r="T167" s="552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75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1"/>
      <c r="R168" s="551"/>
      <c r="S168" s="551"/>
      <c r="T168" s="552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78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1"/>
      <c r="R169" s="551"/>
      <c r="S169" s="551"/>
      <c r="T169" s="552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84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1"/>
      <c r="R170" s="551"/>
      <c r="S170" s="551"/>
      <c r="T170" s="552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47" t="s">
        <v>71</v>
      </c>
      <c r="Q171" s="548"/>
      <c r="R171" s="548"/>
      <c r="S171" s="548"/>
      <c r="T171" s="548"/>
      <c r="U171" s="548"/>
      <c r="V171" s="549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hidden="1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47" t="s">
        <v>71</v>
      </c>
      <c r="Q172" s="548"/>
      <c r="R172" s="548"/>
      <c r="S172" s="548"/>
      <c r="T172" s="548"/>
      <c r="U172" s="548"/>
      <c r="V172" s="549"/>
      <c r="W172" s="37" t="s">
        <v>69</v>
      </c>
      <c r="X172" s="543">
        <f>IFERROR(SUM(X162:X170),"0")</f>
        <v>0</v>
      </c>
      <c r="Y172" s="543">
        <f>IFERROR(SUM(Y162:Y170),"0")</f>
        <v>0</v>
      </c>
      <c r="Z172" s="37"/>
      <c r="AA172" s="544"/>
      <c r="AB172" s="544"/>
      <c r="AC172" s="544"/>
    </row>
    <row r="173" spans="1:68" ht="14.25" hidden="1" customHeight="1" x14ac:dyDescent="0.25">
      <c r="A173" s="560" t="s">
        <v>93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57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1"/>
      <c r="R174" s="551"/>
      <c r="S174" s="551"/>
      <c r="T174" s="552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6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1"/>
      <c r="R175" s="551"/>
      <c r="S175" s="551"/>
      <c r="T175" s="552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6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1"/>
      <c r="R176" s="551"/>
      <c r="S176" s="551"/>
      <c r="T176" s="552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47" t="s">
        <v>71</v>
      </c>
      <c r="Q177" s="548"/>
      <c r="R177" s="548"/>
      <c r="S177" s="548"/>
      <c r="T177" s="548"/>
      <c r="U177" s="548"/>
      <c r="V177" s="54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47" t="s">
        <v>71</v>
      </c>
      <c r="Q178" s="548"/>
      <c r="R178" s="548"/>
      <c r="S178" s="548"/>
      <c r="T178" s="548"/>
      <c r="U178" s="548"/>
      <c r="V178" s="54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60" t="s">
        <v>294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5"/>
      <c r="AB179" s="535"/>
      <c r="AC179" s="535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78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1"/>
      <c r="R180" s="551"/>
      <c r="S180" s="551"/>
      <c r="T180" s="552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47" t="s">
        <v>71</v>
      </c>
      <c r="Q181" s="548"/>
      <c r="R181" s="548"/>
      <c r="S181" s="548"/>
      <c r="T181" s="548"/>
      <c r="U181" s="548"/>
      <c r="V181" s="54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47" t="s">
        <v>71</v>
      </c>
      <c r="Q182" s="548"/>
      <c r="R182" s="548"/>
      <c r="S182" s="548"/>
      <c r="T182" s="548"/>
      <c r="U182" s="548"/>
      <c r="V182" s="54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70" t="s">
        <v>297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0" t="s">
        <v>101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7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1"/>
      <c r="R185" s="551"/>
      <c r="S185" s="551"/>
      <c r="T185" s="552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60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1"/>
      <c r="R186" s="551"/>
      <c r="S186" s="551"/>
      <c r="T186" s="552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47" t="s">
        <v>71</v>
      </c>
      <c r="Q187" s="548"/>
      <c r="R187" s="548"/>
      <c r="S187" s="548"/>
      <c r="T187" s="548"/>
      <c r="U187" s="548"/>
      <c r="V187" s="54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47" t="s">
        <v>71</v>
      </c>
      <c r="Q188" s="548"/>
      <c r="R188" s="548"/>
      <c r="S188" s="548"/>
      <c r="T188" s="548"/>
      <c r="U188" s="548"/>
      <c r="V188" s="54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0" t="s">
        <v>136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69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1"/>
      <c r="R190" s="551"/>
      <c r="S190" s="551"/>
      <c r="T190" s="552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6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1"/>
      <c r="R191" s="551"/>
      <c r="S191" s="551"/>
      <c r="T191" s="552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47" t="s">
        <v>71</v>
      </c>
      <c r="Q192" s="548"/>
      <c r="R192" s="548"/>
      <c r="S192" s="548"/>
      <c r="T192" s="548"/>
      <c r="U192" s="548"/>
      <c r="V192" s="54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47" t="s">
        <v>71</v>
      </c>
      <c r="Q193" s="548"/>
      <c r="R193" s="548"/>
      <c r="S193" s="548"/>
      <c r="T193" s="548"/>
      <c r="U193" s="548"/>
      <c r="V193" s="54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0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77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1"/>
      <c r="R195" s="551"/>
      <c r="S195" s="551"/>
      <c r="T195" s="552"/>
      <c r="U195" s="34"/>
      <c r="V195" s="34"/>
      <c r="W195" s="35" t="s">
        <v>69</v>
      </c>
      <c r="X195" s="541">
        <v>100</v>
      </c>
      <c r="Y195" s="542">
        <f t="shared" ref="Y195:Y202" si="10">IFERROR(IF(X195="",0,CEILING((X195/$H195),1)*$H195),"")</f>
        <v>102.60000000000001</v>
      </c>
      <c r="Z195" s="36">
        <f>IFERROR(IF(Y195=0,"",ROUNDUP(Y195/H195,0)*0.00902),"")</f>
        <v>0.17138</v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103.5185185185185</v>
      </c>
      <c r="BN195" s="64">
        <f t="shared" ref="BN195:BN202" si="12">IFERROR(Y195*I195/H195,"0")</f>
        <v>106.21</v>
      </c>
      <c r="BO195" s="64">
        <f t="shared" ref="BO195:BO202" si="13">IFERROR(1/J195*(X195/H195),"0")</f>
        <v>0.14029180695847362</v>
      </c>
      <c r="BP195" s="64">
        <f t="shared" ref="BP195:BP202" si="14">IFERROR(1/J195*(Y195/H195),"0")</f>
        <v>0.14393939393939395</v>
      </c>
    </row>
    <row r="196" spans="1:68" ht="27" hidden="1" customHeight="1" x14ac:dyDescent="0.25">
      <c r="A196" s="54" t="s">
        <v>311</v>
      </c>
      <c r="B196" s="54" t="s">
        <v>312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63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1"/>
      <c r="R196" s="551"/>
      <c r="S196" s="551"/>
      <c r="T196" s="552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8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1"/>
      <c r="R197" s="551"/>
      <c r="S197" s="551"/>
      <c r="T197" s="552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6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1"/>
      <c r="R198" s="551"/>
      <c r="S198" s="551"/>
      <c r="T198" s="552"/>
      <c r="U198" s="34"/>
      <c r="V198" s="34"/>
      <c r="W198" s="35" t="s">
        <v>69</v>
      </c>
      <c r="X198" s="541">
        <v>100</v>
      </c>
      <c r="Y198" s="542">
        <f t="shared" si="10"/>
        <v>102.60000000000001</v>
      </c>
      <c r="Z198" s="36">
        <f>IFERROR(IF(Y198=0,"",ROUNDUP(Y198/H198,0)*0.00902),"")</f>
        <v>0.17138</v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103.5185185185185</v>
      </c>
      <c r="BN198" s="64">
        <f t="shared" si="12"/>
        <v>106.21</v>
      </c>
      <c r="BO198" s="64">
        <f t="shared" si="13"/>
        <v>0.14029180695847362</v>
      </c>
      <c r="BP198" s="64">
        <f t="shared" si="14"/>
        <v>0.14393939393939395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58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1"/>
      <c r="R199" s="551"/>
      <c r="S199" s="551"/>
      <c r="T199" s="552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1"/>
      <c r="R200" s="551"/>
      <c r="S200" s="551"/>
      <c r="T200" s="552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0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1"/>
      <c r="R201" s="551"/>
      <c r="S201" s="551"/>
      <c r="T201" s="552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56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1"/>
      <c r="R202" s="551"/>
      <c r="S202" s="551"/>
      <c r="T202" s="552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47" t="s">
        <v>71</v>
      </c>
      <c r="Q203" s="548"/>
      <c r="R203" s="548"/>
      <c r="S203" s="548"/>
      <c r="T203" s="548"/>
      <c r="U203" s="548"/>
      <c r="V203" s="54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37.037037037037038</v>
      </c>
      <c r="Y203" s="543">
        <f>IFERROR(Y195/H195,"0")+IFERROR(Y196/H196,"0")+IFERROR(Y197/H197,"0")+IFERROR(Y198/H198,"0")+IFERROR(Y199/H199,"0")+IFERROR(Y200/H200,"0")+IFERROR(Y201/H201,"0")+IFERROR(Y202/H202,"0")</f>
        <v>38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0.34276000000000001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47" t="s">
        <v>71</v>
      </c>
      <c r="Q204" s="548"/>
      <c r="R204" s="548"/>
      <c r="S204" s="548"/>
      <c r="T204" s="548"/>
      <c r="U204" s="548"/>
      <c r="V204" s="549"/>
      <c r="W204" s="37" t="s">
        <v>69</v>
      </c>
      <c r="X204" s="543">
        <f>IFERROR(SUM(X195:X202),"0")</f>
        <v>200</v>
      </c>
      <c r="Y204" s="543">
        <f>IFERROR(SUM(Y195:Y202),"0")</f>
        <v>205.20000000000002</v>
      </c>
      <c r="Z204" s="37"/>
      <c r="AA204" s="544"/>
      <c r="AB204" s="544"/>
      <c r="AC204" s="544"/>
    </row>
    <row r="205" spans="1:68" ht="14.25" hidden="1" customHeight="1" x14ac:dyDescent="0.25">
      <c r="A205" s="560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1"/>
      <c r="R206" s="551"/>
      <c r="S206" s="551"/>
      <c r="T206" s="552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2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1"/>
      <c r="R207" s="551"/>
      <c r="S207" s="551"/>
      <c r="T207" s="552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76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1"/>
      <c r="R208" s="551"/>
      <c r="S208" s="551"/>
      <c r="T208" s="552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83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1"/>
      <c r="R209" s="551"/>
      <c r="S209" s="551"/>
      <c r="T209" s="552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7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1"/>
      <c r="R210" s="551"/>
      <c r="S210" s="551"/>
      <c r="T210" s="552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3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1"/>
      <c r="R211" s="551"/>
      <c r="S211" s="551"/>
      <c r="T211" s="552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344</v>
      </c>
      <c r="B212" s="54" t="s">
        <v>345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1"/>
      <c r="R212" s="551"/>
      <c r="S212" s="551"/>
      <c r="T212" s="552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85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1"/>
      <c r="R213" s="551"/>
      <c r="S213" s="551"/>
      <c r="T213" s="552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349</v>
      </c>
      <c r="B214" s="54" t="s">
        <v>350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64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1"/>
      <c r="R214" s="551"/>
      <c r="S214" s="551"/>
      <c r="T214" s="552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47" t="s">
        <v>71</v>
      </c>
      <c r="Q215" s="548"/>
      <c r="R215" s="548"/>
      <c r="S215" s="548"/>
      <c r="T215" s="548"/>
      <c r="U215" s="548"/>
      <c r="V215" s="54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hidden="1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47" t="s">
        <v>71</v>
      </c>
      <c r="Q216" s="548"/>
      <c r="R216" s="548"/>
      <c r="S216" s="548"/>
      <c r="T216" s="548"/>
      <c r="U216" s="548"/>
      <c r="V216" s="549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hidden="1" customHeight="1" x14ac:dyDescent="0.25">
      <c r="A217" s="560" t="s">
        <v>164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5"/>
      <c r="AB217" s="535"/>
      <c r="AC217" s="535"/>
    </row>
    <row r="218" spans="1:68" ht="27" hidden="1" customHeight="1" x14ac:dyDescent="0.25">
      <c r="A218" s="54" t="s">
        <v>351</v>
      </c>
      <c r="B218" s="54" t="s">
        <v>352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57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1"/>
      <c r="R218" s="551"/>
      <c r="S218" s="551"/>
      <c r="T218" s="552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354</v>
      </c>
      <c r="B219" s="54" t="s">
        <v>355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1"/>
      <c r="R219" s="551"/>
      <c r="S219" s="551"/>
      <c r="T219" s="552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47" t="s">
        <v>71</v>
      </c>
      <c r="Q220" s="548"/>
      <c r="R220" s="548"/>
      <c r="S220" s="548"/>
      <c r="T220" s="548"/>
      <c r="U220" s="548"/>
      <c r="V220" s="54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47" t="s">
        <v>71</v>
      </c>
      <c r="Q221" s="548"/>
      <c r="R221" s="548"/>
      <c r="S221" s="548"/>
      <c r="T221" s="548"/>
      <c r="U221" s="548"/>
      <c r="V221" s="54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70" t="s">
        <v>357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0" t="s">
        <v>101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5"/>
      <c r="AB223" s="535"/>
      <c r="AC223" s="535"/>
    </row>
    <row r="224" spans="1:68" ht="27" hidden="1" customHeight="1" x14ac:dyDescent="0.25">
      <c r="A224" s="54" t="s">
        <v>358</v>
      </c>
      <c r="B224" s="54" t="s">
        <v>359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1"/>
      <c r="R224" s="551"/>
      <c r="S224" s="551"/>
      <c r="T224" s="552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6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1"/>
      <c r="R225" s="551"/>
      <c r="S225" s="551"/>
      <c r="T225" s="552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6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1"/>
      <c r="R226" s="551"/>
      <c r="S226" s="551"/>
      <c r="T226" s="552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6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1"/>
      <c r="R227" s="551"/>
      <c r="S227" s="551"/>
      <c r="T227" s="552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59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1"/>
      <c r="R228" s="551"/>
      <c r="S228" s="551"/>
      <c r="T228" s="552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1"/>
      <c r="R229" s="551"/>
      <c r="S229" s="551"/>
      <c r="T229" s="552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750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1"/>
      <c r="R230" s="551"/>
      <c r="S230" s="551"/>
      <c r="T230" s="552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8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1"/>
      <c r="R231" s="551"/>
      <c r="S231" s="551"/>
      <c r="T231" s="552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2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1"/>
      <c r="R232" s="551"/>
      <c r="S232" s="551"/>
      <c r="T232" s="552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1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1"/>
      <c r="R233" s="551"/>
      <c r="S233" s="551"/>
      <c r="T233" s="552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47" t="s">
        <v>71</v>
      </c>
      <c r="Q234" s="548"/>
      <c r="R234" s="548"/>
      <c r="S234" s="548"/>
      <c r="T234" s="548"/>
      <c r="U234" s="548"/>
      <c r="V234" s="54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47" t="s">
        <v>71</v>
      </c>
      <c r="Q235" s="548"/>
      <c r="R235" s="548"/>
      <c r="S235" s="548"/>
      <c r="T235" s="548"/>
      <c r="U235" s="548"/>
      <c r="V235" s="54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60" t="s">
        <v>136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82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1"/>
      <c r="R237" s="551"/>
      <c r="S237" s="551"/>
      <c r="T237" s="552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47" t="s">
        <v>71</v>
      </c>
      <c r="Q238" s="548"/>
      <c r="R238" s="548"/>
      <c r="S238" s="548"/>
      <c r="T238" s="548"/>
      <c r="U238" s="548"/>
      <c r="V238" s="54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47" t="s">
        <v>71</v>
      </c>
      <c r="Q239" s="548"/>
      <c r="R239" s="548"/>
      <c r="S239" s="548"/>
      <c r="T239" s="548"/>
      <c r="U239" s="548"/>
      <c r="V239" s="54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0" t="s">
        <v>383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5"/>
      <c r="AB240" s="535"/>
      <c r="AC240" s="535"/>
    </row>
    <row r="241" spans="1:68" ht="27" hidden="1" customHeight="1" x14ac:dyDescent="0.25">
      <c r="A241" s="54" t="s">
        <v>384</v>
      </c>
      <c r="B241" s="54" t="s">
        <v>385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1"/>
      <c r="R241" s="551"/>
      <c r="S241" s="551"/>
      <c r="T241" s="552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47" t="s">
        <v>71</v>
      </c>
      <c r="Q242" s="548"/>
      <c r="R242" s="548"/>
      <c r="S242" s="548"/>
      <c r="T242" s="548"/>
      <c r="U242" s="548"/>
      <c r="V242" s="54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47" t="s">
        <v>71</v>
      </c>
      <c r="Q243" s="548"/>
      <c r="R243" s="548"/>
      <c r="S243" s="548"/>
      <c r="T243" s="548"/>
      <c r="U243" s="548"/>
      <c r="V243" s="54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60" t="s">
        <v>387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5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1"/>
      <c r="R245" s="551"/>
      <c r="S245" s="551"/>
      <c r="T245" s="552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8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1"/>
      <c r="R246" s="551"/>
      <c r="S246" s="551"/>
      <c r="T246" s="552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64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1"/>
      <c r="R247" s="551"/>
      <c r="S247" s="551"/>
      <c r="T247" s="552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1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1"/>
      <c r="R248" s="551"/>
      <c r="S248" s="551"/>
      <c r="T248" s="552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85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1"/>
      <c r="R249" s="551"/>
      <c r="S249" s="551"/>
      <c r="T249" s="552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47" t="s">
        <v>71</v>
      </c>
      <c r="Q250" s="548"/>
      <c r="R250" s="548"/>
      <c r="S250" s="548"/>
      <c r="T250" s="548"/>
      <c r="U250" s="548"/>
      <c r="V250" s="54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47" t="s">
        <v>71</v>
      </c>
      <c r="Q251" s="548"/>
      <c r="R251" s="548"/>
      <c r="S251" s="548"/>
      <c r="T251" s="548"/>
      <c r="U251" s="548"/>
      <c r="V251" s="54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70" t="s">
        <v>399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0" t="s">
        <v>101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69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1"/>
      <c r="R254" s="551"/>
      <c r="S254" s="551"/>
      <c r="T254" s="552"/>
      <c r="U254" s="34"/>
      <c r="V254" s="34"/>
      <c r="W254" s="35" t="s">
        <v>69</v>
      </c>
      <c r="X254" s="541">
        <v>100</v>
      </c>
      <c r="Y254" s="542">
        <f>IFERROR(IF(X254="",0,CEILING((X254/$H254),1)*$H254),"")</f>
        <v>108</v>
      </c>
      <c r="Z254" s="36">
        <f>IFERROR(IF(Y254=0,"",ROUNDUP(Y254/H254,0)*0.01898),"")</f>
        <v>0.1898</v>
      </c>
      <c r="AA254" s="56"/>
      <c r="AB254" s="57"/>
      <c r="AC254" s="299" t="s">
        <v>402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103.79629629629629</v>
      </c>
      <c r="BN254" s="64">
        <f>IFERROR(Y254*I254/H254,"0")</f>
        <v>112.1</v>
      </c>
      <c r="BO254" s="64">
        <f>IFERROR(1/J254*(X254/H254),"0")</f>
        <v>0.14467592592592593</v>
      </c>
      <c r="BP254" s="64">
        <f>IFERROR(1/J254*(Y254/H254),"0")</f>
        <v>0.15625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80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1"/>
      <c r="R255" s="551"/>
      <c r="S255" s="551"/>
      <c r="T255" s="552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406</v>
      </c>
      <c r="B256" s="54" t="s">
        <v>407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68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1"/>
      <c r="R256" s="551"/>
      <c r="S256" s="551"/>
      <c r="T256" s="552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6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1"/>
      <c r="R257" s="551"/>
      <c r="S257" s="551"/>
      <c r="T257" s="552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79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1"/>
      <c r="R258" s="551"/>
      <c r="S258" s="551"/>
      <c r="T258" s="552"/>
      <c r="U258" s="34"/>
      <c r="V258" s="34"/>
      <c r="W258" s="35" t="s">
        <v>69</v>
      </c>
      <c r="X258" s="541">
        <v>60</v>
      </c>
      <c r="Y258" s="542">
        <f>IFERROR(IF(X258="",0,CEILING((X258/$H258),1)*$H258),"")</f>
        <v>60</v>
      </c>
      <c r="Z258" s="36">
        <f>IFERROR(IF(Y258=0,"",ROUNDUP(Y258/H258,0)*0.00902),"")</f>
        <v>0.1353</v>
      </c>
      <c r="AA258" s="56"/>
      <c r="AB258" s="57"/>
      <c r="AC258" s="307" t="s">
        <v>414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62.850000000000009</v>
      </c>
      <c r="BN258" s="64">
        <f>IFERROR(Y258*I258/H258,"0")</f>
        <v>62.850000000000009</v>
      </c>
      <c r="BO258" s="64">
        <f>IFERROR(1/J258*(X258/H258),"0")</f>
        <v>0.11363636363636365</v>
      </c>
      <c r="BP258" s="64">
        <f>IFERROR(1/J258*(Y258/H258),"0")</f>
        <v>0.11363636363636365</v>
      </c>
    </row>
    <row r="259" spans="1:68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47" t="s">
        <v>71</v>
      </c>
      <c r="Q259" s="548"/>
      <c r="R259" s="548"/>
      <c r="S259" s="548"/>
      <c r="T259" s="548"/>
      <c r="U259" s="548"/>
      <c r="V259" s="549"/>
      <c r="W259" s="37" t="s">
        <v>72</v>
      </c>
      <c r="X259" s="543">
        <f>IFERROR(X254/H254,"0")+IFERROR(X255/H255,"0")+IFERROR(X256/H256,"0")+IFERROR(X257/H257,"0")+IFERROR(X258/H258,"0")</f>
        <v>24.25925925925926</v>
      </c>
      <c r="Y259" s="543">
        <f>IFERROR(Y254/H254,"0")+IFERROR(Y255/H255,"0")+IFERROR(Y256/H256,"0")+IFERROR(Y257/H257,"0")+IFERROR(Y258/H258,"0")</f>
        <v>25</v>
      </c>
      <c r="Z259" s="543">
        <f>IFERROR(IF(Z254="",0,Z254),"0")+IFERROR(IF(Z255="",0,Z255),"0")+IFERROR(IF(Z256="",0,Z256),"0")+IFERROR(IF(Z257="",0,Z257),"0")+IFERROR(IF(Z258="",0,Z258),"0")</f>
        <v>0.3251</v>
      </c>
      <c r="AA259" s="544"/>
      <c r="AB259" s="544"/>
      <c r="AC259" s="544"/>
    </row>
    <row r="260" spans="1:68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47" t="s">
        <v>71</v>
      </c>
      <c r="Q260" s="548"/>
      <c r="R260" s="548"/>
      <c r="S260" s="548"/>
      <c r="T260" s="548"/>
      <c r="U260" s="548"/>
      <c r="V260" s="549"/>
      <c r="W260" s="37" t="s">
        <v>69</v>
      </c>
      <c r="X260" s="543">
        <f>IFERROR(SUM(X254:X258),"0")</f>
        <v>160</v>
      </c>
      <c r="Y260" s="543">
        <f>IFERROR(SUM(Y254:Y258),"0")</f>
        <v>168</v>
      </c>
      <c r="Z260" s="37"/>
      <c r="AA260" s="544"/>
      <c r="AB260" s="544"/>
      <c r="AC260" s="544"/>
    </row>
    <row r="261" spans="1:68" ht="16.5" hidden="1" customHeight="1" x14ac:dyDescent="0.25">
      <c r="A261" s="570" t="s">
        <v>415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0" t="s">
        <v>101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59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1"/>
      <c r="R263" s="551"/>
      <c r="S263" s="551"/>
      <c r="T263" s="552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7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1"/>
      <c r="R264" s="551"/>
      <c r="S264" s="551"/>
      <c r="T264" s="552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82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1"/>
      <c r="R265" s="551"/>
      <c r="S265" s="551"/>
      <c r="T265" s="552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84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1"/>
      <c r="R266" s="551"/>
      <c r="S266" s="551"/>
      <c r="T266" s="552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47" t="s">
        <v>71</v>
      </c>
      <c r="Q267" s="548"/>
      <c r="R267" s="548"/>
      <c r="S267" s="548"/>
      <c r="T267" s="548"/>
      <c r="U267" s="548"/>
      <c r="V267" s="54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47" t="s">
        <v>71</v>
      </c>
      <c r="Q268" s="548"/>
      <c r="R268" s="548"/>
      <c r="S268" s="548"/>
      <c r="T268" s="548"/>
      <c r="U268" s="548"/>
      <c r="V268" s="54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70" t="s">
        <v>426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0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82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1"/>
      <c r="R271" s="551"/>
      <c r="S271" s="551"/>
      <c r="T271" s="552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430</v>
      </c>
      <c r="B272" s="54" t="s">
        <v>431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1"/>
      <c r="R272" s="551"/>
      <c r="S272" s="551"/>
      <c r="T272" s="552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433</v>
      </c>
      <c r="B273" s="54" t="s">
        <v>434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80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1"/>
      <c r="R273" s="551"/>
      <c r="S273" s="551"/>
      <c r="T273" s="552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47" t="s">
        <v>71</v>
      </c>
      <c r="Q274" s="548"/>
      <c r="R274" s="548"/>
      <c r="S274" s="548"/>
      <c r="T274" s="548"/>
      <c r="U274" s="548"/>
      <c r="V274" s="54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47" t="s">
        <v>71</v>
      </c>
      <c r="Q275" s="548"/>
      <c r="R275" s="548"/>
      <c r="S275" s="548"/>
      <c r="T275" s="548"/>
      <c r="U275" s="548"/>
      <c r="V275" s="54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70" t="s">
        <v>435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0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0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1"/>
      <c r="R278" s="551"/>
      <c r="S278" s="551"/>
      <c r="T278" s="552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69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1"/>
      <c r="R279" s="551"/>
      <c r="S279" s="551"/>
      <c r="T279" s="552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47" t="s">
        <v>71</v>
      </c>
      <c r="Q280" s="548"/>
      <c r="R280" s="548"/>
      <c r="S280" s="548"/>
      <c r="T280" s="548"/>
      <c r="U280" s="548"/>
      <c r="V280" s="54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47" t="s">
        <v>71</v>
      </c>
      <c r="Q281" s="548"/>
      <c r="R281" s="548"/>
      <c r="S281" s="548"/>
      <c r="T281" s="548"/>
      <c r="U281" s="548"/>
      <c r="V281" s="54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0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1"/>
      <c r="R283" s="551"/>
      <c r="S283" s="551"/>
      <c r="T283" s="552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3"/>
      <c r="B284" s="554"/>
      <c r="C284" s="554"/>
      <c r="D284" s="554"/>
      <c r="E284" s="554"/>
      <c r="F284" s="554"/>
      <c r="G284" s="554"/>
      <c r="H284" s="554"/>
      <c r="I284" s="554"/>
      <c r="J284" s="554"/>
      <c r="K284" s="554"/>
      <c r="L284" s="554"/>
      <c r="M284" s="554"/>
      <c r="N284" s="554"/>
      <c r="O284" s="555"/>
      <c r="P284" s="547" t="s">
        <v>71</v>
      </c>
      <c r="Q284" s="548"/>
      <c r="R284" s="548"/>
      <c r="S284" s="548"/>
      <c r="T284" s="548"/>
      <c r="U284" s="548"/>
      <c r="V284" s="549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hidden="1" x14ac:dyDescent="0.2">
      <c r="A285" s="554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47" t="s">
        <v>71</v>
      </c>
      <c r="Q285" s="548"/>
      <c r="R285" s="548"/>
      <c r="S285" s="548"/>
      <c r="T285" s="548"/>
      <c r="U285" s="548"/>
      <c r="V285" s="549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hidden="1" customHeight="1" x14ac:dyDescent="0.25">
      <c r="A286" s="570" t="s">
        <v>445</v>
      </c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4"/>
      <c r="P286" s="554"/>
      <c r="Q286" s="554"/>
      <c r="R286" s="554"/>
      <c r="S286" s="554"/>
      <c r="T286" s="554"/>
      <c r="U286" s="554"/>
      <c r="V286" s="554"/>
      <c r="W286" s="554"/>
      <c r="X286" s="554"/>
      <c r="Y286" s="554"/>
      <c r="Z286" s="554"/>
      <c r="AA286" s="536"/>
      <c r="AB286" s="536"/>
      <c r="AC286" s="536"/>
    </row>
    <row r="287" spans="1:68" ht="14.25" hidden="1" customHeight="1" x14ac:dyDescent="0.25">
      <c r="A287" s="560" t="s">
        <v>101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4301012126</v>
      </c>
      <c r="D288" s="545">
        <v>4607091386004</v>
      </c>
      <c r="E288" s="546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59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51"/>
      <c r="R288" s="551"/>
      <c r="S288" s="551"/>
      <c r="T288" s="552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 t="s">
        <v>105</v>
      </c>
      <c r="M289" s="33" t="s">
        <v>77</v>
      </c>
      <c r="N289" s="33"/>
      <c r="O289" s="32">
        <v>55</v>
      </c>
      <c r="P289" s="76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1"/>
      <c r="R289" s="551"/>
      <c r="S289" s="551"/>
      <c r="T289" s="552"/>
      <c r="U289" s="34"/>
      <c r="V289" s="34"/>
      <c r="W289" s="35" t="s">
        <v>69</v>
      </c>
      <c r="X289" s="541">
        <v>300</v>
      </c>
      <c r="Y289" s="542">
        <f t="shared" si="26"/>
        <v>302.40000000000003</v>
      </c>
      <c r="Z289" s="36">
        <f>IFERROR(IF(Y289=0,"",ROUNDUP(Y289/H289,0)*0.01898),"")</f>
        <v>0.53144000000000002</v>
      </c>
      <c r="AA289" s="56"/>
      <c r="AB289" s="57"/>
      <c r="AC289" s="331" t="s">
        <v>451</v>
      </c>
      <c r="AG289" s="64"/>
      <c r="AJ289" s="68" t="s">
        <v>90</v>
      </c>
      <c r="AK289" s="68">
        <v>86.4</v>
      </c>
      <c r="BB289" s="332" t="s">
        <v>1</v>
      </c>
      <c r="BM289" s="64">
        <f t="shared" si="27"/>
        <v>311.38888888888891</v>
      </c>
      <c r="BN289" s="64">
        <f t="shared" si="28"/>
        <v>313.88</v>
      </c>
      <c r="BO289" s="64">
        <f t="shared" si="29"/>
        <v>0.43402777777777773</v>
      </c>
      <c r="BP289" s="64">
        <f t="shared" si="30"/>
        <v>0.4375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106</v>
      </c>
      <c r="N290" s="33"/>
      <c r="O290" s="32">
        <v>55</v>
      </c>
      <c r="P290" s="8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1"/>
      <c r="R290" s="551"/>
      <c r="S290" s="551"/>
      <c r="T290" s="552"/>
      <c r="U290" s="34"/>
      <c r="V290" s="34"/>
      <c r="W290" s="35" t="s">
        <v>69</v>
      </c>
      <c r="X290" s="541">
        <v>250</v>
      </c>
      <c r="Y290" s="542">
        <f t="shared" si="26"/>
        <v>259.20000000000005</v>
      </c>
      <c r="Z290" s="36">
        <f>IFERROR(IF(Y290=0,"",ROUNDUP(Y290/H290,0)*0.01898),"")</f>
        <v>0.45552000000000004</v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259.4907407407407</v>
      </c>
      <c r="BN290" s="64">
        <f t="shared" si="28"/>
        <v>269.04000000000002</v>
      </c>
      <c r="BO290" s="64">
        <f t="shared" si="29"/>
        <v>0.36168981481481477</v>
      </c>
      <c r="BP290" s="64">
        <f t="shared" si="30"/>
        <v>0.37500000000000006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77</v>
      </c>
      <c r="N291" s="33"/>
      <c r="O291" s="32">
        <v>55</v>
      </c>
      <c r="P291" s="5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1"/>
      <c r="R291" s="551"/>
      <c r="S291" s="551"/>
      <c r="T291" s="552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10.8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 t="s">
        <v>111</v>
      </c>
      <c r="M292" s="33" t="s">
        <v>106</v>
      </c>
      <c r="N292" s="33"/>
      <c r="O292" s="32">
        <v>55</v>
      </c>
      <c r="P292" s="65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1"/>
      <c r="R292" s="551"/>
      <c r="S292" s="551"/>
      <c r="T292" s="552"/>
      <c r="U292" s="34"/>
      <c r="V292" s="34"/>
      <c r="W292" s="35" t="s">
        <v>69</v>
      </c>
      <c r="X292" s="541">
        <v>80</v>
      </c>
      <c r="Y292" s="542">
        <f t="shared" si="26"/>
        <v>80</v>
      </c>
      <c r="Z292" s="36">
        <f>IFERROR(IF(Y292=0,"",ROUNDUP(Y292/H292,0)*0.00902),"")</f>
        <v>0.1804</v>
      </c>
      <c r="AA292" s="56"/>
      <c r="AB292" s="57"/>
      <c r="AC292" s="337" t="s">
        <v>451</v>
      </c>
      <c r="AG292" s="64"/>
      <c r="AJ292" s="68" t="s">
        <v>90</v>
      </c>
      <c r="AK292" s="68">
        <v>48</v>
      </c>
      <c r="BB292" s="338" t="s">
        <v>1</v>
      </c>
      <c r="BM292" s="64">
        <f t="shared" si="27"/>
        <v>83.800000000000011</v>
      </c>
      <c r="BN292" s="64">
        <f t="shared" si="28"/>
        <v>83.800000000000011</v>
      </c>
      <c r="BO292" s="64">
        <f t="shared" si="29"/>
        <v>0.15151515151515152</v>
      </c>
      <c r="BP292" s="64">
        <f t="shared" si="30"/>
        <v>0.15151515151515152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5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1"/>
      <c r="R293" s="551"/>
      <c r="S293" s="551"/>
      <c r="T293" s="552"/>
      <c r="U293" s="34"/>
      <c r="V293" s="34"/>
      <c r="W293" s="35" t="s">
        <v>69</v>
      </c>
      <c r="X293" s="541">
        <v>200</v>
      </c>
      <c r="Y293" s="542">
        <f t="shared" si="26"/>
        <v>200</v>
      </c>
      <c r="Z293" s="36">
        <f>IFERROR(IF(Y293=0,"",ROUNDUP(Y293/H293,0)*0.00902),"")</f>
        <v>0.45100000000000001</v>
      </c>
      <c r="AA293" s="56"/>
      <c r="AB293" s="57"/>
      <c r="AC293" s="339" t="s">
        <v>462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209.50000000000003</v>
      </c>
      <c r="BN293" s="64">
        <f t="shared" si="28"/>
        <v>209.50000000000003</v>
      </c>
      <c r="BO293" s="64">
        <f t="shared" si="29"/>
        <v>0.37878787878787878</v>
      </c>
      <c r="BP293" s="64">
        <f t="shared" si="30"/>
        <v>0.37878787878787878</v>
      </c>
    </row>
    <row r="294" spans="1:68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47" t="s">
        <v>71</v>
      </c>
      <c r="Q294" s="548"/>
      <c r="R294" s="548"/>
      <c r="S294" s="548"/>
      <c r="T294" s="548"/>
      <c r="U294" s="548"/>
      <c r="V294" s="549"/>
      <c r="W294" s="37" t="s">
        <v>72</v>
      </c>
      <c r="X294" s="543">
        <f>IFERROR(X288/H288,"0")+IFERROR(X289/H289,"0")+IFERROR(X290/H290,"0")+IFERROR(X291/H291,"0")+IFERROR(X292/H292,"0")+IFERROR(X293/H293,"0")</f>
        <v>120.92592592592592</v>
      </c>
      <c r="Y294" s="543">
        <f>IFERROR(Y288/H288,"0")+IFERROR(Y289/H289,"0")+IFERROR(Y290/H290,"0")+IFERROR(Y291/H291,"0")+IFERROR(Y292/H292,"0")+IFERROR(Y293/H293,"0")</f>
        <v>122</v>
      </c>
      <c r="Z294" s="543">
        <f>IFERROR(IF(Z288="",0,Z288),"0")+IFERROR(IF(Z289="",0,Z289),"0")+IFERROR(IF(Z290="",0,Z290),"0")+IFERROR(IF(Z291="",0,Z291),"0")+IFERROR(IF(Z292="",0,Z292),"0")+IFERROR(IF(Z293="",0,Z293),"0")</f>
        <v>1.61836</v>
      </c>
      <c r="AA294" s="544"/>
      <c r="AB294" s="544"/>
      <c r="AC294" s="544"/>
    </row>
    <row r="295" spans="1:68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47" t="s">
        <v>71</v>
      </c>
      <c r="Q295" s="548"/>
      <c r="R295" s="548"/>
      <c r="S295" s="548"/>
      <c r="T295" s="548"/>
      <c r="U295" s="548"/>
      <c r="V295" s="549"/>
      <c r="W295" s="37" t="s">
        <v>69</v>
      </c>
      <c r="X295" s="543">
        <f>IFERROR(SUM(X288:X293),"0")</f>
        <v>830</v>
      </c>
      <c r="Y295" s="543">
        <f>IFERROR(SUM(Y288:Y293),"0")</f>
        <v>841.60000000000014</v>
      </c>
      <c r="Z295" s="37"/>
      <c r="AA295" s="544"/>
      <c r="AB295" s="544"/>
      <c r="AC295" s="544"/>
    </row>
    <row r="296" spans="1:68" ht="14.25" hidden="1" customHeight="1" x14ac:dyDescent="0.25">
      <c r="A296" s="560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 t="s">
        <v>111</v>
      </c>
      <c r="M297" s="33" t="s">
        <v>68</v>
      </c>
      <c r="N297" s="33"/>
      <c r="O297" s="32">
        <v>35</v>
      </c>
      <c r="P297" s="5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1"/>
      <c r="R297" s="551"/>
      <c r="S297" s="551"/>
      <c r="T297" s="552"/>
      <c r="U297" s="34"/>
      <c r="V297" s="34"/>
      <c r="W297" s="35" t="s">
        <v>69</v>
      </c>
      <c r="X297" s="541">
        <v>350</v>
      </c>
      <c r="Y297" s="542">
        <f t="shared" ref="Y297:Y303" si="31">IFERROR(IF(X297="",0,CEILING((X297/$H297),1)*$H297),"")</f>
        <v>352.8</v>
      </c>
      <c r="Z297" s="36">
        <f>IFERROR(IF(Y297=0,"",ROUNDUP(Y297/H297,0)*0.00902),"")</f>
        <v>0.75768000000000002</v>
      </c>
      <c r="AA297" s="56"/>
      <c r="AB297" s="57"/>
      <c r="AC297" s="341" t="s">
        <v>465</v>
      </c>
      <c r="AG297" s="64"/>
      <c r="AJ297" s="68" t="s">
        <v>90</v>
      </c>
      <c r="AK297" s="68">
        <v>50.4</v>
      </c>
      <c r="BB297" s="342" t="s">
        <v>1</v>
      </c>
      <c r="BM297" s="64">
        <f t="shared" ref="BM297:BM303" si="32">IFERROR(X297*I297/H297,"0")</f>
        <v>370.83333333333331</v>
      </c>
      <c r="BN297" s="64">
        <f t="shared" ref="BN297:BN303" si="33">IFERROR(Y297*I297/H297,"0")</f>
        <v>373.8</v>
      </c>
      <c r="BO297" s="64">
        <f t="shared" ref="BO297:BO303" si="34">IFERROR(1/J297*(X297/H297),"0")</f>
        <v>0.63131313131313127</v>
      </c>
      <c r="BP297" s="64">
        <f t="shared" ref="BP297:BP303" si="35">IFERROR(1/J297*(Y297/H297),"0")</f>
        <v>0.63636363636363635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40</v>
      </c>
      <c r="P298" s="6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1"/>
      <c r="R298" s="551"/>
      <c r="S298" s="551"/>
      <c r="T298" s="552"/>
      <c r="U298" s="34"/>
      <c r="V298" s="34"/>
      <c r="W298" s="35" t="s">
        <v>69</v>
      </c>
      <c r="X298" s="541">
        <v>450</v>
      </c>
      <c r="Y298" s="542">
        <f t="shared" si="31"/>
        <v>453.6</v>
      </c>
      <c r="Z298" s="36">
        <f>IFERROR(IF(Y298=0,"",ROUNDUP(Y298/H298,0)*0.00902),"")</f>
        <v>0.97416000000000003</v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si="32"/>
        <v>476.78571428571428</v>
      </c>
      <c r="BN298" s="64">
        <f t="shared" si="33"/>
        <v>480.6</v>
      </c>
      <c r="BO298" s="64">
        <f t="shared" si="34"/>
        <v>0.81168831168831168</v>
      </c>
      <c r="BP298" s="64">
        <f t="shared" si="35"/>
        <v>0.81818181818181823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2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1"/>
      <c r="R299" s="551"/>
      <c r="S299" s="551"/>
      <c r="T299" s="552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77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1"/>
      <c r="R300" s="551"/>
      <c r="S300" s="551"/>
      <c r="T300" s="552"/>
      <c r="U300" s="34"/>
      <c r="V300" s="34"/>
      <c r="W300" s="35" t="s">
        <v>69</v>
      </c>
      <c r="X300" s="541">
        <v>28</v>
      </c>
      <c r="Y300" s="542">
        <f t="shared" si="31"/>
        <v>29.400000000000002</v>
      </c>
      <c r="Z300" s="36">
        <f>IFERROR(IF(Y300=0,"",ROUNDUP(Y300/H300,0)*0.00502),"")</f>
        <v>7.0280000000000009E-2</v>
      </c>
      <c r="AA300" s="56"/>
      <c r="AB300" s="57"/>
      <c r="AC300" s="347" t="s">
        <v>468</v>
      </c>
      <c r="AG300" s="64"/>
      <c r="AJ300" s="68" t="s">
        <v>90</v>
      </c>
      <c r="AK300" s="68">
        <v>37.799999999999997</v>
      </c>
      <c r="BB300" s="348" t="s">
        <v>1</v>
      </c>
      <c r="BM300" s="64">
        <f t="shared" si="32"/>
        <v>29.733333333333331</v>
      </c>
      <c r="BN300" s="64">
        <f t="shared" si="33"/>
        <v>31.22</v>
      </c>
      <c r="BO300" s="64">
        <f t="shared" si="34"/>
        <v>5.6980056980056981E-2</v>
      </c>
      <c r="BP300" s="64">
        <f t="shared" si="35"/>
        <v>5.9829059829059839E-2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271</v>
      </c>
      <c r="M301" s="33" t="s">
        <v>68</v>
      </c>
      <c r="N301" s="33"/>
      <c r="O301" s="32">
        <v>40</v>
      </c>
      <c r="P301" s="64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1"/>
      <c r="R301" s="551"/>
      <c r="S301" s="551"/>
      <c r="T301" s="552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476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477</v>
      </c>
      <c r="B302" s="54" t="s">
        <v>478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86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1"/>
      <c r="R302" s="551"/>
      <c r="S302" s="551"/>
      <c r="T302" s="552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479</v>
      </c>
      <c r="B303" s="54" t="s">
        <v>480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88</v>
      </c>
      <c r="M303" s="33" t="s">
        <v>68</v>
      </c>
      <c r="N303" s="33"/>
      <c r="O303" s="32">
        <v>40</v>
      </c>
      <c r="P303" s="7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1"/>
      <c r="R303" s="551"/>
      <c r="S303" s="551"/>
      <c r="T303" s="552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90</v>
      </c>
      <c r="AK303" s="68">
        <v>25.2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47" t="s">
        <v>71</v>
      </c>
      <c r="Q304" s="548"/>
      <c r="R304" s="548"/>
      <c r="S304" s="548"/>
      <c r="T304" s="548"/>
      <c r="U304" s="548"/>
      <c r="V304" s="54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203.80952380952382</v>
      </c>
      <c r="Y304" s="543">
        <f>IFERROR(Y297/H297,"0")+IFERROR(Y298/H298,"0")+IFERROR(Y299/H299,"0")+IFERROR(Y300/H300,"0")+IFERROR(Y301/H301,"0")+IFERROR(Y302/H302,"0")+IFERROR(Y303/H303,"0")</f>
        <v>206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1.8021199999999999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47" t="s">
        <v>71</v>
      </c>
      <c r="Q305" s="548"/>
      <c r="R305" s="548"/>
      <c r="S305" s="548"/>
      <c r="T305" s="548"/>
      <c r="U305" s="548"/>
      <c r="V305" s="549"/>
      <c r="W305" s="37" t="s">
        <v>69</v>
      </c>
      <c r="X305" s="543">
        <f>IFERROR(SUM(X297:X303),"0")</f>
        <v>828</v>
      </c>
      <c r="Y305" s="543">
        <f>IFERROR(SUM(Y297:Y303),"0")</f>
        <v>835.80000000000007</v>
      </c>
      <c r="Z305" s="37"/>
      <c r="AA305" s="544"/>
      <c r="AB305" s="544"/>
      <c r="AC305" s="544"/>
    </row>
    <row r="306" spans="1:68" ht="14.25" hidden="1" customHeight="1" x14ac:dyDescent="0.25">
      <c r="A306" s="560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5"/>
      <c r="AB306" s="535"/>
      <c r="AC306" s="535"/>
    </row>
    <row r="307" spans="1:68" ht="27" hidden="1" customHeight="1" x14ac:dyDescent="0.25">
      <c r="A307" s="54" t="s">
        <v>482</v>
      </c>
      <c r="B307" s="54" t="s">
        <v>483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 t="s">
        <v>105</v>
      </c>
      <c r="M307" s="33" t="s">
        <v>77</v>
      </c>
      <c r="N307" s="33"/>
      <c r="O307" s="32">
        <v>40</v>
      </c>
      <c r="P307" s="5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1"/>
      <c r="R307" s="551"/>
      <c r="S307" s="551"/>
      <c r="T307" s="552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 t="s">
        <v>90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77</v>
      </c>
      <c r="N308" s="33"/>
      <c r="O308" s="32">
        <v>40</v>
      </c>
      <c r="P308" s="76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1"/>
      <c r="R308" s="551"/>
      <c r="S308" s="551"/>
      <c r="T308" s="552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3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1"/>
      <c r="R309" s="551"/>
      <c r="S309" s="551"/>
      <c r="T309" s="552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 t="s">
        <v>88</v>
      </c>
      <c r="M310" s="33" t="s">
        <v>77</v>
      </c>
      <c r="N310" s="33"/>
      <c r="O310" s="32">
        <v>40</v>
      </c>
      <c r="P310" s="7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1"/>
      <c r="R310" s="551"/>
      <c r="S310" s="551"/>
      <c r="T310" s="552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90</v>
      </c>
      <c r="AK310" s="68">
        <v>42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4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1"/>
      <c r="R311" s="551"/>
      <c r="S311" s="551"/>
      <c r="T311" s="552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47" t="s">
        <v>71</v>
      </c>
      <c r="Q312" s="548"/>
      <c r="R312" s="548"/>
      <c r="S312" s="548"/>
      <c r="T312" s="548"/>
      <c r="U312" s="548"/>
      <c r="V312" s="549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47" t="s">
        <v>71</v>
      </c>
      <c r="Q313" s="548"/>
      <c r="R313" s="548"/>
      <c r="S313" s="548"/>
      <c r="T313" s="548"/>
      <c r="U313" s="548"/>
      <c r="V313" s="549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60" t="s">
        <v>164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5"/>
      <c r="AB314" s="535"/>
      <c r="AC314" s="535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83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1"/>
      <c r="R315" s="551"/>
      <c r="S315" s="551"/>
      <c r="T315" s="552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8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1"/>
      <c r="R316" s="551"/>
      <c r="S316" s="551"/>
      <c r="T316" s="552"/>
      <c r="U316" s="34"/>
      <c r="V316" s="34"/>
      <c r="W316" s="35" t="s">
        <v>69</v>
      </c>
      <c r="X316" s="541">
        <v>550</v>
      </c>
      <c r="Y316" s="542">
        <f>IFERROR(IF(X316="",0,CEILING((X316/$H316),1)*$H316),"")</f>
        <v>553.79999999999995</v>
      </c>
      <c r="Z316" s="36">
        <f>IFERROR(IF(Y316=0,"",ROUNDUP(Y316/H316,0)*0.01898),"")</f>
        <v>1.34758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584.83333333333337</v>
      </c>
      <c r="BN316" s="64">
        <f>IFERROR(Y316*I316/H316,"0")</f>
        <v>588.87400000000002</v>
      </c>
      <c r="BO316" s="64">
        <f>IFERROR(1/J316*(X316/H316),"0")</f>
        <v>1.1017628205128205</v>
      </c>
      <c r="BP316" s="64">
        <f>IFERROR(1/J316*(Y316/H316),"0")</f>
        <v>1.109375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5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1"/>
      <c r="R317" s="551"/>
      <c r="S317" s="551"/>
      <c r="T317" s="552"/>
      <c r="U317" s="34"/>
      <c r="V317" s="34"/>
      <c r="W317" s="35" t="s">
        <v>69</v>
      </c>
      <c r="X317" s="541">
        <v>120</v>
      </c>
      <c r="Y317" s="542">
        <f>IFERROR(IF(X317="",0,CEILING((X317/$H317),1)*$H317),"")</f>
        <v>126</v>
      </c>
      <c r="Z317" s="36">
        <f>IFERROR(IF(Y317=0,"",ROUNDUP(Y317/H317,0)*0.01898),"")</f>
        <v>0.28470000000000001</v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127.05714285714285</v>
      </c>
      <c r="BN317" s="64">
        <f>IFERROR(Y317*I317/H317,"0")</f>
        <v>133.41</v>
      </c>
      <c r="BO317" s="64">
        <f>IFERROR(1/J317*(X317/H317),"0")</f>
        <v>0.2232142857142857</v>
      </c>
      <c r="BP317" s="64">
        <f>IFERROR(1/J317*(Y317/H317),"0")</f>
        <v>0.234375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47" t="s">
        <v>71</v>
      </c>
      <c r="Q318" s="548"/>
      <c r="R318" s="548"/>
      <c r="S318" s="548"/>
      <c r="T318" s="548"/>
      <c r="U318" s="548"/>
      <c r="V318" s="549"/>
      <c r="W318" s="37" t="s">
        <v>72</v>
      </c>
      <c r="X318" s="543">
        <f>IFERROR(X315/H315,"0")+IFERROR(X316/H316,"0")+IFERROR(X317/H317,"0")</f>
        <v>84.798534798534803</v>
      </c>
      <c r="Y318" s="543">
        <f>IFERROR(Y315/H315,"0")+IFERROR(Y316/H316,"0")+IFERROR(Y317/H317,"0")</f>
        <v>86</v>
      </c>
      <c r="Z318" s="543">
        <f>IFERROR(IF(Z315="",0,Z315),"0")+IFERROR(IF(Z316="",0,Z316),"0")+IFERROR(IF(Z317="",0,Z317),"0")</f>
        <v>1.63228</v>
      </c>
      <c r="AA318" s="544"/>
      <c r="AB318" s="544"/>
      <c r="AC318" s="544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47" t="s">
        <v>71</v>
      </c>
      <c r="Q319" s="548"/>
      <c r="R319" s="548"/>
      <c r="S319" s="548"/>
      <c r="T319" s="548"/>
      <c r="U319" s="548"/>
      <c r="V319" s="549"/>
      <c r="W319" s="37" t="s">
        <v>69</v>
      </c>
      <c r="X319" s="543">
        <f>IFERROR(SUM(X315:X317),"0")</f>
        <v>670</v>
      </c>
      <c r="Y319" s="543">
        <f>IFERROR(SUM(Y315:Y317),"0")</f>
        <v>679.8</v>
      </c>
      <c r="Z319" s="37"/>
      <c r="AA319" s="544"/>
      <c r="AB319" s="544"/>
      <c r="AC319" s="544"/>
    </row>
    <row r="320" spans="1:68" ht="14.25" hidden="1" customHeight="1" x14ac:dyDescent="0.25">
      <c r="A320" s="560" t="s">
        <v>93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5"/>
      <c r="AB320" s="535"/>
      <c r="AC320" s="535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5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1"/>
      <c r="R321" s="551"/>
      <c r="S321" s="551"/>
      <c r="T321" s="552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9" t="s">
        <v>511</v>
      </c>
      <c r="Q322" s="551"/>
      <c r="R322" s="551"/>
      <c r="S322" s="551"/>
      <c r="T322" s="552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6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1"/>
      <c r="R323" s="551"/>
      <c r="S323" s="551"/>
      <c r="T323" s="552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515</v>
      </c>
      <c r="B324" s="54" t="s">
        <v>516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6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1"/>
      <c r="R324" s="551"/>
      <c r="S324" s="551"/>
      <c r="T324" s="552"/>
      <c r="U324" s="34"/>
      <c r="V324" s="34"/>
      <c r="W324" s="35" t="s">
        <v>69</v>
      </c>
      <c r="X324" s="541">
        <v>25</v>
      </c>
      <c r="Y324" s="542">
        <f>IFERROR(IF(X324="",0,CEILING((X324/$H324),1)*$H324),"")</f>
        <v>25.5</v>
      </c>
      <c r="Z324" s="36">
        <f>IFERROR(IF(Y324=0,"",ROUNDUP(Y324/H324,0)*0.00651),"")</f>
        <v>6.5100000000000005E-2</v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28.235294117647062</v>
      </c>
      <c r="BN324" s="64">
        <f>IFERROR(Y324*I324/H324,"0")</f>
        <v>28.8</v>
      </c>
      <c r="BO324" s="64">
        <f>IFERROR(1/J324*(X324/H324),"0")</f>
        <v>5.3867700926524466E-2</v>
      </c>
      <c r="BP324" s="64">
        <f>IFERROR(1/J324*(Y324/H324),"0")</f>
        <v>5.4945054945054951E-2</v>
      </c>
    </row>
    <row r="325" spans="1:68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47" t="s">
        <v>71</v>
      </c>
      <c r="Q325" s="548"/>
      <c r="R325" s="548"/>
      <c r="S325" s="548"/>
      <c r="T325" s="548"/>
      <c r="U325" s="548"/>
      <c r="V325" s="549"/>
      <c r="W325" s="37" t="s">
        <v>72</v>
      </c>
      <c r="X325" s="543">
        <f>IFERROR(X321/H321,"0")+IFERROR(X322/H322,"0")+IFERROR(X323/H323,"0")+IFERROR(X324/H324,"0")</f>
        <v>9.8039215686274517</v>
      </c>
      <c r="Y325" s="543">
        <f>IFERROR(Y321/H321,"0")+IFERROR(Y322/H322,"0")+IFERROR(Y323/H323,"0")+IFERROR(Y324/H324,"0")</f>
        <v>10</v>
      </c>
      <c r="Z325" s="543">
        <f>IFERROR(IF(Z321="",0,Z321),"0")+IFERROR(IF(Z322="",0,Z322),"0")+IFERROR(IF(Z323="",0,Z323),"0")+IFERROR(IF(Z324="",0,Z324),"0")</f>
        <v>6.5100000000000005E-2</v>
      </c>
      <c r="AA325" s="544"/>
      <c r="AB325" s="544"/>
      <c r="AC325" s="544"/>
    </row>
    <row r="326" spans="1:68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47" t="s">
        <v>71</v>
      </c>
      <c r="Q326" s="548"/>
      <c r="R326" s="548"/>
      <c r="S326" s="548"/>
      <c r="T326" s="548"/>
      <c r="U326" s="548"/>
      <c r="V326" s="549"/>
      <c r="W326" s="37" t="s">
        <v>69</v>
      </c>
      <c r="X326" s="543">
        <f>IFERROR(SUM(X321:X324),"0")</f>
        <v>25</v>
      </c>
      <c r="Y326" s="543">
        <f>IFERROR(SUM(Y321:Y324),"0")</f>
        <v>25.5</v>
      </c>
      <c r="Z326" s="37"/>
      <c r="AA326" s="544"/>
      <c r="AB326" s="544"/>
      <c r="AC326" s="544"/>
    </row>
    <row r="327" spans="1:68" ht="14.25" hidden="1" customHeight="1" x14ac:dyDescent="0.25">
      <c r="A327" s="560" t="s">
        <v>517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5"/>
      <c r="AB327" s="535"/>
      <c r="AC327" s="535"/>
    </row>
    <row r="328" spans="1:68" ht="16.5" hidden="1" customHeight="1" x14ac:dyDescent="0.25">
      <c r="A328" s="54" t="s">
        <v>518</v>
      </c>
      <c r="B328" s="54" t="s">
        <v>519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520</v>
      </c>
      <c r="N328" s="33"/>
      <c r="O328" s="32">
        <v>730</v>
      </c>
      <c r="P328" s="8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1"/>
      <c r="R328" s="551"/>
      <c r="S328" s="551"/>
      <c r="T328" s="552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522</v>
      </c>
      <c r="B329" s="54" t="s">
        <v>523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8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1"/>
      <c r="R329" s="551"/>
      <c r="S329" s="551"/>
      <c r="T329" s="552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524</v>
      </c>
      <c r="B330" s="54" t="s">
        <v>525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520</v>
      </c>
      <c r="N330" s="33"/>
      <c r="O330" s="32">
        <v>730</v>
      </c>
      <c r="P330" s="7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1"/>
      <c r="R330" s="551"/>
      <c r="S330" s="551"/>
      <c r="T330" s="552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47" t="s">
        <v>71</v>
      </c>
      <c r="Q331" s="548"/>
      <c r="R331" s="548"/>
      <c r="S331" s="548"/>
      <c r="T331" s="548"/>
      <c r="U331" s="548"/>
      <c r="V331" s="549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47" t="s">
        <v>71</v>
      </c>
      <c r="Q332" s="548"/>
      <c r="R332" s="548"/>
      <c r="S332" s="548"/>
      <c r="T332" s="548"/>
      <c r="U332" s="548"/>
      <c r="V332" s="549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70" t="s">
        <v>526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hidden="1" customHeight="1" x14ac:dyDescent="0.25">
      <c r="A334" s="560" t="s">
        <v>73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5"/>
      <c r="AB334" s="535"/>
      <c r="AC334" s="535"/>
    </row>
    <row r="335" spans="1:68" ht="27" customHeight="1" x14ac:dyDescent="0.25">
      <c r="A335" s="54" t="s">
        <v>527</v>
      </c>
      <c r="B335" s="54" t="s">
        <v>528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6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1"/>
      <c r="R335" s="551"/>
      <c r="S335" s="551"/>
      <c r="T335" s="552"/>
      <c r="U335" s="34"/>
      <c r="V335" s="34"/>
      <c r="W335" s="35" t="s">
        <v>69</v>
      </c>
      <c r="X335" s="541">
        <v>350</v>
      </c>
      <c r="Y335" s="542">
        <f>IFERROR(IF(X335="",0,CEILING((X335/$H335),1)*$H335),"")</f>
        <v>356.4</v>
      </c>
      <c r="Z335" s="36">
        <f>IFERROR(IF(Y335=0,"",ROUNDUP(Y335/H335,0)*0.01898),"")</f>
        <v>0.83511999999999997</v>
      </c>
      <c r="AA335" s="56"/>
      <c r="AB335" s="57"/>
      <c r="AC335" s="385" t="s">
        <v>529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371.34567901234567</v>
      </c>
      <c r="BN335" s="64">
        <f>IFERROR(Y335*I335/H335,"0")</f>
        <v>378.13599999999997</v>
      </c>
      <c r="BO335" s="64">
        <f>IFERROR(1/J335*(X335/H335),"0")</f>
        <v>0.67515432098765438</v>
      </c>
      <c r="BP335" s="64">
        <f>IFERROR(1/J335*(Y335/H335),"0")</f>
        <v>0.6875</v>
      </c>
    </row>
    <row r="336" spans="1:68" ht="27" customHeight="1" x14ac:dyDescent="0.25">
      <c r="A336" s="54" t="s">
        <v>530</v>
      </c>
      <c r="B336" s="54" t="s">
        <v>531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6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1"/>
      <c r="R336" s="551"/>
      <c r="S336" s="551"/>
      <c r="T336" s="552"/>
      <c r="U336" s="34"/>
      <c r="V336" s="34"/>
      <c r="W336" s="35" t="s">
        <v>69</v>
      </c>
      <c r="X336" s="541">
        <v>140</v>
      </c>
      <c r="Y336" s="542">
        <f>IFERROR(IF(X336="",0,CEILING((X336/$H336),1)*$H336),"")</f>
        <v>140.70000000000002</v>
      </c>
      <c r="Z336" s="36">
        <f>IFERROR(IF(Y336=0,"",ROUNDUP(Y336/H336,0)*0.00651),"")</f>
        <v>0.43617</v>
      </c>
      <c r="AA336" s="56"/>
      <c r="AB336" s="57"/>
      <c r="AC336" s="387" t="s">
        <v>532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156.79999999999998</v>
      </c>
      <c r="BN336" s="64">
        <f>IFERROR(Y336*I336/H336,"0")</f>
        <v>157.584</v>
      </c>
      <c r="BO336" s="64">
        <f>IFERROR(1/J336*(X336/H336),"0")</f>
        <v>0.36630036630036628</v>
      </c>
      <c r="BP336" s="64">
        <f>IFERROR(1/J336*(Y336/H336),"0")</f>
        <v>0.36813186813186816</v>
      </c>
    </row>
    <row r="337" spans="1:68" ht="27" customHeight="1" x14ac:dyDescent="0.25">
      <c r="A337" s="54" t="s">
        <v>533</v>
      </c>
      <c r="B337" s="54" t="s">
        <v>534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86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1"/>
      <c r="R337" s="551"/>
      <c r="S337" s="551"/>
      <c r="T337" s="552"/>
      <c r="U337" s="34"/>
      <c r="V337" s="34"/>
      <c r="W337" s="35" t="s">
        <v>69</v>
      </c>
      <c r="X337" s="541">
        <v>52</v>
      </c>
      <c r="Y337" s="542">
        <f>IFERROR(IF(X337="",0,CEILING((X337/$H337),1)*$H337),"")</f>
        <v>52.5</v>
      </c>
      <c r="Z337" s="36">
        <f>IFERROR(IF(Y337=0,"",ROUNDUP(Y337/H337,0)*0.00651),"")</f>
        <v>0.16275000000000001</v>
      </c>
      <c r="AA337" s="56"/>
      <c r="AB337" s="57"/>
      <c r="AC337" s="389" t="s">
        <v>535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57.942857142857136</v>
      </c>
      <c r="BN337" s="64">
        <f>IFERROR(Y337*I337/H337,"0")</f>
        <v>58.499999999999993</v>
      </c>
      <c r="BO337" s="64">
        <f>IFERROR(1/J337*(X337/H337),"0")</f>
        <v>0.13605442176870747</v>
      </c>
      <c r="BP337" s="64">
        <f>IFERROR(1/J337*(Y337/H337),"0")</f>
        <v>0.13736263736263737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47" t="s">
        <v>71</v>
      </c>
      <c r="Q338" s="548"/>
      <c r="R338" s="548"/>
      <c r="S338" s="548"/>
      <c r="T338" s="548"/>
      <c r="U338" s="548"/>
      <c r="V338" s="549"/>
      <c r="W338" s="37" t="s">
        <v>72</v>
      </c>
      <c r="X338" s="543">
        <f>IFERROR(X335/H335,"0")+IFERROR(X336/H336,"0")+IFERROR(X337/H337,"0")</f>
        <v>134.63844797178129</v>
      </c>
      <c r="Y338" s="543">
        <f>IFERROR(Y335/H335,"0")+IFERROR(Y336/H336,"0")+IFERROR(Y337/H337,"0")</f>
        <v>136</v>
      </c>
      <c r="Z338" s="543">
        <f>IFERROR(IF(Z335="",0,Z335),"0")+IFERROR(IF(Z336="",0,Z336),"0")+IFERROR(IF(Z337="",0,Z337),"0")</f>
        <v>1.43404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47" t="s">
        <v>71</v>
      </c>
      <c r="Q339" s="548"/>
      <c r="R339" s="548"/>
      <c r="S339" s="548"/>
      <c r="T339" s="548"/>
      <c r="U339" s="548"/>
      <c r="V339" s="549"/>
      <c r="W339" s="37" t="s">
        <v>69</v>
      </c>
      <c r="X339" s="543">
        <f>IFERROR(SUM(X335:X337),"0")</f>
        <v>542</v>
      </c>
      <c r="Y339" s="543">
        <f>IFERROR(SUM(Y335:Y337),"0")</f>
        <v>549.6</v>
      </c>
      <c r="Z339" s="37"/>
      <c r="AA339" s="544"/>
      <c r="AB339" s="544"/>
      <c r="AC339" s="544"/>
    </row>
    <row r="340" spans="1:68" ht="27.75" hidden="1" customHeight="1" x14ac:dyDescent="0.2">
      <c r="A340" s="645" t="s">
        <v>536</v>
      </c>
      <c r="B340" s="646"/>
      <c r="C340" s="646"/>
      <c r="D340" s="646"/>
      <c r="E340" s="646"/>
      <c r="F340" s="646"/>
      <c r="G340" s="646"/>
      <c r="H340" s="646"/>
      <c r="I340" s="646"/>
      <c r="J340" s="646"/>
      <c r="K340" s="646"/>
      <c r="L340" s="646"/>
      <c r="M340" s="646"/>
      <c r="N340" s="646"/>
      <c r="O340" s="646"/>
      <c r="P340" s="646"/>
      <c r="Q340" s="646"/>
      <c r="R340" s="646"/>
      <c r="S340" s="646"/>
      <c r="T340" s="646"/>
      <c r="U340" s="646"/>
      <c r="V340" s="646"/>
      <c r="W340" s="646"/>
      <c r="X340" s="646"/>
      <c r="Y340" s="646"/>
      <c r="Z340" s="646"/>
      <c r="AA340" s="48"/>
      <c r="AB340" s="48"/>
      <c r="AC340" s="48"/>
    </row>
    <row r="341" spans="1:68" ht="16.5" hidden="1" customHeight="1" x14ac:dyDescent="0.25">
      <c r="A341" s="570" t="s">
        <v>537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hidden="1" customHeight="1" x14ac:dyDescent="0.25">
      <c r="A342" s="560" t="s">
        <v>101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5"/>
      <c r="AB342" s="535"/>
      <c r="AC342" s="535"/>
    </row>
    <row r="343" spans="1:68" ht="37.5" hidden="1" customHeight="1" x14ac:dyDescent="0.25">
      <c r="A343" s="54" t="s">
        <v>538</v>
      </c>
      <c r="B343" s="54" t="s">
        <v>539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69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1"/>
      <c r="R343" s="551"/>
      <c r="S343" s="551"/>
      <c r="T343" s="552"/>
      <c r="U343" s="34"/>
      <c r="V343" s="34"/>
      <c r="W343" s="35" t="s">
        <v>69</v>
      </c>
      <c r="X343" s="541">
        <v>0</v>
      </c>
      <c r="Y343" s="542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540</v>
      </c>
      <c r="AG343" s="64"/>
      <c r="AJ343" s="68" t="s">
        <v>90</v>
      </c>
      <c r="AK343" s="68">
        <v>15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hidden="1" customHeight="1" x14ac:dyDescent="0.25">
      <c r="A344" s="54" t="s">
        <v>541</v>
      </c>
      <c r="B344" s="54" t="s">
        <v>542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6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1"/>
      <c r="R344" s="551"/>
      <c r="S344" s="551"/>
      <c r="T344" s="552"/>
      <c r="U344" s="34"/>
      <c r="V344" s="34"/>
      <c r="W344" s="35" t="s">
        <v>69</v>
      </c>
      <c r="X344" s="541">
        <v>0</v>
      </c>
      <c r="Y344" s="542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543</v>
      </c>
      <c r="AG344" s="64"/>
      <c r="AJ344" s="68" t="s">
        <v>90</v>
      </c>
      <c r="AK344" s="68">
        <v>15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hidden="1" customHeight="1" x14ac:dyDescent="0.25">
      <c r="A345" s="54" t="s">
        <v>544</v>
      </c>
      <c r="B345" s="54" t="s">
        <v>545</v>
      </c>
      <c r="C345" s="31">
        <v>4301011867</v>
      </c>
      <c r="D345" s="545">
        <v>4680115884830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6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1"/>
      <c r="R345" s="551"/>
      <c r="S345" s="551"/>
      <c r="T345" s="552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546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hidden="1" customHeight="1" x14ac:dyDescent="0.25">
      <c r="A346" s="54" t="s">
        <v>547</v>
      </c>
      <c r="B346" s="54" t="s">
        <v>548</v>
      </c>
      <c r="C346" s="31">
        <v>4301012215</v>
      </c>
      <c r="D346" s="545">
        <v>4680115887046</v>
      </c>
      <c r="E346" s="546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03" t="s">
        <v>549</v>
      </c>
      <c r="Q346" s="551"/>
      <c r="R346" s="551"/>
      <c r="S346" s="551"/>
      <c r="T346" s="552"/>
      <c r="U346" s="34"/>
      <c r="V346" s="34"/>
      <c r="W346" s="35" t="s">
        <v>69</v>
      </c>
      <c r="X346" s="541">
        <v>0</v>
      </c>
      <c r="Y346" s="542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62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1"/>
      <c r="R347" s="551"/>
      <c r="S347" s="551"/>
      <c r="T347" s="552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553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554</v>
      </c>
      <c r="B348" s="54" t="s">
        <v>555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65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1"/>
      <c r="R348" s="551"/>
      <c r="S348" s="551"/>
      <c r="T348" s="552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556</v>
      </c>
      <c r="B349" s="54" t="s">
        <v>557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6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1"/>
      <c r="R349" s="551"/>
      <c r="S349" s="551"/>
      <c r="T349" s="552"/>
      <c r="U349" s="34"/>
      <c r="V349" s="34"/>
      <c r="W349" s="35" t="s">
        <v>69</v>
      </c>
      <c r="X349" s="541">
        <v>50</v>
      </c>
      <c r="Y349" s="542">
        <f t="shared" si="36"/>
        <v>50</v>
      </c>
      <c r="Z349" s="36">
        <f>IFERROR(IF(Y349=0,"",ROUNDUP(Y349/H349,0)*0.00902),"")</f>
        <v>9.0200000000000002E-2</v>
      </c>
      <c r="AA349" s="56"/>
      <c r="AB349" s="57"/>
      <c r="AC349" s="403" t="s">
        <v>546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51.9</v>
      </c>
      <c r="BN349" s="64">
        <f t="shared" si="38"/>
        <v>51.9</v>
      </c>
      <c r="BO349" s="64">
        <f t="shared" si="39"/>
        <v>7.575757575757576E-2</v>
      </c>
      <c r="BP349" s="64">
        <f t="shared" si="40"/>
        <v>7.575757575757576E-2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47" t="s">
        <v>71</v>
      </c>
      <c r="Q350" s="548"/>
      <c r="R350" s="548"/>
      <c r="S350" s="548"/>
      <c r="T350" s="548"/>
      <c r="U350" s="548"/>
      <c r="V350" s="549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10</v>
      </c>
      <c r="Y350" s="543">
        <f>IFERROR(Y343/H343,"0")+IFERROR(Y344/H344,"0")+IFERROR(Y345/H345,"0")+IFERROR(Y346/H346,"0")+IFERROR(Y347/H347,"0")+IFERROR(Y348/H348,"0")+IFERROR(Y349/H349,"0")</f>
        <v>10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9.0200000000000002E-2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47" t="s">
        <v>71</v>
      </c>
      <c r="Q351" s="548"/>
      <c r="R351" s="548"/>
      <c r="S351" s="548"/>
      <c r="T351" s="548"/>
      <c r="U351" s="548"/>
      <c r="V351" s="549"/>
      <c r="W351" s="37" t="s">
        <v>69</v>
      </c>
      <c r="X351" s="543">
        <f>IFERROR(SUM(X343:X349),"0")</f>
        <v>50</v>
      </c>
      <c r="Y351" s="543">
        <f>IFERROR(SUM(Y343:Y349),"0")</f>
        <v>50</v>
      </c>
      <c r="Z351" s="37"/>
      <c r="AA351" s="544"/>
      <c r="AB351" s="544"/>
      <c r="AC351" s="544"/>
    </row>
    <row r="352" spans="1:68" ht="14.25" hidden="1" customHeight="1" x14ac:dyDescent="0.25">
      <c r="A352" s="560" t="s">
        <v>136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5"/>
      <c r="AB352" s="535"/>
      <c r="AC352" s="535"/>
    </row>
    <row r="353" spans="1:68" ht="27" customHeight="1" x14ac:dyDescent="0.25">
      <c r="A353" s="54" t="s">
        <v>558</v>
      </c>
      <c r="B353" s="54" t="s">
        <v>559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77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1"/>
      <c r="R353" s="551"/>
      <c r="S353" s="551"/>
      <c r="T353" s="552"/>
      <c r="U353" s="34"/>
      <c r="V353" s="34"/>
      <c r="W353" s="35" t="s">
        <v>69</v>
      </c>
      <c r="X353" s="541">
        <v>4000</v>
      </c>
      <c r="Y353" s="542">
        <f>IFERROR(IF(X353="",0,CEILING((X353/$H353),1)*$H353),"")</f>
        <v>4005</v>
      </c>
      <c r="Z353" s="36">
        <f>IFERROR(IF(Y353=0,"",ROUNDUP(Y353/H353,0)*0.02175),"")</f>
        <v>5.8072499999999998</v>
      </c>
      <c r="AA353" s="56"/>
      <c r="AB353" s="57"/>
      <c r="AC353" s="405" t="s">
        <v>560</v>
      </c>
      <c r="AG353" s="64"/>
      <c r="AJ353" s="68" t="s">
        <v>90</v>
      </c>
      <c r="AK353" s="68">
        <v>15</v>
      </c>
      <c r="BB353" s="406" t="s">
        <v>1</v>
      </c>
      <c r="BM353" s="64">
        <f>IFERROR(X353*I353/H353,"0")</f>
        <v>4125.333333333333</v>
      </c>
      <c r="BN353" s="64">
        <f>IFERROR(Y353*I353/H353,"0")</f>
        <v>4130.4900000000007</v>
      </c>
      <c r="BO353" s="64">
        <f>IFERROR(1/J353*(X353/H353),"0")</f>
        <v>5.5555555555555554</v>
      </c>
      <c r="BP353" s="64">
        <f>IFERROR(1/J353*(Y353/H353),"0")</f>
        <v>5.5625</v>
      </c>
    </row>
    <row r="354" spans="1:68" ht="16.5" hidden="1" customHeight="1" x14ac:dyDescent="0.25">
      <c r="A354" s="54" t="s">
        <v>561</v>
      </c>
      <c r="B354" s="54" t="s">
        <v>562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63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1"/>
      <c r="R354" s="551"/>
      <c r="S354" s="551"/>
      <c r="T354" s="552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47" t="s">
        <v>71</v>
      </c>
      <c r="Q355" s="548"/>
      <c r="R355" s="548"/>
      <c r="S355" s="548"/>
      <c r="T355" s="548"/>
      <c r="U355" s="548"/>
      <c r="V355" s="549"/>
      <c r="W355" s="37" t="s">
        <v>72</v>
      </c>
      <c r="X355" s="543">
        <f>IFERROR(X353/H353,"0")+IFERROR(X354/H354,"0")</f>
        <v>266.66666666666669</v>
      </c>
      <c r="Y355" s="543">
        <f>IFERROR(Y353/H353,"0")+IFERROR(Y354/H354,"0")</f>
        <v>267</v>
      </c>
      <c r="Z355" s="543">
        <f>IFERROR(IF(Z353="",0,Z353),"0")+IFERROR(IF(Z354="",0,Z354),"0")</f>
        <v>5.8072499999999998</v>
      </c>
      <c r="AA355" s="544"/>
      <c r="AB355" s="544"/>
      <c r="AC355" s="544"/>
    </row>
    <row r="356" spans="1:68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47" t="s">
        <v>71</v>
      </c>
      <c r="Q356" s="548"/>
      <c r="R356" s="548"/>
      <c r="S356" s="548"/>
      <c r="T356" s="548"/>
      <c r="U356" s="548"/>
      <c r="V356" s="549"/>
      <c r="W356" s="37" t="s">
        <v>69</v>
      </c>
      <c r="X356" s="543">
        <f>IFERROR(SUM(X353:X354),"0")</f>
        <v>4000</v>
      </c>
      <c r="Y356" s="543">
        <f>IFERROR(SUM(Y353:Y354),"0")</f>
        <v>4005</v>
      </c>
      <c r="Z356" s="37"/>
      <c r="AA356" s="544"/>
      <c r="AB356" s="544"/>
      <c r="AC356" s="544"/>
    </row>
    <row r="357" spans="1:68" ht="14.25" hidden="1" customHeight="1" x14ac:dyDescent="0.25">
      <c r="A357" s="560" t="s">
        <v>73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5"/>
      <c r="AB357" s="535"/>
      <c r="AC357" s="535"/>
    </row>
    <row r="358" spans="1:68" ht="27" customHeight="1" x14ac:dyDescent="0.25">
      <c r="A358" s="54" t="s">
        <v>563</v>
      </c>
      <c r="B358" s="54" t="s">
        <v>564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78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1"/>
      <c r="R358" s="551"/>
      <c r="S358" s="551"/>
      <c r="T358" s="552"/>
      <c r="U358" s="34"/>
      <c r="V358" s="34"/>
      <c r="W358" s="35" t="s">
        <v>69</v>
      </c>
      <c r="X358" s="541">
        <v>700</v>
      </c>
      <c r="Y358" s="542">
        <f>IFERROR(IF(X358="",0,CEILING((X358/$H358),1)*$H358),"")</f>
        <v>702</v>
      </c>
      <c r="Z358" s="36">
        <f>IFERROR(IF(Y358=0,"",ROUNDUP(Y358/H358,0)*0.01898),"")</f>
        <v>1.48044</v>
      </c>
      <c r="AA358" s="56"/>
      <c r="AB358" s="57"/>
      <c r="AC358" s="409" t="s">
        <v>565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738.88888888888891</v>
      </c>
      <c r="BN358" s="64">
        <f>IFERROR(Y358*I358/H358,"0")</f>
        <v>741</v>
      </c>
      <c r="BO358" s="64">
        <f>IFERROR(1/J358*(X358/H358),"0")</f>
        <v>1.2152777777777777</v>
      </c>
      <c r="BP358" s="64">
        <f>IFERROR(1/J358*(Y358/H358),"0")</f>
        <v>1.21875</v>
      </c>
    </row>
    <row r="359" spans="1:68" ht="27" customHeight="1" x14ac:dyDescent="0.25">
      <c r="A359" s="54" t="s">
        <v>566</v>
      </c>
      <c r="B359" s="54" t="s">
        <v>567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1"/>
      <c r="R359" s="551"/>
      <c r="S359" s="551"/>
      <c r="T359" s="552"/>
      <c r="U359" s="34"/>
      <c r="V359" s="34"/>
      <c r="W359" s="35" t="s">
        <v>69</v>
      </c>
      <c r="X359" s="541">
        <v>45</v>
      </c>
      <c r="Y359" s="542">
        <f>IFERROR(IF(X359="",0,CEILING((X359/$H359),1)*$H359),"")</f>
        <v>45</v>
      </c>
      <c r="Z359" s="36">
        <f>IFERROR(IF(Y359=0,"",ROUNDUP(Y359/H359,0)*0.01898),"")</f>
        <v>9.4899999999999998E-2</v>
      </c>
      <c r="AA359" s="56"/>
      <c r="AB359" s="57"/>
      <c r="AC359" s="411" t="s">
        <v>568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47.47</v>
      </c>
      <c r="BN359" s="64">
        <f>IFERROR(Y359*I359/H359,"0")</f>
        <v>47.47</v>
      </c>
      <c r="BO359" s="64">
        <f>IFERROR(1/J359*(X359/H359),"0")</f>
        <v>7.8125E-2</v>
      </c>
      <c r="BP359" s="64">
        <f>IFERROR(1/J359*(Y359/H359),"0")</f>
        <v>7.8125E-2</v>
      </c>
    </row>
    <row r="360" spans="1:68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47" t="s">
        <v>71</v>
      </c>
      <c r="Q360" s="548"/>
      <c r="R360" s="548"/>
      <c r="S360" s="548"/>
      <c r="T360" s="548"/>
      <c r="U360" s="548"/>
      <c r="V360" s="549"/>
      <c r="W360" s="37" t="s">
        <v>72</v>
      </c>
      <c r="X360" s="543">
        <f>IFERROR(X358/H358,"0")+IFERROR(X359/H359,"0")</f>
        <v>82.777777777777771</v>
      </c>
      <c r="Y360" s="543">
        <f>IFERROR(Y358/H358,"0")+IFERROR(Y359/H359,"0")</f>
        <v>83</v>
      </c>
      <c r="Z360" s="543">
        <f>IFERROR(IF(Z358="",0,Z358),"0")+IFERROR(IF(Z359="",0,Z359),"0")</f>
        <v>1.57534</v>
      </c>
      <c r="AA360" s="544"/>
      <c r="AB360" s="544"/>
      <c r="AC360" s="544"/>
    </row>
    <row r="361" spans="1:68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47" t="s">
        <v>71</v>
      </c>
      <c r="Q361" s="548"/>
      <c r="R361" s="548"/>
      <c r="S361" s="548"/>
      <c r="T361" s="548"/>
      <c r="U361" s="548"/>
      <c r="V361" s="549"/>
      <c r="W361" s="37" t="s">
        <v>69</v>
      </c>
      <c r="X361" s="543">
        <f>IFERROR(SUM(X358:X359),"0")</f>
        <v>745</v>
      </c>
      <c r="Y361" s="543">
        <f>IFERROR(SUM(Y358:Y359),"0")</f>
        <v>747</v>
      </c>
      <c r="Z361" s="37"/>
      <c r="AA361" s="544"/>
      <c r="AB361" s="544"/>
      <c r="AC361" s="544"/>
    </row>
    <row r="362" spans="1:68" ht="14.25" hidden="1" customHeight="1" x14ac:dyDescent="0.25">
      <c r="A362" s="560" t="s">
        <v>164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5"/>
      <c r="AB362" s="535"/>
      <c r="AC362" s="535"/>
    </row>
    <row r="363" spans="1:68" ht="16.5" hidden="1" customHeight="1" x14ac:dyDescent="0.25">
      <c r="A363" s="54" t="s">
        <v>569</v>
      </c>
      <c r="B363" s="54" t="s">
        <v>570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55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1"/>
      <c r="R363" s="551"/>
      <c r="S363" s="551"/>
      <c r="T363" s="552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571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47" t="s">
        <v>71</v>
      </c>
      <c r="Q364" s="548"/>
      <c r="R364" s="548"/>
      <c r="S364" s="548"/>
      <c r="T364" s="548"/>
      <c r="U364" s="548"/>
      <c r="V364" s="549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47" t="s">
        <v>71</v>
      </c>
      <c r="Q365" s="548"/>
      <c r="R365" s="548"/>
      <c r="S365" s="548"/>
      <c r="T365" s="548"/>
      <c r="U365" s="548"/>
      <c r="V365" s="549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70" t="s">
        <v>572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hidden="1" customHeight="1" x14ac:dyDescent="0.25">
      <c r="A367" s="560" t="s">
        <v>101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5"/>
      <c r="AB367" s="535"/>
      <c r="AC367" s="535"/>
    </row>
    <row r="368" spans="1:68" ht="37.5" hidden="1" customHeight="1" x14ac:dyDescent="0.25">
      <c r="A368" s="54" t="s">
        <v>573</v>
      </c>
      <c r="B368" s="54" t="s">
        <v>574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58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1"/>
      <c r="R368" s="551"/>
      <c r="S368" s="551"/>
      <c r="T368" s="552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575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576</v>
      </c>
      <c r="B369" s="54" t="s">
        <v>577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62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1"/>
      <c r="R369" s="551"/>
      <c r="S369" s="551"/>
      <c r="T369" s="552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575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47" t="s">
        <v>71</v>
      </c>
      <c r="Q370" s="548"/>
      <c r="R370" s="548"/>
      <c r="S370" s="548"/>
      <c r="T370" s="548"/>
      <c r="U370" s="548"/>
      <c r="V370" s="549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47" t="s">
        <v>71</v>
      </c>
      <c r="Q371" s="548"/>
      <c r="R371" s="548"/>
      <c r="S371" s="548"/>
      <c r="T371" s="548"/>
      <c r="U371" s="548"/>
      <c r="V371" s="549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60" t="s">
        <v>64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5"/>
      <c r="AB372" s="535"/>
      <c r="AC372" s="535"/>
    </row>
    <row r="373" spans="1:68" ht="27" hidden="1" customHeight="1" x14ac:dyDescent="0.25">
      <c r="A373" s="54" t="s">
        <v>578</v>
      </c>
      <c r="B373" s="54" t="s">
        <v>579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5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1"/>
      <c r="R373" s="551"/>
      <c r="S373" s="551"/>
      <c r="T373" s="552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578</v>
      </c>
      <c r="B374" s="54" t="s">
        <v>581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3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1"/>
      <c r="R374" s="551"/>
      <c r="S374" s="551"/>
      <c r="T374" s="552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582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47" t="s">
        <v>71</v>
      </c>
      <c r="Q375" s="548"/>
      <c r="R375" s="548"/>
      <c r="S375" s="548"/>
      <c r="T375" s="548"/>
      <c r="U375" s="548"/>
      <c r="V375" s="549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47" t="s">
        <v>71</v>
      </c>
      <c r="Q376" s="548"/>
      <c r="R376" s="548"/>
      <c r="S376" s="548"/>
      <c r="T376" s="548"/>
      <c r="U376" s="548"/>
      <c r="V376" s="549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60" t="s">
        <v>73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5"/>
      <c r="AB377" s="535"/>
      <c r="AC377" s="535"/>
    </row>
    <row r="378" spans="1:68" ht="27" hidden="1" customHeight="1" x14ac:dyDescent="0.25">
      <c r="A378" s="54" t="s">
        <v>583</v>
      </c>
      <c r="B378" s="54" t="s">
        <v>584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78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1"/>
      <c r="R378" s="551"/>
      <c r="S378" s="551"/>
      <c r="T378" s="552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585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586</v>
      </c>
      <c r="B379" s="54" t="s">
        <v>587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84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1"/>
      <c r="R379" s="551"/>
      <c r="S379" s="551"/>
      <c r="T379" s="552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585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47" t="s">
        <v>71</v>
      </c>
      <c r="Q380" s="548"/>
      <c r="R380" s="548"/>
      <c r="S380" s="548"/>
      <c r="T380" s="548"/>
      <c r="U380" s="548"/>
      <c r="V380" s="549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47" t="s">
        <v>71</v>
      </c>
      <c r="Q381" s="548"/>
      <c r="R381" s="548"/>
      <c r="S381" s="548"/>
      <c r="T381" s="548"/>
      <c r="U381" s="548"/>
      <c r="V381" s="549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45" t="s">
        <v>588</v>
      </c>
      <c r="B382" s="646"/>
      <c r="C382" s="646"/>
      <c r="D382" s="646"/>
      <c r="E382" s="646"/>
      <c r="F382" s="646"/>
      <c r="G382" s="646"/>
      <c r="H382" s="646"/>
      <c r="I382" s="646"/>
      <c r="J382" s="646"/>
      <c r="K382" s="646"/>
      <c r="L382" s="646"/>
      <c r="M382" s="646"/>
      <c r="N382" s="646"/>
      <c r="O382" s="646"/>
      <c r="P382" s="646"/>
      <c r="Q382" s="646"/>
      <c r="R382" s="646"/>
      <c r="S382" s="646"/>
      <c r="T382" s="646"/>
      <c r="U382" s="646"/>
      <c r="V382" s="646"/>
      <c r="W382" s="646"/>
      <c r="X382" s="646"/>
      <c r="Y382" s="646"/>
      <c r="Z382" s="646"/>
      <c r="AA382" s="48"/>
      <c r="AB382" s="48"/>
      <c r="AC382" s="48"/>
    </row>
    <row r="383" spans="1:68" ht="16.5" hidden="1" customHeight="1" x14ac:dyDescent="0.25">
      <c r="A383" s="570" t="s">
        <v>589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0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5"/>
      <c r="AB384" s="535"/>
      <c r="AC384" s="535"/>
    </row>
    <row r="385" spans="1:68" ht="27" hidden="1" customHeight="1" x14ac:dyDescent="0.25">
      <c r="A385" s="54" t="s">
        <v>590</v>
      </c>
      <c r="B385" s="54" t="s">
        <v>591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1"/>
      <c r="R385" s="551"/>
      <c r="S385" s="551"/>
      <c r="T385" s="552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hidden="1" customHeight="1" x14ac:dyDescent="0.25">
      <c r="A386" s="54" t="s">
        <v>593</v>
      </c>
      <c r="B386" s="54" t="s">
        <v>594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85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1"/>
      <c r="R386" s="551"/>
      <c r="S386" s="551"/>
      <c r="T386" s="552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1"/>
      <c r="R387" s="551"/>
      <c r="S387" s="551"/>
      <c r="T387" s="552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598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599</v>
      </c>
      <c r="B388" s="54" t="s">
        <v>600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2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1"/>
      <c r="R388" s="551"/>
      <c r="S388" s="551"/>
      <c r="T388" s="552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592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601</v>
      </c>
      <c r="B389" s="54" t="s">
        <v>602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1"/>
      <c r="R389" s="551"/>
      <c r="S389" s="551"/>
      <c r="T389" s="552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603</v>
      </c>
      <c r="B390" s="54" t="s">
        <v>604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6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1"/>
      <c r="R390" s="551"/>
      <c r="S390" s="551"/>
      <c r="T390" s="552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1"/>
      <c r="R391" s="551"/>
      <c r="S391" s="551"/>
      <c r="T391" s="552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5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1"/>
      <c r="R392" s="551"/>
      <c r="S392" s="551"/>
      <c r="T392" s="552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612</v>
      </c>
      <c r="B393" s="54" t="s">
        <v>613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65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1"/>
      <c r="R393" s="551"/>
      <c r="S393" s="551"/>
      <c r="T393" s="552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idden="1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47" t="s">
        <v>71</v>
      </c>
      <c r="Q394" s="548"/>
      <c r="R394" s="548"/>
      <c r="S394" s="548"/>
      <c r="T394" s="548"/>
      <c r="U394" s="548"/>
      <c r="V394" s="54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47" t="s">
        <v>71</v>
      </c>
      <c r="Q395" s="548"/>
      <c r="R395" s="548"/>
      <c r="S395" s="548"/>
      <c r="T395" s="548"/>
      <c r="U395" s="548"/>
      <c r="V395" s="54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0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5"/>
      <c r="AB396" s="535"/>
      <c r="AC396" s="535"/>
    </row>
    <row r="397" spans="1:68" ht="27" hidden="1" customHeight="1" x14ac:dyDescent="0.25">
      <c r="A397" s="54" t="s">
        <v>614</v>
      </c>
      <c r="B397" s="54" t="s">
        <v>615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7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1"/>
      <c r="R397" s="551"/>
      <c r="S397" s="551"/>
      <c r="T397" s="552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616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617</v>
      </c>
      <c r="B398" s="54" t="s">
        <v>618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6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1"/>
      <c r="R398" s="551"/>
      <c r="S398" s="551"/>
      <c r="T398" s="552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619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47" t="s">
        <v>71</v>
      </c>
      <c r="Q399" s="548"/>
      <c r="R399" s="548"/>
      <c r="S399" s="548"/>
      <c r="T399" s="548"/>
      <c r="U399" s="548"/>
      <c r="V399" s="54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47" t="s">
        <v>71</v>
      </c>
      <c r="Q400" s="548"/>
      <c r="R400" s="548"/>
      <c r="S400" s="548"/>
      <c r="T400" s="548"/>
      <c r="U400" s="548"/>
      <c r="V400" s="54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70" t="s">
        <v>620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0" t="s">
        <v>136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5"/>
      <c r="AB402" s="535"/>
      <c r="AC402" s="535"/>
    </row>
    <row r="403" spans="1:68" ht="27" hidden="1" customHeight="1" x14ac:dyDescent="0.25">
      <c r="A403" s="54" t="s">
        <v>621</v>
      </c>
      <c r="B403" s="54" t="s">
        <v>622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7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1"/>
      <c r="R403" s="551"/>
      <c r="S403" s="551"/>
      <c r="T403" s="552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623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47" t="s">
        <v>71</v>
      </c>
      <c r="Q404" s="548"/>
      <c r="R404" s="548"/>
      <c r="S404" s="548"/>
      <c r="T404" s="548"/>
      <c r="U404" s="548"/>
      <c r="V404" s="54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47" t="s">
        <v>71</v>
      </c>
      <c r="Q405" s="548"/>
      <c r="R405" s="548"/>
      <c r="S405" s="548"/>
      <c r="T405" s="548"/>
      <c r="U405" s="548"/>
      <c r="V405" s="54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0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5"/>
      <c r="AB406" s="535"/>
      <c r="AC406" s="535"/>
    </row>
    <row r="407" spans="1:68" ht="27" hidden="1" customHeight="1" x14ac:dyDescent="0.25">
      <c r="A407" s="54" t="s">
        <v>624</v>
      </c>
      <c r="B407" s="54" t="s">
        <v>625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84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1"/>
      <c r="R407" s="551"/>
      <c r="S407" s="551"/>
      <c r="T407" s="552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626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62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1"/>
      <c r="R408" s="551"/>
      <c r="S408" s="551"/>
      <c r="T408" s="552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1"/>
      <c r="R409" s="551"/>
      <c r="S409" s="551"/>
      <c r="T409" s="552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632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633</v>
      </c>
      <c r="B410" s="54" t="s">
        <v>634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5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1"/>
      <c r="R410" s="551"/>
      <c r="S410" s="551"/>
      <c r="T410" s="552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47" t="s">
        <v>71</v>
      </c>
      <c r="Q411" s="548"/>
      <c r="R411" s="548"/>
      <c r="S411" s="548"/>
      <c r="T411" s="548"/>
      <c r="U411" s="548"/>
      <c r="V411" s="54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47" t="s">
        <v>71</v>
      </c>
      <c r="Q412" s="548"/>
      <c r="R412" s="548"/>
      <c r="S412" s="548"/>
      <c r="T412" s="548"/>
      <c r="U412" s="548"/>
      <c r="V412" s="54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70" t="s">
        <v>635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0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5"/>
      <c r="AB414" s="535"/>
      <c r="AC414" s="535"/>
    </row>
    <row r="415" spans="1:68" ht="27" hidden="1" customHeight="1" x14ac:dyDescent="0.25">
      <c r="A415" s="54" t="s">
        <v>636</v>
      </c>
      <c r="B415" s="54" t="s">
        <v>637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62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1"/>
      <c r="R415" s="551"/>
      <c r="S415" s="551"/>
      <c r="T415" s="552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638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47" t="s">
        <v>71</v>
      </c>
      <c r="Q416" s="548"/>
      <c r="R416" s="548"/>
      <c r="S416" s="548"/>
      <c r="T416" s="548"/>
      <c r="U416" s="548"/>
      <c r="V416" s="54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47" t="s">
        <v>71</v>
      </c>
      <c r="Q417" s="548"/>
      <c r="R417" s="548"/>
      <c r="S417" s="548"/>
      <c r="T417" s="548"/>
      <c r="U417" s="548"/>
      <c r="V417" s="54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45" t="s">
        <v>639</v>
      </c>
      <c r="B418" s="646"/>
      <c r="C418" s="646"/>
      <c r="D418" s="646"/>
      <c r="E418" s="646"/>
      <c r="F418" s="646"/>
      <c r="G418" s="646"/>
      <c r="H418" s="646"/>
      <c r="I418" s="646"/>
      <c r="J418" s="646"/>
      <c r="K418" s="646"/>
      <c r="L418" s="646"/>
      <c r="M418" s="646"/>
      <c r="N418" s="646"/>
      <c r="O418" s="646"/>
      <c r="P418" s="646"/>
      <c r="Q418" s="646"/>
      <c r="R418" s="646"/>
      <c r="S418" s="646"/>
      <c r="T418" s="646"/>
      <c r="U418" s="646"/>
      <c r="V418" s="646"/>
      <c r="W418" s="646"/>
      <c r="X418" s="646"/>
      <c r="Y418" s="646"/>
      <c r="Z418" s="646"/>
      <c r="AA418" s="48"/>
      <c r="AB418" s="48"/>
      <c r="AC418" s="48"/>
    </row>
    <row r="419" spans="1:68" ht="16.5" hidden="1" customHeight="1" x14ac:dyDescent="0.25">
      <c r="A419" s="570" t="s">
        <v>639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0" t="s">
        <v>101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5"/>
      <c r="AB420" s="535"/>
      <c r="AC420" s="535"/>
    </row>
    <row r="421" spans="1:68" ht="27" hidden="1" customHeight="1" x14ac:dyDescent="0.25">
      <c r="A421" s="54" t="s">
        <v>640</v>
      </c>
      <c r="B421" s="54" t="s">
        <v>641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62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1"/>
      <c r="R421" s="551"/>
      <c r="S421" s="551"/>
      <c r="T421" s="552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hidden="1" customHeight="1" x14ac:dyDescent="0.25">
      <c r="A422" s="54" t="s">
        <v>642</v>
      </c>
      <c r="B422" s="54" t="s">
        <v>643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7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1"/>
      <c r="R422" s="551"/>
      <c r="S422" s="551"/>
      <c r="T422" s="552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644</v>
      </c>
      <c r="AG422" s="64"/>
      <c r="AJ422" s="68" t="s">
        <v>90</v>
      </c>
      <c r="AK422" s="68">
        <v>42.24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hidden="1" customHeight="1" x14ac:dyDescent="0.25">
      <c r="A423" s="54" t="s">
        <v>645</v>
      </c>
      <c r="B423" s="54" t="s">
        <v>646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77</v>
      </c>
      <c r="N423" s="33"/>
      <c r="O423" s="32">
        <v>60</v>
      </c>
      <c r="P423" s="79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1"/>
      <c r="R423" s="551"/>
      <c r="S423" s="551"/>
      <c r="T423" s="552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647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648</v>
      </c>
      <c r="B424" s="54" t="s">
        <v>649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74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1"/>
      <c r="R424" s="551"/>
      <c r="S424" s="551"/>
      <c r="T424" s="552"/>
      <c r="U424" s="34"/>
      <c r="V424" s="34"/>
      <c r="W424" s="35" t="s">
        <v>69</v>
      </c>
      <c r="X424" s="541">
        <v>1100</v>
      </c>
      <c r="Y424" s="542">
        <f t="shared" si="47"/>
        <v>1103.52</v>
      </c>
      <c r="Z424" s="36">
        <f t="shared" si="48"/>
        <v>2.4996399999999999</v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9"/>
        <v>1172.9166666666665</v>
      </c>
      <c r="BN424" s="64">
        <f t="shared" si="50"/>
        <v>1176.6699999999998</v>
      </c>
      <c r="BO424" s="64">
        <f t="shared" si="51"/>
        <v>2.0032051282051282</v>
      </c>
      <c r="BP424" s="64">
        <f t="shared" si="52"/>
        <v>2.0096153846153846</v>
      </c>
    </row>
    <row r="425" spans="1:68" ht="16.5" hidden="1" customHeight="1" x14ac:dyDescent="0.25">
      <c r="A425" s="54" t="s">
        <v>651</v>
      </c>
      <c r="B425" s="54" t="s">
        <v>652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1"/>
      <c r="R425" s="551"/>
      <c r="S425" s="551"/>
      <c r="T425" s="552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653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654</v>
      </c>
      <c r="B426" s="54" t="s">
        <v>655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8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1"/>
      <c r="R426" s="551"/>
      <c r="S426" s="551"/>
      <c r="T426" s="552"/>
      <c r="U426" s="34"/>
      <c r="V426" s="34"/>
      <c r="W426" s="35" t="s">
        <v>69</v>
      </c>
      <c r="X426" s="541">
        <v>550</v>
      </c>
      <c r="Y426" s="542">
        <f t="shared" si="47"/>
        <v>554.4</v>
      </c>
      <c r="Z426" s="36">
        <f t="shared" si="48"/>
        <v>1.2558</v>
      </c>
      <c r="AA426" s="56"/>
      <c r="AB426" s="57"/>
      <c r="AC426" s="471" t="s">
        <v>656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586.45833333333326</v>
      </c>
      <c r="BN426" s="64">
        <f t="shared" si="50"/>
        <v>591.15</v>
      </c>
      <c r="BO426" s="64">
        <f t="shared" si="51"/>
        <v>1.0016025641025641</v>
      </c>
      <c r="BP426" s="64">
        <f t="shared" si="52"/>
        <v>1.0096153846153846</v>
      </c>
    </row>
    <row r="427" spans="1:68" ht="27" hidden="1" customHeight="1" x14ac:dyDescent="0.25">
      <c r="A427" s="54" t="s">
        <v>657</v>
      </c>
      <c r="B427" s="54" t="s">
        <v>658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7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1"/>
      <c r="R427" s="551"/>
      <c r="S427" s="551"/>
      <c r="T427" s="552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659</v>
      </c>
      <c r="B428" s="54" t="s">
        <v>660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7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1"/>
      <c r="R428" s="551"/>
      <c r="S428" s="551"/>
      <c r="T428" s="552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79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1"/>
      <c r="R429" s="551"/>
      <c r="S429" s="551"/>
      <c r="T429" s="552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63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1"/>
      <c r="R430" s="551"/>
      <c r="S430" s="551"/>
      <c r="T430" s="552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666</v>
      </c>
      <c r="B431" s="54" t="s">
        <v>667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7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1"/>
      <c r="R431" s="551"/>
      <c r="S431" s="551"/>
      <c r="T431" s="552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47" t="s">
        <v>71</v>
      </c>
      <c r="Q432" s="548"/>
      <c r="R432" s="548"/>
      <c r="S432" s="548"/>
      <c r="T432" s="548"/>
      <c r="U432" s="548"/>
      <c r="V432" s="54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312.5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314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3.7554400000000001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47" t="s">
        <v>71</v>
      </c>
      <c r="Q433" s="548"/>
      <c r="R433" s="548"/>
      <c r="S433" s="548"/>
      <c r="T433" s="548"/>
      <c r="U433" s="548"/>
      <c r="V433" s="549"/>
      <c r="W433" s="37" t="s">
        <v>69</v>
      </c>
      <c r="X433" s="543">
        <f>IFERROR(SUM(X421:X431),"0")</f>
        <v>1650</v>
      </c>
      <c r="Y433" s="543">
        <f>IFERROR(SUM(Y421:Y431),"0")</f>
        <v>1657.92</v>
      </c>
      <c r="Z433" s="37"/>
      <c r="AA433" s="544"/>
      <c r="AB433" s="544"/>
      <c r="AC433" s="544"/>
    </row>
    <row r="434" spans="1:68" ht="14.25" hidden="1" customHeight="1" x14ac:dyDescent="0.25">
      <c r="A434" s="560" t="s">
        <v>136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5"/>
      <c r="AB434" s="535"/>
      <c r="AC434" s="535"/>
    </row>
    <row r="435" spans="1:68" ht="16.5" customHeight="1" x14ac:dyDescent="0.25">
      <c r="A435" s="54" t="s">
        <v>668</v>
      </c>
      <c r="B435" s="54" t="s">
        <v>669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5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1"/>
      <c r="R435" s="551"/>
      <c r="S435" s="551"/>
      <c r="T435" s="552"/>
      <c r="U435" s="34"/>
      <c r="V435" s="34"/>
      <c r="W435" s="35" t="s">
        <v>69</v>
      </c>
      <c r="X435" s="541">
        <v>1100</v>
      </c>
      <c r="Y435" s="542">
        <f>IFERROR(IF(X435="",0,CEILING((X435/$H435),1)*$H435),"")</f>
        <v>1103.52</v>
      </c>
      <c r="Z435" s="36">
        <f>IFERROR(IF(Y435=0,"",ROUNDUP(Y435/H435,0)*0.01196),"")</f>
        <v>2.4996399999999999</v>
      </c>
      <c r="AA435" s="56"/>
      <c r="AB435" s="57"/>
      <c r="AC435" s="483" t="s">
        <v>670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1172.9166666666665</v>
      </c>
      <c r="BN435" s="64">
        <f>IFERROR(Y435*I435/H435,"0")</f>
        <v>1176.6699999999998</v>
      </c>
      <c r="BO435" s="64">
        <f>IFERROR(1/J435*(X435/H435),"0")</f>
        <v>2.0032051282051282</v>
      </c>
      <c r="BP435" s="64">
        <f>IFERROR(1/J435*(Y435/H435),"0")</f>
        <v>2.0096153846153846</v>
      </c>
    </row>
    <row r="436" spans="1:68" ht="16.5" hidden="1" customHeight="1" x14ac:dyDescent="0.25">
      <c r="A436" s="54" t="s">
        <v>671</v>
      </c>
      <c r="B436" s="54" t="s">
        <v>672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1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1"/>
      <c r="R436" s="551"/>
      <c r="S436" s="551"/>
      <c r="T436" s="552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670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673</v>
      </c>
      <c r="B437" s="54" t="s">
        <v>674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83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1"/>
      <c r="R437" s="551"/>
      <c r="S437" s="551"/>
      <c r="T437" s="552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47" t="s">
        <v>71</v>
      </c>
      <c r="Q438" s="548"/>
      <c r="R438" s="548"/>
      <c r="S438" s="548"/>
      <c r="T438" s="548"/>
      <c r="U438" s="548"/>
      <c r="V438" s="549"/>
      <c r="W438" s="37" t="s">
        <v>72</v>
      </c>
      <c r="X438" s="543">
        <f>IFERROR(X435/H435,"0")+IFERROR(X436/H436,"0")+IFERROR(X437/H437,"0")</f>
        <v>208.33333333333331</v>
      </c>
      <c r="Y438" s="543">
        <f>IFERROR(Y435/H435,"0")+IFERROR(Y436/H436,"0")+IFERROR(Y437/H437,"0")</f>
        <v>209</v>
      </c>
      <c r="Z438" s="543">
        <f>IFERROR(IF(Z435="",0,Z435),"0")+IFERROR(IF(Z436="",0,Z436),"0")+IFERROR(IF(Z437="",0,Z437),"0")</f>
        <v>2.4996399999999999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47" t="s">
        <v>71</v>
      </c>
      <c r="Q439" s="548"/>
      <c r="R439" s="548"/>
      <c r="S439" s="548"/>
      <c r="T439" s="548"/>
      <c r="U439" s="548"/>
      <c r="V439" s="549"/>
      <c r="W439" s="37" t="s">
        <v>69</v>
      </c>
      <c r="X439" s="543">
        <f>IFERROR(SUM(X435:X437),"0")</f>
        <v>1100</v>
      </c>
      <c r="Y439" s="543">
        <f>IFERROR(SUM(Y435:Y437),"0")</f>
        <v>1103.52</v>
      </c>
      <c r="Z439" s="37"/>
      <c r="AA439" s="544"/>
      <c r="AB439" s="544"/>
      <c r="AC439" s="544"/>
    </row>
    <row r="440" spans="1:68" ht="14.25" hidden="1" customHeight="1" x14ac:dyDescent="0.25">
      <c r="A440" s="560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5"/>
      <c r="AB440" s="535"/>
      <c r="AC440" s="535"/>
    </row>
    <row r="441" spans="1:68" ht="27" customHeight="1" x14ac:dyDescent="0.25">
      <c r="A441" s="54" t="s">
        <v>675</v>
      </c>
      <c r="B441" s="54" t="s">
        <v>676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1"/>
      <c r="R441" s="551"/>
      <c r="S441" s="551"/>
      <c r="T441" s="552"/>
      <c r="U441" s="34"/>
      <c r="V441" s="34"/>
      <c r="W441" s="35" t="s">
        <v>69</v>
      </c>
      <c r="X441" s="541">
        <v>200</v>
      </c>
      <c r="Y441" s="542">
        <f t="shared" ref="Y441:Y446" si="53">IFERROR(IF(X441="",0,CEILING((X441/$H441),1)*$H441),"")</f>
        <v>200.64000000000001</v>
      </c>
      <c r="Z441" s="36">
        <f>IFERROR(IF(Y441=0,"",ROUNDUP(Y441/H441,0)*0.01196),"")</f>
        <v>0.45448</v>
      </c>
      <c r="AA441" s="56"/>
      <c r="AB441" s="57"/>
      <c r="AC441" s="489" t="s">
        <v>677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213.25757575757575</v>
      </c>
      <c r="BN441" s="64">
        <f t="shared" ref="BN441:BN446" si="55">IFERROR(Y441*I441/H441,"0")</f>
        <v>213.94</v>
      </c>
      <c r="BO441" s="64">
        <f t="shared" ref="BO441:BO446" si="56">IFERROR(1/J441*(X441/H441),"0")</f>
        <v>0.36421911421911418</v>
      </c>
      <c r="BP441" s="64">
        <f t="shared" ref="BP441:BP446" si="57">IFERROR(1/J441*(Y441/H441),"0")</f>
        <v>0.36538461538461542</v>
      </c>
    </row>
    <row r="442" spans="1:68" ht="27" customHeight="1" x14ac:dyDescent="0.25">
      <c r="A442" s="54" t="s">
        <v>678</v>
      </c>
      <c r="B442" s="54" t="s">
        <v>679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79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1"/>
      <c r="R442" s="551"/>
      <c r="S442" s="551"/>
      <c r="T442" s="552"/>
      <c r="U442" s="34"/>
      <c r="V442" s="34"/>
      <c r="W442" s="35" t="s">
        <v>69</v>
      </c>
      <c r="X442" s="541">
        <v>300</v>
      </c>
      <c r="Y442" s="542">
        <f t="shared" si="53"/>
        <v>300.96000000000004</v>
      </c>
      <c r="Z442" s="36">
        <f>IFERROR(IF(Y442=0,"",ROUNDUP(Y442/H442,0)*0.01196),"")</f>
        <v>0.68171999999999999</v>
      </c>
      <c r="AA442" s="56"/>
      <c r="AB442" s="57"/>
      <c r="AC442" s="491" t="s">
        <v>680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319.88636363636363</v>
      </c>
      <c r="BN442" s="64">
        <f t="shared" si="55"/>
        <v>320.91000000000003</v>
      </c>
      <c r="BO442" s="64">
        <f t="shared" si="56"/>
        <v>0.54632867132867136</v>
      </c>
      <c r="BP442" s="64">
        <f t="shared" si="57"/>
        <v>0.54807692307692313</v>
      </c>
    </row>
    <row r="443" spans="1:68" ht="27" customHeight="1" x14ac:dyDescent="0.25">
      <c r="A443" s="54" t="s">
        <v>681</v>
      </c>
      <c r="B443" s="54" t="s">
        <v>682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8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1"/>
      <c r="R443" s="551"/>
      <c r="S443" s="551"/>
      <c r="T443" s="552"/>
      <c r="U443" s="34"/>
      <c r="V443" s="34"/>
      <c r="W443" s="35" t="s">
        <v>69</v>
      </c>
      <c r="X443" s="541">
        <v>350</v>
      </c>
      <c r="Y443" s="542">
        <f t="shared" si="53"/>
        <v>353.76</v>
      </c>
      <c r="Z443" s="36">
        <f>IFERROR(IF(Y443=0,"",ROUNDUP(Y443/H443,0)*0.01196),"")</f>
        <v>0.80132000000000003</v>
      </c>
      <c r="AA443" s="56"/>
      <c r="AB443" s="57"/>
      <c r="AC443" s="493" t="s">
        <v>683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373.20075757575756</v>
      </c>
      <c r="BN443" s="64">
        <f t="shared" si="55"/>
        <v>377.21</v>
      </c>
      <c r="BO443" s="64">
        <f t="shared" si="56"/>
        <v>0.63738344988344986</v>
      </c>
      <c r="BP443" s="64">
        <f t="shared" si="57"/>
        <v>0.64423076923076927</v>
      </c>
    </row>
    <row r="444" spans="1:68" ht="27" hidden="1" customHeight="1" x14ac:dyDescent="0.25">
      <c r="A444" s="54" t="s">
        <v>684</v>
      </c>
      <c r="B444" s="54" t="s">
        <v>685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5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1"/>
      <c r="R444" s="551"/>
      <c r="S444" s="551"/>
      <c r="T444" s="552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686</v>
      </c>
      <c r="B445" s="54" t="s">
        <v>687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8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1"/>
      <c r="R445" s="551"/>
      <c r="S445" s="551"/>
      <c r="T445" s="552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688</v>
      </c>
      <c r="B446" s="54" t="s">
        <v>689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65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1"/>
      <c r="R446" s="551"/>
      <c r="S446" s="551"/>
      <c r="T446" s="552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683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47" t="s">
        <v>71</v>
      </c>
      <c r="Q447" s="548"/>
      <c r="R447" s="548"/>
      <c r="S447" s="548"/>
      <c r="T447" s="548"/>
      <c r="U447" s="548"/>
      <c r="V447" s="549"/>
      <c r="W447" s="37" t="s">
        <v>72</v>
      </c>
      <c r="X447" s="543">
        <f>IFERROR(X441/H441,"0")+IFERROR(X442/H442,"0")+IFERROR(X443/H443,"0")+IFERROR(X444/H444,"0")+IFERROR(X445/H445,"0")+IFERROR(X446/H446,"0")</f>
        <v>160.98484848484847</v>
      </c>
      <c r="Y447" s="543">
        <f>IFERROR(Y441/H441,"0")+IFERROR(Y442/H442,"0")+IFERROR(Y443/H443,"0")+IFERROR(Y444/H444,"0")+IFERROR(Y445/H445,"0")+IFERROR(Y446/H446,"0")</f>
        <v>162</v>
      </c>
      <c r="Z447" s="543">
        <f>IFERROR(IF(Z441="",0,Z441),"0")+IFERROR(IF(Z442="",0,Z442),"0")+IFERROR(IF(Z443="",0,Z443),"0")+IFERROR(IF(Z444="",0,Z444),"0")+IFERROR(IF(Z445="",0,Z445),"0")+IFERROR(IF(Z446="",0,Z446),"0")</f>
        <v>1.9375200000000001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47" t="s">
        <v>71</v>
      </c>
      <c r="Q448" s="548"/>
      <c r="R448" s="548"/>
      <c r="S448" s="548"/>
      <c r="T448" s="548"/>
      <c r="U448" s="548"/>
      <c r="V448" s="549"/>
      <c r="W448" s="37" t="s">
        <v>69</v>
      </c>
      <c r="X448" s="543">
        <f>IFERROR(SUM(X441:X446),"0")</f>
        <v>850</v>
      </c>
      <c r="Y448" s="543">
        <f>IFERROR(SUM(Y441:Y446),"0")</f>
        <v>855.36</v>
      </c>
      <c r="Z448" s="37"/>
      <c r="AA448" s="544"/>
      <c r="AB448" s="544"/>
      <c r="AC448" s="544"/>
    </row>
    <row r="449" spans="1:68" ht="14.25" hidden="1" customHeight="1" x14ac:dyDescent="0.25">
      <c r="A449" s="560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5"/>
      <c r="AB449" s="535"/>
      <c r="AC449" s="535"/>
    </row>
    <row r="450" spans="1:68" ht="16.5" hidden="1" customHeight="1" x14ac:dyDescent="0.25">
      <c r="A450" s="54" t="s">
        <v>690</v>
      </c>
      <c r="B450" s="54" t="s">
        <v>691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77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1"/>
      <c r="R450" s="551"/>
      <c r="S450" s="551"/>
      <c r="T450" s="552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693</v>
      </c>
      <c r="B451" s="54" t="s">
        <v>694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65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1"/>
      <c r="R451" s="551"/>
      <c r="S451" s="551"/>
      <c r="T451" s="552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696</v>
      </c>
      <c r="B452" s="54" t="s">
        <v>697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86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1"/>
      <c r="R452" s="551"/>
      <c r="S452" s="551"/>
      <c r="T452" s="552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47" t="s">
        <v>71</v>
      </c>
      <c r="Q453" s="548"/>
      <c r="R453" s="548"/>
      <c r="S453" s="548"/>
      <c r="T453" s="548"/>
      <c r="U453" s="548"/>
      <c r="V453" s="54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47" t="s">
        <v>71</v>
      </c>
      <c r="Q454" s="548"/>
      <c r="R454" s="548"/>
      <c r="S454" s="548"/>
      <c r="T454" s="548"/>
      <c r="U454" s="548"/>
      <c r="V454" s="54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45" t="s">
        <v>699</v>
      </c>
      <c r="B455" s="646"/>
      <c r="C455" s="646"/>
      <c r="D455" s="646"/>
      <c r="E455" s="646"/>
      <c r="F455" s="646"/>
      <c r="G455" s="646"/>
      <c r="H455" s="646"/>
      <c r="I455" s="646"/>
      <c r="J455" s="646"/>
      <c r="K455" s="646"/>
      <c r="L455" s="646"/>
      <c r="M455" s="646"/>
      <c r="N455" s="646"/>
      <c r="O455" s="646"/>
      <c r="P455" s="646"/>
      <c r="Q455" s="646"/>
      <c r="R455" s="646"/>
      <c r="S455" s="646"/>
      <c r="T455" s="646"/>
      <c r="U455" s="646"/>
      <c r="V455" s="646"/>
      <c r="W455" s="646"/>
      <c r="X455" s="646"/>
      <c r="Y455" s="646"/>
      <c r="Z455" s="646"/>
      <c r="AA455" s="48"/>
      <c r="AB455" s="48"/>
      <c r="AC455" s="48"/>
    </row>
    <row r="456" spans="1:68" ht="16.5" hidden="1" customHeight="1" x14ac:dyDescent="0.25">
      <c r="A456" s="570" t="s">
        <v>699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0" t="s">
        <v>101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5"/>
      <c r="AB457" s="535"/>
      <c r="AC457" s="535"/>
    </row>
    <row r="458" spans="1:68" ht="27" hidden="1" customHeight="1" x14ac:dyDescent="0.25">
      <c r="A458" s="54" t="s">
        <v>700</v>
      </c>
      <c r="B458" s="54" t="s">
        <v>701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83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1"/>
      <c r="R458" s="551"/>
      <c r="S458" s="551"/>
      <c r="T458" s="552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1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1"/>
      <c r="R459" s="551"/>
      <c r="S459" s="551"/>
      <c r="T459" s="552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706</v>
      </c>
      <c r="B460" s="54" t="s">
        <v>707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1"/>
      <c r="R460" s="551"/>
      <c r="S460" s="551"/>
      <c r="T460" s="552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708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709</v>
      </c>
      <c r="B461" s="54" t="s">
        <v>710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66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1"/>
      <c r="R461" s="551"/>
      <c r="S461" s="551"/>
      <c r="T461" s="552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702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47" t="s">
        <v>71</v>
      </c>
      <c r="Q462" s="548"/>
      <c r="R462" s="548"/>
      <c r="S462" s="548"/>
      <c r="T462" s="548"/>
      <c r="U462" s="548"/>
      <c r="V462" s="54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47" t="s">
        <v>71</v>
      </c>
      <c r="Q463" s="548"/>
      <c r="R463" s="548"/>
      <c r="S463" s="548"/>
      <c r="T463" s="548"/>
      <c r="U463" s="548"/>
      <c r="V463" s="54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0" t="s">
        <v>136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5"/>
      <c r="AB464" s="535"/>
      <c r="AC464" s="535"/>
    </row>
    <row r="465" spans="1:68" ht="27" hidden="1" customHeight="1" x14ac:dyDescent="0.25">
      <c r="A465" s="54" t="s">
        <v>711</v>
      </c>
      <c r="B465" s="54" t="s">
        <v>712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71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1"/>
      <c r="R465" s="551"/>
      <c r="S465" s="551"/>
      <c r="T465" s="552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8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1"/>
      <c r="R466" s="551"/>
      <c r="S466" s="551"/>
      <c r="T466" s="552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717</v>
      </c>
      <c r="B467" s="54" t="s">
        <v>718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79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1"/>
      <c r="R467" s="551"/>
      <c r="S467" s="551"/>
      <c r="T467" s="552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719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47" t="s">
        <v>71</v>
      </c>
      <c r="Q468" s="548"/>
      <c r="R468" s="548"/>
      <c r="S468" s="548"/>
      <c r="T468" s="548"/>
      <c r="U468" s="548"/>
      <c r="V468" s="54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47" t="s">
        <v>71</v>
      </c>
      <c r="Q469" s="548"/>
      <c r="R469" s="548"/>
      <c r="S469" s="548"/>
      <c r="T469" s="548"/>
      <c r="U469" s="548"/>
      <c r="V469" s="54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0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5"/>
      <c r="AB470" s="535"/>
      <c r="AC470" s="535"/>
    </row>
    <row r="471" spans="1:68" ht="27" hidden="1" customHeight="1" x14ac:dyDescent="0.25">
      <c r="A471" s="54" t="s">
        <v>720</v>
      </c>
      <c r="B471" s="54" t="s">
        <v>721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85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1"/>
      <c r="R471" s="551"/>
      <c r="S471" s="551"/>
      <c r="T471" s="552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723</v>
      </c>
      <c r="B472" s="54" t="s">
        <v>724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69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1"/>
      <c r="R472" s="551"/>
      <c r="S472" s="551"/>
      <c r="T472" s="552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725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47" t="s">
        <v>71</v>
      </c>
      <c r="Q473" s="548"/>
      <c r="R473" s="548"/>
      <c r="S473" s="548"/>
      <c r="T473" s="548"/>
      <c r="U473" s="548"/>
      <c r="V473" s="54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47" t="s">
        <v>71</v>
      </c>
      <c r="Q474" s="548"/>
      <c r="R474" s="548"/>
      <c r="S474" s="548"/>
      <c r="T474" s="548"/>
      <c r="U474" s="548"/>
      <c r="V474" s="54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0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5"/>
      <c r="AB475" s="535"/>
      <c r="AC475" s="535"/>
    </row>
    <row r="476" spans="1:68" ht="27" hidden="1" customHeight="1" x14ac:dyDescent="0.25">
      <c r="A476" s="54" t="s">
        <v>726</v>
      </c>
      <c r="B476" s="54" t="s">
        <v>727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84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1"/>
      <c r="R476" s="551"/>
      <c r="S476" s="551"/>
      <c r="T476" s="552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728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47" t="s">
        <v>71</v>
      </c>
      <c r="Q477" s="548"/>
      <c r="R477" s="548"/>
      <c r="S477" s="548"/>
      <c r="T477" s="548"/>
      <c r="U477" s="548"/>
      <c r="V477" s="54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47" t="s">
        <v>71</v>
      </c>
      <c r="Q478" s="548"/>
      <c r="R478" s="548"/>
      <c r="S478" s="548"/>
      <c r="T478" s="548"/>
      <c r="U478" s="548"/>
      <c r="V478" s="54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0" t="s">
        <v>164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5"/>
      <c r="AB479" s="535"/>
      <c r="AC479" s="535"/>
    </row>
    <row r="480" spans="1:68" ht="27" hidden="1" customHeight="1" x14ac:dyDescent="0.25">
      <c r="A480" s="54" t="s">
        <v>729</v>
      </c>
      <c r="B480" s="54" t="s">
        <v>730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78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1"/>
      <c r="R480" s="551"/>
      <c r="S480" s="551"/>
      <c r="T480" s="552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732</v>
      </c>
      <c r="B481" s="54" t="s">
        <v>733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79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1"/>
      <c r="R481" s="551"/>
      <c r="S481" s="551"/>
      <c r="T481" s="552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734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47" t="s">
        <v>71</v>
      </c>
      <c r="Q482" s="548"/>
      <c r="R482" s="548"/>
      <c r="S482" s="548"/>
      <c r="T482" s="548"/>
      <c r="U482" s="548"/>
      <c r="V482" s="54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47" t="s">
        <v>71</v>
      </c>
      <c r="Q483" s="548"/>
      <c r="R483" s="548"/>
      <c r="S483" s="548"/>
      <c r="T483" s="548"/>
      <c r="U483" s="548"/>
      <c r="V483" s="54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70" t="s">
        <v>735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0" t="s">
        <v>136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5"/>
      <c r="AB485" s="535"/>
      <c r="AC485" s="535"/>
    </row>
    <row r="486" spans="1:68" ht="27" hidden="1" customHeight="1" x14ac:dyDescent="0.25">
      <c r="A486" s="54" t="s">
        <v>736</v>
      </c>
      <c r="B486" s="54" t="s">
        <v>737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61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1"/>
      <c r="R486" s="551"/>
      <c r="S486" s="551"/>
      <c r="T486" s="552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738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47" t="s">
        <v>71</v>
      </c>
      <c r="Q487" s="548"/>
      <c r="R487" s="548"/>
      <c r="S487" s="548"/>
      <c r="T487" s="548"/>
      <c r="U487" s="548"/>
      <c r="V487" s="54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47" t="s">
        <v>71</v>
      </c>
      <c r="Q488" s="548"/>
      <c r="R488" s="548"/>
      <c r="S488" s="548"/>
      <c r="T488" s="548"/>
      <c r="U488" s="548"/>
      <c r="V488" s="54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568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69"/>
      <c r="P489" s="633" t="s">
        <v>739</v>
      </c>
      <c r="Q489" s="634"/>
      <c r="R489" s="634"/>
      <c r="S489" s="634"/>
      <c r="T489" s="634"/>
      <c r="U489" s="634"/>
      <c r="V489" s="578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17881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17982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569"/>
      <c r="P490" s="633" t="s">
        <v>740</v>
      </c>
      <c r="Q490" s="634"/>
      <c r="R490" s="634"/>
      <c r="S490" s="634"/>
      <c r="T490" s="634"/>
      <c r="U490" s="634"/>
      <c r="V490" s="578"/>
      <c r="W490" s="37" t="s">
        <v>69</v>
      </c>
      <c r="X490" s="543">
        <f>IFERROR(SUM(BM22:BM486),"0")</f>
        <v>18741.968483150835</v>
      </c>
      <c r="Y490" s="543">
        <f>IFERROR(SUM(BN22:BN486),"0")</f>
        <v>18848.2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569"/>
      <c r="P491" s="633" t="s">
        <v>741</v>
      </c>
      <c r="Q491" s="634"/>
      <c r="R491" s="634"/>
      <c r="S491" s="634"/>
      <c r="T491" s="634"/>
      <c r="U491" s="634"/>
      <c r="V491" s="578"/>
      <c r="W491" s="37" t="s">
        <v>742</v>
      </c>
      <c r="X491" s="38">
        <f>ROUNDUP(SUM(BO22:BO486),0)</f>
        <v>30</v>
      </c>
      <c r="Y491" s="38">
        <f>ROUNDUP(SUM(BP22:BP486),0)</f>
        <v>30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569"/>
      <c r="P492" s="633" t="s">
        <v>743</v>
      </c>
      <c r="Q492" s="634"/>
      <c r="R492" s="634"/>
      <c r="S492" s="634"/>
      <c r="T492" s="634"/>
      <c r="U492" s="634"/>
      <c r="V492" s="578"/>
      <c r="W492" s="37" t="s">
        <v>69</v>
      </c>
      <c r="X492" s="543">
        <f>GrossWeightTotal+PalletQtyTotal*25</f>
        <v>19491.968483150835</v>
      </c>
      <c r="Y492" s="543">
        <f>GrossWeightTotalR+PalletQtyTotalR*25</f>
        <v>19598.2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569"/>
      <c r="P493" s="633" t="s">
        <v>744</v>
      </c>
      <c r="Q493" s="634"/>
      <c r="R493" s="634"/>
      <c r="S493" s="634"/>
      <c r="T493" s="634"/>
      <c r="U493" s="634"/>
      <c r="V493" s="578"/>
      <c r="W493" s="37" t="s">
        <v>742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2541.8068815715878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2556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569"/>
      <c r="P494" s="633" t="s">
        <v>745</v>
      </c>
      <c r="Q494" s="634"/>
      <c r="R494" s="634"/>
      <c r="S494" s="634"/>
      <c r="T494" s="634"/>
      <c r="U494" s="634"/>
      <c r="V494" s="578"/>
      <c r="W494" s="39" t="s">
        <v>746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34.938670000000002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747</v>
      </c>
      <c r="B496" s="533" t="s">
        <v>63</v>
      </c>
      <c r="C496" s="561" t="s">
        <v>99</v>
      </c>
      <c r="D496" s="639"/>
      <c r="E496" s="639"/>
      <c r="F496" s="639"/>
      <c r="G496" s="639"/>
      <c r="H496" s="630"/>
      <c r="I496" s="561" t="s">
        <v>255</v>
      </c>
      <c r="J496" s="639"/>
      <c r="K496" s="639"/>
      <c r="L496" s="639"/>
      <c r="M496" s="639"/>
      <c r="N496" s="639"/>
      <c r="O496" s="639"/>
      <c r="P496" s="639"/>
      <c r="Q496" s="639"/>
      <c r="R496" s="630"/>
      <c r="S496" s="561" t="s">
        <v>536</v>
      </c>
      <c r="T496" s="630"/>
      <c r="U496" s="561" t="s">
        <v>588</v>
      </c>
      <c r="V496" s="639"/>
      <c r="W496" s="630"/>
      <c r="X496" s="533" t="s">
        <v>639</v>
      </c>
      <c r="Y496" s="561" t="s">
        <v>699</v>
      </c>
      <c r="Z496" s="630"/>
      <c r="AB496" s="52"/>
      <c r="AC496" s="52"/>
      <c r="AF496" s="534"/>
    </row>
    <row r="497" spans="1:32" ht="14.25" customHeight="1" thickTop="1" x14ac:dyDescent="0.2">
      <c r="A497" s="584" t="s">
        <v>748</v>
      </c>
      <c r="B497" s="561" t="s">
        <v>63</v>
      </c>
      <c r="C497" s="561" t="s">
        <v>100</v>
      </c>
      <c r="D497" s="561" t="s">
        <v>117</v>
      </c>
      <c r="E497" s="561" t="s">
        <v>171</v>
      </c>
      <c r="F497" s="561" t="s">
        <v>190</v>
      </c>
      <c r="G497" s="561" t="s">
        <v>220</v>
      </c>
      <c r="H497" s="561" t="s">
        <v>99</v>
      </c>
      <c r="I497" s="561" t="s">
        <v>256</v>
      </c>
      <c r="J497" s="561" t="s">
        <v>297</v>
      </c>
      <c r="K497" s="561" t="s">
        <v>357</v>
      </c>
      <c r="L497" s="561" t="s">
        <v>399</v>
      </c>
      <c r="M497" s="561" t="s">
        <v>415</v>
      </c>
      <c r="N497" s="534"/>
      <c r="O497" s="561" t="s">
        <v>426</v>
      </c>
      <c r="P497" s="561" t="s">
        <v>435</v>
      </c>
      <c r="Q497" s="561" t="s">
        <v>445</v>
      </c>
      <c r="R497" s="561" t="s">
        <v>526</v>
      </c>
      <c r="S497" s="561" t="s">
        <v>537</v>
      </c>
      <c r="T497" s="561" t="s">
        <v>572</v>
      </c>
      <c r="U497" s="561" t="s">
        <v>589</v>
      </c>
      <c r="V497" s="561" t="s">
        <v>620</v>
      </c>
      <c r="W497" s="561" t="s">
        <v>635</v>
      </c>
      <c r="X497" s="561" t="s">
        <v>639</v>
      </c>
      <c r="Y497" s="561" t="s">
        <v>699</v>
      </c>
      <c r="Z497" s="561" t="s">
        <v>735</v>
      </c>
      <c r="AB497" s="52"/>
      <c r="AC497" s="52"/>
      <c r="AF497" s="534"/>
    </row>
    <row r="498" spans="1:32" ht="13.5" customHeight="1" thickBot="1" x14ac:dyDescent="0.25">
      <c r="A498" s="585"/>
      <c r="B498" s="562"/>
      <c r="C498" s="562"/>
      <c r="D498" s="562"/>
      <c r="E498" s="562"/>
      <c r="F498" s="562"/>
      <c r="G498" s="562"/>
      <c r="H498" s="562"/>
      <c r="I498" s="562"/>
      <c r="J498" s="562"/>
      <c r="K498" s="562"/>
      <c r="L498" s="562"/>
      <c r="M498" s="562"/>
      <c r="N498" s="534"/>
      <c r="O498" s="562"/>
      <c r="P498" s="562"/>
      <c r="Q498" s="562"/>
      <c r="R498" s="562"/>
      <c r="S498" s="562"/>
      <c r="T498" s="562"/>
      <c r="U498" s="562"/>
      <c r="V498" s="562"/>
      <c r="W498" s="562"/>
      <c r="X498" s="562"/>
      <c r="Y498" s="562"/>
      <c r="Z498" s="562"/>
      <c r="AB498" s="52"/>
      <c r="AC498" s="52"/>
      <c r="AF498" s="534"/>
    </row>
    <row r="499" spans="1:32" ht="18" customHeight="1" thickTop="1" thickBot="1" x14ac:dyDescent="0.25">
      <c r="A499" s="40" t="s">
        <v>749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824.40000000000009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3682.8</v>
      </c>
      <c r="E499" s="46">
        <f>IFERROR(Y85*1,"0")+IFERROR(Y86*1,"0")+IFERROR(Y87*1,"0")+IFERROR(Y91*1,"0")+IFERROR(Y92*1,"0")+IFERROR(Y93*1,"0")+IFERROR(Y94*1,"0")</f>
        <v>1032.3000000000002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502.2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216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205.20000000000002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168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0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2382.6999999999998</v>
      </c>
      <c r="R499" s="46">
        <f>IFERROR(Y335*1,"0")+IFERROR(Y336*1,"0")+IFERROR(Y337*1,"0")</f>
        <v>549.6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4802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3616.8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4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650,00"/>
        <filter val="1 782,00"/>
        <filter val="1 900,00"/>
        <filter val="10,00"/>
        <filter val="100,00"/>
        <filter val="105,56"/>
        <filter val="120,00"/>
        <filter val="120,93"/>
        <filter val="134,64"/>
        <filter val="140,00"/>
        <filter val="144,00"/>
        <filter val="150,00"/>
        <filter val="160,00"/>
        <filter val="160,98"/>
        <filter val="17 881,00"/>
        <filter val="175,93"/>
        <filter val="18 741,97"/>
        <filter val="19 491,97"/>
        <filter val="2 541,81"/>
        <filter val="200,00"/>
        <filter val="203,81"/>
        <filter val="208,33"/>
        <filter val="210,00"/>
        <filter val="225,00"/>
        <filter val="23,33"/>
        <filter val="24,26"/>
        <filter val="24,69"/>
        <filter val="25,00"/>
        <filter val="250,00"/>
        <filter val="266,67"/>
        <filter val="28,00"/>
        <filter val="30"/>
        <filter val="300,00"/>
        <filter val="312,50"/>
        <filter val="350,00"/>
        <filter val="37,04"/>
        <filter val="396,00"/>
        <filter val="4 000,00"/>
        <filter val="45,00"/>
        <filter val="450,00"/>
        <filter val="50,00"/>
        <filter val="500,00"/>
        <filter val="52,00"/>
        <filter val="542,00"/>
        <filter val="550,00"/>
        <filter val="60,00"/>
        <filter val="600,00"/>
        <filter val="61,73"/>
        <filter val="670,00"/>
        <filter val="700,00"/>
        <filter val="745,00"/>
        <filter val="80,00"/>
        <filter val="814,00"/>
        <filter val="82,78"/>
        <filter val="825,00"/>
        <filter val="828,00"/>
        <filter val="830,00"/>
        <filter val="84,80"/>
        <filter val="850,00"/>
        <filter val="9,80"/>
        <filter val="98,04"/>
      </filters>
    </filterColumn>
    <filterColumn colId="29" showButton="0"/>
    <filterColumn colId="30" showButton="0"/>
  </autoFilter>
  <mergeCells count="874">
    <mergeCell ref="A65:Z65"/>
    <mergeCell ref="P391:T391"/>
    <mergeCell ref="D426:E426"/>
    <mergeCell ref="A234:O235"/>
    <mergeCell ref="B17:B18"/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P143:V143"/>
    <mergeCell ref="A171:O172"/>
    <mergeCell ref="P235:V235"/>
    <mergeCell ref="D258:E258"/>
    <mergeCell ref="P337:T337"/>
    <mergeCell ref="A105:Z105"/>
    <mergeCell ref="D264:E264"/>
    <mergeCell ref="D391:E391"/>
    <mergeCell ref="P370:V370"/>
    <mergeCell ref="A394:O395"/>
    <mergeCell ref="A380:O381"/>
    <mergeCell ref="R1:T1"/>
    <mergeCell ref="P28:T28"/>
    <mergeCell ref="P392:T392"/>
    <mergeCell ref="D307:E307"/>
    <mergeCell ref="P386:T386"/>
    <mergeCell ref="P165:T165"/>
    <mergeCell ref="P400:V400"/>
    <mergeCell ref="P30:T30"/>
    <mergeCell ref="D73:E73"/>
    <mergeCell ref="P77:V77"/>
    <mergeCell ref="A76:O77"/>
    <mergeCell ref="P152:T152"/>
    <mergeCell ref="P375:V375"/>
    <mergeCell ref="P290:T290"/>
    <mergeCell ref="A63:O64"/>
    <mergeCell ref="A270:Z270"/>
    <mergeCell ref="H9:I9"/>
    <mergeCell ref="A49:Z49"/>
    <mergeCell ref="P24:V24"/>
    <mergeCell ref="P89:V89"/>
    <mergeCell ref="P260:V260"/>
    <mergeCell ref="P389:T389"/>
    <mergeCell ref="A334:Z334"/>
    <mergeCell ref="A383:Z383"/>
    <mergeCell ref="V10:W10"/>
    <mergeCell ref="D195:E195"/>
    <mergeCell ref="P379:T379"/>
    <mergeCell ref="D431:E431"/>
    <mergeCell ref="P99:T99"/>
    <mergeCell ref="P170:T170"/>
    <mergeCell ref="D66:E66"/>
    <mergeCell ref="P316:T316"/>
    <mergeCell ref="P443:T443"/>
    <mergeCell ref="D197:E197"/>
    <mergeCell ref="D53:E53"/>
    <mergeCell ref="A84:Z84"/>
    <mergeCell ref="P159:V159"/>
    <mergeCell ref="D289:E289"/>
    <mergeCell ref="P407:T407"/>
    <mergeCell ref="D245:E245"/>
    <mergeCell ref="A282:Z282"/>
    <mergeCell ref="D301:E301"/>
    <mergeCell ref="P86:T86"/>
    <mergeCell ref="P328:T328"/>
    <mergeCell ref="D134:E134"/>
    <mergeCell ref="P213:T213"/>
    <mergeCell ref="P249:T249"/>
    <mergeCell ref="D363:E363"/>
    <mergeCell ref="W17:W18"/>
    <mergeCell ref="A50:Z50"/>
    <mergeCell ref="P96:V96"/>
    <mergeCell ref="A434:Z434"/>
    <mergeCell ref="P332:V332"/>
    <mergeCell ref="A331:O332"/>
    <mergeCell ref="A384:Z384"/>
    <mergeCell ref="A151:Z151"/>
    <mergeCell ref="A449:Z449"/>
    <mergeCell ref="P154:V154"/>
    <mergeCell ref="P325:V325"/>
    <mergeCell ref="D142:E142"/>
    <mergeCell ref="A120:O121"/>
    <mergeCell ref="D378:E378"/>
    <mergeCell ref="P266:T266"/>
    <mergeCell ref="P182:V182"/>
    <mergeCell ref="D124:E124"/>
    <mergeCell ref="P56:T56"/>
    <mergeCell ref="P448:V448"/>
    <mergeCell ref="D297:E297"/>
    <mergeCell ref="P88:V88"/>
    <mergeCell ref="P259:V259"/>
    <mergeCell ref="A78:Z78"/>
    <mergeCell ref="P153:V153"/>
    <mergeCell ref="P79:T79"/>
    <mergeCell ref="D60:E60"/>
    <mergeCell ref="P73:T73"/>
    <mergeCell ref="P315:T315"/>
    <mergeCell ref="P437:T437"/>
    <mergeCell ref="P231:T231"/>
    <mergeCell ref="P42:T42"/>
    <mergeCell ref="H497:H498"/>
    <mergeCell ref="J497:J498"/>
    <mergeCell ref="P395:V395"/>
    <mergeCell ref="P209:T209"/>
    <mergeCell ref="P147:T147"/>
    <mergeCell ref="P445:T445"/>
    <mergeCell ref="P458:T458"/>
    <mergeCell ref="P487:V487"/>
    <mergeCell ref="P477:V477"/>
    <mergeCell ref="A473:O474"/>
    <mergeCell ref="P476:T476"/>
    <mergeCell ref="P471:T471"/>
    <mergeCell ref="D486:E486"/>
    <mergeCell ref="P452:T452"/>
    <mergeCell ref="D472:E472"/>
    <mergeCell ref="P453:V453"/>
    <mergeCell ref="A205:Z205"/>
    <mergeCell ref="P94:T94"/>
    <mergeCell ref="P265:T265"/>
    <mergeCell ref="D208:E208"/>
    <mergeCell ref="D379:E379"/>
    <mergeCell ref="D300:E300"/>
    <mergeCell ref="P237:T237"/>
    <mergeCell ref="P158:T158"/>
    <mergeCell ref="P329:T329"/>
    <mergeCell ref="P251:V251"/>
    <mergeCell ref="A350:O351"/>
    <mergeCell ref="D263:E263"/>
    <mergeCell ref="D290:E290"/>
    <mergeCell ref="D94:E94"/>
    <mergeCell ref="P148:T148"/>
    <mergeCell ref="A109:O110"/>
    <mergeCell ref="D353:E353"/>
    <mergeCell ref="D7:M7"/>
    <mergeCell ref="D129:E129"/>
    <mergeCell ref="D79:E79"/>
    <mergeCell ref="P92:T92"/>
    <mergeCell ref="D8:M8"/>
    <mergeCell ref="D28:E28"/>
    <mergeCell ref="D92:E92"/>
    <mergeCell ref="D55:E55"/>
    <mergeCell ref="D30:E30"/>
    <mergeCell ref="A95:O96"/>
    <mergeCell ref="D67:E67"/>
    <mergeCell ref="P109:V109"/>
    <mergeCell ref="P17:T18"/>
    <mergeCell ref="I17:I18"/>
    <mergeCell ref="P36:V36"/>
    <mergeCell ref="A43:O44"/>
    <mergeCell ref="P53:T53"/>
    <mergeCell ref="D91:E91"/>
    <mergeCell ref="D52:E52"/>
    <mergeCell ref="D27:E27"/>
    <mergeCell ref="P15:T16"/>
    <mergeCell ref="P58:V58"/>
    <mergeCell ref="D61:E61"/>
    <mergeCell ref="P29:T29"/>
    <mergeCell ref="F9:G9"/>
    <mergeCell ref="H1:Q1"/>
    <mergeCell ref="D5:E5"/>
    <mergeCell ref="D303:E303"/>
    <mergeCell ref="A238:O239"/>
    <mergeCell ref="D315:E315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P273:T273"/>
    <mergeCell ref="D316:E316"/>
    <mergeCell ref="D387:E387"/>
    <mergeCell ref="D272:E272"/>
    <mergeCell ref="D443:E443"/>
    <mergeCell ref="D210:E210"/>
    <mergeCell ref="Y496:Z496"/>
    <mergeCell ref="A250:O251"/>
    <mergeCell ref="D308:E308"/>
    <mergeCell ref="P489:V489"/>
    <mergeCell ref="P119:T119"/>
    <mergeCell ref="P246:T246"/>
    <mergeCell ref="D167:E167"/>
    <mergeCell ref="D147:E147"/>
    <mergeCell ref="P188:V188"/>
    <mergeCell ref="A187:O188"/>
    <mergeCell ref="D209:E209"/>
    <mergeCell ref="D1:F1"/>
    <mergeCell ref="P466:T466"/>
    <mergeCell ref="A71:Z71"/>
    <mergeCell ref="P488:V488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P127:V127"/>
    <mergeCell ref="A123:Z123"/>
    <mergeCell ref="A482:O483"/>
    <mergeCell ref="A416:O417"/>
    <mergeCell ref="D158:E158"/>
    <mergeCell ref="D329:E329"/>
    <mergeCell ref="D229:E229"/>
    <mergeCell ref="A402:Z402"/>
    <mergeCell ref="D388:E388"/>
    <mergeCell ref="P442:T442"/>
    <mergeCell ref="P467:T467"/>
    <mergeCell ref="D390:E390"/>
    <mergeCell ref="P197:T197"/>
    <mergeCell ref="P166:T166"/>
    <mergeCell ref="D442:E442"/>
    <mergeCell ref="D302:E302"/>
    <mergeCell ref="D429:E429"/>
    <mergeCell ref="A159:O160"/>
    <mergeCell ref="P271:T271"/>
    <mergeCell ref="P416:V416"/>
    <mergeCell ref="Q12:R12"/>
    <mergeCell ref="A203:O204"/>
    <mergeCell ref="P169:T169"/>
    <mergeCell ref="A274:O275"/>
    <mergeCell ref="R497:R498"/>
    <mergeCell ref="P497:P498"/>
    <mergeCell ref="D108:E108"/>
    <mergeCell ref="P258:T258"/>
    <mergeCell ref="P429:T429"/>
    <mergeCell ref="D369:E369"/>
    <mergeCell ref="A304:O305"/>
    <mergeCell ref="P52:T52"/>
    <mergeCell ref="P423:T423"/>
    <mergeCell ref="P481:T481"/>
    <mergeCell ref="D141:E141"/>
    <mergeCell ref="D135:E135"/>
    <mergeCell ref="P203:V203"/>
    <mergeCell ref="D72:E72"/>
    <mergeCell ref="P295:V295"/>
    <mergeCell ref="P178:V178"/>
    <mergeCell ref="A177:O178"/>
    <mergeCell ref="P267:V267"/>
    <mergeCell ref="P463:V463"/>
    <mergeCell ref="D451:E451"/>
    <mergeCell ref="U496:W496"/>
    <mergeCell ref="P180:T180"/>
    <mergeCell ref="P167:T167"/>
    <mergeCell ref="P142:T142"/>
    <mergeCell ref="D26:E26"/>
    <mergeCell ref="D148:E148"/>
    <mergeCell ref="A161:Z161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D255:E255"/>
    <mergeCell ref="P478:V478"/>
    <mergeCell ref="A97:Z97"/>
    <mergeCell ref="D322:E322"/>
    <mergeCell ref="P280:V280"/>
    <mergeCell ref="P274:V274"/>
    <mergeCell ref="A366:Z366"/>
    <mergeCell ref="P490:V490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A6:C6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304:V304"/>
    <mergeCell ref="P181:V181"/>
    <mergeCell ref="A98:Z98"/>
    <mergeCell ref="A396:Z396"/>
    <mergeCell ref="D460:E460"/>
    <mergeCell ref="D93:E93"/>
    <mergeCell ref="P450:T450"/>
    <mergeCell ref="A325:O326"/>
    <mergeCell ref="P491:V491"/>
    <mergeCell ref="O497:O498"/>
    <mergeCell ref="D309:E309"/>
    <mergeCell ref="D113:E113"/>
    <mergeCell ref="A438:O439"/>
    <mergeCell ref="D106:E106"/>
    <mergeCell ref="P185:T185"/>
    <mergeCell ref="P427:T427"/>
    <mergeCell ref="P283:T283"/>
    <mergeCell ref="P110:V110"/>
    <mergeCell ref="A338:O339"/>
    <mergeCell ref="P208:T208"/>
    <mergeCell ref="A261:Z261"/>
    <mergeCell ref="P338:V338"/>
    <mergeCell ref="P313:V313"/>
    <mergeCell ref="A138:Z138"/>
    <mergeCell ref="P115:T115"/>
    <mergeCell ref="D254:E254"/>
    <mergeCell ref="P289:T289"/>
    <mergeCell ref="P422:T422"/>
    <mergeCell ref="D232:E232"/>
    <mergeCell ref="D403:E403"/>
    <mergeCell ref="A382:Z382"/>
    <mergeCell ref="A116:O117"/>
    <mergeCell ref="P428:T428"/>
    <mergeCell ref="P113:T113"/>
    <mergeCell ref="A173:Z173"/>
    <mergeCell ref="P129:T12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201:E201"/>
    <mergeCell ref="D335:E335"/>
    <mergeCell ref="A375:O376"/>
    <mergeCell ref="P245:T245"/>
    <mergeCell ref="P26:T26"/>
    <mergeCell ref="A13:M13"/>
    <mergeCell ref="A15:M15"/>
    <mergeCell ref="D198:E198"/>
    <mergeCell ref="V12:W12"/>
    <mergeCell ref="P219:T219"/>
    <mergeCell ref="D162:E162"/>
    <mergeCell ref="A69:O70"/>
    <mergeCell ref="P272:T272"/>
    <mergeCell ref="P210:T210"/>
    <mergeCell ref="A267:O268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T5:U5"/>
    <mergeCell ref="D119:E119"/>
    <mergeCell ref="V5:W5"/>
    <mergeCell ref="D190:E190"/>
    <mergeCell ref="D46:E46"/>
    <mergeCell ref="D246:E246"/>
    <mergeCell ref="P294:V294"/>
    <mergeCell ref="D40:E40"/>
    <mergeCell ref="P374:T374"/>
    <mergeCell ref="D233:E233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45:Z145"/>
    <mergeCell ref="J9:M9"/>
    <mergeCell ref="D112:E112"/>
    <mergeCell ref="D283:E283"/>
    <mergeCell ref="A418:Z418"/>
    <mergeCell ref="D348:E348"/>
    <mergeCell ref="D62:E62"/>
    <mergeCell ref="P141:T141"/>
    <mergeCell ref="D51:E51"/>
    <mergeCell ref="A38:Z38"/>
    <mergeCell ref="D374:E374"/>
    <mergeCell ref="P232:T232"/>
    <mergeCell ref="P330:T330"/>
    <mergeCell ref="D140:E140"/>
    <mergeCell ref="A340:Z340"/>
    <mergeCell ref="D359:E359"/>
    <mergeCell ref="H17:H18"/>
    <mergeCell ref="A220:O221"/>
    <mergeCell ref="P388:T388"/>
    <mergeCell ref="P126:V126"/>
    <mergeCell ref="P224:T224"/>
    <mergeCell ref="P322:T322"/>
    <mergeCell ref="P211:T211"/>
    <mergeCell ref="P309:T309"/>
    <mergeCell ref="P51:T51"/>
    <mergeCell ref="C497:C498"/>
    <mergeCell ref="E497:E498"/>
    <mergeCell ref="P220:V220"/>
    <mergeCell ref="P248:T248"/>
    <mergeCell ref="P441:T441"/>
    <mergeCell ref="D349:E349"/>
    <mergeCell ref="D476:E476"/>
    <mergeCell ref="P207:T207"/>
    <mergeCell ref="A131:O132"/>
    <mergeCell ref="A372:Z372"/>
    <mergeCell ref="P172:V172"/>
    <mergeCell ref="P299:T299"/>
    <mergeCell ref="P150:V150"/>
    <mergeCell ref="P221:V221"/>
    <mergeCell ref="P326:V326"/>
    <mergeCell ref="P215:V215"/>
    <mergeCell ref="A367:Z367"/>
    <mergeCell ref="A183:Z183"/>
    <mergeCell ref="D346:E346"/>
    <mergeCell ref="P229:T229"/>
    <mergeCell ref="D328:E328"/>
    <mergeCell ref="P136:V136"/>
    <mergeCell ref="A253:Z253"/>
    <mergeCell ref="A286:Z286"/>
    <mergeCell ref="H10:M10"/>
    <mergeCell ref="AA17:AA18"/>
    <mergeCell ref="P212:T212"/>
    <mergeCell ref="P482:V482"/>
    <mergeCell ref="D389:E389"/>
    <mergeCell ref="P107:T107"/>
    <mergeCell ref="P278:T278"/>
    <mergeCell ref="D321:E321"/>
    <mergeCell ref="P63:V63"/>
    <mergeCell ref="P101:T101"/>
    <mergeCell ref="D386:E386"/>
    <mergeCell ref="P465:T465"/>
    <mergeCell ref="P250:V250"/>
    <mergeCell ref="A364:O365"/>
    <mergeCell ref="P200:T200"/>
    <mergeCell ref="P134:T134"/>
    <mergeCell ref="P436:T436"/>
    <mergeCell ref="P459:T459"/>
    <mergeCell ref="D465:E465"/>
    <mergeCell ref="P104:V104"/>
    <mergeCell ref="A252:Z252"/>
    <mergeCell ref="P275:V275"/>
    <mergeCell ref="D427:E427"/>
    <mergeCell ref="P27:T27"/>
    <mergeCell ref="AC17:AC18"/>
    <mergeCell ref="A377:Z377"/>
    <mergeCell ref="A122:Z122"/>
    <mergeCell ref="P108:T108"/>
    <mergeCell ref="P279:T279"/>
    <mergeCell ref="D393:E393"/>
    <mergeCell ref="A420:Z420"/>
    <mergeCell ref="P472:T472"/>
    <mergeCell ref="P254:T254"/>
    <mergeCell ref="P343:T343"/>
    <mergeCell ref="A462:O463"/>
    <mergeCell ref="D459:E459"/>
    <mergeCell ref="P409:T409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39:V339"/>
    <mergeCell ref="P201:T201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P57:V57"/>
    <mergeCell ref="A81:O82"/>
    <mergeCell ref="P171:V171"/>
    <mergeCell ref="P242:V242"/>
    <mergeCell ref="D80:E80"/>
    <mergeCell ref="P121:V121"/>
    <mergeCell ref="A296:Z296"/>
    <mergeCell ref="D288:E288"/>
    <mergeCell ref="P130:T130"/>
    <mergeCell ref="P190:T190"/>
    <mergeCell ref="P46:T46"/>
    <mergeCell ref="D225:E225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D85:E85"/>
    <mergeCell ref="P164:T164"/>
    <mergeCell ref="D207:E207"/>
    <mergeCell ref="P120:V120"/>
    <mergeCell ref="D256:E256"/>
    <mergeCell ref="A294:O295"/>
    <mergeCell ref="P335:T335"/>
    <mergeCell ref="D299:E299"/>
    <mergeCell ref="P405:V405"/>
    <mergeCell ref="A401:Z401"/>
    <mergeCell ref="G17:G18"/>
    <mergeCell ref="H5:M5"/>
    <mergeCell ref="P31:V31"/>
    <mergeCell ref="P473:V473"/>
    <mergeCell ref="D212:E212"/>
    <mergeCell ref="D146:E146"/>
    <mergeCell ref="P225:T225"/>
    <mergeCell ref="D317:E317"/>
    <mergeCell ref="D6:M6"/>
    <mergeCell ref="A341:Z341"/>
    <mergeCell ref="A456:Z456"/>
    <mergeCell ref="A306:Z306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P93:T93"/>
    <mergeCell ref="P226:T226"/>
    <mergeCell ref="Q13:R13"/>
    <mergeCell ref="A155:Z155"/>
    <mergeCell ref="P268:V268"/>
    <mergeCell ref="D298:E298"/>
    <mergeCell ref="P91:T91"/>
    <mergeCell ref="P404:V404"/>
    <mergeCell ref="D273:E273"/>
    <mergeCell ref="P468:V468"/>
    <mergeCell ref="A464:Z464"/>
    <mergeCell ref="A284:O285"/>
    <mergeCell ref="D75:E75"/>
    <mergeCell ref="D206:E206"/>
    <mergeCell ref="P390:T390"/>
    <mergeCell ref="P292:T292"/>
    <mergeCell ref="A360:O361"/>
    <mergeCell ref="D102:E102"/>
    <mergeCell ref="P81:V81"/>
    <mergeCell ref="P85:T85"/>
    <mergeCell ref="P454:V454"/>
    <mergeCell ref="D56:E56"/>
    <mergeCell ref="P206:T206"/>
    <mergeCell ref="P233:T233"/>
    <mergeCell ref="D176:E176"/>
    <mergeCell ref="D347:E347"/>
    <mergeCell ref="C496:H496"/>
    <mergeCell ref="P348:T348"/>
    <mergeCell ref="P323:T323"/>
    <mergeCell ref="A414:Z414"/>
    <mergeCell ref="D231:E231"/>
    <mergeCell ref="D358:E358"/>
    <mergeCell ref="P483:V483"/>
    <mergeCell ref="P393:T393"/>
    <mergeCell ref="A419:Z419"/>
    <mergeCell ref="P446:T446"/>
    <mergeCell ref="D425:E425"/>
    <mergeCell ref="P451:T451"/>
    <mergeCell ref="A470:Z470"/>
    <mergeCell ref="D424:E424"/>
    <mergeCell ref="P324:T324"/>
    <mergeCell ref="P492:V492"/>
    <mergeCell ref="A327:Z327"/>
    <mergeCell ref="P474:V474"/>
    <mergeCell ref="A269:Z269"/>
    <mergeCell ref="D445:E445"/>
    <mergeCell ref="D398:E398"/>
    <mergeCell ref="P439:V439"/>
    <mergeCell ref="P308:T308"/>
    <mergeCell ref="P433:V433"/>
    <mergeCell ref="U497:U498"/>
    <mergeCell ref="I496:R496"/>
    <mergeCell ref="P493:V493"/>
    <mergeCell ref="A447:O448"/>
    <mergeCell ref="L497:L498"/>
    <mergeCell ref="A318:O319"/>
    <mergeCell ref="P47:V47"/>
    <mergeCell ref="P176:T176"/>
    <mergeCell ref="P114:T114"/>
    <mergeCell ref="P247:T247"/>
    <mergeCell ref="P241:T241"/>
    <mergeCell ref="A157:Z157"/>
    <mergeCell ref="A455:Z455"/>
    <mergeCell ref="A222:Z222"/>
    <mergeCell ref="P301:T301"/>
    <mergeCell ref="D385:E385"/>
    <mergeCell ref="D481:E481"/>
    <mergeCell ref="D86:E86"/>
    <mergeCell ref="P214:T214"/>
    <mergeCell ref="D257:E257"/>
    <mergeCell ref="D213:E213"/>
    <mergeCell ref="P192:V192"/>
    <mergeCell ref="A457:Z457"/>
    <mergeCell ref="P284:V284"/>
    <mergeCell ref="P494:V494"/>
    <mergeCell ref="P350:V350"/>
    <mergeCell ref="P102:T102"/>
    <mergeCell ref="P196:T196"/>
    <mergeCell ref="P281:V281"/>
    <mergeCell ref="D226:E226"/>
    <mergeCell ref="P354:T354"/>
    <mergeCell ref="D164:E164"/>
    <mergeCell ref="P62:T62"/>
    <mergeCell ref="D373:E373"/>
    <mergeCell ref="A242:O243"/>
    <mergeCell ref="P112:T112"/>
    <mergeCell ref="A179:Z179"/>
    <mergeCell ref="A153:O154"/>
    <mergeCell ref="A133:Z133"/>
    <mergeCell ref="D125:E125"/>
    <mergeCell ref="A143:O144"/>
    <mergeCell ref="P70:V70"/>
    <mergeCell ref="A156:Z156"/>
    <mergeCell ref="P116:V116"/>
    <mergeCell ref="P103:V103"/>
    <mergeCell ref="D114:E114"/>
    <mergeCell ref="A88:O89"/>
    <mergeCell ref="P193:V193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F10:G10"/>
    <mergeCell ref="P135:T135"/>
    <mergeCell ref="D34:E34"/>
    <mergeCell ref="A181:O182"/>
    <mergeCell ref="P191:T191"/>
    <mergeCell ref="D99:E99"/>
    <mergeCell ref="P349:T349"/>
    <mergeCell ref="D397:E397"/>
    <mergeCell ref="P376:V376"/>
    <mergeCell ref="D310:E310"/>
    <mergeCell ref="D323:E323"/>
    <mergeCell ref="D29:E29"/>
    <mergeCell ref="D265:E265"/>
    <mergeCell ref="P344:T344"/>
    <mergeCell ref="A20:Z20"/>
    <mergeCell ref="P371:V371"/>
    <mergeCell ref="A103:O104"/>
    <mergeCell ref="M17:M18"/>
    <mergeCell ref="O17:O18"/>
    <mergeCell ref="P336:T336"/>
    <mergeCell ref="P131:V131"/>
    <mergeCell ref="P187:V187"/>
    <mergeCell ref="P41:T41"/>
    <mergeCell ref="D22:E22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D152:E152"/>
    <mergeCell ref="A136:O137"/>
    <mergeCell ref="A192:O193"/>
    <mergeCell ref="D279:E279"/>
    <mergeCell ref="N17:N18"/>
    <mergeCell ref="Q5:R5"/>
    <mergeCell ref="F17:F18"/>
    <mergeCell ref="P132:V132"/>
    <mergeCell ref="P199:T199"/>
    <mergeCell ref="P297:T297"/>
    <mergeCell ref="P435:T435"/>
    <mergeCell ref="D107:E107"/>
    <mergeCell ref="D163:E163"/>
    <mergeCell ref="D278:E278"/>
    <mergeCell ref="P291:T291"/>
    <mergeCell ref="P288:T288"/>
    <mergeCell ref="P263:T263"/>
    <mergeCell ref="P305:V305"/>
    <mergeCell ref="P228:T228"/>
    <mergeCell ref="P293:T293"/>
    <mergeCell ref="A149:O150"/>
    <mergeCell ref="D336:E336"/>
    <mergeCell ref="D407:E407"/>
    <mergeCell ref="P317:T317"/>
    <mergeCell ref="A9:C9"/>
    <mergeCell ref="P125:T125"/>
    <mergeCell ref="P321:T321"/>
    <mergeCell ref="D196:E196"/>
    <mergeCell ref="D10:E10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A497:A498"/>
    <mergeCell ref="D170:E170"/>
    <mergeCell ref="G497:G498"/>
    <mergeCell ref="Q497:Q498"/>
    <mergeCell ref="P72:T72"/>
    <mergeCell ref="W497:W498"/>
    <mergeCell ref="D430:E430"/>
    <mergeCell ref="P469:V469"/>
    <mergeCell ref="P486:T486"/>
    <mergeCell ref="D450:E450"/>
    <mergeCell ref="D452:E452"/>
    <mergeCell ref="B497:B498"/>
    <mergeCell ref="P415:T415"/>
    <mergeCell ref="S496:T496"/>
    <mergeCell ref="A453:O454"/>
    <mergeCell ref="P430:T430"/>
    <mergeCell ref="A126:O127"/>
    <mergeCell ref="P23:V23"/>
    <mergeCell ref="P381:V381"/>
    <mergeCell ref="A262:Z262"/>
    <mergeCell ref="A333:Z333"/>
    <mergeCell ref="D54:E54"/>
    <mergeCell ref="P160:V160"/>
    <mergeCell ref="D271:E271"/>
    <mergeCell ref="D191:E191"/>
    <mergeCell ref="A31:O32"/>
    <mergeCell ref="A23:O24"/>
    <mergeCell ref="A35:O36"/>
    <mergeCell ref="P34:T34"/>
    <mergeCell ref="P32:V32"/>
    <mergeCell ref="D202:E202"/>
    <mergeCell ref="D224:E224"/>
    <mergeCell ref="P230:T230"/>
    <mergeCell ref="P168:T168"/>
    <mergeCell ref="D211:E211"/>
    <mergeCell ref="D214:E214"/>
    <mergeCell ref="D100:E100"/>
    <mergeCell ref="D87:E87"/>
    <mergeCell ref="A47:O48"/>
    <mergeCell ref="P100:T100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60:T60"/>
    <mergeCell ref="D291:E291"/>
    <mergeCell ref="P174:T174"/>
    <mergeCell ref="D266:E266"/>
    <mergeCell ref="U17:V17"/>
    <mergeCell ref="Y17:Y18"/>
    <mergeCell ref="P385:T385"/>
    <mergeCell ref="P410:T410"/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P202:T202"/>
    <mergeCell ref="P307:T307"/>
    <mergeCell ref="D421:E421"/>
    <mergeCell ref="P373:T373"/>
    <mergeCell ref="P444:T444"/>
    <mergeCell ref="D408:E408"/>
    <mergeCell ref="P216:V216"/>
    <mergeCell ref="A489:O494"/>
    <mergeCell ref="A484:Z484"/>
    <mergeCell ref="A487:O488"/>
    <mergeCell ref="A33:Z33"/>
    <mergeCell ref="T497:T498"/>
    <mergeCell ref="A440:Z440"/>
    <mergeCell ref="V497:V49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3 X75 X79:X80 X85 X87 X91 X94 X99:X101 X112:X115 X119 X124:X125 X129:X130 X135 X141 X146 X148 X162 X164:X166 X168 X186 X195:X200 X202 X208:X214 X218 X227 X232 X254 X256 X258 X273 X283 X289:X293 X297:X298 X300:X301 X303 X307 X310 X315:X317 X324 X335:X337 X343:X345 X349 X353 X358:X359 X368:X369 X373 X378:X379 X385 X387 X397:X398 X407 X421:X423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2025-11-11T10:37:14Z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