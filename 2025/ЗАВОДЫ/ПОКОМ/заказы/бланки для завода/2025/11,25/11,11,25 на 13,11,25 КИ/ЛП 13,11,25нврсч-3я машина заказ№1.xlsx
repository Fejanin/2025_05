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AF15D2D-661E-4D6B-863E-878C3712A11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BP378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P346" i="1" s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BP328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BP311" i="1" s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BP224" i="1" s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Z210" i="1" s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Y187" i="1" s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BP146" i="1" s="1"/>
  <c r="P146" i="1"/>
  <c r="X144" i="1"/>
  <c r="X143" i="1"/>
  <c r="BO142" i="1"/>
  <c r="BM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BP106" i="1" s="1"/>
  <c r="P106" i="1"/>
  <c r="X104" i="1"/>
  <c r="X103" i="1"/>
  <c r="BO102" i="1"/>
  <c r="BM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BP91" i="1" s="1"/>
  <c r="P91" i="1"/>
  <c r="X89" i="1"/>
  <c r="X88" i="1"/>
  <c r="BO87" i="1"/>
  <c r="BM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489" i="1" s="1"/>
  <c r="X23" i="1"/>
  <c r="BO22" i="1"/>
  <c r="BM22" i="1"/>
  <c r="Y22" i="1"/>
  <c r="Y23" i="1" s="1"/>
  <c r="P22" i="1"/>
  <c r="H10" i="1"/>
  <c r="A9" i="1"/>
  <c r="A10" i="1" s="1"/>
  <c r="D7" i="1"/>
  <c r="Q6" i="1"/>
  <c r="P2" i="1"/>
  <c r="Z28" i="1" l="1"/>
  <c r="BN28" i="1"/>
  <c r="Z46" i="1"/>
  <c r="Z47" i="1" s="1"/>
  <c r="BN46" i="1"/>
  <c r="BP46" i="1"/>
  <c r="Y47" i="1"/>
  <c r="Z51" i="1"/>
  <c r="BN51" i="1"/>
  <c r="Z67" i="1"/>
  <c r="BN67" i="1"/>
  <c r="Z91" i="1"/>
  <c r="BN91" i="1"/>
  <c r="Z106" i="1"/>
  <c r="BN106" i="1"/>
  <c r="Z125" i="1"/>
  <c r="BN125" i="1"/>
  <c r="Z146" i="1"/>
  <c r="BN146" i="1"/>
  <c r="Z163" i="1"/>
  <c r="BN163" i="1"/>
  <c r="Z175" i="1"/>
  <c r="BN175" i="1"/>
  <c r="Z200" i="1"/>
  <c r="BN200" i="1"/>
  <c r="Z224" i="1"/>
  <c r="BN224" i="1"/>
  <c r="Z232" i="1"/>
  <c r="BN232" i="1"/>
  <c r="Z257" i="1"/>
  <c r="BN257" i="1"/>
  <c r="Z273" i="1"/>
  <c r="BN273" i="1"/>
  <c r="Z291" i="1"/>
  <c r="BN291" i="1"/>
  <c r="Z301" i="1"/>
  <c r="BN301" i="1"/>
  <c r="Z311" i="1"/>
  <c r="BN311" i="1"/>
  <c r="Z328" i="1"/>
  <c r="BN328" i="1"/>
  <c r="Y338" i="1"/>
  <c r="Z345" i="1"/>
  <c r="BN345" i="1"/>
  <c r="Z346" i="1"/>
  <c r="BN346" i="1"/>
  <c r="Z378" i="1"/>
  <c r="BN378" i="1"/>
  <c r="Z392" i="1"/>
  <c r="BN392" i="1"/>
  <c r="Z424" i="1"/>
  <c r="BN424" i="1"/>
  <c r="Z436" i="1"/>
  <c r="BN436" i="1"/>
  <c r="Z450" i="1"/>
  <c r="BN450" i="1"/>
  <c r="Z472" i="1"/>
  <c r="BN472" i="1"/>
  <c r="J9" i="1"/>
  <c r="BP87" i="1"/>
  <c r="BN87" i="1"/>
  <c r="Z87" i="1"/>
  <c r="BP102" i="1"/>
  <c r="BN102" i="1"/>
  <c r="Z102" i="1"/>
  <c r="BP114" i="1"/>
  <c r="BN114" i="1"/>
  <c r="Z114" i="1"/>
  <c r="BP142" i="1"/>
  <c r="BN142" i="1"/>
  <c r="Z142" i="1"/>
  <c r="BP169" i="1"/>
  <c r="BN169" i="1"/>
  <c r="Z169" i="1"/>
  <c r="BP198" i="1"/>
  <c r="BN198" i="1"/>
  <c r="Z198" i="1"/>
  <c r="BP208" i="1"/>
  <c r="BN208" i="1"/>
  <c r="Z208" i="1"/>
  <c r="BP219" i="1"/>
  <c r="BN219" i="1"/>
  <c r="Z219" i="1"/>
  <c r="BP230" i="1"/>
  <c r="BN230" i="1"/>
  <c r="Z230" i="1"/>
  <c r="BP255" i="1"/>
  <c r="BN255" i="1"/>
  <c r="Z255" i="1"/>
  <c r="BP271" i="1"/>
  <c r="BN271" i="1"/>
  <c r="Z271" i="1"/>
  <c r="BP293" i="1"/>
  <c r="BN293" i="1"/>
  <c r="Z293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Y69" i="1"/>
  <c r="Z73" i="1"/>
  <c r="BN73" i="1"/>
  <c r="BP93" i="1"/>
  <c r="BN93" i="1"/>
  <c r="Z93" i="1"/>
  <c r="BP108" i="1"/>
  <c r="BN108" i="1"/>
  <c r="Z108" i="1"/>
  <c r="Y131" i="1"/>
  <c r="BP129" i="1"/>
  <c r="BN129" i="1"/>
  <c r="Z129" i="1"/>
  <c r="BP148" i="1"/>
  <c r="BN148" i="1"/>
  <c r="Z148" i="1"/>
  <c r="BP165" i="1"/>
  <c r="BN165" i="1"/>
  <c r="Z165" i="1"/>
  <c r="BP186" i="1"/>
  <c r="BN186" i="1"/>
  <c r="Z186" i="1"/>
  <c r="BP190" i="1"/>
  <c r="BN190" i="1"/>
  <c r="Z190" i="1"/>
  <c r="BP202" i="1"/>
  <c r="BN202" i="1"/>
  <c r="Z202" i="1"/>
  <c r="BP211" i="1"/>
  <c r="BN211" i="1"/>
  <c r="Z211" i="1"/>
  <c r="BP226" i="1"/>
  <c r="BN226" i="1"/>
  <c r="Z226" i="1"/>
  <c r="BP246" i="1"/>
  <c r="BN246" i="1"/>
  <c r="Z246" i="1"/>
  <c r="BP264" i="1"/>
  <c r="BN264" i="1"/>
  <c r="Z264" i="1"/>
  <c r="Y274" i="1"/>
  <c r="BP289" i="1"/>
  <c r="BN289" i="1"/>
  <c r="Z289" i="1"/>
  <c r="BP299" i="1"/>
  <c r="BN299" i="1"/>
  <c r="Z299" i="1"/>
  <c r="BP309" i="1"/>
  <c r="BN309" i="1"/>
  <c r="Z309" i="1"/>
  <c r="Y326" i="1"/>
  <c r="BP321" i="1"/>
  <c r="BN321" i="1"/>
  <c r="Z321" i="1"/>
  <c r="Y325" i="1"/>
  <c r="BP330" i="1"/>
  <c r="BN330" i="1"/>
  <c r="Z330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95" i="1"/>
  <c r="Y116" i="1"/>
  <c r="Y150" i="1"/>
  <c r="Y149" i="1"/>
  <c r="Y305" i="1"/>
  <c r="BP303" i="1"/>
  <c r="BN303" i="1"/>
  <c r="Z303" i="1"/>
  <c r="BP315" i="1"/>
  <c r="BN315" i="1"/>
  <c r="Z315" i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380" i="1"/>
  <c r="Y454" i="1"/>
  <c r="Y453" i="1"/>
  <c r="Y31" i="1"/>
  <c r="Y43" i="1"/>
  <c r="Y58" i="1"/>
  <c r="Y64" i="1"/>
  <c r="Y70" i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Y171" i="1"/>
  <c r="BP162" i="1"/>
  <c r="BN162" i="1"/>
  <c r="Z162" i="1"/>
  <c r="BP166" i="1"/>
  <c r="BN166" i="1"/>
  <c r="Z166" i="1"/>
  <c r="BP170" i="1"/>
  <c r="BN170" i="1"/>
  <c r="Z170" i="1"/>
  <c r="Y172" i="1"/>
  <c r="Y177" i="1"/>
  <c r="BP174" i="1"/>
  <c r="BN174" i="1"/>
  <c r="Z174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4" i="1"/>
  <c r="BN214" i="1"/>
  <c r="Z214" i="1"/>
  <c r="Y216" i="1"/>
  <c r="Y221" i="1"/>
  <c r="BP218" i="1"/>
  <c r="BN218" i="1"/>
  <c r="Z218" i="1"/>
  <c r="Z220" i="1" s="1"/>
  <c r="Y220" i="1"/>
  <c r="BP279" i="1"/>
  <c r="BN279" i="1"/>
  <c r="Z279" i="1"/>
  <c r="Z280" i="1" s="1"/>
  <c r="Y281" i="1"/>
  <c r="Y284" i="1"/>
  <c r="BP283" i="1"/>
  <c r="BN283" i="1"/>
  <c r="Z283" i="1"/>
  <c r="Z284" i="1" s="1"/>
  <c r="Y285" i="1"/>
  <c r="Q499" i="1"/>
  <c r="Y295" i="1"/>
  <c r="BP288" i="1"/>
  <c r="BN288" i="1"/>
  <c r="Z288" i="1"/>
  <c r="Y294" i="1"/>
  <c r="BP292" i="1"/>
  <c r="BN292" i="1"/>
  <c r="Z292" i="1"/>
  <c r="BP329" i="1"/>
  <c r="BN329" i="1"/>
  <c r="Z329" i="1"/>
  <c r="Y331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Y132" i="1"/>
  <c r="Y137" i="1"/>
  <c r="BP134" i="1"/>
  <c r="BN134" i="1"/>
  <c r="Z134" i="1"/>
  <c r="Z136" i="1" s="1"/>
  <c r="Y143" i="1"/>
  <c r="BP147" i="1"/>
  <c r="BN147" i="1"/>
  <c r="Z147" i="1"/>
  <c r="BP164" i="1"/>
  <c r="BN164" i="1"/>
  <c r="Z164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9" i="1"/>
  <c r="Y188" i="1"/>
  <c r="BP185" i="1"/>
  <c r="BN185" i="1"/>
  <c r="Z185" i="1"/>
  <c r="Y192" i="1"/>
  <c r="BP197" i="1"/>
  <c r="BN197" i="1"/>
  <c r="Z197" i="1"/>
  <c r="BP201" i="1"/>
  <c r="BN201" i="1"/>
  <c r="Z201" i="1"/>
  <c r="BP209" i="1"/>
  <c r="BN209" i="1"/>
  <c r="Z209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300" i="1"/>
  <c r="BN300" i="1"/>
  <c r="Z300" i="1"/>
  <c r="Y304" i="1"/>
  <c r="BP308" i="1"/>
  <c r="BN308" i="1"/>
  <c r="Z308" i="1"/>
  <c r="Y312" i="1"/>
  <c r="BP316" i="1"/>
  <c r="BN316" i="1"/>
  <c r="Z316" i="1"/>
  <c r="Y318" i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Y473" i="1"/>
  <c r="U499" i="1"/>
  <c r="E499" i="1"/>
  <c r="Y89" i="1"/>
  <c r="H499" i="1"/>
  <c r="Y144" i="1"/>
  <c r="Y215" i="1"/>
  <c r="BP210" i="1"/>
  <c r="BN210" i="1"/>
  <c r="BP212" i="1"/>
  <c r="BN212" i="1"/>
  <c r="Z212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BP258" i="1"/>
  <c r="BN258" i="1"/>
  <c r="Z258" i="1"/>
  <c r="Y260" i="1"/>
  <c r="M499" i="1"/>
  <c r="Y268" i="1"/>
  <c r="BP263" i="1"/>
  <c r="BN263" i="1"/>
  <c r="Z263" i="1"/>
  <c r="Z267" i="1" s="1"/>
  <c r="Y267" i="1"/>
  <c r="BP272" i="1"/>
  <c r="BN272" i="1"/>
  <c r="Z272" i="1"/>
  <c r="Z274" i="1" s="1"/>
  <c r="BP290" i="1"/>
  <c r="BN290" i="1"/>
  <c r="Z290" i="1"/>
  <c r="BP298" i="1"/>
  <c r="BN298" i="1"/>
  <c r="Z298" i="1"/>
  <c r="BP302" i="1"/>
  <c r="BN302" i="1"/>
  <c r="Z302" i="1"/>
  <c r="Y313" i="1"/>
  <c r="BP310" i="1"/>
  <c r="BN310" i="1"/>
  <c r="Z310" i="1"/>
  <c r="Y319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Y375" i="1"/>
  <c r="L499" i="1"/>
  <c r="K499" i="1"/>
  <c r="Y234" i="1"/>
  <c r="O499" i="1"/>
  <c r="Y275" i="1"/>
  <c r="P499" i="1"/>
  <c r="Y280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Z462" i="1" s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68" i="1" l="1"/>
  <c r="Z453" i="1"/>
  <c r="Z399" i="1"/>
  <c r="Z380" i="1"/>
  <c r="Z473" i="1"/>
  <c r="Z131" i="1"/>
  <c r="Z95" i="1"/>
  <c r="Z76" i="1"/>
  <c r="Z63" i="1"/>
  <c r="X492" i="1"/>
  <c r="Z143" i="1"/>
  <c r="Z411" i="1"/>
  <c r="Z325" i="1"/>
  <c r="Y491" i="1"/>
  <c r="Z57" i="1"/>
  <c r="Y490" i="1"/>
  <c r="Z31" i="1"/>
  <c r="Z375" i="1"/>
  <c r="Z312" i="1"/>
  <c r="Z304" i="1"/>
  <c r="Z259" i="1"/>
  <c r="Z250" i="1"/>
  <c r="Z234" i="1"/>
  <c r="Z350" i="1"/>
  <c r="Z318" i="1"/>
  <c r="Z187" i="1"/>
  <c r="Z149" i="1"/>
  <c r="Z331" i="1"/>
  <c r="Z215" i="1"/>
  <c r="Z103" i="1"/>
  <c r="Y493" i="1"/>
  <c r="Y492" i="1"/>
  <c r="Z394" i="1"/>
  <c r="Z294" i="1"/>
  <c r="Z171" i="1"/>
  <c r="Z438" i="1"/>
  <c r="Z447" i="1"/>
  <c r="Z432" i="1"/>
  <c r="Z69" i="1"/>
  <c r="Y489" i="1"/>
  <c r="Z203" i="1"/>
  <c r="Z177" i="1"/>
  <c r="Z494" i="1" l="1"/>
</calcChain>
</file>

<file path=xl/sharedStrings.xml><?xml version="1.0" encoding="utf-8"?>
<sst xmlns="http://schemas.openxmlformats.org/spreadsheetml/2006/main" count="2347" uniqueCount="766">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</sst>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39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37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5" xfId="0" applyBorder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5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624" t="s">
        <v>0</v>
      </c>
      <c r="E1" s="570"/>
      <c r="F1" s="570"/>
      <c r="G1" s="12" t="s">
        <v>1</v>
      </c>
      <c r="H1" s="624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1"/>
      <c r="Q3" s="551"/>
      <c r="R3" s="551"/>
      <c r="S3" s="551"/>
      <c r="T3" s="551"/>
      <c r="U3" s="551"/>
      <c r="V3" s="551"/>
      <c r="W3" s="551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656" t="s">
        <v>8</v>
      </c>
      <c r="B5" s="635"/>
      <c r="C5" s="636"/>
      <c r="D5" s="619"/>
      <c r="E5" s="620"/>
      <c r="F5" s="832" t="s">
        <v>9</v>
      </c>
      <c r="G5" s="636"/>
      <c r="H5" s="619" t="s">
        <v>765</v>
      </c>
      <c r="I5" s="774"/>
      <c r="J5" s="774"/>
      <c r="K5" s="774"/>
      <c r="L5" s="774"/>
      <c r="M5" s="620"/>
      <c r="N5" s="58"/>
      <c r="P5" s="24" t="s">
        <v>10</v>
      </c>
      <c r="Q5" s="838">
        <v>45974</v>
      </c>
      <c r="R5" s="631"/>
      <c r="T5" s="706" t="s">
        <v>11</v>
      </c>
      <c r="U5" s="707"/>
      <c r="V5" s="708" t="s">
        <v>12</v>
      </c>
      <c r="W5" s="631"/>
      <c r="AB5" s="51"/>
      <c r="AC5" s="51"/>
      <c r="AD5" s="51"/>
      <c r="AE5" s="51"/>
    </row>
    <row r="6" spans="1:32" s="538" customFormat="1" ht="24" customHeight="1" x14ac:dyDescent="0.2">
      <c r="A6" s="656" t="s">
        <v>13</v>
      </c>
      <c r="B6" s="635"/>
      <c r="C6" s="636"/>
      <c r="D6" s="776" t="s">
        <v>14</v>
      </c>
      <c r="E6" s="777"/>
      <c r="F6" s="777"/>
      <c r="G6" s="777"/>
      <c r="H6" s="777"/>
      <c r="I6" s="777"/>
      <c r="J6" s="777"/>
      <c r="K6" s="777"/>
      <c r="L6" s="777"/>
      <c r="M6" s="631"/>
      <c r="N6" s="59"/>
      <c r="P6" s="24" t="s">
        <v>15</v>
      </c>
      <c r="Q6" s="821" t="str">
        <f>IF(Q5=0," ",CHOOSE(WEEKDAY(Q5,2),"Понедельник","Вторник","Среда","Четверг","Пятница","Суббота","Воскресенье"))</f>
        <v>Четверг</v>
      </c>
      <c r="R6" s="546"/>
      <c r="T6" s="712" t="s">
        <v>16</v>
      </c>
      <c r="U6" s="707"/>
      <c r="V6" s="756" t="s">
        <v>17</v>
      </c>
      <c r="W6" s="581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1"/>
      <c r="U7" s="707"/>
      <c r="V7" s="757"/>
      <c r="W7" s="758"/>
      <c r="AB7" s="51"/>
      <c r="AC7" s="51"/>
      <c r="AD7" s="51"/>
      <c r="AE7" s="51"/>
    </row>
    <row r="8" spans="1:32" s="538" customFormat="1" ht="25.5" customHeight="1" x14ac:dyDescent="0.2">
      <c r="A8" s="853" t="s">
        <v>18</v>
      </c>
      <c r="B8" s="556"/>
      <c r="C8" s="557"/>
      <c r="D8" s="616" t="s">
        <v>19</v>
      </c>
      <c r="E8" s="617"/>
      <c r="F8" s="617"/>
      <c r="G8" s="617"/>
      <c r="H8" s="617"/>
      <c r="I8" s="617"/>
      <c r="J8" s="617"/>
      <c r="K8" s="617"/>
      <c r="L8" s="617"/>
      <c r="M8" s="618"/>
      <c r="N8" s="61"/>
      <c r="P8" s="24" t="s">
        <v>20</v>
      </c>
      <c r="Q8" s="665">
        <v>0.5</v>
      </c>
      <c r="R8" s="614"/>
      <c r="T8" s="551"/>
      <c r="U8" s="707"/>
      <c r="V8" s="757"/>
      <c r="W8" s="758"/>
      <c r="AB8" s="51"/>
      <c r="AC8" s="51"/>
      <c r="AD8" s="51"/>
      <c r="AE8" s="51"/>
    </row>
    <row r="9" spans="1:32" s="538" customFormat="1" ht="39.950000000000003" customHeight="1" x14ac:dyDescent="0.2">
      <c r="A9" s="63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1"/>
      <c r="C9" s="551"/>
      <c r="D9" s="673"/>
      <c r="E9" s="560"/>
      <c r="F9" s="63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1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9"/>
      <c r="P9" s="26" t="s">
        <v>21</v>
      </c>
      <c r="Q9" s="628"/>
      <c r="R9" s="629"/>
      <c r="T9" s="551"/>
      <c r="U9" s="707"/>
      <c r="V9" s="759"/>
      <c r="W9" s="760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63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1"/>
      <c r="C10" s="551"/>
      <c r="D10" s="673"/>
      <c r="E10" s="560"/>
      <c r="F10" s="63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1"/>
      <c r="H10" s="733" t="str">
        <f>IFERROR(VLOOKUP($D$10,Proxy,2,FALSE),"")</f>
        <v/>
      </c>
      <c r="I10" s="551"/>
      <c r="J10" s="551"/>
      <c r="K10" s="551"/>
      <c r="L10" s="551"/>
      <c r="M10" s="551"/>
      <c r="N10" s="537"/>
      <c r="P10" s="26" t="s">
        <v>22</v>
      </c>
      <c r="Q10" s="713"/>
      <c r="R10" s="714"/>
      <c r="U10" s="24" t="s">
        <v>23</v>
      </c>
      <c r="V10" s="580" t="s">
        <v>24</v>
      </c>
      <c r="W10" s="581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30"/>
      <c r="R11" s="631"/>
      <c r="U11" s="24" t="s">
        <v>27</v>
      </c>
      <c r="V11" s="787" t="s">
        <v>28</v>
      </c>
      <c r="W11" s="629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691" t="s">
        <v>29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6"/>
      <c r="N12" s="62"/>
      <c r="P12" s="24" t="s">
        <v>30</v>
      </c>
      <c r="Q12" s="665"/>
      <c r="R12" s="614"/>
      <c r="S12" s="23"/>
      <c r="U12" s="24"/>
      <c r="V12" s="570"/>
      <c r="W12" s="551"/>
      <c r="AB12" s="51"/>
      <c r="AC12" s="51"/>
      <c r="AD12" s="51"/>
      <c r="AE12" s="51"/>
    </row>
    <row r="13" spans="1:32" s="538" customFormat="1" ht="23.25" customHeight="1" x14ac:dyDescent="0.2">
      <c r="A13" s="691" t="s">
        <v>31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6"/>
      <c r="N13" s="62"/>
      <c r="O13" s="26"/>
      <c r="P13" s="26" t="s">
        <v>32</v>
      </c>
      <c r="Q13" s="787"/>
      <c r="R13" s="6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691" t="s">
        <v>33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697" t="s">
        <v>34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6"/>
      <c r="N15" s="63"/>
      <c r="P15" s="699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0"/>
      <c r="Q16" s="700"/>
      <c r="R16" s="700"/>
      <c r="S16" s="700"/>
      <c r="T16" s="70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3" t="s">
        <v>36</v>
      </c>
      <c r="B17" s="563" t="s">
        <v>37</v>
      </c>
      <c r="C17" s="667" t="s">
        <v>38</v>
      </c>
      <c r="D17" s="563" t="s">
        <v>39</v>
      </c>
      <c r="E17" s="642"/>
      <c r="F17" s="563" t="s">
        <v>40</v>
      </c>
      <c r="G17" s="563" t="s">
        <v>41</v>
      </c>
      <c r="H17" s="563" t="s">
        <v>42</v>
      </c>
      <c r="I17" s="563" t="s">
        <v>43</v>
      </c>
      <c r="J17" s="563" t="s">
        <v>44</v>
      </c>
      <c r="K17" s="563" t="s">
        <v>45</v>
      </c>
      <c r="L17" s="563" t="s">
        <v>46</v>
      </c>
      <c r="M17" s="563" t="s">
        <v>47</v>
      </c>
      <c r="N17" s="563" t="s">
        <v>48</v>
      </c>
      <c r="O17" s="563" t="s">
        <v>49</v>
      </c>
      <c r="P17" s="563" t="s">
        <v>50</v>
      </c>
      <c r="Q17" s="641"/>
      <c r="R17" s="641"/>
      <c r="S17" s="641"/>
      <c r="T17" s="642"/>
      <c r="U17" s="858" t="s">
        <v>51</v>
      </c>
      <c r="V17" s="636"/>
      <c r="W17" s="563" t="s">
        <v>52</v>
      </c>
      <c r="X17" s="563" t="s">
        <v>53</v>
      </c>
      <c r="Y17" s="859" t="s">
        <v>54</v>
      </c>
      <c r="Z17" s="770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27"/>
      <c r="AF17" s="828"/>
      <c r="AG17" s="66"/>
      <c r="BD17" s="65" t="s">
        <v>60</v>
      </c>
    </row>
    <row r="18" spans="1:68" ht="14.25" customHeight="1" x14ac:dyDescent="0.2">
      <c r="A18" s="564"/>
      <c r="B18" s="564"/>
      <c r="C18" s="564"/>
      <c r="D18" s="643"/>
      <c r="E18" s="645"/>
      <c r="F18" s="564"/>
      <c r="G18" s="564"/>
      <c r="H18" s="564"/>
      <c r="I18" s="564"/>
      <c r="J18" s="564"/>
      <c r="K18" s="564"/>
      <c r="L18" s="564"/>
      <c r="M18" s="564"/>
      <c r="N18" s="564"/>
      <c r="O18" s="564"/>
      <c r="P18" s="643"/>
      <c r="Q18" s="644"/>
      <c r="R18" s="644"/>
      <c r="S18" s="644"/>
      <c r="T18" s="645"/>
      <c r="U18" s="67" t="s">
        <v>61</v>
      </c>
      <c r="V18" s="67" t="s">
        <v>62</v>
      </c>
      <c r="W18" s="564"/>
      <c r="X18" s="564"/>
      <c r="Y18" s="860"/>
      <c r="Z18" s="771"/>
      <c r="AA18" s="735"/>
      <c r="AB18" s="735"/>
      <c r="AC18" s="735"/>
      <c r="AD18" s="829"/>
      <c r="AE18" s="830"/>
      <c r="AF18" s="831"/>
      <c r="AG18" s="66"/>
      <c r="BD18" s="65"/>
    </row>
    <row r="19" spans="1:68" ht="27.75" hidden="1" customHeight="1" x14ac:dyDescent="0.2">
      <c r="A19" s="637" t="s">
        <v>63</v>
      </c>
      <c r="B19" s="638"/>
      <c r="C19" s="638"/>
      <c r="D19" s="638"/>
      <c r="E19" s="638"/>
      <c r="F19" s="638"/>
      <c r="G19" s="638"/>
      <c r="H19" s="638"/>
      <c r="I19" s="638"/>
      <c r="J19" s="638"/>
      <c r="K19" s="638"/>
      <c r="L19" s="638"/>
      <c r="M19" s="638"/>
      <c r="N19" s="638"/>
      <c r="O19" s="638"/>
      <c r="P19" s="638"/>
      <c r="Q19" s="638"/>
      <c r="R19" s="638"/>
      <c r="S19" s="638"/>
      <c r="T19" s="638"/>
      <c r="U19" s="638"/>
      <c r="V19" s="638"/>
      <c r="W19" s="638"/>
      <c r="X19" s="638"/>
      <c r="Y19" s="638"/>
      <c r="Z19" s="638"/>
      <c r="AA19" s="48"/>
      <c r="AB19" s="48"/>
      <c r="AC19" s="48"/>
    </row>
    <row r="20" spans="1:68" ht="16.5" hidden="1" customHeight="1" x14ac:dyDescent="0.25">
      <c r="A20" s="554" t="s">
        <v>63</v>
      </c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36"/>
      <c r="AB20" s="536"/>
      <c r="AC20" s="536"/>
    </row>
    <row r="21" spans="1:68" ht="14.25" hidden="1" customHeight="1" x14ac:dyDescent="0.25">
      <c r="A21" s="553" t="s">
        <v>64</v>
      </c>
      <c r="B21" s="551"/>
      <c r="C21" s="55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0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2"/>
      <c r="P23" s="555" t="s">
        <v>71</v>
      </c>
      <c r="Q23" s="556"/>
      <c r="R23" s="556"/>
      <c r="S23" s="556"/>
      <c r="T23" s="556"/>
      <c r="U23" s="556"/>
      <c r="V23" s="557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1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2"/>
      <c r="P24" s="555" t="s">
        <v>71</v>
      </c>
      <c r="Q24" s="556"/>
      <c r="R24" s="556"/>
      <c r="S24" s="556"/>
      <c r="T24" s="556"/>
      <c r="U24" s="556"/>
      <c r="V24" s="557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3" t="s">
        <v>73</v>
      </c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5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0"/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2"/>
      <c r="P31" s="555" t="s">
        <v>71</v>
      </c>
      <c r="Q31" s="556"/>
      <c r="R31" s="556"/>
      <c r="S31" s="556"/>
      <c r="T31" s="556"/>
      <c r="U31" s="556"/>
      <c r="V31" s="557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1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2"/>
      <c r="P32" s="555" t="s">
        <v>71</v>
      </c>
      <c r="Q32" s="556"/>
      <c r="R32" s="556"/>
      <c r="S32" s="556"/>
      <c r="T32" s="556"/>
      <c r="U32" s="556"/>
      <c r="V32" s="557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3" t="s">
        <v>93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35"/>
      <c r="AB33" s="535"/>
      <c r="AC33" s="535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0"/>
      <c r="B35" s="551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2"/>
      <c r="P35" s="555" t="s">
        <v>71</v>
      </c>
      <c r="Q35" s="556"/>
      <c r="R35" s="556"/>
      <c r="S35" s="556"/>
      <c r="T35" s="556"/>
      <c r="U35" s="556"/>
      <c r="V35" s="557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1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2"/>
      <c r="P36" s="555" t="s">
        <v>71</v>
      </c>
      <c r="Q36" s="556"/>
      <c r="R36" s="556"/>
      <c r="S36" s="556"/>
      <c r="T36" s="556"/>
      <c r="U36" s="556"/>
      <c r="V36" s="557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7" t="s">
        <v>99</v>
      </c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8"/>
      <c r="P37" s="638"/>
      <c r="Q37" s="638"/>
      <c r="R37" s="638"/>
      <c r="S37" s="638"/>
      <c r="T37" s="638"/>
      <c r="U37" s="638"/>
      <c r="V37" s="638"/>
      <c r="W37" s="638"/>
      <c r="X37" s="638"/>
      <c r="Y37" s="638"/>
      <c r="Z37" s="638"/>
      <c r="AA37" s="48"/>
      <c r="AB37" s="48"/>
      <c r="AC37" s="48"/>
    </row>
    <row r="38" spans="1:68" ht="16.5" hidden="1" customHeight="1" x14ac:dyDescent="0.25">
      <c r="A38" s="554" t="s">
        <v>100</v>
      </c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  <c r="AA38" s="536"/>
      <c r="AB38" s="536"/>
      <c r="AC38" s="536"/>
    </row>
    <row r="39" spans="1:68" ht="14.25" hidden="1" customHeight="1" x14ac:dyDescent="0.25">
      <c r="A39" s="553" t="s">
        <v>101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35"/>
      <c r="AB39" s="535"/>
      <c r="AC39" s="53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220</v>
      </c>
      <c r="Y40" s="542">
        <f>IFERROR(IF(X40="",0,CEILING((X40/$H40),1)*$H40),"")</f>
        <v>226.8</v>
      </c>
      <c r="Z40" s="36">
        <f>IFERROR(IF(Y40=0,"",ROUNDUP(Y40/H40,0)*0.01898),"")</f>
        <v>0.39857999999999999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228.35185185185188</v>
      </c>
      <c r="BN40" s="64">
        <f>IFERROR(Y40*I40/H40,"0")</f>
        <v>235.41000000000003</v>
      </c>
      <c r="BO40" s="64">
        <f>IFERROR(1/J40*(X40/H40),"0")</f>
        <v>0.31828703703703703</v>
      </c>
      <c r="BP40" s="64">
        <f>IFERROR(1/J40*(Y40/H40),"0")</f>
        <v>0.328125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139</v>
      </c>
      <c r="Y41" s="542">
        <f>IFERROR(IF(X41="",0,CEILING((X41/$H41),1)*$H41),"")</f>
        <v>140</v>
      </c>
      <c r="Z41" s="36">
        <f>IFERROR(IF(Y41=0,"",ROUNDUP(Y41/H41,0)*0.00902),"")</f>
        <v>0.31569999999999998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145.60250000000002</v>
      </c>
      <c r="BN41" s="64">
        <f>IFERROR(Y41*I41/H41,"0")</f>
        <v>146.65</v>
      </c>
      <c r="BO41" s="64">
        <f>IFERROR(1/J41*(X41/H41),"0")</f>
        <v>0.26325757575757575</v>
      </c>
      <c r="BP41" s="64">
        <f>IFERROR(1/J41*(Y41/H41),"0")</f>
        <v>0.26515151515151514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0"/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2"/>
      <c r="P43" s="555" t="s">
        <v>71</v>
      </c>
      <c r="Q43" s="556"/>
      <c r="R43" s="556"/>
      <c r="S43" s="556"/>
      <c r="T43" s="556"/>
      <c r="U43" s="556"/>
      <c r="V43" s="557"/>
      <c r="W43" s="37" t="s">
        <v>72</v>
      </c>
      <c r="X43" s="543">
        <f>IFERROR(X40/H40,"0")+IFERROR(X41/H41,"0")+IFERROR(X42/H42,"0")</f>
        <v>55.120370370370367</v>
      </c>
      <c r="Y43" s="543">
        <f>IFERROR(Y40/H40,"0")+IFERROR(Y41/H41,"0")+IFERROR(Y42/H42,"0")</f>
        <v>56</v>
      </c>
      <c r="Z43" s="543">
        <f>IFERROR(IF(Z40="",0,Z40),"0")+IFERROR(IF(Z41="",0,Z41),"0")+IFERROR(IF(Z42="",0,Z42),"0")</f>
        <v>0.71428000000000003</v>
      </c>
      <c r="AA43" s="544"/>
      <c r="AB43" s="544"/>
      <c r="AC43" s="544"/>
    </row>
    <row r="44" spans="1:68" x14ac:dyDescent="0.2">
      <c r="A44" s="551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2"/>
      <c r="P44" s="555" t="s">
        <v>71</v>
      </c>
      <c r="Q44" s="556"/>
      <c r="R44" s="556"/>
      <c r="S44" s="556"/>
      <c r="T44" s="556"/>
      <c r="U44" s="556"/>
      <c r="V44" s="557"/>
      <c r="W44" s="37" t="s">
        <v>69</v>
      </c>
      <c r="X44" s="543">
        <f>IFERROR(SUM(X40:X42),"0")</f>
        <v>359</v>
      </c>
      <c r="Y44" s="543">
        <f>IFERROR(SUM(Y40:Y42),"0")</f>
        <v>366.8</v>
      </c>
      <c r="Z44" s="37"/>
      <c r="AA44" s="544"/>
      <c r="AB44" s="544"/>
      <c r="AC44" s="544"/>
    </row>
    <row r="45" spans="1:68" ht="14.25" hidden="1" customHeight="1" x14ac:dyDescent="0.25">
      <c r="A45" s="553" t="s">
        <v>73</v>
      </c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35"/>
      <c r="AB45" s="535"/>
      <c r="AC45" s="535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0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2"/>
      <c r="P47" s="555" t="s">
        <v>71</v>
      </c>
      <c r="Q47" s="556"/>
      <c r="R47" s="556"/>
      <c r="S47" s="556"/>
      <c r="T47" s="556"/>
      <c r="U47" s="556"/>
      <c r="V47" s="557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2"/>
      <c r="P48" s="555" t="s">
        <v>71</v>
      </c>
      <c r="Q48" s="556"/>
      <c r="R48" s="556"/>
      <c r="S48" s="556"/>
      <c r="T48" s="556"/>
      <c r="U48" s="556"/>
      <c r="V48" s="557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54" t="s">
        <v>117</v>
      </c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36"/>
      <c r="AB49" s="536"/>
      <c r="AC49" s="536"/>
    </row>
    <row r="50" spans="1:68" ht="14.25" hidden="1" customHeight="1" x14ac:dyDescent="0.25">
      <c r="A50" s="553" t="s">
        <v>101</v>
      </c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35"/>
      <c r="AB50" s="535"/>
      <c r="AC50" s="535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330</v>
      </c>
      <c r="Y52" s="542">
        <f t="shared" si="0"/>
        <v>334.8</v>
      </c>
      <c r="Z52" s="36">
        <f>IFERROR(IF(Y52=0,"",ROUNDUP(Y52/H52,0)*0.01898),"")</f>
        <v>0.58838000000000001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342.52777777777777</v>
      </c>
      <c r="BN52" s="64">
        <f t="shared" si="2"/>
        <v>347.51000000000005</v>
      </c>
      <c r="BO52" s="64">
        <f t="shared" si="3"/>
        <v>0.47743055555555552</v>
      </c>
      <c r="BP52" s="64">
        <f t="shared" si="4"/>
        <v>0.484375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380</v>
      </c>
      <c r="Y56" s="542">
        <f t="shared" si="0"/>
        <v>382.5</v>
      </c>
      <c r="Z56" s="36">
        <f>IFERROR(IF(Y56=0,"",ROUNDUP(Y56/H56,0)*0.00902),"")</f>
        <v>0.76670000000000005</v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396.04444444444448</v>
      </c>
      <c r="BN56" s="64">
        <f t="shared" si="2"/>
        <v>398.65000000000003</v>
      </c>
      <c r="BO56" s="64">
        <f t="shared" si="3"/>
        <v>0.63973063973063971</v>
      </c>
      <c r="BP56" s="64">
        <f t="shared" si="4"/>
        <v>0.64393939393939392</v>
      </c>
    </row>
    <row r="57" spans="1:68" x14ac:dyDescent="0.2">
      <c r="A57" s="550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2"/>
      <c r="P57" s="555" t="s">
        <v>71</v>
      </c>
      <c r="Q57" s="556"/>
      <c r="R57" s="556"/>
      <c r="S57" s="556"/>
      <c r="T57" s="556"/>
      <c r="U57" s="556"/>
      <c r="V57" s="557"/>
      <c r="W57" s="37" t="s">
        <v>72</v>
      </c>
      <c r="X57" s="543">
        <f>IFERROR(X51/H51,"0")+IFERROR(X52/H52,"0")+IFERROR(X53/H53,"0")+IFERROR(X54/H54,"0")+IFERROR(X55/H55,"0")+IFERROR(X56/H56,"0")</f>
        <v>115</v>
      </c>
      <c r="Y57" s="543">
        <f>IFERROR(Y51/H51,"0")+IFERROR(Y52/H52,"0")+IFERROR(Y53/H53,"0")+IFERROR(Y54/H54,"0")+IFERROR(Y55/H55,"0")+IFERROR(Y56/H56,"0")</f>
        <v>116</v>
      </c>
      <c r="Z57" s="543">
        <f>IFERROR(IF(Z51="",0,Z51),"0")+IFERROR(IF(Z52="",0,Z52),"0")+IFERROR(IF(Z53="",0,Z53),"0")+IFERROR(IF(Z54="",0,Z54),"0")+IFERROR(IF(Z55="",0,Z55),"0")+IFERROR(IF(Z56="",0,Z56),"0")</f>
        <v>1.3550800000000001</v>
      </c>
      <c r="AA57" s="544"/>
      <c r="AB57" s="544"/>
      <c r="AC57" s="544"/>
    </row>
    <row r="58" spans="1:68" x14ac:dyDescent="0.2">
      <c r="A58" s="551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2"/>
      <c r="P58" s="555" t="s">
        <v>71</v>
      </c>
      <c r="Q58" s="556"/>
      <c r="R58" s="556"/>
      <c r="S58" s="556"/>
      <c r="T58" s="556"/>
      <c r="U58" s="556"/>
      <c r="V58" s="557"/>
      <c r="W58" s="37" t="s">
        <v>69</v>
      </c>
      <c r="X58" s="543">
        <f>IFERROR(SUM(X51:X56),"0")</f>
        <v>710</v>
      </c>
      <c r="Y58" s="543">
        <f>IFERROR(SUM(Y51:Y56),"0")</f>
        <v>717.3</v>
      </c>
      <c r="Z58" s="37"/>
      <c r="AA58" s="544"/>
      <c r="AB58" s="544"/>
      <c r="AC58" s="544"/>
    </row>
    <row r="59" spans="1:68" ht="14.25" hidden="1" customHeight="1" x14ac:dyDescent="0.25">
      <c r="A59" s="553" t="s">
        <v>136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850</v>
      </c>
      <c r="Y60" s="542">
        <f>IFERROR(IF(X60="",0,CEILING((X60/$H60),1)*$H60),"")</f>
        <v>853.2</v>
      </c>
      <c r="Z60" s="36">
        <f>IFERROR(IF(Y60=0,"",ROUNDUP(Y60/H60,0)*0.01898),"")</f>
        <v>1.49942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882.26851851851848</v>
      </c>
      <c r="BN60" s="64">
        <f>IFERROR(Y60*I60/H60,"0")</f>
        <v>885.59</v>
      </c>
      <c r="BO60" s="64">
        <f>IFERROR(1/J60*(X60/H60),"0")</f>
        <v>1.2297453703703702</v>
      </c>
      <c r="BP60" s="64">
        <f>IFERROR(1/J60*(Y60/H60),"0")</f>
        <v>1.234375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0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2"/>
      <c r="P63" s="555" t="s">
        <v>71</v>
      </c>
      <c r="Q63" s="556"/>
      <c r="R63" s="556"/>
      <c r="S63" s="556"/>
      <c r="T63" s="556"/>
      <c r="U63" s="556"/>
      <c r="V63" s="557"/>
      <c r="W63" s="37" t="s">
        <v>72</v>
      </c>
      <c r="X63" s="543">
        <f>IFERROR(X60/H60,"0")+IFERROR(X61/H61,"0")+IFERROR(X62/H62,"0")</f>
        <v>78.703703703703695</v>
      </c>
      <c r="Y63" s="543">
        <f>IFERROR(Y60/H60,"0")+IFERROR(Y61/H61,"0")+IFERROR(Y62/H62,"0")</f>
        <v>79</v>
      </c>
      <c r="Z63" s="543">
        <f>IFERROR(IF(Z60="",0,Z60),"0")+IFERROR(IF(Z61="",0,Z61),"0")+IFERROR(IF(Z62="",0,Z62),"0")</f>
        <v>1.49942</v>
      </c>
      <c r="AA63" s="544"/>
      <c r="AB63" s="544"/>
      <c r="AC63" s="544"/>
    </row>
    <row r="64" spans="1:68" x14ac:dyDescent="0.2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2"/>
      <c r="P64" s="555" t="s">
        <v>71</v>
      </c>
      <c r="Q64" s="556"/>
      <c r="R64" s="556"/>
      <c r="S64" s="556"/>
      <c r="T64" s="556"/>
      <c r="U64" s="556"/>
      <c r="V64" s="557"/>
      <c r="W64" s="37" t="s">
        <v>69</v>
      </c>
      <c r="X64" s="543">
        <f>IFERROR(SUM(X60:X62),"0")</f>
        <v>850</v>
      </c>
      <c r="Y64" s="543">
        <f>IFERROR(SUM(Y60:Y62),"0")</f>
        <v>853.2</v>
      </c>
      <c r="Z64" s="37"/>
      <c r="AA64" s="544"/>
      <c r="AB64" s="544"/>
      <c r="AC64" s="544"/>
    </row>
    <row r="65" spans="1:68" ht="14.25" hidden="1" customHeight="1" x14ac:dyDescent="0.25">
      <c r="A65" s="553" t="s">
        <v>64</v>
      </c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35"/>
      <c r="AB65" s="535"/>
      <c r="AC65" s="535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0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2"/>
      <c r="P69" s="555" t="s">
        <v>71</v>
      </c>
      <c r="Q69" s="556"/>
      <c r="R69" s="556"/>
      <c r="S69" s="556"/>
      <c r="T69" s="556"/>
      <c r="U69" s="556"/>
      <c r="V69" s="557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2"/>
      <c r="P70" s="555" t="s">
        <v>71</v>
      </c>
      <c r="Q70" s="556"/>
      <c r="R70" s="556"/>
      <c r="S70" s="556"/>
      <c r="T70" s="556"/>
      <c r="U70" s="556"/>
      <c r="V70" s="557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3" t="s">
        <v>73</v>
      </c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35"/>
      <c r="AB71" s="535"/>
      <c r="AC71" s="535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60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0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2"/>
      <c r="P76" s="555" t="s">
        <v>71</v>
      </c>
      <c r="Q76" s="556"/>
      <c r="R76" s="556"/>
      <c r="S76" s="556"/>
      <c r="T76" s="556"/>
      <c r="U76" s="556"/>
      <c r="V76" s="557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2"/>
      <c r="P77" s="555" t="s">
        <v>71</v>
      </c>
      <c r="Q77" s="556"/>
      <c r="R77" s="556"/>
      <c r="S77" s="556"/>
      <c r="T77" s="556"/>
      <c r="U77" s="556"/>
      <c r="V77" s="557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3" t="s">
        <v>164</v>
      </c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35"/>
      <c r="AB78" s="535"/>
      <c r="AC78" s="535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6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0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2"/>
      <c r="P81" s="555" t="s">
        <v>71</v>
      </c>
      <c r="Q81" s="556"/>
      <c r="R81" s="556"/>
      <c r="S81" s="556"/>
      <c r="T81" s="556"/>
      <c r="U81" s="556"/>
      <c r="V81" s="557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2"/>
      <c r="P82" s="555" t="s">
        <v>71</v>
      </c>
      <c r="Q82" s="556"/>
      <c r="R82" s="556"/>
      <c r="S82" s="556"/>
      <c r="T82" s="556"/>
      <c r="U82" s="556"/>
      <c r="V82" s="557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54" t="s">
        <v>171</v>
      </c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36"/>
      <c r="AB83" s="536"/>
      <c r="AC83" s="536"/>
    </row>
    <row r="84" spans="1:68" ht="14.25" hidden="1" customHeight="1" x14ac:dyDescent="0.25">
      <c r="A84" s="553" t="s">
        <v>101</v>
      </c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35"/>
      <c r="AB84" s="535"/>
      <c r="AC84" s="535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72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128</v>
      </c>
      <c r="Y85" s="542">
        <f>IFERROR(IF(X85="",0,CEILING((X85/$H85),1)*$H85),"")</f>
        <v>129.60000000000002</v>
      </c>
      <c r="Z85" s="36">
        <f>IFERROR(IF(Y85=0,"",ROUNDUP(Y85/H85,0)*0.01898),"")</f>
        <v>0.22776000000000002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132.85925925925926</v>
      </c>
      <c r="BN85" s="64">
        <f>IFERROR(Y85*I85/H85,"0")</f>
        <v>134.52000000000001</v>
      </c>
      <c r="BO85" s="64">
        <f>IFERROR(1/J85*(X85/H85),"0")</f>
        <v>0.18518518518518517</v>
      </c>
      <c r="BP85" s="64">
        <f>IFERROR(1/J85*(Y85/H85),"0")</f>
        <v>0.18750000000000003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0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135</v>
      </c>
      <c r="Y87" s="542">
        <f>IFERROR(IF(X87="",0,CEILING((X87/$H87),1)*$H87),"")</f>
        <v>135</v>
      </c>
      <c r="Z87" s="36">
        <f>IFERROR(IF(Y87=0,"",ROUNDUP(Y87/H87,0)*0.00902),"")</f>
        <v>0.27060000000000001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140.70000000000002</v>
      </c>
      <c r="BN87" s="64">
        <f>IFERROR(Y87*I87/H87,"0")</f>
        <v>140.70000000000002</v>
      </c>
      <c r="BO87" s="64">
        <f>IFERROR(1/J87*(X87/H87),"0")</f>
        <v>0.22727272727272729</v>
      </c>
      <c r="BP87" s="64">
        <f>IFERROR(1/J87*(Y87/H87),"0")</f>
        <v>0.22727272727272729</v>
      </c>
    </row>
    <row r="88" spans="1:68" x14ac:dyDescent="0.2">
      <c r="A88" s="550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2"/>
      <c r="P88" s="555" t="s">
        <v>71</v>
      </c>
      <c r="Q88" s="556"/>
      <c r="R88" s="556"/>
      <c r="S88" s="556"/>
      <c r="T88" s="556"/>
      <c r="U88" s="556"/>
      <c r="V88" s="557"/>
      <c r="W88" s="37" t="s">
        <v>72</v>
      </c>
      <c r="X88" s="543">
        <f>IFERROR(X85/H85,"0")+IFERROR(X86/H86,"0")+IFERROR(X87/H87,"0")</f>
        <v>41.851851851851848</v>
      </c>
      <c r="Y88" s="543">
        <f>IFERROR(Y85/H85,"0")+IFERROR(Y86/H86,"0")+IFERROR(Y87/H87,"0")</f>
        <v>42</v>
      </c>
      <c r="Z88" s="543">
        <f>IFERROR(IF(Z85="",0,Z85),"0")+IFERROR(IF(Z86="",0,Z86),"0")+IFERROR(IF(Z87="",0,Z87),"0")</f>
        <v>0.49836000000000003</v>
      </c>
      <c r="AA88" s="544"/>
      <c r="AB88" s="544"/>
      <c r="AC88" s="544"/>
    </row>
    <row r="89" spans="1:68" x14ac:dyDescent="0.2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2"/>
      <c r="P89" s="555" t="s">
        <v>71</v>
      </c>
      <c r="Q89" s="556"/>
      <c r="R89" s="556"/>
      <c r="S89" s="556"/>
      <c r="T89" s="556"/>
      <c r="U89" s="556"/>
      <c r="V89" s="557"/>
      <c r="W89" s="37" t="s">
        <v>69</v>
      </c>
      <c r="X89" s="543">
        <f>IFERROR(SUM(X85:X87),"0")</f>
        <v>263</v>
      </c>
      <c r="Y89" s="543">
        <f>IFERROR(SUM(Y85:Y87),"0")</f>
        <v>264.60000000000002</v>
      </c>
      <c r="Z89" s="37"/>
      <c r="AA89" s="544"/>
      <c r="AB89" s="544"/>
      <c r="AC89" s="544"/>
    </row>
    <row r="90" spans="1:68" ht="14.25" hidden="1" customHeight="1" x14ac:dyDescent="0.25">
      <c r="A90" s="553" t="s">
        <v>73</v>
      </c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35"/>
      <c r="AB90" s="535"/>
      <c r="AC90" s="535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8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250</v>
      </c>
      <c r="Y91" s="542">
        <f>IFERROR(IF(X91="",0,CEILING((X91/$H91),1)*$H91),"")</f>
        <v>251.1</v>
      </c>
      <c r="Z91" s="36">
        <f>IFERROR(IF(Y91=0,"",ROUNDUP(Y91/H91,0)*0.01898),"")</f>
        <v>0.58838000000000001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265.24691358024694</v>
      </c>
      <c r="BN91" s="64">
        <f>IFERROR(Y91*I91/H91,"0")</f>
        <v>266.41399999999999</v>
      </c>
      <c r="BO91" s="64">
        <f>IFERROR(1/J91*(X91/H91),"0")</f>
        <v>0.48225308641975312</v>
      </c>
      <c r="BP91" s="64">
        <f>IFERROR(1/J91*(Y91/H91),"0")</f>
        <v>0.484375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129</v>
      </c>
      <c r="Y93" s="542">
        <f>IFERROR(IF(X93="",0,CEILING((X93/$H93),1)*$H93),"")</f>
        <v>129.60000000000002</v>
      </c>
      <c r="Z93" s="36">
        <f>IFERROR(IF(Y93=0,"",ROUNDUP(Y93/H93,0)*0.00651),"")</f>
        <v>0.31247999999999998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141.04</v>
      </c>
      <c r="BN93" s="64">
        <f>IFERROR(Y93*I93/H93,"0")</f>
        <v>141.69600000000003</v>
      </c>
      <c r="BO93" s="64">
        <f>IFERROR(1/J93*(X93/H93),"0")</f>
        <v>0.26251526251526253</v>
      </c>
      <c r="BP93" s="64">
        <f>IFERROR(1/J93*(Y93/H93),"0")</f>
        <v>0.2637362637362638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102</v>
      </c>
      <c r="Y94" s="542">
        <f>IFERROR(IF(X94="",0,CEILING((X94/$H94),1)*$H94),"")</f>
        <v>102.96</v>
      </c>
      <c r="Z94" s="36">
        <f>IFERROR(IF(Y94=0,"",ROUNDUP(Y94/H94,0)*0.00651),"")</f>
        <v>0.33851999999999999</v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115.2909090909091</v>
      </c>
      <c r="BN94" s="64">
        <f>IFERROR(Y94*I94/H94,"0")</f>
        <v>116.37599999999999</v>
      </c>
      <c r="BO94" s="64">
        <f>IFERROR(1/J94*(X94/H94),"0")</f>
        <v>0.28305028305028307</v>
      </c>
      <c r="BP94" s="64">
        <f>IFERROR(1/J94*(Y94/H94),"0")</f>
        <v>0.28571428571428575</v>
      </c>
    </row>
    <row r="95" spans="1:68" x14ac:dyDescent="0.2">
      <c r="A95" s="550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2"/>
      <c r="P95" s="555" t="s">
        <v>71</v>
      </c>
      <c r="Q95" s="556"/>
      <c r="R95" s="556"/>
      <c r="S95" s="556"/>
      <c r="T95" s="556"/>
      <c r="U95" s="556"/>
      <c r="V95" s="557"/>
      <c r="W95" s="37" t="s">
        <v>72</v>
      </c>
      <c r="X95" s="543">
        <f>IFERROR(X91/H91,"0")+IFERROR(X92/H92,"0")+IFERROR(X93/H93,"0")+IFERROR(X94/H94,"0")</f>
        <v>130.15712682379348</v>
      </c>
      <c r="Y95" s="543">
        <f>IFERROR(Y91/H91,"0")+IFERROR(Y92/H92,"0")+IFERROR(Y93/H93,"0")+IFERROR(Y94/H94,"0")</f>
        <v>131</v>
      </c>
      <c r="Z95" s="543">
        <f>IFERROR(IF(Z91="",0,Z91),"0")+IFERROR(IF(Z92="",0,Z92),"0")+IFERROR(IF(Z93="",0,Z93),"0")+IFERROR(IF(Z94="",0,Z94),"0")</f>
        <v>1.2393799999999999</v>
      </c>
      <c r="AA95" s="544"/>
      <c r="AB95" s="544"/>
      <c r="AC95" s="544"/>
    </row>
    <row r="96" spans="1:68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2"/>
      <c r="P96" s="555" t="s">
        <v>71</v>
      </c>
      <c r="Q96" s="556"/>
      <c r="R96" s="556"/>
      <c r="S96" s="556"/>
      <c r="T96" s="556"/>
      <c r="U96" s="556"/>
      <c r="V96" s="557"/>
      <c r="W96" s="37" t="s">
        <v>69</v>
      </c>
      <c r="X96" s="543">
        <f>IFERROR(SUM(X91:X94),"0")</f>
        <v>481</v>
      </c>
      <c r="Y96" s="543">
        <f>IFERROR(SUM(Y91:Y94),"0")</f>
        <v>483.66</v>
      </c>
      <c r="Z96" s="37"/>
      <c r="AA96" s="544"/>
      <c r="AB96" s="544"/>
      <c r="AC96" s="544"/>
    </row>
    <row r="97" spans="1:68" ht="16.5" hidden="1" customHeight="1" x14ac:dyDescent="0.25">
      <c r="A97" s="554" t="s">
        <v>190</v>
      </c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36"/>
      <c r="AB97" s="536"/>
      <c r="AC97" s="536"/>
    </row>
    <row r="98" spans="1:68" ht="14.25" hidden="1" customHeight="1" x14ac:dyDescent="0.25">
      <c r="A98" s="553" t="s">
        <v>101</v>
      </c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29</v>
      </c>
      <c r="Y99" s="542">
        <f>IFERROR(IF(X99="",0,CEILING((X99/$H99),1)*$H99),"")</f>
        <v>32.400000000000006</v>
      </c>
      <c r="Z99" s="36">
        <f>IFERROR(IF(Y99=0,"",ROUNDUP(Y99/H99,0)*0.01898),"")</f>
        <v>5.6940000000000004E-2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30.100925925925928</v>
      </c>
      <c r="BN99" s="64">
        <f>IFERROR(Y99*I99/H99,"0")</f>
        <v>33.630000000000003</v>
      </c>
      <c r="BO99" s="64">
        <f>IFERROR(1/J99*(X99/H99),"0")</f>
        <v>4.1956018518518517E-2</v>
      </c>
      <c r="BP99" s="64">
        <f>IFERROR(1/J99*(Y99/H99),"0")</f>
        <v>4.6875000000000007E-2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59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23</v>
      </c>
      <c r="Y100" s="542">
        <f>IFERROR(IF(X100="",0,CEILING((X100/$H100),1)*$H100),"")</f>
        <v>26.25</v>
      </c>
      <c r="Z100" s="36">
        <f>IFERROR(IF(Y100=0,"",ROUNDUP(Y100/H100,0)*0.00902),"")</f>
        <v>6.3140000000000002E-2</v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24.165333333333333</v>
      </c>
      <c r="BN100" s="64">
        <f>IFERROR(Y100*I100/H100,"0")</f>
        <v>27.58</v>
      </c>
      <c r="BO100" s="64">
        <f>IFERROR(1/J100*(X100/H100),"0")</f>
        <v>4.6464646464646472E-2</v>
      </c>
      <c r="BP100" s="64">
        <f>IFERROR(1/J100*(Y100/H100),"0")</f>
        <v>5.3030303030303032E-2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3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113</v>
      </c>
      <c r="Y101" s="542">
        <f>IFERROR(IF(X101="",0,CEILING((X101/$H101),1)*$H101),"")</f>
        <v>117</v>
      </c>
      <c r="Z101" s="36">
        <f>IFERROR(IF(Y101=0,"",ROUNDUP(Y101/H101,0)*0.00902),"")</f>
        <v>0.23452000000000001</v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117.77111111111111</v>
      </c>
      <c r="BN101" s="64">
        <f>IFERROR(Y101*I101/H101,"0")</f>
        <v>121.94</v>
      </c>
      <c r="BO101" s="64">
        <f>IFERROR(1/J101*(X101/H101),"0")</f>
        <v>0.19023569023569023</v>
      </c>
      <c r="BP101" s="64">
        <f>IFERROR(1/J101*(Y101/H101),"0")</f>
        <v>0.19696969696969696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0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2"/>
      <c r="P103" s="555" t="s">
        <v>71</v>
      </c>
      <c r="Q103" s="556"/>
      <c r="R103" s="556"/>
      <c r="S103" s="556"/>
      <c r="T103" s="556"/>
      <c r="U103" s="556"/>
      <c r="V103" s="557"/>
      <c r="W103" s="37" t="s">
        <v>72</v>
      </c>
      <c r="X103" s="543">
        <f>IFERROR(X99/H99,"0")+IFERROR(X100/H100,"0")+IFERROR(X101/H101,"0")+IFERROR(X102/H102,"0")</f>
        <v>33.92962962962963</v>
      </c>
      <c r="Y103" s="543">
        <f>IFERROR(Y99/H99,"0")+IFERROR(Y100/H100,"0")+IFERROR(Y101/H101,"0")+IFERROR(Y102/H102,"0")</f>
        <v>36</v>
      </c>
      <c r="Z103" s="543">
        <f>IFERROR(IF(Z99="",0,Z99),"0")+IFERROR(IF(Z100="",0,Z100),"0")+IFERROR(IF(Z101="",0,Z101),"0")+IFERROR(IF(Z102="",0,Z102),"0")</f>
        <v>0.35460000000000003</v>
      </c>
      <c r="AA103" s="544"/>
      <c r="AB103" s="544"/>
      <c r="AC103" s="544"/>
    </row>
    <row r="104" spans="1:68" x14ac:dyDescent="0.2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2"/>
      <c r="P104" s="555" t="s">
        <v>71</v>
      </c>
      <c r="Q104" s="556"/>
      <c r="R104" s="556"/>
      <c r="S104" s="556"/>
      <c r="T104" s="556"/>
      <c r="U104" s="556"/>
      <c r="V104" s="557"/>
      <c r="W104" s="37" t="s">
        <v>69</v>
      </c>
      <c r="X104" s="543">
        <f>IFERROR(SUM(X99:X102),"0")</f>
        <v>165</v>
      </c>
      <c r="Y104" s="543">
        <f>IFERROR(SUM(Y99:Y102),"0")</f>
        <v>175.65</v>
      </c>
      <c r="Z104" s="37"/>
      <c r="AA104" s="544"/>
      <c r="AB104" s="544"/>
      <c r="AC104" s="544"/>
    </row>
    <row r="105" spans="1:68" ht="14.25" hidden="1" customHeight="1" x14ac:dyDescent="0.25">
      <c r="A105" s="553" t="s">
        <v>136</v>
      </c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3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8</v>
      </c>
      <c r="Y107" s="542">
        <f>IFERROR(IF(X107="",0,CEILING((X107/$H107),1)*$H107),"")</f>
        <v>9.6</v>
      </c>
      <c r="Z107" s="36">
        <f>IFERROR(IF(Y107=0,"",ROUNDUP(Y107/H107,0)*0.00502),"")</f>
        <v>2.0080000000000001E-2</v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8.3333333333333339</v>
      </c>
      <c r="BN107" s="64">
        <f>IFERROR(Y107*I107/H107,"0")</f>
        <v>10</v>
      </c>
      <c r="BO107" s="64">
        <f>IFERROR(1/J107*(X107/H107),"0")</f>
        <v>1.4245014245014247E-2</v>
      </c>
      <c r="BP107" s="64">
        <f>IFERROR(1/J107*(Y107/H107),"0")</f>
        <v>1.7094017094017096E-2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0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2"/>
      <c r="P109" s="555" t="s">
        <v>71</v>
      </c>
      <c r="Q109" s="556"/>
      <c r="R109" s="556"/>
      <c r="S109" s="556"/>
      <c r="T109" s="556"/>
      <c r="U109" s="556"/>
      <c r="V109" s="557"/>
      <c r="W109" s="37" t="s">
        <v>72</v>
      </c>
      <c r="X109" s="543">
        <f>IFERROR(X106/H106,"0")+IFERROR(X107/H107,"0")+IFERROR(X108/H108,"0")</f>
        <v>3.3333333333333335</v>
      </c>
      <c r="Y109" s="543">
        <f>IFERROR(Y106/H106,"0")+IFERROR(Y107/H107,"0")+IFERROR(Y108/H108,"0")</f>
        <v>4</v>
      </c>
      <c r="Z109" s="543">
        <f>IFERROR(IF(Z106="",0,Z106),"0")+IFERROR(IF(Z107="",0,Z107),"0")+IFERROR(IF(Z108="",0,Z108),"0")</f>
        <v>2.0080000000000001E-2</v>
      </c>
      <c r="AA109" s="544"/>
      <c r="AB109" s="544"/>
      <c r="AC109" s="544"/>
    </row>
    <row r="110" spans="1:68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2"/>
      <c r="P110" s="555" t="s">
        <v>71</v>
      </c>
      <c r="Q110" s="556"/>
      <c r="R110" s="556"/>
      <c r="S110" s="556"/>
      <c r="T110" s="556"/>
      <c r="U110" s="556"/>
      <c r="V110" s="557"/>
      <c r="W110" s="37" t="s">
        <v>69</v>
      </c>
      <c r="X110" s="543">
        <f>IFERROR(SUM(X106:X108),"0")</f>
        <v>8</v>
      </c>
      <c r="Y110" s="543">
        <f>IFERROR(SUM(Y106:Y108),"0")</f>
        <v>9.6</v>
      </c>
      <c r="Z110" s="37"/>
      <c r="AA110" s="544"/>
      <c r="AB110" s="544"/>
      <c r="AC110" s="544"/>
    </row>
    <row r="111" spans="1:68" ht="14.25" hidden="1" customHeight="1" x14ac:dyDescent="0.25">
      <c r="A111" s="553" t="s">
        <v>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77</v>
      </c>
      <c r="Y112" s="542">
        <f>IFERROR(IF(X112="",0,CEILING((X112/$H112),1)*$H112),"")</f>
        <v>81</v>
      </c>
      <c r="Z112" s="36">
        <f>IFERROR(IF(Y112=0,"",ROUNDUP(Y112/H112,0)*0.01898),"")</f>
        <v>0.1898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81.639012345679006</v>
      </c>
      <c r="BN112" s="64">
        <f>IFERROR(Y112*I112/H112,"0")</f>
        <v>85.88</v>
      </c>
      <c r="BO112" s="64">
        <f>IFERROR(1/J112*(X112/H112),"0")</f>
        <v>0.14853395061728394</v>
      </c>
      <c r="BP112" s="64">
        <f>IFERROR(1/J112*(Y112/H112),"0")</f>
        <v>0.15625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140</v>
      </c>
      <c r="Y114" s="542">
        <f>IFERROR(IF(X114="",0,CEILING((X114/$H114),1)*$H114),"")</f>
        <v>140.4</v>
      </c>
      <c r="Z114" s="36">
        <f>IFERROR(IF(Y114=0,"",ROUNDUP(Y114/H114,0)*0.00651),"")</f>
        <v>0.33851999999999999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153.06666666666663</v>
      </c>
      <c r="BN114" s="64">
        <f>IFERROR(Y114*I114/H114,"0")</f>
        <v>153.50399999999999</v>
      </c>
      <c r="BO114" s="64">
        <f>IFERROR(1/J114*(X114/H114),"0")</f>
        <v>0.28490028490028491</v>
      </c>
      <c r="BP114" s="64">
        <f>IFERROR(1/J114*(Y114/H114),"0")</f>
        <v>0.28571428571428575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0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2"/>
      <c r="P116" s="555" t="s">
        <v>71</v>
      </c>
      <c r="Q116" s="556"/>
      <c r="R116" s="556"/>
      <c r="S116" s="556"/>
      <c r="T116" s="556"/>
      <c r="U116" s="556"/>
      <c r="V116" s="557"/>
      <c r="W116" s="37" t="s">
        <v>72</v>
      </c>
      <c r="X116" s="543">
        <f>IFERROR(X112/H112,"0")+IFERROR(X113/H113,"0")+IFERROR(X114/H114,"0")+IFERROR(X115/H115,"0")</f>
        <v>61.358024691358018</v>
      </c>
      <c r="Y116" s="543">
        <f>IFERROR(Y112/H112,"0")+IFERROR(Y113/H113,"0")+IFERROR(Y114/H114,"0")+IFERROR(Y115/H115,"0")</f>
        <v>62</v>
      </c>
      <c r="Z116" s="543">
        <f>IFERROR(IF(Z112="",0,Z112),"0")+IFERROR(IF(Z113="",0,Z113),"0")+IFERROR(IF(Z114="",0,Z114),"0")+IFERROR(IF(Z115="",0,Z115),"0")</f>
        <v>0.52832000000000001</v>
      </c>
      <c r="AA116" s="544"/>
      <c r="AB116" s="544"/>
      <c r="AC116" s="544"/>
    </row>
    <row r="117" spans="1:68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2"/>
      <c r="P117" s="555" t="s">
        <v>71</v>
      </c>
      <c r="Q117" s="556"/>
      <c r="R117" s="556"/>
      <c r="S117" s="556"/>
      <c r="T117" s="556"/>
      <c r="U117" s="556"/>
      <c r="V117" s="557"/>
      <c r="W117" s="37" t="s">
        <v>69</v>
      </c>
      <c r="X117" s="543">
        <f>IFERROR(SUM(X112:X115),"0")</f>
        <v>217</v>
      </c>
      <c r="Y117" s="543">
        <f>IFERROR(SUM(Y112:Y115),"0")</f>
        <v>221.4</v>
      </c>
      <c r="Z117" s="37"/>
      <c r="AA117" s="544"/>
      <c r="AB117" s="544"/>
      <c r="AC117" s="544"/>
    </row>
    <row r="118" spans="1:68" ht="14.25" hidden="1" customHeight="1" x14ac:dyDescent="0.25">
      <c r="A118" s="553" t="s">
        <v>164</v>
      </c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4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0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2"/>
      <c r="P120" s="555" t="s">
        <v>71</v>
      </c>
      <c r="Q120" s="556"/>
      <c r="R120" s="556"/>
      <c r="S120" s="556"/>
      <c r="T120" s="556"/>
      <c r="U120" s="556"/>
      <c r="V120" s="557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2"/>
      <c r="P121" s="555" t="s">
        <v>71</v>
      </c>
      <c r="Q121" s="556"/>
      <c r="R121" s="556"/>
      <c r="S121" s="556"/>
      <c r="T121" s="556"/>
      <c r="U121" s="556"/>
      <c r="V121" s="557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54" t="s">
        <v>220</v>
      </c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36"/>
      <c r="AB122" s="536"/>
      <c r="AC122" s="536"/>
    </row>
    <row r="123" spans="1:68" ht="14.25" hidden="1" customHeight="1" x14ac:dyDescent="0.25">
      <c r="A123" s="553" t="s">
        <v>101</v>
      </c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52</v>
      </c>
      <c r="Y124" s="542">
        <f>IFERROR(IF(X124="",0,CEILING((X124/$H124),1)*$H124),"")</f>
        <v>54.400000000000006</v>
      </c>
      <c r="Z124" s="36">
        <f>IFERROR(IF(Y124=0,"",ROUNDUP(Y124/H124,0)*0.00651),"")</f>
        <v>0.11067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54.924999999999997</v>
      </c>
      <c r="BN124" s="64">
        <f>IFERROR(Y124*I124/H124,"0")</f>
        <v>57.46</v>
      </c>
      <c r="BO124" s="64">
        <f>IFERROR(1/J124*(X124/H124),"0")</f>
        <v>8.9285714285714288E-2</v>
      </c>
      <c r="BP124" s="64">
        <f>IFERROR(1/J124*(Y124/H124),"0")</f>
        <v>9.3406593406593408E-2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0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2"/>
      <c r="P126" s="555" t="s">
        <v>71</v>
      </c>
      <c r="Q126" s="556"/>
      <c r="R126" s="556"/>
      <c r="S126" s="556"/>
      <c r="T126" s="556"/>
      <c r="U126" s="556"/>
      <c r="V126" s="557"/>
      <c r="W126" s="37" t="s">
        <v>72</v>
      </c>
      <c r="X126" s="543">
        <f>IFERROR(X124/H124,"0")+IFERROR(X125/H125,"0")</f>
        <v>16.25</v>
      </c>
      <c r="Y126" s="543">
        <f>IFERROR(Y124/H124,"0")+IFERROR(Y125/H125,"0")</f>
        <v>17</v>
      </c>
      <c r="Z126" s="543">
        <f>IFERROR(IF(Z124="",0,Z124),"0")+IFERROR(IF(Z125="",0,Z125),"0")</f>
        <v>0.11067</v>
      </c>
      <c r="AA126" s="544"/>
      <c r="AB126" s="544"/>
      <c r="AC126" s="544"/>
    </row>
    <row r="127" spans="1:68" x14ac:dyDescent="0.2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2"/>
      <c r="P127" s="555" t="s">
        <v>71</v>
      </c>
      <c r="Q127" s="556"/>
      <c r="R127" s="556"/>
      <c r="S127" s="556"/>
      <c r="T127" s="556"/>
      <c r="U127" s="556"/>
      <c r="V127" s="557"/>
      <c r="W127" s="37" t="s">
        <v>69</v>
      </c>
      <c r="X127" s="543">
        <f>IFERROR(SUM(X124:X125),"0")</f>
        <v>52</v>
      </c>
      <c r="Y127" s="543">
        <f>IFERROR(SUM(Y124:Y125),"0")</f>
        <v>54.400000000000006</v>
      </c>
      <c r="Z127" s="37"/>
      <c r="AA127" s="544"/>
      <c r="AB127" s="544"/>
      <c r="AC127" s="544"/>
    </row>
    <row r="128" spans="1:68" ht="14.25" hidden="1" customHeight="1" x14ac:dyDescent="0.25">
      <c r="A128" s="553" t="s">
        <v>64</v>
      </c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61</v>
      </c>
      <c r="Y130" s="542">
        <f>IFERROR(IF(X130="",0,CEILING((X130/$H130),1)*$H130),"")</f>
        <v>61.599999999999994</v>
      </c>
      <c r="Z130" s="36">
        <f>IFERROR(IF(Y130=0,"",ROUNDUP(Y130/H130,0)*0.00651),"")</f>
        <v>0.14322000000000001</v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66.838571428571427</v>
      </c>
      <c r="BN130" s="64">
        <f>IFERROR(Y130*I130/H130,"0")</f>
        <v>67.496000000000009</v>
      </c>
      <c r="BO130" s="64">
        <f>IFERROR(1/J130*(X130/H130),"0")</f>
        <v>0.11970172684458401</v>
      </c>
      <c r="BP130" s="64">
        <f>IFERROR(1/J130*(Y130/H130),"0")</f>
        <v>0.12087912087912089</v>
      </c>
    </row>
    <row r="131" spans="1:68" x14ac:dyDescent="0.2">
      <c r="A131" s="550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2"/>
      <c r="P131" s="555" t="s">
        <v>71</v>
      </c>
      <c r="Q131" s="556"/>
      <c r="R131" s="556"/>
      <c r="S131" s="556"/>
      <c r="T131" s="556"/>
      <c r="U131" s="556"/>
      <c r="V131" s="557"/>
      <c r="W131" s="37" t="s">
        <v>72</v>
      </c>
      <c r="X131" s="543">
        <f>IFERROR(X129/H129,"0")+IFERROR(X130/H130,"0")</f>
        <v>21.785714285714288</v>
      </c>
      <c r="Y131" s="543">
        <f>IFERROR(Y129/H129,"0")+IFERROR(Y130/H130,"0")</f>
        <v>22</v>
      </c>
      <c r="Z131" s="543">
        <f>IFERROR(IF(Z129="",0,Z129),"0")+IFERROR(IF(Z130="",0,Z130),"0")</f>
        <v>0.14322000000000001</v>
      </c>
      <c r="AA131" s="544"/>
      <c r="AB131" s="544"/>
      <c r="AC131" s="544"/>
    </row>
    <row r="132" spans="1:68" x14ac:dyDescent="0.2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2"/>
      <c r="P132" s="555" t="s">
        <v>71</v>
      </c>
      <c r="Q132" s="556"/>
      <c r="R132" s="556"/>
      <c r="S132" s="556"/>
      <c r="T132" s="556"/>
      <c r="U132" s="556"/>
      <c r="V132" s="557"/>
      <c r="W132" s="37" t="s">
        <v>69</v>
      </c>
      <c r="X132" s="543">
        <f>IFERROR(SUM(X129:X130),"0")</f>
        <v>61</v>
      </c>
      <c r="Y132" s="543">
        <f>IFERROR(SUM(Y129:Y130),"0")</f>
        <v>61.599999999999994</v>
      </c>
      <c r="Z132" s="37"/>
      <c r="AA132" s="544"/>
      <c r="AB132" s="544"/>
      <c r="AC132" s="544"/>
    </row>
    <row r="133" spans="1:68" ht="14.25" hidden="1" customHeight="1" x14ac:dyDescent="0.25">
      <c r="A133" s="553" t="s">
        <v>73</v>
      </c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74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56</v>
      </c>
      <c r="Y135" s="542">
        <f>IFERROR(IF(X135="",0,CEILING((X135/$H135),1)*$H135),"")</f>
        <v>58.080000000000005</v>
      </c>
      <c r="Z135" s="36">
        <f>IFERROR(IF(Y135=0,"",ROUNDUP(Y135/H135,0)*0.00651),"")</f>
        <v>0.14322000000000001</v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61.684848484848473</v>
      </c>
      <c r="BN135" s="64">
        <f>IFERROR(Y135*I135/H135,"0")</f>
        <v>63.976000000000006</v>
      </c>
      <c r="BO135" s="64">
        <f>IFERROR(1/J135*(X135/H135),"0")</f>
        <v>0.11655011655011656</v>
      </c>
      <c r="BP135" s="64">
        <f>IFERROR(1/J135*(Y135/H135),"0")</f>
        <v>0.12087912087912089</v>
      </c>
    </row>
    <row r="136" spans="1:68" x14ac:dyDescent="0.2">
      <c r="A136" s="550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2"/>
      <c r="P136" s="555" t="s">
        <v>71</v>
      </c>
      <c r="Q136" s="556"/>
      <c r="R136" s="556"/>
      <c r="S136" s="556"/>
      <c r="T136" s="556"/>
      <c r="U136" s="556"/>
      <c r="V136" s="557"/>
      <c r="W136" s="37" t="s">
        <v>72</v>
      </c>
      <c r="X136" s="543">
        <f>IFERROR(X134/H134,"0")+IFERROR(X135/H135,"0")</f>
        <v>21.212121212121211</v>
      </c>
      <c r="Y136" s="543">
        <f>IFERROR(Y134/H134,"0")+IFERROR(Y135/H135,"0")</f>
        <v>22</v>
      </c>
      <c r="Z136" s="543">
        <f>IFERROR(IF(Z134="",0,Z134),"0")+IFERROR(IF(Z135="",0,Z135),"0")</f>
        <v>0.14322000000000001</v>
      </c>
      <c r="AA136" s="544"/>
      <c r="AB136" s="544"/>
      <c r="AC136" s="544"/>
    </row>
    <row r="137" spans="1:68" x14ac:dyDescent="0.2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2"/>
      <c r="P137" s="555" t="s">
        <v>71</v>
      </c>
      <c r="Q137" s="556"/>
      <c r="R137" s="556"/>
      <c r="S137" s="556"/>
      <c r="T137" s="556"/>
      <c r="U137" s="556"/>
      <c r="V137" s="557"/>
      <c r="W137" s="37" t="s">
        <v>69</v>
      </c>
      <c r="X137" s="543">
        <f>IFERROR(SUM(X134:X135),"0")</f>
        <v>56</v>
      </c>
      <c r="Y137" s="543">
        <f>IFERROR(SUM(Y134:Y135),"0")</f>
        <v>58.080000000000005</v>
      </c>
      <c r="Z137" s="37"/>
      <c r="AA137" s="544"/>
      <c r="AB137" s="544"/>
      <c r="AC137" s="544"/>
    </row>
    <row r="138" spans="1:68" ht="16.5" hidden="1" customHeight="1" x14ac:dyDescent="0.25">
      <c r="A138" s="554" t="s">
        <v>99</v>
      </c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36"/>
      <c r="AB138" s="536"/>
      <c r="AC138" s="536"/>
    </row>
    <row r="139" spans="1:68" ht="14.25" hidden="1" customHeight="1" x14ac:dyDescent="0.25">
      <c r="A139" s="553" t="s">
        <v>101</v>
      </c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1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80</v>
      </c>
      <c r="Y141" s="542">
        <f>IFERROR(IF(X141="",0,CEILING((X141/$H141),1)*$H141),"")</f>
        <v>80</v>
      </c>
      <c r="Z141" s="36">
        <f>IFERROR(IF(Y141=0,"",ROUNDUP(Y141/H141,0)*0.00902),"")</f>
        <v>0.1804</v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83.800000000000011</v>
      </c>
      <c r="BN141" s="64">
        <f>IFERROR(Y141*I141/H141,"0")</f>
        <v>83.800000000000011</v>
      </c>
      <c r="BO141" s="64">
        <f>IFERROR(1/J141*(X141/H141),"0")</f>
        <v>0.15151515151515152</v>
      </c>
      <c r="BP141" s="64">
        <f>IFERROR(1/J141*(Y141/H141),"0")</f>
        <v>0.15151515151515152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5">
        <v>4680115886810</v>
      </c>
      <c r="E142" s="546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60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0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2"/>
      <c r="P143" s="555" t="s">
        <v>71</v>
      </c>
      <c r="Q143" s="556"/>
      <c r="R143" s="556"/>
      <c r="S143" s="556"/>
      <c r="T143" s="556"/>
      <c r="U143" s="556"/>
      <c r="V143" s="557"/>
      <c r="W143" s="37" t="s">
        <v>72</v>
      </c>
      <c r="X143" s="543">
        <f>IFERROR(X140/H140,"0")+IFERROR(X141/H141,"0")+IFERROR(X142/H142,"0")</f>
        <v>20</v>
      </c>
      <c r="Y143" s="543">
        <f>IFERROR(Y140/H140,"0")+IFERROR(Y141/H141,"0")+IFERROR(Y142/H142,"0")</f>
        <v>20</v>
      </c>
      <c r="Z143" s="543">
        <f>IFERROR(IF(Z140="",0,Z140),"0")+IFERROR(IF(Z141="",0,Z141),"0")+IFERROR(IF(Z142="",0,Z142),"0")</f>
        <v>0.1804</v>
      </c>
      <c r="AA143" s="544"/>
      <c r="AB143" s="544"/>
      <c r="AC143" s="544"/>
    </row>
    <row r="144" spans="1:68" x14ac:dyDescent="0.2">
      <c r="A144" s="551"/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2"/>
      <c r="P144" s="555" t="s">
        <v>71</v>
      </c>
      <c r="Q144" s="556"/>
      <c r="R144" s="556"/>
      <c r="S144" s="556"/>
      <c r="T144" s="556"/>
      <c r="U144" s="556"/>
      <c r="V144" s="557"/>
      <c r="W144" s="37" t="s">
        <v>69</v>
      </c>
      <c r="X144" s="543">
        <f>IFERROR(SUM(X140:X142),"0")</f>
        <v>80</v>
      </c>
      <c r="Y144" s="543">
        <f>IFERROR(SUM(Y140:Y142),"0")</f>
        <v>80</v>
      </c>
      <c r="Z144" s="37"/>
      <c r="AA144" s="544"/>
      <c r="AB144" s="544"/>
      <c r="AC144" s="544"/>
    </row>
    <row r="145" spans="1:68" ht="14.25" hidden="1" customHeight="1" x14ac:dyDescent="0.25">
      <c r="A145" s="553" t="s">
        <v>64</v>
      </c>
      <c r="B145" s="551"/>
      <c r="C145" s="551"/>
      <c r="D145" s="551"/>
      <c r="E145" s="551"/>
      <c r="F145" s="551"/>
      <c r="G145" s="551"/>
      <c r="H145" s="551"/>
      <c r="I145" s="551"/>
      <c r="J145" s="551"/>
      <c r="K145" s="551"/>
      <c r="L145" s="551"/>
      <c r="M145" s="551"/>
      <c r="N145" s="551"/>
      <c r="O145" s="551"/>
      <c r="P145" s="551"/>
      <c r="Q145" s="551"/>
      <c r="R145" s="551"/>
      <c r="S145" s="551"/>
      <c r="T145" s="551"/>
      <c r="U145" s="551"/>
      <c r="V145" s="551"/>
      <c r="W145" s="551"/>
      <c r="X145" s="551"/>
      <c r="Y145" s="551"/>
      <c r="Z145" s="551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5">
        <v>4607091387667</v>
      </c>
      <c r="E146" s="546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5">
        <v>4607091387636</v>
      </c>
      <c r="E147" s="546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5">
        <v>4607091382426</v>
      </c>
      <c r="E148" s="546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0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2"/>
      <c r="P149" s="555" t="s">
        <v>71</v>
      </c>
      <c r="Q149" s="556"/>
      <c r="R149" s="556"/>
      <c r="S149" s="556"/>
      <c r="T149" s="556"/>
      <c r="U149" s="556"/>
      <c r="V149" s="557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1"/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2"/>
      <c r="P150" s="555" t="s">
        <v>71</v>
      </c>
      <c r="Q150" s="556"/>
      <c r="R150" s="556"/>
      <c r="S150" s="556"/>
      <c r="T150" s="556"/>
      <c r="U150" s="556"/>
      <c r="V150" s="557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53" t="s">
        <v>73</v>
      </c>
      <c r="B151" s="551"/>
      <c r="C151" s="551"/>
      <c r="D151" s="551"/>
      <c r="E151" s="551"/>
      <c r="F151" s="551"/>
      <c r="G151" s="551"/>
      <c r="H151" s="551"/>
      <c r="I151" s="551"/>
      <c r="J151" s="551"/>
      <c r="K151" s="551"/>
      <c r="L151" s="551"/>
      <c r="M151" s="551"/>
      <c r="N151" s="551"/>
      <c r="O151" s="551"/>
      <c r="P151" s="551"/>
      <c r="Q151" s="551"/>
      <c r="R151" s="551"/>
      <c r="S151" s="551"/>
      <c r="T151" s="551"/>
      <c r="U151" s="551"/>
      <c r="V151" s="551"/>
      <c r="W151" s="551"/>
      <c r="X151" s="551"/>
      <c r="Y151" s="551"/>
      <c r="Z151" s="551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5">
        <v>4680115887459</v>
      </c>
      <c r="E152" s="546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6" t="s">
        <v>252</v>
      </c>
      <c r="Q152" s="548"/>
      <c r="R152" s="548"/>
      <c r="S152" s="548"/>
      <c r="T152" s="549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0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2"/>
      <c r="P153" s="555" t="s">
        <v>71</v>
      </c>
      <c r="Q153" s="556"/>
      <c r="R153" s="556"/>
      <c r="S153" s="556"/>
      <c r="T153" s="556"/>
      <c r="U153" s="556"/>
      <c r="V153" s="557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1"/>
      <c r="B154" s="551"/>
      <c r="C154" s="551"/>
      <c r="D154" s="551"/>
      <c r="E154" s="551"/>
      <c r="F154" s="551"/>
      <c r="G154" s="551"/>
      <c r="H154" s="551"/>
      <c r="I154" s="551"/>
      <c r="J154" s="551"/>
      <c r="K154" s="551"/>
      <c r="L154" s="551"/>
      <c r="M154" s="551"/>
      <c r="N154" s="551"/>
      <c r="O154" s="552"/>
      <c r="P154" s="555" t="s">
        <v>71</v>
      </c>
      <c r="Q154" s="556"/>
      <c r="R154" s="556"/>
      <c r="S154" s="556"/>
      <c r="T154" s="556"/>
      <c r="U154" s="556"/>
      <c r="V154" s="557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37" t="s">
        <v>255</v>
      </c>
      <c r="B155" s="638"/>
      <c r="C155" s="638"/>
      <c r="D155" s="638"/>
      <c r="E155" s="638"/>
      <c r="F155" s="638"/>
      <c r="G155" s="638"/>
      <c r="H155" s="638"/>
      <c r="I155" s="638"/>
      <c r="J155" s="638"/>
      <c r="K155" s="638"/>
      <c r="L155" s="638"/>
      <c r="M155" s="638"/>
      <c r="N155" s="638"/>
      <c r="O155" s="638"/>
      <c r="P155" s="638"/>
      <c r="Q155" s="638"/>
      <c r="R155" s="638"/>
      <c r="S155" s="638"/>
      <c r="T155" s="638"/>
      <c r="U155" s="638"/>
      <c r="V155" s="638"/>
      <c r="W155" s="638"/>
      <c r="X155" s="638"/>
      <c r="Y155" s="638"/>
      <c r="Z155" s="638"/>
      <c r="AA155" s="48"/>
      <c r="AB155" s="48"/>
      <c r="AC155" s="48"/>
    </row>
    <row r="156" spans="1:68" ht="16.5" hidden="1" customHeight="1" x14ac:dyDescent="0.25">
      <c r="A156" s="554" t="s">
        <v>256</v>
      </c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36"/>
      <c r="AB156" s="536"/>
      <c r="AC156" s="536"/>
    </row>
    <row r="157" spans="1:68" ht="14.25" hidden="1" customHeight="1" x14ac:dyDescent="0.25">
      <c r="A157" s="553" t="s">
        <v>136</v>
      </c>
      <c r="B157" s="551"/>
      <c r="C157" s="551"/>
      <c r="D157" s="551"/>
      <c r="E157" s="551"/>
      <c r="F157" s="551"/>
      <c r="G157" s="551"/>
      <c r="H157" s="551"/>
      <c r="I157" s="551"/>
      <c r="J157" s="551"/>
      <c r="K157" s="551"/>
      <c r="L157" s="551"/>
      <c r="M157" s="551"/>
      <c r="N157" s="551"/>
      <c r="O157" s="551"/>
      <c r="P157" s="551"/>
      <c r="Q157" s="551"/>
      <c r="R157" s="551"/>
      <c r="S157" s="551"/>
      <c r="T157" s="551"/>
      <c r="U157" s="551"/>
      <c r="V157" s="551"/>
      <c r="W157" s="551"/>
      <c r="X157" s="551"/>
      <c r="Y157" s="551"/>
      <c r="Z157" s="551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5">
        <v>4680115886223</v>
      </c>
      <c r="E158" s="546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0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8"/>
      <c r="R158" s="548"/>
      <c r="S158" s="548"/>
      <c r="T158" s="549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0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2"/>
      <c r="P159" s="555" t="s">
        <v>71</v>
      </c>
      <c r="Q159" s="556"/>
      <c r="R159" s="556"/>
      <c r="S159" s="556"/>
      <c r="T159" s="556"/>
      <c r="U159" s="556"/>
      <c r="V159" s="557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1"/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2"/>
      <c r="P160" s="555" t="s">
        <v>71</v>
      </c>
      <c r="Q160" s="556"/>
      <c r="R160" s="556"/>
      <c r="S160" s="556"/>
      <c r="T160" s="556"/>
      <c r="U160" s="556"/>
      <c r="V160" s="557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53" t="s">
        <v>64</v>
      </c>
      <c r="B161" s="551"/>
      <c r="C161" s="551"/>
      <c r="D161" s="551"/>
      <c r="E161" s="551"/>
      <c r="F161" s="551"/>
      <c r="G161" s="551"/>
      <c r="H161" s="551"/>
      <c r="I161" s="551"/>
      <c r="J161" s="551"/>
      <c r="K161" s="551"/>
      <c r="L161" s="551"/>
      <c r="M161" s="551"/>
      <c r="N161" s="551"/>
      <c r="O161" s="551"/>
      <c r="P161" s="551"/>
      <c r="Q161" s="551"/>
      <c r="R161" s="551"/>
      <c r="S161" s="551"/>
      <c r="T161" s="551"/>
      <c r="U161" s="551"/>
      <c r="V161" s="551"/>
      <c r="W161" s="551"/>
      <c r="X161" s="551"/>
      <c r="Y161" s="551"/>
      <c r="Z161" s="551"/>
      <c r="AA161" s="535"/>
      <c r="AB161" s="535"/>
      <c r="AC161" s="535"/>
    </row>
    <row r="162" spans="1:68" ht="27" hidden="1" customHeight="1" x14ac:dyDescent="0.25">
      <c r="A162" s="54" t="s">
        <v>260</v>
      </c>
      <c r="B162" s="54" t="s">
        <v>261</v>
      </c>
      <c r="C162" s="31">
        <v>4301031191</v>
      </c>
      <c r="D162" s="545">
        <v>4680115880993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111</v>
      </c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 t="s">
        <v>90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45">
        <v>4680115881761</v>
      </c>
      <c r="E163" s="546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7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266</v>
      </c>
      <c r="B164" s="54" t="s">
        <v>267</v>
      </c>
      <c r="C164" s="31">
        <v>4301031201</v>
      </c>
      <c r="D164" s="545">
        <v>4680115881563</v>
      </c>
      <c r="E164" s="546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7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90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5">
        <v>4680115880986</v>
      </c>
      <c r="E165" s="546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87</v>
      </c>
      <c r="Y165" s="542">
        <f t="shared" si="5"/>
        <v>88.2</v>
      </c>
      <c r="Z165" s="36">
        <f>IFERROR(IF(Y165=0,"",ROUNDUP(Y165/H165,0)*0.00502),"")</f>
        <v>0.21084</v>
      </c>
      <c r="AA165" s="56"/>
      <c r="AB165" s="57"/>
      <c r="AC165" s="199" t="s">
        <v>262</v>
      </c>
      <c r="AG165" s="64"/>
      <c r="AJ165" s="68" t="s">
        <v>90</v>
      </c>
      <c r="AK165" s="68">
        <v>37.799999999999997</v>
      </c>
      <c r="BB165" s="200" t="s">
        <v>1</v>
      </c>
      <c r="BM165" s="64">
        <f t="shared" si="6"/>
        <v>92.385714285714272</v>
      </c>
      <c r="BN165" s="64">
        <f t="shared" si="7"/>
        <v>93.66</v>
      </c>
      <c r="BO165" s="64">
        <f t="shared" si="8"/>
        <v>0.17704517704517705</v>
      </c>
      <c r="BP165" s="64">
        <f t="shared" si="9"/>
        <v>0.17948717948717952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271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58</v>
      </c>
      <c r="Y166" s="542">
        <f t="shared" si="5"/>
        <v>58.800000000000004</v>
      </c>
      <c r="Z166" s="36">
        <f>IFERROR(IF(Y166=0,"",ROUNDUP(Y166/H166,0)*0.00502),"")</f>
        <v>0.14056000000000002</v>
      </c>
      <c r="AA166" s="56"/>
      <c r="AB166" s="57"/>
      <c r="AC166" s="201" t="s">
        <v>265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61.590476190476188</v>
      </c>
      <c r="BN166" s="64">
        <f t="shared" si="7"/>
        <v>62.44</v>
      </c>
      <c r="BO166" s="64">
        <f t="shared" si="8"/>
        <v>0.11803011803011804</v>
      </c>
      <c r="BP166" s="64">
        <f t="shared" si="9"/>
        <v>0.11965811965811968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59</v>
      </c>
      <c r="Y168" s="542">
        <f t="shared" si="5"/>
        <v>60.900000000000006</v>
      </c>
      <c r="Z168" s="36">
        <f>IFERROR(IF(Y168=0,"",ROUNDUP(Y168/H168,0)*0.00502),"")</f>
        <v>0.14558000000000001</v>
      </c>
      <c r="AA168" s="56"/>
      <c r="AB168" s="57"/>
      <c r="AC168" s="205" t="s">
        <v>268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61.80952380952381</v>
      </c>
      <c r="BN168" s="64">
        <f t="shared" si="7"/>
        <v>63.800000000000004</v>
      </c>
      <c r="BO168" s="64">
        <f t="shared" si="8"/>
        <v>0.12006512006512007</v>
      </c>
      <c r="BP168" s="64">
        <f t="shared" si="9"/>
        <v>0.12393162393162395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0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2"/>
      <c r="P171" s="555" t="s">
        <v>71</v>
      </c>
      <c r="Q171" s="556"/>
      <c r="R171" s="556"/>
      <c r="S171" s="556"/>
      <c r="T171" s="556"/>
      <c r="U171" s="556"/>
      <c r="V171" s="557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97.142857142857139</v>
      </c>
      <c r="Y171" s="543">
        <f>IFERROR(Y162/H162,"0")+IFERROR(Y163/H163,"0")+IFERROR(Y164/H164,"0")+IFERROR(Y165/H165,"0")+IFERROR(Y166/H166,"0")+IFERROR(Y167/H167,"0")+IFERROR(Y168/H168,"0")+IFERROR(Y169/H169,"0")+IFERROR(Y170/H170,"0")</f>
        <v>99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0.49698000000000009</v>
      </c>
      <c r="AA171" s="544"/>
      <c r="AB171" s="544"/>
      <c r="AC171" s="544"/>
    </row>
    <row r="172" spans="1:68" x14ac:dyDescent="0.2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2"/>
      <c r="P172" s="555" t="s">
        <v>71</v>
      </c>
      <c r="Q172" s="556"/>
      <c r="R172" s="556"/>
      <c r="S172" s="556"/>
      <c r="T172" s="556"/>
      <c r="U172" s="556"/>
      <c r="V172" s="557"/>
      <c r="W172" s="37" t="s">
        <v>69</v>
      </c>
      <c r="X172" s="543">
        <f>IFERROR(SUM(X162:X170),"0")</f>
        <v>204</v>
      </c>
      <c r="Y172" s="543">
        <f>IFERROR(SUM(Y162:Y170),"0")</f>
        <v>207.9</v>
      </c>
      <c r="Z172" s="37"/>
      <c r="AA172" s="544"/>
      <c r="AB172" s="544"/>
      <c r="AC172" s="544"/>
    </row>
    <row r="173" spans="1:68" ht="14.25" hidden="1" customHeight="1" x14ac:dyDescent="0.25">
      <c r="A173" s="553" t="s">
        <v>93</v>
      </c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8</v>
      </c>
      <c r="Y174" s="542">
        <f>IFERROR(IF(X174="",0,CEILING((X174/$H174),1)*$H174),"")</f>
        <v>8.82</v>
      </c>
      <c r="Z174" s="36">
        <f>IFERROR(IF(Y174=0,"",ROUNDUP(Y174/H174,0)*0.0059),"")</f>
        <v>4.1299999999999996E-2</v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9.2063492063492056</v>
      </c>
      <c r="BN174" s="64">
        <f>IFERROR(Y174*I174/H174,"0")</f>
        <v>10.15</v>
      </c>
      <c r="BO174" s="64">
        <f>IFERROR(1/J174*(X174/H174),"0")</f>
        <v>2.9394473838918279E-2</v>
      </c>
      <c r="BP174" s="64">
        <f>IFERROR(1/J174*(Y174/H174),"0")</f>
        <v>3.2407407407407406E-2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7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9</v>
      </c>
      <c r="Y175" s="542">
        <f>IFERROR(IF(X175="",0,CEILING((X175/$H175),1)*$H175),"")</f>
        <v>10.08</v>
      </c>
      <c r="Z175" s="36">
        <f>IFERROR(IF(Y175=0,"",ROUNDUP(Y175/H175,0)*0.0059),"")</f>
        <v>4.7199999999999999E-2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10.357142857142856</v>
      </c>
      <c r="BN175" s="64">
        <f>IFERROR(Y175*I175/H175,"0")</f>
        <v>11.6</v>
      </c>
      <c r="BO175" s="64">
        <f>IFERROR(1/J175*(X175/H175),"0")</f>
        <v>3.3068783068783067E-2</v>
      </c>
      <c r="BP175" s="64">
        <f>IFERROR(1/J175*(Y175/H175),"0")</f>
        <v>3.7037037037037035E-2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7</v>
      </c>
      <c r="Y176" s="542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2.5720164609053495E-2</v>
      </c>
      <c r="BP176" s="64">
        <f>IFERROR(1/J176*(Y176/H176),"0")</f>
        <v>2.7777777777777776E-2</v>
      </c>
    </row>
    <row r="177" spans="1:68" x14ac:dyDescent="0.2">
      <c r="A177" s="550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2"/>
      <c r="P177" s="555" t="s">
        <v>71</v>
      </c>
      <c r="Q177" s="556"/>
      <c r="R177" s="556"/>
      <c r="S177" s="556"/>
      <c r="T177" s="556"/>
      <c r="U177" s="556"/>
      <c r="V177" s="557"/>
      <c r="W177" s="37" t="s">
        <v>72</v>
      </c>
      <c r="X177" s="543">
        <f>IFERROR(X174/H174,"0")+IFERROR(X175/H175,"0")+IFERROR(X176/H176,"0")</f>
        <v>19.047619047619047</v>
      </c>
      <c r="Y177" s="543">
        <f>IFERROR(Y174/H174,"0")+IFERROR(Y175/H175,"0")+IFERROR(Y176/H176,"0")</f>
        <v>21</v>
      </c>
      <c r="Z177" s="543">
        <f>IFERROR(IF(Z174="",0,Z174),"0")+IFERROR(IF(Z175="",0,Z175),"0")+IFERROR(IF(Z176="",0,Z176),"0")</f>
        <v>0.1239</v>
      </c>
      <c r="AA177" s="544"/>
      <c r="AB177" s="544"/>
      <c r="AC177" s="544"/>
    </row>
    <row r="178" spans="1:68" x14ac:dyDescent="0.2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2"/>
      <c r="P178" s="555" t="s">
        <v>71</v>
      </c>
      <c r="Q178" s="556"/>
      <c r="R178" s="556"/>
      <c r="S178" s="556"/>
      <c r="T178" s="556"/>
      <c r="U178" s="556"/>
      <c r="V178" s="557"/>
      <c r="W178" s="37" t="s">
        <v>69</v>
      </c>
      <c r="X178" s="543">
        <f>IFERROR(SUM(X174:X176),"0")</f>
        <v>24</v>
      </c>
      <c r="Y178" s="543">
        <f>IFERROR(SUM(Y174:Y176),"0")</f>
        <v>26.46</v>
      </c>
      <c r="Z178" s="37"/>
      <c r="AA178" s="544"/>
      <c r="AB178" s="544"/>
      <c r="AC178" s="544"/>
    </row>
    <row r="179" spans="1:68" ht="14.25" hidden="1" customHeight="1" x14ac:dyDescent="0.25">
      <c r="A179" s="553" t="s">
        <v>294</v>
      </c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4</v>
      </c>
      <c r="Y180" s="542">
        <f>IFERROR(IF(X180="",0,CEILING((X180/$H180),1)*$H180),"")</f>
        <v>5.04</v>
      </c>
      <c r="Z180" s="36">
        <f>IFERROR(IF(Y180=0,"",ROUNDUP(Y180/H180,0)*0.0059),"")</f>
        <v>2.3599999999999999E-2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4.6031746031746028</v>
      </c>
      <c r="BN180" s="64">
        <f>IFERROR(Y180*I180/H180,"0")</f>
        <v>5.8</v>
      </c>
      <c r="BO180" s="64">
        <f>IFERROR(1/J180*(X180/H180),"0")</f>
        <v>1.469723691945914E-2</v>
      </c>
      <c r="BP180" s="64">
        <f>IFERROR(1/J180*(Y180/H180),"0")</f>
        <v>1.8518518518518517E-2</v>
      </c>
    </row>
    <row r="181" spans="1:68" x14ac:dyDescent="0.2">
      <c r="A181" s="550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2"/>
      <c r="P181" s="555" t="s">
        <v>71</v>
      </c>
      <c r="Q181" s="556"/>
      <c r="R181" s="556"/>
      <c r="S181" s="556"/>
      <c r="T181" s="556"/>
      <c r="U181" s="556"/>
      <c r="V181" s="557"/>
      <c r="W181" s="37" t="s">
        <v>72</v>
      </c>
      <c r="X181" s="543">
        <f>IFERROR(X180/H180,"0")</f>
        <v>3.1746031746031744</v>
      </c>
      <c r="Y181" s="543">
        <f>IFERROR(Y180/H180,"0")</f>
        <v>4</v>
      </c>
      <c r="Z181" s="543">
        <f>IFERROR(IF(Z180="",0,Z180),"0")</f>
        <v>2.3599999999999999E-2</v>
      </c>
      <c r="AA181" s="544"/>
      <c r="AB181" s="544"/>
      <c r="AC181" s="544"/>
    </row>
    <row r="182" spans="1:68" x14ac:dyDescent="0.2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2"/>
      <c r="P182" s="555" t="s">
        <v>71</v>
      </c>
      <c r="Q182" s="556"/>
      <c r="R182" s="556"/>
      <c r="S182" s="556"/>
      <c r="T182" s="556"/>
      <c r="U182" s="556"/>
      <c r="V182" s="557"/>
      <c r="W182" s="37" t="s">
        <v>69</v>
      </c>
      <c r="X182" s="543">
        <f>IFERROR(SUM(X180:X180),"0")</f>
        <v>4</v>
      </c>
      <c r="Y182" s="543">
        <f>IFERROR(SUM(Y180:Y180),"0")</f>
        <v>5.04</v>
      </c>
      <c r="Z182" s="37"/>
      <c r="AA182" s="544"/>
      <c r="AB182" s="544"/>
      <c r="AC182" s="544"/>
    </row>
    <row r="183" spans="1:68" ht="16.5" hidden="1" customHeight="1" x14ac:dyDescent="0.25">
      <c r="A183" s="554" t="s">
        <v>297</v>
      </c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36"/>
      <c r="AB183" s="536"/>
      <c r="AC183" s="536"/>
    </row>
    <row r="184" spans="1:68" ht="14.25" hidden="1" customHeight="1" x14ac:dyDescent="0.25">
      <c r="A184" s="553" t="s">
        <v>101</v>
      </c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0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2"/>
      <c r="P187" s="555" t="s">
        <v>71</v>
      </c>
      <c r="Q187" s="556"/>
      <c r="R187" s="556"/>
      <c r="S187" s="556"/>
      <c r="T187" s="556"/>
      <c r="U187" s="556"/>
      <c r="V187" s="557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2"/>
      <c r="P188" s="555" t="s">
        <v>71</v>
      </c>
      <c r="Q188" s="556"/>
      <c r="R188" s="556"/>
      <c r="S188" s="556"/>
      <c r="T188" s="556"/>
      <c r="U188" s="556"/>
      <c r="V188" s="557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3" t="s">
        <v>136</v>
      </c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6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0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2"/>
      <c r="P192" s="555" t="s">
        <v>71</v>
      </c>
      <c r="Q192" s="556"/>
      <c r="R192" s="556"/>
      <c r="S192" s="556"/>
      <c r="T192" s="556"/>
      <c r="U192" s="556"/>
      <c r="V192" s="557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2"/>
      <c r="P193" s="555" t="s">
        <v>71</v>
      </c>
      <c r="Q193" s="556"/>
      <c r="R193" s="556"/>
      <c r="S193" s="556"/>
      <c r="T193" s="556"/>
      <c r="U193" s="556"/>
      <c r="V193" s="557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3" t="s">
        <v>64</v>
      </c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7</v>
      </c>
      <c r="Y195" s="542">
        <f t="shared" ref="Y195:Y202" si="10">IFERROR(IF(X195="",0,CEILING((X195/$H195),1)*$H195),"")</f>
        <v>10.8</v>
      </c>
      <c r="Z195" s="36">
        <f>IFERROR(IF(Y195=0,"",ROUNDUP(Y195/H195,0)*0.00902),"")</f>
        <v>1.804E-2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7.2462962962962951</v>
      </c>
      <c r="BN195" s="64">
        <f t="shared" ref="BN195:BN202" si="12">IFERROR(Y195*I195/H195,"0")</f>
        <v>11.18</v>
      </c>
      <c r="BO195" s="64">
        <f t="shared" ref="BO195:BO202" si="13">IFERROR(1/J195*(X195/H195),"0")</f>
        <v>9.8204264870931542E-3</v>
      </c>
      <c r="BP195" s="64">
        <f t="shared" ref="BP195:BP202" si="14">IFERROR(1/J195*(Y195/H195),"0")</f>
        <v>1.5151515151515152E-2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250</v>
      </c>
      <c r="Y197" s="542">
        <f t="shared" si="10"/>
        <v>253.8</v>
      </c>
      <c r="Z197" s="36">
        <f>IFERROR(IF(Y197=0,"",ROUNDUP(Y197/H197,0)*0.00902),"")</f>
        <v>0.42393999999999998</v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258.7962962962963</v>
      </c>
      <c r="BN197" s="64">
        <f t="shared" si="12"/>
        <v>262.72999999999996</v>
      </c>
      <c r="BO197" s="64">
        <f t="shared" si="13"/>
        <v>0.35072951739618402</v>
      </c>
      <c r="BP197" s="64">
        <f t="shared" si="14"/>
        <v>0.35606060606060608</v>
      </c>
    </row>
    <row r="198" spans="1:68" ht="27" hidden="1" customHeight="1" x14ac:dyDescent="0.25">
      <c r="A198" s="54" t="s">
        <v>317</v>
      </c>
      <c r="B198" s="54" t="s">
        <v>318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116</v>
      </c>
      <c r="Y199" s="542">
        <f t="shared" si="10"/>
        <v>117</v>
      </c>
      <c r="Z199" s="36">
        <f>IFERROR(IF(Y199=0,"",ROUNDUP(Y199/H199,0)*0.00502),"")</f>
        <v>0.32630000000000003</v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124.37777777777777</v>
      </c>
      <c r="BN199" s="64">
        <f t="shared" si="12"/>
        <v>125.45</v>
      </c>
      <c r="BO199" s="64">
        <f t="shared" si="13"/>
        <v>0.27540360873694208</v>
      </c>
      <c r="BP199" s="64">
        <f t="shared" si="14"/>
        <v>0.27777777777777779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74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56</v>
      </c>
      <c r="Y200" s="542">
        <f t="shared" si="10"/>
        <v>57.6</v>
      </c>
      <c r="Z200" s="36">
        <f>IFERROR(IF(Y200=0,"",ROUNDUP(Y200/H200,0)*0.00502),"")</f>
        <v>0.16064000000000001</v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59.111111111111107</v>
      </c>
      <c r="BN200" s="64">
        <f t="shared" si="12"/>
        <v>60.8</v>
      </c>
      <c r="BO200" s="64">
        <f t="shared" si="13"/>
        <v>0.13295346628679963</v>
      </c>
      <c r="BP200" s="64">
        <f t="shared" si="14"/>
        <v>0.13675213675213677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0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2"/>
      <c r="P203" s="555" t="s">
        <v>71</v>
      </c>
      <c r="Q203" s="556"/>
      <c r="R203" s="556"/>
      <c r="S203" s="556"/>
      <c r="T203" s="556"/>
      <c r="U203" s="556"/>
      <c r="V203" s="557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143.14814814814815</v>
      </c>
      <c r="Y203" s="543">
        <f>IFERROR(Y195/H195,"0")+IFERROR(Y196/H196,"0")+IFERROR(Y197/H197,"0")+IFERROR(Y198/H198,"0")+IFERROR(Y199/H199,"0")+IFERROR(Y200/H200,"0")+IFERROR(Y201/H201,"0")+IFERROR(Y202/H202,"0")</f>
        <v>146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0.92892000000000008</v>
      </c>
      <c r="AA203" s="544"/>
      <c r="AB203" s="544"/>
      <c r="AC203" s="544"/>
    </row>
    <row r="204" spans="1:68" x14ac:dyDescent="0.2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2"/>
      <c r="P204" s="555" t="s">
        <v>71</v>
      </c>
      <c r="Q204" s="556"/>
      <c r="R204" s="556"/>
      <c r="S204" s="556"/>
      <c r="T204" s="556"/>
      <c r="U204" s="556"/>
      <c r="V204" s="557"/>
      <c r="W204" s="37" t="s">
        <v>69</v>
      </c>
      <c r="X204" s="543">
        <f>IFERROR(SUM(X195:X202),"0")</f>
        <v>429</v>
      </c>
      <c r="Y204" s="543">
        <f>IFERROR(SUM(Y195:Y202),"0")</f>
        <v>439.20000000000005</v>
      </c>
      <c r="Z204" s="37"/>
      <c r="AA204" s="544"/>
      <c r="AB204" s="544"/>
      <c r="AC204" s="544"/>
    </row>
    <row r="205" spans="1:68" ht="14.25" hidden="1" customHeight="1" x14ac:dyDescent="0.25">
      <c r="A205" s="553" t="s">
        <v>73</v>
      </c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134</v>
      </c>
      <c r="Y209" s="542">
        <f t="shared" si="15"/>
        <v>134.4</v>
      </c>
      <c r="Z209" s="36">
        <f t="shared" ref="Z209:Z214" si="20">IFERROR(IF(Y209=0,"",ROUNDUP(Y209/H209,0)*0.00651),"")</f>
        <v>0.36456</v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149.07499999999999</v>
      </c>
      <c r="BN209" s="64">
        <f t="shared" si="17"/>
        <v>149.52000000000001</v>
      </c>
      <c r="BO209" s="64">
        <f t="shared" si="18"/>
        <v>0.3067765567765568</v>
      </c>
      <c r="BP209" s="64">
        <f t="shared" si="19"/>
        <v>0.30769230769230776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198</v>
      </c>
      <c r="Y211" s="542">
        <f t="shared" si="15"/>
        <v>199.2</v>
      </c>
      <c r="Z211" s="36">
        <f t="shared" si="20"/>
        <v>0.54032999999999998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218.79000000000002</v>
      </c>
      <c r="BN211" s="64">
        <f t="shared" si="17"/>
        <v>220.11600000000001</v>
      </c>
      <c r="BO211" s="64">
        <f t="shared" si="18"/>
        <v>0.45329670329670335</v>
      </c>
      <c r="BP211" s="64">
        <f t="shared" si="19"/>
        <v>0.45604395604395609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161</v>
      </c>
      <c r="Y212" s="542">
        <f t="shared" si="15"/>
        <v>163.19999999999999</v>
      </c>
      <c r="Z212" s="36">
        <f t="shared" si="20"/>
        <v>0.44268000000000002</v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177.90500000000003</v>
      </c>
      <c r="BN212" s="64">
        <f t="shared" si="17"/>
        <v>180.33600000000001</v>
      </c>
      <c r="BO212" s="64">
        <f t="shared" si="18"/>
        <v>0.36858974358974367</v>
      </c>
      <c r="BP212" s="64">
        <f t="shared" si="19"/>
        <v>0.37362637362637363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88</v>
      </c>
      <c r="Y214" s="542">
        <f t="shared" si="15"/>
        <v>88.8</v>
      </c>
      <c r="Z214" s="36">
        <f t="shared" si="20"/>
        <v>0.24087</v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97.460000000000008</v>
      </c>
      <c r="BN214" s="64">
        <f t="shared" si="17"/>
        <v>98.346000000000004</v>
      </c>
      <c r="BO214" s="64">
        <f t="shared" si="18"/>
        <v>0.2014652014652015</v>
      </c>
      <c r="BP214" s="64">
        <f t="shared" si="19"/>
        <v>0.20329670329670332</v>
      </c>
    </row>
    <row r="215" spans="1:68" x14ac:dyDescent="0.2">
      <c r="A215" s="550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2"/>
      <c r="P215" s="555" t="s">
        <v>71</v>
      </c>
      <c r="Q215" s="556"/>
      <c r="R215" s="556"/>
      <c r="S215" s="556"/>
      <c r="T215" s="556"/>
      <c r="U215" s="556"/>
      <c r="V215" s="557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242.08333333333337</v>
      </c>
      <c r="Y215" s="543">
        <f>IFERROR(Y206/H206,"0")+IFERROR(Y207/H207,"0")+IFERROR(Y208/H208,"0")+IFERROR(Y209/H209,"0")+IFERROR(Y210/H210,"0")+IFERROR(Y211/H211,"0")+IFERROR(Y212/H212,"0")+IFERROR(Y213/H213,"0")+IFERROR(Y214/H214,"0")</f>
        <v>244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1.5884399999999999</v>
      </c>
      <c r="AA215" s="544"/>
      <c r="AB215" s="544"/>
      <c r="AC215" s="544"/>
    </row>
    <row r="216" spans="1:68" x14ac:dyDescent="0.2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2"/>
      <c r="P216" s="555" t="s">
        <v>71</v>
      </c>
      <c r="Q216" s="556"/>
      <c r="R216" s="556"/>
      <c r="S216" s="556"/>
      <c r="T216" s="556"/>
      <c r="U216" s="556"/>
      <c r="V216" s="557"/>
      <c r="W216" s="37" t="s">
        <v>69</v>
      </c>
      <c r="X216" s="543">
        <f>IFERROR(SUM(X206:X214),"0")</f>
        <v>581</v>
      </c>
      <c r="Y216" s="543">
        <f>IFERROR(SUM(Y206:Y214),"0")</f>
        <v>585.6</v>
      </c>
      <c r="Z216" s="37"/>
      <c r="AA216" s="544"/>
      <c r="AB216" s="544"/>
      <c r="AC216" s="544"/>
    </row>
    <row r="217" spans="1:68" ht="14.25" hidden="1" customHeight="1" x14ac:dyDescent="0.25">
      <c r="A217" s="553" t="s">
        <v>164</v>
      </c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35"/>
      <c r="AB217" s="535"/>
      <c r="AC217" s="535"/>
    </row>
    <row r="218" spans="1:68" ht="27" hidden="1" customHeight="1" x14ac:dyDescent="0.25">
      <c r="A218" s="54" t="s">
        <v>351</v>
      </c>
      <c r="B218" s="54" t="s">
        <v>352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5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31</v>
      </c>
      <c r="Y219" s="542">
        <f>IFERROR(IF(X219="",0,CEILING((X219/$H219),1)*$H219),"")</f>
        <v>31.2</v>
      </c>
      <c r="Z219" s="36">
        <f>IFERROR(IF(Y219=0,"",ROUNDUP(Y219/H219,0)*0.00651),"")</f>
        <v>8.4629999999999997E-2</v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34.255000000000003</v>
      </c>
      <c r="BN219" s="64">
        <f>IFERROR(Y219*I219/H219,"0")</f>
        <v>34.476000000000006</v>
      </c>
      <c r="BO219" s="64">
        <f>IFERROR(1/J219*(X219/H219),"0")</f>
        <v>7.0970695970695982E-2</v>
      </c>
      <c r="BP219" s="64">
        <f>IFERROR(1/J219*(Y219/H219),"0")</f>
        <v>7.1428571428571438E-2</v>
      </c>
    </row>
    <row r="220" spans="1:68" x14ac:dyDescent="0.2">
      <c r="A220" s="550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2"/>
      <c r="P220" s="555" t="s">
        <v>71</v>
      </c>
      <c r="Q220" s="556"/>
      <c r="R220" s="556"/>
      <c r="S220" s="556"/>
      <c r="T220" s="556"/>
      <c r="U220" s="556"/>
      <c r="V220" s="557"/>
      <c r="W220" s="37" t="s">
        <v>72</v>
      </c>
      <c r="X220" s="543">
        <f>IFERROR(X218/H218,"0")+IFERROR(X219/H219,"0")</f>
        <v>12.916666666666668</v>
      </c>
      <c r="Y220" s="543">
        <f>IFERROR(Y218/H218,"0")+IFERROR(Y219/H219,"0")</f>
        <v>13</v>
      </c>
      <c r="Z220" s="543">
        <f>IFERROR(IF(Z218="",0,Z218),"0")+IFERROR(IF(Z219="",0,Z219),"0")</f>
        <v>8.4629999999999997E-2</v>
      </c>
      <c r="AA220" s="544"/>
      <c r="AB220" s="544"/>
      <c r="AC220" s="544"/>
    </row>
    <row r="221" spans="1:68" x14ac:dyDescent="0.2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2"/>
      <c r="P221" s="555" t="s">
        <v>71</v>
      </c>
      <c r="Q221" s="556"/>
      <c r="R221" s="556"/>
      <c r="S221" s="556"/>
      <c r="T221" s="556"/>
      <c r="U221" s="556"/>
      <c r="V221" s="557"/>
      <c r="W221" s="37" t="s">
        <v>69</v>
      </c>
      <c r="X221" s="543">
        <f>IFERROR(SUM(X218:X219),"0")</f>
        <v>31</v>
      </c>
      <c r="Y221" s="543">
        <f>IFERROR(SUM(Y218:Y219),"0")</f>
        <v>31.2</v>
      </c>
      <c r="Z221" s="37"/>
      <c r="AA221" s="544"/>
      <c r="AB221" s="544"/>
      <c r="AC221" s="544"/>
    </row>
    <row r="222" spans="1:68" ht="16.5" hidden="1" customHeight="1" x14ac:dyDescent="0.25">
      <c r="A222" s="554" t="s">
        <v>357</v>
      </c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36"/>
      <c r="AB222" s="536"/>
      <c r="AC222" s="536"/>
    </row>
    <row r="223" spans="1:68" ht="14.25" hidden="1" customHeight="1" x14ac:dyDescent="0.25">
      <c r="A223" s="553" t="s">
        <v>101</v>
      </c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8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6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0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2"/>
      <c r="P234" s="555" t="s">
        <v>71</v>
      </c>
      <c r="Q234" s="556"/>
      <c r="R234" s="556"/>
      <c r="S234" s="556"/>
      <c r="T234" s="556"/>
      <c r="U234" s="556"/>
      <c r="V234" s="557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2"/>
      <c r="P235" s="555" t="s">
        <v>71</v>
      </c>
      <c r="Q235" s="556"/>
      <c r="R235" s="556"/>
      <c r="S235" s="556"/>
      <c r="T235" s="556"/>
      <c r="U235" s="556"/>
      <c r="V235" s="557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3" t="s">
        <v>136</v>
      </c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0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2"/>
      <c r="P238" s="555" t="s">
        <v>71</v>
      </c>
      <c r="Q238" s="556"/>
      <c r="R238" s="556"/>
      <c r="S238" s="556"/>
      <c r="T238" s="556"/>
      <c r="U238" s="556"/>
      <c r="V238" s="557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2"/>
      <c r="P239" s="555" t="s">
        <v>71</v>
      </c>
      <c r="Q239" s="556"/>
      <c r="R239" s="556"/>
      <c r="S239" s="556"/>
      <c r="T239" s="556"/>
      <c r="U239" s="556"/>
      <c r="V239" s="557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3" t="s">
        <v>383</v>
      </c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7</v>
      </c>
      <c r="Y241" s="542">
        <f>IFERROR(IF(X241="",0,CEILING((X241/$H241),1)*$H241),"")</f>
        <v>7.2</v>
      </c>
      <c r="Z241" s="36">
        <f>IFERROR(IF(Y241=0,"",ROUNDUP(Y241/H241,0)*0.0059),"")</f>
        <v>2.3599999999999999E-2</v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7.6805555555555562</v>
      </c>
      <c r="BN241" s="64">
        <f>IFERROR(Y241*I241/H241,"0")</f>
        <v>7.9</v>
      </c>
      <c r="BO241" s="64">
        <f>IFERROR(1/J241*(X241/H241),"0")</f>
        <v>1.8004115226337446E-2</v>
      </c>
      <c r="BP241" s="64">
        <f>IFERROR(1/J241*(Y241/H241),"0")</f>
        <v>1.8518518518518517E-2</v>
      </c>
    </row>
    <row r="242" spans="1:68" x14ac:dyDescent="0.2">
      <c r="A242" s="550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2"/>
      <c r="P242" s="555" t="s">
        <v>71</v>
      </c>
      <c r="Q242" s="556"/>
      <c r="R242" s="556"/>
      <c r="S242" s="556"/>
      <c r="T242" s="556"/>
      <c r="U242" s="556"/>
      <c r="V242" s="557"/>
      <c r="W242" s="37" t="s">
        <v>72</v>
      </c>
      <c r="X242" s="543">
        <f>IFERROR(X241/H241,"0")</f>
        <v>3.8888888888888888</v>
      </c>
      <c r="Y242" s="543">
        <f>IFERROR(Y241/H241,"0")</f>
        <v>4</v>
      </c>
      <c r="Z242" s="543">
        <f>IFERROR(IF(Z241="",0,Z241),"0")</f>
        <v>2.3599999999999999E-2</v>
      </c>
      <c r="AA242" s="544"/>
      <c r="AB242" s="544"/>
      <c r="AC242" s="544"/>
    </row>
    <row r="243" spans="1:68" x14ac:dyDescent="0.2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2"/>
      <c r="P243" s="555" t="s">
        <v>71</v>
      </c>
      <c r="Q243" s="556"/>
      <c r="R243" s="556"/>
      <c r="S243" s="556"/>
      <c r="T243" s="556"/>
      <c r="U243" s="556"/>
      <c r="V243" s="557"/>
      <c r="W243" s="37" t="s">
        <v>69</v>
      </c>
      <c r="X243" s="543">
        <f>IFERROR(SUM(X241:X241),"0")</f>
        <v>7</v>
      </c>
      <c r="Y243" s="543">
        <f>IFERROR(SUM(Y241:Y241),"0")</f>
        <v>7.2</v>
      </c>
      <c r="Z243" s="37"/>
      <c r="AA243" s="544"/>
      <c r="AB243" s="544"/>
      <c r="AC243" s="544"/>
    </row>
    <row r="244" spans="1:68" ht="14.25" hidden="1" customHeight="1" x14ac:dyDescent="0.25">
      <c r="A244" s="553" t="s">
        <v>387</v>
      </c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6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2</v>
      </c>
      <c r="Y247" s="542">
        <f>IFERROR(IF(X247="",0,CEILING((X247/$H247),1)*$H247),"")</f>
        <v>2.7</v>
      </c>
      <c r="Z247" s="36">
        <f>IFERROR(IF(Y247=0,"",ROUNDUP(Y247/H247,0)*0.0059),"")</f>
        <v>1.77E-2</v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2.4222222222222225</v>
      </c>
      <c r="BN247" s="64">
        <f>IFERROR(Y247*I247/H247,"0")</f>
        <v>3.2700000000000005</v>
      </c>
      <c r="BO247" s="64">
        <f>IFERROR(1/J247*(X247/H247),"0")</f>
        <v>1.0288065843621399E-2</v>
      </c>
      <c r="BP247" s="64">
        <f>IFERROR(1/J247*(Y247/H247),"0")</f>
        <v>1.3888888888888888E-2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4</v>
      </c>
      <c r="Y248" s="542">
        <f>IFERROR(IF(X248="",0,CEILING((X248/$H248),1)*$H248),"")</f>
        <v>4.95</v>
      </c>
      <c r="Z248" s="36">
        <f>IFERROR(IF(Y248=0,"",ROUNDUP(Y248/H248,0)*0.0059),"")</f>
        <v>2.9499999999999998E-2</v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4.7676767676767673</v>
      </c>
      <c r="BN248" s="64">
        <f>IFERROR(Y248*I248/H248,"0")</f>
        <v>5.9</v>
      </c>
      <c r="BO248" s="64">
        <f>IFERROR(1/J248*(X248/H248),"0")</f>
        <v>1.8705574261129818E-2</v>
      </c>
      <c r="BP248" s="64">
        <f>IFERROR(1/J248*(Y248/H248),"0")</f>
        <v>2.3148148148148147E-2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3</v>
      </c>
      <c r="Y249" s="542">
        <f>IFERROR(IF(X249="",0,CEILING((X249/$H249),1)*$H249),"")</f>
        <v>3.96</v>
      </c>
      <c r="Z249" s="36">
        <f>IFERROR(IF(Y249=0,"",ROUNDUP(Y249/H249,0)*0.0059),"")</f>
        <v>2.3599999999999999E-2</v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3.5757575757575757</v>
      </c>
      <c r="BN249" s="64">
        <f>IFERROR(Y249*I249/H249,"0")</f>
        <v>4.72</v>
      </c>
      <c r="BO249" s="64">
        <f>IFERROR(1/J249*(X249/H249),"0")</f>
        <v>1.4029180695847361E-2</v>
      </c>
      <c r="BP249" s="64">
        <f>IFERROR(1/J249*(Y249/H249),"0")</f>
        <v>1.8518518518518517E-2</v>
      </c>
    </row>
    <row r="250" spans="1:68" x14ac:dyDescent="0.2">
      <c r="A250" s="550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2"/>
      <c r="P250" s="555" t="s">
        <v>71</v>
      </c>
      <c r="Q250" s="556"/>
      <c r="R250" s="556"/>
      <c r="S250" s="556"/>
      <c r="T250" s="556"/>
      <c r="U250" s="556"/>
      <c r="V250" s="557"/>
      <c r="W250" s="37" t="s">
        <v>72</v>
      </c>
      <c r="X250" s="543">
        <f>IFERROR(X245/H245,"0")+IFERROR(X246/H246,"0")+IFERROR(X247/H247,"0")+IFERROR(X248/H248,"0")+IFERROR(X249/H249,"0")</f>
        <v>9.2929292929292941</v>
      </c>
      <c r="Y250" s="543">
        <f>IFERROR(Y245/H245,"0")+IFERROR(Y246/H246,"0")+IFERROR(Y247/H247,"0")+IFERROR(Y248/H248,"0")+IFERROR(Y249/H249,"0")</f>
        <v>12</v>
      </c>
      <c r="Z250" s="543">
        <f>IFERROR(IF(Z245="",0,Z245),"0")+IFERROR(IF(Z246="",0,Z246),"0")+IFERROR(IF(Z247="",0,Z247),"0")+IFERROR(IF(Z248="",0,Z248),"0")+IFERROR(IF(Z249="",0,Z249),"0")</f>
        <v>7.0800000000000002E-2</v>
      </c>
      <c r="AA250" s="544"/>
      <c r="AB250" s="544"/>
      <c r="AC250" s="544"/>
    </row>
    <row r="251" spans="1:68" x14ac:dyDescent="0.2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2"/>
      <c r="P251" s="555" t="s">
        <v>71</v>
      </c>
      <c r="Q251" s="556"/>
      <c r="R251" s="556"/>
      <c r="S251" s="556"/>
      <c r="T251" s="556"/>
      <c r="U251" s="556"/>
      <c r="V251" s="557"/>
      <c r="W251" s="37" t="s">
        <v>69</v>
      </c>
      <c r="X251" s="543">
        <f>IFERROR(SUM(X245:X249),"0")</f>
        <v>9</v>
      </c>
      <c r="Y251" s="543">
        <f>IFERROR(SUM(Y245:Y249),"0")</f>
        <v>11.61</v>
      </c>
      <c r="Z251" s="37"/>
      <c r="AA251" s="544"/>
      <c r="AB251" s="544"/>
      <c r="AC251" s="544"/>
    </row>
    <row r="252" spans="1:68" ht="16.5" hidden="1" customHeight="1" x14ac:dyDescent="0.25">
      <c r="A252" s="554" t="s">
        <v>399</v>
      </c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36"/>
      <c r="AB252" s="536"/>
      <c r="AC252" s="536"/>
    </row>
    <row r="253" spans="1:68" ht="14.25" hidden="1" customHeight="1" x14ac:dyDescent="0.25">
      <c r="A253" s="553" t="s">
        <v>101</v>
      </c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100</v>
      </c>
      <c r="Y254" s="542">
        <f>IFERROR(IF(X254="",0,CEILING((X254/$H254),1)*$H254),"")</f>
        <v>108</v>
      </c>
      <c r="Z254" s="36">
        <f>IFERROR(IF(Y254=0,"",ROUNDUP(Y254/H254,0)*0.01898),"")</f>
        <v>0.1898</v>
      </c>
      <c r="AA254" s="56"/>
      <c r="AB254" s="57"/>
      <c r="AC254" s="299" t="s">
        <v>402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103.79629629629629</v>
      </c>
      <c r="BN254" s="64">
        <f>IFERROR(Y254*I254/H254,"0")</f>
        <v>112.1</v>
      </c>
      <c r="BO254" s="64">
        <f>IFERROR(1/J254*(X254/H254),"0")</f>
        <v>0.14467592592592593</v>
      </c>
      <c r="BP254" s="64">
        <f>IFERROR(1/J254*(Y254/H254),"0")</f>
        <v>0.15625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6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500</v>
      </c>
      <c r="Y256" s="542">
        <f>IFERROR(IF(X256="",0,CEILING((X256/$H256),1)*$H256),"")</f>
        <v>507.6</v>
      </c>
      <c r="Z256" s="36">
        <f>IFERROR(IF(Y256=0,"",ROUNDUP(Y256/H256,0)*0.01898),"")</f>
        <v>0.89205999999999996</v>
      </c>
      <c r="AA256" s="56"/>
      <c r="AB256" s="57"/>
      <c r="AC256" s="303" t="s">
        <v>408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518.98148148148141</v>
      </c>
      <c r="BN256" s="64">
        <f>IFERROR(Y256*I256/H256,"0")</f>
        <v>526.87</v>
      </c>
      <c r="BO256" s="64">
        <f>IFERROR(1/J256*(X256/H256),"0")</f>
        <v>0.72337962962962954</v>
      </c>
      <c r="BP256" s="64">
        <f>IFERROR(1/J256*(Y256/H256),"0")</f>
        <v>0.734375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0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2"/>
      <c r="P259" s="555" t="s">
        <v>71</v>
      </c>
      <c r="Q259" s="556"/>
      <c r="R259" s="556"/>
      <c r="S259" s="556"/>
      <c r="T259" s="556"/>
      <c r="U259" s="556"/>
      <c r="V259" s="557"/>
      <c r="W259" s="37" t="s">
        <v>72</v>
      </c>
      <c r="X259" s="543">
        <f>IFERROR(X254/H254,"0")+IFERROR(X255/H255,"0")+IFERROR(X256/H256,"0")+IFERROR(X257/H257,"0")+IFERROR(X258/H258,"0")</f>
        <v>55.55555555555555</v>
      </c>
      <c r="Y259" s="543">
        <f>IFERROR(Y254/H254,"0")+IFERROR(Y255/H255,"0")+IFERROR(Y256/H256,"0")+IFERROR(Y257/H257,"0")+IFERROR(Y258/H258,"0")</f>
        <v>57</v>
      </c>
      <c r="Z259" s="543">
        <f>IFERROR(IF(Z254="",0,Z254),"0")+IFERROR(IF(Z255="",0,Z255),"0")+IFERROR(IF(Z256="",0,Z256),"0")+IFERROR(IF(Z257="",0,Z257),"0")+IFERROR(IF(Z258="",0,Z258),"0")</f>
        <v>1.08186</v>
      </c>
      <c r="AA259" s="544"/>
      <c r="AB259" s="544"/>
      <c r="AC259" s="544"/>
    </row>
    <row r="260" spans="1:68" x14ac:dyDescent="0.2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2"/>
      <c r="P260" s="555" t="s">
        <v>71</v>
      </c>
      <c r="Q260" s="556"/>
      <c r="R260" s="556"/>
      <c r="S260" s="556"/>
      <c r="T260" s="556"/>
      <c r="U260" s="556"/>
      <c r="V260" s="557"/>
      <c r="W260" s="37" t="s">
        <v>69</v>
      </c>
      <c r="X260" s="543">
        <f>IFERROR(SUM(X254:X258),"0")</f>
        <v>600</v>
      </c>
      <c r="Y260" s="543">
        <f>IFERROR(SUM(Y254:Y258),"0")</f>
        <v>615.6</v>
      </c>
      <c r="Z260" s="37"/>
      <c r="AA260" s="544"/>
      <c r="AB260" s="544"/>
      <c r="AC260" s="544"/>
    </row>
    <row r="261" spans="1:68" ht="16.5" hidden="1" customHeight="1" x14ac:dyDescent="0.25">
      <c r="A261" s="554" t="s">
        <v>415</v>
      </c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36"/>
      <c r="AB261" s="536"/>
      <c r="AC261" s="536"/>
    </row>
    <row r="262" spans="1:68" ht="14.25" hidden="1" customHeight="1" x14ac:dyDescent="0.25">
      <c r="A262" s="553" t="s">
        <v>101</v>
      </c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59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0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2"/>
      <c r="P267" s="555" t="s">
        <v>71</v>
      </c>
      <c r="Q267" s="556"/>
      <c r="R267" s="556"/>
      <c r="S267" s="556"/>
      <c r="T267" s="556"/>
      <c r="U267" s="556"/>
      <c r="V267" s="557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2"/>
      <c r="P268" s="555" t="s">
        <v>71</v>
      </c>
      <c r="Q268" s="556"/>
      <c r="R268" s="556"/>
      <c r="S268" s="556"/>
      <c r="T268" s="556"/>
      <c r="U268" s="556"/>
      <c r="V268" s="557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54" t="s">
        <v>426</v>
      </c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36"/>
      <c r="AB269" s="536"/>
      <c r="AC269" s="536"/>
    </row>
    <row r="270" spans="1:68" ht="14.25" hidden="1" customHeight="1" x14ac:dyDescent="0.25">
      <c r="A270" s="553" t="s">
        <v>73</v>
      </c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5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32</v>
      </c>
      <c r="Y272" s="542">
        <f>IFERROR(IF(X272="",0,CEILING((X272/$H272),1)*$H272),"")</f>
        <v>33.6</v>
      </c>
      <c r="Z272" s="36">
        <f>IFERROR(IF(Y272=0,"",ROUNDUP(Y272/H272,0)*0.00651),"")</f>
        <v>9.1139999999999999E-2</v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35.360000000000007</v>
      </c>
      <c r="BN272" s="64">
        <f>IFERROR(Y272*I272/H272,"0")</f>
        <v>37.128000000000007</v>
      </c>
      <c r="BO272" s="64">
        <f>IFERROR(1/J272*(X272/H272),"0")</f>
        <v>7.3260073260073263E-2</v>
      </c>
      <c r="BP272" s="64">
        <f>IFERROR(1/J272*(Y272/H272),"0")</f>
        <v>7.6923076923076941E-2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32</v>
      </c>
      <c r="Y273" s="542">
        <f>IFERROR(IF(X273="",0,CEILING((X273/$H273),1)*$H273),"")</f>
        <v>33.6</v>
      </c>
      <c r="Z273" s="36">
        <f>IFERROR(IF(Y273=0,"",ROUNDUP(Y273/H273,0)*0.00651),"")</f>
        <v>9.1139999999999999E-2</v>
      </c>
      <c r="AA273" s="56"/>
      <c r="AB273" s="57"/>
      <c r="AC273" s="321" t="s">
        <v>429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34.400000000000006</v>
      </c>
      <c r="BN273" s="64">
        <f>IFERROR(Y273*I273/H273,"0")</f>
        <v>36.120000000000005</v>
      </c>
      <c r="BO273" s="64">
        <f>IFERROR(1/J273*(X273/H273),"0")</f>
        <v>7.3260073260073263E-2</v>
      </c>
      <c r="BP273" s="64">
        <f>IFERROR(1/J273*(Y273/H273),"0")</f>
        <v>7.6923076923076941E-2</v>
      </c>
    </row>
    <row r="274" spans="1:68" x14ac:dyDescent="0.2">
      <c r="A274" s="550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2"/>
      <c r="P274" s="555" t="s">
        <v>71</v>
      </c>
      <c r="Q274" s="556"/>
      <c r="R274" s="556"/>
      <c r="S274" s="556"/>
      <c r="T274" s="556"/>
      <c r="U274" s="556"/>
      <c r="V274" s="557"/>
      <c r="W274" s="37" t="s">
        <v>72</v>
      </c>
      <c r="X274" s="543">
        <f>IFERROR(X271/H271,"0")+IFERROR(X272/H272,"0")+IFERROR(X273/H273,"0")</f>
        <v>26.666666666666668</v>
      </c>
      <c r="Y274" s="543">
        <f>IFERROR(Y271/H271,"0")+IFERROR(Y272/H272,"0")+IFERROR(Y273/H273,"0")</f>
        <v>28.000000000000004</v>
      </c>
      <c r="Z274" s="543">
        <f>IFERROR(IF(Z271="",0,Z271),"0")+IFERROR(IF(Z272="",0,Z272),"0")+IFERROR(IF(Z273="",0,Z273),"0")</f>
        <v>0.18228</v>
      </c>
      <c r="AA274" s="544"/>
      <c r="AB274" s="544"/>
      <c r="AC274" s="544"/>
    </row>
    <row r="275" spans="1:68" x14ac:dyDescent="0.2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2"/>
      <c r="P275" s="555" t="s">
        <v>71</v>
      </c>
      <c r="Q275" s="556"/>
      <c r="R275" s="556"/>
      <c r="S275" s="556"/>
      <c r="T275" s="556"/>
      <c r="U275" s="556"/>
      <c r="V275" s="557"/>
      <c r="W275" s="37" t="s">
        <v>69</v>
      </c>
      <c r="X275" s="543">
        <f>IFERROR(SUM(X271:X273),"0")</f>
        <v>64</v>
      </c>
      <c r="Y275" s="543">
        <f>IFERROR(SUM(Y271:Y273),"0")</f>
        <v>67.2</v>
      </c>
      <c r="Z275" s="37"/>
      <c r="AA275" s="544"/>
      <c r="AB275" s="544"/>
      <c r="AC275" s="544"/>
    </row>
    <row r="276" spans="1:68" ht="16.5" hidden="1" customHeight="1" x14ac:dyDescent="0.25">
      <c r="A276" s="554" t="s">
        <v>435</v>
      </c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36"/>
      <c r="AB276" s="536"/>
      <c r="AC276" s="536"/>
    </row>
    <row r="277" spans="1:68" ht="14.25" hidden="1" customHeight="1" x14ac:dyDescent="0.25">
      <c r="A277" s="553" t="s">
        <v>64</v>
      </c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3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0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2"/>
      <c r="P280" s="555" t="s">
        <v>71</v>
      </c>
      <c r="Q280" s="556"/>
      <c r="R280" s="556"/>
      <c r="S280" s="556"/>
      <c r="T280" s="556"/>
      <c r="U280" s="556"/>
      <c r="V280" s="557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2"/>
      <c r="P281" s="555" t="s">
        <v>71</v>
      </c>
      <c r="Q281" s="556"/>
      <c r="R281" s="556"/>
      <c r="S281" s="556"/>
      <c r="T281" s="556"/>
      <c r="U281" s="556"/>
      <c r="V281" s="557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3" t="s">
        <v>73</v>
      </c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0"/>
      <c r="B284" s="551"/>
      <c r="C284" s="551"/>
      <c r="D284" s="551"/>
      <c r="E284" s="551"/>
      <c r="F284" s="551"/>
      <c r="G284" s="551"/>
      <c r="H284" s="551"/>
      <c r="I284" s="551"/>
      <c r="J284" s="551"/>
      <c r="K284" s="551"/>
      <c r="L284" s="551"/>
      <c r="M284" s="551"/>
      <c r="N284" s="551"/>
      <c r="O284" s="552"/>
      <c r="P284" s="555" t="s">
        <v>71</v>
      </c>
      <c r="Q284" s="556"/>
      <c r="R284" s="556"/>
      <c r="S284" s="556"/>
      <c r="T284" s="556"/>
      <c r="U284" s="556"/>
      <c r="V284" s="557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hidden="1" x14ac:dyDescent="0.2">
      <c r="A285" s="551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2"/>
      <c r="P285" s="555" t="s">
        <v>71</v>
      </c>
      <c r="Q285" s="556"/>
      <c r="R285" s="556"/>
      <c r="S285" s="556"/>
      <c r="T285" s="556"/>
      <c r="U285" s="556"/>
      <c r="V285" s="557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hidden="1" customHeight="1" x14ac:dyDescent="0.25">
      <c r="A286" s="554" t="s">
        <v>445</v>
      </c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1"/>
      <c r="P286" s="551"/>
      <c r="Q286" s="551"/>
      <c r="R286" s="551"/>
      <c r="S286" s="551"/>
      <c r="T286" s="551"/>
      <c r="U286" s="551"/>
      <c r="V286" s="551"/>
      <c r="W286" s="551"/>
      <c r="X286" s="551"/>
      <c r="Y286" s="551"/>
      <c r="Z286" s="551"/>
      <c r="AA286" s="536"/>
      <c r="AB286" s="536"/>
      <c r="AC286" s="536"/>
    </row>
    <row r="287" spans="1:68" ht="14.25" hidden="1" customHeight="1" x14ac:dyDescent="0.25">
      <c r="A287" s="553" t="s">
        <v>101</v>
      </c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4301012126</v>
      </c>
      <c r="D288" s="545">
        <v>4607091386004</v>
      </c>
      <c r="E288" s="546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84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48"/>
      <c r="R288" s="548"/>
      <c r="S288" s="548"/>
      <c r="T288" s="549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 t="s">
        <v>105</v>
      </c>
      <c r="M289" s="33" t="s">
        <v>77</v>
      </c>
      <c r="N289" s="33"/>
      <c r="O289" s="32">
        <v>55</v>
      </c>
      <c r="P289" s="67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172</v>
      </c>
      <c r="Y289" s="542">
        <f t="shared" si="26"/>
        <v>172.8</v>
      </c>
      <c r="Z289" s="36">
        <f>IFERROR(IF(Y289=0,"",ROUNDUP(Y289/H289,0)*0.01898),"")</f>
        <v>0.30368000000000001</v>
      </c>
      <c r="AA289" s="56"/>
      <c r="AB289" s="57"/>
      <c r="AC289" s="331" t="s">
        <v>451</v>
      </c>
      <c r="AG289" s="64"/>
      <c r="AJ289" s="68" t="s">
        <v>90</v>
      </c>
      <c r="AK289" s="68">
        <v>86.4</v>
      </c>
      <c r="BB289" s="332" t="s">
        <v>1</v>
      </c>
      <c r="BM289" s="64">
        <f t="shared" si="27"/>
        <v>178.52962962962962</v>
      </c>
      <c r="BN289" s="64">
        <f t="shared" si="28"/>
        <v>179.36</v>
      </c>
      <c r="BO289" s="64">
        <f t="shared" si="29"/>
        <v>0.24884259259259259</v>
      </c>
      <c r="BP289" s="64">
        <f t="shared" si="30"/>
        <v>0.25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106</v>
      </c>
      <c r="N290" s="33"/>
      <c r="O290" s="32">
        <v>55</v>
      </c>
      <c r="P290" s="57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102</v>
      </c>
      <c r="Y290" s="542">
        <f t="shared" si="26"/>
        <v>108</v>
      </c>
      <c r="Z290" s="36">
        <f>IFERROR(IF(Y290=0,"",ROUNDUP(Y290/H290,0)*0.01898),"")</f>
        <v>0.1898</v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105.87222222222222</v>
      </c>
      <c r="BN290" s="64">
        <f t="shared" si="28"/>
        <v>112.1</v>
      </c>
      <c r="BO290" s="64">
        <f t="shared" si="29"/>
        <v>0.14756944444444445</v>
      </c>
      <c r="BP290" s="64">
        <f t="shared" si="30"/>
        <v>0.15625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183</v>
      </c>
      <c r="Y291" s="542">
        <f t="shared" si="26"/>
        <v>183.60000000000002</v>
      </c>
      <c r="Z291" s="36">
        <f>IFERROR(IF(Y291=0,"",ROUNDUP(Y291/H291,0)*0.01898),"")</f>
        <v>0.32266</v>
      </c>
      <c r="AA291" s="56"/>
      <c r="AB291" s="57"/>
      <c r="AC291" s="335" t="s">
        <v>457</v>
      </c>
      <c r="AG291" s="64"/>
      <c r="AJ291" s="68" t="s">
        <v>90</v>
      </c>
      <c r="AK291" s="68">
        <v>10.8</v>
      </c>
      <c r="BB291" s="336" t="s">
        <v>1</v>
      </c>
      <c r="BM291" s="64">
        <f t="shared" si="27"/>
        <v>189.94722222222222</v>
      </c>
      <c r="BN291" s="64">
        <f t="shared" si="28"/>
        <v>190.57000000000002</v>
      </c>
      <c r="BO291" s="64">
        <f t="shared" si="29"/>
        <v>0.26475694444444442</v>
      </c>
      <c r="BP291" s="64">
        <f t="shared" si="30"/>
        <v>0.265625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 t="s">
        <v>111</v>
      </c>
      <c r="M292" s="33" t="s">
        <v>106</v>
      </c>
      <c r="N292" s="33"/>
      <c r="O292" s="32">
        <v>55</v>
      </c>
      <c r="P292" s="79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20</v>
      </c>
      <c r="Y292" s="542">
        <f t="shared" si="26"/>
        <v>20</v>
      </c>
      <c r="Z292" s="36">
        <f>IFERROR(IF(Y292=0,"",ROUNDUP(Y292/H292,0)*0.00902),"")</f>
        <v>4.5100000000000001E-2</v>
      </c>
      <c r="AA292" s="56"/>
      <c r="AB292" s="57"/>
      <c r="AC292" s="337" t="s">
        <v>451</v>
      </c>
      <c r="AG292" s="64"/>
      <c r="AJ292" s="68" t="s">
        <v>90</v>
      </c>
      <c r="AK292" s="68">
        <v>48</v>
      </c>
      <c r="BB292" s="338" t="s">
        <v>1</v>
      </c>
      <c r="BM292" s="64">
        <f t="shared" si="27"/>
        <v>20.950000000000003</v>
      </c>
      <c r="BN292" s="64">
        <f t="shared" si="28"/>
        <v>20.950000000000003</v>
      </c>
      <c r="BO292" s="64">
        <f t="shared" si="29"/>
        <v>3.787878787878788E-2</v>
      </c>
      <c r="BP292" s="64">
        <f t="shared" si="30"/>
        <v>3.787878787878788E-2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68</v>
      </c>
      <c r="Y293" s="542">
        <f t="shared" si="26"/>
        <v>68</v>
      </c>
      <c r="Z293" s="36">
        <f>IFERROR(IF(Y293=0,"",ROUNDUP(Y293/H293,0)*0.00902),"")</f>
        <v>0.15334</v>
      </c>
      <c r="AA293" s="56"/>
      <c r="AB293" s="57"/>
      <c r="AC293" s="339" t="s">
        <v>462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71.23</v>
      </c>
      <c r="BN293" s="64">
        <f t="shared" si="28"/>
        <v>71.23</v>
      </c>
      <c r="BO293" s="64">
        <f t="shared" si="29"/>
        <v>0.12878787878787878</v>
      </c>
      <c r="BP293" s="64">
        <f t="shared" si="30"/>
        <v>0.12878787878787878</v>
      </c>
    </row>
    <row r="294" spans="1:68" x14ac:dyDescent="0.2">
      <c r="A294" s="550"/>
      <c r="B294" s="551"/>
      <c r="C294" s="551"/>
      <c r="D294" s="551"/>
      <c r="E294" s="551"/>
      <c r="F294" s="551"/>
      <c r="G294" s="551"/>
      <c r="H294" s="551"/>
      <c r="I294" s="551"/>
      <c r="J294" s="551"/>
      <c r="K294" s="551"/>
      <c r="L294" s="551"/>
      <c r="M294" s="551"/>
      <c r="N294" s="551"/>
      <c r="O294" s="552"/>
      <c r="P294" s="555" t="s">
        <v>71</v>
      </c>
      <c r="Q294" s="556"/>
      <c r="R294" s="556"/>
      <c r="S294" s="556"/>
      <c r="T294" s="556"/>
      <c r="U294" s="556"/>
      <c r="V294" s="557"/>
      <c r="W294" s="37" t="s">
        <v>72</v>
      </c>
      <c r="X294" s="543">
        <f>IFERROR(X288/H288,"0")+IFERROR(X289/H289,"0")+IFERROR(X290/H290,"0")+IFERROR(X291/H291,"0")+IFERROR(X292/H292,"0")+IFERROR(X293/H293,"0")</f>
        <v>64.31481481481481</v>
      </c>
      <c r="Y294" s="543">
        <f>IFERROR(Y288/H288,"0")+IFERROR(Y289/H289,"0")+IFERROR(Y290/H290,"0")+IFERROR(Y291/H291,"0")+IFERROR(Y292/H292,"0")+IFERROR(Y293/H293,"0")</f>
        <v>65</v>
      </c>
      <c r="Z294" s="543">
        <f>IFERROR(IF(Z288="",0,Z288),"0")+IFERROR(IF(Z289="",0,Z289),"0")+IFERROR(IF(Z290="",0,Z290),"0")+IFERROR(IF(Z291="",0,Z291),"0")+IFERROR(IF(Z292="",0,Z292),"0")+IFERROR(IF(Z293="",0,Z293),"0")</f>
        <v>1.01458</v>
      </c>
      <c r="AA294" s="544"/>
      <c r="AB294" s="544"/>
      <c r="AC294" s="544"/>
    </row>
    <row r="295" spans="1:68" x14ac:dyDescent="0.2">
      <c r="A295" s="551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2"/>
      <c r="P295" s="555" t="s">
        <v>71</v>
      </c>
      <c r="Q295" s="556"/>
      <c r="R295" s="556"/>
      <c r="S295" s="556"/>
      <c r="T295" s="556"/>
      <c r="U295" s="556"/>
      <c r="V295" s="557"/>
      <c r="W295" s="37" t="s">
        <v>69</v>
      </c>
      <c r="X295" s="543">
        <f>IFERROR(SUM(X288:X293),"0")</f>
        <v>545</v>
      </c>
      <c r="Y295" s="543">
        <f>IFERROR(SUM(Y288:Y293),"0")</f>
        <v>552.40000000000009</v>
      </c>
      <c r="Z295" s="37"/>
      <c r="AA295" s="544"/>
      <c r="AB295" s="544"/>
      <c r="AC295" s="544"/>
    </row>
    <row r="296" spans="1:68" ht="14.25" hidden="1" customHeight="1" x14ac:dyDescent="0.25">
      <c r="A296" s="553" t="s">
        <v>64</v>
      </c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1"/>
      <c r="P296" s="551"/>
      <c r="Q296" s="551"/>
      <c r="R296" s="551"/>
      <c r="S296" s="551"/>
      <c r="T296" s="551"/>
      <c r="U296" s="551"/>
      <c r="V296" s="551"/>
      <c r="W296" s="551"/>
      <c r="X296" s="551"/>
      <c r="Y296" s="551"/>
      <c r="Z296" s="551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 t="s">
        <v>111</v>
      </c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120</v>
      </c>
      <c r="Y297" s="542">
        <f t="shared" ref="Y297:Y303" si="31">IFERROR(IF(X297="",0,CEILING((X297/$H297),1)*$H297),"")</f>
        <v>121.80000000000001</v>
      </c>
      <c r="Z297" s="36">
        <f>IFERROR(IF(Y297=0,"",ROUNDUP(Y297/H297,0)*0.00902),"")</f>
        <v>0.26158000000000003</v>
      </c>
      <c r="AA297" s="56"/>
      <c r="AB297" s="57"/>
      <c r="AC297" s="341" t="s">
        <v>465</v>
      </c>
      <c r="AG297" s="64"/>
      <c r="AJ297" s="68" t="s">
        <v>90</v>
      </c>
      <c r="AK297" s="68">
        <v>50.4</v>
      </c>
      <c r="BB297" s="342" t="s">
        <v>1</v>
      </c>
      <c r="BM297" s="64">
        <f t="shared" ref="BM297:BM303" si="32">IFERROR(X297*I297/H297,"0")</f>
        <v>127.14285714285714</v>
      </c>
      <c r="BN297" s="64">
        <f t="shared" ref="BN297:BN303" si="33">IFERROR(Y297*I297/H297,"0")</f>
        <v>129.05000000000001</v>
      </c>
      <c r="BO297" s="64">
        <f t="shared" ref="BO297:BO303" si="34">IFERROR(1/J297*(X297/H297),"0")</f>
        <v>0.21645021645021645</v>
      </c>
      <c r="BP297" s="64">
        <f t="shared" ref="BP297:BP303" si="35">IFERROR(1/J297*(Y297/H297),"0")</f>
        <v>0.2196969696969697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40</v>
      </c>
      <c r="P298" s="8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700</v>
      </c>
      <c r="Y298" s="542">
        <f t="shared" si="31"/>
        <v>701.4</v>
      </c>
      <c r="Z298" s="36">
        <f>IFERROR(IF(Y298=0,"",ROUNDUP(Y298/H298,0)*0.00902),"")</f>
        <v>1.50634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si="32"/>
        <v>741.66666666666663</v>
      </c>
      <c r="BN298" s="64">
        <f t="shared" si="33"/>
        <v>743.15</v>
      </c>
      <c r="BO298" s="64">
        <f t="shared" si="34"/>
        <v>1.2626262626262625</v>
      </c>
      <c r="BP298" s="64">
        <f t="shared" si="35"/>
        <v>1.2651515151515151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35</v>
      </c>
      <c r="Y300" s="542">
        <f t="shared" si="31"/>
        <v>35.700000000000003</v>
      </c>
      <c r="Z300" s="36">
        <f>IFERROR(IF(Y300=0,"",ROUNDUP(Y300/H300,0)*0.00502),"")</f>
        <v>8.5339999999999999E-2</v>
      </c>
      <c r="AA300" s="56"/>
      <c r="AB300" s="57"/>
      <c r="AC300" s="347" t="s">
        <v>468</v>
      </c>
      <c r="AG300" s="64"/>
      <c r="AJ300" s="68" t="s">
        <v>90</v>
      </c>
      <c r="AK300" s="68">
        <v>37.799999999999997</v>
      </c>
      <c r="BB300" s="348" t="s">
        <v>1</v>
      </c>
      <c r="BM300" s="64">
        <f t="shared" si="32"/>
        <v>37.166666666666664</v>
      </c>
      <c r="BN300" s="64">
        <f t="shared" si="33"/>
        <v>37.910000000000004</v>
      </c>
      <c r="BO300" s="64">
        <f t="shared" si="34"/>
        <v>7.1225071225071226E-2</v>
      </c>
      <c r="BP300" s="64">
        <f t="shared" si="35"/>
        <v>7.2649572649572655E-2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271</v>
      </c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60</v>
      </c>
      <c r="Y301" s="542">
        <f t="shared" si="31"/>
        <v>60.900000000000006</v>
      </c>
      <c r="Z301" s="36">
        <f>IFERROR(IF(Y301=0,"",ROUNDUP(Y301/H301,0)*0.00502),"")</f>
        <v>0.14558000000000001</v>
      </c>
      <c r="AA301" s="56"/>
      <c r="AB301" s="57"/>
      <c r="AC301" s="349" t="s">
        <v>476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62.857142857142854</v>
      </c>
      <c r="BN301" s="64">
        <f t="shared" si="33"/>
        <v>63.800000000000004</v>
      </c>
      <c r="BO301" s="64">
        <f t="shared" si="34"/>
        <v>0.12210012210012211</v>
      </c>
      <c r="BP301" s="64">
        <f t="shared" si="35"/>
        <v>0.12393162393162395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4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88</v>
      </c>
      <c r="M303" s="33" t="s">
        <v>68</v>
      </c>
      <c r="N303" s="33"/>
      <c r="O303" s="32">
        <v>40</v>
      </c>
      <c r="P303" s="68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65</v>
      </c>
      <c r="Y303" s="542">
        <f t="shared" si="31"/>
        <v>66.600000000000009</v>
      </c>
      <c r="Z303" s="36">
        <f>IFERROR(IF(Y303=0,"",ROUNDUP(Y303/H303,0)*0.00651),"")</f>
        <v>0.24087</v>
      </c>
      <c r="AA303" s="56"/>
      <c r="AB303" s="57"/>
      <c r="AC303" s="353" t="s">
        <v>481</v>
      </c>
      <c r="AG303" s="64"/>
      <c r="AJ303" s="68" t="s">
        <v>90</v>
      </c>
      <c r="AK303" s="68">
        <v>25.2</v>
      </c>
      <c r="BB303" s="354" t="s">
        <v>1</v>
      </c>
      <c r="BM303" s="64">
        <f t="shared" si="32"/>
        <v>73.233333333333334</v>
      </c>
      <c r="BN303" s="64">
        <f t="shared" si="33"/>
        <v>75.036000000000016</v>
      </c>
      <c r="BO303" s="64">
        <f t="shared" si="34"/>
        <v>0.1984126984126984</v>
      </c>
      <c r="BP303" s="64">
        <f t="shared" si="35"/>
        <v>0.20329670329670335</v>
      </c>
    </row>
    <row r="304" spans="1:68" x14ac:dyDescent="0.2">
      <c r="A304" s="550"/>
      <c r="B304" s="551"/>
      <c r="C304" s="551"/>
      <c r="D304" s="551"/>
      <c r="E304" s="551"/>
      <c r="F304" s="551"/>
      <c r="G304" s="551"/>
      <c r="H304" s="551"/>
      <c r="I304" s="551"/>
      <c r="J304" s="551"/>
      <c r="K304" s="551"/>
      <c r="L304" s="551"/>
      <c r="M304" s="551"/>
      <c r="N304" s="551"/>
      <c r="O304" s="552"/>
      <c r="P304" s="555" t="s">
        <v>71</v>
      </c>
      <c r="Q304" s="556"/>
      <c r="R304" s="556"/>
      <c r="S304" s="556"/>
      <c r="T304" s="556"/>
      <c r="U304" s="556"/>
      <c r="V304" s="557"/>
      <c r="W304" s="37" t="s">
        <v>72</v>
      </c>
      <c r="X304" s="543">
        <f>IFERROR(X297/H297,"0")+IFERROR(X298/H298,"0")+IFERROR(X299/H299,"0")+IFERROR(X300/H300,"0")+IFERROR(X301/H301,"0")+IFERROR(X302/H302,"0")+IFERROR(X303/H303,"0")</f>
        <v>276.58730158730157</v>
      </c>
      <c r="Y304" s="543">
        <f>IFERROR(Y297/H297,"0")+IFERROR(Y298/H298,"0")+IFERROR(Y299/H299,"0")+IFERROR(Y300/H300,"0")+IFERROR(Y301/H301,"0")+IFERROR(Y302/H302,"0")+IFERROR(Y303/H303,"0")</f>
        <v>279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2.2397100000000001</v>
      </c>
      <c r="AA304" s="544"/>
      <c r="AB304" s="544"/>
      <c r="AC304" s="544"/>
    </row>
    <row r="305" spans="1:68" x14ac:dyDescent="0.2">
      <c r="A305" s="551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2"/>
      <c r="P305" s="555" t="s">
        <v>71</v>
      </c>
      <c r="Q305" s="556"/>
      <c r="R305" s="556"/>
      <c r="S305" s="556"/>
      <c r="T305" s="556"/>
      <c r="U305" s="556"/>
      <c r="V305" s="557"/>
      <c r="W305" s="37" t="s">
        <v>69</v>
      </c>
      <c r="X305" s="543">
        <f>IFERROR(SUM(X297:X303),"0")</f>
        <v>980</v>
      </c>
      <c r="Y305" s="543">
        <f>IFERROR(SUM(Y297:Y303),"0")</f>
        <v>986.40000000000009</v>
      </c>
      <c r="Z305" s="37"/>
      <c r="AA305" s="544"/>
      <c r="AB305" s="544"/>
      <c r="AC305" s="544"/>
    </row>
    <row r="306" spans="1:68" ht="14.25" hidden="1" customHeight="1" x14ac:dyDescent="0.25">
      <c r="A306" s="553" t="s">
        <v>73</v>
      </c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1"/>
      <c r="P306" s="551"/>
      <c r="Q306" s="551"/>
      <c r="R306" s="551"/>
      <c r="S306" s="551"/>
      <c r="T306" s="551"/>
      <c r="U306" s="551"/>
      <c r="V306" s="551"/>
      <c r="W306" s="551"/>
      <c r="X306" s="551"/>
      <c r="Y306" s="551"/>
      <c r="Z306" s="551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 t="s">
        <v>105</v>
      </c>
      <c r="M307" s="33" t="s">
        <v>77</v>
      </c>
      <c r="N307" s="33"/>
      <c r="O307" s="32">
        <v>40</v>
      </c>
      <c r="P307" s="8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1698</v>
      </c>
      <c r="Y307" s="542">
        <f>IFERROR(IF(X307="",0,CEILING((X307/$H307),1)*$H307),"")</f>
        <v>1700.3999999999999</v>
      </c>
      <c r="Z307" s="36">
        <f>IFERROR(IF(Y307=0,"",ROUNDUP(Y307/H307,0)*0.01898),"")</f>
        <v>4.1376400000000002</v>
      </c>
      <c r="AA307" s="56"/>
      <c r="AB307" s="57"/>
      <c r="AC307" s="355" t="s">
        <v>484</v>
      </c>
      <c r="AG307" s="64"/>
      <c r="AJ307" s="68" t="s">
        <v>90</v>
      </c>
      <c r="AK307" s="68">
        <v>62.4</v>
      </c>
      <c r="BB307" s="356" t="s">
        <v>1</v>
      </c>
      <c r="BM307" s="64">
        <f>IFERROR(X307*I307/H307,"0")</f>
        <v>1804.2338461538463</v>
      </c>
      <c r="BN307" s="64">
        <f>IFERROR(Y307*I307/H307,"0")</f>
        <v>1806.7839999999999</v>
      </c>
      <c r="BO307" s="64">
        <f>IFERROR(1/J307*(X307/H307),"0")</f>
        <v>3.4014423076923079</v>
      </c>
      <c r="BP307" s="64">
        <f>IFERROR(1/J307*(Y307/H307),"0")</f>
        <v>3.40625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77</v>
      </c>
      <c r="N308" s="33"/>
      <c r="O308" s="32">
        <v>40</v>
      </c>
      <c r="P308" s="6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 t="s">
        <v>88</v>
      </c>
      <c r="M310" s="33" t="s">
        <v>77</v>
      </c>
      <c r="N310" s="33"/>
      <c r="O310" s="32">
        <v>40</v>
      </c>
      <c r="P310" s="6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99</v>
      </c>
      <c r="Y310" s="542">
        <f>IFERROR(IF(X310="",0,CEILING((X310/$H310),1)*$H310),"")</f>
        <v>99</v>
      </c>
      <c r="Z310" s="36">
        <f>IFERROR(IF(Y310=0,"",ROUNDUP(Y310/H310,0)*0.00651),"")</f>
        <v>0.21482999999999999</v>
      </c>
      <c r="AA310" s="56"/>
      <c r="AB310" s="57"/>
      <c r="AC310" s="361" t="s">
        <v>493</v>
      </c>
      <c r="AG310" s="64"/>
      <c r="AJ310" s="68" t="s">
        <v>90</v>
      </c>
      <c r="AK310" s="68">
        <v>42</v>
      </c>
      <c r="BB310" s="362" t="s">
        <v>1</v>
      </c>
      <c r="BM310" s="64">
        <f>IFERROR(X310*I310/H310,"0")</f>
        <v>107.11799999999999</v>
      </c>
      <c r="BN310" s="64">
        <f>IFERROR(Y310*I310/H310,"0")</f>
        <v>107.11799999999999</v>
      </c>
      <c r="BO310" s="64">
        <f>IFERROR(1/J310*(X310/H310),"0")</f>
        <v>0.18131868131868134</v>
      </c>
      <c r="BP310" s="64">
        <f>IFERROR(1/J310*(Y310/H310),"0")</f>
        <v>0.18131868131868134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0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2"/>
      <c r="P312" s="555" t="s">
        <v>71</v>
      </c>
      <c r="Q312" s="556"/>
      <c r="R312" s="556"/>
      <c r="S312" s="556"/>
      <c r="T312" s="556"/>
      <c r="U312" s="556"/>
      <c r="V312" s="557"/>
      <c r="W312" s="37" t="s">
        <v>72</v>
      </c>
      <c r="X312" s="543">
        <f>IFERROR(X307/H307,"0")+IFERROR(X308/H308,"0")+IFERROR(X309/H309,"0")+IFERROR(X310/H310,"0")+IFERROR(X311/H311,"0")</f>
        <v>250.69230769230771</v>
      </c>
      <c r="Y312" s="543">
        <f>IFERROR(Y307/H307,"0")+IFERROR(Y308/H308,"0")+IFERROR(Y309/H309,"0")+IFERROR(Y310/H310,"0")+IFERROR(Y311/H311,"0")</f>
        <v>251</v>
      </c>
      <c r="Z312" s="543">
        <f>IFERROR(IF(Z307="",0,Z307),"0")+IFERROR(IF(Z308="",0,Z308),"0")+IFERROR(IF(Z309="",0,Z309),"0")+IFERROR(IF(Z310="",0,Z310),"0")+IFERROR(IF(Z311="",0,Z311),"0")</f>
        <v>4.3524700000000003</v>
      </c>
      <c r="AA312" s="544"/>
      <c r="AB312" s="544"/>
      <c r="AC312" s="544"/>
    </row>
    <row r="313" spans="1:68" x14ac:dyDescent="0.2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2"/>
      <c r="P313" s="555" t="s">
        <v>71</v>
      </c>
      <c r="Q313" s="556"/>
      <c r="R313" s="556"/>
      <c r="S313" s="556"/>
      <c r="T313" s="556"/>
      <c r="U313" s="556"/>
      <c r="V313" s="557"/>
      <c r="W313" s="37" t="s">
        <v>69</v>
      </c>
      <c r="X313" s="543">
        <f>IFERROR(SUM(X307:X311),"0")</f>
        <v>1797</v>
      </c>
      <c r="Y313" s="543">
        <f>IFERROR(SUM(Y307:Y311),"0")</f>
        <v>1799.3999999999999</v>
      </c>
      <c r="Z313" s="37"/>
      <c r="AA313" s="544"/>
      <c r="AB313" s="544"/>
      <c r="AC313" s="544"/>
    </row>
    <row r="314" spans="1:68" ht="14.25" hidden="1" customHeight="1" x14ac:dyDescent="0.25">
      <c r="A314" s="553" t="s">
        <v>164</v>
      </c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35"/>
      <c r="AB314" s="535"/>
      <c r="AC314" s="535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6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53</v>
      </c>
      <c r="Y315" s="542">
        <f>IFERROR(IF(X315="",0,CEILING((X315/$H315),1)*$H315),"")</f>
        <v>58.800000000000004</v>
      </c>
      <c r="Z315" s="36">
        <f>IFERROR(IF(Y315=0,"",ROUNDUP(Y315/H315,0)*0.01898),"")</f>
        <v>0.13286000000000001</v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56.116904761904763</v>
      </c>
      <c r="BN315" s="64">
        <f>IFERROR(Y315*I315/H315,"0")</f>
        <v>62.258000000000003</v>
      </c>
      <c r="BO315" s="64">
        <f>IFERROR(1/J315*(X315/H315),"0")</f>
        <v>9.8586309523809521E-2</v>
      </c>
      <c r="BP315" s="64">
        <f>IFERROR(1/J315*(Y315/H315),"0")</f>
        <v>0.109375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30</v>
      </c>
      <c r="Y316" s="542">
        <f>IFERROR(IF(X316="",0,CEILING((X316/$H316),1)*$H316),"")</f>
        <v>31.2</v>
      </c>
      <c r="Z316" s="36">
        <f>IFERROR(IF(Y316=0,"",ROUNDUP(Y316/H316,0)*0.01898),"")</f>
        <v>7.5920000000000001E-2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31.900000000000002</v>
      </c>
      <c r="BN316" s="64">
        <f>IFERROR(Y316*I316/H316,"0")</f>
        <v>33.176000000000002</v>
      </c>
      <c r="BO316" s="64">
        <f>IFERROR(1/J316*(X316/H316),"0")</f>
        <v>6.0096153846153848E-2</v>
      </c>
      <c r="BP316" s="64">
        <f>IFERROR(1/J316*(Y316/H316),"0")</f>
        <v>6.25E-2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1">
        <v>50</v>
      </c>
      <c r="Y317" s="542">
        <f>IFERROR(IF(X317="",0,CEILING((X317/$H317),1)*$H317),"")</f>
        <v>50.400000000000006</v>
      </c>
      <c r="Z317" s="36">
        <f>IFERROR(IF(Y317=0,"",ROUNDUP(Y317/H317,0)*0.01898),"")</f>
        <v>0.11388000000000001</v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52.94047619047619</v>
      </c>
      <c r="BN317" s="64">
        <f>IFERROR(Y317*I317/H317,"0")</f>
        <v>53.364000000000004</v>
      </c>
      <c r="BO317" s="64">
        <f>IFERROR(1/J317*(X317/H317),"0")</f>
        <v>9.3005952380952384E-2</v>
      </c>
      <c r="BP317" s="64">
        <f>IFERROR(1/J317*(Y317/H317),"0")</f>
        <v>9.375E-2</v>
      </c>
    </row>
    <row r="318" spans="1:68" x14ac:dyDescent="0.2">
      <c r="A318" s="550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2"/>
      <c r="P318" s="555" t="s">
        <v>71</v>
      </c>
      <c r="Q318" s="556"/>
      <c r="R318" s="556"/>
      <c r="S318" s="556"/>
      <c r="T318" s="556"/>
      <c r="U318" s="556"/>
      <c r="V318" s="557"/>
      <c r="W318" s="37" t="s">
        <v>72</v>
      </c>
      <c r="X318" s="543">
        <f>IFERROR(X315/H315,"0")+IFERROR(X316/H316,"0")+IFERROR(X317/H317,"0")</f>
        <v>16.108058608058606</v>
      </c>
      <c r="Y318" s="543">
        <f>IFERROR(Y315/H315,"0")+IFERROR(Y316/H316,"0")+IFERROR(Y317/H317,"0")</f>
        <v>17</v>
      </c>
      <c r="Z318" s="543">
        <f>IFERROR(IF(Z315="",0,Z315),"0")+IFERROR(IF(Z316="",0,Z316),"0")+IFERROR(IF(Z317="",0,Z317),"0")</f>
        <v>0.32266000000000006</v>
      </c>
      <c r="AA318" s="544"/>
      <c r="AB318" s="544"/>
      <c r="AC318" s="544"/>
    </row>
    <row r="319" spans="1:68" x14ac:dyDescent="0.2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2"/>
      <c r="P319" s="555" t="s">
        <v>71</v>
      </c>
      <c r="Q319" s="556"/>
      <c r="R319" s="556"/>
      <c r="S319" s="556"/>
      <c r="T319" s="556"/>
      <c r="U319" s="556"/>
      <c r="V319" s="557"/>
      <c r="W319" s="37" t="s">
        <v>69</v>
      </c>
      <c r="X319" s="543">
        <f>IFERROR(SUM(X315:X317),"0")</f>
        <v>133</v>
      </c>
      <c r="Y319" s="543">
        <f>IFERROR(SUM(Y315:Y317),"0")</f>
        <v>140.4</v>
      </c>
      <c r="Z319" s="37"/>
      <c r="AA319" s="544"/>
      <c r="AB319" s="544"/>
      <c r="AC319" s="544"/>
    </row>
    <row r="320" spans="1:68" ht="14.25" hidden="1" customHeight="1" x14ac:dyDescent="0.25">
      <c r="A320" s="553" t="s">
        <v>93</v>
      </c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35"/>
      <c r="AB320" s="535"/>
      <c r="AC320" s="535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8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2" t="s">
        <v>511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515</v>
      </c>
      <c r="B324" s="54" t="s">
        <v>516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1">
        <v>8</v>
      </c>
      <c r="Y324" s="542">
        <f>IFERROR(IF(X324="",0,CEILING((X324/$H324),1)*$H324),"")</f>
        <v>10.199999999999999</v>
      </c>
      <c r="Z324" s="36">
        <f>IFERROR(IF(Y324=0,"",ROUNDUP(Y324/H324,0)*0.00651),"")</f>
        <v>2.6040000000000001E-2</v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9.0352941176470587</v>
      </c>
      <c r="BN324" s="64">
        <f>IFERROR(Y324*I324/H324,"0")</f>
        <v>11.52</v>
      </c>
      <c r="BO324" s="64">
        <f>IFERROR(1/J324*(X324/H324),"0")</f>
        <v>1.7237664296487831E-2</v>
      </c>
      <c r="BP324" s="64">
        <f>IFERROR(1/J324*(Y324/H324),"0")</f>
        <v>2.197802197802198E-2</v>
      </c>
    </row>
    <row r="325" spans="1:68" x14ac:dyDescent="0.2">
      <c r="A325" s="550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2"/>
      <c r="P325" s="555" t="s">
        <v>71</v>
      </c>
      <c r="Q325" s="556"/>
      <c r="R325" s="556"/>
      <c r="S325" s="556"/>
      <c r="T325" s="556"/>
      <c r="U325" s="556"/>
      <c r="V325" s="557"/>
      <c r="W325" s="37" t="s">
        <v>72</v>
      </c>
      <c r="X325" s="543">
        <f>IFERROR(X321/H321,"0")+IFERROR(X322/H322,"0")+IFERROR(X323/H323,"0")+IFERROR(X324/H324,"0")</f>
        <v>3.1372549019607847</v>
      </c>
      <c r="Y325" s="543">
        <f>IFERROR(Y321/H321,"0")+IFERROR(Y322/H322,"0")+IFERROR(Y323/H323,"0")+IFERROR(Y324/H324,"0")</f>
        <v>4</v>
      </c>
      <c r="Z325" s="543">
        <f>IFERROR(IF(Z321="",0,Z321),"0")+IFERROR(IF(Z322="",0,Z322),"0")+IFERROR(IF(Z323="",0,Z323),"0")+IFERROR(IF(Z324="",0,Z324),"0")</f>
        <v>2.6040000000000001E-2</v>
      </c>
      <c r="AA325" s="544"/>
      <c r="AB325" s="544"/>
      <c r="AC325" s="544"/>
    </row>
    <row r="326" spans="1:68" x14ac:dyDescent="0.2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2"/>
      <c r="P326" s="555" t="s">
        <v>71</v>
      </c>
      <c r="Q326" s="556"/>
      <c r="R326" s="556"/>
      <c r="S326" s="556"/>
      <c r="T326" s="556"/>
      <c r="U326" s="556"/>
      <c r="V326" s="557"/>
      <c r="W326" s="37" t="s">
        <v>69</v>
      </c>
      <c r="X326" s="543">
        <f>IFERROR(SUM(X321:X324),"0")</f>
        <v>8</v>
      </c>
      <c r="Y326" s="543">
        <f>IFERROR(SUM(Y321:Y324),"0")</f>
        <v>10.199999999999999</v>
      </c>
      <c r="Z326" s="37"/>
      <c r="AA326" s="544"/>
      <c r="AB326" s="544"/>
      <c r="AC326" s="544"/>
    </row>
    <row r="327" spans="1:68" ht="14.25" hidden="1" customHeight="1" x14ac:dyDescent="0.25">
      <c r="A327" s="553" t="s">
        <v>517</v>
      </c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35"/>
      <c r="AB327" s="535"/>
      <c r="AC327" s="535"/>
    </row>
    <row r="328" spans="1:68" ht="16.5" customHeight="1" x14ac:dyDescent="0.25">
      <c r="A328" s="54" t="s">
        <v>518</v>
      </c>
      <c r="B328" s="54" t="s">
        <v>519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520</v>
      </c>
      <c r="N328" s="33"/>
      <c r="O328" s="32">
        <v>730</v>
      </c>
      <c r="P328" s="5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180</v>
      </c>
      <c r="Y328" s="542">
        <f>IFERROR(IF(X328="",0,CEILING((X328/$H328),1)*$H328),"")</f>
        <v>180</v>
      </c>
      <c r="Z328" s="36">
        <f>IFERROR(IF(Y328=0,"",ROUNDUP(Y328/H328,0)*0.00474),"")</f>
        <v>0.42660000000000003</v>
      </c>
      <c r="AA328" s="56"/>
      <c r="AB328" s="57"/>
      <c r="AC328" s="379" t="s">
        <v>521</v>
      </c>
      <c r="AG328" s="64"/>
      <c r="AJ328" s="68"/>
      <c r="AK328" s="68">
        <v>0</v>
      </c>
      <c r="BB328" s="380" t="s">
        <v>1</v>
      </c>
      <c r="BM328" s="64">
        <f>IFERROR(X328*I328/H328,"0")</f>
        <v>201.60000000000002</v>
      </c>
      <c r="BN328" s="64">
        <f>IFERROR(Y328*I328/H328,"0")</f>
        <v>201.60000000000002</v>
      </c>
      <c r="BO328" s="64">
        <f>IFERROR(1/J328*(X328/H328),"0")</f>
        <v>0.37815126050420167</v>
      </c>
      <c r="BP328" s="64">
        <f>IFERROR(1/J328*(Y328/H328),"0")</f>
        <v>0.37815126050420167</v>
      </c>
    </row>
    <row r="329" spans="1:68" ht="27" customHeight="1" x14ac:dyDescent="0.25">
      <c r="A329" s="54" t="s">
        <v>522</v>
      </c>
      <c r="B329" s="54" t="s">
        <v>523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60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40</v>
      </c>
      <c r="Y329" s="542">
        <f>IFERROR(IF(X329="",0,CEILING((X329/$H329),1)*$H329),"")</f>
        <v>40</v>
      </c>
      <c r="Z329" s="36">
        <f>IFERROR(IF(Y329=0,"",ROUNDUP(Y329/H329,0)*0.00474),"")</f>
        <v>9.4800000000000009E-2</v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44.800000000000004</v>
      </c>
      <c r="BN329" s="64">
        <f>IFERROR(Y329*I329/H329,"0")</f>
        <v>44.800000000000004</v>
      </c>
      <c r="BO329" s="64">
        <f>IFERROR(1/J329*(X329/H329),"0")</f>
        <v>8.4033613445378144E-2</v>
      </c>
      <c r="BP329" s="64">
        <f>IFERROR(1/J329*(Y329/H329),"0")</f>
        <v>8.4033613445378144E-2</v>
      </c>
    </row>
    <row r="330" spans="1:68" ht="27" customHeight="1" x14ac:dyDescent="0.25">
      <c r="A330" s="54" t="s">
        <v>524</v>
      </c>
      <c r="B330" s="54" t="s">
        <v>525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520</v>
      </c>
      <c r="N330" s="33"/>
      <c r="O330" s="32">
        <v>730</v>
      </c>
      <c r="P330" s="7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1">
        <v>180</v>
      </c>
      <c r="Y330" s="542">
        <f>IFERROR(IF(X330="",0,CEILING((X330/$H330),1)*$H330),"")</f>
        <v>180</v>
      </c>
      <c r="Z330" s="36">
        <f>IFERROR(IF(Y330=0,"",ROUNDUP(Y330/H330,0)*0.00474),"")</f>
        <v>0.42660000000000003</v>
      </c>
      <c r="AA330" s="56"/>
      <c r="AB330" s="57"/>
      <c r="AC330" s="383" t="s">
        <v>521</v>
      </c>
      <c r="AG330" s="64"/>
      <c r="AJ330" s="68"/>
      <c r="AK330" s="68">
        <v>0</v>
      </c>
      <c r="BB330" s="384" t="s">
        <v>1</v>
      </c>
      <c r="BM330" s="64">
        <f>IFERROR(X330*I330/H330,"0")</f>
        <v>201.60000000000002</v>
      </c>
      <c r="BN330" s="64">
        <f>IFERROR(Y330*I330/H330,"0")</f>
        <v>201.60000000000002</v>
      </c>
      <c r="BO330" s="64">
        <f>IFERROR(1/J330*(X330/H330),"0")</f>
        <v>0.37815126050420167</v>
      </c>
      <c r="BP330" s="64">
        <f>IFERROR(1/J330*(Y330/H330),"0")</f>
        <v>0.37815126050420167</v>
      </c>
    </row>
    <row r="331" spans="1:68" x14ac:dyDescent="0.2">
      <c r="A331" s="550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2"/>
      <c r="P331" s="555" t="s">
        <v>71</v>
      </c>
      <c r="Q331" s="556"/>
      <c r="R331" s="556"/>
      <c r="S331" s="556"/>
      <c r="T331" s="556"/>
      <c r="U331" s="556"/>
      <c r="V331" s="557"/>
      <c r="W331" s="37" t="s">
        <v>72</v>
      </c>
      <c r="X331" s="543">
        <f>IFERROR(X328/H328,"0")+IFERROR(X329/H329,"0")+IFERROR(X330/H330,"0")</f>
        <v>200</v>
      </c>
      <c r="Y331" s="543">
        <f>IFERROR(Y328/H328,"0")+IFERROR(Y329/H329,"0")+IFERROR(Y330/H330,"0")</f>
        <v>200</v>
      </c>
      <c r="Z331" s="543">
        <f>IFERROR(IF(Z328="",0,Z328),"0")+IFERROR(IF(Z329="",0,Z329),"0")+IFERROR(IF(Z330="",0,Z330),"0")</f>
        <v>0.94800000000000018</v>
      </c>
      <c r="AA331" s="544"/>
      <c r="AB331" s="544"/>
      <c r="AC331" s="544"/>
    </row>
    <row r="332" spans="1:68" x14ac:dyDescent="0.2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2"/>
      <c r="P332" s="555" t="s">
        <v>71</v>
      </c>
      <c r="Q332" s="556"/>
      <c r="R332" s="556"/>
      <c r="S332" s="556"/>
      <c r="T332" s="556"/>
      <c r="U332" s="556"/>
      <c r="V332" s="557"/>
      <c r="W332" s="37" t="s">
        <v>69</v>
      </c>
      <c r="X332" s="543">
        <f>IFERROR(SUM(X328:X330),"0")</f>
        <v>400</v>
      </c>
      <c r="Y332" s="543">
        <f>IFERROR(SUM(Y328:Y330),"0")</f>
        <v>400</v>
      </c>
      <c r="Z332" s="37"/>
      <c r="AA332" s="544"/>
      <c r="AB332" s="544"/>
      <c r="AC332" s="544"/>
    </row>
    <row r="333" spans="1:68" ht="16.5" hidden="1" customHeight="1" x14ac:dyDescent="0.25">
      <c r="A333" s="554" t="s">
        <v>526</v>
      </c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36"/>
      <c r="AB333" s="536"/>
      <c r="AC333" s="536"/>
    </row>
    <row r="334" spans="1:68" ht="14.25" hidden="1" customHeight="1" x14ac:dyDescent="0.25">
      <c r="A334" s="553" t="s">
        <v>73</v>
      </c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35"/>
      <c r="AB334" s="535"/>
      <c r="AC334" s="535"/>
    </row>
    <row r="335" spans="1:68" ht="27" hidden="1" customHeight="1" x14ac:dyDescent="0.25">
      <c r="A335" s="54" t="s">
        <v>527</v>
      </c>
      <c r="B335" s="54" t="s">
        <v>528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529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249</v>
      </c>
      <c r="Y336" s="542">
        <f>IFERROR(IF(X336="",0,CEILING((X336/$H336),1)*$H336),"")</f>
        <v>249.9</v>
      </c>
      <c r="Z336" s="36">
        <f>IFERROR(IF(Y336=0,"",ROUNDUP(Y336/H336,0)*0.00651),"")</f>
        <v>0.77468999999999999</v>
      </c>
      <c r="AA336" s="56"/>
      <c r="AB336" s="57"/>
      <c r="AC336" s="387" t="s">
        <v>532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278.87999999999994</v>
      </c>
      <c r="BN336" s="64">
        <f>IFERROR(Y336*I336/H336,"0")</f>
        <v>279.88800000000003</v>
      </c>
      <c r="BO336" s="64">
        <f>IFERROR(1/J336*(X336/H336),"0")</f>
        <v>0.65149136577708011</v>
      </c>
      <c r="BP336" s="64">
        <f>IFERROR(1/J336*(Y336/H336),"0")</f>
        <v>0.65384615384615385</v>
      </c>
    </row>
    <row r="337" spans="1:68" ht="27" customHeight="1" x14ac:dyDescent="0.25">
      <c r="A337" s="54" t="s">
        <v>533</v>
      </c>
      <c r="B337" s="54" t="s">
        <v>534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5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1">
        <v>109</v>
      </c>
      <c r="Y337" s="542">
        <f>IFERROR(IF(X337="",0,CEILING((X337/$H337),1)*$H337),"")</f>
        <v>109.2</v>
      </c>
      <c r="Z337" s="36">
        <f>IFERROR(IF(Y337=0,"",ROUNDUP(Y337/H337,0)*0.00651),"")</f>
        <v>0.33851999999999999</v>
      </c>
      <c r="AA337" s="56"/>
      <c r="AB337" s="57"/>
      <c r="AC337" s="389" t="s">
        <v>535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121.45714285714284</v>
      </c>
      <c r="BN337" s="64">
        <f>IFERROR(Y337*I337/H337,"0")</f>
        <v>121.67999999999999</v>
      </c>
      <c r="BO337" s="64">
        <f>IFERROR(1/J337*(X337/H337),"0")</f>
        <v>0.28519099947671378</v>
      </c>
      <c r="BP337" s="64">
        <f>IFERROR(1/J337*(Y337/H337),"0")</f>
        <v>0.28571428571428575</v>
      </c>
    </row>
    <row r="338" spans="1:68" x14ac:dyDescent="0.2">
      <c r="A338" s="550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2"/>
      <c r="P338" s="555" t="s">
        <v>71</v>
      </c>
      <c r="Q338" s="556"/>
      <c r="R338" s="556"/>
      <c r="S338" s="556"/>
      <c r="T338" s="556"/>
      <c r="U338" s="556"/>
      <c r="V338" s="557"/>
      <c r="W338" s="37" t="s">
        <v>72</v>
      </c>
      <c r="X338" s="543">
        <f>IFERROR(X335/H335,"0")+IFERROR(X336/H336,"0")+IFERROR(X337/H337,"0")</f>
        <v>170.47619047619048</v>
      </c>
      <c r="Y338" s="543">
        <f>IFERROR(Y335/H335,"0")+IFERROR(Y336/H336,"0")+IFERROR(Y337/H337,"0")</f>
        <v>171</v>
      </c>
      <c r="Z338" s="543">
        <f>IFERROR(IF(Z335="",0,Z335),"0")+IFERROR(IF(Z336="",0,Z336),"0")+IFERROR(IF(Z337="",0,Z337),"0")</f>
        <v>1.11321</v>
      </c>
      <c r="AA338" s="544"/>
      <c r="AB338" s="544"/>
      <c r="AC338" s="544"/>
    </row>
    <row r="339" spans="1:68" x14ac:dyDescent="0.2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2"/>
      <c r="P339" s="555" t="s">
        <v>71</v>
      </c>
      <c r="Q339" s="556"/>
      <c r="R339" s="556"/>
      <c r="S339" s="556"/>
      <c r="T339" s="556"/>
      <c r="U339" s="556"/>
      <c r="V339" s="557"/>
      <c r="W339" s="37" t="s">
        <v>69</v>
      </c>
      <c r="X339" s="543">
        <f>IFERROR(SUM(X335:X337),"0")</f>
        <v>358</v>
      </c>
      <c r="Y339" s="543">
        <f>IFERROR(SUM(Y335:Y337),"0")</f>
        <v>359.1</v>
      </c>
      <c r="Z339" s="37"/>
      <c r="AA339" s="544"/>
      <c r="AB339" s="544"/>
      <c r="AC339" s="544"/>
    </row>
    <row r="340" spans="1:68" ht="27.75" hidden="1" customHeight="1" x14ac:dyDescent="0.2">
      <c r="A340" s="637" t="s">
        <v>536</v>
      </c>
      <c r="B340" s="638"/>
      <c r="C340" s="638"/>
      <c r="D340" s="638"/>
      <c r="E340" s="638"/>
      <c r="F340" s="638"/>
      <c r="G340" s="638"/>
      <c r="H340" s="638"/>
      <c r="I340" s="638"/>
      <c r="J340" s="638"/>
      <c r="K340" s="638"/>
      <c r="L340" s="638"/>
      <c r="M340" s="638"/>
      <c r="N340" s="638"/>
      <c r="O340" s="638"/>
      <c r="P340" s="638"/>
      <c r="Q340" s="638"/>
      <c r="R340" s="638"/>
      <c r="S340" s="638"/>
      <c r="T340" s="638"/>
      <c r="U340" s="638"/>
      <c r="V340" s="638"/>
      <c r="W340" s="638"/>
      <c r="X340" s="638"/>
      <c r="Y340" s="638"/>
      <c r="Z340" s="638"/>
      <c r="AA340" s="48"/>
      <c r="AB340" s="48"/>
      <c r="AC340" s="48"/>
    </row>
    <row r="341" spans="1:68" ht="16.5" hidden="1" customHeight="1" x14ac:dyDescent="0.25">
      <c r="A341" s="554" t="s">
        <v>537</v>
      </c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36"/>
      <c r="AB341" s="536"/>
      <c r="AC341" s="536"/>
    </row>
    <row r="342" spans="1:68" ht="14.25" hidden="1" customHeight="1" x14ac:dyDescent="0.25">
      <c r="A342" s="553" t="s">
        <v>101</v>
      </c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35"/>
      <c r="AB342" s="535"/>
      <c r="AC342" s="535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171</v>
      </c>
      <c r="Y343" s="542">
        <f t="shared" ref="Y343:Y349" si="36">IFERROR(IF(X343="",0,CEILING((X343/$H343),1)*$H343),"")</f>
        <v>180</v>
      </c>
      <c r="Z343" s="36">
        <f>IFERROR(IF(Y343=0,"",ROUNDUP(Y343/H343,0)*0.02175),"")</f>
        <v>0.26100000000000001</v>
      </c>
      <c r="AA343" s="56"/>
      <c r="AB343" s="57"/>
      <c r="AC343" s="391" t="s">
        <v>540</v>
      </c>
      <c r="AG343" s="64"/>
      <c r="AJ343" s="68" t="s">
        <v>90</v>
      </c>
      <c r="AK343" s="68">
        <v>15</v>
      </c>
      <c r="BB343" s="392" t="s">
        <v>1</v>
      </c>
      <c r="BM343" s="64">
        <f t="shared" ref="BM343:BM349" si="37">IFERROR(X343*I343/H343,"0")</f>
        <v>176.358</v>
      </c>
      <c r="BN343" s="64">
        <f t="shared" ref="BN343:BN349" si="38">IFERROR(Y343*I343/H343,"0")</f>
        <v>185.64</v>
      </c>
      <c r="BO343" s="64">
        <f t="shared" ref="BO343:BO349" si="39">IFERROR(1/J343*(X343/H343),"0")</f>
        <v>0.23749999999999999</v>
      </c>
      <c r="BP343" s="64">
        <f t="shared" ref="BP343:BP349" si="40">IFERROR(1/J343*(Y343/H343),"0")</f>
        <v>0.25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575</v>
      </c>
      <c r="Y344" s="542">
        <f t="shared" si="36"/>
        <v>585</v>
      </c>
      <c r="Z344" s="36">
        <f>IFERROR(IF(Y344=0,"",ROUNDUP(Y344/H344,0)*0.02175),"")</f>
        <v>0.84824999999999995</v>
      </c>
      <c r="AA344" s="56"/>
      <c r="AB344" s="57"/>
      <c r="AC344" s="393" t="s">
        <v>543</v>
      </c>
      <c r="AG344" s="64"/>
      <c r="AJ344" s="68" t="s">
        <v>90</v>
      </c>
      <c r="AK344" s="68">
        <v>15</v>
      </c>
      <c r="BB344" s="394" t="s">
        <v>1</v>
      </c>
      <c r="BM344" s="64">
        <f t="shared" si="37"/>
        <v>593.01666666666665</v>
      </c>
      <c r="BN344" s="64">
        <f t="shared" si="38"/>
        <v>603.33000000000004</v>
      </c>
      <c r="BO344" s="64">
        <f t="shared" si="39"/>
        <v>0.79861111111111116</v>
      </c>
      <c r="BP344" s="64">
        <f t="shared" si="40"/>
        <v>0.8125</v>
      </c>
    </row>
    <row r="345" spans="1:68" ht="37.5" customHeight="1" x14ac:dyDescent="0.25">
      <c r="A345" s="54" t="s">
        <v>544</v>
      </c>
      <c r="B345" s="54" t="s">
        <v>545</v>
      </c>
      <c r="C345" s="31">
        <v>4301011867</v>
      </c>
      <c r="D345" s="545">
        <v>4680115884830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400</v>
      </c>
      <c r="Y345" s="542">
        <f t="shared" si="36"/>
        <v>405</v>
      </c>
      <c r="Z345" s="36">
        <f>IFERROR(IF(Y345=0,"",ROUNDUP(Y345/H345,0)*0.02175),"")</f>
        <v>0.58724999999999994</v>
      </c>
      <c r="AA345" s="56"/>
      <c r="AB345" s="57"/>
      <c r="AC345" s="395" t="s">
        <v>546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412.53333333333336</v>
      </c>
      <c r="BN345" s="64">
        <f t="shared" si="38"/>
        <v>417.69</v>
      </c>
      <c r="BO345" s="64">
        <f t="shared" si="39"/>
        <v>0.55555555555555558</v>
      </c>
      <c r="BP345" s="64">
        <f t="shared" si="40"/>
        <v>0.5625</v>
      </c>
    </row>
    <row r="346" spans="1:68" ht="27" customHeight="1" x14ac:dyDescent="0.25">
      <c r="A346" s="54" t="s">
        <v>547</v>
      </c>
      <c r="B346" s="54" t="s">
        <v>548</v>
      </c>
      <c r="C346" s="31">
        <v>4301012215</v>
      </c>
      <c r="D346" s="545">
        <v>4680115887046</v>
      </c>
      <c r="E346" s="546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54" t="s">
        <v>549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407</v>
      </c>
      <c r="Y346" s="542">
        <f t="shared" si="36"/>
        <v>420</v>
      </c>
      <c r="Z346" s="36">
        <f>IFERROR(IF(Y346=0,"",ROUNDUP(Y346/H346,0)*0.02175),"")</f>
        <v>0.60899999999999999</v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7"/>
        <v>419.75266666666664</v>
      </c>
      <c r="BN346" s="64">
        <f t="shared" si="38"/>
        <v>433.16</v>
      </c>
      <c r="BO346" s="64">
        <f t="shared" si="39"/>
        <v>0.56527777777777777</v>
      </c>
      <c r="BP346" s="64">
        <f t="shared" si="40"/>
        <v>0.58333333333333326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553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554</v>
      </c>
      <c r="B348" s="54" t="s">
        <v>555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25</v>
      </c>
      <c r="Y348" s="542">
        <f t="shared" si="36"/>
        <v>25</v>
      </c>
      <c r="Z348" s="36">
        <f>IFERROR(IF(Y348=0,"",ROUNDUP(Y348/H348,0)*0.00902),"")</f>
        <v>4.5100000000000001E-2</v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7"/>
        <v>25.95</v>
      </c>
      <c r="BN348" s="64">
        <f t="shared" si="38"/>
        <v>25.95</v>
      </c>
      <c r="BO348" s="64">
        <f t="shared" si="39"/>
        <v>3.787878787878788E-2</v>
      </c>
      <c r="BP348" s="64">
        <f t="shared" si="40"/>
        <v>3.787878787878788E-2</v>
      </c>
    </row>
    <row r="349" spans="1:68" ht="37.5" customHeight="1" x14ac:dyDescent="0.25">
      <c r="A349" s="54" t="s">
        <v>556</v>
      </c>
      <c r="B349" s="54" t="s">
        <v>557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1">
        <v>30</v>
      </c>
      <c r="Y349" s="542">
        <f t="shared" si="36"/>
        <v>30</v>
      </c>
      <c r="Z349" s="36">
        <f>IFERROR(IF(Y349=0,"",ROUNDUP(Y349/H349,0)*0.00902),"")</f>
        <v>5.4120000000000001E-2</v>
      </c>
      <c r="AA349" s="56"/>
      <c r="AB349" s="57"/>
      <c r="AC349" s="403" t="s">
        <v>546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31.140000000000004</v>
      </c>
      <c r="BN349" s="64">
        <f t="shared" si="38"/>
        <v>31.140000000000004</v>
      </c>
      <c r="BO349" s="64">
        <f t="shared" si="39"/>
        <v>4.5454545454545456E-2</v>
      </c>
      <c r="BP349" s="64">
        <f t="shared" si="40"/>
        <v>4.5454545454545456E-2</v>
      </c>
    </row>
    <row r="350" spans="1:68" x14ac:dyDescent="0.2">
      <c r="A350" s="550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2"/>
      <c r="P350" s="555" t="s">
        <v>71</v>
      </c>
      <c r="Q350" s="556"/>
      <c r="R350" s="556"/>
      <c r="S350" s="556"/>
      <c r="T350" s="556"/>
      <c r="U350" s="556"/>
      <c r="V350" s="557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114.53333333333333</v>
      </c>
      <c r="Y350" s="543">
        <f>IFERROR(Y343/H343,"0")+IFERROR(Y344/H344,"0")+IFERROR(Y345/H345,"0")+IFERROR(Y346/H346,"0")+IFERROR(Y347/H347,"0")+IFERROR(Y348/H348,"0")+IFERROR(Y349/H349,"0")</f>
        <v>117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2.4047200000000002</v>
      </c>
      <c r="AA350" s="544"/>
      <c r="AB350" s="544"/>
      <c r="AC350" s="544"/>
    </row>
    <row r="351" spans="1:68" x14ac:dyDescent="0.2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2"/>
      <c r="P351" s="555" t="s">
        <v>71</v>
      </c>
      <c r="Q351" s="556"/>
      <c r="R351" s="556"/>
      <c r="S351" s="556"/>
      <c r="T351" s="556"/>
      <c r="U351" s="556"/>
      <c r="V351" s="557"/>
      <c r="W351" s="37" t="s">
        <v>69</v>
      </c>
      <c r="X351" s="543">
        <f>IFERROR(SUM(X343:X349),"0")</f>
        <v>1608</v>
      </c>
      <c r="Y351" s="543">
        <f>IFERROR(SUM(Y343:Y349),"0")</f>
        <v>1645</v>
      </c>
      <c r="Z351" s="37"/>
      <c r="AA351" s="544"/>
      <c r="AB351" s="544"/>
      <c r="AC351" s="544"/>
    </row>
    <row r="352" spans="1:68" ht="14.25" hidden="1" customHeight="1" x14ac:dyDescent="0.25">
      <c r="A352" s="553" t="s">
        <v>136</v>
      </c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35"/>
      <c r="AB352" s="535"/>
      <c r="AC352" s="535"/>
    </row>
    <row r="353" spans="1:68" ht="27" customHeight="1" x14ac:dyDescent="0.25">
      <c r="A353" s="54" t="s">
        <v>558</v>
      </c>
      <c r="B353" s="54" t="s">
        <v>559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700</v>
      </c>
      <c r="Y353" s="542">
        <f>IFERROR(IF(X353="",0,CEILING((X353/$H353),1)*$H353),"")</f>
        <v>705</v>
      </c>
      <c r="Z353" s="36">
        <f>IFERROR(IF(Y353=0,"",ROUNDUP(Y353/H353,0)*0.02175),"")</f>
        <v>1.0222499999999999</v>
      </c>
      <c r="AA353" s="56"/>
      <c r="AB353" s="57"/>
      <c r="AC353" s="405" t="s">
        <v>560</v>
      </c>
      <c r="AG353" s="64"/>
      <c r="AJ353" s="68" t="s">
        <v>90</v>
      </c>
      <c r="AK353" s="68">
        <v>15</v>
      </c>
      <c r="BB353" s="406" t="s">
        <v>1</v>
      </c>
      <c r="BM353" s="64">
        <f>IFERROR(X353*I353/H353,"0")</f>
        <v>721.93333333333328</v>
      </c>
      <c r="BN353" s="64">
        <f>IFERROR(Y353*I353/H353,"0")</f>
        <v>727.09</v>
      </c>
      <c r="BO353" s="64">
        <f>IFERROR(1/J353*(X353/H353),"0")</f>
        <v>0.9722222222222221</v>
      </c>
      <c r="BP353" s="64">
        <f>IFERROR(1/J353*(Y353/H353),"0")</f>
        <v>0.97916666666666663</v>
      </c>
    </row>
    <row r="354" spans="1:68" ht="16.5" customHeight="1" x14ac:dyDescent="0.25">
      <c r="A354" s="54" t="s">
        <v>561</v>
      </c>
      <c r="B354" s="54" t="s">
        <v>562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1">
        <v>16</v>
      </c>
      <c r="Y354" s="542">
        <f>IFERROR(IF(X354="",0,CEILING((X354/$H354),1)*$H354),"")</f>
        <v>16</v>
      </c>
      <c r="Z354" s="36">
        <f>IFERROR(IF(Y354=0,"",ROUNDUP(Y354/H354,0)*0.00902),"")</f>
        <v>3.6080000000000001E-2</v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16.760000000000002</v>
      </c>
      <c r="BN354" s="64">
        <f>IFERROR(Y354*I354/H354,"0")</f>
        <v>16.760000000000002</v>
      </c>
      <c r="BO354" s="64">
        <f>IFERROR(1/J354*(X354/H354),"0")</f>
        <v>3.0303030303030304E-2</v>
      </c>
      <c r="BP354" s="64">
        <f>IFERROR(1/J354*(Y354/H354),"0")</f>
        <v>3.0303030303030304E-2</v>
      </c>
    </row>
    <row r="355" spans="1:68" x14ac:dyDescent="0.2">
      <c r="A355" s="550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2"/>
      <c r="P355" s="555" t="s">
        <v>71</v>
      </c>
      <c r="Q355" s="556"/>
      <c r="R355" s="556"/>
      <c r="S355" s="556"/>
      <c r="T355" s="556"/>
      <c r="U355" s="556"/>
      <c r="V355" s="557"/>
      <c r="W355" s="37" t="s">
        <v>72</v>
      </c>
      <c r="X355" s="543">
        <f>IFERROR(X353/H353,"0")+IFERROR(X354/H354,"0")</f>
        <v>50.666666666666664</v>
      </c>
      <c r="Y355" s="543">
        <f>IFERROR(Y353/H353,"0")+IFERROR(Y354/H354,"0")</f>
        <v>51</v>
      </c>
      <c r="Z355" s="543">
        <f>IFERROR(IF(Z353="",0,Z353),"0")+IFERROR(IF(Z354="",0,Z354),"0")</f>
        <v>1.0583299999999998</v>
      </c>
      <c r="AA355" s="544"/>
      <c r="AB355" s="544"/>
      <c r="AC355" s="544"/>
    </row>
    <row r="356" spans="1:68" x14ac:dyDescent="0.2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2"/>
      <c r="P356" s="555" t="s">
        <v>71</v>
      </c>
      <c r="Q356" s="556"/>
      <c r="R356" s="556"/>
      <c r="S356" s="556"/>
      <c r="T356" s="556"/>
      <c r="U356" s="556"/>
      <c r="V356" s="557"/>
      <c r="W356" s="37" t="s">
        <v>69</v>
      </c>
      <c r="X356" s="543">
        <f>IFERROR(SUM(X353:X354),"0")</f>
        <v>716</v>
      </c>
      <c r="Y356" s="543">
        <f>IFERROR(SUM(Y353:Y354),"0")</f>
        <v>721</v>
      </c>
      <c r="Z356" s="37"/>
      <c r="AA356" s="544"/>
      <c r="AB356" s="544"/>
      <c r="AC356" s="544"/>
    </row>
    <row r="357" spans="1:68" ht="14.25" hidden="1" customHeight="1" x14ac:dyDescent="0.25">
      <c r="A357" s="553" t="s">
        <v>73</v>
      </c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35"/>
      <c r="AB357" s="535"/>
      <c r="AC357" s="535"/>
    </row>
    <row r="358" spans="1:68" ht="27" hidden="1" customHeight="1" x14ac:dyDescent="0.25">
      <c r="A358" s="54" t="s">
        <v>563</v>
      </c>
      <c r="B358" s="54" t="s">
        <v>564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566</v>
      </c>
      <c r="B359" s="54" t="s">
        <v>567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568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0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2"/>
      <c r="P360" s="555" t="s">
        <v>71</v>
      </c>
      <c r="Q360" s="556"/>
      <c r="R360" s="556"/>
      <c r="S360" s="556"/>
      <c r="T360" s="556"/>
      <c r="U360" s="556"/>
      <c r="V360" s="557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2"/>
      <c r="P361" s="555" t="s">
        <v>71</v>
      </c>
      <c r="Q361" s="556"/>
      <c r="R361" s="556"/>
      <c r="S361" s="556"/>
      <c r="T361" s="556"/>
      <c r="U361" s="556"/>
      <c r="V361" s="557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3" t="s">
        <v>164</v>
      </c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35"/>
      <c r="AB362" s="535"/>
      <c r="AC362" s="535"/>
    </row>
    <row r="363" spans="1:68" ht="16.5" hidden="1" customHeight="1" x14ac:dyDescent="0.25">
      <c r="A363" s="54" t="s">
        <v>569</v>
      </c>
      <c r="B363" s="54" t="s">
        <v>570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571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0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2"/>
      <c r="P364" s="555" t="s">
        <v>71</v>
      </c>
      <c r="Q364" s="556"/>
      <c r="R364" s="556"/>
      <c r="S364" s="556"/>
      <c r="T364" s="556"/>
      <c r="U364" s="556"/>
      <c r="V364" s="557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2"/>
      <c r="P365" s="555" t="s">
        <v>71</v>
      </c>
      <c r="Q365" s="556"/>
      <c r="R365" s="556"/>
      <c r="S365" s="556"/>
      <c r="T365" s="556"/>
      <c r="U365" s="556"/>
      <c r="V365" s="557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54" t="s">
        <v>572</v>
      </c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36"/>
      <c r="AB366" s="536"/>
      <c r="AC366" s="536"/>
    </row>
    <row r="367" spans="1:68" ht="14.25" hidden="1" customHeight="1" x14ac:dyDescent="0.25">
      <c r="A367" s="553" t="s">
        <v>101</v>
      </c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35"/>
      <c r="AB367" s="535"/>
      <c r="AC367" s="535"/>
    </row>
    <row r="368" spans="1:68" ht="37.5" hidden="1" customHeight="1" x14ac:dyDescent="0.25">
      <c r="A368" s="54" t="s">
        <v>573</v>
      </c>
      <c r="B368" s="54" t="s">
        <v>574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575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576</v>
      </c>
      <c r="B369" s="54" t="s">
        <v>577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575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0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2"/>
      <c r="P370" s="555" t="s">
        <v>71</v>
      </c>
      <c r="Q370" s="556"/>
      <c r="R370" s="556"/>
      <c r="S370" s="556"/>
      <c r="T370" s="556"/>
      <c r="U370" s="556"/>
      <c r="V370" s="557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2"/>
      <c r="P371" s="555" t="s">
        <v>71</v>
      </c>
      <c r="Q371" s="556"/>
      <c r="R371" s="556"/>
      <c r="S371" s="556"/>
      <c r="T371" s="556"/>
      <c r="U371" s="556"/>
      <c r="V371" s="557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3" t="s">
        <v>64</v>
      </c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35"/>
      <c r="AB372" s="535"/>
      <c r="AC372" s="535"/>
    </row>
    <row r="373" spans="1:68" ht="27" hidden="1" customHeight="1" x14ac:dyDescent="0.25">
      <c r="A373" s="54" t="s">
        <v>578</v>
      </c>
      <c r="B373" s="54" t="s">
        <v>579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578</v>
      </c>
      <c r="B374" s="54" t="s">
        <v>581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582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0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2"/>
      <c r="P375" s="555" t="s">
        <v>71</v>
      </c>
      <c r="Q375" s="556"/>
      <c r="R375" s="556"/>
      <c r="S375" s="556"/>
      <c r="T375" s="556"/>
      <c r="U375" s="556"/>
      <c r="V375" s="557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2"/>
      <c r="P376" s="555" t="s">
        <v>71</v>
      </c>
      <c r="Q376" s="556"/>
      <c r="R376" s="556"/>
      <c r="S376" s="556"/>
      <c r="T376" s="556"/>
      <c r="U376" s="556"/>
      <c r="V376" s="557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3" t="s">
        <v>73</v>
      </c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35"/>
      <c r="AB377" s="535"/>
      <c r="AC377" s="535"/>
    </row>
    <row r="378" spans="1:68" ht="27" customHeight="1" x14ac:dyDescent="0.25">
      <c r="A378" s="54" t="s">
        <v>583</v>
      </c>
      <c r="B378" s="54" t="s">
        <v>584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44</v>
      </c>
      <c r="Y378" s="542">
        <f>IFERROR(IF(X378="",0,CEILING((X378/$H378),1)*$H378),"")</f>
        <v>45</v>
      </c>
      <c r="Z378" s="36">
        <f>IFERROR(IF(Y378=0,"",ROUNDUP(Y378/H378,0)*0.01898),"")</f>
        <v>9.4899999999999998E-2</v>
      </c>
      <c r="AA378" s="56"/>
      <c r="AB378" s="57"/>
      <c r="AC378" s="423" t="s">
        <v>585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46.415111111111109</v>
      </c>
      <c r="BN378" s="64">
        <f>IFERROR(Y378*I378/H378,"0")</f>
        <v>47.47</v>
      </c>
      <c r="BO378" s="64">
        <f>IFERROR(1/J378*(X378/H378),"0")</f>
        <v>7.6388888888888895E-2</v>
      </c>
      <c r="BP378" s="64">
        <f>IFERROR(1/J378*(Y378/H378),"0")</f>
        <v>7.8125E-2</v>
      </c>
    </row>
    <row r="379" spans="1:68" ht="27" customHeight="1" x14ac:dyDescent="0.25">
      <c r="A379" s="54" t="s">
        <v>586</v>
      </c>
      <c r="B379" s="54" t="s">
        <v>587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60</v>
      </c>
      <c r="Y379" s="542">
        <f>IFERROR(IF(X379="",0,CEILING((X379/$H379),1)*$H379),"")</f>
        <v>60</v>
      </c>
      <c r="Z379" s="36">
        <f>IFERROR(IF(Y379=0,"",ROUNDUP(Y379/H379,0)*0.00651),"")</f>
        <v>0.16275000000000001</v>
      </c>
      <c r="AA379" s="56"/>
      <c r="AB379" s="57"/>
      <c r="AC379" s="425" t="s">
        <v>585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66.600000000000009</v>
      </c>
      <c r="BN379" s="64">
        <f>IFERROR(Y379*I379/H379,"0")</f>
        <v>66.600000000000009</v>
      </c>
      <c r="BO379" s="64">
        <f>IFERROR(1/J379*(X379/H379),"0")</f>
        <v>0.13736263736263737</v>
      </c>
      <c r="BP379" s="64">
        <f>IFERROR(1/J379*(Y379/H379),"0")</f>
        <v>0.13736263736263737</v>
      </c>
    </row>
    <row r="380" spans="1:68" x14ac:dyDescent="0.2">
      <c r="A380" s="550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2"/>
      <c r="P380" s="555" t="s">
        <v>71</v>
      </c>
      <c r="Q380" s="556"/>
      <c r="R380" s="556"/>
      <c r="S380" s="556"/>
      <c r="T380" s="556"/>
      <c r="U380" s="556"/>
      <c r="V380" s="557"/>
      <c r="W380" s="37" t="s">
        <v>72</v>
      </c>
      <c r="X380" s="543">
        <f>IFERROR(X378/H378,"0")+IFERROR(X379/H379,"0")</f>
        <v>29.888888888888889</v>
      </c>
      <c r="Y380" s="543">
        <f>IFERROR(Y378/H378,"0")+IFERROR(Y379/H379,"0")</f>
        <v>30</v>
      </c>
      <c r="Z380" s="543">
        <f>IFERROR(IF(Z378="",0,Z378),"0")+IFERROR(IF(Z379="",0,Z379),"0")</f>
        <v>0.25764999999999999</v>
      </c>
      <c r="AA380" s="544"/>
      <c r="AB380" s="544"/>
      <c r="AC380" s="544"/>
    </row>
    <row r="381" spans="1:68" x14ac:dyDescent="0.2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2"/>
      <c r="P381" s="555" t="s">
        <v>71</v>
      </c>
      <c r="Q381" s="556"/>
      <c r="R381" s="556"/>
      <c r="S381" s="556"/>
      <c r="T381" s="556"/>
      <c r="U381" s="556"/>
      <c r="V381" s="557"/>
      <c r="W381" s="37" t="s">
        <v>69</v>
      </c>
      <c r="X381" s="543">
        <f>IFERROR(SUM(X378:X379),"0")</f>
        <v>104</v>
      </c>
      <c r="Y381" s="543">
        <f>IFERROR(SUM(Y378:Y379),"0")</f>
        <v>105</v>
      </c>
      <c r="Z381" s="37"/>
      <c r="AA381" s="544"/>
      <c r="AB381" s="544"/>
      <c r="AC381" s="544"/>
    </row>
    <row r="382" spans="1:68" ht="27.75" hidden="1" customHeight="1" x14ac:dyDescent="0.2">
      <c r="A382" s="637" t="s">
        <v>588</v>
      </c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8"/>
      <c r="P382" s="638"/>
      <c r="Q382" s="638"/>
      <c r="R382" s="638"/>
      <c r="S382" s="638"/>
      <c r="T382" s="638"/>
      <c r="U382" s="638"/>
      <c r="V382" s="638"/>
      <c r="W382" s="638"/>
      <c r="X382" s="638"/>
      <c r="Y382" s="638"/>
      <c r="Z382" s="638"/>
      <c r="AA382" s="48"/>
      <c r="AB382" s="48"/>
      <c r="AC382" s="48"/>
    </row>
    <row r="383" spans="1:68" ht="16.5" hidden="1" customHeight="1" x14ac:dyDescent="0.25">
      <c r="A383" s="554" t="s">
        <v>589</v>
      </c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36"/>
      <c r="AB383" s="536"/>
      <c r="AC383" s="536"/>
    </row>
    <row r="384" spans="1:68" ht="14.25" hidden="1" customHeight="1" x14ac:dyDescent="0.25">
      <c r="A384" s="553" t="s">
        <v>64</v>
      </c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35"/>
      <c r="AB384" s="535"/>
      <c r="AC384" s="535"/>
    </row>
    <row r="385" spans="1:68" ht="27" hidden="1" customHeight="1" x14ac:dyDescent="0.25">
      <c r="A385" s="54" t="s">
        <v>590</v>
      </c>
      <c r="B385" s="54" t="s">
        <v>591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hidden="1" customHeight="1" x14ac:dyDescent="0.25">
      <c r="A386" s="54" t="s">
        <v>593</v>
      </c>
      <c r="B386" s="54" t="s">
        <v>594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598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599</v>
      </c>
      <c r="B388" s="54" t="s">
        <v>600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2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592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601</v>
      </c>
      <c r="B389" s="54" t="s">
        <v>602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5</v>
      </c>
      <c r="Y389" s="542">
        <f t="shared" si="41"/>
        <v>6.3000000000000007</v>
      </c>
      <c r="Z389" s="36">
        <f t="shared" si="46"/>
        <v>1.506E-2</v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5.3095238095238093</v>
      </c>
      <c r="BN389" s="64">
        <f t="shared" si="43"/>
        <v>6.69</v>
      </c>
      <c r="BO389" s="64">
        <f t="shared" si="44"/>
        <v>1.0175010175010176E-2</v>
      </c>
      <c r="BP389" s="64">
        <f t="shared" si="45"/>
        <v>1.2820512820512822E-2</v>
      </c>
    </row>
    <row r="390" spans="1:68" ht="37.5" hidden="1" customHeight="1" x14ac:dyDescent="0.25">
      <c r="A390" s="54" t="s">
        <v>603</v>
      </c>
      <c r="B390" s="54" t="s">
        <v>604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8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612</v>
      </c>
      <c r="B393" s="54" t="s">
        <v>613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0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2"/>
      <c r="P394" s="555" t="s">
        <v>71</v>
      </c>
      <c r="Q394" s="556"/>
      <c r="R394" s="556"/>
      <c r="S394" s="556"/>
      <c r="T394" s="556"/>
      <c r="U394" s="556"/>
      <c r="V394" s="557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2.3809523809523809</v>
      </c>
      <c r="Y394" s="543">
        <f>IFERROR(Y385/H385,"0")+IFERROR(Y386/H386,"0")+IFERROR(Y387/H387,"0")+IFERROR(Y388/H388,"0")+IFERROR(Y389/H389,"0")+IFERROR(Y390/H390,"0")+IFERROR(Y391/H391,"0")+IFERROR(Y392/H392,"0")+IFERROR(Y393/H393,"0")</f>
        <v>3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1.506E-2</v>
      </c>
      <c r="AA394" s="544"/>
      <c r="AB394" s="544"/>
      <c r="AC394" s="544"/>
    </row>
    <row r="395" spans="1:68" x14ac:dyDescent="0.2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2"/>
      <c r="P395" s="555" t="s">
        <v>71</v>
      </c>
      <c r="Q395" s="556"/>
      <c r="R395" s="556"/>
      <c r="S395" s="556"/>
      <c r="T395" s="556"/>
      <c r="U395" s="556"/>
      <c r="V395" s="557"/>
      <c r="W395" s="37" t="s">
        <v>69</v>
      </c>
      <c r="X395" s="543">
        <f>IFERROR(SUM(X385:X393),"0")</f>
        <v>5</v>
      </c>
      <c r="Y395" s="543">
        <f>IFERROR(SUM(Y385:Y393),"0")</f>
        <v>6.3000000000000007</v>
      </c>
      <c r="Z395" s="37"/>
      <c r="AA395" s="544"/>
      <c r="AB395" s="544"/>
      <c r="AC395" s="544"/>
    </row>
    <row r="396" spans="1:68" ht="14.25" hidden="1" customHeight="1" x14ac:dyDescent="0.25">
      <c r="A396" s="553" t="s">
        <v>73</v>
      </c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35"/>
      <c r="AB396" s="535"/>
      <c r="AC396" s="535"/>
    </row>
    <row r="397" spans="1:68" ht="27" hidden="1" customHeight="1" x14ac:dyDescent="0.25">
      <c r="A397" s="54" t="s">
        <v>614</v>
      </c>
      <c r="B397" s="54" t="s">
        <v>615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616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617</v>
      </c>
      <c r="B398" s="54" t="s">
        <v>618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619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0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2"/>
      <c r="P399" s="555" t="s">
        <v>71</v>
      </c>
      <c r="Q399" s="556"/>
      <c r="R399" s="556"/>
      <c r="S399" s="556"/>
      <c r="T399" s="556"/>
      <c r="U399" s="556"/>
      <c r="V399" s="557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2"/>
      <c r="P400" s="555" t="s">
        <v>71</v>
      </c>
      <c r="Q400" s="556"/>
      <c r="R400" s="556"/>
      <c r="S400" s="556"/>
      <c r="T400" s="556"/>
      <c r="U400" s="556"/>
      <c r="V400" s="557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54" t="s">
        <v>620</v>
      </c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36"/>
      <c r="AB401" s="536"/>
      <c r="AC401" s="536"/>
    </row>
    <row r="402" spans="1:68" ht="14.25" hidden="1" customHeight="1" x14ac:dyDescent="0.25">
      <c r="A402" s="553" t="s">
        <v>136</v>
      </c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35"/>
      <c r="AB402" s="535"/>
      <c r="AC402" s="535"/>
    </row>
    <row r="403" spans="1:68" ht="27" hidden="1" customHeight="1" x14ac:dyDescent="0.25">
      <c r="A403" s="54" t="s">
        <v>621</v>
      </c>
      <c r="B403" s="54" t="s">
        <v>622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623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0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2"/>
      <c r="P404" s="555" t="s">
        <v>71</v>
      </c>
      <c r="Q404" s="556"/>
      <c r="R404" s="556"/>
      <c r="S404" s="556"/>
      <c r="T404" s="556"/>
      <c r="U404" s="556"/>
      <c r="V404" s="557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2"/>
      <c r="P405" s="555" t="s">
        <v>71</v>
      </c>
      <c r="Q405" s="556"/>
      <c r="R405" s="556"/>
      <c r="S405" s="556"/>
      <c r="T405" s="556"/>
      <c r="U405" s="556"/>
      <c r="V405" s="557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3" t="s">
        <v>64</v>
      </c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35"/>
      <c r="AB406" s="535"/>
      <c r="AC406" s="535"/>
    </row>
    <row r="407" spans="1:68" ht="27" hidden="1" customHeight="1" x14ac:dyDescent="0.25">
      <c r="A407" s="54" t="s">
        <v>624</v>
      </c>
      <c r="B407" s="54" t="s">
        <v>625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5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626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632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633</v>
      </c>
      <c r="B410" s="54" t="s">
        <v>634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0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2"/>
      <c r="P411" s="555" t="s">
        <v>71</v>
      </c>
      <c r="Q411" s="556"/>
      <c r="R411" s="556"/>
      <c r="S411" s="556"/>
      <c r="T411" s="556"/>
      <c r="U411" s="556"/>
      <c r="V411" s="557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2"/>
      <c r="P412" s="555" t="s">
        <v>71</v>
      </c>
      <c r="Q412" s="556"/>
      <c r="R412" s="556"/>
      <c r="S412" s="556"/>
      <c r="T412" s="556"/>
      <c r="U412" s="556"/>
      <c r="V412" s="557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54" t="s">
        <v>635</v>
      </c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36"/>
      <c r="AB413" s="536"/>
      <c r="AC413" s="536"/>
    </row>
    <row r="414" spans="1:68" ht="14.25" hidden="1" customHeight="1" x14ac:dyDescent="0.25">
      <c r="A414" s="553" t="s">
        <v>64</v>
      </c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35"/>
      <c r="AB414" s="535"/>
      <c r="AC414" s="535"/>
    </row>
    <row r="415" spans="1:68" ht="27" hidden="1" customHeight="1" x14ac:dyDescent="0.25">
      <c r="A415" s="54" t="s">
        <v>636</v>
      </c>
      <c r="B415" s="54" t="s">
        <v>637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638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0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2"/>
      <c r="P416" s="555" t="s">
        <v>71</v>
      </c>
      <c r="Q416" s="556"/>
      <c r="R416" s="556"/>
      <c r="S416" s="556"/>
      <c r="T416" s="556"/>
      <c r="U416" s="556"/>
      <c r="V416" s="557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2"/>
      <c r="P417" s="555" t="s">
        <v>71</v>
      </c>
      <c r="Q417" s="556"/>
      <c r="R417" s="556"/>
      <c r="S417" s="556"/>
      <c r="T417" s="556"/>
      <c r="U417" s="556"/>
      <c r="V417" s="557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7" t="s">
        <v>639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48"/>
      <c r="AB418" s="48"/>
      <c r="AC418" s="48"/>
    </row>
    <row r="419" spans="1:68" ht="16.5" hidden="1" customHeight="1" x14ac:dyDescent="0.25">
      <c r="A419" s="554" t="s">
        <v>639</v>
      </c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36"/>
      <c r="AB419" s="536"/>
      <c r="AC419" s="536"/>
    </row>
    <row r="420" spans="1:68" ht="14.25" hidden="1" customHeight="1" x14ac:dyDescent="0.25">
      <c r="A420" s="553" t="s">
        <v>101</v>
      </c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35"/>
      <c r="AB420" s="535"/>
      <c r="AC420" s="535"/>
    </row>
    <row r="421" spans="1:68" ht="27" customHeight="1" x14ac:dyDescent="0.25">
      <c r="A421" s="54" t="s">
        <v>640</v>
      </c>
      <c r="B421" s="54" t="s">
        <v>641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1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17</v>
      </c>
      <c r="Y421" s="542">
        <f t="shared" ref="Y421:Y431" si="47">IFERROR(IF(X421="",0,CEILING((X421/$H421),1)*$H421),"")</f>
        <v>21.12</v>
      </c>
      <c r="Z421" s="36">
        <f t="shared" ref="Z421:Z426" si="48">IFERROR(IF(Y421=0,"",ROUNDUP(Y421/H421,0)*0.01196),"")</f>
        <v>4.7840000000000001E-2</v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18.126893939393938</v>
      </c>
      <c r="BN421" s="64">
        <f t="shared" ref="BN421:BN431" si="50">IFERROR(Y421*I421/H421,"0")</f>
        <v>22.52</v>
      </c>
      <c r="BO421" s="64">
        <f t="shared" ref="BO421:BO431" si="51">IFERROR(1/J421*(X421/H421),"0")</f>
        <v>3.0958624708624712E-2</v>
      </c>
      <c r="BP421" s="64">
        <f t="shared" ref="BP421:BP431" si="52">IFERROR(1/J421*(Y421/H421),"0")</f>
        <v>3.8461538461538464E-2</v>
      </c>
    </row>
    <row r="422" spans="1:68" ht="27" hidden="1" customHeight="1" x14ac:dyDescent="0.25">
      <c r="A422" s="54" t="s">
        <v>642</v>
      </c>
      <c r="B422" s="54" t="s">
        <v>643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644</v>
      </c>
      <c r="AG422" s="64"/>
      <c r="AJ422" s="68" t="s">
        <v>90</v>
      </c>
      <c r="AK422" s="68">
        <v>42.24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hidden="1" customHeight="1" x14ac:dyDescent="0.25">
      <c r="A423" s="54" t="s">
        <v>645</v>
      </c>
      <c r="B423" s="54" t="s">
        <v>646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77</v>
      </c>
      <c r="N423" s="33"/>
      <c r="O423" s="32">
        <v>60</v>
      </c>
      <c r="P423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647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648</v>
      </c>
      <c r="B424" s="54" t="s">
        <v>649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70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hidden="1" customHeight="1" x14ac:dyDescent="0.25">
      <c r="A425" s="54" t="s">
        <v>651</v>
      </c>
      <c r="B425" s="54" t="s">
        <v>652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653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654</v>
      </c>
      <c r="B426" s="54" t="s">
        <v>655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656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657</v>
      </c>
      <c r="B427" s="54" t="s">
        <v>658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659</v>
      </c>
      <c r="B428" s="54" t="s">
        <v>660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4</v>
      </c>
      <c r="Y428" s="542">
        <f t="shared" si="47"/>
        <v>4.8</v>
      </c>
      <c r="Z428" s="36">
        <f>IFERROR(IF(Y428=0,"",ROUNDUP(Y428/H428,0)*0.00902),"")</f>
        <v>9.0200000000000002E-3</v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5.7583333333333337</v>
      </c>
      <c r="BN428" s="64">
        <f t="shared" si="50"/>
        <v>6.91</v>
      </c>
      <c r="BO428" s="64">
        <f t="shared" si="51"/>
        <v>6.3131313131313139E-3</v>
      </c>
      <c r="BP428" s="64">
        <f t="shared" si="52"/>
        <v>7.575757575757576E-3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5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666</v>
      </c>
      <c r="B431" s="54" t="s">
        <v>667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0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2"/>
      <c r="P432" s="555" t="s">
        <v>71</v>
      </c>
      <c r="Q432" s="556"/>
      <c r="R432" s="556"/>
      <c r="S432" s="556"/>
      <c r="T432" s="556"/>
      <c r="U432" s="556"/>
      <c r="V432" s="557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4.0530303030303028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5.6860000000000001E-2</v>
      </c>
      <c r="AA432" s="544"/>
      <c r="AB432" s="544"/>
      <c r="AC432" s="544"/>
    </row>
    <row r="433" spans="1:68" x14ac:dyDescent="0.2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2"/>
      <c r="P433" s="555" t="s">
        <v>71</v>
      </c>
      <c r="Q433" s="556"/>
      <c r="R433" s="556"/>
      <c r="S433" s="556"/>
      <c r="T433" s="556"/>
      <c r="U433" s="556"/>
      <c r="V433" s="557"/>
      <c r="W433" s="37" t="s">
        <v>69</v>
      </c>
      <c r="X433" s="543">
        <f>IFERROR(SUM(X421:X431),"0")</f>
        <v>21</v>
      </c>
      <c r="Y433" s="543">
        <f>IFERROR(SUM(Y421:Y431),"0")</f>
        <v>25.92</v>
      </c>
      <c r="Z433" s="37"/>
      <c r="AA433" s="544"/>
      <c r="AB433" s="544"/>
      <c r="AC433" s="544"/>
    </row>
    <row r="434" spans="1:68" ht="14.25" hidden="1" customHeight="1" x14ac:dyDescent="0.25">
      <c r="A434" s="553" t="s">
        <v>136</v>
      </c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35"/>
      <c r="AB434" s="535"/>
      <c r="AC434" s="535"/>
    </row>
    <row r="435" spans="1:68" ht="16.5" customHeight="1" x14ac:dyDescent="0.25">
      <c r="A435" s="54" t="s">
        <v>668</v>
      </c>
      <c r="B435" s="54" t="s">
        <v>669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44</v>
      </c>
      <c r="Y435" s="542">
        <f>IFERROR(IF(X435="",0,CEILING((X435/$H435),1)*$H435),"")</f>
        <v>47.52</v>
      </c>
      <c r="Z435" s="36">
        <f>IFERROR(IF(Y435=0,"",ROUNDUP(Y435/H435,0)*0.01196),"")</f>
        <v>0.10764</v>
      </c>
      <c r="AA435" s="56"/>
      <c r="AB435" s="57"/>
      <c r="AC435" s="483" t="s">
        <v>670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46.916666666666664</v>
      </c>
      <c r="BN435" s="64">
        <f>IFERROR(Y435*I435/H435,"0")</f>
        <v>50.669999999999995</v>
      </c>
      <c r="BO435" s="64">
        <f>IFERROR(1/J435*(X435/H435),"0")</f>
        <v>8.0128205128205121E-2</v>
      </c>
      <c r="BP435" s="64">
        <f>IFERROR(1/J435*(Y435/H435),"0")</f>
        <v>8.6538461538461536E-2</v>
      </c>
    </row>
    <row r="436" spans="1:68" ht="16.5" hidden="1" customHeight="1" x14ac:dyDescent="0.25">
      <c r="A436" s="54" t="s">
        <v>671</v>
      </c>
      <c r="B436" s="54" t="s">
        <v>672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670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673</v>
      </c>
      <c r="B437" s="54" t="s">
        <v>674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0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2"/>
      <c r="P438" s="555" t="s">
        <v>71</v>
      </c>
      <c r="Q438" s="556"/>
      <c r="R438" s="556"/>
      <c r="S438" s="556"/>
      <c r="T438" s="556"/>
      <c r="U438" s="556"/>
      <c r="V438" s="557"/>
      <c r="W438" s="37" t="s">
        <v>72</v>
      </c>
      <c r="X438" s="543">
        <f>IFERROR(X435/H435,"0")+IFERROR(X436/H436,"0")+IFERROR(X437/H437,"0")</f>
        <v>8.3333333333333321</v>
      </c>
      <c r="Y438" s="543">
        <f>IFERROR(Y435/H435,"0")+IFERROR(Y436/H436,"0")+IFERROR(Y437/H437,"0")</f>
        <v>9</v>
      </c>
      <c r="Z438" s="543">
        <f>IFERROR(IF(Z435="",0,Z435),"0")+IFERROR(IF(Z436="",0,Z436),"0")+IFERROR(IF(Z437="",0,Z437),"0")</f>
        <v>0.10764</v>
      </c>
      <c r="AA438" s="544"/>
      <c r="AB438" s="544"/>
      <c r="AC438" s="544"/>
    </row>
    <row r="439" spans="1:68" x14ac:dyDescent="0.2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2"/>
      <c r="P439" s="555" t="s">
        <v>71</v>
      </c>
      <c r="Q439" s="556"/>
      <c r="R439" s="556"/>
      <c r="S439" s="556"/>
      <c r="T439" s="556"/>
      <c r="U439" s="556"/>
      <c r="V439" s="557"/>
      <c r="W439" s="37" t="s">
        <v>69</v>
      </c>
      <c r="X439" s="543">
        <f>IFERROR(SUM(X435:X437),"0")</f>
        <v>44</v>
      </c>
      <c r="Y439" s="543">
        <f>IFERROR(SUM(Y435:Y437),"0")</f>
        <v>47.52</v>
      </c>
      <c r="Z439" s="37"/>
      <c r="AA439" s="544"/>
      <c r="AB439" s="544"/>
      <c r="AC439" s="544"/>
    </row>
    <row r="440" spans="1:68" ht="14.25" hidden="1" customHeight="1" x14ac:dyDescent="0.25">
      <c r="A440" s="553" t="s">
        <v>64</v>
      </c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35"/>
      <c r="AB440" s="535"/>
      <c r="AC440" s="535"/>
    </row>
    <row r="441" spans="1:68" ht="27" customHeight="1" x14ac:dyDescent="0.25">
      <c r="A441" s="54" t="s">
        <v>675</v>
      </c>
      <c r="B441" s="54" t="s">
        <v>676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7</v>
      </c>
      <c r="Y441" s="542">
        <f t="shared" ref="Y441:Y446" si="53">IFERROR(IF(X441="",0,CEILING((X441/$H441),1)*$H441),"")</f>
        <v>10.56</v>
      </c>
      <c r="Z441" s="36">
        <f>IFERROR(IF(Y441=0,"",ROUNDUP(Y441/H441,0)*0.01196),"")</f>
        <v>2.392E-2</v>
      </c>
      <c r="AA441" s="56"/>
      <c r="AB441" s="57"/>
      <c r="AC441" s="489" t="s">
        <v>677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7.4640151515151505</v>
      </c>
      <c r="BN441" s="64">
        <f t="shared" ref="BN441:BN446" si="55">IFERROR(Y441*I441/H441,"0")</f>
        <v>11.26</v>
      </c>
      <c r="BO441" s="64">
        <f t="shared" ref="BO441:BO446" si="56">IFERROR(1/J441*(X441/H441),"0")</f>
        <v>1.2747668997668998E-2</v>
      </c>
      <c r="BP441" s="64">
        <f t="shared" ref="BP441:BP446" si="57">IFERROR(1/J441*(Y441/H441),"0")</f>
        <v>1.9230769230769232E-2</v>
      </c>
    </row>
    <row r="442" spans="1:68" ht="27" customHeight="1" x14ac:dyDescent="0.25">
      <c r="A442" s="54" t="s">
        <v>678</v>
      </c>
      <c r="B442" s="54" t="s">
        <v>679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30</v>
      </c>
      <c r="Y442" s="542">
        <f t="shared" si="53"/>
        <v>31.68</v>
      </c>
      <c r="Z442" s="36">
        <f>IFERROR(IF(Y442=0,"",ROUNDUP(Y442/H442,0)*0.01196),"")</f>
        <v>7.1760000000000004E-2</v>
      </c>
      <c r="AA442" s="56"/>
      <c r="AB442" s="57"/>
      <c r="AC442" s="491" t="s">
        <v>680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31.988636363636363</v>
      </c>
      <c r="BN442" s="64">
        <f t="shared" si="55"/>
        <v>33.779999999999994</v>
      </c>
      <c r="BO442" s="64">
        <f t="shared" si="56"/>
        <v>5.4632867132867136E-2</v>
      </c>
      <c r="BP442" s="64">
        <f t="shared" si="57"/>
        <v>5.7692307692307696E-2</v>
      </c>
    </row>
    <row r="443" spans="1:68" ht="27" hidden="1" customHeight="1" x14ac:dyDescent="0.25">
      <c r="A443" s="54" t="s">
        <v>681</v>
      </c>
      <c r="B443" s="54" t="s">
        <v>682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683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684</v>
      </c>
      <c r="B444" s="54" t="s">
        <v>685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686</v>
      </c>
      <c r="B445" s="54" t="s">
        <v>687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8</v>
      </c>
      <c r="Y445" s="542">
        <f t="shared" si="53"/>
        <v>9.6</v>
      </c>
      <c r="Z445" s="36">
        <f>IFERROR(IF(Y445=0,"",ROUNDUP(Y445/H445,0)*0.00902),"")</f>
        <v>1.804E-2</v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54"/>
        <v>11.116666666666667</v>
      </c>
      <c r="BN445" s="64">
        <f t="shared" si="55"/>
        <v>13.34</v>
      </c>
      <c r="BO445" s="64">
        <f t="shared" si="56"/>
        <v>1.2626262626262628E-2</v>
      </c>
      <c r="BP445" s="64">
        <f t="shared" si="57"/>
        <v>1.5151515151515152E-2</v>
      </c>
    </row>
    <row r="446" spans="1:68" ht="27" customHeight="1" x14ac:dyDescent="0.25">
      <c r="A446" s="54" t="s">
        <v>688</v>
      </c>
      <c r="B446" s="54" t="s">
        <v>689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9</v>
      </c>
      <c r="Y446" s="542">
        <f t="shared" si="53"/>
        <v>9.6</v>
      </c>
      <c r="Z446" s="36">
        <f>IFERROR(IF(Y446=0,"",ROUNDUP(Y446/H446,0)*0.00902),"")</f>
        <v>1.804E-2</v>
      </c>
      <c r="AA446" s="56"/>
      <c r="AB446" s="57"/>
      <c r="AC446" s="499" t="s">
        <v>683</v>
      </c>
      <c r="AG446" s="64"/>
      <c r="AJ446" s="68"/>
      <c r="AK446" s="68">
        <v>0</v>
      </c>
      <c r="BB446" s="500" t="s">
        <v>1</v>
      </c>
      <c r="BM446" s="64">
        <f t="shared" si="54"/>
        <v>12.506250000000001</v>
      </c>
      <c r="BN446" s="64">
        <f t="shared" si="55"/>
        <v>13.34</v>
      </c>
      <c r="BO446" s="64">
        <f t="shared" si="56"/>
        <v>1.4204545454545456E-2</v>
      </c>
      <c r="BP446" s="64">
        <f t="shared" si="57"/>
        <v>1.5151515151515152E-2</v>
      </c>
    </row>
    <row r="447" spans="1:68" x14ac:dyDescent="0.2">
      <c r="A447" s="550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2"/>
      <c r="P447" s="555" t="s">
        <v>71</v>
      </c>
      <c r="Q447" s="556"/>
      <c r="R447" s="556"/>
      <c r="S447" s="556"/>
      <c r="T447" s="556"/>
      <c r="U447" s="556"/>
      <c r="V447" s="557"/>
      <c r="W447" s="37" t="s">
        <v>72</v>
      </c>
      <c r="X447" s="543">
        <f>IFERROR(X441/H441,"0")+IFERROR(X442/H442,"0")+IFERROR(X443/H443,"0")+IFERROR(X444/H444,"0")+IFERROR(X445/H445,"0")+IFERROR(X446/H446,"0")</f>
        <v>10.549242424242424</v>
      </c>
      <c r="Y447" s="543">
        <f>IFERROR(Y441/H441,"0")+IFERROR(Y442/H442,"0")+IFERROR(Y443/H443,"0")+IFERROR(Y444/H444,"0")+IFERROR(Y445/H445,"0")+IFERROR(Y446/H446,"0")</f>
        <v>12</v>
      </c>
      <c r="Z447" s="543">
        <f>IFERROR(IF(Z441="",0,Z441),"0")+IFERROR(IF(Z442="",0,Z442),"0")+IFERROR(IF(Z443="",0,Z443),"0")+IFERROR(IF(Z444="",0,Z444),"0")+IFERROR(IF(Z445="",0,Z445),"0")+IFERROR(IF(Z446="",0,Z446),"0")</f>
        <v>0.13175999999999999</v>
      </c>
      <c r="AA447" s="544"/>
      <c r="AB447" s="544"/>
      <c r="AC447" s="544"/>
    </row>
    <row r="448" spans="1:68" x14ac:dyDescent="0.2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2"/>
      <c r="P448" s="555" t="s">
        <v>71</v>
      </c>
      <c r="Q448" s="556"/>
      <c r="R448" s="556"/>
      <c r="S448" s="556"/>
      <c r="T448" s="556"/>
      <c r="U448" s="556"/>
      <c r="V448" s="557"/>
      <c r="W448" s="37" t="s">
        <v>69</v>
      </c>
      <c r="X448" s="543">
        <f>IFERROR(SUM(X441:X446),"0")</f>
        <v>54</v>
      </c>
      <c r="Y448" s="543">
        <f>IFERROR(SUM(Y441:Y446),"0")</f>
        <v>61.440000000000005</v>
      </c>
      <c r="Z448" s="37"/>
      <c r="AA448" s="544"/>
      <c r="AB448" s="544"/>
      <c r="AC448" s="544"/>
    </row>
    <row r="449" spans="1:68" ht="14.25" hidden="1" customHeight="1" x14ac:dyDescent="0.25">
      <c r="A449" s="553" t="s">
        <v>73</v>
      </c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35"/>
      <c r="AB449" s="535"/>
      <c r="AC449" s="535"/>
    </row>
    <row r="450" spans="1:68" ht="16.5" hidden="1" customHeight="1" x14ac:dyDescent="0.25">
      <c r="A450" s="54" t="s">
        <v>690</v>
      </c>
      <c r="B450" s="54" t="s">
        <v>691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693</v>
      </c>
      <c r="B451" s="54" t="s">
        <v>694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9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0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2"/>
      <c r="P453" s="555" t="s">
        <v>71</v>
      </c>
      <c r="Q453" s="556"/>
      <c r="R453" s="556"/>
      <c r="S453" s="556"/>
      <c r="T453" s="556"/>
      <c r="U453" s="556"/>
      <c r="V453" s="557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2"/>
      <c r="P454" s="555" t="s">
        <v>71</v>
      </c>
      <c r="Q454" s="556"/>
      <c r="R454" s="556"/>
      <c r="S454" s="556"/>
      <c r="T454" s="556"/>
      <c r="U454" s="556"/>
      <c r="V454" s="557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7" t="s">
        <v>699</v>
      </c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8"/>
      <c r="P455" s="638"/>
      <c r="Q455" s="638"/>
      <c r="R455" s="638"/>
      <c r="S455" s="638"/>
      <c r="T455" s="638"/>
      <c r="U455" s="638"/>
      <c r="V455" s="638"/>
      <c r="W455" s="638"/>
      <c r="X455" s="638"/>
      <c r="Y455" s="638"/>
      <c r="Z455" s="638"/>
      <c r="AA455" s="48"/>
      <c r="AB455" s="48"/>
      <c r="AC455" s="48"/>
    </row>
    <row r="456" spans="1:68" ht="16.5" hidden="1" customHeight="1" x14ac:dyDescent="0.25">
      <c r="A456" s="554" t="s">
        <v>699</v>
      </c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36"/>
      <c r="AB456" s="536"/>
      <c r="AC456" s="536"/>
    </row>
    <row r="457" spans="1:68" ht="14.25" hidden="1" customHeight="1" x14ac:dyDescent="0.25">
      <c r="A457" s="553" t="s">
        <v>101</v>
      </c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35"/>
      <c r="AB457" s="535"/>
      <c r="AC457" s="535"/>
    </row>
    <row r="458" spans="1:68" ht="27" hidden="1" customHeight="1" x14ac:dyDescent="0.25">
      <c r="A458" s="54" t="s">
        <v>700</v>
      </c>
      <c r="B458" s="54" t="s">
        <v>701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59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4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10</v>
      </c>
      <c r="Y460" s="542">
        <f>IFERROR(IF(X460="",0,CEILING((X460/$H460),1)*$H460),"")</f>
        <v>12</v>
      </c>
      <c r="Z460" s="36">
        <f>IFERROR(IF(Y460=0,"",ROUNDUP(Y460/H460,0)*0.01898),"")</f>
        <v>1.898E-2</v>
      </c>
      <c r="AA460" s="56"/>
      <c r="AB460" s="57"/>
      <c r="AC460" s="511" t="s">
        <v>708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10.341666666666667</v>
      </c>
      <c r="BN460" s="64">
        <f>IFERROR(Y460*I460/H460,"0")</f>
        <v>12.410000000000002</v>
      </c>
      <c r="BO460" s="64">
        <f>IFERROR(1/J460*(X460/H460),"0")</f>
        <v>1.3020833333333334E-2</v>
      </c>
      <c r="BP460" s="64">
        <f>IFERROR(1/J460*(Y460/H460),"0")</f>
        <v>1.5625E-2</v>
      </c>
    </row>
    <row r="461" spans="1:68" ht="27" hidden="1" customHeight="1" x14ac:dyDescent="0.25">
      <c r="A461" s="54" t="s">
        <v>709</v>
      </c>
      <c r="B461" s="54" t="s">
        <v>710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7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702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0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2"/>
      <c r="P462" s="555" t="s">
        <v>71</v>
      </c>
      <c r="Q462" s="556"/>
      <c r="R462" s="556"/>
      <c r="S462" s="556"/>
      <c r="T462" s="556"/>
      <c r="U462" s="556"/>
      <c r="V462" s="557"/>
      <c r="W462" s="37" t="s">
        <v>72</v>
      </c>
      <c r="X462" s="543">
        <f>IFERROR(X458/H458,"0")+IFERROR(X459/H459,"0")+IFERROR(X460/H460,"0")+IFERROR(X461/H461,"0")</f>
        <v>0.83333333333333337</v>
      </c>
      <c r="Y462" s="543">
        <f>IFERROR(Y458/H458,"0")+IFERROR(Y459/H459,"0")+IFERROR(Y460/H460,"0")+IFERROR(Y461/H461,"0")</f>
        <v>1</v>
      </c>
      <c r="Z462" s="543">
        <f>IFERROR(IF(Z458="",0,Z458),"0")+IFERROR(IF(Z459="",0,Z459),"0")+IFERROR(IF(Z460="",0,Z460),"0")+IFERROR(IF(Z461="",0,Z461),"0")</f>
        <v>1.898E-2</v>
      </c>
      <c r="AA462" s="544"/>
      <c r="AB462" s="544"/>
      <c r="AC462" s="544"/>
    </row>
    <row r="463" spans="1:68" x14ac:dyDescent="0.2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2"/>
      <c r="P463" s="555" t="s">
        <v>71</v>
      </c>
      <c r="Q463" s="556"/>
      <c r="R463" s="556"/>
      <c r="S463" s="556"/>
      <c r="T463" s="556"/>
      <c r="U463" s="556"/>
      <c r="V463" s="557"/>
      <c r="W463" s="37" t="s">
        <v>69</v>
      </c>
      <c r="X463" s="543">
        <f>IFERROR(SUM(X458:X461),"0")</f>
        <v>10</v>
      </c>
      <c r="Y463" s="543">
        <f>IFERROR(SUM(Y458:Y461),"0")</f>
        <v>12</v>
      </c>
      <c r="Z463" s="37"/>
      <c r="AA463" s="544"/>
      <c r="AB463" s="544"/>
      <c r="AC463" s="544"/>
    </row>
    <row r="464" spans="1:68" ht="14.25" hidden="1" customHeight="1" x14ac:dyDescent="0.25">
      <c r="A464" s="553" t="s">
        <v>136</v>
      </c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35"/>
      <c r="AB464" s="535"/>
      <c r="AC464" s="535"/>
    </row>
    <row r="465" spans="1:68" ht="27" hidden="1" customHeight="1" x14ac:dyDescent="0.25">
      <c r="A465" s="54" t="s">
        <v>711</v>
      </c>
      <c r="B465" s="54" t="s">
        <v>712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7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717</v>
      </c>
      <c r="B467" s="54" t="s">
        <v>718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48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719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0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2"/>
      <c r="P468" s="555" t="s">
        <v>71</v>
      </c>
      <c r="Q468" s="556"/>
      <c r="R468" s="556"/>
      <c r="S468" s="556"/>
      <c r="T468" s="556"/>
      <c r="U468" s="556"/>
      <c r="V468" s="557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2"/>
      <c r="P469" s="555" t="s">
        <v>71</v>
      </c>
      <c r="Q469" s="556"/>
      <c r="R469" s="556"/>
      <c r="S469" s="556"/>
      <c r="T469" s="556"/>
      <c r="U469" s="556"/>
      <c r="V469" s="557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3" t="s">
        <v>64</v>
      </c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35"/>
      <c r="AB470" s="535"/>
      <c r="AC470" s="535"/>
    </row>
    <row r="471" spans="1:68" ht="27" customHeight="1" x14ac:dyDescent="0.25">
      <c r="A471" s="54" t="s">
        <v>720</v>
      </c>
      <c r="B471" s="54" t="s">
        <v>721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58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30</v>
      </c>
      <c r="Y471" s="542">
        <f>IFERROR(IF(X471="",0,CEILING((X471/$H471),1)*$H471),"")</f>
        <v>33.6</v>
      </c>
      <c r="Z471" s="36">
        <f>IFERROR(IF(Y471=0,"",ROUNDUP(Y471/H471,0)*0.00902),"")</f>
        <v>7.2160000000000002E-2</v>
      </c>
      <c r="AA471" s="56"/>
      <c r="AB471" s="57"/>
      <c r="AC471" s="521" t="s">
        <v>722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31.785714285714285</v>
      </c>
      <c r="BN471" s="64">
        <f>IFERROR(Y471*I471/H471,"0")</f>
        <v>35.6</v>
      </c>
      <c r="BO471" s="64">
        <f>IFERROR(1/J471*(X471/H471),"0")</f>
        <v>5.4112554112554112E-2</v>
      </c>
      <c r="BP471" s="64">
        <f>IFERROR(1/J471*(Y471/H471),"0")</f>
        <v>6.0606060606060608E-2</v>
      </c>
    </row>
    <row r="472" spans="1:68" ht="27" customHeight="1" x14ac:dyDescent="0.25">
      <c r="A472" s="54" t="s">
        <v>723</v>
      </c>
      <c r="B472" s="54" t="s">
        <v>724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40</v>
      </c>
      <c r="Y472" s="542">
        <f>IFERROR(IF(X472="",0,CEILING((X472/$H472),1)*$H472),"")</f>
        <v>42</v>
      </c>
      <c r="Z472" s="36">
        <f>IFERROR(IF(Y472=0,"",ROUNDUP(Y472/H472,0)*0.00902),"")</f>
        <v>9.0200000000000002E-2</v>
      </c>
      <c r="AA472" s="56"/>
      <c r="AB472" s="57"/>
      <c r="AC472" s="523" t="s">
        <v>725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42.38095238095238</v>
      </c>
      <c r="BN472" s="64">
        <f>IFERROR(Y472*I472/H472,"0")</f>
        <v>44.5</v>
      </c>
      <c r="BO472" s="64">
        <f>IFERROR(1/J472*(X472/H472),"0")</f>
        <v>7.2150072150072145E-2</v>
      </c>
      <c r="BP472" s="64">
        <f>IFERROR(1/J472*(Y472/H472),"0")</f>
        <v>7.575757575757576E-2</v>
      </c>
    </row>
    <row r="473" spans="1:68" x14ac:dyDescent="0.2">
      <c r="A473" s="550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2"/>
      <c r="P473" s="555" t="s">
        <v>71</v>
      </c>
      <c r="Q473" s="556"/>
      <c r="R473" s="556"/>
      <c r="S473" s="556"/>
      <c r="T473" s="556"/>
      <c r="U473" s="556"/>
      <c r="V473" s="557"/>
      <c r="W473" s="37" t="s">
        <v>72</v>
      </c>
      <c r="X473" s="543">
        <f>IFERROR(X471/H471,"0")+IFERROR(X472/H472,"0")</f>
        <v>16.666666666666664</v>
      </c>
      <c r="Y473" s="543">
        <f>IFERROR(Y471/H471,"0")+IFERROR(Y472/H472,"0")</f>
        <v>18</v>
      </c>
      <c r="Z473" s="543">
        <f>IFERROR(IF(Z471="",0,Z471),"0")+IFERROR(IF(Z472="",0,Z472),"0")</f>
        <v>0.16236</v>
      </c>
      <c r="AA473" s="544"/>
      <c r="AB473" s="544"/>
      <c r="AC473" s="544"/>
    </row>
    <row r="474" spans="1:68" x14ac:dyDescent="0.2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2"/>
      <c r="P474" s="555" t="s">
        <v>71</v>
      </c>
      <c r="Q474" s="556"/>
      <c r="R474" s="556"/>
      <c r="S474" s="556"/>
      <c r="T474" s="556"/>
      <c r="U474" s="556"/>
      <c r="V474" s="557"/>
      <c r="W474" s="37" t="s">
        <v>69</v>
      </c>
      <c r="X474" s="543">
        <f>IFERROR(SUM(X471:X472),"0")</f>
        <v>70</v>
      </c>
      <c r="Y474" s="543">
        <f>IFERROR(SUM(Y471:Y472),"0")</f>
        <v>75.599999999999994</v>
      </c>
      <c r="Z474" s="37"/>
      <c r="AA474" s="544"/>
      <c r="AB474" s="544"/>
      <c r="AC474" s="544"/>
    </row>
    <row r="475" spans="1:68" ht="14.25" hidden="1" customHeight="1" x14ac:dyDescent="0.25">
      <c r="A475" s="553" t="s">
        <v>73</v>
      </c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35"/>
      <c r="AB475" s="535"/>
      <c r="AC475" s="535"/>
    </row>
    <row r="476" spans="1:68" ht="27" hidden="1" customHeight="1" x14ac:dyDescent="0.25">
      <c r="A476" s="54" t="s">
        <v>726</v>
      </c>
      <c r="B476" s="54" t="s">
        <v>727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58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728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0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2"/>
      <c r="P477" s="555" t="s">
        <v>71</v>
      </c>
      <c r="Q477" s="556"/>
      <c r="R477" s="556"/>
      <c r="S477" s="556"/>
      <c r="T477" s="556"/>
      <c r="U477" s="556"/>
      <c r="V477" s="557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2"/>
      <c r="P478" s="555" t="s">
        <v>71</v>
      </c>
      <c r="Q478" s="556"/>
      <c r="R478" s="556"/>
      <c r="S478" s="556"/>
      <c r="T478" s="556"/>
      <c r="U478" s="556"/>
      <c r="V478" s="557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53" t="s">
        <v>164</v>
      </c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35"/>
      <c r="AB479" s="535"/>
      <c r="AC479" s="535"/>
    </row>
    <row r="480" spans="1:68" ht="27" hidden="1" customHeight="1" x14ac:dyDescent="0.25">
      <c r="A480" s="54" t="s">
        <v>729</v>
      </c>
      <c r="B480" s="54" t="s">
        <v>730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732</v>
      </c>
      <c r="B481" s="54" t="s">
        <v>733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734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0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2"/>
      <c r="P482" s="555" t="s">
        <v>71</v>
      </c>
      <c r="Q482" s="556"/>
      <c r="R482" s="556"/>
      <c r="S482" s="556"/>
      <c r="T482" s="556"/>
      <c r="U482" s="556"/>
      <c r="V482" s="557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2"/>
      <c r="P483" s="555" t="s">
        <v>71</v>
      </c>
      <c r="Q483" s="556"/>
      <c r="R483" s="556"/>
      <c r="S483" s="556"/>
      <c r="T483" s="556"/>
      <c r="U483" s="556"/>
      <c r="V483" s="557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54" t="s">
        <v>735</v>
      </c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36"/>
      <c r="AB484" s="536"/>
      <c r="AC484" s="536"/>
    </row>
    <row r="485" spans="1:68" ht="14.25" hidden="1" customHeight="1" x14ac:dyDescent="0.25">
      <c r="A485" s="553" t="s">
        <v>136</v>
      </c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35"/>
      <c r="AB485" s="535"/>
      <c r="AC485" s="535"/>
    </row>
    <row r="486" spans="1:68" ht="27" hidden="1" customHeight="1" x14ac:dyDescent="0.25">
      <c r="A486" s="54" t="s">
        <v>736</v>
      </c>
      <c r="B486" s="54" t="s">
        <v>737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738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0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2"/>
      <c r="P487" s="555" t="s">
        <v>71</v>
      </c>
      <c r="Q487" s="556"/>
      <c r="R487" s="556"/>
      <c r="S487" s="556"/>
      <c r="T487" s="556"/>
      <c r="U487" s="556"/>
      <c r="V487" s="557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2"/>
      <c r="P488" s="555" t="s">
        <v>71</v>
      </c>
      <c r="Q488" s="556"/>
      <c r="R488" s="556"/>
      <c r="S488" s="556"/>
      <c r="T488" s="556"/>
      <c r="U488" s="556"/>
      <c r="V488" s="557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8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707"/>
      <c r="P489" s="634" t="s">
        <v>739</v>
      </c>
      <c r="Q489" s="635"/>
      <c r="R489" s="635"/>
      <c r="S489" s="635"/>
      <c r="T489" s="635"/>
      <c r="U489" s="635"/>
      <c r="V489" s="636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12108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12290.980000000001</v>
      </c>
      <c r="Z489" s="37"/>
      <c r="AA489" s="544"/>
      <c r="AB489" s="544"/>
      <c r="AC489" s="544"/>
    </row>
    <row r="490" spans="1:68" x14ac:dyDescent="0.2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707"/>
      <c r="P490" s="634" t="s">
        <v>740</v>
      </c>
      <c r="Q490" s="635"/>
      <c r="R490" s="635"/>
      <c r="S490" s="635"/>
      <c r="T490" s="635"/>
      <c r="U490" s="635"/>
      <c r="V490" s="636"/>
      <c r="W490" s="37" t="s">
        <v>69</v>
      </c>
      <c r="X490" s="543">
        <f>IFERROR(SUM(BM22:BM486),"0")</f>
        <v>12810.697220237824</v>
      </c>
      <c r="Y490" s="543">
        <f>IFERROR(SUM(BN22:BN486),"0")</f>
        <v>13004.688000000004</v>
      </c>
      <c r="Z490" s="37"/>
      <c r="AA490" s="544"/>
      <c r="AB490" s="544"/>
      <c r="AC490" s="544"/>
    </row>
    <row r="491" spans="1:68" x14ac:dyDescent="0.2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707"/>
      <c r="P491" s="634" t="s">
        <v>741</v>
      </c>
      <c r="Q491" s="635"/>
      <c r="R491" s="635"/>
      <c r="S491" s="635"/>
      <c r="T491" s="635"/>
      <c r="U491" s="635"/>
      <c r="V491" s="636"/>
      <c r="W491" s="37" t="s">
        <v>742</v>
      </c>
      <c r="X491" s="38">
        <f>ROUNDUP(SUM(BO22:BO486),0)</f>
        <v>22</v>
      </c>
      <c r="Y491" s="38">
        <f>ROUNDUP(SUM(BP22:BP486),0)</f>
        <v>22</v>
      </c>
      <c r="Z491" s="37"/>
      <c r="AA491" s="544"/>
      <c r="AB491" s="544"/>
      <c r="AC491" s="544"/>
    </row>
    <row r="492" spans="1:68" x14ac:dyDescent="0.2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707"/>
      <c r="P492" s="634" t="s">
        <v>743</v>
      </c>
      <c r="Q492" s="635"/>
      <c r="R492" s="635"/>
      <c r="S492" s="635"/>
      <c r="T492" s="635"/>
      <c r="U492" s="635"/>
      <c r="V492" s="636"/>
      <c r="W492" s="37" t="s">
        <v>69</v>
      </c>
      <c r="X492" s="543">
        <f>GrossWeightTotal+PalletQtyTotal*25</f>
        <v>13360.697220237824</v>
      </c>
      <c r="Y492" s="543">
        <f>GrossWeightTotalR+PalletQtyTotalR*25</f>
        <v>13554.688000000004</v>
      </c>
      <c r="Z492" s="37"/>
      <c r="AA492" s="544"/>
      <c r="AB492" s="544"/>
      <c r="AC492" s="544"/>
    </row>
    <row r="493" spans="1:68" x14ac:dyDescent="0.2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707"/>
      <c r="P493" s="634" t="s">
        <v>744</v>
      </c>
      <c r="Q493" s="635"/>
      <c r="R493" s="635"/>
      <c r="S493" s="635"/>
      <c r="T493" s="635"/>
      <c r="U493" s="635"/>
      <c r="V493" s="636"/>
      <c r="W493" s="37" t="s">
        <v>742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2430.8405192302253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2468</v>
      </c>
      <c r="Z493" s="37"/>
      <c r="AA493" s="544"/>
      <c r="AB493" s="544"/>
      <c r="AC493" s="544"/>
    </row>
    <row r="494" spans="1:68" ht="14.25" hidden="1" customHeight="1" x14ac:dyDescent="0.2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707"/>
      <c r="P494" s="634" t="s">
        <v>745</v>
      </c>
      <c r="Q494" s="635"/>
      <c r="R494" s="635"/>
      <c r="S494" s="635"/>
      <c r="T494" s="635"/>
      <c r="U494" s="635"/>
      <c r="V494" s="636"/>
      <c r="W494" s="39" t="s">
        <v>746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25.622070000000001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747</v>
      </c>
      <c r="B496" s="533" t="s">
        <v>63</v>
      </c>
      <c r="C496" s="590" t="s">
        <v>99</v>
      </c>
      <c r="D496" s="657"/>
      <c r="E496" s="657"/>
      <c r="F496" s="657"/>
      <c r="G496" s="657"/>
      <c r="H496" s="622"/>
      <c r="I496" s="590" t="s">
        <v>255</v>
      </c>
      <c r="J496" s="657"/>
      <c r="K496" s="657"/>
      <c r="L496" s="657"/>
      <c r="M496" s="657"/>
      <c r="N496" s="657"/>
      <c r="O496" s="657"/>
      <c r="P496" s="657"/>
      <c r="Q496" s="657"/>
      <c r="R496" s="622"/>
      <c r="S496" s="590" t="s">
        <v>536</v>
      </c>
      <c r="T496" s="622"/>
      <c r="U496" s="590" t="s">
        <v>588</v>
      </c>
      <c r="V496" s="657"/>
      <c r="W496" s="622"/>
      <c r="X496" s="533" t="s">
        <v>639</v>
      </c>
      <c r="Y496" s="590" t="s">
        <v>699</v>
      </c>
      <c r="Z496" s="622"/>
      <c r="AB496" s="52"/>
      <c r="AC496" s="52"/>
      <c r="AF496" s="534"/>
    </row>
    <row r="497" spans="1:32" ht="14.25" customHeight="1" thickTop="1" x14ac:dyDescent="0.2">
      <c r="A497" s="851" t="s">
        <v>748</v>
      </c>
      <c r="B497" s="590" t="s">
        <v>63</v>
      </c>
      <c r="C497" s="590" t="s">
        <v>100</v>
      </c>
      <c r="D497" s="590" t="s">
        <v>117</v>
      </c>
      <c r="E497" s="590" t="s">
        <v>171</v>
      </c>
      <c r="F497" s="590" t="s">
        <v>190</v>
      </c>
      <c r="G497" s="590" t="s">
        <v>220</v>
      </c>
      <c r="H497" s="590" t="s">
        <v>99</v>
      </c>
      <c r="I497" s="590" t="s">
        <v>256</v>
      </c>
      <c r="J497" s="590" t="s">
        <v>297</v>
      </c>
      <c r="K497" s="590" t="s">
        <v>357</v>
      </c>
      <c r="L497" s="590" t="s">
        <v>399</v>
      </c>
      <c r="M497" s="590" t="s">
        <v>415</v>
      </c>
      <c r="N497" s="534"/>
      <c r="O497" s="590" t="s">
        <v>426</v>
      </c>
      <c r="P497" s="590" t="s">
        <v>435</v>
      </c>
      <c r="Q497" s="590" t="s">
        <v>445</v>
      </c>
      <c r="R497" s="590" t="s">
        <v>526</v>
      </c>
      <c r="S497" s="590" t="s">
        <v>537</v>
      </c>
      <c r="T497" s="590" t="s">
        <v>572</v>
      </c>
      <c r="U497" s="590" t="s">
        <v>589</v>
      </c>
      <c r="V497" s="590" t="s">
        <v>620</v>
      </c>
      <c r="W497" s="590" t="s">
        <v>635</v>
      </c>
      <c r="X497" s="590" t="s">
        <v>639</v>
      </c>
      <c r="Y497" s="590" t="s">
        <v>699</v>
      </c>
      <c r="Z497" s="590" t="s">
        <v>735</v>
      </c>
      <c r="AB497" s="52"/>
      <c r="AC497" s="52"/>
      <c r="AF497" s="534"/>
    </row>
    <row r="498" spans="1:32" ht="13.5" customHeight="1" thickBot="1" x14ac:dyDescent="0.25">
      <c r="A498" s="852"/>
      <c r="B498" s="591"/>
      <c r="C498" s="591"/>
      <c r="D498" s="591"/>
      <c r="E498" s="591"/>
      <c r="F498" s="591"/>
      <c r="G498" s="591"/>
      <c r="H498" s="591"/>
      <c r="I498" s="591"/>
      <c r="J498" s="591"/>
      <c r="K498" s="591"/>
      <c r="L498" s="591"/>
      <c r="M498" s="591"/>
      <c r="N498" s="534"/>
      <c r="O498" s="591"/>
      <c r="P498" s="591"/>
      <c r="Q498" s="591"/>
      <c r="R498" s="591"/>
      <c r="S498" s="591"/>
      <c r="T498" s="591"/>
      <c r="U498" s="591"/>
      <c r="V498" s="591"/>
      <c r="W498" s="591"/>
      <c r="X498" s="591"/>
      <c r="Y498" s="591"/>
      <c r="Z498" s="591"/>
      <c r="AB498" s="52"/>
      <c r="AC498" s="52"/>
      <c r="AF498" s="534"/>
    </row>
    <row r="499" spans="1:32" ht="18" customHeight="1" thickTop="1" thickBot="1" x14ac:dyDescent="0.25">
      <c r="A499" s="40" t="s">
        <v>749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366.8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1570.5</v>
      </c>
      <c r="E499" s="46">
        <f>IFERROR(Y85*1,"0")+IFERROR(Y86*1,"0")+IFERROR(Y87*1,"0")+IFERROR(Y91*1,"0")+IFERROR(Y92*1,"0")+IFERROR(Y93*1,"0")+IFERROR(Y94*1,"0")</f>
        <v>748.2600000000001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406.65</v>
      </c>
      <c r="G499" s="46">
        <f>IFERROR(Y124*1,"0")+IFERROR(Y125*1,"0")+IFERROR(Y129*1,"0")+IFERROR(Y130*1,"0")+IFERROR(Y134*1,"0")+IFERROR(Y135*1,"0")</f>
        <v>174.08</v>
      </c>
      <c r="H499" s="46">
        <f>IFERROR(Y140*1,"0")+IFERROR(Y141*1,"0")+IFERROR(Y142*1,"0")+IFERROR(Y146*1,"0")+IFERROR(Y147*1,"0")+IFERROR(Y148*1,"0")+IFERROR(Y152*1,"0")</f>
        <v>80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239.4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1056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18.810000000000002</v>
      </c>
      <c r="L499" s="46">
        <f>IFERROR(Y254*1,"0")+IFERROR(Y255*1,"0")+IFERROR(Y256*1,"0")+IFERROR(Y257*1,"0")+IFERROR(Y258*1,"0")</f>
        <v>615.6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67.2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3888.7999999999997</v>
      </c>
      <c r="R499" s="46">
        <f>IFERROR(Y335*1,"0")+IFERROR(Y336*1,"0")+IFERROR(Y337*1,"0")</f>
        <v>359.1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2366</v>
      </c>
      <c r="T499" s="46">
        <f>IFERROR(Y368*1,"0")+IFERROR(Y369*1,"0")+IFERROR(Y373*1,"0")+IFERROR(Y374*1,"0")+IFERROR(Y378*1,"0")+IFERROR(Y379*1,"0")</f>
        <v>105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6.3000000000000007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134.88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87.6</v>
      </c>
      <c r="Z499" s="46">
        <f>IFERROR(Y486*1,"0")</f>
        <v>0</v>
      </c>
      <c r="AB499" s="52"/>
      <c r="AC499" s="52"/>
      <c r="AF499" s="534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608,00"/>
        <filter val="1 698,00"/>
        <filter val="1 797,00"/>
        <filter val="10,00"/>
        <filter val="10,55"/>
        <filter val="100,00"/>
        <filter val="102,00"/>
        <filter val="104,00"/>
        <filter val="109,00"/>
        <filter val="113,00"/>
        <filter val="114,53"/>
        <filter val="115,00"/>
        <filter val="116,00"/>
        <filter val="12 108,00"/>
        <filter val="12 810,70"/>
        <filter val="12,92"/>
        <filter val="120,00"/>
        <filter val="128,00"/>
        <filter val="129,00"/>
        <filter val="13 360,70"/>
        <filter val="130,16"/>
        <filter val="133,00"/>
        <filter val="134,00"/>
        <filter val="135,00"/>
        <filter val="139,00"/>
        <filter val="140,00"/>
        <filter val="143,15"/>
        <filter val="16,00"/>
        <filter val="16,11"/>
        <filter val="16,25"/>
        <filter val="16,67"/>
        <filter val="161,00"/>
        <filter val="165,00"/>
        <filter val="17,00"/>
        <filter val="170,48"/>
        <filter val="171,00"/>
        <filter val="172,00"/>
        <filter val="180,00"/>
        <filter val="183,00"/>
        <filter val="19,05"/>
        <filter val="198,00"/>
        <filter val="2 430,84"/>
        <filter val="2,00"/>
        <filter val="2,38"/>
        <filter val="20,00"/>
        <filter val="200,00"/>
        <filter val="204,00"/>
        <filter val="21,00"/>
        <filter val="21,21"/>
        <filter val="21,79"/>
        <filter val="217,00"/>
        <filter val="22"/>
        <filter val="220,00"/>
        <filter val="23,00"/>
        <filter val="24,00"/>
        <filter val="242,08"/>
        <filter val="249,00"/>
        <filter val="25,00"/>
        <filter val="250,00"/>
        <filter val="250,69"/>
        <filter val="26,67"/>
        <filter val="263,00"/>
        <filter val="276,59"/>
        <filter val="29,00"/>
        <filter val="29,89"/>
        <filter val="3,00"/>
        <filter val="3,14"/>
        <filter val="3,17"/>
        <filter val="3,33"/>
        <filter val="3,89"/>
        <filter val="30,00"/>
        <filter val="31,00"/>
        <filter val="32,00"/>
        <filter val="33,93"/>
        <filter val="330,00"/>
        <filter val="35,00"/>
        <filter val="358,00"/>
        <filter val="359,00"/>
        <filter val="380,00"/>
        <filter val="4,00"/>
        <filter val="4,05"/>
        <filter val="40,00"/>
        <filter val="400,00"/>
        <filter val="407,00"/>
        <filter val="41,85"/>
        <filter val="429,00"/>
        <filter val="44,00"/>
        <filter val="481,00"/>
        <filter val="5,00"/>
        <filter val="50,00"/>
        <filter val="50,67"/>
        <filter val="500,00"/>
        <filter val="52,00"/>
        <filter val="53,00"/>
        <filter val="54,00"/>
        <filter val="545,00"/>
        <filter val="55,12"/>
        <filter val="55,56"/>
        <filter val="56,00"/>
        <filter val="575,00"/>
        <filter val="58,00"/>
        <filter val="581,00"/>
        <filter val="59,00"/>
        <filter val="60,00"/>
        <filter val="600,00"/>
        <filter val="61,00"/>
        <filter val="61,36"/>
        <filter val="64,00"/>
        <filter val="64,31"/>
        <filter val="65,00"/>
        <filter val="68,00"/>
        <filter val="7,00"/>
        <filter val="70,00"/>
        <filter val="700,00"/>
        <filter val="710,00"/>
        <filter val="716,00"/>
        <filter val="77,00"/>
        <filter val="78,70"/>
        <filter val="8,00"/>
        <filter val="8,33"/>
        <filter val="80,00"/>
        <filter val="850,00"/>
        <filter val="87,00"/>
        <filter val="88,00"/>
        <filter val="9,00"/>
        <filter val="9,29"/>
        <filter val="97,14"/>
        <filter val="980,00"/>
        <filter val="99,00"/>
      </filters>
    </filterColumn>
    <filterColumn colId="29" showButton="0"/>
    <filterColumn colId="30" showButton="0"/>
  </autoFilter>
  <mergeCells count="874"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P202:T202"/>
    <mergeCell ref="P307:T307"/>
    <mergeCell ref="D421:E421"/>
    <mergeCell ref="P373:T373"/>
    <mergeCell ref="P444:T444"/>
    <mergeCell ref="D408:E408"/>
    <mergeCell ref="P216:V216"/>
    <mergeCell ref="A489:O494"/>
    <mergeCell ref="A484:Z484"/>
    <mergeCell ref="A487:O488"/>
    <mergeCell ref="A33:Z33"/>
    <mergeCell ref="T497:T498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60:T60"/>
    <mergeCell ref="D291:E291"/>
    <mergeCell ref="P174:T174"/>
    <mergeCell ref="D266:E266"/>
    <mergeCell ref="U17:V17"/>
    <mergeCell ref="Y17:Y18"/>
    <mergeCell ref="P385:T385"/>
    <mergeCell ref="P410:T410"/>
    <mergeCell ref="A440:Z440"/>
    <mergeCell ref="V497:V498"/>
    <mergeCell ref="A126:O127"/>
    <mergeCell ref="P23:V23"/>
    <mergeCell ref="P381:V381"/>
    <mergeCell ref="A262:Z262"/>
    <mergeCell ref="A333:Z333"/>
    <mergeCell ref="D54:E54"/>
    <mergeCell ref="P160:V160"/>
    <mergeCell ref="D271:E271"/>
    <mergeCell ref="D191:E191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A497:A498"/>
    <mergeCell ref="D170:E170"/>
    <mergeCell ref="A31:O32"/>
    <mergeCell ref="G497:G498"/>
    <mergeCell ref="Q497:Q498"/>
    <mergeCell ref="P72:T72"/>
    <mergeCell ref="Q5:R5"/>
    <mergeCell ref="F17:F18"/>
    <mergeCell ref="P132:V132"/>
    <mergeCell ref="P199:T199"/>
    <mergeCell ref="P297:T297"/>
    <mergeCell ref="P435:T435"/>
    <mergeCell ref="D107:E107"/>
    <mergeCell ref="D163:E163"/>
    <mergeCell ref="D278:E278"/>
    <mergeCell ref="P291:T291"/>
    <mergeCell ref="P288:T288"/>
    <mergeCell ref="P263:T263"/>
    <mergeCell ref="P305:V305"/>
    <mergeCell ref="P228:T228"/>
    <mergeCell ref="P293:T293"/>
    <mergeCell ref="A149:O150"/>
    <mergeCell ref="D336:E336"/>
    <mergeCell ref="D407:E407"/>
    <mergeCell ref="P317:T317"/>
    <mergeCell ref="A9:C9"/>
    <mergeCell ref="P125:T125"/>
    <mergeCell ref="P321:T321"/>
    <mergeCell ref="D196:E196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D152:E152"/>
    <mergeCell ref="A136:O137"/>
    <mergeCell ref="A192:O193"/>
    <mergeCell ref="D279:E279"/>
    <mergeCell ref="N17:N18"/>
    <mergeCell ref="W497:W498"/>
    <mergeCell ref="D10:E10"/>
    <mergeCell ref="A23:O24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430:E430"/>
    <mergeCell ref="P469:V469"/>
    <mergeCell ref="P486:T486"/>
    <mergeCell ref="D323:E323"/>
    <mergeCell ref="D450:E450"/>
    <mergeCell ref="D29:E29"/>
    <mergeCell ref="D265:E265"/>
    <mergeCell ref="P344:T344"/>
    <mergeCell ref="A20:Z20"/>
    <mergeCell ref="P371:V371"/>
    <mergeCell ref="D452:E452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A103:O104"/>
    <mergeCell ref="P415:T415"/>
    <mergeCell ref="S496:T496"/>
    <mergeCell ref="M17:M18"/>
    <mergeCell ref="O17:O18"/>
    <mergeCell ref="P336:T336"/>
    <mergeCell ref="P131:V131"/>
    <mergeCell ref="P187:V187"/>
    <mergeCell ref="A453:O454"/>
    <mergeCell ref="P430:T430"/>
    <mergeCell ref="P494:V494"/>
    <mergeCell ref="P350:V350"/>
    <mergeCell ref="P102:T102"/>
    <mergeCell ref="P196:T196"/>
    <mergeCell ref="P281:V281"/>
    <mergeCell ref="D226:E226"/>
    <mergeCell ref="P354:T354"/>
    <mergeCell ref="D164:E164"/>
    <mergeCell ref="P62:T62"/>
    <mergeCell ref="U497:U498"/>
    <mergeCell ref="I496:R496"/>
    <mergeCell ref="P493:V493"/>
    <mergeCell ref="A447:O448"/>
    <mergeCell ref="L497:L498"/>
    <mergeCell ref="A318:O319"/>
    <mergeCell ref="P47:V47"/>
    <mergeCell ref="P176:T176"/>
    <mergeCell ref="P114:T114"/>
    <mergeCell ref="P247:T247"/>
    <mergeCell ref="P241:T241"/>
    <mergeCell ref="P41:T41"/>
    <mergeCell ref="D22:E22"/>
    <mergeCell ref="A35:O36"/>
    <mergeCell ref="A157:Z157"/>
    <mergeCell ref="A455:Z455"/>
    <mergeCell ref="A222:Z222"/>
    <mergeCell ref="P301:T301"/>
    <mergeCell ref="D385:E385"/>
    <mergeCell ref="P34:T34"/>
    <mergeCell ref="D481:E481"/>
    <mergeCell ref="D86:E86"/>
    <mergeCell ref="P214:T214"/>
    <mergeCell ref="D257:E257"/>
    <mergeCell ref="D213:E213"/>
    <mergeCell ref="P192:V192"/>
    <mergeCell ref="A457:Z457"/>
    <mergeCell ref="P284:V284"/>
    <mergeCell ref="D373:E373"/>
    <mergeCell ref="A242:O243"/>
    <mergeCell ref="P112:T112"/>
    <mergeCell ref="A179:Z179"/>
    <mergeCell ref="C496:H496"/>
    <mergeCell ref="P348:T348"/>
    <mergeCell ref="P323:T323"/>
    <mergeCell ref="A414:Z414"/>
    <mergeCell ref="D231:E231"/>
    <mergeCell ref="D358:E358"/>
    <mergeCell ref="P483:V483"/>
    <mergeCell ref="P393:T393"/>
    <mergeCell ref="A419:Z419"/>
    <mergeCell ref="A153:O154"/>
    <mergeCell ref="A133:Z133"/>
    <mergeCell ref="D125:E125"/>
    <mergeCell ref="P446:T446"/>
    <mergeCell ref="D425:E425"/>
    <mergeCell ref="P451:T451"/>
    <mergeCell ref="A470:Z470"/>
    <mergeCell ref="D424:E424"/>
    <mergeCell ref="P324:T324"/>
    <mergeCell ref="A143:O144"/>
    <mergeCell ref="P492:V492"/>
    <mergeCell ref="P70:V70"/>
    <mergeCell ref="A156:Z156"/>
    <mergeCell ref="A327:Z327"/>
    <mergeCell ref="P116:V116"/>
    <mergeCell ref="P32:V32"/>
    <mergeCell ref="P474:V474"/>
    <mergeCell ref="P103:V103"/>
    <mergeCell ref="Q13:R13"/>
    <mergeCell ref="A155:Z155"/>
    <mergeCell ref="P268:V268"/>
    <mergeCell ref="D298:E298"/>
    <mergeCell ref="P91:T91"/>
    <mergeCell ref="P404:V404"/>
    <mergeCell ref="D273:E273"/>
    <mergeCell ref="P468:V468"/>
    <mergeCell ref="A464:Z464"/>
    <mergeCell ref="A284:O285"/>
    <mergeCell ref="D75:E75"/>
    <mergeCell ref="D206:E206"/>
    <mergeCell ref="P390:T390"/>
    <mergeCell ref="P292:T292"/>
    <mergeCell ref="A360:O361"/>
    <mergeCell ref="D102:E102"/>
    <mergeCell ref="P81:V81"/>
    <mergeCell ref="H5:M5"/>
    <mergeCell ref="P31:V31"/>
    <mergeCell ref="P473:V473"/>
    <mergeCell ref="D212:E212"/>
    <mergeCell ref="D146:E146"/>
    <mergeCell ref="P225:T225"/>
    <mergeCell ref="D317:E317"/>
    <mergeCell ref="D6:M6"/>
    <mergeCell ref="A341:Z341"/>
    <mergeCell ref="A456:Z456"/>
    <mergeCell ref="A306:Z306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93:T93"/>
    <mergeCell ref="P226:T226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D85:E85"/>
    <mergeCell ref="P164:T164"/>
    <mergeCell ref="D207:E207"/>
    <mergeCell ref="P120:V120"/>
    <mergeCell ref="D256:E256"/>
    <mergeCell ref="A294:O295"/>
    <mergeCell ref="P335:T335"/>
    <mergeCell ref="D299:E299"/>
    <mergeCell ref="P405:V405"/>
    <mergeCell ref="A401:Z401"/>
    <mergeCell ref="G17:G18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P57:V57"/>
    <mergeCell ref="A81:O82"/>
    <mergeCell ref="P171:V171"/>
    <mergeCell ref="P242:V242"/>
    <mergeCell ref="D80:E80"/>
    <mergeCell ref="P121:V121"/>
    <mergeCell ref="A296:Z296"/>
    <mergeCell ref="D288:E288"/>
    <mergeCell ref="P130:T130"/>
    <mergeCell ref="P190:T190"/>
    <mergeCell ref="P46:T46"/>
    <mergeCell ref="D225:E225"/>
    <mergeCell ref="AC17:AC18"/>
    <mergeCell ref="A377:Z377"/>
    <mergeCell ref="A122:Z122"/>
    <mergeCell ref="P108:T108"/>
    <mergeCell ref="P279:T279"/>
    <mergeCell ref="D393:E393"/>
    <mergeCell ref="A420:Z420"/>
    <mergeCell ref="P472:T472"/>
    <mergeCell ref="P254:T254"/>
    <mergeCell ref="P343:T343"/>
    <mergeCell ref="A462:O463"/>
    <mergeCell ref="D459:E459"/>
    <mergeCell ref="P409:T409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39:V339"/>
    <mergeCell ref="P201:T201"/>
    <mergeCell ref="H10:M10"/>
    <mergeCell ref="AA17:AA18"/>
    <mergeCell ref="P212:T212"/>
    <mergeCell ref="P482:V482"/>
    <mergeCell ref="D389:E389"/>
    <mergeCell ref="P107:T107"/>
    <mergeCell ref="P278:T278"/>
    <mergeCell ref="D321:E321"/>
    <mergeCell ref="P63:V63"/>
    <mergeCell ref="P101:T101"/>
    <mergeCell ref="D386:E386"/>
    <mergeCell ref="P465:T465"/>
    <mergeCell ref="P250:V250"/>
    <mergeCell ref="A364:O365"/>
    <mergeCell ref="P200:T200"/>
    <mergeCell ref="P134:T134"/>
    <mergeCell ref="P436:T436"/>
    <mergeCell ref="P459:T459"/>
    <mergeCell ref="D465:E465"/>
    <mergeCell ref="P104:V104"/>
    <mergeCell ref="A252:Z252"/>
    <mergeCell ref="P275:V275"/>
    <mergeCell ref="D427:E427"/>
    <mergeCell ref="P27:T27"/>
    <mergeCell ref="P85:T85"/>
    <mergeCell ref="P454:V454"/>
    <mergeCell ref="D56:E56"/>
    <mergeCell ref="P206:T206"/>
    <mergeCell ref="P233:T233"/>
    <mergeCell ref="D176:E176"/>
    <mergeCell ref="D347:E347"/>
    <mergeCell ref="D114:E114"/>
    <mergeCell ref="C497:C498"/>
    <mergeCell ref="E497:E498"/>
    <mergeCell ref="P220:V220"/>
    <mergeCell ref="P248:T248"/>
    <mergeCell ref="P441:T441"/>
    <mergeCell ref="D349:E349"/>
    <mergeCell ref="D476:E476"/>
    <mergeCell ref="P207:T207"/>
    <mergeCell ref="A131:O132"/>
    <mergeCell ref="A372:Z372"/>
    <mergeCell ref="P172:V172"/>
    <mergeCell ref="P299:T299"/>
    <mergeCell ref="P150:V150"/>
    <mergeCell ref="P221:V221"/>
    <mergeCell ref="P326:V326"/>
    <mergeCell ref="P215:V215"/>
    <mergeCell ref="J9:M9"/>
    <mergeCell ref="D112:E112"/>
    <mergeCell ref="D283:E283"/>
    <mergeCell ref="A418:Z418"/>
    <mergeCell ref="D348:E348"/>
    <mergeCell ref="D62:E62"/>
    <mergeCell ref="P141:T141"/>
    <mergeCell ref="D51:E51"/>
    <mergeCell ref="A38:Z38"/>
    <mergeCell ref="D374:E374"/>
    <mergeCell ref="P232:T232"/>
    <mergeCell ref="P330:T330"/>
    <mergeCell ref="D140:E140"/>
    <mergeCell ref="A340:Z340"/>
    <mergeCell ref="D359:E359"/>
    <mergeCell ref="H17:H18"/>
    <mergeCell ref="A220:O221"/>
    <mergeCell ref="P388:T388"/>
    <mergeCell ref="P126:V126"/>
    <mergeCell ref="P224:T224"/>
    <mergeCell ref="P322:T322"/>
    <mergeCell ref="P211:T211"/>
    <mergeCell ref="P309:T309"/>
    <mergeCell ref="P51:T51"/>
    <mergeCell ref="A367:Z367"/>
    <mergeCell ref="A183:Z183"/>
    <mergeCell ref="A88:O89"/>
    <mergeCell ref="D346:E346"/>
    <mergeCell ref="P229:T229"/>
    <mergeCell ref="D328:E328"/>
    <mergeCell ref="P136:V136"/>
    <mergeCell ref="A253:Z253"/>
    <mergeCell ref="A286:Z286"/>
    <mergeCell ref="P193:V193"/>
    <mergeCell ref="D202:E202"/>
    <mergeCell ref="A269:Z269"/>
    <mergeCell ref="T5:U5"/>
    <mergeCell ref="D119:E119"/>
    <mergeCell ref="V5:W5"/>
    <mergeCell ref="D190:E190"/>
    <mergeCell ref="D46:E46"/>
    <mergeCell ref="D246:E246"/>
    <mergeCell ref="P294:V294"/>
    <mergeCell ref="D40:E40"/>
    <mergeCell ref="P374:T374"/>
    <mergeCell ref="D233:E233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D445:E445"/>
    <mergeCell ref="D224:E224"/>
    <mergeCell ref="P230:T230"/>
    <mergeCell ref="P168:T168"/>
    <mergeCell ref="D211:E211"/>
    <mergeCell ref="D214:E214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201:E201"/>
    <mergeCell ref="D335:E335"/>
    <mergeCell ref="A375:O376"/>
    <mergeCell ref="P245:T245"/>
    <mergeCell ref="P26:T26"/>
    <mergeCell ref="A13:M13"/>
    <mergeCell ref="A15:M15"/>
    <mergeCell ref="D198:E198"/>
    <mergeCell ref="V12:W12"/>
    <mergeCell ref="P219:T219"/>
    <mergeCell ref="D162:E162"/>
    <mergeCell ref="A69:O70"/>
    <mergeCell ref="P272:T272"/>
    <mergeCell ref="P210:T210"/>
    <mergeCell ref="D398:E398"/>
    <mergeCell ref="P439:V439"/>
    <mergeCell ref="A267:O268"/>
    <mergeCell ref="P308:T308"/>
    <mergeCell ref="P433:V433"/>
    <mergeCell ref="A438:O439"/>
    <mergeCell ref="D106:E106"/>
    <mergeCell ref="P185:T185"/>
    <mergeCell ref="P427:T427"/>
    <mergeCell ref="P283:T283"/>
    <mergeCell ref="P110:V110"/>
    <mergeCell ref="A338:O339"/>
    <mergeCell ref="P208:T208"/>
    <mergeCell ref="A261:Z261"/>
    <mergeCell ref="P338:V338"/>
    <mergeCell ref="P313:V313"/>
    <mergeCell ref="A138:Z138"/>
    <mergeCell ref="P115:T115"/>
    <mergeCell ref="D254:E254"/>
    <mergeCell ref="P289:T289"/>
    <mergeCell ref="P422:T422"/>
    <mergeCell ref="D232:E232"/>
    <mergeCell ref="D403:E403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304:V304"/>
    <mergeCell ref="P181:V181"/>
    <mergeCell ref="A98:Z98"/>
    <mergeCell ref="A396:Z396"/>
    <mergeCell ref="D460:E460"/>
    <mergeCell ref="D93:E93"/>
    <mergeCell ref="P450:T450"/>
    <mergeCell ref="A325:O326"/>
    <mergeCell ref="P491:V491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O497:O498"/>
    <mergeCell ref="A6:C6"/>
    <mergeCell ref="D309:E309"/>
    <mergeCell ref="D113:E113"/>
    <mergeCell ref="U496:W496"/>
    <mergeCell ref="P180:T180"/>
    <mergeCell ref="P167:T167"/>
    <mergeCell ref="P142:T142"/>
    <mergeCell ref="D26:E26"/>
    <mergeCell ref="D148:E148"/>
    <mergeCell ref="A161:Z161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A203:O204"/>
    <mergeCell ref="P169:T169"/>
    <mergeCell ref="A274:O275"/>
    <mergeCell ref="R497:R498"/>
    <mergeCell ref="P497:P498"/>
    <mergeCell ref="D108:E108"/>
    <mergeCell ref="P258:T258"/>
    <mergeCell ref="P429:T429"/>
    <mergeCell ref="D369:E369"/>
    <mergeCell ref="A304:O305"/>
    <mergeCell ref="P52:T52"/>
    <mergeCell ref="P423:T423"/>
    <mergeCell ref="P481:T481"/>
    <mergeCell ref="D141:E141"/>
    <mergeCell ref="D135:E135"/>
    <mergeCell ref="P203:V203"/>
    <mergeCell ref="D72:E72"/>
    <mergeCell ref="P295:V295"/>
    <mergeCell ref="P178:V178"/>
    <mergeCell ref="A177:O178"/>
    <mergeCell ref="P267:V267"/>
    <mergeCell ref="P463:V463"/>
    <mergeCell ref="D451:E451"/>
    <mergeCell ref="D255:E255"/>
    <mergeCell ref="P478:V478"/>
    <mergeCell ref="A97:Z97"/>
    <mergeCell ref="D322:E322"/>
    <mergeCell ref="P280:V280"/>
    <mergeCell ref="P274:V274"/>
    <mergeCell ref="A366:Z366"/>
    <mergeCell ref="P490:V490"/>
    <mergeCell ref="A382:Z382"/>
    <mergeCell ref="A116:O117"/>
    <mergeCell ref="P428:T428"/>
    <mergeCell ref="D100:E100"/>
    <mergeCell ref="P113:T113"/>
    <mergeCell ref="A173:Z173"/>
    <mergeCell ref="P129:T129"/>
    <mergeCell ref="A482:O483"/>
    <mergeCell ref="A416:O417"/>
    <mergeCell ref="D158:E158"/>
    <mergeCell ref="D329:E329"/>
    <mergeCell ref="D229:E229"/>
    <mergeCell ref="A402:Z402"/>
    <mergeCell ref="D388:E388"/>
    <mergeCell ref="P442:T442"/>
    <mergeCell ref="P467:T467"/>
    <mergeCell ref="P489:V489"/>
    <mergeCell ref="P119:T119"/>
    <mergeCell ref="P246:T246"/>
    <mergeCell ref="D167:E167"/>
    <mergeCell ref="D147:E147"/>
    <mergeCell ref="P188:V188"/>
    <mergeCell ref="A187:O188"/>
    <mergeCell ref="D209:E209"/>
    <mergeCell ref="D1:F1"/>
    <mergeCell ref="P466:T466"/>
    <mergeCell ref="A71:Z71"/>
    <mergeCell ref="P488:V488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P127:V127"/>
    <mergeCell ref="A123:Z123"/>
    <mergeCell ref="D390:E390"/>
    <mergeCell ref="P197:T197"/>
    <mergeCell ref="F9:G9"/>
    <mergeCell ref="H1:Q1"/>
    <mergeCell ref="D5:E5"/>
    <mergeCell ref="D303:E303"/>
    <mergeCell ref="A238:O239"/>
    <mergeCell ref="D315:E315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P273:T273"/>
    <mergeCell ref="D316:E316"/>
    <mergeCell ref="D387:E387"/>
    <mergeCell ref="D272:E272"/>
    <mergeCell ref="D443:E443"/>
    <mergeCell ref="D210:E210"/>
    <mergeCell ref="Y496:Z496"/>
    <mergeCell ref="A250:O251"/>
    <mergeCell ref="D308:E308"/>
    <mergeCell ref="D87:E87"/>
    <mergeCell ref="P166:T166"/>
    <mergeCell ref="A47:O48"/>
    <mergeCell ref="D7:M7"/>
    <mergeCell ref="D129:E129"/>
    <mergeCell ref="D79:E79"/>
    <mergeCell ref="P92:T92"/>
    <mergeCell ref="D8:M8"/>
    <mergeCell ref="D28:E28"/>
    <mergeCell ref="D92:E92"/>
    <mergeCell ref="D55:E55"/>
    <mergeCell ref="D30:E30"/>
    <mergeCell ref="A95:O96"/>
    <mergeCell ref="D67:E67"/>
    <mergeCell ref="P109:V109"/>
    <mergeCell ref="P17:T18"/>
    <mergeCell ref="I17:I18"/>
    <mergeCell ref="P36:V36"/>
    <mergeCell ref="A43:O44"/>
    <mergeCell ref="P53:T53"/>
    <mergeCell ref="D91:E91"/>
    <mergeCell ref="D52:E52"/>
    <mergeCell ref="D27:E27"/>
    <mergeCell ref="P15:T16"/>
    <mergeCell ref="P58:V58"/>
    <mergeCell ref="D61:E61"/>
    <mergeCell ref="D442:E442"/>
    <mergeCell ref="D302:E302"/>
    <mergeCell ref="D429:E429"/>
    <mergeCell ref="A159:O160"/>
    <mergeCell ref="P29:T29"/>
    <mergeCell ref="P100:T100"/>
    <mergeCell ref="P271:T271"/>
    <mergeCell ref="P94:T94"/>
    <mergeCell ref="P265:T265"/>
    <mergeCell ref="D208:E208"/>
    <mergeCell ref="D379:E379"/>
    <mergeCell ref="D300:E300"/>
    <mergeCell ref="P237:T237"/>
    <mergeCell ref="P158:T158"/>
    <mergeCell ref="P329:T329"/>
    <mergeCell ref="P251:V251"/>
    <mergeCell ref="P416:V416"/>
    <mergeCell ref="P79:T79"/>
    <mergeCell ref="D60:E60"/>
    <mergeCell ref="P73:T73"/>
    <mergeCell ref="P315:T315"/>
    <mergeCell ref="P437:T437"/>
    <mergeCell ref="P231:T231"/>
    <mergeCell ref="P42:T42"/>
    <mergeCell ref="H497:H498"/>
    <mergeCell ref="J497:J498"/>
    <mergeCell ref="P395:V395"/>
    <mergeCell ref="P209:T209"/>
    <mergeCell ref="P147:T147"/>
    <mergeCell ref="P445:T445"/>
    <mergeCell ref="W17:W18"/>
    <mergeCell ref="A50:Z50"/>
    <mergeCell ref="P96:V96"/>
    <mergeCell ref="A434:Z434"/>
    <mergeCell ref="P332:V332"/>
    <mergeCell ref="A331:O332"/>
    <mergeCell ref="A384:Z384"/>
    <mergeCell ref="A151:Z151"/>
    <mergeCell ref="A449:Z449"/>
    <mergeCell ref="P154:V154"/>
    <mergeCell ref="P325:V325"/>
    <mergeCell ref="D142:E142"/>
    <mergeCell ref="A120:O121"/>
    <mergeCell ref="D378:E378"/>
    <mergeCell ref="P458:T458"/>
    <mergeCell ref="P487:V487"/>
    <mergeCell ref="P266:T266"/>
    <mergeCell ref="P182:V182"/>
    <mergeCell ref="P477:V477"/>
    <mergeCell ref="D124:E124"/>
    <mergeCell ref="P56:T56"/>
    <mergeCell ref="V10:W10"/>
    <mergeCell ref="D195:E195"/>
    <mergeCell ref="P379:T379"/>
    <mergeCell ref="D431:E431"/>
    <mergeCell ref="P99:T99"/>
    <mergeCell ref="P170:T170"/>
    <mergeCell ref="D66:E66"/>
    <mergeCell ref="P316:T316"/>
    <mergeCell ref="P443:T443"/>
    <mergeCell ref="D197:E197"/>
    <mergeCell ref="D53:E53"/>
    <mergeCell ref="A84:Z84"/>
    <mergeCell ref="P159:V159"/>
    <mergeCell ref="D289:E289"/>
    <mergeCell ref="A473:O474"/>
    <mergeCell ref="P476:T476"/>
    <mergeCell ref="P407:T407"/>
    <mergeCell ref="P471:T471"/>
    <mergeCell ref="D245:E245"/>
    <mergeCell ref="A282:Z282"/>
    <mergeCell ref="D301:E301"/>
    <mergeCell ref="D486:E486"/>
    <mergeCell ref="P86:T86"/>
    <mergeCell ref="P328:T328"/>
    <mergeCell ref="D134:E134"/>
    <mergeCell ref="P213:T213"/>
    <mergeCell ref="P249:T249"/>
    <mergeCell ref="D363:E363"/>
    <mergeCell ref="R1:T1"/>
    <mergeCell ref="P28:T28"/>
    <mergeCell ref="P392:T392"/>
    <mergeCell ref="D307:E307"/>
    <mergeCell ref="P386:T386"/>
    <mergeCell ref="P165:T165"/>
    <mergeCell ref="P400:V400"/>
    <mergeCell ref="P30:T30"/>
    <mergeCell ref="D73:E73"/>
    <mergeCell ref="P77:V77"/>
    <mergeCell ref="A76:O77"/>
    <mergeCell ref="P152:T152"/>
    <mergeCell ref="P375:V375"/>
    <mergeCell ref="P290:T290"/>
    <mergeCell ref="P452:T452"/>
    <mergeCell ref="P448:V448"/>
    <mergeCell ref="A63:O64"/>
    <mergeCell ref="D472:E472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P88:V88"/>
    <mergeCell ref="P259:V259"/>
    <mergeCell ref="A78:Z78"/>
    <mergeCell ref="P153:V153"/>
    <mergeCell ref="A205:Z205"/>
    <mergeCell ref="A350:O351"/>
    <mergeCell ref="D263:E263"/>
    <mergeCell ref="A65:Z65"/>
    <mergeCell ref="P391:T391"/>
    <mergeCell ref="D426:E426"/>
    <mergeCell ref="A234:O235"/>
    <mergeCell ref="B17:B18"/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P143:V143"/>
    <mergeCell ref="A171:O172"/>
    <mergeCell ref="P235:V235"/>
    <mergeCell ref="D258:E258"/>
    <mergeCell ref="P337:T337"/>
    <mergeCell ref="A105:Z105"/>
    <mergeCell ref="D264:E264"/>
    <mergeCell ref="D391:E391"/>
    <mergeCell ref="P370:V370"/>
    <mergeCell ref="A394:O395"/>
    <mergeCell ref="A380:O381"/>
    <mergeCell ref="D290:E290"/>
    <mergeCell ref="D94:E94"/>
    <mergeCell ref="P148:T148"/>
    <mergeCell ref="A109:O110"/>
    <mergeCell ref="D353:E35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3 X75 X79:X80 X85 X87 X91 X94 X99:X101 X112:X115 X119 X124:X125 X129:X130 X135 X141 X146 X148 X162 X164:X166 X168 X186 X195:X200 X202 X208:X214 X218 X227 X232 X254 X256 X258 X273 X283 X289:X293 X297:X298 X300:X301 X303 X307 X310 X315:X317 X324 X335:X337 X343:X345 X349 X353 X358:X359 X368:X369 X373 X378:X379 X385 X387 X397:X398 X407 X421:X423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2025-11-11T10:44:59Z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