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097CE8-5B50-4933-A18D-6CCFB419412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O466" i="1"/>
  <c r="BM466" i="1"/>
  <c r="Y466" i="1"/>
  <c r="P466" i="1"/>
  <c r="BO465" i="1"/>
  <c r="BM465" i="1"/>
  <c r="Y465" i="1"/>
  <c r="Y468" i="1" s="1"/>
  <c r="P465" i="1"/>
  <c r="X463" i="1"/>
  <c r="X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BP452" i="1" s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BP443" i="1" s="1"/>
  <c r="P443" i="1"/>
  <c r="BO442" i="1"/>
  <c r="BM442" i="1"/>
  <c r="Y442" i="1"/>
  <c r="BP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O397" i="1"/>
  <c r="BM397" i="1"/>
  <c r="Y397" i="1"/>
  <c r="BP397" i="1" s="1"/>
  <c r="P397" i="1"/>
  <c r="X395" i="1"/>
  <c r="X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BP389" i="1" s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U499" i="1" s="1"/>
  <c r="P385" i="1"/>
  <c r="X381" i="1"/>
  <c r="X380" i="1"/>
  <c r="BO379" i="1"/>
  <c r="BM379" i="1"/>
  <c r="Y379" i="1"/>
  <c r="BP379" i="1" s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Y375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O499" i="1" s="1"/>
  <c r="P271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Y172" i="1" s="1"/>
  <c r="P162" i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BP146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G499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94" i="1"/>
  <c r="BN94" i="1"/>
  <c r="Y104" i="1"/>
  <c r="Z108" i="1"/>
  <c r="BN108" i="1"/>
  <c r="Y116" i="1"/>
  <c r="Z129" i="1"/>
  <c r="BN129" i="1"/>
  <c r="Y132" i="1"/>
  <c r="Z146" i="1"/>
  <c r="BN146" i="1"/>
  <c r="Y149" i="1"/>
  <c r="Z165" i="1"/>
  <c r="BN165" i="1"/>
  <c r="Z186" i="1"/>
  <c r="BN186" i="1"/>
  <c r="Z200" i="1"/>
  <c r="BN200" i="1"/>
  <c r="Z210" i="1"/>
  <c r="BN210" i="1"/>
  <c r="Z225" i="1"/>
  <c r="BN225" i="1"/>
  <c r="Z233" i="1"/>
  <c r="BN233" i="1"/>
  <c r="Z254" i="1"/>
  <c r="BN254" i="1"/>
  <c r="Y259" i="1"/>
  <c r="Z265" i="1"/>
  <c r="BN265" i="1"/>
  <c r="Z290" i="1"/>
  <c r="BN290" i="1"/>
  <c r="Z302" i="1"/>
  <c r="BN302" i="1"/>
  <c r="Z345" i="1"/>
  <c r="Z346" i="1"/>
  <c r="Z397" i="1"/>
  <c r="BN397" i="1"/>
  <c r="Z426" i="1"/>
  <c r="BN426" i="1"/>
  <c r="Z442" i="1"/>
  <c r="BN442" i="1"/>
  <c r="Z452" i="1"/>
  <c r="BN452" i="1"/>
  <c r="Z472" i="1"/>
  <c r="BN472" i="1"/>
  <c r="Y251" i="1"/>
  <c r="BP245" i="1"/>
  <c r="BN245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BP288" i="1"/>
  <c r="BN288" i="1"/>
  <c r="Z288" i="1"/>
  <c r="BP300" i="1"/>
  <c r="BN300" i="1"/>
  <c r="Z300" i="1"/>
  <c r="BP316" i="1"/>
  <c r="BN316" i="1"/>
  <c r="Z316" i="1"/>
  <c r="S499" i="1"/>
  <c r="BP343" i="1"/>
  <c r="BN343" i="1"/>
  <c r="Z343" i="1"/>
  <c r="BP387" i="1"/>
  <c r="Z387" i="1"/>
  <c r="BP424" i="1"/>
  <c r="BN424" i="1"/>
  <c r="Z424" i="1"/>
  <c r="BP436" i="1"/>
  <c r="BN436" i="1"/>
  <c r="Z436" i="1"/>
  <c r="Y454" i="1"/>
  <c r="BP450" i="1"/>
  <c r="BN450" i="1"/>
  <c r="Z450" i="1"/>
  <c r="BP466" i="1"/>
  <c r="BN466" i="1"/>
  <c r="Z466" i="1"/>
  <c r="Z22" i="1"/>
  <c r="Z23" i="1" s="1"/>
  <c r="BN22" i="1"/>
  <c r="BP22" i="1"/>
  <c r="Z26" i="1"/>
  <c r="BN26" i="1"/>
  <c r="BP26" i="1"/>
  <c r="Z30" i="1"/>
  <c r="BN30" i="1"/>
  <c r="Z42" i="1"/>
  <c r="BN42" i="1"/>
  <c r="Z53" i="1"/>
  <c r="BN53" i="1"/>
  <c r="Z61" i="1"/>
  <c r="BN61" i="1"/>
  <c r="Y69" i="1"/>
  <c r="Z73" i="1"/>
  <c r="BN73" i="1"/>
  <c r="Z79" i="1"/>
  <c r="BN79" i="1"/>
  <c r="BP79" i="1"/>
  <c r="E499" i="1"/>
  <c r="Z92" i="1"/>
  <c r="BN92" i="1"/>
  <c r="Z99" i="1"/>
  <c r="BN99" i="1"/>
  <c r="BP99" i="1"/>
  <c r="Z106" i="1"/>
  <c r="BN106" i="1"/>
  <c r="BP106" i="1"/>
  <c r="Y109" i="1"/>
  <c r="Z112" i="1"/>
  <c r="BN112" i="1"/>
  <c r="BP112" i="1"/>
  <c r="Y117" i="1"/>
  <c r="Z125" i="1"/>
  <c r="BN125" i="1"/>
  <c r="Y131" i="1"/>
  <c r="Z135" i="1"/>
  <c r="BN135" i="1"/>
  <c r="Z142" i="1"/>
  <c r="BN142" i="1"/>
  <c r="Y150" i="1"/>
  <c r="Z148" i="1"/>
  <c r="BN148" i="1"/>
  <c r="Z163" i="1"/>
  <c r="BN163" i="1"/>
  <c r="Z167" i="1"/>
  <c r="BN167" i="1"/>
  <c r="Z175" i="1"/>
  <c r="BN175" i="1"/>
  <c r="J499" i="1"/>
  <c r="Z190" i="1"/>
  <c r="BN190" i="1"/>
  <c r="BP190" i="1"/>
  <c r="Y193" i="1"/>
  <c r="Y203" i="1"/>
  <c r="Z198" i="1"/>
  <c r="BN198" i="1"/>
  <c r="Z202" i="1"/>
  <c r="BN202" i="1"/>
  <c r="Y216" i="1"/>
  <c r="Z208" i="1"/>
  <c r="BN208" i="1"/>
  <c r="Z212" i="1"/>
  <c r="BN212" i="1"/>
  <c r="Z218" i="1"/>
  <c r="BN218" i="1"/>
  <c r="BP218" i="1"/>
  <c r="Y221" i="1"/>
  <c r="K499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P256" i="1"/>
  <c r="BN256" i="1"/>
  <c r="Z256" i="1"/>
  <c r="BP272" i="1"/>
  <c r="BN272" i="1"/>
  <c r="Z272" i="1"/>
  <c r="BP292" i="1"/>
  <c r="BN292" i="1"/>
  <c r="Z292" i="1"/>
  <c r="Y313" i="1"/>
  <c r="BP308" i="1"/>
  <c r="BN308" i="1"/>
  <c r="Z308" i="1"/>
  <c r="BP323" i="1"/>
  <c r="BN323" i="1"/>
  <c r="Z323" i="1"/>
  <c r="BP348" i="1"/>
  <c r="BN348" i="1"/>
  <c r="Z348" i="1"/>
  <c r="W499" i="1"/>
  <c r="BN415" i="1"/>
  <c r="Z415" i="1"/>
  <c r="Z416" i="1" s="1"/>
  <c r="Y433" i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250" i="1"/>
  <c r="Y268" i="1"/>
  <c r="P499" i="1"/>
  <c r="Y295" i="1"/>
  <c r="Y305" i="1"/>
  <c r="Y332" i="1"/>
  <c r="T499" i="1"/>
  <c r="Y399" i="1"/>
  <c r="Y448" i="1"/>
  <c r="F9" i="1"/>
  <c r="J9" i="1"/>
  <c r="F10" i="1"/>
  <c r="Y31" i="1"/>
  <c r="Y43" i="1"/>
  <c r="Y58" i="1"/>
  <c r="Y64" i="1"/>
  <c r="Y70" i="1"/>
  <c r="Y76" i="1"/>
  <c r="Y82" i="1"/>
  <c r="Y89" i="1"/>
  <c r="Y95" i="1"/>
  <c r="Z107" i="1"/>
  <c r="Z109" i="1" s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P166" i="1"/>
  <c r="BN166" i="1"/>
  <c r="Z166" i="1"/>
  <c r="BP170" i="1"/>
  <c r="BN170" i="1"/>
  <c r="Z170" i="1"/>
  <c r="Y177" i="1"/>
  <c r="BP174" i="1"/>
  <c r="BN174" i="1"/>
  <c r="Z174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D499" i="1"/>
  <c r="Z52" i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BN80" i="1"/>
  <c r="Z85" i="1"/>
  <c r="BN85" i="1"/>
  <c r="BP85" i="1"/>
  <c r="Z87" i="1"/>
  <c r="BN87" i="1"/>
  <c r="Y88" i="1"/>
  <c r="Z91" i="1"/>
  <c r="BN91" i="1"/>
  <c r="BP91" i="1"/>
  <c r="Z93" i="1"/>
  <c r="BN93" i="1"/>
  <c r="F499" i="1"/>
  <c r="Z100" i="1"/>
  <c r="BN100" i="1"/>
  <c r="Z102" i="1"/>
  <c r="BN102" i="1"/>
  <c r="Y103" i="1"/>
  <c r="Y126" i="1"/>
  <c r="Y160" i="1"/>
  <c r="Y171" i="1"/>
  <c r="BP162" i="1"/>
  <c r="BN162" i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Z192" i="1"/>
  <c r="Z185" i="1"/>
  <c r="BN185" i="1"/>
  <c r="BP185" i="1"/>
  <c r="Y188" i="1"/>
  <c r="Z191" i="1"/>
  <c r="BN191" i="1"/>
  <c r="BP191" i="1"/>
  <c r="Z195" i="1"/>
  <c r="Z203" i="1" s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Z219" i="1"/>
  <c r="BN219" i="1"/>
  <c r="BP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Z250" i="1" s="1"/>
  <c r="BN246" i="1"/>
  <c r="BP246" i="1"/>
  <c r="Z248" i="1"/>
  <c r="BN248" i="1"/>
  <c r="L499" i="1"/>
  <c r="Z255" i="1"/>
  <c r="Z259" i="1" s="1"/>
  <c r="BN255" i="1"/>
  <c r="BP255" i="1"/>
  <c r="Z257" i="1"/>
  <c r="BN257" i="1"/>
  <c r="Y260" i="1"/>
  <c r="M499" i="1"/>
  <c r="Z264" i="1"/>
  <c r="BN264" i="1"/>
  <c r="BP264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Q499" i="1"/>
  <c r="Z289" i="1"/>
  <c r="Z294" i="1" s="1"/>
  <c r="BN289" i="1"/>
  <c r="BP289" i="1"/>
  <c r="Z291" i="1"/>
  <c r="BN291" i="1"/>
  <c r="Z293" i="1"/>
  <c r="BN293" i="1"/>
  <c r="Y294" i="1"/>
  <c r="Z297" i="1"/>
  <c r="Z304" i="1" s="1"/>
  <c r="BN297" i="1"/>
  <c r="BP297" i="1"/>
  <c r="Z299" i="1"/>
  <c r="BN299" i="1"/>
  <c r="Z301" i="1"/>
  <c r="BN301" i="1"/>
  <c r="Z303" i="1"/>
  <c r="BN303" i="1"/>
  <c r="Y304" i="1"/>
  <c r="Z307" i="1"/>
  <c r="Z312" i="1" s="1"/>
  <c r="BN307" i="1"/>
  <c r="BP307" i="1"/>
  <c r="Z309" i="1"/>
  <c r="BN309" i="1"/>
  <c r="Z311" i="1"/>
  <c r="BN311" i="1"/>
  <c r="Y312" i="1"/>
  <c r="Z315" i="1"/>
  <c r="Z318" i="1" s="1"/>
  <c r="BN315" i="1"/>
  <c r="BP315" i="1"/>
  <c r="Z317" i="1"/>
  <c r="BN317" i="1"/>
  <c r="Y318" i="1"/>
  <c r="BP322" i="1"/>
  <c r="BN322" i="1"/>
  <c r="Z322" i="1"/>
  <c r="Y187" i="1"/>
  <c r="Y234" i="1"/>
  <c r="Y275" i="1"/>
  <c r="Y280" i="1"/>
  <c r="Y326" i="1"/>
  <c r="Y325" i="1"/>
  <c r="BP321" i="1"/>
  <c r="BN321" i="1"/>
  <c r="Z321" i="1"/>
  <c r="Z324" i="1"/>
  <c r="BN324" i="1"/>
  <c r="Z328" i="1"/>
  <c r="Z331" i="1" s="1"/>
  <c r="BN328" i="1"/>
  <c r="BP328" i="1"/>
  <c r="Z330" i="1"/>
  <c r="BN330" i="1"/>
  <c r="Y331" i="1"/>
  <c r="Z335" i="1"/>
  <c r="BN335" i="1"/>
  <c r="BP335" i="1"/>
  <c r="Z337" i="1"/>
  <c r="BN337" i="1"/>
  <c r="Y338" i="1"/>
  <c r="BN345" i="1"/>
  <c r="BN346" i="1"/>
  <c r="Y351" i="1"/>
  <c r="Z354" i="1"/>
  <c r="BN354" i="1"/>
  <c r="Y355" i="1"/>
  <c r="Z358" i="1"/>
  <c r="BN358" i="1"/>
  <c r="BP358" i="1"/>
  <c r="Y361" i="1"/>
  <c r="Y365" i="1"/>
  <c r="Z369" i="1"/>
  <c r="Z370" i="1" s="1"/>
  <c r="BN369" i="1"/>
  <c r="Y370" i="1"/>
  <c r="Z373" i="1"/>
  <c r="BN373" i="1"/>
  <c r="BP373" i="1"/>
  <c r="Y376" i="1"/>
  <c r="Z379" i="1"/>
  <c r="BN379" i="1"/>
  <c r="Y380" i="1"/>
  <c r="Z385" i="1"/>
  <c r="BN385" i="1"/>
  <c r="BP385" i="1"/>
  <c r="BN387" i="1"/>
  <c r="Z389" i="1"/>
  <c r="BN389" i="1"/>
  <c r="Z391" i="1"/>
  <c r="BN391" i="1"/>
  <c r="Z393" i="1"/>
  <c r="BN393" i="1"/>
  <c r="Y394" i="1"/>
  <c r="Y400" i="1"/>
  <c r="Y405" i="1"/>
  <c r="Z408" i="1"/>
  <c r="BN408" i="1"/>
  <c r="Z410" i="1"/>
  <c r="BN410" i="1"/>
  <c r="Y411" i="1"/>
  <c r="BP415" i="1"/>
  <c r="Y416" i="1"/>
  <c r="BP427" i="1"/>
  <c r="BN427" i="1"/>
  <c r="Z427" i="1"/>
  <c r="BP431" i="1"/>
  <c r="BN431" i="1"/>
  <c r="Z431" i="1"/>
  <c r="Y438" i="1"/>
  <c r="BP435" i="1"/>
  <c r="BN435" i="1"/>
  <c r="Z435" i="1"/>
  <c r="Y439" i="1"/>
  <c r="Z336" i="1"/>
  <c r="BN336" i="1"/>
  <c r="Y339" i="1"/>
  <c r="Z344" i="1"/>
  <c r="BN344" i="1"/>
  <c r="Z347" i="1"/>
  <c r="BN347" i="1"/>
  <c r="Z349" i="1"/>
  <c r="BN349" i="1"/>
  <c r="Y350" i="1"/>
  <c r="Z353" i="1"/>
  <c r="Z355" i="1" s="1"/>
  <c r="BN353" i="1"/>
  <c r="BP353" i="1"/>
  <c r="Z359" i="1"/>
  <c r="BN359" i="1"/>
  <c r="Z363" i="1"/>
  <c r="Z364" i="1" s="1"/>
  <c r="BN363" i="1"/>
  <c r="BP363" i="1"/>
  <c r="Y371" i="1"/>
  <c r="Z374" i="1"/>
  <c r="BN374" i="1"/>
  <c r="Z378" i="1"/>
  <c r="BN378" i="1"/>
  <c r="BP378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Y417" i="1"/>
  <c r="X499" i="1"/>
  <c r="Y432" i="1"/>
  <c r="Z422" i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47" i="1"/>
  <c r="Y453" i="1"/>
  <c r="Y463" i="1"/>
  <c r="Y469" i="1"/>
  <c r="Y473" i="1"/>
  <c r="Y483" i="1"/>
  <c r="Y488" i="1"/>
  <c r="Y499" i="1"/>
  <c r="Z441" i="1"/>
  <c r="BN441" i="1"/>
  <c r="BP441" i="1"/>
  <c r="Z443" i="1"/>
  <c r="BN443" i="1"/>
  <c r="Z445" i="1"/>
  <c r="BN445" i="1"/>
  <c r="Z451" i="1"/>
  <c r="Z453" i="1" s="1"/>
  <c r="BN451" i="1"/>
  <c r="Z459" i="1"/>
  <c r="BN459" i="1"/>
  <c r="Z461" i="1"/>
  <c r="BN461" i="1"/>
  <c r="Z465" i="1"/>
  <c r="BN465" i="1"/>
  <c r="BP465" i="1"/>
  <c r="Z467" i="1"/>
  <c r="BN467" i="1"/>
  <c r="Z471" i="1"/>
  <c r="Z473" i="1" s="1"/>
  <c r="BN471" i="1"/>
  <c r="BP471" i="1"/>
  <c r="Z481" i="1"/>
  <c r="BN481" i="1"/>
  <c r="Z486" i="1"/>
  <c r="Z487" i="1" s="1"/>
  <c r="BN486" i="1"/>
  <c r="BP486" i="1"/>
  <c r="Y487" i="1"/>
  <c r="Z187" i="1" l="1"/>
  <c r="Z43" i="1"/>
  <c r="Y491" i="1"/>
  <c r="Z31" i="1"/>
  <c r="Z482" i="1"/>
  <c r="Z468" i="1"/>
  <c r="Z462" i="1"/>
  <c r="Z432" i="1"/>
  <c r="Z380" i="1"/>
  <c r="Z350" i="1"/>
  <c r="Z267" i="1"/>
  <c r="Z220" i="1"/>
  <c r="Z103" i="1"/>
  <c r="Z81" i="1"/>
  <c r="Z57" i="1"/>
  <c r="Y490" i="1"/>
  <c r="Z136" i="1"/>
  <c r="Z116" i="1"/>
  <c r="Y493" i="1"/>
  <c r="Z447" i="1"/>
  <c r="Z411" i="1"/>
  <c r="Z394" i="1"/>
  <c r="Z325" i="1"/>
  <c r="Z274" i="1"/>
  <c r="Z95" i="1"/>
  <c r="Z88" i="1"/>
  <c r="Z69" i="1"/>
  <c r="Y489" i="1"/>
  <c r="Z177" i="1"/>
  <c r="Z171" i="1"/>
  <c r="Z438" i="1"/>
  <c r="Z375" i="1"/>
  <c r="Z360" i="1"/>
  <c r="Z338" i="1"/>
  <c r="X492" i="1"/>
  <c r="Y492" i="1" l="1"/>
  <c r="Z494" i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<sst xmlns="http://schemas.openxmlformats.org/spreadsheetml/2006/main" count="2347" uniqueCount="766">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</sst>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25" xfId="0" applyBorder="1" applyProtection="1">
      <protection hidden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802" t="s">
        <v>0</v>
      </c>
      <c r="E1" s="758"/>
      <c r="F1" s="758"/>
      <c r="G1" s="12" t="s">
        <v>1</v>
      </c>
      <c r="H1" s="802" t="s">
        <v>2</v>
      </c>
      <c r="I1" s="758"/>
      <c r="J1" s="758"/>
      <c r="K1" s="758"/>
      <c r="L1" s="758"/>
      <c r="M1" s="758"/>
      <c r="N1" s="758"/>
      <c r="O1" s="758"/>
      <c r="P1" s="758"/>
      <c r="Q1" s="758"/>
      <c r="R1" s="855" t="s">
        <v>3</v>
      </c>
      <c r="S1" s="758"/>
      <c r="T1" s="75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775" t="s">
        <v>8</v>
      </c>
      <c r="B5" s="634"/>
      <c r="C5" s="578"/>
      <c r="D5" s="660"/>
      <c r="E5" s="662"/>
      <c r="F5" s="606" t="s">
        <v>9</v>
      </c>
      <c r="G5" s="578"/>
      <c r="H5" s="660" t="s">
        <v>765</v>
      </c>
      <c r="I5" s="661"/>
      <c r="J5" s="661"/>
      <c r="K5" s="661"/>
      <c r="L5" s="661"/>
      <c r="M5" s="662"/>
      <c r="N5" s="58"/>
      <c r="P5" s="24" t="s">
        <v>10</v>
      </c>
      <c r="Q5" s="587">
        <v>45974</v>
      </c>
      <c r="R5" s="588"/>
      <c r="T5" s="734" t="s">
        <v>11</v>
      </c>
      <c r="U5" s="569"/>
      <c r="V5" s="735" t="s">
        <v>12</v>
      </c>
      <c r="W5" s="588"/>
      <c r="AB5" s="51"/>
      <c r="AC5" s="51"/>
      <c r="AD5" s="51"/>
      <c r="AE5" s="51"/>
    </row>
    <row r="6" spans="1:32" s="538" customFormat="1" ht="24" customHeight="1" x14ac:dyDescent="0.2">
      <c r="A6" s="775" t="s">
        <v>13</v>
      </c>
      <c r="B6" s="634"/>
      <c r="C6" s="578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88"/>
      <c r="N6" s="59"/>
      <c r="P6" s="24" t="s">
        <v>15</v>
      </c>
      <c r="Q6" s="628" t="str">
        <f>IF(Q5=0," ",CHOOSE(WEEKDAY(Q5,2),"Понедельник","Вторник","Среда","Четверг","Пятница","Суббота","Воскресенье"))</f>
        <v>Четверг</v>
      </c>
      <c r="R6" s="546"/>
      <c r="T6" s="741" t="s">
        <v>16</v>
      </c>
      <c r="U6" s="569"/>
      <c r="V6" s="682" t="s">
        <v>17</v>
      </c>
      <c r="W6" s="683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811" t="str">
        <f>IFERROR(VLOOKUP(DeliveryAddress,Table,3,0),1)</f>
        <v>1</v>
      </c>
      <c r="E7" s="812"/>
      <c r="F7" s="812"/>
      <c r="G7" s="812"/>
      <c r="H7" s="812"/>
      <c r="I7" s="812"/>
      <c r="J7" s="812"/>
      <c r="K7" s="812"/>
      <c r="L7" s="812"/>
      <c r="M7" s="738"/>
      <c r="N7" s="60"/>
      <c r="P7" s="24"/>
      <c r="Q7" s="42"/>
      <c r="R7" s="42"/>
      <c r="T7" s="554"/>
      <c r="U7" s="569"/>
      <c r="V7" s="684"/>
      <c r="W7" s="685"/>
      <c r="AB7" s="51"/>
      <c r="AC7" s="51"/>
      <c r="AD7" s="51"/>
      <c r="AE7" s="51"/>
    </row>
    <row r="8" spans="1:32" s="538" customFormat="1" ht="25.5" customHeight="1" x14ac:dyDescent="0.2">
      <c r="A8" s="571" t="s">
        <v>18</v>
      </c>
      <c r="B8" s="548"/>
      <c r="C8" s="549"/>
      <c r="D8" s="814" t="s">
        <v>19</v>
      </c>
      <c r="E8" s="815"/>
      <c r="F8" s="815"/>
      <c r="G8" s="815"/>
      <c r="H8" s="815"/>
      <c r="I8" s="815"/>
      <c r="J8" s="815"/>
      <c r="K8" s="815"/>
      <c r="L8" s="815"/>
      <c r="M8" s="816"/>
      <c r="N8" s="61"/>
      <c r="P8" s="24" t="s">
        <v>20</v>
      </c>
      <c r="Q8" s="737">
        <v>0.41666666666666669</v>
      </c>
      <c r="R8" s="738"/>
      <c r="T8" s="554"/>
      <c r="U8" s="569"/>
      <c r="V8" s="684"/>
      <c r="W8" s="685"/>
      <c r="AB8" s="51"/>
      <c r="AC8" s="51"/>
      <c r="AD8" s="51"/>
      <c r="AE8" s="51"/>
    </row>
    <row r="9" spans="1:32" s="538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13"/>
      <c r="E9" s="614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723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9"/>
      <c r="P9" s="26" t="s">
        <v>21</v>
      </c>
      <c r="Q9" s="806"/>
      <c r="R9" s="610"/>
      <c r="T9" s="554"/>
      <c r="U9" s="569"/>
      <c r="V9" s="686"/>
      <c r="W9" s="687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13"/>
      <c r="E10" s="614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05" t="str">
        <f>IFERROR(VLOOKUP($D$10,Proxy,2,FALSE),"")</f>
        <v/>
      </c>
      <c r="I10" s="554"/>
      <c r="J10" s="554"/>
      <c r="K10" s="554"/>
      <c r="L10" s="554"/>
      <c r="M10" s="554"/>
      <c r="N10" s="537"/>
      <c r="P10" s="26" t="s">
        <v>22</v>
      </c>
      <c r="Q10" s="742"/>
      <c r="R10" s="743"/>
      <c r="U10" s="24" t="s">
        <v>23</v>
      </c>
      <c r="V10" s="842" t="s">
        <v>24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7"/>
      <c r="R11" s="588"/>
      <c r="U11" s="24" t="s">
        <v>27</v>
      </c>
      <c r="V11" s="609" t="s">
        <v>28</v>
      </c>
      <c r="W11" s="610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744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578"/>
      <c r="N12" s="62"/>
      <c r="P12" s="24" t="s">
        <v>30</v>
      </c>
      <c r="Q12" s="737"/>
      <c r="R12" s="738"/>
      <c r="S12" s="23"/>
      <c r="U12" s="24"/>
      <c r="V12" s="758"/>
      <c r="W12" s="554"/>
      <c r="AB12" s="51"/>
      <c r="AC12" s="51"/>
      <c r="AD12" s="51"/>
      <c r="AE12" s="51"/>
    </row>
    <row r="13" spans="1:32" s="538" customFormat="1" ht="23.25" customHeight="1" x14ac:dyDescent="0.2">
      <c r="A13" s="744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578"/>
      <c r="N13" s="62"/>
      <c r="O13" s="26"/>
      <c r="P13" s="26" t="s">
        <v>32</v>
      </c>
      <c r="Q13" s="609"/>
      <c r="R13" s="61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744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57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578"/>
      <c r="N15" s="63"/>
      <c r="P15" s="820" t="s">
        <v>35</v>
      </c>
      <c r="Q15" s="758"/>
      <c r="R15" s="758"/>
      <c r="S15" s="758"/>
      <c r="T15" s="75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6" t="s">
        <v>36</v>
      </c>
      <c r="B17" s="556" t="s">
        <v>37</v>
      </c>
      <c r="C17" s="776" t="s">
        <v>38</v>
      </c>
      <c r="D17" s="556" t="s">
        <v>39</v>
      </c>
      <c r="E17" s="557"/>
      <c r="F17" s="556" t="s">
        <v>40</v>
      </c>
      <c r="G17" s="556" t="s">
        <v>41</v>
      </c>
      <c r="H17" s="556" t="s">
        <v>42</v>
      </c>
      <c r="I17" s="556" t="s">
        <v>43</v>
      </c>
      <c r="J17" s="556" t="s">
        <v>44</v>
      </c>
      <c r="K17" s="556" t="s">
        <v>45</v>
      </c>
      <c r="L17" s="556" t="s">
        <v>46</v>
      </c>
      <c r="M17" s="556" t="s">
        <v>47</v>
      </c>
      <c r="N17" s="556" t="s">
        <v>48</v>
      </c>
      <c r="O17" s="556" t="s">
        <v>49</v>
      </c>
      <c r="P17" s="556" t="s">
        <v>50</v>
      </c>
      <c r="Q17" s="817"/>
      <c r="R17" s="817"/>
      <c r="S17" s="817"/>
      <c r="T17" s="557"/>
      <c r="U17" s="577" t="s">
        <v>51</v>
      </c>
      <c r="V17" s="578"/>
      <c r="W17" s="556" t="s">
        <v>52</v>
      </c>
      <c r="X17" s="556" t="s">
        <v>53</v>
      </c>
      <c r="Y17" s="579" t="s">
        <v>54</v>
      </c>
      <c r="Z17" s="677" t="s">
        <v>55</v>
      </c>
      <c r="AA17" s="600" t="s">
        <v>56</v>
      </c>
      <c r="AB17" s="600" t="s">
        <v>57</v>
      </c>
      <c r="AC17" s="600" t="s">
        <v>58</v>
      </c>
      <c r="AD17" s="600" t="s">
        <v>59</v>
      </c>
      <c r="AE17" s="601"/>
      <c r="AF17" s="602"/>
      <c r="AG17" s="66"/>
      <c r="BD17" s="65" t="s">
        <v>60</v>
      </c>
    </row>
    <row r="18" spans="1:68" ht="14.25" customHeight="1" x14ac:dyDescent="0.2">
      <c r="A18" s="563"/>
      <c r="B18" s="563"/>
      <c r="C18" s="563"/>
      <c r="D18" s="558"/>
      <c r="E18" s="559"/>
      <c r="F18" s="563"/>
      <c r="G18" s="563"/>
      <c r="H18" s="563"/>
      <c r="I18" s="563"/>
      <c r="J18" s="563"/>
      <c r="K18" s="563"/>
      <c r="L18" s="563"/>
      <c r="M18" s="563"/>
      <c r="N18" s="563"/>
      <c r="O18" s="563"/>
      <c r="P18" s="558"/>
      <c r="Q18" s="818"/>
      <c r="R18" s="818"/>
      <c r="S18" s="818"/>
      <c r="T18" s="559"/>
      <c r="U18" s="67" t="s">
        <v>61</v>
      </c>
      <c r="V18" s="67" t="s">
        <v>62</v>
      </c>
      <c r="W18" s="563"/>
      <c r="X18" s="563"/>
      <c r="Y18" s="580"/>
      <c r="Z18" s="678"/>
      <c r="AA18" s="679"/>
      <c r="AB18" s="679"/>
      <c r="AC18" s="679"/>
      <c r="AD18" s="603"/>
      <c r="AE18" s="604"/>
      <c r="AF18" s="605"/>
      <c r="AG18" s="66"/>
      <c r="BD18" s="65"/>
    </row>
    <row r="19" spans="1:68" ht="27.75" hidden="1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hidden="1" customHeight="1" x14ac:dyDescent="0.25">
      <c r="A20" s="57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0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0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6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0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5" t="s">
        <v>99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hidden="1" customHeight="1" x14ac:dyDescent="0.25">
      <c r="A38" s="570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0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0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0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0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1">
        <v>3600</v>
      </c>
      <c r="Y52" s="542">
        <f t="shared" si="0"/>
        <v>3607.2000000000003</v>
      </c>
      <c r="Z52" s="36">
        <f>IFERROR(IF(Y52=0,"",ROUNDUP(Y52/H52,0)*0.01898),"")</f>
        <v>6.3393199999999998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3736.6666666666665</v>
      </c>
      <c r="BN52" s="64">
        <f t="shared" si="2"/>
        <v>3744.1400000000003</v>
      </c>
      <c r="BO52" s="64">
        <f t="shared" si="3"/>
        <v>5.208333333333333</v>
      </c>
      <c r="BP52" s="64">
        <f t="shared" si="4"/>
        <v>5.21875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8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333.33333333333331</v>
      </c>
      <c r="Y57" s="543">
        <f>IFERROR(Y51/H51,"0")+IFERROR(Y52/H52,"0")+IFERROR(Y53/H53,"0")+IFERROR(Y54/H54,"0")+IFERROR(Y55/H55,"0")+IFERROR(Y56/H56,"0")</f>
        <v>334</v>
      </c>
      <c r="Z57" s="543">
        <f>IFERROR(IF(Z51="",0,Z51),"0")+IFERROR(IF(Z52="",0,Z52),"0")+IFERROR(IF(Z53="",0,Z53),"0")+IFERROR(IF(Z54="",0,Z54),"0")+IFERROR(IF(Z55="",0,Z55),"0")+IFERROR(IF(Z56="",0,Z56),"0")</f>
        <v>6.3393199999999998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3600</v>
      </c>
      <c r="Y58" s="543">
        <f>IFERROR(SUM(Y51:Y56),"0")</f>
        <v>3607.2000000000003</v>
      </c>
      <c r="Z58" s="37"/>
      <c r="AA58" s="544"/>
      <c r="AB58" s="544"/>
      <c r="AC58" s="544"/>
    </row>
    <row r="59" spans="1:68" ht="14.25" hidden="1" customHeight="1" x14ac:dyDescent="0.25">
      <c r="A59" s="560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0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8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7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0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0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1"/>
      <c r="R79" s="551"/>
      <c r="S79" s="551"/>
      <c r="T79" s="552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7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hidden="1" customHeight="1" x14ac:dyDescent="0.25">
      <c r="A83" s="570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0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1"/>
      <c r="R85" s="551"/>
      <c r="S85" s="551"/>
      <c r="T85" s="552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1"/>
      <c r="R86" s="551"/>
      <c r="S86" s="551"/>
      <c r="T86" s="552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1"/>
      <c r="R87" s="551"/>
      <c r="S87" s="551"/>
      <c r="T87" s="552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0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1"/>
      <c r="R91" s="551"/>
      <c r="S91" s="551"/>
      <c r="T91" s="552"/>
      <c r="U91" s="34"/>
      <c r="V91" s="34"/>
      <c r="W91" s="35" t="s">
        <v>69</v>
      </c>
      <c r="X91" s="541">
        <v>40</v>
      </c>
      <c r="Y91" s="542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1"/>
      <c r="R94" s="551"/>
      <c r="S94" s="551"/>
      <c r="T94" s="552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4.9382716049382722</v>
      </c>
      <c r="Y95" s="543">
        <f>IFERROR(Y91/H91,"0")+IFERROR(Y92/H92,"0")+IFERROR(Y93/H93,"0")+IFERROR(Y94/H94,"0")</f>
        <v>5</v>
      </c>
      <c r="Z95" s="543">
        <f>IFERROR(IF(Z91="",0,Z91),"0")+IFERROR(IF(Z92="",0,Z92),"0")+IFERROR(IF(Z93="",0,Z93),"0")+IFERROR(IF(Z94="",0,Z94),"0")</f>
        <v>9.4899999999999998E-2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40</v>
      </c>
      <c r="Y96" s="543">
        <f>IFERROR(SUM(Y91:Y94),"0")</f>
        <v>40.5</v>
      </c>
      <c r="Z96" s="37"/>
      <c r="AA96" s="544"/>
      <c r="AB96" s="544"/>
      <c r="AC96" s="544"/>
    </row>
    <row r="97" spans="1:68" ht="16.5" hidden="1" customHeight="1" x14ac:dyDescent="0.25">
      <c r="A97" s="57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0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1"/>
      <c r="R99" s="551"/>
      <c r="S99" s="551"/>
      <c r="T99" s="552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1"/>
      <c r="R100" s="551"/>
      <c r="S100" s="551"/>
      <c r="T100" s="552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0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1"/>
      <c r="R106" s="551"/>
      <c r="S106" s="551"/>
      <c r="T106" s="552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0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1"/>
      <c r="R112" s="551"/>
      <c r="S112" s="551"/>
      <c r="T112" s="552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79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12.345679012345679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100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hidden="1" customHeight="1" x14ac:dyDescent="0.25">
      <c r="A118" s="560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1"/>
      <c r="R119" s="551"/>
      <c r="S119" s="551"/>
      <c r="T119" s="552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7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0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1"/>
      <c r="R124" s="551"/>
      <c r="S124" s="551"/>
      <c r="T124" s="552"/>
      <c r="U124" s="34"/>
      <c r="V124" s="34"/>
      <c r="W124" s="35" t="s">
        <v>69</v>
      </c>
      <c r="X124" s="541">
        <v>100</v>
      </c>
      <c r="Y124" s="542">
        <f>IFERROR(IF(X124="",0,CEILING((X124/$H124),1)*$H124),"")</f>
        <v>102.4</v>
      </c>
      <c r="Z124" s="36">
        <f>IFERROR(IF(Y124=0,"",ROUNDUP(Y124/H124,0)*0.00651),"")</f>
        <v>0.20832000000000001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105.625</v>
      </c>
      <c r="BN124" s="64">
        <f>IFERROR(Y124*I124/H124,"0")</f>
        <v>108.16</v>
      </c>
      <c r="BO124" s="64">
        <f>IFERROR(1/J124*(X124/H124),"0")</f>
        <v>0.1717032967032967</v>
      </c>
      <c r="BP124" s="64">
        <f>IFERROR(1/J124*(Y124/H124),"0")</f>
        <v>0.17582417582417584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5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1"/>
      <c r="R125" s="551"/>
      <c r="S125" s="551"/>
      <c r="T125" s="552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31.25</v>
      </c>
      <c r="Y126" s="543">
        <f>IFERROR(Y124/H124,"0")+IFERROR(Y125/H125,"0")</f>
        <v>32</v>
      </c>
      <c r="Z126" s="543">
        <f>IFERROR(IF(Z124="",0,Z124),"0")+IFERROR(IF(Z125="",0,Z125),"0")</f>
        <v>0.20832000000000001</v>
      </c>
      <c r="AA126" s="544"/>
      <c r="AB126" s="544"/>
      <c r="AC126" s="544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100</v>
      </c>
      <c r="Y127" s="543">
        <f>IFERROR(SUM(Y124:Y125),"0")</f>
        <v>102.4</v>
      </c>
      <c r="Z127" s="37"/>
      <c r="AA127" s="544"/>
      <c r="AB127" s="544"/>
      <c r="AC127" s="544"/>
    </row>
    <row r="128" spans="1:68" ht="14.25" hidden="1" customHeight="1" x14ac:dyDescent="0.25">
      <c r="A128" s="560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1"/>
      <c r="R129" s="551"/>
      <c r="S129" s="551"/>
      <c r="T129" s="552"/>
      <c r="U129" s="34"/>
      <c r="V129" s="34"/>
      <c r="W129" s="35" t="s">
        <v>69</v>
      </c>
      <c r="X129" s="541">
        <v>95</v>
      </c>
      <c r="Y129" s="542">
        <f>IFERROR(IF(X129="",0,CEILING((X129/$H129),1)*$H129),"")</f>
        <v>95.199999999999989</v>
      </c>
      <c r="Z129" s="36">
        <f>IFERROR(IF(Y129=0,"",ROUNDUP(Y129/H129,0)*0.00651),"")</f>
        <v>0.22134000000000001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104.09285714285714</v>
      </c>
      <c r="BN129" s="64">
        <f>IFERROR(Y129*I129/H129,"0")</f>
        <v>104.31200000000001</v>
      </c>
      <c r="BO129" s="64">
        <f>IFERROR(1/J129*(X129/H129),"0")</f>
        <v>0.18642072213500788</v>
      </c>
      <c r="BP129" s="64">
        <f>IFERROR(1/J129*(Y129/H129),"0")</f>
        <v>0.18681318681318682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33.928571428571431</v>
      </c>
      <c r="Y131" s="543">
        <f>IFERROR(Y129/H129,"0")+IFERROR(Y130/H130,"0")</f>
        <v>34</v>
      </c>
      <c r="Z131" s="543">
        <f>IFERROR(IF(Z129="",0,Z129),"0")+IFERROR(IF(Z130="",0,Z130),"0")</f>
        <v>0.22134000000000001</v>
      </c>
      <c r="AA131" s="544"/>
      <c r="AB131" s="544"/>
      <c r="AC131" s="544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95</v>
      </c>
      <c r="Y132" s="543">
        <f>IFERROR(SUM(Y129:Y130),"0")</f>
        <v>95.199999999999989</v>
      </c>
      <c r="Z132" s="37"/>
      <c r="AA132" s="544"/>
      <c r="AB132" s="544"/>
      <c r="AC132" s="544"/>
    </row>
    <row r="133" spans="1:68" ht="14.25" hidden="1" customHeight="1" x14ac:dyDescent="0.25">
      <c r="A133" s="560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1"/>
      <c r="R134" s="551"/>
      <c r="S134" s="551"/>
      <c r="T134" s="552"/>
      <c r="U134" s="34"/>
      <c r="V134" s="34"/>
      <c r="W134" s="35" t="s">
        <v>69</v>
      </c>
      <c r="X134" s="541">
        <v>32</v>
      </c>
      <c r="Y134" s="542">
        <f>IFERROR(IF(X134="",0,CEILING((X134/$H134),1)*$H134),"")</f>
        <v>34.32</v>
      </c>
      <c r="Z134" s="36">
        <f>IFERROR(IF(Y134=0,"",ROUNDUP(Y134/H134,0)*0.00651),"")</f>
        <v>8.4629999999999997E-2</v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35.248484848484843</v>
      </c>
      <c r="BN134" s="64">
        <f>IFERROR(Y134*I134/H134,"0")</f>
        <v>37.803999999999995</v>
      </c>
      <c r="BO134" s="64">
        <f>IFERROR(1/J134*(X134/H134),"0")</f>
        <v>6.6600066600066607E-2</v>
      </c>
      <c r="BP134" s="64">
        <f>IFERROR(1/J134*(Y134/H134),"0")</f>
        <v>7.1428571428571438E-2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1"/>
      <c r="R135" s="551"/>
      <c r="S135" s="551"/>
      <c r="T135" s="552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12.121212121212121</v>
      </c>
      <c r="Y136" s="543">
        <f>IFERROR(Y134/H134,"0")+IFERROR(Y135/H135,"0")</f>
        <v>13</v>
      </c>
      <c r="Z136" s="543">
        <f>IFERROR(IF(Z134="",0,Z134),"0")+IFERROR(IF(Z135="",0,Z135),"0")</f>
        <v>8.4629999999999997E-2</v>
      </c>
      <c r="AA136" s="544"/>
      <c r="AB136" s="544"/>
      <c r="AC136" s="544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32</v>
      </c>
      <c r="Y137" s="543">
        <f>IFERROR(SUM(Y134:Y135),"0")</f>
        <v>34.32</v>
      </c>
      <c r="Z137" s="37"/>
      <c r="AA137" s="544"/>
      <c r="AB137" s="544"/>
      <c r="AC137" s="544"/>
    </row>
    <row r="138" spans="1:68" ht="16.5" hidden="1" customHeight="1" x14ac:dyDescent="0.25">
      <c r="A138" s="570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0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1"/>
      <c r="R140" s="551"/>
      <c r="S140" s="551"/>
      <c r="T140" s="552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47" t="s">
        <v>71</v>
      </c>
      <c r="Q143" s="548"/>
      <c r="R143" s="548"/>
      <c r="S143" s="548"/>
      <c r="T143" s="548"/>
      <c r="U143" s="548"/>
      <c r="V143" s="549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47" t="s">
        <v>71</v>
      </c>
      <c r="Q144" s="548"/>
      <c r="R144" s="548"/>
      <c r="S144" s="548"/>
      <c r="T144" s="548"/>
      <c r="U144" s="548"/>
      <c r="V144" s="549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0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1"/>
      <c r="R146" s="551"/>
      <c r="S146" s="551"/>
      <c r="T146" s="552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47" t="s">
        <v>71</v>
      </c>
      <c r="Q149" s="548"/>
      <c r="R149" s="548"/>
      <c r="S149" s="548"/>
      <c r="T149" s="548"/>
      <c r="U149" s="548"/>
      <c r="V149" s="549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47" t="s">
        <v>71</v>
      </c>
      <c r="Q150" s="548"/>
      <c r="R150" s="548"/>
      <c r="S150" s="548"/>
      <c r="T150" s="548"/>
      <c r="U150" s="548"/>
      <c r="V150" s="549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0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61" t="s">
        <v>252</v>
      </c>
      <c r="Q152" s="551"/>
      <c r="R152" s="551"/>
      <c r="S152" s="551"/>
      <c r="T152" s="552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47" t="s">
        <v>71</v>
      </c>
      <c r="Q153" s="548"/>
      <c r="R153" s="548"/>
      <c r="S153" s="548"/>
      <c r="T153" s="548"/>
      <c r="U153" s="548"/>
      <c r="V153" s="549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47" t="s">
        <v>71</v>
      </c>
      <c r="Q154" s="548"/>
      <c r="R154" s="548"/>
      <c r="S154" s="548"/>
      <c r="T154" s="548"/>
      <c r="U154" s="548"/>
      <c r="V154" s="549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45" t="s">
        <v>255</v>
      </c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46"/>
      <c r="P155" s="646"/>
      <c r="Q155" s="646"/>
      <c r="R155" s="646"/>
      <c r="S155" s="646"/>
      <c r="T155" s="646"/>
      <c r="U155" s="646"/>
      <c r="V155" s="646"/>
      <c r="W155" s="646"/>
      <c r="X155" s="646"/>
      <c r="Y155" s="646"/>
      <c r="Z155" s="646"/>
      <c r="AA155" s="48"/>
      <c r="AB155" s="48"/>
      <c r="AC155" s="48"/>
    </row>
    <row r="156" spans="1:68" ht="16.5" hidden="1" customHeight="1" x14ac:dyDescent="0.25">
      <c r="A156" s="570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6"/>
      <c r="AB156" s="536"/>
      <c r="AC156" s="536"/>
    </row>
    <row r="157" spans="1:68" ht="14.25" hidden="1" customHeight="1" x14ac:dyDescent="0.25">
      <c r="A157" s="560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1"/>
      <c r="R158" s="551"/>
      <c r="S158" s="551"/>
      <c r="T158" s="552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47" t="s">
        <v>71</v>
      </c>
      <c r="Q159" s="548"/>
      <c r="R159" s="548"/>
      <c r="S159" s="548"/>
      <c r="T159" s="548"/>
      <c r="U159" s="548"/>
      <c r="V159" s="549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47" t="s">
        <v>71</v>
      </c>
      <c r="Q160" s="548"/>
      <c r="R160" s="548"/>
      <c r="S160" s="548"/>
      <c r="T160" s="548"/>
      <c r="U160" s="548"/>
      <c r="V160" s="549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0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6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1"/>
      <c r="R162" s="551"/>
      <c r="S162" s="551"/>
      <c r="T162" s="552"/>
      <c r="U162" s="34"/>
      <c r="V162" s="34"/>
      <c r="W162" s="35" t="s">
        <v>69</v>
      </c>
      <c r="X162" s="541">
        <v>10</v>
      </c>
      <c r="Y162" s="542">
        <f t="shared" ref="Y162:Y170" si="5">IFERROR(IF(X162="",0,CEILING((X162/$H162),1)*$H162),"")</f>
        <v>12.600000000000001</v>
      </c>
      <c r="Z162" s="36">
        <f>IFERROR(IF(Y162=0,"",ROUNDUP(Y162/H162,0)*0.00902),"")</f>
        <v>2.7060000000000001E-2</v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10.595238095238095</v>
      </c>
      <c r="BN162" s="64">
        <f t="shared" ref="BN162:BN170" si="7">IFERROR(Y162*I162/H162,"0")</f>
        <v>13.350000000000001</v>
      </c>
      <c r="BO162" s="64">
        <f t="shared" ref="BO162:BO170" si="8">IFERROR(1/J162*(X162/H162),"0")</f>
        <v>1.8037518037518036E-2</v>
      </c>
      <c r="BP162" s="64">
        <f t="shared" ref="BP162:BP170" si="9">IFERROR(1/J162*(Y162/H162),"0")</f>
        <v>2.2727272727272728E-2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1"/>
      <c r="R163" s="551"/>
      <c r="S163" s="551"/>
      <c r="T163" s="552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1">
        <v>90</v>
      </c>
      <c r="Y164" s="542">
        <f t="shared" si="5"/>
        <v>92.4</v>
      </c>
      <c r="Z164" s="36">
        <f>IFERROR(IF(Y164=0,"",ROUNDUP(Y164/H164,0)*0.00902),"")</f>
        <v>0.19844000000000001</v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94.071428571428555</v>
      </c>
      <c r="BN164" s="64">
        <f t="shared" si="7"/>
        <v>96.579999999999984</v>
      </c>
      <c r="BO164" s="64">
        <f t="shared" si="8"/>
        <v>0.16233766233766234</v>
      </c>
      <c r="BP164" s="64">
        <f t="shared" si="9"/>
        <v>0.16666666666666669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1"/>
      <c r="R165" s="551"/>
      <c r="S165" s="551"/>
      <c r="T165" s="552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1"/>
      <c r="R166" s="551"/>
      <c r="S166" s="551"/>
      <c r="T166" s="552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1"/>
      <c r="R167" s="551"/>
      <c r="S167" s="551"/>
      <c r="T167" s="552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75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1"/>
      <c r="R168" s="551"/>
      <c r="S168" s="551"/>
      <c r="T168" s="552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1"/>
      <c r="R170" s="551"/>
      <c r="S170" s="551"/>
      <c r="T170" s="552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23.809523809523807</v>
      </c>
      <c r="Y171" s="543">
        <f>IFERROR(Y162/H162,"0")+IFERROR(Y163/H163,"0")+IFERROR(Y164/H164,"0")+IFERROR(Y165/H165,"0")+IFERROR(Y166/H166,"0")+IFERROR(Y167/H167,"0")+IFERROR(Y168/H168,"0")+IFERROR(Y169/H169,"0")+IFERROR(Y170/H170,"0")</f>
        <v>25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0.22550000000000001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IFERROR(SUM(X162:X170),"0")</f>
        <v>100</v>
      </c>
      <c r="Y172" s="543">
        <f>IFERROR(SUM(Y162:Y170),"0")</f>
        <v>105</v>
      </c>
      <c r="Z172" s="37"/>
      <c r="AA172" s="544"/>
      <c r="AB172" s="544"/>
      <c r="AC172" s="544"/>
    </row>
    <row r="173" spans="1:68" ht="14.25" hidden="1" customHeight="1" x14ac:dyDescent="0.25">
      <c r="A173" s="560" t="s">
        <v>93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1"/>
      <c r="R174" s="551"/>
      <c r="S174" s="551"/>
      <c r="T174" s="552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0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8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1"/>
      <c r="R180" s="551"/>
      <c r="S180" s="551"/>
      <c r="T180" s="552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70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0" t="s">
        <v>101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1"/>
      <c r="R185" s="551"/>
      <c r="S185" s="551"/>
      <c r="T185" s="552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1"/>
      <c r="R186" s="551"/>
      <c r="S186" s="551"/>
      <c r="T186" s="552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0" t="s">
        <v>136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1"/>
      <c r="R190" s="551"/>
      <c r="S190" s="551"/>
      <c r="T190" s="552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1"/>
      <c r="R191" s="551"/>
      <c r="S191" s="551"/>
      <c r="T191" s="552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0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7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1"/>
      <c r="R195" s="551"/>
      <c r="S195" s="551"/>
      <c r="T195" s="552"/>
      <c r="U195" s="34"/>
      <c r="V195" s="34"/>
      <c r="W195" s="35" t="s">
        <v>69</v>
      </c>
      <c r="X195" s="541">
        <v>600</v>
      </c>
      <c r="Y195" s="542">
        <f t="shared" ref="Y195:Y202" si="10">IFERROR(IF(X195="",0,CEILING((X195/$H195),1)*$H195),"")</f>
        <v>604.80000000000007</v>
      </c>
      <c r="Z195" s="36">
        <f>IFERROR(IF(Y195=0,"",ROUNDUP(Y195/H195,0)*0.00902),"")</f>
        <v>1.01024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621.11111111111109</v>
      </c>
      <c r="BN195" s="64">
        <f t="shared" ref="BN195:BN202" si="12">IFERROR(Y195*I195/H195,"0")</f>
        <v>626.08000000000004</v>
      </c>
      <c r="BO195" s="64">
        <f t="shared" ref="BO195:BO202" si="13">IFERROR(1/J195*(X195/H195),"0")</f>
        <v>0.84175084175084169</v>
      </c>
      <c r="BP195" s="64">
        <f t="shared" ref="BP195:BP202" si="14">IFERROR(1/J195*(Y195/H195),"0")</f>
        <v>0.84848484848484851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1">
        <v>300</v>
      </c>
      <c r="Y196" s="542">
        <f t="shared" si="10"/>
        <v>302.40000000000003</v>
      </c>
      <c r="Z196" s="36">
        <f>IFERROR(IF(Y196=0,"",ROUNDUP(Y196/H196,0)*0.00902),"")</f>
        <v>0.50512000000000001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310.55555555555554</v>
      </c>
      <c r="BN196" s="64">
        <f t="shared" si="12"/>
        <v>313.04000000000002</v>
      </c>
      <c r="BO196" s="64">
        <f t="shared" si="13"/>
        <v>0.42087542087542085</v>
      </c>
      <c r="BP196" s="64">
        <f t="shared" si="14"/>
        <v>0.42424242424242425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1">
        <v>540</v>
      </c>
      <c r="Y197" s="542">
        <f t="shared" si="10"/>
        <v>540</v>
      </c>
      <c r="Z197" s="36">
        <f>IFERROR(IF(Y197=0,"",ROUNDUP(Y197/H197,0)*0.00902),"")</f>
        <v>0.90200000000000002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559</v>
      </c>
      <c r="BN197" s="64">
        <f t="shared" si="12"/>
        <v>559</v>
      </c>
      <c r="BO197" s="64">
        <f t="shared" si="13"/>
        <v>0.75757575757575757</v>
      </c>
      <c r="BP197" s="64">
        <f t="shared" si="14"/>
        <v>0.75757575757575757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1">
        <v>700</v>
      </c>
      <c r="Y198" s="542">
        <f t="shared" si="10"/>
        <v>702</v>
      </c>
      <c r="Z198" s="36">
        <f>IFERROR(IF(Y198=0,"",ROUNDUP(Y198/H198,0)*0.00902),"")</f>
        <v>1.1726000000000001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724.62962962962956</v>
      </c>
      <c r="BN198" s="64">
        <f t="shared" si="12"/>
        <v>726.69999999999993</v>
      </c>
      <c r="BO198" s="64">
        <f t="shared" si="13"/>
        <v>0.98204264870931535</v>
      </c>
      <c r="BP198" s="64">
        <f t="shared" si="14"/>
        <v>0.98484848484848486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58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1">
        <v>9</v>
      </c>
      <c r="Y199" s="542">
        <f t="shared" si="10"/>
        <v>9</v>
      </c>
      <c r="Z199" s="36">
        <f>IFERROR(IF(Y199=0,"",ROUNDUP(Y199/H199,0)*0.00502),"")</f>
        <v>2.5100000000000001E-2</v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9.65</v>
      </c>
      <c r="BN199" s="64">
        <f t="shared" si="12"/>
        <v>9.65</v>
      </c>
      <c r="BO199" s="64">
        <f t="shared" si="13"/>
        <v>2.1367521367521368E-2</v>
      </c>
      <c r="BP199" s="64">
        <f t="shared" si="14"/>
        <v>2.1367521367521368E-2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1">
        <v>9</v>
      </c>
      <c r="Y200" s="542">
        <f t="shared" si="10"/>
        <v>9</v>
      </c>
      <c r="Z200" s="36">
        <f>IFERROR(IF(Y200=0,"",ROUNDUP(Y200/H200,0)*0.00502),"")</f>
        <v>2.5100000000000001E-2</v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9.4999999999999982</v>
      </c>
      <c r="BN200" s="64">
        <f t="shared" si="12"/>
        <v>9.4999999999999982</v>
      </c>
      <c r="BO200" s="64">
        <f t="shared" si="13"/>
        <v>2.1367521367521368E-2</v>
      </c>
      <c r="BP200" s="64">
        <f t="shared" si="14"/>
        <v>2.1367521367521368E-2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1">
        <v>9</v>
      </c>
      <c r="Y201" s="542">
        <f t="shared" si="10"/>
        <v>9</v>
      </c>
      <c r="Z201" s="36">
        <f>IFERROR(IF(Y201=0,"",ROUNDUP(Y201/H201,0)*0.00502),"")</f>
        <v>2.5100000000000001E-2</v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9.4999999999999982</v>
      </c>
      <c r="BN201" s="64">
        <f t="shared" si="12"/>
        <v>9.4999999999999982</v>
      </c>
      <c r="BO201" s="64">
        <f t="shared" si="13"/>
        <v>2.1367521367521368E-2</v>
      </c>
      <c r="BP201" s="64">
        <f t="shared" si="14"/>
        <v>2.1367521367521368E-2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1">
        <v>9</v>
      </c>
      <c r="Y202" s="542">
        <f t="shared" si="10"/>
        <v>9</v>
      </c>
      <c r="Z202" s="36">
        <f>IFERROR(IF(Y202=0,"",ROUNDUP(Y202/H202,0)*0.00502),"")</f>
        <v>2.5100000000000001E-2</v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9.4999999999999982</v>
      </c>
      <c r="BN202" s="64">
        <f t="shared" si="12"/>
        <v>9.4999999999999982</v>
      </c>
      <c r="BO202" s="64">
        <f t="shared" si="13"/>
        <v>2.1367521367521368E-2</v>
      </c>
      <c r="BP202" s="64">
        <f t="shared" si="14"/>
        <v>2.1367521367521368E-2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416.29629629629625</v>
      </c>
      <c r="Y203" s="543">
        <f>IFERROR(Y195/H195,"0")+IFERROR(Y196/H196,"0")+IFERROR(Y197/H197,"0")+IFERROR(Y198/H198,"0")+IFERROR(Y199/H199,"0")+IFERROR(Y200/H200,"0")+IFERROR(Y201/H201,"0")+IFERROR(Y202/H202,"0")</f>
        <v>418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3.6903600000000005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2176</v>
      </c>
      <c r="Y204" s="543">
        <f>IFERROR(SUM(Y195:Y202),"0")</f>
        <v>2185.1999999999998</v>
      </c>
      <c r="Z204" s="37"/>
      <c r="AA204" s="544"/>
      <c r="AB204" s="544"/>
      <c r="AC204" s="544"/>
    </row>
    <row r="205" spans="1:68" ht="14.25" hidden="1" customHeight="1" x14ac:dyDescent="0.25">
      <c r="A205" s="560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1"/>
      <c r="R206" s="551"/>
      <c r="S206" s="551"/>
      <c r="T206" s="552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1"/>
      <c r="R207" s="551"/>
      <c r="S207" s="551"/>
      <c r="T207" s="552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1"/>
      <c r="R208" s="551"/>
      <c r="S208" s="551"/>
      <c r="T208" s="552"/>
      <c r="U208" s="34"/>
      <c r="V208" s="34"/>
      <c r="W208" s="35" t="s">
        <v>69</v>
      </c>
      <c r="X208" s="541">
        <v>370</v>
      </c>
      <c r="Y208" s="542">
        <f t="shared" si="15"/>
        <v>374.09999999999997</v>
      </c>
      <c r="Z208" s="36">
        <f>IFERROR(IF(Y208=0,"",ROUNDUP(Y208/H208,0)*0.01898),"")</f>
        <v>0.81613999999999998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391.00919540229893</v>
      </c>
      <c r="BN208" s="64">
        <f t="shared" si="17"/>
        <v>395.34199999999998</v>
      </c>
      <c r="BO208" s="64">
        <f t="shared" si="18"/>
        <v>0.66451149425287359</v>
      </c>
      <c r="BP208" s="64">
        <f t="shared" si="19"/>
        <v>0.671875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1">
        <v>7</v>
      </c>
      <c r="Y209" s="542">
        <f t="shared" si="15"/>
        <v>7.1999999999999993</v>
      </c>
      <c r="Z209" s="36">
        <f t="shared" ref="Z209:Z214" si="20">IFERROR(IF(Y209=0,"",ROUNDUP(Y209/H209,0)*0.00651),"")</f>
        <v>1.9529999999999999E-2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7.7874999999999996</v>
      </c>
      <c r="BN209" s="64">
        <f t="shared" si="17"/>
        <v>8.009999999999998</v>
      </c>
      <c r="BO209" s="64">
        <f t="shared" si="18"/>
        <v>1.6025641025641028E-2</v>
      </c>
      <c r="BP209" s="64">
        <f t="shared" si="19"/>
        <v>1.6483516483516484E-2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1">
        <v>103</v>
      </c>
      <c r="Y211" s="542">
        <f t="shared" si="15"/>
        <v>103.2</v>
      </c>
      <c r="Z211" s="36">
        <f t="shared" si="20"/>
        <v>0.27993000000000001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113.81500000000001</v>
      </c>
      <c r="BN211" s="64">
        <f t="shared" si="17"/>
        <v>114.03600000000003</v>
      </c>
      <c r="BO211" s="64">
        <f t="shared" si="18"/>
        <v>0.23580586080586086</v>
      </c>
      <c r="BP211" s="64">
        <f t="shared" si="19"/>
        <v>0.23626373626373628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1">
        <v>7</v>
      </c>
      <c r="Y212" s="542">
        <f t="shared" si="15"/>
        <v>7.1999999999999993</v>
      </c>
      <c r="Z212" s="36">
        <f t="shared" si="20"/>
        <v>1.9529999999999999E-2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7.7350000000000003</v>
      </c>
      <c r="BN212" s="64">
        <f t="shared" si="17"/>
        <v>7.9560000000000004</v>
      </c>
      <c r="BO212" s="64">
        <f t="shared" si="18"/>
        <v>1.6025641025641028E-2</v>
      </c>
      <c r="BP212" s="64">
        <f t="shared" si="19"/>
        <v>1.6483516483516484E-2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1"/>
      <c r="R213" s="551"/>
      <c r="S213" s="551"/>
      <c r="T213" s="552"/>
      <c r="U213" s="34"/>
      <c r="V213" s="34"/>
      <c r="W213" s="35" t="s">
        <v>69</v>
      </c>
      <c r="X213" s="541">
        <v>9</v>
      </c>
      <c r="Y213" s="542">
        <f t="shared" si="15"/>
        <v>9.6</v>
      </c>
      <c r="Z213" s="36">
        <f t="shared" si="20"/>
        <v>2.6040000000000001E-2</v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9.9450000000000021</v>
      </c>
      <c r="BN213" s="64">
        <f t="shared" si="17"/>
        <v>10.608000000000001</v>
      </c>
      <c r="BO213" s="64">
        <f t="shared" si="18"/>
        <v>2.0604395604395608E-2</v>
      </c>
      <c r="BP213" s="64">
        <f t="shared" si="19"/>
        <v>2.197802197802198E-2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1"/>
      <c r="R214" s="551"/>
      <c r="S214" s="551"/>
      <c r="T214" s="552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132.9</v>
      </c>
      <c r="BN214" s="64">
        <f t="shared" si="17"/>
        <v>132.9</v>
      </c>
      <c r="BO214" s="64">
        <f t="shared" si="18"/>
        <v>0.27472527472527475</v>
      </c>
      <c r="BP214" s="64">
        <f t="shared" si="19"/>
        <v>0.27472527472527475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145.0287356321839</v>
      </c>
      <c r="Y215" s="543">
        <f>IFERROR(Y206/H206,"0")+IFERROR(Y207/H207,"0")+IFERROR(Y208/H208,"0")+IFERROR(Y209/H209,"0")+IFERROR(Y210/H210,"0")+IFERROR(Y211/H211,"0")+IFERROR(Y212/H212,"0")+IFERROR(Y213/H213,"0")+IFERROR(Y214/H214,"0")</f>
        <v>146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1.4866700000000002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616</v>
      </c>
      <c r="Y216" s="543">
        <f>IFERROR(SUM(Y206:Y214),"0")</f>
        <v>621.29999999999995</v>
      </c>
      <c r="Z216" s="37"/>
      <c r="AA216" s="544"/>
      <c r="AB216" s="544"/>
      <c r="AC216" s="544"/>
    </row>
    <row r="217" spans="1:68" ht="14.25" hidden="1" customHeight="1" x14ac:dyDescent="0.25">
      <c r="A217" s="560" t="s">
        <v>164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1"/>
      <c r="R218" s="551"/>
      <c r="S218" s="551"/>
      <c r="T218" s="552"/>
      <c r="U218" s="34"/>
      <c r="V218" s="34"/>
      <c r="W218" s="35" t="s">
        <v>69</v>
      </c>
      <c r="X218" s="541">
        <v>64</v>
      </c>
      <c r="Y218" s="542">
        <f>IFERROR(IF(X218="",0,CEILING((X218/$H218),1)*$H218),"")</f>
        <v>64.8</v>
      </c>
      <c r="Z218" s="36">
        <f>IFERROR(IF(Y218=0,"",ROUNDUP(Y218/H218,0)*0.00651),"")</f>
        <v>0.17577000000000001</v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70.720000000000013</v>
      </c>
      <c r="BN218" s="64">
        <f>IFERROR(Y218*I218/H218,"0")</f>
        <v>71.604000000000013</v>
      </c>
      <c r="BO218" s="64">
        <f>IFERROR(1/J218*(X218/H218),"0")</f>
        <v>0.14652014652014653</v>
      </c>
      <c r="BP218" s="64">
        <f>IFERROR(1/J218*(Y218/H218),"0")</f>
        <v>0.14835164835164835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36.666666666666671</v>
      </c>
      <c r="Y220" s="543">
        <f>IFERROR(Y218/H218,"0")+IFERROR(Y219/H219,"0")</f>
        <v>37</v>
      </c>
      <c r="Z220" s="543">
        <f>IFERROR(IF(Z218="",0,Z218),"0")+IFERROR(IF(Z219="",0,Z219),"0")</f>
        <v>0.24087000000000003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88</v>
      </c>
      <c r="Y221" s="543">
        <f>IFERROR(SUM(Y218:Y219),"0")</f>
        <v>88.8</v>
      </c>
      <c r="Z221" s="37"/>
      <c r="AA221" s="544"/>
      <c r="AB221" s="544"/>
      <c r="AC221" s="544"/>
    </row>
    <row r="222" spans="1:68" ht="16.5" hidden="1" customHeight="1" x14ac:dyDescent="0.25">
      <c r="A222" s="570" t="s">
        <v>357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0" t="s">
        <v>101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1"/>
      <c r="R224" s="551"/>
      <c r="S224" s="551"/>
      <c r="T224" s="552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75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0" t="s">
        <v>136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1"/>
      <c r="R237" s="551"/>
      <c r="S237" s="551"/>
      <c r="T237" s="552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0" t="s">
        <v>383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1"/>
      <c r="R241" s="551"/>
      <c r="S241" s="551"/>
      <c r="T241" s="552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0" t="s">
        <v>387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1"/>
      <c r="R245" s="551"/>
      <c r="S245" s="551"/>
      <c r="T245" s="552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70" t="s">
        <v>399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0" t="s">
        <v>101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9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1"/>
      <c r="R254" s="551"/>
      <c r="S254" s="551"/>
      <c r="T254" s="552"/>
      <c r="U254" s="34"/>
      <c r="V254" s="34"/>
      <c r="W254" s="35" t="s">
        <v>69</v>
      </c>
      <c r="X254" s="541">
        <v>20</v>
      </c>
      <c r="Y254" s="542">
        <f>IFERROR(IF(X254="",0,CEILING((X254/$H254),1)*$H254),"")</f>
        <v>21.6</v>
      </c>
      <c r="Z254" s="36">
        <f>IFERROR(IF(Y254=0,"",ROUNDUP(Y254/H254,0)*0.01898),"")</f>
        <v>3.7960000000000001E-2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20.75925925925926</v>
      </c>
      <c r="BN254" s="64">
        <f>IFERROR(Y254*I254/H254,"0")</f>
        <v>22.42</v>
      </c>
      <c r="BO254" s="64">
        <f>IFERROR(1/J254*(X254/H254),"0")</f>
        <v>2.8935185185185182E-2</v>
      </c>
      <c r="BP254" s="64">
        <f>IFERROR(1/J254*(Y254/H254),"0")</f>
        <v>3.125E-2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1">
        <v>20</v>
      </c>
      <c r="Y256" s="542">
        <f>IFERROR(IF(X256="",0,CEILING((X256/$H256),1)*$H256),"")</f>
        <v>21.6</v>
      </c>
      <c r="Z256" s="36">
        <f>IFERROR(IF(Y256=0,"",ROUNDUP(Y256/H256,0)*0.01898),"")</f>
        <v>3.7960000000000001E-2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20.75925925925926</v>
      </c>
      <c r="BN256" s="64">
        <f>IFERROR(Y256*I256/H256,"0")</f>
        <v>22.42</v>
      </c>
      <c r="BO256" s="64">
        <f>IFERROR(1/J256*(X256/H256),"0")</f>
        <v>2.8935185185185182E-2</v>
      </c>
      <c r="BP256" s="64">
        <f>IFERROR(1/J256*(Y256/H256),"0")</f>
        <v>3.125E-2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3.7037037037037033</v>
      </c>
      <c r="Y259" s="543">
        <f>IFERROR(Y254/H254,"0")+IFERROR(Y255/H255,"0")+IFERROR(Y256/H256,"0")+IFERROR(Y257/H257,"0")+IFERROR(Y258/H258,"0")</f>
        <v>4</v>
      </c>
      <c r="Z259" s="543">
        <f>IFERROR(IF(Z254="",0,Z254),"0")+IFERROR(IF(Z255="",0,Z255),"0")+IFERROR(IF(Z256="",0,Z256),"0")+IFERROR(IF(Z257="",0,Z257),"0")+IFERROR(IF(Z258="",0,Z258),"0")</f>
        <v>7.5920000000000001E-2</v>
      </c>
      <c r="AA259" s="544"/>
      <c r="AB259" s="544"/>
      <c r="AC259" s="544"/>
    </row>
    <row r="260" spans="1:68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40</v>
      </c>
      <c r="Y260" s="543">
        <f>IFERROR(SUM(Y254:Y258),"0")</f>
        <v>43.2</v>
      </c>
      <c r="Z260" s="37"/>
      <c r="AA260" s="544"/>
      <c r="AB260" s="544"/>
      <c r="AC260" s="544"/>
    </row>
    <row r="261" spans="1:68" ht="16.5" hidden="1" customHeight="1" x14ac:dyDescent="0.25">
      <c r="A261" s="570" t="s">
        <v>415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0" t="s">
        <v>101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1"/>
      <c r="R263" s="551"/>
      <c r="S263" s="551"/>
      <c r="T263" s="552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1"/>
      <c r="R264" s="551"/>
      <c r="S264" s="551"/>
      <c r="T264" s="552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70" t="s">
        <v>426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0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1"/>
      <c r="R271" s="551"/>
      <c r="S271" s="551"/>
      <c r="T271" s="552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1"/>
      <c r="R273" s="551"/>
      <c r="S273" s="551"/>
      <c r="T273" s="552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70" t="s">
        <v>435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0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1"/>
      <c r="R278" s="551"/>
      <c r="S278" s="551"/>
      <c r="T278" s="552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1"/>
      <c r="R279" s="551"/>
      <c r="S279" s="551"/>
      <c r="T279" s="552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0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1"/>
      <c r="R283" s="551"/>
      <c r="S283" s="551"/>
      <c r="T283" s="552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3"/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5"/>
      <c r="P284" s="547" t="s">
        <v>71</v>
      </c>
      <c r="Q284" s="548"/>
      <c r="R284" s="548"/>
      <c r="S284" s="548"/>
      <c r="T284" s="548"/>
      <c r="U284" s="548"/>
      <c r="V284" s="549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4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47" t="s">
        <v>71</v>
      </c>
      <c r="Q285" s="548"/>
      <c r="R285" s="548"/>
      <c r="S285" s="548"/>
      <c r="T285" s="548"/>
      <c r="U285" s="548"/>
      <c r="V285" s="549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70" t="s">
        <v>445</v>
      </c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4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36"/>
      <c r="AB286" s="536"/>
      <c r="AC286" s="536"/>
    </row>
    <row r="287" spans="1:68" ht="14.25" hidden="1" customHeight="1" x14ac:dyDescent="0.25">
      <c r="A287" s="560" t="s">
        <v>101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5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1"/>
      <c r="R288" s="551"/>
      <c r="S288" s="551"/>
      <c r="T288" s="552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76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65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47" t="s">
        <v>71</v>
      </c>
      <c r="Q294" s="548"/>
      <c r="R294" s="548"/>
      <c r="S294" s="548"/>
      <c r="T294" s="548"/>
      <c r="U294" s="548"/>
      <c r="V294" s="549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47" t="s">
        <v>71</v>
      </c>
      <c r="Q295" s="548"/>
      <c r="R295" s="548"/>
      <c r="S295" s="548"/>
      <c r="T295" s="548"/>
      <c r="U295" s="548"/>
      <c r="V295" s="549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0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5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1"/>
      <c r="R297" s="551"/>
      <c r="S297" s="551"/>
      <c r="T297" s="552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6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1">
        <v>30</v>
      </c>
      <c r="Y298" s="542">
        <f t="shared" si="31"/>
        <v>33.6</v>
      </c>
      <c r="Z298" s="36">
        <f>IFERROR(IF(Y298=0,"",ROUNDUP(Y298/H298,0)*0.00902),"")</f>
        <v>7.2160000000000002E-2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31.785714285714285</v>
      </c>
      <c r="BN298" s="64">
        <f t="shared" si="33"/>
        <v>35.6</v>
      </c>
      <c r="BO298" s="64">
        <f t="shared" si="34"/>
        <v>5.4112554112554112E-2</v>
      </c>
      <c r="BP298" s="64">
        <f t="shared" si="35"/>
        <v>6.0606060606060608E-2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1"/>
      <c r="R302" s="551"/>
      <c r="S302" s="551"/>
      <c r="T302" s="552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1"/>
      <c r="R303" s="551"/>
      <c r="S303" s="551"/>
      <c r="T303" s="552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47" t="s">
        <v>71</v>
      </c>
      <c r="Q304" s="548"/>
      <c r="R304" s="548"/>
      <c r="S304" s="548"/>
      <c r="T304" s="548"/>
      <c r="U304" s="548"/>
      <c r="V304" s="54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7.1428571428571423</v>
      </c>
      <c r="Y304" s="543">
        <f>IFERROR(Y297/H297,"0")+IFERROR(Y298/H298,"0")+IFERROR(Y299/H299,"0")+IFERROR(Y300/H300,"0")+IFERROR(Y301/H301,"0")+IFERROR(Y302/H302,"0")+IFERROR(Y303/H303,"0")</f>
        <v>8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7.2160000000000002E-2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47" t="s">
        <v>71</v>
      </c>
      <c r="Q305" s="548"/>
      <c r="R305" s="548"/>
      <c r="S305" s="548"/>
      <c r="T305" s="548"/>
      <c r="U305" s="548"/>
      <c r="V305" s="549"/>
      <c r="W305" s="37" t="s">
        <v>69</v>
      </c>
      <c r="X305" s="543">
        <f>IFERROR(SUM(X297:X303),"0")</f>
        <v>30</v>
      </c>
      <c r="Y305" s="543">
        <f>IFERROR(SUM(Y297:Y303),"0")</f>
        <v>33.6</v>
      </c>
      <c r="Z305" s="37"/>
      <c r="AA305" s="544"/>
      <c r="AB305" s="544"/>
      <c r="AC305" s="544"/>
    </row>
    <row r="306" spans="1:68" ht="14.25" hidden="1" customHeight="1" x14ac:dyDescent="0.25">
      <c r="A306" s="560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5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1"/>
      <c r="R307" s="551"/>
      <c r="S307" s="551"/>
      <c r="T307" s="552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1"/>
      <c r="R308" s="551"/>
      <c r="S308" s="551"/>
      <c r="T308" s="552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1"/>
      <c r="R310" s="551"/>
      <c r="S310" s="551"/>
      <c r="T310" s="552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4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1"/>
      <c r="R311" s="551"/>
      <c r="S311" s="551"/>
      <c r="T311" s="552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0" t="s">
        <v>164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1"/>
      <c r="R315" s="551"/>
      <c r="S315" s="551"/>
      <c r="T315" s="552"/>
      <c r="U315" s="34"/>
      <c r="V315" s="34"/>
      <c r="W315" s="35" t="s">
        <v>69</v>
      </c>
      <c r="X315" s="541">
        <v>80</v>
      </c>
      <c r="Y315" s="542">
        <f>IFERROR(IF(X315="",0,CEILING((X315/$H315),1)*$H315),"")</f>
        <v>84</v>
      </c>
      <c r="Z315" s="36">
        <f>IFERROR(IF(Y315=0,"",ROUNDUP(Y315/H315,0)*0.01898),"")</f>
        <v>0.1898</v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84.704761904761895</v>
      </c>
      <c r="BN315" s="64">
        <f>IFERROR(Y315*I315/H315,"0")</f>
        <v>88.94</v>
      </c>
      <c r="BO315" s="64">
        <f>IFERROR(1/J315*(X315/H315),"0")</f>
        <v>0.14880952380952381</v>
      </c>
      <c r="BP315" s="64">
        <f>IFERROR(1/J315*(Y315/H315),"0")</f>
        <v>0.15625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1">
        <v>120</v>
      </c>
      <c r="Y316" s="542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127.60000000000001</v>
      </c>
      <c r="BN316" s="64">
        <f>IFERROR(Y316*I316/H316,"0")</f>
        <v>132.70400000000001</v>
      </c>
      <c r="BO316" s="64">
        <f>IFERROR(1/J316*(X316/H316),"0")</f>
        <v>0.24038461538461539</v>
      </c>
      <c r="BP316" s="64">
        <f>IFERROR(1/J316*(Y316/H316),"0")</f>
        <v>0.25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5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1">
        <v>50</v>
      </c>
      <c r="Y317" s="542">
        <f>IFERROR(IF(X317="",0,CEILING((X317/$H317),1)*$H317),"")</f>
        <v>50.400000000000006</v>
      </c>
      <c r="Z317" s="36">
        <f>IFERROR(IF(Y317=0,"",ROUNDUP(Y317/H317,0)*0.01898),"")</f>
        <v>0.11388000000000001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52.94047619047619</v>
      </c>
      <c r="BN317" s="64">
        <f>IFERROR(Y317*I317/H317,"0")</f>
        <v>53.364000000000004</v>
      </c>
      <c r="BO317" s="64">
        <f>IFERROR(1/J317*(X317/H317),"0")</f>
        <v>9.3005952380952384E-2</v>
      </c>
      <c r="BP317" s="64">
        <f>IFERROR(1/J317*(Y317/H317),"0")</f>
        <v>9.375E-2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30.860805860805861</v>
      </c>
      <c r="Y318" s="543">
        <f>IFERROR(Y315/H315,"0")+IFERROR(Y316/H316,"0")+IFERROR(Y317/H317,"0")</f>
        <v>32</v>
      </c>
      <c r="Z318" s="543">
        <f>IFERROR(IF(Z315="",0,Z315),"0")+IFERROR(IF(Z316="",0,Z316),"0")+IFERROR(IF(Z317="",0,Z317),"0")</f>
        <v>0.60736000000000001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250</v>
      </c>
      <c r="Y319" s="543">
        <f>IFERROR(SUM(Y315:Y317),"0")</f>
        <v>259.20000000000005</v>
      </c>
      <c r="Z319" s="37"/>
      <c r="AA319" s="544"/>
      <c r="AB319" s="544"/>
      <c r="AC319" s="544"/>
    </row>
    <row r="320" spans="1:68" ht="14.25" hidden="1" customHeight="1" x14ac:dyDescent="0.25">
      <c r="A320" s="560" t="s">
        <v>93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5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1"/>
      <c r="R321" s="551"/>
      <c r="S321" s="551"/>
      <c r="T321" s="552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9" t="s">
        <v>511</v>
      </c>
      <c r="Q322" s="551"/>
      <c r="R322" s="551"/>
      <c r="S322" s="551"/>
      <c r="T322" s="552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1"/>
      <c r="R323" s="551"/>
      <c r="S323" s="551"/>
      <c r="T323" s="552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0" t="s">
        <v>517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8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1"/>
      <c r="R328" s="551"/>
      <c r="S328" s="551"/>
      <c r="T328" s="552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1"/>
      <c r="R330" s="551"/>
      <c r="S330" s="551"/>
      <c r="T330" s="552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0" t="s">
        <v>526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60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1"/>
      <c r="R335" s="551"/>
      <c r="S335" s="551"/>
      <c r="T335" s="552"/>
      <c r="U335" s="34"/>
      <c r="V335" s="34"/>
      <c r="W335" s="35" t="s">
        <v>69</v>
      </c>
      <c r="X335" s="541">
        <v>100</v>
      </c>
      <c r="Y335" s="542">
        <f>IFERROR(IF(X335="",0,CEILING((X335/$H335),1)*$H335),"")</f>
        <v>105.3</v>
      </c>
      <c r="Z335" s="36">
        <f>IFERROR(IF(Y335=0,"",ROUNDUP(Y335/H335,0)*0.01898),"")</f>
        <v>0.24674000000000001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106.09876543209877</v>
      </c>
      <c r="BN335" s="64">
        <f>IFERROR(Y335*I335/H335,"0")</f>
        <v>111.72199999999999</v>
      </c>
      <c r="BO335" s="64">
        <f>IFERROR(1/J335*(X335/H335),"0")</f>
        <v>0.19290123456790123</v>
      </c>
      <c r="BP335" s="64">
        <f>IFERROR(1/J335*(Y335/H335),"0")</f>
        <v>0.203125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1"/>
      <c r="R336" s="551"/>
      <c r="S336" s="551"/>
      <c r="T336" s="552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6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12.345679012345679</v>
      </c>
      <c r="Y338" s="543">
        <f>IFERROR(Y335/H335,"0")+IFERROR(Y336/H336,"0")+IFERROR(Y337/H337,"0")</f>
        <v>13</v>
      </c>
      <c r="Z338" s="543">
        <f>IFERROR(IF(Z335="",0,Z335),"0")+IFERROR(IF(Z336="",0,Z336),"0")+IFERROR(IF(Z337="",0,Z337),"0")</f>
        <v>0.24674000000000001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100</v>
      </c>
      <c r="Y339" s="543">
        <f>IFERROR(SUM(Y335:Y337),"0")</f>
        <v>105.3</v>
      </c>
      <c r="Z339" s="37"/>
      <c r="AA339" s="544"/>
      <c r="AB339" s="544"/>
      <c r="AC339" s="544"/>
    </row>
    <row r="340" spans="1:68" ht="27.75" hidden="1" customHeight="1" x14ac:dyDescent="0.2">
      <c r="A340" s="645" t="s">
        <v>536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48"/>
      <c r="AB340" s="48"/>
      <c r="AC340" s="48"/>
    </row>
    <row r="341" spans="1:68" ht="16.5" hidden="1" customHeight="1" x14ac:dyDescent="0.25">
      <c r="A341" s="570" t="s">
        <v>537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60" t="s">
        <v>101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1"/>
      <c r="R343" s="551"/>
      <c r="S343" s="551"/>
      <c r="T343" s="552"/>
      <c r="U343" s="34"/>
      <c r="V343" s="34"/>
      <c r="W343" s="35" t="s">
        <v>69</v>
      </c>
      <c r="X343" s="541">
        <v>1050</v>
      </c>
      <c r="Y343" s="542">
        <f t="shared" ref="Y343:Y349" si="36">IFERROR(IF(X343="",0,CEILING((X343/$H343),1)*$H343),"")</f>
        <v>1050</v>
      </c>
      <c r="Z343" s="36">
        <f>IFERROR(IF(Y343=0,"",ROUNDUP(Y343/H343,0)*0.02175),"")</f>
        <v>1.5225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1082.9000000000001</v>
      </c>
      <c r="BN343" s="64">
        <f t="shared" ref="BN343:BN349" si="38">IFERROR(Y343*I343/H343,"0")</f>
        <v>1082.9000000000001</v>
      </c>
      <c r="BO343" s="64">
        <f t="shared" ref="BO343:BO349" si="39">IFERROR(1/J343*(X343/H343),"0")</f>
        <v>1.4583333333333333</v>
      </c>
      <c r="BP343" s="64">
        <f t="shared" ref="BP343:BP349" si="40">IFERROR(1/J343*(Y343/H343),"0")</f>
        <v>1.4583333333333333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1"/>
      <c r="R344" s="551"/>
      <c r="S344" s="551"/>
      <c r="T344" s="552"/>
      <c r="U344" s="34"/>
      <c r="V344" s="34"/>
      <c r="W344" s="35" t="s">
        <v>69</v>
      </c>
      <c r="X344" s="541">
        <v>2550</v>
      </c>
      <c r="Y344" s="542">
        <f t="shared" si="36"/>
        <v>2550</v>
      </c>
      <c r="Z344" s="36">
        <f>IFERROR(IF(Y344=0,"",ROUNDUP(Y344/H344,0)*0.02175),"")</f>
        <v>3.6974999999999998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2629.9</v>
      </c>
      <c r="BN344" s="64">
        <f t="shared" si="38"/>
        <v>2629.9</v>
      </c>
      <c r="BO344" s="64">
        <f t="shared" si="39"/>
        <v>3.5416666666666665</v>
      </c>
      <c r="BP344" s="64">
        <f t="shared" si="40"/>
        <v>3.5416666666666665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03" t="s">
        <v>549</v>
      </c>
      <c r="Q346" s="551"/>
      <c r="R346" s="551"/>
      <c r="S346" s="551"/>
      <c r="T346" s="552"/>
      <c r="U346" s="34"/>
      <c r="V346" s="34"/>
      <c r="W346" s="35" t="s">
        <v>69</v>
      </c>
      <c r="X346" s="541">
        <v>2250</v>
      </c>
      <c r="Y346" s="542">
        <f t="shared" si="36"/>
        <v>2250</v>
      </c>
      <c r="Z346" s="36">
        <f>IFERROR(IF(Y346=0,"",ROUNDUP(Y346/H346,0)*0.02175),"")</f>
        <v>3.2624999999999997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2320.5</v>
      </c>
      <c r="BN346" s="64">
        <f t="shared" si="38"/>
        <v>2320.5</v>
      </c>
      <c r="BO346" s="64">
        <f t="shared" si="39"/>
        <v>3.125</v>
      </c>
      <c r="BP346" s="64">
        <f t="shared" si="40"/>
        <v>3.125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1"/>
      <c r="R347" s="551"/>
      <c r="S347" s="551"/>
      <c r="T347" s="552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390</v>
      </c>
      <c r="Y350" s="543">
        <f>IFERROR(Y343/H343,"0")+IFERROR(Y344/H344,"0")+IFERROR(Y345/H345,"0")+IFERROR(Y346/H346,"0")+IFERROR(Y347/H347,"0")+IFERROR(Y348/H348,"0")+IFERROR(Y349/H349,"0")</f>
        <v>390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8.4824999999999999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5850</v>
      </c>
      <c r="Y351" s="543">
        <f>IFERROR(SUM(Y343:Y349),"0")</f>
        <v>5850</v>
      </c>
      <c r="Z351" s="37"/>
      <c r="AA351" s="544"/>
      <c r="AB351" s="544"/>
      <c r="AC351" s="544"/>
    </row>
    <row r="352" spans="1:68" ht="14.25" hidden="1" customHeight="1" x14ac:dyDescent="0.25">
      <c r="A352" s="560" t="s">
        <v>136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1"/>
      <c r="R353" s="551"/>
      <c r="S353" s="551"/>
      <c r="T353" s="552"/>
      <c r="U353" s="34"/>
      <c r="V353" s="34"/>
      <c r="W353" s="35" t="s">
        <v>69</v>
      </c>
      <c r="X353" s="541">
        <v>1500</v>
      </c>
      <c r="Y353" s="542">
        <f>IFERROR(IF(X353="",0,CEILING((X353/$H353),1)*$H353),"")</f>
        <v>1500</v>
      </c>
      <c r="Z353" s="36">
        <f>IFERROR(IF(Y353=0,"",ROUNDUP(Y353/H353,0)*0.02175),"")</f>
        <v>2.1749999999999998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1547</v>
      </c>
      <c r="BN353" s="64">
        <f>IFERROR(Y353*I353/H353,"0")</f>
        <v>1547</v>
      </c>
      <c r="BO353" s="64">
        <f>IFERROR(1/J353*(X353/H353),"0")</f>
        <v>2.083333333333333</v>
      </c>
      <c r="BP353" s="64">
        <f>IFERROR(1/J353*(Y353/H353),"0")</f>
        <v>2.083333333333333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1"/>
      <c r="R354" s="551"/>
      <c r="S354" s="551"/>
      <c r="T354" s="552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100</v>
      </c>
      <c r="Y355" s="543">
        <f>IFERROR(Y353/H353,"0")+IFERROR(Y354/H354,"0")</f>
        <v>100</v>
      </c>
      <c r="Z355" s="543">
        <f>IFERROR(IF(Z353="",0,Z353),"0")+IFERROR(IF(Z354="",0,Z354),"0")</f>
        <v>2.1749999999999998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1500</v>
      </c>
      <c r="Y356" s="543">
        <f>IFERROR(SUM(Y353:Y354),"0")</f>
        <v>1500</v>
      </c>
      <c r="Z356" s="37"/>
      <c r="AA356" s="544"/>
      <c r="AB356" s="544"/>
      <c r="AC356" s="544"/>
    </row>
    <row r="357" spans="1:68" ht="14.25" hidden="1" customHeight="1" x14ac:dyDescent="0.25">
      <c r="A357" s="560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1"/>
      <c r="R358" s="551"/>
      <c r="S358" s="551"/>
      <c r="T358" s="552"/>
      <c r="U358" s="34"/>
      <c r="V358" s="34"/>
      <c r="W358" s="35" t="s">
        <v>69</v>
      </c>
      <c r="X358" s="541">
        <v>650</v>
      </c>
      <c r="Y358" s="542">
        <f>IFERROR(IF(X358="",0,CEILING((X358/$H358),1)*$H358),"")</f>
        <v>657</v>
      </c>
      <c r="Z358" s="36">
        <f>IFERROR(IF(Y358=0,"",ROUNDUP(Y358/H358,0)*0.01898),"")</f>
        <v>1.38554</v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686.11111111111109</v>
      </c>
      <c r="BN358" s="64">
        <f>IFERROR(Y358*I358/H358,"0")</f>
        <v>693.5</v>
      </c>
      <c r="BO358" s="64">
        <f>IFERROR(1/J358*(X358/H358),"0")</f>
        <v>1.1284722222222223</v>
      </c>
      <c r="BP358" s="64">
        <f>IFERROR(1/J358*(Y358/H358),"0")</f>
        <v>1.140625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1">
        <v>220</v>
      </c>
      <c r="Y359" s="542">
        <f>IFERROR(IF(X359="",0,CEILING((X359/$H359),1)*$H359),"")</f>
        <v>225</v>
      </c>
      <c r="Z359" s="36">
        <f>IFERROR(IF(Y359=0,"",ROUNDUP(Y359/H359,0)*0.01898),"")</f>
        <v>0.47450000000000003</v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232.07555555555552</v>
      </c>
      <c r="BN359" s="64">
        <f>IFERROR(Y359*I359/H359,"0")</f>
        <v>237.35000000000002</v>
      </c>
      <c r="BO359" s="64">
        <f>IFERROR(1/J359*(X359/H359),"0")</f>
        <v>0.38194444444444442</v>
      </c>
      <c r="BP359" s="64">
        <f>IFERROR(1/J359*(Y359/H359),"0")</f>
        <v>0.390625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96.666666666666671</v>
      </c>
      <c r="Y360" s="543">
        <f>IFERROR(Y358/H358,"0")+IFERROR(Y359/H359,"0")</f>
        <v>98</v>
      </c>
      <c r="Z360" s="543">
        <f>IFERROR(IF(Z358="",0,Z358),"0")+IFERROR(IF(Z359="",0,Z359),"0")</f>
        <v>1.8600400000000001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870</v>
      </c>
      <c r="Y361" s="543">
        <f>IFERROR(SUM(Y358:Y359),"0")</f>
        <v>882</v>
      </c>
      <c r="Z361" s="37"/>
      <c r="AA361" s="544"/>
      <c r="AB361" s="544"/>
      <c r="AC361" s="544"/>
    </row>
    <row r="362" spans="1:68" ht="14.25" hidden="1" customHeight="1" x14ac:dyDescent="0.25">
      <c r="A362" s="560" t="s">
        <v>164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1"/>
      <c r="R363" s="551"/>
      <c r="S363" s="551"/>
      <c r="T363" s="552"/>
      <c r="U363" s="34"/>
      <c r="V363" s="34"/>
      <c r="W363" s="35" t="s">
        <v>69</v>
      </c>
      <c r="X363" s="541">
        <v>410</v>
      </c>
      <c r="Y363" s="542">
        <f>IFERROR(IF(X363="",0,CEILING((X363/$H363),1)*$H363),"")</f>
        <v>414</v>
      </c>
      <c r="Z363" s="36">
        <f>IFERROR(IF(Y363=0,"",ROUNDUP(Y363/H363,0)*0.01898),"")</f>
        <v>0.87307999999999997</v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432.50444444444446</v>
      </c>
      <c r="BN363" s="64">
        <f>IFERROR(Y363*I363/H363,"0")</f>
        <v>436.72399999999999</v>
      </c>
      <c r="BO363" s="64">
        <f>IFERROR(1/J363*(X363/H363),"0")</f>
        <v>0.71180555555555558</v>
      </c>
      <c r="BP363" s="64">
        <f>IFERROR(1/J363*(Y363/H363),"0")</f>
        <v>0.71875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45.555555555555557</v>
      </c>
      <c r="Y364" s="543">
        <f>IFERROR(Y363/H363,"0")</f>
        <v>46</v>
      </c>
      <c r="Z364" s="543">
        <f>IFERROR(IF(Z363="",0,Z363),"0")</f>
        <v>0.87307999999999997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410</v>
      </c>
      <c r="Y365" s="543">
        <f>IFERROR(SUM(Y363:Y363),"0")</f>
        <v>414</v>
      </c>
      <c r="Z365" s="37"/>
      <c r="AA365" s="544"/>
      <c r="AB365" s="544"/>
      <c r="AC365" s="544"/>
    </row>
    <row r="366" spans="1:68" ht="16.5" hidden="1" customHeight="1" x14ac:dyDescent="0.25">
      <c r="A366" s="570" t="s">
        <v>572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60" t="s">
        <v>101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1"/>
      <c r="R368" s="551"/>
      <c r="S368" s="551"/>
      <c r="T368" s="552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0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1"/>
      <c r="R373" s="551"/>
      <c r="S373" s="551"/>
      <c r="T373" s="552"/>
      <c r="U373" s="34"/>
      <c r="V373" s="34"/>
      <c r="W373" s="35" t="s">
        <v>69</v>
      </c>
      <c r="X373" s="541">
        <v>120</v>
      </c>
      <c r="Y373" s="542">
        <f>IFERROR(IF(X373="",0,CEILING((X373/$H373),1)*$H373),"")</f>
        <v>122.64</v>
      </c>
      <c r="Z373" s="36">
        <f>IFERROR(IF(Y373=0,"",ROUNDUP(Y373/H373,0)*0.00902),"")</f>
        <v>0.25256000000000001</v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126.84931506849315</v>
      </c>
      <c r="BN373" s="64">
        <f>IFERROR(Y373*I373/H373,"0")</f>
        <v>129.64000000000001</v>
      </c>
      <c r="BO373" s="64">
        <f>IFERROR(1/J373*(X373/H373),"0")</f>
        <v>0.20755500207555003</v>
      </c>
      <c r="BP373" s="64">
        <f>IFERROR(1/J373*(Y373/H373),"0")</f>
        <v>0.21212121212121213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1"/>
      <c r="R374" s="551"/>
      <c r="S374" s="551"/>
      <c r="T374" s="552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27.397260273972602</v>
      </c>
      <c r="Y375" s="543">
        <f>IFERROR(Y373/H373,"0")+IFERROR(Y374/H374,"0")</f>
        <v>28</v>
      </c>
      <c r="Z375" s="543">
        <f>IFERROR(IF(Z373="",0,Z373),"0")+IFERROR(IF(Z374="",0,Z374),"0")</f>
        <v>0.25256000000000001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120</v>
      </c>
      <c r="Y376" s="543">
        <f>IFERROR(SUM(Y373:Y374),"0")</f>
        <v>122.64</v>
      </c>
      <c r="Z376" s="37"/>
      <c r="AA376" s="544"/>
      <c r="AB376" s="544"/>
      <c r="AC376" s="544"/>
    </row>
    <row r="377" spans="1:68" ht="14.25" hidden="1" customHeight="1" x14ac:dyDescent="0.25">
      <c r="A377" s="560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1"/>
      <c r="R378" s="551"/>
      <c r="S378" s="551"/>
      <c r="T378" s="552"/>
      <c r="U378" s="34"/>
      <c r="V378" s="34"/>
      <c r="W378" s="35" t="s">
        <v>69</v>
      </c>
      <c r="X378" s="541">
        <v>270</v>
      </c>
      <c r="Y378" s="542">
        <f>IFERROR(IF(X378="",0,CEILING((X378/$H378),1)*$H378),"")</f>
        <v>270</v>
      </c>
      <c r="Z378" s="36">
        <f>IFERROR(IF(Y378=0,"",ROUNDUP(Y378/H378,0)*0.01898),"")</f>
        <v>0.56940000000000002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284.82</v>
      </c>
      <c r="BN378" s="64">
        <f>IFERROR(Y378*I378/H378,"0")</f>
        <v>284.82</v>
      </c>
      <c r="BO378" s="64">
        <f>IFERROR(1/J378*(X378/H378),"0")</f>
        <v>0.46875</v>
      </c>
      <c r="BP378" s="64">
        <f>IFERROR(1/J378*(Y378/H378),"0")</f>
        <v>0.46875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30</v>
      </c>
      <c r="Y380" s="543">
        <f>IFERROR(Y378/H378,"0")+IFERROR(Y379/H379,"0")</f>
        <v>30</v>
      </c>
      <c r="Z380" s="543">
        <f>IFERROR(IF(Z378="",0,Z378),"0")+IFERROR(IF(Z379="",0,Z379),"0")</f>
        <v>0.56940000000000002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270</v>
      </c>
      <c r="Y381" s="543">
        <f>IFERROR(SUM(Y378:Y379),"0")</f>
        <v>270</v>
      </c>
      <c r="Z381" s="37"/>
      <c r="AA381" s="544"/>
      <c r="AB381" s="544"/>
      <c r="AC381" s="544"/>
    </row>
    <row r="382" spans="1:68" ht="27.75" hidden="1" customHeight="1" x14ac:dyDescent="0.2">
      <c r="A382" s="645" t="s">
        <v>588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hidden="1" customHeight="1" x14ac:dyDescent="0.25">
      <c r="A383" s="570" t="s">
        <v>589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0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1"/>
      <c r="R385" s="551"/>
      <c r="S385" s="551"/>
      <c r="T385" s="552"/>
      <c r="U385" s="34"/>
      <c r="V385" s="34"/>
      <c r="W385" s="35" t="s">
        <v>69</v>
      </c>
      <c r="X385" s="541">
        <v>100</v>
      </c>
      <c r="Y385" s="542">
        <f t="shared" ref="Y385:Y393" si="41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103.5185185185185</v>
      </c>
      <c r="BN385" s="64">
        <f t="shared" ref="BN385:BN393" si="43">IFERROR(Y385*I385/H385,"0")</f>
        <v>106.21</v>
      </c>
      <c r="BO385" s="64">
        <f t="shared" ref="BO385:BO393" si="44">IFERROR(1/J385*(X385/H385),"0")</f>
        <v>0.14029180695847362</v>
      </c>
      <c r="BP385" s="64">
        <f t="shared" ref="BP385:BP393" si="45">IFERROR(1/J385*(Y385/H385),"0")</f>
        <v>0.14393939393939395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1"/>
      <c r="R389" s="551"/>
      <c r="S389" s="551"/>
      <c r="T389" s="552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1"/>
      <c r="R391" s="551"/>
      <c r="S391" s="551"/>
      <c r="T391" s="552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1"/>
      <c r="R392" s="551"/>
      <c r="S392" s="551"/>
      <c r="T392" s="552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5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18.518518518518519</v>
      </c>
      <c r="Y394" s="543">
        <f>IFERROR(Y385/H385,"0")+IFERROR(Y386/H386,"0")+IFERROR(Y387/H387,"0")+IFERROR(Y388/H388,"0")+IFERROR(Y389/H389,"0")+IFERROR(Y390/H390,"0")+IFERROR(Y391/H391,"0")+IFERROR(Y392/H392,"0")+IFERROR(Y393/H393,"0")</f>
        <v>19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0.17138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100</v>
      </c>
      <c r="Y395" s="543">
        <f>IFERROR(SUM(Y385:Y393),"0")</f>
        <v>102.60000000000001</v>
      </c>
      <c r="Z395" s="37"/>
      <c r="AA395" s="544"/>
      <c r="AB395" s="544"/>
      <c r="AC395" s="544"/>
    </row>
    <row r="396" spans="1:68" ht="14.25" hidden="1" customHeight="1" x14ac:dyDescent="0.25">
      <c r="A396" s="560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1"/>
      <c r="R397" s="551"/>
      <c r="S397" s="551"/>
      <c r="T397" s="552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0" t="s">
        <v>620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0" t="s">
        <v>136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1"/>
      <c r="R403" s="551"/>
      <c r="S403" s="551"/>
      <c r="T403" s="552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0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4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1"/>
      <c r="R407" s="551"/>
      <c r="S407" s="551"/>
      <c r="T407" s="552"/>
      <c r="U407" s="34"/>
      <c r="V407" s="34"/>
      <c r="W407" s="35" t="s">
        <v>69</v>
      </c>
      <c r="X407" s="541">
        <v>200</v>
      </c>
      <c r="Y407" s="542">
        <f>IFERROR(IF(X407="",0,CEILING((X407/$H407),1)*$H407),"")</f>
        <v>205.20000000000002</v>
      </c>
      <c r="Z407" s="36">
        <f>IFERROR(IF(Y407=0,"",ROUNDUP(Y407/H407,0)*0.00902),"")</f>
        <v>0.34276000000000001</v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207.03703703703701</v>
      </c>
      <c r="BN407" s="64">
        <f>IFERROR(Y407*I407/H407,"0")</f>
        <v>212.42</v>
      </c>
      <c r="BO407" s="64">
        <f>IFERROR(1/J407*(X407/H407),"0")</f>
        <v>0.28058361391694725</v>
      </c>
      <c r="BP407" s="64">
        <f>IFERROR(1/J407*(Y407/H407),"0")</f>
        <v>0.2878787878787879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1"/>
      <c r="R409" s="551"/>
      <c r="S409" s="551"/>
      <c r="T409" s="552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37.037037037037038</v>
      </c>
      <c r="Y411" s="543">
        <f>IFERROR(Y407/H407,"0")+IFERROR(Y408/H408,"0")+IFERROR(Y409/H409,"0")+IFERROR(Y410/H410,"0")</f>
        <v>38</v>
      </c>
      <c r="Z411" s="543">
        <f>IFERROR(IF(Z407="",0,Z407),"0")+IFERROR(IF(Z408="",0,Z408),"0")+IFERROR(IF(Z409="",0,Z409),"0")+IFERROR(IF(Z410="",0,Z410),"0")</f>
        <v>0.34276000000000001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200</v>
      </c>
      <c r="Y412" s="543">
        <f>IFERROR(SUM(Y407:Y410),"0")</f>
        <v>205.20000000000002</v>
      </c>
      <c r="Z412" s="37"/>
      <c r="AA412" s="544"/>
      <c r="AB412" s="544"/>
      <c r="AC412" s="544"/>
    </row>
    <row r="413" spans="1:68" ht="16.5" hidden="1" customHeight="1" x14ac:dyDescent="0.25">
      <c r="A413" s="570" t="s">
        <v>635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0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1"/>
      <c r="R415" s="551"/>
      <c r="S415" s="551"/>
      <c r="T415" s="552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5" t="s">
        <v>639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hidden="1" customHeight="1" x14ac:dyDescent="0.25">
      <c r="A419" s="570" t="s">
        <v>639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0" t="s">
        <v>101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5"/>
      <c r="AB420" s="535"/>
      <c r="AC420" s="535"/>
    </row>
    <row r="421" spans="1:68" ht="27" hidden="1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1"/>
      <c r="R421" s="551"/>
      <c r="S421" s="551"/>
      <c r="T421" s="552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1"/>
      <c r="R422" s="551"/>
      <c r="S422" s="551"/>
      <c r="T422" s="552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7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4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1"/>
      <c r="R424" s="551"/>
      <c r="S424" s="551"/>
      <c r="T424" s="552"/>
      <c r="U424" s="34"/>
      <c r="V424" s="34"/>
      <c r="W424" s="35" t="s">
        <v>69</v>
      </c>
      <c r="X424" s="541">
        <v>130</v>
      </c>
      <c r="Y424" s="542">
        <f t="shared" si="47"/>
        <v>132</v>
      </c>
      <c r="Z424" s="36">
        <f t="shared" si="48"/>
        <v>0.29899999999999999</v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138.61742424242422</v>
      </c>
      <c r="BN424" s="64">
        <f t="shared" si="50"/>
        <v>140.75</v>
      </c>
      <c r="BO424" s="64">
        <f t="shared" si="51"/>
        <v>0.23674242424242425</v>
      </c>
      <c r="BP424" s="64">
        <f t="shared" si="52"/>
        <v>0.24038461538461539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1"/>
      <c r="R425" s="551"/>
      <c r="S425" s="551"/>
      <c r="T425" s="552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1">
        <v>190</v>
      </c>
      <c r="Y426" s="542">
        <f t="shared" si="47"/>
        <v>190.08</v>
      </c>
      <c r="Z426" s="36">
        <f t="shared" si="48"/>
        <v>0.43056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202.59469696969697</v>
      </c>
      <c r="BN426" s="64">
        <f t="shared" si="50"/>
        <v>202.67999999999998</v>
      </c>
      <c r="BO426" s="64">
        <f t="shared" si="51"/>
        <v>0.34600815850815853</v>
      </c>
      <c r="BP426" s="64">
        <f t="shared" si="52"/>
        <v>0.34615384615384615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1"/>
      <c r="R427" s="551"/>
      <c r="S427" s="551"/>
      <c r="T427" s="552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1"/>
      <c r="R428" s="551"/>
      <c r="S428" s="551"/>
      <c r="T428" s="552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60.606060606060609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0.72955999999999999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320</v>
      </c>
      <c r="Y433" s="543">
        <f>IFERROR(SUM(Y421:Y431),"0")</f>
        <v>322.08000000000004</v>
      </c>
      <c r="Z433" s="37"/>
      <c r="AA433" s="544"/>
      <c r="AB433" s="544"/>
      <c r="AC433" s="544"/>
    </row>
    <row r="434" spans="1:68" ht="14.25" hidden="1" customHeight="1" x14ac:dyDescent="0.25">
      <c r="A434" s="560" t="s">
        <v>136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1"/>
      <c r="R435" s="551"/>
      <c r="S435" s="551"/>
      <c r="T435" s="552"/>
      <c r="U435" s="34"/>
      <c r="V435" s="34"/>
      <c r="W435" s="35" t="s">
        <v>69</v>
      </c>
      <c r="X435" s="541">
        <v>170</v>
      </c>
      <c r="Y435" s="542">
        <f>IFERROR(IF(X435="",0,CEILING((X435/$H435),1)*$H435),"")</f>
        <v>174.24</v>
      </c>
      <c r="Z435" s="36">
        <f>IFERROR(IF(Y435=0,"",ROUNDUP(Y435/H435,0)*0.01196),"")</f>
        <v>0.39468000000000003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181.26893939393938</v>
      </c>
      <c r="BN435" s="64">
        <f>IFERROR(Y435*I435/H435,"0")</f>
        <v>185.79</v>
      </c>
      <c r="BO435" s="64">
        <f>IFERROR(1/J435*(X435/H435),"0")</f>
        <v>0.3095862470862471</v>
      </c>
      <c r="BP435" s="64">
        <f>IFERROR(1/J435*(Y435/H435),"0")</f>
        <v>0.31730769230769235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1"/>
      <c r="R436" s="551"/>
      <c r="S436" s="551"/>
      <c r="T436" s="552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1"/>
      <c r="R437" s="551"/>
      <c r="S437" s="551"/>
      <c r="T437" s="552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32.196969696969695</v>
      </c>
      <c r="Y438" s="543">
        <f>IFERROR(Y435/H435,"0")+IFERROR(Y436/H436,"0")+IFERROR(Y437/H437,"0")</f>
        <v>33</v>
      </c>
      <c r="Z438" s="543">
        <f>IFERROR(IF(Z435="",0,Z435),"0")+IFERROR(IF(Z436="",0,Z436),"0")+IFERROR(IF(Z437="",0,Z437),"0")</f>
        <v>0.39468000000000003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170</v>
      </c>
      <c r="Y439" s="543">
        <f>IFERROR(SUM(Y435:Y437),"0")</f>
        <v>174.24</v>
      </c>
      <c r="Z439" s="37"/>
      <c r="AA439" s="544"/>
      <c r="AB439" s="544"/>
      <c r="AC439" s="544"/>
    </row>
    <row r="440" spans="1:68" ht="14.25" hidden="1" customHeight="1" x14ac:dyDescent="0.25">
      <c r="A440" s="560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1"/>
      <c r="R441" s="551"/>
      <c r="S441" s="551"/>
      <c r="T441" s="552"/>
      <c r="U441" s="34"/>
      <c r="V441" s="34"/>
      <c r="W441" s="35" t="s">
        <v>69</v>
      </c>
      <c r="X441" s="541">
        <v>130</v>
      </c>
      <c r="Y441" s="542">
        <f t="shared" ref="Y441:Y446" si="53">IFERROR(IF(X441="",0,CEILING((X441/$H441),1)*$H441),"")</f>
        <v>132</v>
      </c>
      <c r="Z441" s="36">
        <f>IFERROR(IF(Y441=0,"",ROUNDUP(Y441/H441,0)*0.01196),"")</f>
        <v>0.29899999999999999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138.61742424242422</v>
      </c>
      <c r="BN441" s="64">
        <f t="shared" ref="BN441:BN446" si="55">IFERROR(Y441*I441/H441,"0")</f>
        <v>140.75</v>
      </c>
      <c r="BO441" s="64">
        <f t="shared" ref="BO441:BO446" si="56">IFERROR(1/J441*(X441/H441),"0")</f>
        <v>0.23674242424242425</v>
      </c>
      <c r="BP441" s="64">
        <f t="shared" ref="BP441:BP446" si="57">IFERROR(1/J441*(Y441/H441),"0")</f>
        <v>0.24038461538461539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1">
        <v>90</v>
      </c>
      <c r="Y442" s="542">
        <f t="shared" si="53"/>
        <v>95.04</v>
      </c>
      <c r="Z442" s="36">
        <f>IFERROR(IF(Y442=0,"",ROUNDUP(Y442/H442,0)*0.01196),"")</f>
        <v>0.21528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95.965909090909079</v>
      </c>
      <c r="BN442" s="64">
        <f t="shared" si="55"/>
        <v>101.33999999999999</v>
      </c>
      <c r="BO442" s="64">
        <f t="shared" si="56"/>
        <v>0.16389860139860138</v>
      </c>
      <c r="BP442" s="64">
        <f t="shared" si="57"/>
        <v>0.17307692307692307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1">
        <v>130</v>
      </c>
      <c r="Y443" s="542">
        <f t="shared" si="53"/>
        <v>132</v>
      </c>
      <c r="Z443" s="36">
        <f>IFERROR(IF(Y443=0,"",ROUNDUP(Y443/H443,0)*0.01196),"")</f>
        <v>0.29899999999999999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138.61742424242422</v>
      </c>
      <c r="BN443" s="64">
        <f t="shared" si="55"/>
        <v>140.75</v>
      </c>
      <c r="BO443" s="64">
        <f t="shared" si="56"/>
        <v>0.23674242424242425</v>
      </c>
      <c r="BP443" s="64">
        <f t="shared" si="57"/>
        <v>0.24038461538461539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1"/>
      <c r="R445" s="551"/>
      <c r="S445" s="551"/>
      <c r="T445" s="552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5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66.287878787878782</v>
      </c>
      <c r="Y447" s="543">
        <f>IFERROR(Y441/H441,"0")+IFERROR(Y442/H442,"0")+IFERROR(Y443/H443,"0")+IFERROR(Y444/H444,"0")+IFERROR(Y445/H445,"0")+IFERROR(Y446/H446,"0")</f>
        <v>68</v>
      </c>
      <c r="Z447" s="543">
        <f>IFERROR(IF(Z441="",0,Z441),"0")+IFERROR(IF(Z442="",0,Z442),"0")+IFERROR(IF(Z443="",0,Z443),"0")+IFERROR(IF(Z444="",0,Z444),"0")+IFERROR(IF(Z445="",0,Z445),"0")+IFERROR(IF(Z446="",0,Z446),"0")</f>
        <v>0.81328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350</v>
      </c>
      <c r="Y448" s="543">
        <f>IFERROR(SUM(Y441:Y446),"0")</f>
        <v>359.04</v>
      </c>
      <c r="Z448" s="37"/>
      <c r="AA448" s="544"/>
      <c r="AB448" s="544"/>
      <c r="AC448" s="544"/>
    </row>
    <row r="449" spans="1:68" ht="14.25" hidden="1" customHeight="1" x14ac:dyDescent="0.25">
      <c r="A449" s="560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7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1"/>
      <c r="R450" s="551"/>
      <c r="S450" s="551"/>
      <c r="T450" s="552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6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5" t="s">
        <v>699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hidden="1" customHeight="1" x14ac:dyDescent="0.25">
      <c r="A456" s="570" t="s">
        <v>699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0" t="s">
        <v>101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1"/>
      <c r="R458" s="551"/>
      <c r="S458" s="551"/>
      <c r="T458" s="552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1">
        <v>180</v>
      </c>
      <c r="Y460" s="542">
        <f>IFERROR(IF(X460="",0,CEILING((X460/$H460),1)*$H460),"")</f>
        <v>180</v>
      </c>
      <c r="Z460" s="36">
        <f>IFERROR(IF(Y460=0,"",ROUNDUP(Y460/H460,0)*0.01898),"")</f>
        <v>0.28470000000000001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186.15</v>
      </c>
      <c r="BN460" s="64">
        <f>IFERROR(Y460*I460/H460,"0")</f>
        <v>186.15</v>
      </c>
      <c r="BO460" s="64">
        <f>IFERROR(1/J460*(X460/H460),"0")</f>
        <v>0.234375</v>
      </c>
      <c r="BP460" s="64">
        <f>IFERROR(1/J460*(Y460/H460),"0")</f>
        <v>0.234375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15</v>
      </c>
      <c r="Y462" s="543">
        <f>IFERROR(Y458/H458,"0")+IFERROR(Y459/H459,"0")+IFERROR(Y460/H460,"0")+IFERROR(Y461/H461,"0")</f>
        <v>15</v>
      </c>
      <c r="Z462" s="543">
        <f>IFERROR(IF(Z458="",0,Z458),"0")+IFERROR(IF(Z459="",0,Z459),"0")+IFERROR(IF(Z460="",0,Z460),"0")+IFERROR(IF(Z461="",0,Z461),"0")</f>
        <v>0.28470000000000001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180</v>
      </c>
      <c r="Y463" s="543">
        <f>IFERROR(SUM(Y458:Y461),"0")</f>
        <v>180</v>
      </c>
      <c r="Z463" s="37"/>
      <c r="AA463" s="544"/>
      <c r="AB463" s="544"/>
      <c r="AC463" s="544"/>
    </row>
    <row r="464" spans="1:68" ht="14.25" hidden="1" customHeight="1" x14ac:dyDescent="0.25">
      <c r="A464" s="560" t="s">
        <v>136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1"/>
      <c r="R465" s="551"/>
      <c r="S465" s="551"/>
      <c r="T465" s="552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1"/>
      <c r="R466" s="551"/>
      <c r="S466" s="551"/>
      <c r="T466" s="552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9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1"/>
      <c r="R467" s="551"/>
      <c r="S467" s="551"/>
      <c r="T467" s="552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0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1"/>
      <c r="R471" s="551"/>
      <c r="S471" s="551"/>
      <c r="T471" s="552"/>
      <c r="U471" s="34"/>
      <c r="V471" s="34"/>
      <c r="W471" s="35" t="s">
        <v>69</v>
      </c>
      <c r="X471" s="541">
        <v>80</v>
      </c>
      <c r="Y471" s="542">
        <f>IFERROR(IF(X471="",0,CEILING((X471/$H471),1)*$H471),"")</f>
        <v>84</v>
      </c>
      <c r="Z471" s="36">
        <f>IFERROR(IF(Y471=0,"",ROUNDUP(Y471/H471,0)*0.00902),"")</f>
        <v>0.1804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84.761904761904759</v>
      </c>
      <c r="BN471" s="64">
        <f>IFERROR(Y471*I471/H471,"0")</f>
        <v>89</v>
      </c>
      <c r="BO471" s="64">
        <f>IFERROR(1/J471*(X471/H471),"0")</f>
        <v>0.14430014430014429</v>
      </c>
      <c r="BP471" s="64">
        <f>IFERROR(1/J471*(Y471/H471),"0")</f>
        <v>0.15151515151515152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1">
        <v>50</v>
      </c>
      <c r="Y472" s="542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52.976190476190474</v>
      </c>
      <c r="BN472" s="64">
        <f>IFERROR(Y472*I472/H472,"0")</f>
        <v>53.400000000000006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30.952380952380953</v>
      </c>
      <c r="Y473" s="543">
        <f>IFERROR(Y471/H471,"0")+IFERROR(Y472/H472,"0")</f>
        <v>32</v>
      </c>
      <c r="Z473" s="543">
        <f>IFERROR(IF(Z471="",0,Z471),"0")+IFERROR(IF(Z472="",0,Z472),"0")</f>
        <v>0.28864000000000001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130</v>
      </c>
      <c r="Y474" s="543">
        <f>IFERROR(SUM(Y471:Y472),"0")</f>
        <v>134.4</v>
      </c>
      <c r="Z474" s="37"/>
      <c r="AA474" s="544"/>
      <c r="AB474" s="544"/>
      <c r="AC474" s="544"/>
    </row>
    <row r="475" spans="1:68" ht="14.25" hidden="1" customHeight="1" x14ac:dyDescent="0.25">
      <c r="A475" s="560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5"/>
      <c r="AB475" s="535"/>
      <c r="AC475" s="535"/>
    </row>
    <row r="476" spans="1:68" ht="27" hidden="1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1"/>
      <c r="R476" s="551"/>
      <c r="S476" s="551"/>
      <c r="T476" s="552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0" t="s">
        <v>164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1"/>
      <c r="R480" s="551"/>
      <c r="S480" s="551"/>
      <c r="T480" s="552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0" t="s">
        <v>735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0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1"/>
      <c r="R486" s="551"/>
      <c r="S486" s="551"/>
      <c r="T486" s="552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8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69"/>
      <c r="P489" s="633" t="s">
        <v>739</v>
      </c>
      <c r="Q489" s="634"/>
      <c r="R489" s="634"/>
      <c r="S489" s="634"/>
      <c r="T489" s="634"/>
      <c r="U489" s="634"/>
      <c r="V489" s="578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17857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17966.120000000006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69"/>
      <c r="P490" s="633" t="s">
        <v>740</v>
      </c>
      <c r="Q490" s="634"/>
      <c r="R490" s="634"/>
      <c r="S490" s="634"/>
      <c r="T490" s="634"/>
      <c r="U490" s="634"/>
      <c r="V490" s="578"/>
      <c r="W490" s="37" t="s">
        <v>69</v>
      </c>
      <c r="X490" s="543">
        <f>IFERROR(SUM(BM22:BM486),"0")</f>
        <v>18587.127278092055</v>
      </c>
      <c r="Y490" s="543">
        <f>IFERROR(SUM(BN22:BN486),"0")</f>
        <v>18702.28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69"/>
      <c r="P491" s="633" t="s">
        <v>741</v>
      </c>
      <c r="Q491" s="634"/>
      <c r="R491" s="634"/>
      <c r="S491" s="634"/>
      <c r="T491" s="634"/>
      <c r="U491" s="634"/>
      <c r="V491" s="578"/>
      <c r="W491" s="37" t="s">
        <v>742</v>
      </c>
      <c r="X491" s="38">
        <f>ROUNDUP(SUM(BO22:BO486),0)</f>
        <v>27</v>
      </c>
      <c r="Y491" s="38">
        <f>ROUNDUP(SUM(BP22:BP486),0)</f>
        <v>28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69"/>
      <c r="P492" s="633" t="s">
        <v>743</v>
      </c>
      <c r="Q492" s="634"/>
      <c r="R492" s="634"/>
      <c r="S492" s="634"/>
      <c r="T492" s="634"/>
      <c r="U492" s="634"/>
      <c r="V492" s="578"/>
      <c r="W492" s="37" t="s">
        <v>69</v>
      </c>
      <c r="X492" s="543">
        <f>GrossWeightTotal+PalletQtyTotal*25</f>
        <v>19262.127278092055</v>
      </c>
      <c r="Y492" s="543">
        <f>GrossWeightTotalR+PalletQtyTotalR*25</f>
        <v>19402.28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69"/>
      <c r="P493" s="633" t="s">
        <v>744</v>
      </c>
      <c r="Q493" s="634"/>
      <c r="R493" s="634"/>
      <c r="S493" s="634"/>
      <c r="T493" s="634"/>
      <c r="U493" s="634"/>
      <c r="V493" s="578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2056.5537662839265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2075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69"/>
      <c r="P494" s="633" t="s">
        <v>745</v>
      </c>
      <c r="Q494" s="634"/>
      <c r="R494" s="634"/>
      <c r="S494" s="634"/>
      <c r="T494" s="634"/>
      <c r="U494" s="634"/>
      <c r="V494" s="578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31.135350000000003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61" t="s">
        <v>99</v>
      </c>
      <c r="D496" s="639"/>
      <c r="E496" s="639"/>
      <c r="F496" s="639"/>
      <c r="G496" s="639"/>
      <c r="H496" s="630"/>
      <c r="I496" s="561" t="s">
        <v>255</v>
      </c>
      <c r="J496" s="639"/>
      <c r="K496" s="639"/>
      <c r="L496" s="639"/>
      <c r="M496" s="639"/>
      <c r="N496" s="639"/>
      <c r="O496" s="639"/>
      <c r="P496" s="639"/>
      <c r="Q496" s="639"/>
      <c r="R496" s="630"/>
      <c r="S496" s="561" t="s">
        <v>536</v>
      </c>
      <c r="T496" s="630"/>
      <c r="U496" s="561" t="s">
        <v>588</v>
      </c>
      <c r="V496" s="639"/>
      <c r="W496" s="630"/>
      <c r="X496" s="533" t="s">
        <v>639</v>
      </c>
      <c r="Y496" s="561" t="s">
        <v>699</v>
      </c>
      <c r="Z496" s="630"/>
      <c r="AB496" s="52"/>
      <c r="AC496" s="52"/>
      <c r="AF496" s="534"/>
    </row>
    <row r="497" spans="1:32" ht="14.25" customHeight="1" thickTop="1" x14ac:dyDescent="0.2">
      <c r="A497" s="584" t="s">
        <v>748</v>
      </c>
      <c r="B497" s="561" t="s">
        <v>63</v>
      </c>
      <c r="C497" s="561" t="s">
        <v>100</v>
      </c>
      <c r="D497" s="561" t="s">
        <v>117</v>
      </c>
      <c r="E497" s="561" t="s">
        <v>171</v>
      </c>
      <c r="F497" s="561" t="s">
        <v>190</v>
      </c>
      <c r="G497" s="561" t="s">
        <v>220</v>
      </c>
      <c r="H497" s="561" t="s">
        <v>99</v>
      </c>
      <c r="I497" s="561" t="s">
        <v>256</v>
      </c>
      <c r="J497" s="561" t="s">
        <v>297</v>
      </c>
      <c r="K497" s="561" t="s">
        <v>357</v>
      </c>
      <c r="L497" s="561" t="s">
        <v>399</v>
      </c>
      <c r="M497" s="561" t="s">
        <v>415</v>
      </c>
      <c r="N497" s="534"/>
      <c r="O497" s="561" t="s">
        <v>426</v>
      </c>
      <c r="P497" s="561" t="s">
        <v>435</v>
      </c>
      <c r="Q497" s="561" t="s">
        <v>445</v>
      </c>
      <c r="R497" s="561" t="s">
        <v>526</v>
      </c>
      <c r="S497" s="561" t="s">
        <v>537</v>
      </c>
      <c r="T497" s="561" t="s">
        <v>572</v>
      </c>
      <c r="U497" s="561" t="s">
        <v>589</v>
      </c>
      <c r="V497" s="561" t="s">
        <v>620</v>
      </c>
      <c r="W497" s="561" t="s">
        <v>635</v>
      </c>
      <c r="X497" s="561" t="s">
        <v>639</v>
      </c>
      <c r="Y497" s="561" t="s">
        <v>699</v>
      </c>
      <c r="Z497" s="561" t="s">
        <v>735</v>
      </c>
      <c r="AB497" s="52"/>
      <c r="AC497" s="52"/>
      <c r="AF497" s="534"/>
    </row>
    <row r="498" spans="1:32" ht="13.5" customHeight="1" thickBot="1" x14ac:dyDescent="0.25">
      <c r="A498" s="585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34"/>
      <c r="O498" s="562"/>
      <c r="P498" s="562"/>
      <c r="Q498" s="562"/>
      <c r="R498" s="562"/>
      <c r="S498" s="562"/>
      <c r="T498" s="562"/>
      <c r="U498" s="562"/>
      <c r="V498" s="562"/>
      <c r="W498" s="562"/>
      <c r="X498" s="562"/>
      <c r="Y498" s="562"/>
      <c r="Z498" s="56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3630.6000000000004</v>
      </c>
      <c r="E499" s="46">
        <f>IFERROR(Y85*1,"0")+IFERROR(Y86*1,"0")+IFERROR(Y87*1,"0")+IFERROR(Y91*1,"0")+IFERROR(Y92*1,"0")+IFERROR(Y93*1,"0")+IFERROR(Y94*1,"0")</f>
        <v>40.5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231.92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105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2895.2999999999993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43.2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292.79999999999995</v>
      </c>
      <c r="R499" s="46">
        <f>IFERROR(Y335*1,"0")+IFERROR(Y336*1,"0")+IFERROR(Y337*1,"0")</f>
        <v>105.3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8646</v>
      </c>
      <c r="T499" s="46">
        <f>IFERROR(Y368*1,"0")+IFERROR(Y369*1,"0")+IFERROR(Y373*1,"0")+IFERROR(Y374*1,"0")+IFERROR(Y378*1,"0")+IFERROR(Y379*1,"0")</f>
        <v>392.64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102.60000000000001</v>
      </c>
      <c r="V499" s="46">
        <f>IFERROR(Y403*1,"0")+IFERROR(Y407*1,"0")+IFERROR(Y408*1,"0")+IFERROR(Y409*1,"0")+IFERROR(Y410*1,"0")</f>
        <v>205.20000000000002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855.36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314.39999999999998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500,00"/>
        <filter val="10,00"/>
        <filter val="100,00"/>
        <filter val="103,00"/>
        <filter val="12,12"/>
        <filter val="12,35"/>
        <filter val="120,00"/>
        <filter val="130,00"/>
        <filter val="145,03"/>
        <filter val="15,00"/>
        <filter val="17 857,00"/>
        <filter val="170,00"/>
        <filter val="18 587,13"/>
        <filter val="18,52"/>
        <filter val="180,00"/>
        <filter val="19 262,13"/>
        <filter val="190,00"/>
        <filter val="2 056,55"/>
        <filter val="2 176,00"/>
        <filter val="2 250,00"/>
        <filter val="2 550,00"/>
        <filter val="2,56"/>
        <filter val="20,00"/>
        <filter val="200,00"/>
        <filter val="220,00"/>
        <filter val="23,81"/>
        <filter val="24,00"/>
        <filter val="250,00"/>
        <filter val="27"/>
        <filter val="27,40"/>
        <filter val="270,00"/>
        <filter val="3 600,00"/>
        <filter val="3,70"/>
        <filter val="30,00"/>
        <filter val="30,86"/>
        <filter val="30,95"/>
        <filter val="300,00"/>
        <filter val="31,25"/>
        <filter val="32,00"/>
        <filter val="32,20"/>
        <filter val="320,00"/>
        <filter val="33,93"/>
        <filter val="333,33"/>
        <filter val="350,00"/>
        <filter val="36,67"/>
        <filter val="37,04"/>
        <filter val="370,00"/>
        <filter val="390,00"/>
        <filter val="4,94"/>
        <filter val="40,00"/>
        <filter val="410,00"/>
        <filter val="416,30"/>
        <filter val="45,56"/>
        <filter val="5 850,00"/>
        <filter val="50,00"/>
        <filter val="540,00"/>
        <filter val="60,61"/>
        <filter val="600,00"/>
        <filter val="616,00"/>
        <filter val="64,00"/>
        <filter val="650,00"/>
        <filter val="66,29"/>
        <filter val="7,00"/>
        <filter val="7,14"/>
        <filter val="700,00"/>
        <filter val="80,00"/>
        <filter val="870,00"/>
        <filter val="88,00"/>
        <filter val="9,00"/>
        <filter val="90,00"/>
        <filter val="95,00"/>
        <filter val="96,67"/>
      </filters>
    </filterColumn>
    <filterColumn colId="29" showButton="0"/>
    <filterColumn colId="30" showButton="0"/>
  </autoFilter>
  <mergeCells count="874"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A63:O64"/>
    <mergeCell ref="A270:Z270"/>
    <mergeCell ref="H9:I9"/>
    <mergeCell ref="A49:Z49"/>
    <mergeCell ref="P24:V24"/>
    <mergeCell ref="P89:V89"/>
    <mergeCell ref="P260:V260"/>
    <mergeCell ref="P389:T389"/>
    <mergeCell ref="A334:Z334"/>
    <mergeCell ref="A383:Z383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P407:T407"/>
    <mergeCell ref="D245:E245"/>
    <mergeCell ref="A282:Z282"/>
    <mergeCell ref="D301:E301"/>
    <mergeCell ref="P86:T86"/>
    <mergeCell ref="P328:T328"/>
    <mergeCell ref="D134:E134"/>
    <mergeCell ref="P213:T213"/>
    <mergeCell ref="P249:T249"/>
    <mergeCell ref="D363:E363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266:T266"/>
    <mergeCell ref="P182:V182"/>
    <mergeCell ref="D124:E124"/>
    <mergeCell ref="P56:T56"/>
    <mergeCell ref="P448:V448"/>
    <mergeCell ref="D297:E297"/>
    <mergeCell ref="P88:V88"/>
    <mergeCell ref="P259:V259"/>
    <mergeCell ref="A78:Z78"/>
    <mergeCell ref="P153:V153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P458:T458"/>
    <mergeCell ref="P487:V487"/>
    <mergeCell ref="P477:V477"/>
    <mergeCell ref="A473:O474"/>
    <mergeCell ref="P476:T476"/>
    <mergeCell ref="P471:T471"/>
    <mergeCell ref="D486:E486"/>
    <mergeCell ref="P452:T452"/>
    <mergeCell ref="D472:E472"/>
    <mergeCell ref="P453:V453"/>
    <mergeCell ref="A205:Z205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A350:O351"/>
    <mergeCell ref="D263:E263"/>
    <mergeCell ref="D290:E290"/>
    <mergeCell ref="D94:E94"/>
    <mergeCell ref="P148:T148"/>
    <mergeCell ref="A109:O110"/>
    <mergeCell ref="D353:E353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P29:T29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D390:E390"/>
    <mergeCell ref="P197:T197"/>
    <mergeCell ref="P166:T166"/>
    <mergeCell ref="D442:E442"/>
    <mergeCell ref="D302:E302"/>
    <mergeCell ref="D429:E429"/>
    <mergeCell ref="A159:O160"/>
    <mergeCell ref="P271:T271"/>
    <mergeCell ref="P416:V416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A6:C6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O497:O498"/>
    <mergeCell ref="D309:E309"/>
    <mergeCell ref="D113:E11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A382:Z382"/>
    <mergeCell ref="A116:O117"/>
    <mergeCell ref="P428:T428"/>
    <mergeCell ref="P113:T113"/>
    <mergeCell ref="A173:Z173"/>
    <mergeCell ref="P129:T12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A267:O268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A367:Z367"/>
    <mergeCell ref="A183:Z183"/>
    <mergeCell ref="D346:E346"/>
    <mergeCell ref="P229:T229"/>
    <mergeCell ref="D328:E328"/>
    <mergeCell ref="P136:V136"/>
    <mergeCell ref="A253:Z253"/>
    <mergeCell ref="A286:Z286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P446:T446"/>
    <mergeCell ref="D425:E425"/>
    <mergeCell ref="P451:T451"/>
    <mergeCell ref="A470:Z470"/>
    <mergeCell ref="D424:E424"/>
    <mergeCell ref="P324:T324"/>
    <mergeCell ref="P492:V492"/>
    <mergeCell ref="A327:Z327"/>
    <mergeCell ref="P474:V474"/>
    <mergeCell ref="A269:Z269"/>
    <mergeCell ref="D445:E445"/>
    <mergeCell ref="D398:E398"/>
    <mergeCell ref="P439:V439"/>
    <mergeCell ref="P308:T308"/>
    <mergeCell ref="P433:V433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A157:Z157"/>
    <mergeCell ref="A455:Z455"/>
    <mergeCell ref="A222:Z222"/>
    <mergeCell ref="P301:T301"/>
    <mergeCell ref="D385:E385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D373:E373"/>
    <mergeCell ref="A242:O243"/>
    <mergeCell ref="P112:T112"/>
    <mergeCell ref="A179:Z179"/>
    <mergeCell ref="A153:O154"/>
    <mergeCell ref="A133:Z133"/>
    <mergeCell ref="D125:E125"/>
    <mergeCell ref="A143:O144"/>
    <mergeCell ref="P70:V70"/>
    <mergeCell ref="A156:Z156"/>
    <mergeCell ref="P116:V116"/>
    <mergeCell ref="P103:V103"/>
    <mergeCell ref="D114:E114"/>
    <mergeCell ref="A88:O89"/>
    <mergeCell ref="P193:V1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323:E323"/>
    <mergeCell ref="D29:E29"/>
    <mergeCell ref="D265:E265"/>
    <mergeCell ref="P344:T344"/>
    <mergeCell ref="A20:Z20"/>
    <mergeCell ref="P371:V371"/>
    <mergeCell ref="A103:O104"/>
    <mergeCell ref="M17:M18"/>
    <mergeCell ref="O17:O18"/>
    <mergeCell ref="P336:T336"/>
    <mergeCell ref="P131:V131"/>
    <mergeCell ref="P187:V187"/>
    <mergeCell ref="P41:T41"/>
    <mergeCell ref="D22:E22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D10:E10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G497:G498"/>
    <mergeCell ref="Q497:Q498"/>
    <mergeCell ref="P72:T72"/>
    <mergeCell ref="W497:W498"/>
    <mergeCell ref="D430:E430"/>
    <mergeCell ref="P469:V469"/>
    <mergeCell ref="P486:T486"/>
    <mergeCell ref="D450:E450"/>
    <mergeCell ref="D452:E452"/>
    <mergeCell ref="B497:B498"/>
    <mergeCell ref="P415:T415"/>
    <mergeCell ref="S496:T496"/>
    <mergeCell ref="A453:O454"/>
    <mergeCell ref="P430:T430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A31:O32"/>
    <mergeCell ref="A23:O24"/>
    <mergeCell ref="A35:O36"/>
    <mergeCell ref="P34:T34"/>
    <mergeCell ref="P32:V32"/>
    <mergeCell ref="D202:E202"/>
    <mergeCell ref="D224:E224"/>
    <mergeCell ref="P230:T230"/>
    <mergeCell ref="P168:T168"/>
    <mergeCell ref="D211:E211"/>
    <mergeCell ref="D214:E214"/>
    <mergeCell ref="D100:E100"/>
    <mergeCell ref="D87:E87"/>
    <mergeCell ref="A47:O48"/>
    <mergeCell ref="P100:T100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440:Z440"/>
    <mergeCell ref="V497:V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