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A4D93A4-CF65-4723-89A9-2E9A7EEA39E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Z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N100" i="1"/>
  <c r="BM100" i="1"/>
  <c r="Z100" i="1"/>
  <c r="Y100" i="1"/>
  <c r="BP100" i="1" s="1"/>
  <c r="P100" i="1"/>
  <c r="BO99" i="1"/>
  <c r="BM99" i="1"/>
  <c r="Y99" i="1"/>
  <c r="Y103" i="1" s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Z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9" i="1" l="1"/>
  <c r="Z28" i="1"/>
  <c r="BN28" i="1"/>
  <c r="Z46" i="1"/>
  <c r="Z47" i="1" s="1"/>
  <c r="BN46" i="1"/>
  <c r="BP46" i="1"/>
  <c r="Y47" i="1"/>
  <c r="Z51" i="1"/>
  <c r="BN51" i="1"/>
  <c r="Z67" i="1"/>
  <c r="BN67" i="1"/>
  <c r="Z85" i="1"/>
  <c r="Y131" i="1"/>
  <c r="Z142" i="1"/>
  <c r="BN142" i="1"/>
  <c r="Z169" i="1"/>
  <c r="Z190" i="1"/>
  <c r="BN190" i="1"/>
  <c r="Z202" i="1"/>
  <c r="BN202" i="1"/>
  <c r="Z211" i="1"/>
  <c r="BN211" i="1"/>
  <c r="Z226" i="1"/>
  <c r="BN226" i="1"/>
  <c r="Z246" i="1"/>
  <c r="BN246" i="1"/>
  <c r="Z264" i="1"/>
  <c r="BN264" i="1"/>
  <c r="Y274" i="1"/>
  <c r="Z289" i="1"/>
  <c r="BN289" i="1"/>
  <c r="Z301" i="1"/>
  <c r="BN301" i="1"/>
  <c r="Z311" i="1"/>
  <c r="BN311" i="1"/>
  <c r="Z328" i="1"/>
  <c r="BN328" i="1"/>
  <c r="Z345" i="1"/>
  <c r="BN345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3" i="1"/>
  <c r="BN73" i="1"/>
  <c r="Z87" i="1"/>
  <c r="BN87" i="1"/>
  <c r="Z93" i="1"/>
  <c r="BN93" i="1"/>
  <c r="Y96" i="1"/>
  <c r="Z102" i="1"/>
  <c r="BN102" i="1"/>
  <c r="Z108" i="1"/>
  <c r="BN108" i="1"/>
  <c r="Z114" i="1"/>
  <c r="BN114" i="1"/>
  <c r="Y149" i="1"/>
  <c r="BN169" i="1"/>
  <c r="BP303" i="1"/>
  <c r="BN303" i="1"/>
  <c r="Z303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BN80" i="1"/>
  <c r="BN85" i="1"/>
  <c r="Z91" i="1"/>
  <c r="BN91" i="1"/>
  <c r="BP91" i="1"/>
  <c r="Z106" i="1"/>
  <c r="BN106" i="1"/>
  <c r="Z112" i="1"/>
  <c r="BN112" i="1"/>
  <c r="BP112" i="1"/>
  <c r="Z125" i="1"/>
  <c r="BN125" i="1"/>
  <c r="Z135" i="1"/>
  <c r="BN135" i="1"/>
  <c r="Z140" i="1"/>
  <c r="BN140" i="1"/>
  <c r="Z146" i="1"/>
  <c r="BN146" i="1"/>
  <c r="BP146" i="1"/>
  <c r="Z163" i="1"/>
  <c r="BN163" i="1"/>
  <c r="Z167" i="1"/>
  <c r="BN167" i="1"/>
  <c r="Z175" i="1"/>
  <c r="BN175" i="1"/>
  <c r="Z196" i="1"/>
  <c r="BN196" i="1"/>
  <c r="Z200" i="1"/>
  <c r="BN200" i="1"/>
  <c r="Z206" i="1"/>
  <c r="BN206" i="1"/>
  <c r="Z213" i="1"/>
  <c r="BN213" i="1"/>
  <c r="Z224" i="1"/>
  <c r="BN224" i="1"/>
  <c r="Z228" i="1"/>
  <c r="BN228" i="1"/>
  <c r="Z232" i="1"/>
  <c r="BN232" i="1"/>
  <c r="Z248" i="1"/>
  <c r="BN248" i="1"/>
  <c r="Z257" i="1"/>
  <c r="BN257" i="1"/>
  <c r="Z266" i="1"/>
  <c r="BN266" i="1"/>
  <c r="Z273" i="1"/>
  <c r="BN273" i="1"/>
  <c r="Z278" i="1"/>
  <c r="BN278" i="1"/>
  <c r="Y281" i="1"/>
  <c r="Z291" i="1"/>
  <c r="BN291" i="1"/>
  <c r="Z297" i="1"/>
  <c r="BN297" i="1"/>
  <c r="BP297" i="1"/>
  <c r="BP299" i="1"/>
  <c r="BN299" i="1"/>
  <c r="Z299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58" i="1"/>
  <c r="Y64" i="1"/>
  <c r="Y120" i="1"/>
  <c r="BP119" i="1"/>
  <c r="BN119" i="1"/>
  <c r="Z119" i="1"/>
  <c r="Z120" i="1" s="1"/>
  <c r="G499" i="1"/>
  <c r="Y127" i="1"/>
  <c r="BP124" i="1"/>
  <c r="BN124" i="1"/>
  <c r="Z124" i="1"/>
  <c r="Z126" i="1" s="1"/>
  <c r="Y153" i="1"/>
  <c r="BP152" i="1"/>
  <c r="BN152" i="1"/>
  <c r="Z152" i="1"/>
  <c r="Z153" i="1" s="1"/>
  <c r="I499" i="1"/>
  <c r="Y159" i="1"/>
  <c r="BP158" i="1"/>
  <c r="BN158" i="1"/>
  <c r="Z158" i="1"/>
  <c r="Z159" i="1" s="1"/>
  <c r="Y171" i="1"/>
  <c r="BP162" i="1"/>
  <c r="BN162" i="1"/>
  <c r="Z162" i="1"/>
  <c r="BP166" i="1"/>
  <c r="BN166" i="1"/>
  <c r="Z166" i="1"/>
  <c r="BP170" i="1"/>
  <c r="BN170" i="1"/>
  <c r="Z170" i="1"/>
  <c r="Y172" i="1"/>
  <c r="Y204" i="1"/>
  <c r="BP195" i="1"/>
  <c r="BN195" i="1"/>
  <c r="Z195" i="1"/>
  <c r="BP207" i="1"/>
  <c r="BN207" i="1"/>
  <c r="Z207" i="1"/>
  <c r="BP214" i="1"/>
  <c r="BN214" i="1"/>
  <c r="Z214" i="1"/>
  <c r="Y216" i="1"/>
  <c r="BP329" i="1"/>
  <c r="BN329" i="1"/>
  <c r="Z329" i="1"/>
  <c r="Z331" i="1" s="1"/>
  <c r="Y331" i="1"/>
  <c r="D499" i="1"/>
  <c r="Y31" i="1"/>
  <c r="Y43" i="1"/>
  <c r="Y70" i="1"/>
  <c r="BP86" i="1"/>
  <c r="BN86" i="1"/>
  <c r="Z86" i="1"/>
  <c r="BP94" i="1"/>
  <c r="BN94" i="1"/>
  <c r="Z94" i="1"/>
  <c r="F499" i="1"/>
  <c r="Y104" i="1"/>
  <c r="BP99" i="1"/>
  <c r="BN99" i="1"/>
  <c r="Z99" i="1"/>
  <c r="BP107" i="1"/>
  <c r="BN107" i="1"/>
  <c r="Z107" i="1"/>
  <c r="Z109" i="1" s="1"/>
  <c r="BP115" i="1"/>
  <c r="BN115" i="1"/>
  <c r="Z115" i="1"/>
  <c r="Y117" i="1"/>
  <c r="Y121" i="1"/>
  <c r="BP141" i="1"/>
  <c r="BN141" i="1"/>
  <c r="Z141" i="1"/>
  <c r="Z143" i="1" s="1"/>
  <c r="Y154" i="1"/>
  <c r="Y160" i="1"/>
  <c r="Y177" i="1"/>
  <c r="BP174" i="1"/>
  <c r="BN174" i="1"/>
  <c r="Z174" i="1"/>
  <c r="BP191" i="1"/>
  <c r="BN191" i="1"/>
  <c r="Z191" i="1"/>
  <c r="Y193" i="1"/>
  <c r="BP199" i="1"/>
  <c r="BN199" i="1"/>
  <c r="Z199" i="1"/>
  <c r="Y203" i="1"/>
  <c r="Y221" i="1"/>
  <c r="BP218" i="1"/>
  <c r="BN218" i="1"/>
  <c r="Z218" i="1"/>
  <c r="Z220" i="1" s="1"/>
  <c r="Y220" i="1"/>
  <c r="BP279" i="1"/>
  <c r="BN279" i="1"/>
  <c r="Z279" i="1"/>
  <c r="Z280" i="1" s="1"/>
  <c r="Y284" i="1"/>
  <c r="BP283" i="1"/>
  <c r="BN283" i="1"/>
  <c r="Z283" i="1"/>
  <c r="Z284" i="1" s="1"/>
  <c r="Q499" i="1"/>
  <c r="Y295" i="1"/>
  <c r="BP288" i="1"/>
  <c r="BN288" i="1"/>
  <c r="Z288" i="1"/>
  <c r="Y294" i="1"/>
  <c r="BP292" i="1"/>
  <c r="BN292" i="1"/>
  <c r="Z292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9" i="1"/>
  <c r="Y268" i="1"/>
  <c r="BP263" i="1"/>
  <c r="BN263" i="1"/>
  <c r="Z263" i="1"/>
  <c r="Y267" i="1"/>
  <c r="BP272" i="1"/>
  <c r="BN272" i="1"/>
  <c r="Z272" i="1"/>
  <c r="BP290" i="1"/>
  <c r="BN290" i="1"/>
  <c r="Z290" i="1"/>
  <c r="BP298" i="1"/>
  <c r="BN298" i="1"/>
  <c r="Z298" i="1"/>
  <c r="BP302" i="1"/>
  <c r="BN302" i="1"/>
  <c r="Z302" i="1"/>
  <c r="Z304" i="1" s="1"/>
  <c r="Y313" i="1"/>
  <c r="BP310" i="1"/>
  <c r="BN310" i="1"/>
  <c r="Z310" i="1"/>
  <c r="Z312" i="1" s="1"/>
  <c r="Y319" i="1"/>
  <c r="Z325" i="1"/>
  <c r="BP323" i="1"/>
  <c r="BN323" i="1"/>
  <c r="Z323" i="1"/>
  <c r="Y332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2" i="1" l="1"/>
  <c r="Z411" i="1"/>
  <c r="Z338" i="1"/>
  <c r="Z274" i="1"/>
  <c r="Z267" i="1"/>
  <c r="Z318" i="1"/>
  <c r="Z192" i="1"/>
  <c r="Z88" i="1"/>
  <c r="Y491" i="1"/>
  <c r="Z57" i="1"/>
  <c r="Z31" i="1"/>
  <c r="Y493" i="1"/>
  <c r="Z215" i="1"/>
  <c r="Z234" i="1"/>
  <c r="Z350" i="1"/>
  <c r="Y490" i="1"/>
  <c r="Y492" i="1" s="1"/>
  <c r="Z394" i="1"/>
  <c r="X492" i="1"/>
  <c r="Z103" i="1"/>
  <c r="Z203" i="1"/>
  <c r="Z438" i="1"/>
  <c r="Z447" i="1"/>
  <c r="Z432" i="1"/>
  <c r="Z69" i="1"/>
  <c r="Y489" i="1"/>
  <c r="Z294" i="1"/>
  <c r="Z177" i="1"/>
  <c r="Z171" i="1"/>
  <c r="Z494" i="1" l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<sst xmlns="http://schemas.openxmlformats.org/spreadsheetml/2006/main" count="2347" uniqueCount="766">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</sst>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24" t="s">
        <v>0</v>
      </c>
      <c r="E1" s="570"/>
      <c r="F1" s="570"/>
      <c r="G1" s="12" t="s">
        <v>1</v>
      </c>
      <c r="H1" s="62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6" t="s">
        <v>8</v>
      </c>
      <c r="B5" s="635"/>
      <c r="C5" s="636"/>
      <c r="D5" s="619"/>
      <c r="E5" s="620"/>
      <c r="F5" s="832" t="s">
        <v>9</v>
      </c>
      <c r="G5" s="636"/>
      <c r="H5" s="619" t="s">
        <v>765</v>
      </c>
      <c r="I5" s="774"/>
      <c r="J5" s="774"/>
      <c r="K5" s="774"/>
      <c r="L5" s="774"/>
      <c r="M5" s="620"/>
      <c r="N5" s="58"/>
      <c r="P5" s="24" t="s">
        <v>10</v>
      </c>
      <c r="Q5" s="838">
        <v>45974</v>
      </c>
      <c r="R5" s="631"/>
      <c r="T5" s="706" t="s">
        <v>11</v>
      </c>
      <c r="U5" s="707"/>
      <c r="V5" s="708" t="s">
        <v>12</v>
      </c>
      <c r="W5" s="631"/>
      <c r="AB5" s="51"/>
      <c r="AC5" s="51"/>
      <c r="AD5" s="51"/>
      <c r="AE5" s="51"/>
    </row>
    <row r="6" spans="1:32" s="538" customFormat="1" ht="24" customHeight="1" x14ac:dyDescent="0.2">
      <c r="A6" s="656" t="s">
        <v>13</v>
      </c>
      <c r="B6" s="635"/>
      <c r="C6" s="636"/>
      <c r="D6" s="776" t="s">
        <v>14</v>
      </c>
      <c r="E6" s="777"/>
      <c r="F6" s="777"/>
      <c r="G6" s="777"/>
      <c r="H6" s="777"/>
      <c r="I6" s="777"/>
      <c r="J6" s="777"/>
      <c r="K6" s="777"/>
      <c r="L6" s="777"/>
      <c r="M6" s="631"/>
      <c r="N6" s="59"/>
      <c r="P6" s="24" t="s">
        <v>15</v>
      </c>
      <c r="Q6" s="821" t="str">
        <f>IF(Q5=0," ",CHOOSE(WEEKDAY(Q5,2),"Понедельник","Вторник","Среда","Четверг","Пятница","Суббота","Воскресенье"))</f>
        <v>Четверг</v>
      </c>
      <c r="R6" s="546"/>
      <c r="T6" s="712" t="s">
        <v>16</v>
      </c>
      <c r="U6" s="707"/>
      <c r="V6" s="756" t="s">
        <v>17</v>
      </c>
      <c r="W6" s="581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1"/>
      <c r="U7" s="707"/>
      <c r="V7" s="757"/>
      <c r="W7" s="758"/>
      <c r="AB7" s="51"/>
      <c r="AC7" s="51"/>
      <c r="AD7" s="51"/>
      <c r="AE7" s="51"/>
    </row>
    <row r="8" spans="1:32" s="538" customFormat="1" ht="25.5" customHeight="1" x14ac:dyDescent="0.2">
      <c r="A8" s="853" t="s">
        <v>18</v>
      </c>
      <c r="B8" s="556"/>
      <c r="C8" s="557"/>
      <c r="D8" s="616" t="s">
        <v>19</v>
      </c>
      <c r="E8" s="617"/>
      <c r="F8" s="617"/>
      <c r="G8" s="617"/>
      <c r="H8" s="617"/>
      <c r="I8" s="617"/>
      <c r="J8" s="617"/>
      <c r="K8" s="617"/>
      <c r="L8" s="617"/>
      <c r="M8" s="618"/>
      <c r="N8" s="61"/>
      <c r="P8" s="24" t="s">
        <v>20</v>
      </c>
      <c r="Q8" s="665">
        <v>0.5</v>
      </c>
      <c r="R8" s="614"/>
      <c r="T8" s="551"/>
      <c r="U8" s="707"/>
      <c r="V8" s="757"/>
      <c r="W8" s="758"/>
      <c r="AB8" s="51"/>
      <c r="AC8" s="51"/>
      <c r="AD8" s="51"/>
      <c r="AE8" s="51"/>
    </row>
    <row r="9" spans="1:32" s="538" customFormat="1" ht="39.950000000000003" customHeight="1" x14ac:dyDescent="0.2">
      <c r="A9" s="63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73"/>
      <c r="E9" s="560"/>
      <c r="F9" s="63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9"/>
      <c r="P9" s="26" t="s">
        <v>21</v>
      </c>
      <c r="Q9" s="628"/>
      <c r="R9" s="629"/>
      <c r="T9" s="551"/>
      <c r="U9" s="707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3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73"/>
      <c r="E10" s="560"/>
      <c r="F10" s="63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33" t="str">
        <f>IFERROR(VLOOKUP($D$10,Proxy,2,FALSE),"")</f>
        <v/>
      </c>
      <c r="I10" s="551"/>
      <c r="J10" s="551"/>
      <c r="K10" s="551"/>
      <c r="L10" s="551"/>
      <c r="M10" s="551"/>
      <c r="N10" s="537"/>
      <c r="P10" s="26" t="s">
        <v>22</v>
      </c>
      <c r="Q10" s="713"/>
      <c r="R10" s="714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30"/>
      <c r="R11" s="631"/>
      <c r="U11" s="24" t="s">
        <v>27</v>
      </c>
      <c r="V11" s="787" t="s">
        <v>28</v>
      </c>
      <c r="W11" s="62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1" t="s">
        <v>29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30</v>
      </c>
      <c r="Q12" s="665"/>
      <c r="R12" s="614"/>
      <c r="S12" s="23"/>
      <c r="U12" s="24"/>
      <c r="V12" s="570"/>
      <c r="W12" s="551"/>
      <c r="AB12" s="51"/>
      <c r="AC12" s="51"/>
      <c r="AD12" s="51"/>
      <c r="AE12" s="51"/>
    </row>
    <row r="13" spans="1:32" s="538" customFormat="1" ht="23.25" customHeight="1" x14ac:dyDescent="0.2">
      <c r="A13" s="691" t="s">
        <v>31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32</v>
      </c>
      <c r="Q13" s="787"/>
      <c r="R13" s="6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1" t="s">
        <v>33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697" t="s">
        <v>34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699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0"/>
      <c r="Q16" s="700"/>
      <c r="R16" s="700"/>
      <c r="S16" s="700"/>
      <c r="T16" s="7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667" t="s">
        <v>38</v>
      </c>
      <c r="D17" s="563" t="s">
        <v>39</v>
      </c>
      <c r="E17" s="642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641"/>
      <c r="R17" s="641"/>
      <c r="S17" s="641"/>
      <c r="T17" s="642"/>
      <c r="U17" s="858" t="s">
        <v>51</v>
      </c>
      <c r="V17" s="636"/>
      <c r="W17" s="563" t="s">
        <v>52</v>
      </c>
      <c r="X17" s="563" t="s">
        <v>53</v>
      </c>
      <c r="Y17" s="859" t="s">
        <v>54</v>
      </c>
      <c r="Z17" s="770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64"/>
      <c r="B18" s="564"/>
      <c r="C18" s="564"/>
      <c r="D18" s="643"/>
      <c r="E18" s="645"/>
      <c r="F18" s="564"/>
      <c r="G18" s="564"/>
      <c r="H18" s="564"/>
      <c r="I18" s="564"/>
      <c r="J18" s="564"/>
      <c r="K18" s="564"/>
      <c r="L18" s="564"/>
      <c r="M18" s="564"/>
      <c r="N18" s="564"/>
      <c r="O18" s="564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64"/>
      <c r="X18" s="564"/>
      <c r="Y18" s="860"/>
      <c r="Z18" s="771"/>
      <c r="AA18" s="735"/>
      <c r="AB18" s="735"/>
      <c r="AC18" s="735"/>
      <c r="AD18" s="829"/>
      <c r="AE18" s="830"/>
      <c r="AF18" s="831"/>
      <c r="AG18" s="66"/>
      <c r="BD18" s="65"/>
    </row>
    <row r="19" spans="1:68" ht="27.75" hidden="1" customHeight="1" x14ac:dyDescent="0.2">
      <c r="A19" s="637" t="s">
        <v>63</v>
      </c>
      <c r="B19" s="638"/>
      <c r="C19" s="638"/>
      <c r="D19" s="638"/>
      <c r="E19" s="638"/>
      <c r="F19" s="638"/>
      <c r="G19" s="638"/>
      <c r="H19" s="638"/>
      <c r="I19" s="638"/>
      <c r="J19" s="638"/>
      <c r="K19" s="638"/>
      <c r="L19" s="638"/>
      <c r="M19" s="638"/>
      <c r="N19" s="638"/>
      <c r="O19" s="638"/>
      <c r="P19" s="638"/>
      <c r="Q19" s="638"/>
      <c r="R19" s="638"/>
      <c r="S19" s="638"/>
      <c r="T19" s="638"/>
      <c r="U19" s="638"/>
      <c r="V19" s="638"/>
      <c r="W19" s="638"/>
      <c r="X19" s="638"/>
      <c r="Y19" s="638"/>
      <c r="Z19" s="638"/>
      <c r="AA19" s="48"/>
      <c r="AB19" s="48"/>
      <c r="AC19" s="48"/>
    </row>
    <row r="20" spans="1:68" ht="16.5" hidden="1" customHeight="1" x14ac:dyDescent="0.25">
      <c r="A20" s="554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3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2"/>
      <c r="P23" s="555" t="s">
        <v>71</v>
      </c>
      <c r="Q23" s="556"/>
      <c r="R23" s="556"/>
      <c r="S23" s="556"/>
      <c r="T23" s="556"/>
      <c r="U23" s="556"/>
      <c r="V23" s="557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2"/>
      <c r="P24" s="555" t="s">
        <v>71</v>
      </c>
      <c r="Q24" s="556"/>
      <c r="R24" s="556"/>
      <c r="S24" s="556"/>
      <c r="T24" s="556"/>
      <c r="U24" s="556"/>
      <c r="V24" s="557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3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5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0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2"/>
      <c r="P31" s="555" t="s">
        <v>71</v>
      </c>
      <c r="Q31" s="556"/>
      <c r="R31" s="556"/>
      <c r="S31" s="556"/>
      <c r="T31" s="556"/>
      <c r="U31" s="556"/>
      <c r="V31" s="557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2"/>
      <c r="P32" s="555" t="s">
        <v>71</v>
      </c>
      <c r="Q32" s="556"/>
      <c r="R32" s="556"/>
      <c r="S32" s="556"/>
      <c r="T32" s="556"/>
      <c r="U32" s="556"/>
      <c r="V32" s="557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3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0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2"/>
      <c r="P35" s="555" t="s">
        <v>71</v>
      </c>
      <c r="Q35" s="556"/>
      <c r="R35" s="556"/>
      <c r="S35" s="556"/>
      <c r="T35" s="556"/>
      <c r="U35" s="556"/>
      <c r="V35" s="557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2"/>
      <c r="P36" s="555" t="s">
        <v>71</v>
      </c>
      <c r="Q36" s="556"/>
      <c r="R36" s="556"/>
      <c r="S36" s="556"/>
      <c r="T36" s="556"/>
      <c r="U36" s="556"/>
      <c r="V36" s="557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7" t="s">
        <v>99</v>
      </c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8"/>
      <c r="P37" s="638"/>
      <c r="Q37" s="638"/>
      <c r="R37" s="638"/>
      <c r="S37" s="638"/>
      <c r="T37" s="638"/>
      <c r="U37" s="638"/>
      <c r="V37" s="638"/>
      <c r="W37" s="638"/>
      <c r="X37" s="638"/>
      <c r="Y37" s="638"/>
      <c r="Z37" s="638"/>
      <c r="AA37" s="48"/>
      <c r="AB37" s="48"/>
      <c r="AC37" s="48"/>
    </row>
    <row r="38" spans="1:68" ht="16.5" hidden="1" customHeight="1" x14ac:dyDescent="0.25">
      <c r="A38" s="554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3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5"/>
      <c r="AB39" s="535"/>
      <c r="AC39" s="535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0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2"/>
      <c r="P43" s="555" t="s">
        <v>71</v>
      </c>
      <c r="Q43" s="556"/>
      <c r="R43" s="556"/>
      <c r="S43" s="556"/>
      <c r="T43" s="556"/>
      <c r="U43" s="556"/>
      <c r="V43" s="557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2"/>
      <c r="P44" s="555" t="s">
        <v>71</v>
      </c>
      <c r="Q44" s="556"/>
      <c r="R44" s="556"/>
      <c r="S44" s="556"/>
      <c r="T44" s="556"/>
      <c r="U44" s="556"/>
      <c r="V44" s="557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3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2"/>
      <c r="P47" s="555" t="s">
        <v>71</v>
      </c>
      <c r="Q47" s="556"/>
      <c r="R47" s="556"/>
      <c r="S47" s="556"/>
      <c r="T47" s="556"/>
      <c r="U47" s="556"/>
      <c r="V47" s="557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2"/>
      <c r="P48" s="555" t="s">
        <v>71</v>
      </c>
      <c r="Q48" s="556"/>
      <c r="R48" s="556"/>
      <c r="S48" s="556"/>
      <c r="T48" s="556"/>
      <c r="U48" s="556"/>
      <c r="V48" s="557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4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3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150</v>
      </c>
      <c r="Y52" s="542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4</v>
      </c>
      <c r="Y56" s="542">
        <f t="shared" si="0"/>
        <v>4.5</v>
      </c>
      <c r="Z56" s="36">
        <f>IFERROR(IF(Y56=0,"",ROUNDUP(Y56/H56,0)*0.00902),"")</f>
        <v>9.0200000000000002E-3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4.1688888888888895</v>
      </c>
      <c r="BN56" s="64">
        <f t="shared" si="2"/>
        <v>4.6900000000000004</v>
      </c>
      <c r="BO56" s="64">
        <f t="shared" si="3"/>
        <v>6.7340067340067337E-3</v>
      </c>
      <c r="BP56" s="64">
        <f t="shared" si="4"/>
        <v>7.575757575757576E-3</v>
      </c>
    </row>
    <row r="57" spans="1:68" x14ac:dyDescent="0.2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2"/>
      <c r="P57" s="555" t="s">
        <v>71</v>
      </c>
      <c r="Q57" s="556"/>
      <c r="R57" s="556"/>
      <c r="S57" s="556"/>
      <c r="T57" s="556"/>
      <c r="U57" s="556"/>
      <c r="V57" s="557"/>
      <c r="W57" s="37" t="s">
        <v>72</v>
      </c>
      <c r="X57" s="543">
        <f>IFERROR(X51/H51,"0")+IFERROR(X52/H52,"0")+IFERROR(X53/H53,"0")+IFERROR(X54/H54,"0")+IFERROR(X55/H55,"0")+IFERROR(X56/H56,"0")</f>
        <v>14.777777777777777</v>
      </c>
      <c r="Y57" s="543">
        <f>IFERROR(Y51/H51,"0")+IFERROR(Y52/H52,"0")+IFERROR(Y53/H53,"0")+IFERROR(Y54/H54,"0")+IFERROR(Y55/H55,"0")+IFERROR(Y56/H56,"0")</f>
        <v>15</v>
      </c>
      <c r="Z57" s="543">
        <f>IFERROR(IF(Z51="",0,Z51),"0")+IFERROR(IF(Z52="",0,Z52),"0")+IFERROR(IF(Z53="",0,Z53),"0")+IFERROR(IF(Z54="",0,Z54),"0")+IFERROR(IF(Z55="",0,Z55),"0")+IFERROR(IF(Z56="",0,Z56),"0")</f>
        <v>0.27473999999999998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2"/>
      <c r="P58" s="555" t="s">
        <v>71</v>
      </c>
      <c r="Q58" s="556"/>
      <c r="R58" s="556"/>
      <c r="S58" s="556"/>
      <c r="T58" s="556"/>
      <c r="U58" s="556"/>
      <c r="V58" s="557"/>
      <c r="W58" s="37" t="s">
        <v>69</v>
      </c>
      <c r="X58" s="543">
        <f>IFERROR(SUM(X51:X56),"0")</f>
        <v>154</v>
      </c>
      <c r="Y58" s="543">
        <f>IFERROR(SUM(Y51:Y56),"0")</f>
        <v>155.70000000000002</v>
      </c>
      <c r="Z58" s="37"/>
      <c r="AA58" s="544"/>
      <c r="AB58" s="544"/>
      <c r="AC58" s="544"/>
    </row>
    <row r="59" spans="1:68" ht="14.25" hidden="1" customHeight="1" x14ac:dyDescent="0.25">
      <c r="A59" s="553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3</v>
      </c>
      <c r="Y62" s="542">
        <f>IFERROR(IF(X62="",0,CEILING((X62/$H62),1)*$H62),"")</f>
        <v>5.4</v>
      </c>
      <c r="Z62" s="36">
        <f>IFERROR(IF(Y62=0,"",ROUNDUP(Y62/H62,0)*0.00651),"")</f>
        <v>1.302E-2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3.2</v>
      </c>
      <c r="BN62" s="64">
        <f>IFERROR(Y62*I62/H62,"0")</f>
        <v>5.76</v>
      </c>
      <c r="BO62" s="64">
        <f>IFERROR(1/J62*(X62/H62),"0")</f>
        <v>6.1050061050061041E-3</v>
      </c>
      <c r="BP62" s="64">
        <f>IFERROR(1/J62*(Y62/H62),"0")</f>
        <v>1.098901098901099E-2</v>
      </c>
    </row>
    <row r="63" spans="1:68" x14ac:dyDescent="0.2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2"/>
      <c r="P63" s="555" t="s">
        <v>71</v>
      </c>
      <c r="Q63" s="556"/>
      <c r="R63" s="556"/>
      <c r="S63" s="556"/>
      <c r="T63" s="556"/>
      <c r="U63" s="556"/>
      <c r="V63" s="557"/>
      <c r="W63" s="37" t="s">
        <v>72</v>
      </c>
      <c r="X63" s="543">
        <f>IFERROR(X60/H60,"0")+IFERROR(X61/H61,"0")+IFERROR(X62/H62,"0")</f>
        <v>5.7407407407407405</v>
      </c>
      <c r="Y63" s="543">
        <f>IFERROR(Y60/H60,"0")+IFERROR(Y61/H61,"0")+IFERROR(Y62/H62,"0")</f>
        <v>7</v>
      </c>
      <c r="Z63" s="543">
        <f>IFERROR(IF(Z60="",0,Z60),"0")+IFERROR(IF(Z61="",0,Z61),"0")+IFERROR(IF(Z62="",0,Z62),"0")</f>
        <v>0.10792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2"/>
      <c r="P64" s="555" t="s">
        <v>71</v>
      </c>
      <c r="Q64" s="556"/>
      <c r="R64" s="556"/>
      <c r="S64" s="556"/>
      <c r="T64" s="556"/>
      <c r="U64" s="556"/>
      <c r="V64" s="557"/>
      <c r="W64" s="37" t="s">
        <v>69</v>
      </c>
      <c r="X64" s="543">
        <f>IFERROR(SUM(X60:X62),"0")</f>
        <v>53</v>
      </c>
      <c r="Y64" s="543">
        <f>IFERROR(SUM(Y60:Y62),"0")</f>
        <v>59.4</v>
      </c>
      <c r="Z64" s="37"/>
      <c r="AA64" s="544"/>
      <c r="AB64" s="544"/>
      <c r="AC64" s="544"/>
    </row>
    <row r="65" spans="1:68" ht="14.25" hidden="1" customHeight="1" x14ac:dyDescent="0.25">
      <c r="A65" s="553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0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2"/>
      <c r="P69" s="555" t="s">
        <v>71</v>
      </c>
      <c r="Q69" s="556"/>
      <c r="R69" s="556"/>
      <c r="S69" s="556"/>
      <c r="T69" s="556"/>
      <c r="U69" s="556"/>
      <c r="V69" s="557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2"/>
      <c r="P70" s="555" t="s">
        <v>71</v>
      </c>
      <c r="Q70" s="556"/>
      <c r="R70" s="556"/>
      <c r="S70" s="556"/>
      <c r="T70" s="556"/>
      <c r="U70" s="556"/>
      <c r="V70" s="557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3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60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0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2"/>
      <c r="P76" s="555" t="s">
        <v>71</v>
      </c>
      <c r="Q76" s="556"/>
      <c r="R76" s="556"/>
      <c r="S76" s="556"/>
      <c r="T76" s="556"/>
      <c r="U76" s="556"/>
      <c r="V76" s="557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2"/>
      <c r="P77" s="555" t="s">
        <v>71</v>
      </c>
      <c r="Q77" s="556"/>
      <c r="R77" s="556"/>
      <c r="S77" s="556"/>
      <c r="T77" s="556"/>
      <c r="U77" s="556"/>
      <c r="V77" s="557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3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0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2"/>
      <c r="P81" s="555" t="s">
        <v>71</v>
      </c>
      <c r="Q81" s="556"/>
      <c r="R81" s="556"/>
      <c r="S81" s="556"/>
      <c r="T81" s="556"/>
      <c r="U81" s="556"/>
      <c r="V81" s="557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2"/>
      <c r="P82" s="555" t="s">
        <v>71</v>
      </c>
      <c r="Q82" s="556"/>
      <c r="R82" s="556"/>
      <c r="S82" s="556"/>
      <c r="T82" s="556"/>
      <c r="U82" s="556"/>
      <c r="V82" s="557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4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3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5"/>
      <c r="AB84" s="535"/>
      <c r="AC84" s="535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0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2"/>
      <c r="P88" s="555" t="s">
        <v>71</v>
      </c>
      <c r="Q88" s="556"/>
      <c r="R88" s="556"/>
      <c r="S88" s="556"/>
      <c r="T88" s="556"/>
      <c r="U88" s="556"/>
      <c r="V88" s="557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2"/>
      <c r="P89" s="555" t="s">
        <v>71</v>
      </c>
      <c r="Q89" s="556"/>
      <c r="R89" s="556"/>
      <c r="S89" s="556"/>
      <c r="T89" s="556"/>
      <c r="U89" s="556"/>
      <c r="V89" s="557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53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5"/>
      <c r="AB90" s="535"/>
      <c r="AC90" s="535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8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0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2"/>
      <c r="P95" s="555" t="s">
        <v>71</v>
      </c>
      <c r="Q95" s="556"/>
      <c r="R95" s="556"/>
      <c r="S95" s="556"/>
      <c r="T95" s="556"/>
      <c r="U95" s="556"/>
      <c r="V95" s="557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2"/>
      <c r="P96" s="555" t="s">
        <v>71</v>
      </c>
      <c r="Q96" s="556"/>
      <c r="R96" s="556"/>
      <c r="S96" s="556"/>
      <c r="T96" s="556"/>
      <c r="U96" s="556"/>
      <c r="V96" s="557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54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3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5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0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2"/>
      <c r="P103" s="555" t="s">
        <v>71</v>
      </c>
      <c r="Q103" s="556"/>
      <c r="R103" s="556"/>
      <c r="S103" s="556"/>
      <c r="T103" s="556"/>
      <c r="U103" s="556"/>
      <c r="V103" s="557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2"/>
      <c r="P104" s="555" t="s">
        <v>71</v>
      </c>
      <c r="Q104" s="556"/>
      <c r="R104" s="556"/>
      <c r="S104" s="556"/>
      <c r="T104" s="556"/>
      <c r="U104" s="556"/>
      <c r="V104" s="557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3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3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0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2"/>
      <c r="P109" s="555" t="s">
        <v>71</v>
      </c>
      <c r="Q109" s="556"/>
      <c r="R109" s="556"/>
      <c r="S109" s="556"/>
      <c r="T109" s="556"/>
      <c r="U109" s="556"/>
      <c r="V109" s="557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2"/>
      <c r="P110" s="555" t="s">
        <v>71</v>
      </c>
      <c r="Q110" s="556"/>
      <c r="R110" s="556"/>
      <c r="S110" s="556"/>
      <c r="T110" s="556"/>
      <c r="U110" s="556"/>
      <c r="V110" s="557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3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0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2"/>
      <c r="P116" s="555" t="s">
        <v>71</v>
      </c>
      <c r="Q116" s="556"/>
      <c r="R116" s="556"/>
      <c r="S116" s="556"/>
      <c r="T116" s="556"/>
      <c r="U116" s="556"/>
      <c r="V116" s="557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2"/>
      <c r="P117" s="555" t="s">
        <v>71</v>
      </c>
      <c r="Q117" s="556"/>
      <c r="R117" s="556"/>
      <c r="S117" s="556"/>
      <c r="T117" s="556"/>
      <c r="U117" s="556"/>
      <c r="V117" s="557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53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0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2"/>
      <c r="P120" s="555" t="s">
        <v>71</v>
      </c>
      <c r="Q120" s="556"/>
      <c r="R120" s="556"/>
      <c r="S120" s="556"/>
      <c r="T120" s="556"/>
      <c r="U120" s="556"/>
      <c r="V120" s="557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2"/>
      <c r="P121" s="555" t="s">
        <v>71</v>
      </c>
      <c r="Q121" s="556"/>
      <c r="R121" s="556"/>
      <c r="S121" s="556"/>
      <c r="T121" s="556"/>
      <c r="U121" s="556"/>
      <c r="V121" s="557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4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3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0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2"/>
      <c r="P126" s="555" t="s">
        <v>71</v>
      </c>
      <c r="Q126" s="556"/>
      <c r="R126" s="556"/>
      <c r="S126" s="556"/>
      <c r="T126" s="556"/>
      <c r="U126" s="556"/>
      <c r="V126" s="557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2"/>
      <c r="P127" s="555" t="s">
        <v>71</v>
      </c>
      <c r="Q127" s="556"/>
      <c r="R127" s="556"/>
      <c r="S127" s="556"/>
      <c r="T127" s="556"/>
      <c r="U127" s="556"/>
      <c r="V127" s="557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3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0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2"/>
      <c r="P131" s="555" t="s">
        <v>71</v>
      </c>
      <c r="Q131" s="556"/>
      <c r="R131" s="556"/>
      <c r="S131" s="556"/>
      <c r="T131" s="556"/>
      <c r="U131" s="556"/>
      <c r="V131" s="557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2"/>
      <c r="P132" s="555" t="s">
        <v>71</v>
      </c>
      <c r="Q132" s="556"/>
      <c r="R132" s="556"/>
      <c r="S132" s="556"/>
      <c r="T132" s="556"/>
      <c r="U132" s="556"/>
      <c r="V132" s="557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3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4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0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2"/>
      <c r="P136" s="555" t="s">
        <v>71</v>
      </c>
      <c r="Q136" s="556"/>
      <c r="R136" s="556"/>
      <c r="S136" s="556"/>
      <c r="T136" s="556"/>
      <c r="U136" s="556"/>
      <c r="V136" s="557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2"/>
      <c r="P137" s="555" t="s">
        <v>71</v>
      </c>
      <c r="Q137" s="556"/>
      <c r="R137" s="556"/>
      <c r="S137" s="556"/>
      <c r="T137" s="556"/>
      <c r="U137" s="556"/>
      <c r="V137" s="557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4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3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6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0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2"/>
      <c r="P143" s="555" t="s">
        <v>71</v>
      </c>
      <c r="Q143" s="556"/>
      <c r="R143" s="556"/>
      <c r="S143" s="556"/>
      <c r="T143" s="556"/>
      <c r="U143" s="556"/>
      <c r="V143" s="557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2"/>
      <c r="P144" s="555" t="s">
        <v>71</v>
      </c>
      <c r="Q144" s="556"/>
      <c r="R144" s="556"/>
      <c r="S144" s="556"/>
      <c r="T144" s="556"/>
      <c r="U144" s="556"/>
      <c r="V144" s="557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53" t="s">
        <v>64</v>
      </c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0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2"/>
      <c r="P149" s="555" t="s">
        <v>71</v>
      </c>
      <c r="Q149" s="556"/>
      <c r="R149" s="556"/>
      <c r="S149" s="556"/>
      <c r="T149" s="556"/>
      <c r="U149" s="556"/>
      <c r="V149" s="557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2"/>
      <c r="P150" s="555" t="s">
        <v>71</v>
      </c>
      <c r="Q150" s="556"/>
      <c r="R150" s="556"/>
      <c r="S150" s="556"/>
      <c r="T150" s="556"/>
      <c r="U150" s="556"/>
      <c r="V150" s="557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53" t="s">
        <v>73</v>
      </c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6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0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2"/>
      <c r="P153" s="555" t="s">
        <v>71</v>
      </c>
      <c r="Q153" s="556"/>
      <c r="R153" s="556"/>
      <c r="S153" s="556"/>
      <c r="T153" s="556"/>
      <c r="U153" s="556"/>
      <c r="V153" s="557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2"/>
      <c r="P154" s="555" t="s">
        <v>71</v>
      </c>
      <c r="Q154" s="556"/>
      <c r="R154" s="556"/>
      <c r="S154" s="556"/>
      <c r="T154" s="556"/>
      <c r="U154" s="556"/>
      <c r="V154" s="557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37" t="s">
        <v>255</v>
      </c>
      <c r="B155" s="638"/>
      <c r="C155" s="638"/>
      <c r="D155" s="638"/>
      <c r="E155" s="638"/>
      <c r="F155" s="638"/>
      <c r="G155" s="638"/>
      <c r="H155" s="638"/>
      <c r="I155" s="638"/>
      <c r="J155" s="638"/>
      <c r="K155" s="638"/>
      <c r="L155" s="638"/>
      <c r="M155" s="638"/>
      <c r="N155" s="638"/>
      <c r="O155" s="638"/>
      <c r="P155" s="638"/>
      <c r="Q155" s="638"/>
      <c r="R155" s="638"/>
      <c r="S155" s="638"/>
      <c r="T155" s="638"/>
      <c r="U155" s="638"/>
      <c r="V155" s="638"/>
      <c r="W155" s="638"/>
      <c r="X155" s="638"/>
      <c r="Y155" s="638"/>
      <c r="Z155" s="638"/>
      <c r="AA155" s="48"/>
      <c r="AB155" s="48"/>
      <c r="AC155" s="48"/>
    </row>
    <row r="156" spans="1:68" ht="16.5" hidden="1" customHeight="1" x14ac:dyDescent="0.25">
      <c r="A156" s="554" t="s">
        <v>256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6"/>
      <c r="AB156" s="536"/>
      <c r="AC156" s="536"/>
    </row>
    <row r="157" spans="1:68" ht="14.25" hidden="1" customHeight="1" x14ac:dyDescent="0.25">
      <c r="A157" s="553" t="s">
        <v>136</v>
      </c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0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2"/>
      <c r="P159" s="555" t="s">
        <v>71</v>
      </c>
      <c r="Q159" s="556"/>
      <c r="R159" s="556"/>
      <c r="S159" s="556"/>
      <c r="T159" s="556"/>
      <c r="U159" s="556"/>
      <c r="V159" s="557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2"/>
      <c r="P160" s="555" t="s">
        <v>71</v>
      </c>
      <c r="Q160" s="556"/>
      <c r="R160" s="556"/>
      <c r="S160" s="556"/>
      <c r="T160" s="556"/>
      <c r="U160" s="556"/>
      <c r="V160" s="557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53" t="s">
        <v>64</v>
      </c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0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2"/>
      <c r="P171" s="555" t="s">
        <v>71</v>
      </c>
      <c r="Q171" s="556"/>
      <c r="R171" s="556"/>
      <c r="S171" s="556"/>
      <c r="T171" s="556"/>
      <c r="U171" s="556"/>
      <c r="V171" s="557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2"/>
      <c r="P172" s="555" t="s">
        <v>71</v>
      </c>
      <c r="Q172" s="556"/>
      <c r="R172" s="556"/>
      <c r="S172" s="556"/>
      <c r="T172" s="556"/>
      <c r="U172" s="556"/>
      <c r="V172" s="557"/>
      <c r="W172" s="37" t="s">
        <v>69</v>
      </c>
      <c r="X172" s="543">
        <f>IFERROR(SUM(X162:X170),"0")</f>
        <v>0</v>
      </c>
      <c r="Y172" s="543">
        <f>IFERROR(SUM(Y162:Y170),"0")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3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7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0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2"/>
      <c r="P177" s="555" t="s">
        <v>71</v>
      </c>
      <c r="Q177" s="556"/>
      <c r="R177" s="556"/>
      <c r="S177" s="556"/>
      <c r="T177" s="556"/>
      <c r="U177" s="556"/>
      <c r="V177" s="557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2"/>
      <c r="P178" s="555" t="s">
        <v>71</v>
      </c>
      <c r="Q178" s="556"/>
      <c r="R178" s="556"/>
      <c r="S178" s="556"/>
      <c r="T178" s="556"/>
      <c r="U178" s="556"/>
      <c r="V178" s="557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3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0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2"/>
      <c r="P181" s="555" t="s">
        <v>71</v>
      </c>
      <c r="Q181" s="556"/>
      <c r="R181" s="556"/>
      <c r="S181" s="556"/>
      <c r="T181" s="556"/>
      <c r="U181" s="556"/>
      <c r="V181" s="557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2"/>
      <c r="P182" s="555" t="s">
        <v>71</v>
      </c>
      <c r="Q182" s="556"/>
      <c r="R182" s="556"/>
      <c r="S182" s="556"/>
      <c r="T182" s="556"/>
      <c r="U182" s="556"/>
      <c r="V182" s="557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4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3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10</v>
      </c>
      <c r="Y185" s="542">
        <f>IFERROR(IF(X185="",0,CEILING((X185/$H185),1)*$H185),"")</f>
        <v>10.8</v>
      </c>
      <c r="Z185" s="36">
        <f>IFERROR(IF(Y185=0,"",ROUNDUP(Y185/H185,0)*0.01898),"")</f>
        <v>1.898E-2</v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10.37962962962963</v>
      </c>
      <c r="BN185" s="64">
        <f>IFERROR(Y185*I185/H185,"0")</f>
        <v>11.21</v>
      </c>
      <c r="BO185" s="64">
        <f>IFERROR(1/J185*(X185/H185),"0")</f>
        <v>1.4467592592592591E-2</v>
      </c>
      <c r="BP185" s="64">
        <f>IFERROR(1/J185*(Y185/H185),"0")</f>
        <v>1.5625E-2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9</v>
      </c>
      <c r="Y186" s="542">
        <f>IFERROR(IF(X186="",0,CEILING((X186/$H186),1)*$H186),"")</f>
        <v>10.8</v>
      </c>
      <c r="Z186" s="36">
        <f>IFERROR(IF(Y186=0,"",ROUNDUP(Y186/H186,0)*0.00651),"")</f>
        <v>2.6040000000000001E-2</v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9.5999999999999979</v>
      </c>
      <c r="BN186" s="64">
        <f>IFERROR(Y186*I186/H186,"0")</f>
        <v>11.52</v>
      </c>
      <c r="BO186" s="64">
        <f>IFERROR(1/J186*(X186/H186),"0")</f>
        <v>1.8315018315018316E-2</v>
      </c>
      <c r="BP186" s="64">
        <f>IFERROR(1/J186*(Y186/H186),"0")</f>
        <v>2.197802197802198E-2</v>
      </c>
    </row>
    <row r="187" spans="1:68" x14ac:dyDescent="0.2">
      <c r="A187" s="550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2"/>
      <c r="P187" s="555" t="s">
        <v>71</v>
      </c>
      <c r="Q187" s="556"/>
      <c r="R187" s="556"/>
      <c r="S187" s="556"/>
      <c r="T187" s="556"/>
      <c r="U187" s="556"/>
      <c r="V187" s="557"/>
      <c r="W187" s="37" t="s">
        <v>72</v>
      </c>
      <c r="X187" s="543">
        <f>IFERROR(X185/H185,"0")+IFERROR(X186/H186,"0")</f>
        <v>4.2592592592592586</v>
      </c>
      <c r="Y187" s="543">
        <f>IFERROR(Y185/H185,"0")+IFERROR(Y186/H186,"0")</f>
        <v>5</v>
      </c>
      <c r="Z187" s="543">
        <f>IFERROR(IF(Z185="",0,Z185),"0")+IFERROR(IF(Z186="",0,Z186),"0")</f>
        <v>4.5020000000000004E-2</v>
      </c>
      <c r="AA187" s="544"/>
      <c r="AB187" s="544"/>
      <c r="AC187" s="544"/>
    </row>
    <row r="188" spans="1:68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2"/>
      <c r="P188" s="555" t="s">
        <v>71</v>
      </c>
      <c r="Q188" s="556"/>
      <c r="R188" s="556"/>
      <c r="S188" s="556"/>
      <c r="T188" s="556"/>
      <c r="U188" s="556"/>
      <c r="V188" s="557"/>
      <c r="W188" s="37" t="s">
        <v>69</v>
      </c>
      <c r="X188" s="543">
        <f>IFERROR(SUM(X185:X186),"0")</f>
        <v>19</v>
      </c>
      <c r="Y188" s="543">
        <f>IFERROR(SUM(Y185:Y186),"0")</f>
        <v>21.6</v>
      </c>
      <c r="Z188" s="37"/>
      <c r="AA188" s="544"/>
      <c r="AB188" s="544"/>
      <c r="AC188" s="544"/>
    </row>
    <row r="189" spans="1:68" ht="14.25" hidden="1" customHeight="1" x14ac:dyDescent="0.25">
      <c r="A189" s="553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0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2"/>
      <c r="P192" s="555" t="s">
        <v>71</v>
      </c>
      <c r="Q192" s="556"/>
      <c r="R192" s="556"/>
      <c r="S192" s="556"/>
      <c r="T192" s="556"/>
      <c r="U192" s="556"/>
      <c r="V192" s="557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2"/>
      <c r="P193" s="555" t="s">
        <v>71</v>
      </c>
      <c r="Q193" s="556"/>
      <c r="R193" s="556"/>
      <c r="S193" s="556"/>
      <c r="T193" s="556"/>
      <c r="U193" s="556"/>
      <c r="V193" s="557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3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0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2"/>
      <c r="P203" s="555" t="s">
        <v>71</v>
      </c>
      <c r="Q203" s="556"/>
      <c r="R203" s="556"/>
      <c r="S203" s="556"/>
      <c r="T203" s="556"/>
      <c r="U203" s="556"/>
      <c r="V203" s="557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2"/>
      <c r="P204" s="555" t="s">
        <v>71</v>
      </c>
      <c r="Q204" s="556"/>
      <c r="R204" s="556"/>
      <c r="S204" s="556"/>
      <c r="T204" s="556"/>
      <c r="U204" s="556"/>
      <c r="V204" s="557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3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0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2"/>
      <c r="P215" s="555" t="s">
        <v>71</v>
      </c>
      <c r="Q215" s="556"/>
      <c r="R215" s="556"/>
      <c r="S215" s="556"/>
      <c r="T215" s="556"/>
      <c r="U215" s="556"/>
      <c r="V215" s="557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2"/>
      <c r="P216" s="555" t="s">
        <v>71</v>
      </c>
      <c r="Q216" s="556"/>
      <c r="R216" s="556"/>
      <c r="S216" s="556"/>
      <c r="T216" s="556"/>
      <c r="U216" s="556"/>
      <c r="V216" s="557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53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5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0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2"/>
      <c r="P220" s="555" t="s">
        <v>71</v>
      </c>
      <c r="Q220" s="556"/>
      <c r="R220" s="556"/>
      <c r="S220" s="556"/>
      <c r="T220" s="556"/>
      <c r="U220" s="556"/>
      <c r="V220" s="557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2"/>
      <c r="P221" s="555" t="s">
        <v>71</v>
      </c>
      <c r="Q221" s="556"/>
      <c r="R221" s="556"/>
      <c r="S221" s="556"/>
      <c r="T221" s="556"/>
      <c r="U221" s="556"/>
      <c r="V221" s="557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4" t="s">
        <v>357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3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8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6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0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2"/>
      <c r="P234" s="555" t="s">
        <v>71</v>
      </c>
      <c r="Q234" s="556"/>
      <c r="R234" s="556"/>
      <c r="S234" s="556"/>
      <c r="T234" s="556"/>
      <c r="U234" s="556"/>
      <c r="V234" s="557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2"/>
      <c r="P235" s="555" t="s">
        <v>71</v>
      </c>
      <c r="Q235" s="556"/>
      <c r="R235" s="556"/>
      <c r="S235" s="556"/>
      <c r="T235" s="556"/>
      <c r="U235" s="556"/>
      <c r="V235" s="557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3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0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2"/>
      <c r="P238" s="555" t="s">
        <v>71</v>
      </c>
      <c r="Q238" s="556"/>
      <c r="R238" s="556"/>
      <c r="S238" s="556"/>
      <c r="T238" s="556"/>
      <c r="U238" s="556"/>
      <c r="V238" s="557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2"/>
      <c r="P239" s="555" t="s">
        <v>71</v>
      </c>
      <c r="Q239" s="556"/>
      <c r="R239" s="556"/>
      <c r="S239" s="556"/>
      <c r="T239" s="556"/>
      <c r="U239" s="556"/>
      <c r="V239" s="557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3" t="s">
        <v>383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0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2"/>
      <c r="P242" s="555" t="s">
        <v>71</v>
      </c>
      <c r="Q242" s="556"/>
      <c r="R242" s="556"/>
      <c r="S242" s="556"/>
      <c r="T242" s="556"/>
      <c r="U242" s="556"/>
      <c r="V242" s="557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2"/>
      <c r="P243" s="555" t="s">
        <v>71</v>
      </c>
      <c r="Q243" s="556"/>
      <c r="R243" s="556"/>
      <c r="S243" s="556"/>
      <c r="T243" s="556"/>
      <c r="U243" s="556"/>
      <c r="V243" s="557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3" t="s">
        <v>387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6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0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2"/>
      <c r="P250" s="555" t="s">
        <v>71</v>
      </c>
      <c r="Q250" s="556"/>
      <c r="R250" s="556"/>
      <c r="S250" s="556"/>
      <c r="T250" s="556"/>
      <c r="U250" s="556"/>
      <c r="V250" s="557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2"/>
      <c r="P251" s="555" t="s">
        <v>71</v>
      </c>
      <c r="Q251" s="556"/>
      <c r="R251" s="556"/>
      <c r="S251" s="556"/>
      <c r="T251" s="556"/>
      <c r="U251" s="556"/>
      <c r="V251" s="557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4" t="s">
        <v>399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3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0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2"/>
      <c r="P259" s="555" t="s">
        <v>71</v>
      </c>
      <c r="Q259" s="556"/>
      <c r="R259" s="556"/>
      <c r="S259" s="556"/>
      <c r="T259" s="556"/>
      <c r="U259" s="556"/>
      <c r="V259" s="557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2"/>
      <c r="P260" s="555" t="s">
        <v>71</v>
      </c>
      <c r="Q260" s="556"/>
      <c r="R260" s="556"/>
      <c r="S260" s="556"/>
      <c r="T260" s="556"/>
      <c r="U260" s="556"/>
      <c r="V260" s="557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4" t="s">
        <v>415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3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5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0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2"/>
      <c r="P267" s="555" t="s">
        <v>71</v>
      </c>
      <c r="Q267" s="556"/>
      <c r="R267" s="556"/>
      <c r="S267" s="556"/>
      <c r="T267" s="556"/>
      <c r="U267" s="556"/>
      <c r="V267" s="557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2"/>
      <c r="P268" s="555" t="s">
        <v>71</v>
      </c>
      <c r="Q268" s="556"/>
      <c r="R268" s="556"/>
      <c r="S268" s="556"/>
      <c r="T268" s="556"/>
      <c r="U268" s="556"/>
      <c r="V268" s="557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4" t="s">
        <v>426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3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5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0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2"/>
      <c r="P274" s="555" t="s">
        <v>71</v>
      </c>
      <c r="Q274" s="556"/>
      <c r="R274" s="556"/>
      <c r="S274" s="556"/>
      <c r="T274" s="556"/>
      <c r="U274" s="556"/>
      <c r="V274" s="557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2"/>
      <c r="P275" s="555" t="s">
        <v>71</v>
      </c>
      <c r="Q275" s="556"/>
      <c r="R275" s="556"/>
      <c r="S275" s="556"/>
      <c r="T275" s="556"/>
      <c r="U275" s="556"/>
      <c r="V275" s="557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4" t="s">
        <v>435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3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0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2"/>
      <c r="P280" s="555" t="s">
        <v>71</v>
      </c>
      <c r="Q280" s="556"/>
      <c r="R280" s="556"/>
      <c r="S280" s="556"/>
      <c r="T280" s="556"/>
      <c r="U280" s="556"/>
      <c r="V280" s="557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2"/>
      <c r="P281" s="555" t="s">
        <v>71</v>
      </c>
      <c r="Q281" s="556"/>
      <c r="R281" s="556"/>
      <c r="S281" s="556"/>
      <c r="T281" s="556"/>
      <c r="U281" s="556"/>
      <c r="V281" s="557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3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0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2"/>
      <c r="P284" s="555" t="s">
        <v>71</v>
      </c>
      <c r="Q284" s="556"/>
      <c r="R284" s="556"/>
      <c r="S284" s="556"/>
      <c r="T284" s="556"/>
      <c r="U284" s="556"/>
      <c r="V284" s="557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2"/>
      <c r="P285" s="555" t="s">
        <v>71</v>
      </c>
      <c r="Q285" s="556"/>
      <c r="R285" s="556"/>
      <c r="S285" s="556"/>
      <c r="T285" s="556"/>
      <c r="U285" s="556"/>
      <c r="V285" s="557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54" t="s">
        <v>445</v>
      </c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36"/>
      <c r="AB286" s="536"/>
      <c r="AC286" s="536"/>
    </row>
    <row r="287" spans="1:68" ht="14.25" hidden="1" customHeight="1" x14ac:dyDescent="0.25">
      <c r="A287" s="553" t="s">
        <v>101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8"/>
      <c r="R288" s="548"/>
      <c r="S288" s="548"/>
      <c r="T288" s="549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idden="1" x14ac:dyDescent="0.2">
      <c r="A294" s="550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2"/>
      <c r="P294" s="555" t="s">
        <v>71</v>
      </c>
      <c r="Q294" s="556"/>
      <c r="R294" s="556"/>
      <c r="S294" s="556"/>
      <c r="T294" s="556"/>
      <c r="U294" s="556"/>
      <c r="V294" s="557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2"/>
      <c r="P295" s="555" t="s">
        <v>71</v>
      </c>
      <c r="Q295" s="556"/>
      <c r="R295" s="556"/>
      <c r="S295" s="556"/>
      <c r="T295" s="556"/>
      <c r="U295" s="556"/>
      <c r="V295" s="557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53" t="s">
        <v>64</v>
      </c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30</v>
      </c>
      <c r="Y297" s="542">
        <f t="shared" ref="Y297:Y303" si="31">IFERROR(IF(X297="",0,CEILING((X297/$H297),1)*$H297),"")</f>
        <v>33.6</v>
      </c>
      <c r="Z297" s="36">
        <f>IFERROR(IF(Y297=0,"",ROUNDUP(Y297/H297,0)*0.00902),"")</f>
        <v>7.2160000000000002E-2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31.785714285714285</v>
      </c>
      <c r="BN297" s="64">
        <f t="shared" ref="BN297:BN303" si="33">IFERROR(Y297*I297/H297,"0")</f>
        <v>35.6</v>
      </c>
      <c r="BO297" s="64">
        <f t="shared" ref="BO297:BO303" si="34">IFERROR(1/J297*(X297/H297),"0")</f>
        <v>5.4112554112554112E-2</v>
      </c>
      <c r="BP297" s="64">
        <f t="shared" ref="BP297:BP303" si="35">IFERROR(1/J297*(Y297/H297),"0")</f>
        <v>6.0606060606060608E-2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30</v>
      </c>
      <c r="Y298" s="542">
        <f t="shared" si="31"/>
        <v>33.6</v>
      </c>
      <c r="Z298" s="36">
        <f>IFERROR(IF(Y298=0,"",ROUNDUP(Y298/H298,0)*0.00902),"")</f>
        <v>7.2160000000000002E-2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31.785714285714285</v>
      </c>
      <c r="BN298" s="64">
        <f t="shared" si="33"/>
        <v>35.6</v>
      </c>
      <c r="BO298" s="64">
        <f t="shared" si="34"/>
        <v>5.4112554112554112E-2</v>
      </c>
      <c r="BP298" s="64">
        <f t="shared" si="35"/>
        <v>6.0606060606060608E-2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4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0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2"/>
      <c r="P304" s="555" t="s">
        <v>71</v>
      </c>
      <c r="Q304" s="556"/>
      <c r="R304" s="556"/>
      <c r="S304" s="556"/>
      <c r="T304" s="556"/>
      <c r="U304" s="556"/>
      <c r="V304" s="557"/>
      <c r="W304" s="37" t="s">
        <v>72</v>
      </c>
      <c r="X304" s="543">
        <f>IFERROR(X297/H297,"0")+IFERROR(X298/H298,"0")+IFERROR(X299/H299,"0")+IFERROR(X300/H300,"0")+IFERROR(X301/H301,"0")+IFERROR(X302/H302,"0")+IFERROR(X303/H303,"0")</f>
        <v>14.285714285714285</v>
      </c>
      <c r="Y304" s="543">
        <f>IFERROR(Y297/H297,"0")+IFERROR(Y298/H298,"0")+IFERROR(Y299/H299,"0")+IFERROR(Y300/H300,"0")+IFERROR(Y301/H301,"0")+IFERROR(Y302/H302,"0")+IFERROR(Y303/H303,"0")</f>
        <v>16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0.14432</v>
      </c>
      <c r="AA304" s="544"/>
      <c r="AB304" s="544"/>
      <c r="AC304" s="544"/>
    </row>
    <row r="305" spans="1:68" x14ac:dyDescent="0.2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2"/>
      <c r="P305" s="555" t="s">
        <v>71</v>
      </c>
      <c r="Q305" s="556"/>
      <c r="R305" s="556"/>
      <c r="S305" s="556"/>
      <c r="T305" s="556"/>
      <c r="U305" s="556"/>
      <c r="V305" s="557"/>
      <c r="W305" s="37" t="s">
        <v>69</v>
      </c>
      <c r="X305" s="543">
        <f>IFERROR(SUM(X297:X303),"0")</f>
        <v>60</v>
      </c>
      <c r="Y305" s="543">
        <f>IFERROR(SUM(Y297:Y303),"0")</f>
        <v>67.2</v>
      </c>
      <c r="Z305" s="37"/>
      <c r="AA305" s="544"/>
      <c r="AB305" s="544"/>
      <c r="AC305" s="544"/>
    </row>
    <row r="306" spans="1:68" ht="14.25" hidden="1" customHeight="1" x14ac:dyDescent="0.25">
      <c r="A306" s="553" t="s">
        <v>73</v>
      </c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300</v>
      </c>
      <c r="Y307" s="542">
        <f>IFERROR(IF(X307="",0,CEILING((X307/$H307),1)*$H307),"")</f>
        <v>304.2</v>
      </c>
      <c r="Z307" s="36">
        <f>IFERROR(IF(Y307=0,"",ROUNDUP(Y307/H307,0)*0.01898),"")</f>
        <v>0.74021999999999999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318.76923076923077</v>
      </c>
      <c r="BN307" s="64">
        <f>IFERROR(Y307*I307/H307,"0")</f>
        <v>323.23200000000003</v>
      </c>
      <c r="BO307" s="64">
        <f>IFERROR(1/J307*(X307/H307),"0")</f>
        <v>0.60096153846153844</v>
      </c>
      <c r="BP307" s="64">
        <f>IFERROR(1/J307*(Y307/H307),"0")</f>
        <v>0.609375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0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2"/>
      <c r="P312" s="555" t="s">
        <v>71</v>
      </c>
      <c r="Q312" s="556"/>
      <c r="R312" s="556"/>
      <c r="S312" s="556"/>
      <c r="T312" s="556"/>
      <c r="U312" s="556"/>
      <c r="V312" s="557"/>
      <c r="W312" s="37" t="s">
        <v>72</v>
      </c>
      <c r="X312" s="543">
        <f>IFERROR(X307/H307,"0")+IFERROR(X308/H308,"0")+IFERROR(X309/H309,"0")+IFERROR(X310/H310,"0")+IFERROR(X311/H311,"0")</f>
        <v>38.46153846153846</v>
      </c>
      <c r="Y312" s="543">
        <f>IFERROR(Y307/H307,"0")+IFERROR(Y308/H308,"0")+IFERROR(Y309/H309,"0")+IFERROR(Y310/H310,"0")+IFERROR(Y311/H311,"0")</f>
        <v>39</v>
      </c>
      <c r="Z312" s="543">
        <f>IFERROR(IF(Z307="",0,Z307),"0")+IFERROR(IF(Z308="",0,Z308),"0")+IFERROR(IF(Z309="",0,Z309),"0")+IFERROR(IF(Z310="",0,Z310),"0")+IFERROR(IF(Z311="",0,Z311),"0")</f>
        <v>0.74021999999999999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2"/>
      <c r="P313" s="555" t="s">
        <v>71</v>
      </c>
      <c r="Q313" s="556"/>
      <c r="R313" s="556"/>
      <c r="S313" s="556"/>
      <c r="T313" s="556"/>
      <c r="U313" s="556"/>
      <c r="V313" s="557"/>
      <c r="W313" s="37" t="s">
        <v>69</v>
      </c>
      <c r="X313" s="543">
        <f>IFERROR(SUM(X307:X311),"0")</f>
        <v>300</v>
      </c>
      <c r="Y313" s="543">
        <f>IFERROR(SUM(Y307:Y311),"0")</f>
        <v>304.2</v>
      </c>
      <c r="Z313" s="37"/>
      <c r="AA313" s="544"/>
      <c r="AB313" s="544"/>
      <c r="AC313" s="544"/>
    </row>
    <row r="314" spans="1:68" ht="14.25" hidden="1" customHeight="1" x14ac:dyDescent="0.25">
      <c r="A314" s="553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5"/>
      <c r="AB314" s="535"/>
      <c r="AC314" s="535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0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2"/>
      <c r="P318" s="555" t="s">
        <v>71</v>
      </c>
      <c r="Q318" s="556"/>
      <c r="R318" s="556"/>
      <c r="S318" s="556"/>
      <c r="T318" s="556"/>
      <c r="U318" s="556"/>
      <c r="V318" s="557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2"/>
      <c r="P319" s="555" t="s">
        <v>71</v>
      </c>
      <c r="Q319" s="556"/>
      <c r="R319" s="556"/>
      <c r="S319" s="556"/>
      <c r="T319" s="556"/>
      <c r="U319" s="556"/>
      <c r="V319" s="557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53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8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2" t="s">
        <v>511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0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2"/>
      <c r="P325" s="555" t="s">
        <v>71</v>
      </c>
      <c r="Q325" s="556"/>
      <c r="R325" s="556"/>
      <c r="S325" s="556"/>
      <c r="T325" s="556"/>
      <c r="U325" s="556"/>
      <c r="V325" s="557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2"/>
      <c r="P326" s="555" t="s">
        <v>71</v>
      </c>
      <c r="Q326" s="556"/>
      <c r="R326" s="556"/>
      <c r="S326" s="556"/>
      <c r="T326" s="556"/>
      <c r="U326" s="556"/>
      <c r="V326" s="557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3" t="s">
        <v>517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5"/>
      <c r="AB327" s="535"/>
      <c r="AC327" s="535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0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2"/>
      <c r="P331" s="555" t="s">
        <v>71</v>
      </c>
      <c r="Q331" s="556"/>
      <c r="R331" s="556"/>
      <c r="S331" s="556"/>
      <c r="T331" s="556"/>
      <c r="U331" s="556"/>
      <c r="V331" s="557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2"/>
      <c r="P332" s="555" t="s">
        <v>71</v>
      </c>
      <c r="Q332" s="556"/>
      <c r="R332" s="556"/>
      <c r="S332" s="556"/>
      <c r="T332" s="556"/>
      <c r="U332" s="556"/>
      <c r="V332" s="557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4" t="s">
        <v>526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3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5"/>
      <c r="AB334" s="535"/>
      <c r="AC334" s="535"/>
    </row>
    <row r="335" spans="1:68" ht="27" hidden="1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5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0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2"/>
      <c r="P338" s="555" t="s">
        <v>71</v>
      </c>
      <c r="Q338" s="556"/>
      <c r="R338" s="556"/>
      <c r="S338" s="556"/>
      <c r="T338" s="556"/>
      <c r="U338" s="556"/>
      <c r="V338" s="557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2"/>
      <c r="P339" s="555" t="s">
        <v>71</v>
      </c>
      <c r="Q339" s="556"/>
      <c r="R339" s="556"/>
      <c r="S339" s="556"/>
      <c r="T339" s="556"/>
      <c r="U339" s="556"/>
      <c r="V339" s="557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37" t="s">
        <v>536</v>
      </c>
      <c r="B340" s="638"/>
      <c r="C340" s="638"/>
      <c r="D340" s="638"/>
      <c r="E340" s="638"/>
      <c r="F340" s="638"/>
      <c r="G340" s="638"/>
      <c r="H340" s="638"/>
      <c r="I340" s="638"/>
      <c r="J340" s="638"/>
      <c r="K340" s="638"/>
      <c r="L340" s="638"/>
      <c r="M340" s="638"/>
      <c r="N340" s="638"/>
      <c r="O340" s="638"/>
      <c r="P340" s="638"/>
      <c r="Q340" s="638"/>
      <c r="R340" s="638"/>
      <c r="S340" s="638"/>
      <c r="T340" s="638"/>
      <c r="U340" s="638"/>
      <c r="V340" s="638"/>
      <c r="W340" s="638"/>
      <c r="X340" s="638"/>
      <c r="Y340" s="638"/>
      <c r="Z340" s="638"/>
      <c r="AA340" s="48"/>
      <c r="AB340" s="48"/>
      <c r="AC340" s="48"/>
    </row>
    <row r="341" spans="1:68" ht="16.5" hidden="1" customHeight="1" x14ac:dyDescent="0.25">
      <c r="A341" s="554" t="s">
        <v>537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3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5"/>
      <c r="AB342" s="535"/>
      <c r="AC342" s="535"/>
    </row>
    <row r="343" spans="1:68" ht="37.5" hidden="1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4" t="s">
        <v>549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200</v>
      </c>
      <c r="Y346" s="542">
        <f t="shared" si="36"/>
        <v>210</v>
      </c>
      <c r="Z346" s="36">
        <f>IFERROR(IF(Y346=0,"",ROUNDUP(Y346/H346,0)*0.02175),"")</f>
        <v>0.30449999999999999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206.26666666666668</v>
      </c>
      <c r="BN346" s="64">
        <f t="shared" si="38"/>
        <v>216.58</v>
      </c>
      <c r="BO346" s="64">
        <f t="shared" si="39"/>
        <v>0.27777777777777779</v>
      </c>
      <c r="BP346" s="64">
        <f t="shared" si="40"/>
        <v>0.29166666666666663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0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2"/>
      <c r="P350" s="555" t="s">
        <v>71</v>
      </c>
      <c r="Q350" s="556"/>
      <c r="R350" s="556"/>
      <c r="S350" s="556"/>
      <c r="T350" s="556"/>
      <c r="U350" s="556"/>
      <c r="V350" s="557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13.333333333333334</v>
      </c>
      <c r="Y350" s="543">
        <f>IFERROR(Y343/H343,"0")+IFERROR(Y344/H344,"0")+IFERROR(Y345/H345,"0")+IFERROR(Y346/H346,"0")+IFERROR(Y347/H347,"0")+IFERROR(Y348/H348,"0")+IFERROR(Y349/H349,"0")</f>
        <v>14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0.30449999999999999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2"/>
      <c r="P351" s="555" t="s">
        <v>71</v>
      </c>
      <c r="Q351" s="556"/>
      <c r="R351" s="556"/>
      <c r="S351" s="556"/>
      <c r="T351" s="556"/>
      <c r="U351" s="556"/>
      <c r="V351" s="557"/>
      <c r="W351" s="37" t="s">
        <v>69</v>
      </c>
      <c r="X351" s="543">
        <f>IFERROR(SUM(X343:X349),"0")</f>
        <v>200</v>
      </c>
      <c r="Y351" s="543">
        <f>IFERROR(SUM(Y343:Y349),"0")</f>
        <v>210</v>
      </c>
      <c r="Z351" s="37"/>
      <c r="AA351" s="544"/>
      <c r="AB351" s="544"/>
      <c r="AC351" s="544"/>
    </row>
    <row r="352" spans="1:68" ht="14.25" hidden="1" customHeight="1" x14ac:dyDescent="0.25">
      <c r="A352" s="553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300</v>
      </c>
      <c r="Y353" s="542">
        <f>IFERROR(IF(X353="",0,CEILING((X353/$H353),1)*$H353),"")</f>
        <v>300</v>
      </c>
      <c r="Z353" s="36">
        <f>IFERROR(IF(Y353=0,"",ROUNDUP(Y353/H353,0)*0.02175),"")</f>
        <v>0.43499999999999994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309.39999999999998</v>
      </c>
      <c r="BN353" s="64">
        <f>IFERROR(Y353*I353/H353,"0")</f>
        <v>309.39999999999998</v>
      </c>
      <c r="BO353" s="64">
        <f>IFERROR(1/J353*(X353/H353),"0")</f>
        <v>0.41666666666666663</v>
      </c>
      <c r="BP353" s="64">
        <f>IFERROR(1/J353*(Y353/H353),"0")</f>
        <v>0.41666666666666663</v>
      </c>
    </row>
    <row r="354" spans="1:68" ht="16.5" hidden="1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0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2"/>
      <c r="P355" s="555" t="s">
        <v>71</v>
      </c>
      <c r="Q355" s="556"/>
      <c r="R355" s="556"/>
      <c r="S355" s="556"/>
      <c r="T355" s="556"/>
      <c r="U355" s="556"/>
      <c r="V355" s="557"/>
      <c r="W355" s="37" t="s">
        <v>72</v>
      </c>
      <c r="X355" s="543">
        <f>IFERROR(X353/H353,"0")+IFERROR(X354/H354,"0")</f>
        <v>20</v>
      </c>
      <c r="Y355" s="543">
        <f>IFERROR(Y353/H353,"0")+IFERROR(Y354/H354,"0")</f>
        <v>20</v>
      </c>
      <c r="Z355" s="543">
        <f>IFERROR(IF(Z353="",0,Z353),"0")+IFERROR(IF(Z354="",0,Z354),"0")</f>
        <v>0.43499999999999994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2"/>
      <c r="P356" s="555" t="s">
        <v>71</v>
      </c>
      <c r="Q356" s="556"/>
      <c r="R356" s="556"/>
      <c r="S356" s="556"/>
      <c r="T356" s="556"/>
      <c r="U356" s="556"/>
      <c r="V356" s="557"/>
      <c r="W356" s="37" t="s">
        <v>69</v>
      </c>
      <c r="X356" s="543">
        <f>IFERROR(SUM(X353:X354),"0")</f>
        <v>300</v>
      </c>
      <c r="Y356" s="543">
        <f>IFERROR(SUM(Y353:Y354),"0")</f>
        <v>300</v>
      </c>
      <c r="Z356" s="37"/>
      <c r="AA356" s="544"/>
      <c r="AB356" s="544"/>
      <c r="AC356" s="544"/>
    </row>
    <row r="357" spans="1:68" ht="14.25" hidden="1" customHeight="1" x14ac:dyDescent="0.25">
      <c r="A357" s="553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5"/>
      <c r="AB357" s="535"/>
      <c r="AC357" s="535"/>
    </row>
    <row r="358" spans="1:68" ht="27" hidden="1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0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2"/>
      <c r="P360" s="555" t="s">
        <v>71</v>
      </c>
      <c r="Q360" s="556"/>
      <c r="R360" s="556"/>
      <c r="S360" s="556"/>
      <c r="T360" s="556"/>
      <c r="U360" s="556"/>
      <c r="V360" s="557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2"/>
      <c r="P361" s="555" t="s">
        <v>71</v>
      </c>
      <c r="Q361" s="556"/>
      <c r="R361" s="556"/>
      <c r="S361" s="556"/>
      <c r="T361" s="556"/>
      <c r="U361" s="556"/>
      <c r="V361" s="557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3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5"/>
      <c r="AB362" s="535"/>
      <c r="AC362" s="535"/>
    </row>
    <row r="363" spans="1:68" ht="16.5" hidden="1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0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2"/>
      <c r="P364" s="555" t="s">
        <v>71</v>
      </c>
      <c r="Q364" s="556"/>
      <c r="R364" s="556"/>
      <c r="S364" s="556"/>
      <c r="T364" s="556"/>
      <c r="U364" s="556"/>
      <c r="V364" s="557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2"/>
      <c r="P365" s="555" t="s">
        <v>71</v>
      </c>
      <c r="Q365" s="556"/>
      <c r="R365" s="556"/>
      <c r="S365" s="556"/>
      <c r="T365" s="556"/>
      <c r="U365" s="556"/>
      <c r="V365" s="557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4" t="s">
        <v>572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3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5"/>
      <c r="AB367" s="535"/>
      <c r="AC367" s="535"/>
    </row>
    <row r="368" spans="1:68" ht="37.5" hidden="1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0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2"/>
      <c r="P370" s="555" t="s">
        <v>71</v>
      </c>
      <c r="Q370" s="556"/>
      <c r="R370" s="556"/>
      <c r="S370" s="556"/>
      <c r="T370" s="556"/>
      <c r="U370" s="556"/>
      <c r="V370" s="557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2"/>
      <c r="P371" s="555" t="s">
        <v>71</v>
      </c>
      <c r="Q371" s="556"/>
      <c r="R371" s="556"/>
      <c r="S371" s="556"/>
      <c r="T371" s="556"/>
      <c r="U371" s="556"/>
      <c r="V371" s="557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3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5"/>
      <c r="AB372" s="535"/>
      <c r="AC372" s="535"/>
    </row>
    <row r="373" spans="1:68" ht="27" hidden="1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0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2"/>
      <c r="P375" s="555" t="s">
        <v>71</v>
      </c>
      <c r="Q375" s="556"/>
      <c r="R375" s="556"/>
      <c r="S375" s="556"/>
      <c r="T375" s="556"/>
      <c r="U375" s="556"/>
      <c r="V375" s="557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2"/>
      <c r="P376" s="555" t="s">
        <v>71</v>
      </c>
      <c r="Q376" s="556"/>
      <c r="R376" s="556"/>
      <c r="S376" s="556"/>
      <c r="T376" s="556"/>
      <c r="U376" s="556"/>
      <c r="V376" s="557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3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5"/>
      <c r="AB377" s="535"/>
      <c r="AC377" s="535"/>
    </row>
    <row r="378" spans="1:68" ht="27" hidden="1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0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2"/>
      <c r="P380" s="555" t="s">
        <v>71</v>
      </c>
      <c r="Q380" s="556"/>
      <c r="R380" s="556"/>
      <c r="S380" s="556"/>
      <c r="T380" s="556"/>
      <c r="U380" s="556"/>
      <c r="V380" s="557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2"/>
      <c r="P381" s="555" t="s">
        <v>71</v>
      </c>
      <c r="Q381" s="556"/>
      <c r="R381" s="556"/>
      <c r="S381" s="556"/>
      <c r="T381" s="556"/>
      <c r="U381" s="556"/>
      <c r="V381" s="557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7" t="s">
        <v>588</v>
      </c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8"/>
      <c r="P382" s="638"/>
      <c r="Q382" s="638"/>
      <c r="R382" s="638"/>
      <c r="S382" s="638"/>
      <c r="T382" s="638"/>
      <c r="U382" s="638"/>
      <c r="V382" s="638"/>
      <c r="W382" s="638"/>
      <c r="X382" s="638"/>
      <c r="Y382" s="638"/>
      <c r="Z382" s="638"/>
      <c r="AA382" s="48"/>
      <c r="AB382" s="48"/>
      <c r="AC382" s="48"/>
    </row>
    <row r="383" spans="1:68" ht="16.5" hidden="1" customHeight="1" x14ac:dyDescent="0.25">
      <c r="A383" s="554" t="s">
        <v>589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3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5"/>
      <c r="AB384" s="535"/>
      <c r="AC384" s="535"/>
    </row>
    <row r="385" spans="1:68" ht="27" hidden="1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8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0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2"/>
      <c r="P394" s="555" t="s">
        <v>71</v>
      </c>
      <c r="Q394" s="556"/>
      <c r="R394" s="556"/>
      <c r="S394" s="556"/>
      <c r="T394" s="556"/>
      <c r="U394" s="556"/>
      <c r="V394" s="557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2"/>
      <c r="P395" s="555" t="s">
        <v>71</v>
      </c>
      <c r="Q395" s="556"/>
      <c r="R395" s="556"/>
      <c r="S395" s="556"/>
      <c r="T395" s="556"/>
      <c r="U395" s="556"/>
      <c r="V395" s="557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3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0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2"/>
      <c r="P399" s="555" t="s">
        <v>71</v>
      </c>
      <c r="Q399" s="556"/>
      <c r="R399" s="556"/>
      <c r="S399" s="556"/>
      <c r="T399" s="556"/>
      <c r="U399" s="556"/>
      <c r="V399" s="557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2"/>
      <c r="P400" s="555" t="s">
        <v>71</v>
      </c>
      <c r="Q400" s="556"/>
      <c r="R400" s="556"/>
      <c r="S400" s="556"/>
      <c r="T400" s="556"/>
      <c r="U400" s="556"/>
      <c r="V400" s="557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4" t="s">
        <v>620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3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0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2"/>
      <c r="P404" s="555" t="s">
        <v>71</v>
      </c>
      <c r="Q404" s="556"/>
      <c r="R404" s="556"/>
      <c r="S404" s="556"/>
      <c r="T404" s="556"/>
      <c r="U404" s="556"/>
      <c r="V404" s="557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2"/>
      <c r="P405" s="555" t="s">
        <v>71</v>
      </c>
      <c r="Q405" s="556"/>
      <c r="R405" s="556"/>
      <c r="S405" s="556"/>
      <c r="T405" s="556"/>
      <c r="U405" s="556"/>
      <c r="V405" s="557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3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5"/>
      <c r="AB406" s="535"/>
      <c r="AC406" s="535"/>
    </row>
    <row r="407" spans="1:68" ht="27" hidden="1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0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2"/>
      <c r="P411" s="555" t="s">
        <v>71</v>
      </c>
      <c r="Q411" s="556"/>
      <c r="R411" s="556"/>
      <c r="S411" s="556"/>
      <c r="T411" s="556"/>
      <c r="U411" s="556"/>
      <c r="V411" s="557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2"/>
      <c r="P412" s="555" t="s">
        <v>71</v>
      </c>
      <c r="Q412" s="556"/>
      <c r="R412" s="556"/>
      <c r="S412" s="556"/>
      <c r="T412" s="556"/>
      <c r="U412" s="556"/>
      <c r="V412" s="557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4" t="s">
        <v>635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3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0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2"/>
      <c r="P416" s="555" t="s">
        <v>71</v>
      </c>
      <c r="Q416" s="556"/>
      <c r="R416" s="556"/>
      <c r="S416" s="556"/>
      <c r="T416" s="556"/>
      <c r="U416" s="556"/>
      <c r="V416" s="557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2"/>
      <c r="P417" s="555" t="s">
        <v>71</v>
      </c>
      <c r="Q417" s="556"/>
      <c r="R417" s="556"/>
      <c r="S417" s="556"/>
      <c r="T417" s="556"/>
      <c r="U417" s="556"/>
      <c r="V417" s="557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7" t="s">
        <v>639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48"/>
      <c r="AB418" s="48"/>
      <c r="AC418" s="48"/>
    </row>
    <row r="419" spans="1:68" ht="16.5" hidden="1" customHeight="1" x14ac:dyDescent="0.25">
      <c r="A419" s="554" t="s">
        <v>639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3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5"/>
      <c r="AB420" s="535"/>
      <c r="AC420" s="535"/>
    </row>
    <row r="421" spans="1:68" ht="27" hidden="1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idden="1" x14ac:dyDescent="0.2">
      <c r="A432" s="550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2"/>
      <c r="P432" s="555" t="s">
        <v>71</v>
      </c>
      <c r="Q432" s="556"/>
      <c r="R432" s="556"/>
      <c r="S432" s="556"/>
      <c r="T432" s="556"/>
      <c r="U432" s="556"/>
      <c r="V432" s="557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2"/>
      <c r="P433" s="555" t="s">
        <v>71</v>
      </c>
      <c r="Q433" s="556"/>
      <c r="R433" s="556"/>
      <c r="S433" s="556"/>
      <c r="T433" s="556"/>
      <c r="U433" s="556"/>
      <c r="V433" s="557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53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5"/>
      <c r="AB434" s="535"/>
      <c r="AC434" s="535"/>
    </row>
    <row r="435" spans="1:68" ht="16.5" hidden="1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0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2"/>
      <c r="P438" s="555" t="s">
        <v>71</v>
      </c>
      <c r="Q438" s="556"/>
      <c r="R438" s="556"/>
      <c r="S438" s="556"/>
      <c r="T438" s="556"/>
      <c r="U438" s="556"/>
      <c r="V438" s="557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2"/>
      <c r="P439" s="555" t="s">
        <v>71</v>
      </c>
      <c r="Q439" s="556"/>
      <c r="R439" s="556"/>
      <c r="S439" s="556"/>
      <c r="T439" s="556"/>
      <c r="U439" s="556"/>
      <c r="V439" s="557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53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5"/>
      <c r="AB440" s="535"/>
      <c r="AC440" s="535"/>
    </row>
    <row r="441" spans="1:68" ht="27" hidden="1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hidden="1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idden="1" x14ac:dyDescent="0.2">
      <c r="A447" s="550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2"/>
      <c r="P447" s="555" t="s">
        <v>71</v>
      </c>
      <c r="Q447" s="556"/>
      <c r="R447" s="556"/>
      <c r="S447" s="556"/>
      <c r="T447" s="556"/>
      <c r="U447" s="556"/>
      <c r="V447" s="557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2"/>
      <c r="P448" s="555" t="s">
        <v>71</v>
      </c>
      <c r="Q448" s="556"/>
      <c r="R448" s="556"/>
      <c r="S448" s="556"/>
      <c r="T448" s="556"/>
      <c r="U448" s="556"/>
      <c r="V448" s="557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53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9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0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2"/>
      <c r="P453" s="555" t="s">
        <v>71</v>
      </c>
      <c r="Q453" s="556"/>
      <c r="R453" s="556"/>
      <c r="S453" s="556"/>
      <c r="T453" s="556"/>
      <c r="U453" s="556"/>
      <c r="V453" s="557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2"/>
      <c r="P454" s="555" t="s">
        <v>71</v>
      </c>
      <c r="Q454" s="556"/>
      <c r="R454" s="556"/>
      <c r="S454" s="556"/>
      <c r="T454" s="556"/>
      <c r="U454" s="556"/>
      <c r="V454" s="557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7" t="s">
        <v>699</v>
      </c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8"/>
      <c r="P455" s="638"/>
      <c r="Q455" s="638"/>
      <c r="R455" s="638"/>
      <c r="S455" s="638"/>
      <c r="T455" s="638"/>
      <c r="U455" s="638"/>
      <c r="V455" s="638"/>
      <c r="W455" s="638"/>
      <c r="X455" s="638"/>
      <c r="Y455" s="638"/>
      <c r="Z455" s="638"/>
      <c r="AA455" s="48"/>
      <c r="AB455" s="48"/>
      <c r="AC455" s="48"/>
    </row>
    <row r="456" spans="1:68" ht="16.5" hidden="1" customHeight="1" x14ac:dyDescent="0.25">
      <c r="A456" s="554" t="s">
        <v>699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3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59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7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0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2"/>
      <c r="P462" s="555" t="s">
        <v>71</v>
      </c>
      <c r="Q462" s="556"/>
      <c r="R462" s="556"/>
      <c r="S462" s="556"/>
      <c r="T462" s="556"/>
      <c r="U462" s="556"/>
      <c r="V462" s="557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2"/>
      <c r="P463" s="555" t="s">
        <v>71</v>
      </c>
      <c r="Q463" s="556"/>
      <c r="R463" s="556"/>
      <c r="S463" s="556"/>
      <c r="T463" s="556"/>
      <c r="U463" s="556"/>
      <c r="V463" s="557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3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4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0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2"/>
      <c r="P468" s="555" t="s">
        <v>71</v>
      </c>
      <c r="Q468" s="556"/>
      <c r="R468" s="556"/>
      <c r="S468" s="556"/>
      <c r="T468" s="556"/>
      <c r="U468" s="556"/>
      <c r="V468" s="557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2"/>
      <c r="P469" s="555" t="s">
        <v>71</v>
      </c>
      <c r="Q469" s="556"/>
      <c r="R469" s="556"/>
      <c r="S469" s="556"/>
      <c r="T469" s="556"/>
      <c r="U469" s="556"/>
      <c r="V469" s="557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3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58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30</v>
      </c>
      <c r="Y471" s="542">
        <f>IFERROR(IF(X471="",0,CEILING((X471/$H471),1)*$H471),"")</f>
        <v>33.6</v>
      </c>
      <c r="Z471" s="36">
        <f>IFERROR(IF(Y471=0,"",ROUNDUP(Y471/H471,0)*0.00902),"")</f>
        <v>7.2160000000000002E-2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31.785714285714285</v>
      </c>
      <c r="BN471" s="64">
        <f>IFERROR(Y471*I471/H471,"0")</f>
        <v>35.6</v>
      </c>
      <c r="BO471" s="64">
        <f>IFERROR(1/J471*(X471/H471),"0")</f>
        <v>5.4112554112554112E-2</v>
      </c>
      <c r="BP471" s="64">
        <f>IFERROR(1/J471*(Y471/H471),"0")</f>
        <v>6.0606060606060608E-2</v>
      </c>
    </row>
    <row r="472" spans="1:68" ht="27" hidden="1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0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2"/>
      <c r="P473" s="555" t="s">
        <v>71</v>
      </c>
      <c r="Q473" s="556"/>
      <c r="R473" s="556"/>
      <c r="S473" s="556"/>
      <c r="T473" s="556"/>
      <c r="U473" s="556"/>
      <c r="V473" s="557"/>
      <c r="W473" s="37" t="s">
        <v>72</v>
      </c>
      <c r="X473" s="543">
        <f>IFERROR(X471/H471,"0")+IFERROR(X472/H472,"0")</f>
        <v>7.1428571428571423</v>
      </c>
      <c r="Y473" s="543">
        <f>IFERROR(Y471/H471,"0")+IFERROR(Y472/H472,"0")</f>
        <v>8</v>
      </c>
      <c r="Z473" s="543">
        <f>IFERROR(IF(Z471="",0,Z471),"0")+IFERROR(IF(Z472="",0,Z472),"0")</f>
        <v>7.2160000000000002E-2</v>
      </c>
      <c r="AA473" s="544"/>
      <c r="AB473" s="544"/>
      <c r="AC473" s="544"/>
    </row>
    <row r="474" spans="1:68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2"/>
      <c r="P474" s="555" t="s">
        <v>71</v>
      </c>
      <c r="Q474" s="556"/>
      <c r="R474" s="556"/>
      <c r="S474" s="556"/>
      <c r="T474" s="556"/>
      <c r="U474" s="556"/>
      <c r="V474" s="557"/>
      <c r="W474" s="37" t="s">
        <v>69</v>
      </c>
      <c r="X474" s="543">
        <f>IFERROR(SUM(X471:X472),"0")</f>
        <v>30</v>
      </c>
      <c r="Y474" s="543">
        <f>IFERROR(SUM(Y471:Y472),"0")</f>
        <v>33.6</v>
      </c>
      <c r="Z474" s="37"/>
      <c r="AA474" s="544"/>
      <c r="AB474" s="544"/>
      <c r="AC474" s="544"/>
    </row>
    <row r="475" spans="1:68" ht="14.25" hidden="1" customHeight="1" x14ac:dyDescent="0.25">
      <c r="A475" s="553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5"/>
      <c r="AB475" s="535"/>
      <c r="AC475" s="535"/>
    </row>
    <row r="476" spans="1:68" ht="27" hidden="1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5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0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2"/>
      <c r="P477" s="555" t="s">
        <v>71</v>
      </c>
      <c r="Q477" s="556"/>
      <c r="R477" s="556"/>
      <c r="S477" s="556"/>
      <c r="T477" s="556"/>
      <c r="U477" s="556"/>
      <c r="V477" s="557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2"/>
      <c r="P478" s="555" t="s">
        <v>71</v>
      </c>
      <c r="Q478" s="556"/>
      <c r="R478" s="556"/>
      <c r="S478" s="556"/>
      <c r="T478" s="556"/>
      <c r="U478" s="556"/>
      <c r="V478" s="557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3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0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2"/>
      <c r="P482" s="555" t="s">
        <v>71</v>
      </c>
      <c r="Q482" s="556"/>
      <c r="R482" s="556"/>
      <c r="S482" s="556"/>
      <c r="T482" s="556"/>
      <c r="U482" s="556"/>
      <c r="V482" s="557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2"/>
      <c r="P483" s="555" t="s">
        <v>71</v>
      </c>
      <c r="Q483" s="556"/>
      <c r="R483" s="556"/>
      <c r="S483" s="556"/>
      <c r="T483" s="556"/>
      <c r="U483" s="556"/>
      <c r="V483" s="557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4" t="s">
        <v>735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3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0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2"/>
      <c r="P487" s="555" t="s">
        <v>71</v>
      </c>
      <c r="Q487" s="556"/>
      <c r="R487" s="556"/>
      <c r="S487" s="556"/>
      <c r="T487" s="556"/>
      <c r="U487" s="556"/>
      <c r="V487" s="557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2"/>
      <c r="P488" s="555" t="s">
        <v>71</v>
      </c>
      <c r="Q488" s="556"/>
      <c r="R488" s="556"/>
      <c r="S488" s="556"/>
      <c r="T488" s="556"/>
      <c r="U488" s="556"/>
      <c r="V488" s="557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8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07"/>
      <c r="P489" s="634" t="s">
        <v>739</v>
      </c>
      <c r="Q489" s="635"/>
      <c r="R489" s="635"/>
      <c r="S489" s="635"/>
      <c r="T489" s="635"/>
      <c r="U489" s="635"/>
      <c r="V489" s="636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1116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1151.6999999999998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07"/>
      <c r="P490" s="634" t="s">
        <v>740</v>
      </c>
      <c r="Q490" s="635"/>
      <c r="R490" s="635"/>
      <c r="S490" s="635"/>
      <c r="T490" s="635"/>
      <c r="U490" s="635"/>
      <c r="V490" s="636"/>
      <c r="W490" s="37" t="s">
        <v>69</v>
      </c>
      <c r="X490" s="543">
        <f>IFERROR(SUM(BM22:BM486),"0")</f>
        <v>1164.7341514041514</v>
      </c>
      <c r="Y490" s="543">
        <f>IFERROR(SUM(BN22:BN486),"0")</f>
        <v>1202.182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07"/>
      <c r="P491" s="634" t="s">
        <v>741</v>
      </c>
      <c r="Q491" s="635"/>
      <c r="R491" s="635"/>
      <c r="S491" s="635"/>
      <c r="T491" s="635"/>
      <c r="U491" s="635"/>
      <c r="V491" s="636"/>
      <c r="W491" s="37" t="s">
        <v>742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07"/>
      <c r="P492" s="634" t="s">
        <v>743</v>
      </c>
      <c r="Q492" s="635"/>
      <c r="R492" s="635"/>
      <c r="S492" s="635"/>
      <c r="T492" s="635"/>
      <c r="U492" s="635"/>
      <c r="V492" s="636"/>
      <c r="W492" s="37" t="s">
        <v>69</v>
      </c>
      <c r="X492" s="543">
        <f>GrossWeightTotal+PalletQtyTotal*25</f>
        <v>1214.7341514041514</v>
      </c>
      <c r="Y492" s="543">
        <f>GrossWeightTotalR+PalletQtyTotalR*25</f>
        <v>1252.182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07"/>
      <c r="P493" s="634" t="s">
        <v>744</v>
      </c>
      <c r="Q493" s="635"/>
      <c r="R493" s="635"/>
      <c r="S493" s="635"/>
      <c r="T493" s="635"/>
      <c r="U493" s="635"/>
      <c r="V493" s="636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118.001221001221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124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07"/>
      <c r="P494" s="634" t="s">
        <v>745</v>
      </c>
      <c r="Q494" s="635"/>
      <c r="R494" s="635"/>
      <c r="S494" s="635"/>
      <c r="T494" s="635"/>
      <c r="U494" s="635"/>
      <c r="V494" s="636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2.1238799999999998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0" t="s">
        <v>99</v>
      </c>
      <c r="D496" s="657"/>
      <c r="E496" s="657"/>
      <c r="F496" s="657"/>
      <c r="G496" s="657"/>
      <c r="H496" s="622"/>
      <c r="I496" s="590" t="s">
        <v>255</v>
      </c>
      <c r="J496" s="657"/>
      <c r="K496" s="657"/>
      <c r="L496" s="657"/>
      <c r="M496" s="657"/>
      <c r="N496" s="657"/>
      <c r="O496" s="657"/>
      <c r="P496" s="657"/>
      <c r="Q496" s="657"/>
      <c r="R496" s="622"/>
      <c r="S496" s="590" t="s">
        <v>536</v>
      </c>
      <c r="T496" s="622"/>
      <c r="U496" s="590" t="s">
        <v>588</v>
      </c>
      <c r="V496" s="657"/>
      <c r="W496" s="622"/>
      <c r="X496" s="533" t="s">
        <v>639</v>
      </c>
      <c r="Y496" s="590" t="s">
        <v>699</v>
      </c>
      <c r="Z496" s="622"/>
      <c r="AB496" s="52"/>
      <c r="AC496" s="52"/>
      <c r="AF496" s="534"/>
    </row>
    <row r="497" spans="1:32" ht="14.25" customHeight="1" thickTop="1" x14ac:dyDescent="0.2">
      <c r="A497" s="851" t="s">
        <v>748</v>
      </c>
      <c r="B497" s="590" t="s">
        <v>63</v>
      </c>
      <c r="C497" s="590" t="s">
        <v>100</v>
      </c>
      <c r="D497" s="590" t="s">
        <v>117</v>
      </c>
      <c r="E497" s="590" t="s">
        <v>171</v>
      </c>
      <c r="F497" s="590" t="s">
        <v>190</v>
      </c>
      <c r="G497" s="590" t="s">
        <v>220</v>
      </c>
      <c r="H497" s="590" t="s">
        <v>99</v>
      </c>
      <c r="I497" s="590" t="s">
        <v>256</v>
      </c>
      <c r="J497" s="590" t="s">
        <v>297</v>
      </c>
      <c r="K497" s="590" t="s">
        <v>357</v>
      </c>
      <c r="L497" s="590" t="s">
        <v>399</v>
      </c>
      <c r="M497" s="590" t="s">
        <v>415</v>
      </c>
      <c r="N497" s="534"/>
      <c r="O497" s="590" t="s">
        <v>426</v>
      </c>
      <c r="P497" s="590" t="s">
        <v>435</v>
      </c>
      <c r="Q497" s="590" t="s">
        <v>445</v>
      </c>
      <c r="R497" s="590" t="s">
        <v>526</v>
      </c>
      <c r="S497" s="590" t="s">
        <v>537</v>
      </c>
      <c r="T497" s="590" t="s">
        <v>572</v>
      </c>
      <c r="U497" s="590" t="s">
        <v>589</v>
      </c>
      <c r="V497" s="590" t="s">
        <v>620</v>
      </c>
      <c r="W497" s="590" t="s">
        <v>635</v>
      </c>
      <c r="X497" s="590" t="s">
        <v>639</v>
      </c>
      <c r="Y497" s="590" t="s">
        <v>699</v>
      </c>
      <c r="Z497" s="590" t="s">
        <v>735</v>
      </c>
      <c r="AB497" s="52"/>
      <c r="AC497" s="52"/>
      <c r="AF497" s="534"/>
    </row>
    <row r="498" spans="1:32" ht="13.5" customHeight="1" thickBot="1" x14ac:dyDescent="0.25">
      <c r="A498" s="852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4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215.10000000000002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371.4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510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33.6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6,00"/>
        <filter val="1 164,73"/>
        <filter val="1 214,73"/>
        <filter val="10,00"/>
        <filter val="118,00"/>
        <filter val="13,33"/>
        <filter val="14,29"/>
        <filter val="14,78"/>
        <filter val="150,00"/>
        <filter val="154,00"/>
        <filter val="19,00"/>
        <filter val="2"/>
        <filter val="20,00"/>
        <filter val="200,00"/>
        <filter val="3,00"/>
        <filter val="30,00"/>
        <filter val="300,00"/>
        <filter val="38,46"/>
        <filter val="4,00"/>
        <filter val="4,26"/>
        <filter val="5,74"/>
        <filter val="50,00"/>
        <filter val="53,00"/>
        <filter val="60,00"/>
        <filter val="7,14"/>
        <filter val="9,00"/>
      </filters>
    </filterColumn>
    <filterColumn colId="29" showButton="0"/>
    <filterColumn colId="30" showButton="0"/>
  </autoFilter>
  <mergeCells count="874"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G497:G498"/>
    <mergeCell ref="Q497:Q49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P492:V492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D202:E202"/>
    <mergeCell ref="A269:Z26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29:T129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D290:E290"/>
    <mergeCell ref="D94:E94"/>
    <mergeCell ref="P148:T148"/>
    <mergeCell ref="A109:O110"/>
    <mergeCell ref="D353:E3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2025-11-11T10:43:21Z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